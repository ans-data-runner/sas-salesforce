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sint-my.sharepoint.com/personal/rsamuel_sasint_co_uk/Documents/Documents/Data project/Shared with ANS/Team KPIs/"/>
    </mc:Choice>
  </mc:AlternateContent>
  <xr:revisionPtr revIDLastSave="0" documentId="13_ncr:1_{C88641B7-9F65-4100-9947-6EFA8BB0EFDD}" xr6:coauthVersionLast="47" xr6:coauthVersionMax="47" xr10:uidLastSave="{00000000-0000-0000-0000-000000000000}"/>
  <bookViews>
    <workbookView xWindow="28680" yWindow="-120" windowWidth="29040" windowHeight="15720" firstSheet="1" activeTab="1" xr2:uid="{BA900C8C-0838-4C45-B7FA-BA03B8471A27}"/>
  </bookViews>
  <sheets>
    <sheet name="Analysis" sheetId="9" r:id="rId1"/>
    <sheet name="Design KPI" sheetId="16" r:id="rId2"/>
    <sheet name="Pivot Weekly close" sheetId="14" r:id="rId3"/>
    <sheet name="Pivot Of Design Days" sheetId="6" r:id="rId4"/>
    <sheet name="Weekly Closed Proposal Requests" sheetId="1" r:id="rId5"/>
    <sheet name="Ex Rates" sheetId="17" r:id="rId6"/>
    <sheet name="Design Days between estimate by" sheetId="5" r:id="rId7"/>
    <sheet name="Wk no's" sheetId="3" r:id="rId8"/>
  </sheets>
  <definedNames>
    <definedName name="_xlnm._FilterDatabase" localSheetId="6" hidden="1">'Design Days between estimate by'!$A$1:$G$575</definedName>
    <definedName name="_xlnm._FilterDatabase" localSheetId="4" hidden="1">'Weekly Closed Proposal Requests'!$A$1:$L$952</definedName>
  </definedNames>
  <calcPr calcId="191029"/>
  <pivotCaches>
    <pivotCache cacheId="5" r:id="rId9"/>
    <pivotCache cacheId="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95" i="1" l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/>
  <c r="J1201" i="1"/>
  <c r="K1201" i="1"/>
  <c r="J1202" i="1"/>
  <c r="K1202" i="1"/>
  <c r="J1203" i="1"/>
  <c r="K1203" i="1"/>
  <c r="J1204" i="1"/>
  <c r="K1204" i="1"/>
  <c r="J1205" i="1"/>
  <c r="K1205" i="1" s="1"/>
  <c r="J1206" i="1"/>
  <c r="K1206" i="1" s="1"/>
  <c r="J1207" i="1"/>
  <c r="K1207" i="1" s="1"/>
  <c r="J1208" i="1"/>
  <c r="K1208" i="1"/>
  <c r="J1211" i="1"/>
  <c r="K1211" i="1" s="1"/>
  <c r="J1212" i="1"/>
  <c r="K1212" i="1"/>
  <c r="J1213" i="1"/>
  <c r="K1213" i="1"/>
  <c r="J1214" i="1"/>
  <c r="K1214" i="1"/>
  <c r="J1215" i="1"/>
  <c r="K1215" i="1" s="1"/>
  <c r="J1216" i="1"/>
  <c r="K1216" i="1"/>
  <c r="J1217" i="1"/>
  <c r="K1217" i="1" s="1"/>
  <c r="J1218" i="1"/>
  <c r="K1218" i="1" s="1"/>
  <c r="AW16" i="16" l="1"/>
  <c r="K82" i="17"/>
  <c r="I82" i="17"/>
  <c r="K81" i="17"/>
  <c r="I81" i="17"/>
  <c r="K80" i="17"/>
  <c r="I80" i="17"/>
  <c r="K79" i="17"/>
  <c r="I79" i="17"/>
  <c r="K78" i="17"/>
  <c r="I78" i="17"/>
  <c r="K77" i="17"/>
  <c r="I77" i="17"/>
  <c r="K76" i="17"/>
  <c r="I76" i="17"/>
  <c r="K75" i="17"/>
  <c r="I75" i="17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/>
  <c r="J1180" i="1"/>
  <c r="K1180" i="1" s="1"/>
  <c r="J1181" i="1"/>
  <c r="K1181" i="1" s="1"/>
  <c r="J1186" i="1"/>
  <c r="K1186" i="1" s="1"/>
  <c r="J1187" i="1"/>
  <c r="K1187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88" i="1" l="1"/>
  <c r="K1188" i="1" s="1"/>
  <c r="AU16" i="16"/>
  <c r="AV16" i="16"/>
  <c r="J407" i="1" l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20" i="1"/>
  <c r="K420" i="1" s="1"/>
  <c r="J422" i="1"/>
  <c r="K422" i="1" s="1"/>
  <c r="J423" i="1"/>
  <c r="K423" i="1" s="1"/>
  <c r="J425" i="1"/>
  <c r="K425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53" i="1"/>
  <c r="K453" i="1" s="1"/>
  <c r="J454" i="1"/>
  <c r="K454" i="1" s="1"/>
  <c r="J455" i="1"/>
  <c r="K455" i="1" s="1"/>
  <c r="J456" i="1"/>
  <c r="K456" i="1" s="1"/>
  <c r="J458" i="1"/>
  <c r="K458" i="1" s="1"/>
  <c r="J460" i="1"/>
  <c r="K460" i="1" s="1"/>
  <c r="J461" i="1"/>
  <c r="K461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6" i="1"/>
  <c r="K486" i="1" s="1"/>
  <c r="J487" i="1"/>
  <c r="K487" i="1" s="1"/>
  <c r="J488" i="1"/>
  <c r="K488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1" i="1"/>
  <c r="K501" i="1" s="1"/>
  <c r="J502" i="1"/>
  <c r="K502" i="1" s="1"/>
  <c r="J503" i="1"/>
  <c r="K503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2" i="1"/>
  <c r="K522" i="1" s="1"/>
  <c r="J523" i="1"/>
  <c r="K523" i="1" s="1"/>
  <c r="J524" i="1"/>
  <c r="K524" i="1" s="1"/>
  <c r="J527" i="1"/>
  <c r="K527" i="1" s="1"/>
  <c r="J533" i="1"/>
  <c r="K533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7" i="1"/>
  <c r="K557" i="1" s="1"/>
  <c r="J558" i="1"/>
  <c r="K558" i="1" s="1"/>
  <c r="J559" i="1"/>
  <c r="K559" i="1" s="1"/>
  <c r="J567" i="1"/>
  <c r="K567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8" i="1"/>
  <c r="K588" i="1" s="1"/>
  <c r="J589" i="1"/>
  <c r="K589" i="1" s="1"/>
  <c r="J591" i="1"/>
  <c r="K591" i="1" s="1"/>
  <c r="J593" i="1"/>
  <c r="K593" i="1" s="1"/>
  <c r="J594" i="1"/>
  <c r="K594" i="1" s="1"/>
  <c r="J598" i="1"/>
  <c r="K598" i="1" s="1"/>
  <c r="J602" i="1"/>
  <c r="K602" i="1" s="1"/>
  <c r="J603" i="1"/>
  <c r="K603" i="1" s="1"/>
  <c r="J604" i="1"/>
  <c r="K604" i="1" s="1"/>
  <c r="J605" i="1"/>
  <c r="K605" i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9" i="1"/>
  <c r="K629" i="1" s="1"/>
  <c r="J630" i="1"/>
  <c r="K630" i="1" s="1"/>
  <c r="J631" i="1"/>
  <c r="K631" i="1" s="1"/>
  <c r="J632" i="1"/>
  <c r="K632" i="1" s="1"/>
  <c r="J633" i="1"/>
  <c r="K63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80" i="1"/>
  <c r="K680" i="1" s="1"/>
  <c r="J681" i="1"/>
  <c r="K681" i="1" s="1"/>
  <c r="J682" i="1"/>
  <c r="K682" i="1" s="1"/>
  <c r="J683" i="1"/>
  <c r="K683" i="1" s="1"/>
  <c r="J684" i="1"/>
  <c r="K684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6" i="1"/>
  <c r="K706" i="1" s="1"/>
  <c r="J707" i="1"/>
  <c r="K707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4" i="1"/>
  <c r="K764" i="1" s="1"/>
  <c r="J765" i="1"/>
  <c r="K765" i="1" s="1"/>
  <c r="J766" i="1"/>
  <c r="K766" i="1" s="1"/>
  <c r="J767" i="1"/>
  <c r="K76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6" i="1"/>
  <c r="K796" i="1" s="1"/>
  <c r="J799" i="1"/>
  <c r="K799" i="1" s="1"/>
  <c r="J800" i="1"/>
  <c r="K800" i="1" s="1"/>
  <c r="J805" i="1"/>
  <c r="K805" i="1" s="1"/>
  <c r="J811" i="1"/>
  <c r="K811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30" i="1"/>
  <c r="K830" i="1" s="1"/>
  <c r="J831" i="1"/>
  <c r="K831" i="1" s="1"/>
  <c r="J837" i="1"/>
  <c r="K837" i="1" s="1"/>
  <c r="J838" i="1"/>
  <c r="K838" i="1" s="1"/>
  <c r="J839" i="1"/>
  <c r="K839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60" i="1"/>
  <c r="K860" i="1" s="1"/>
  <c r="J866" i="1"/>
  <c r="K866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8" i="1"/>
  <c r="K888" i="1" s="1"/>
  <c r="J908" i="1"/>
  <c r="K908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8" i="1"/>
  <c r="K928" i="1" s="1"/>
  <c r="J929" i="1"/>
  <c r="K929" i="1" s="1"/>
  <c r="J938" i="1"/>
  <c r="K938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62" i="1"/>
  <c r="K962" i="1" s="1"/>
  <c r="J963" i="1"/>
  <c r="K963" i="1" s="1"/>
  <c r="J964" i="1"/>
  <c r="K964" i="1" s="1"/>
  <c r="J971" i="1"/>
  <c r="K971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7" i="1"/>
  <c r="K1067" i="1" s="1"/>
  <c r="J1068" i="1"/>
  <c r="K1068" i="1" s="1"/>
  <c r="J1069" i="1"/>
  <c r="K1069" i="1" s="1"/>
  <c r="J1070" i="1"/>
  <c r="K1070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80" i="1"/>
  <c r="K1080" i="1" s="1"/>
  <c r="J1081" i="1"/>
  <c r="K1081" i="1" s="1"/>
  <c r="J1082" i="1"/>
  <c r="K1082" i="1" s="1"/>
  <c r="J1083" i="1"/>
  <c r="K1083" i="1" s="1"/>
  <c r="J1086" i="1"/>
  <c r="K1086" i="1" s="1"/>
  <c r="J1087" i="1"/>
  <c r="K1087" i="1" s="1"/>
  <c r="J1092" i="1"/>
  <c r="K1092" i="1" s="1"/>
  <c r="J1093" i="1"/>
  <c r="K1093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2" i="1"/>
  <c r="K1102" i="1" s="1"/>
  <c r="J1103" i="1"/>
  <c r="K1103" i="1" s="1"/>
  <c r="J1105" i="1"/>
  <c r="K1105" i="1" s="1"/>
  <c r="J1108" i="1"/>
  <c r="K1108" i="1" s="1"/>
  <c r="J1109" i="1"/>
  <c r="K1109" i="1" s="1"/>
  <c r="J1115" i="1"/>
  <c r="K1115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7" i="1"/>
  <c r="K1137" i="1" s="1"/>
  <c r="J1141" i="1"/>
  <c r="K1141" i="1" s="1"/>
  <c r="J1142" i="1"/>
  <c r="K1142" i="1" s="1"/>
  <c r="J1143" i="1"/>
  <c r="K1143" i="1" s="1"/>
  <c r="J1147" i="1"/>
  <c r="K1147" i="1" s="1"/>
  <c r="J1148" i="1"/>
  <c r="K1148" i="1" s="1"/>
  <c r="J1149" i="1"/>
  <c r="K1149" i="1" s="1"/>
  <c r="J1150" i="1"/>
  <c r="K1150" i="1" s="1"/>
  <c r="J1151" i="1"/>
  <c r="K1151" i="1"/>
  <c r="J1152" i="1"/>
  <c r="K1152" i="1" s="1"/>
  <c r="J1153" i="1"/>
  <c r="K1153" i="1" s="1"/>
  <c r="J1155" i="1"/>
  <c r="K1155" i="1" s="1"/>
  <c r="J1156" i="1"/>
  <c r="K1156" i="1" s="1"/>
  <c r="J1157" i="1"/>
  <c r="K1157" i="1" s="1"/>
  <c r="J1161" i="1"/>
  <c r="K1161" i="1" s="1"/>
  <c r="J1166" i="1"/>
  <c r="K1166" i="1" s="1"/>
  <c r="J1167" i="1"/>
  <c r="K1167" i="1" s="1"/>
  <c r="J1168" i="1"/>
  <c r="K1168" i="1" s="1"/>
  <c r="J1170" i="1"/>
  <c r="K1170" i="1" s="1"/>
  <c r="J1172" i="1"/>
  <c r="K1172" i="1" s="1"/>
  <c r="J1173" i="1"/>
  <c r="K1173" i="1" s="1"/>
  <c r="K74" i="17" l="1"/>
  <c r="I74" i="17"/>
  <c r="K73" i="17"/>
  <c r="I73" i="17"/>
  <c r="K72" i="17"/>
  <c r="I72" i="17"/>
  <c r="K71" i="17"/>
  <c r="I71" i="17"/>
  <c r="K70" i="17"/>
  <c r="I70" i="17"/>
  <c r="K69" i="17"/>
  <c r="I69" i="17"/>
  <c r="K68" i="17"/>
  <c r="I68" i="17"/>
  <c r="K67" i="17"/>
  <c r="I67" i="17"/>
  <c r="K66" i="17" l="1"/>
  <c r="I66" i="17"/>
  <c r="K65" i="17"/>
  <c r="I65" i="17"/>
  <c r="K64" i="17"/>
  <c r="I64" i="17"/>
  <c r="K63" i="17"/>
  <c r="I63" i="17"/>
  <c r="K62" i="17"/>
  <c r="I62" i="17"/>
  <c r="K61" i="17"/>
  <c r="I61" i="17"/>
  <c r="K60" i="17"/>
  <c r="I60" i="17"/>
  <c r="K59" i="17"/>
  <c r="I59" i="17"/>
  <c r="K58" i="17" l="1"/>
  <c r="I58" i="17"/>
  <c r="K57" i="17"/>
  <c r="I57" i="17"/>
  <c r="K56" i="17"/>
  <c r="I56" i="17"/>
  <c r="K55" i="17"/>
  <c r="I55" i="17"/>
  <c r="K54" i="17"/>
  <c r="I54" i="17"/>
  <c r="K53" i="17"/>
  <c r="I53" i="17"/>
  <c r="K52" i="17"/>
  <c r="I52" i="17"/>
  <c r="K51" i="17"/>
  <c r="I51" i="17"/>
  <c r="J3" i="1" l="1"/>
  <c r="J5" i="1"/>
  <c r="J7" i="1"/>
  <c r="J9" i="1"/>
  <c r="J10" i="1"/>
  <c r="J11" i="1"/>
  <c r="J12" i="1"/>
  <c r="J13" i="1"/>
  <c r="J14" i="1"/>
  <c r="J15" i="1"/>
  <c r="J17" i="1"/>
  <c r="J18" i="1"/>
  <c r="J20" i="1"/>
  <c r="J21" i="1"/>
  <c r="J22" i="1"/>
  <c r="J24" i="1"/>
  <c r="J25" i="1"/>
  <c r="J26" i="1"/>
  <c r="J28" i="1"/>
  <c r="J29" i="1"/>
  <c r="J31" i="1"/>
  <c r="J33" i="1"/>
  <c r="J34" i="1"/>
  <c r="J35" i="1"/>
  <c r="J36" i="1"/>
  <c r="J37" i="1"/>
  <c r="J38" i="1"/>
  <c r="J40" i="1"/>
  <c r="J41" i="1"/>
  <c r="J42" i="1"/>
  <c r="J43" i="1"/>
  <c r="J45" i="1"/>
  <c r="J47" i="1"/>
  <c r="J48" i="1"/>
  <c r="J49" i="1"/>
  <c r="J51" i="1"/>
  <c r="J53" i="1"/>
  <c r="J55" i="1"/>
  <c r="J56" i="1"/>
  <c r="J57" i="1"/>
  <c r="J58" i="1"/>
  <c r="J59" i="1"/>
  <c r="J60" i="1"/>
  <c r="J61" i="1"/>
  <c r="J62" i="1"/>
  <c r="J63" i="1"/>
  <c r="J67" i="1"/>
  <c r="J68" i="1"/>
  <c r="J69" i="1"/>
  <c r="J70" i="1"/>
  <c r="J71" i="1"/>
  <c r="J73" i="1"/>
  <c r="J74" i="1"/>
  <c r="J78" i="1"/>
  <c r="J79" i="1"/>
  <c r="J80" i="1"/>
  <c r="J81" i="1"/>
  <c r="J84" i="1"/>
  <c r="J85" i="1"/>
  <c r="J86" i="1"/>
  <c r="J87" i="1"/>
  <c r="J89" i="1"/>
  <c r="J91" i="1"/>
  <c r="J93" i="1"/>
  <c r="J95" i="1"/>
  <c r="J96" i="1"/>
  <c r="J97" i="1"/>
  <c r="J98" i="1"/>
  <c r="J100" i="1"/>
  <c r="J101" i="1"/>
  <c r="J102" i="1"/>
  <c r="J103" i="1"/>
  <c r="J108" i="1"/>
  <c r="J109" i="1"/>
  <c r="J112" i="1"/>
  <c r="J113" i="1"/>
  <c r="J116" i="1"/>
  <c r="J118" i="1"/>
  <c r="J119" i="1"/>
  <c r="J120" i="1"/>
  <c r="J123" i="1"/>
  <c r="J124" i="1"/>
  <c r="J127" i="1"/>
  <c r="J128" i="1"/>
  <c r="J129" i="1"/>
  <c r="J130" i="1"/>
  <c r="J132" i="1"/>
  <c r="J133" i="1"/>
  <c r="J134" i="1"/>
  <c r="J136" i="1"/>
  <c r="J138" i="1"/>
  <c r="J139" i="1"/>
  <c r="J140" i="1"/>
  <c r="J142" i="1"/>
  <c r="J147" i="1"/>
  <c r="J148" i="1"/>
  <c r="J152" i="1"/>
  <c r="J156" i="1"/>
  <c r="J157" i="1"/>
  <c r="J158" i="1"/>
  <c r="J159" i="1"/>
  <c r="J160" i="1"/>
  <c r="J163" i="1"/>
  <c r="J168" i="1"/>
  <c r="J169" i="1"/>
  <c r="J171" i="1"/>
  <c r="J174" i="1"/>
  <c r="J177" i="1"/>
  <c r="J178" i="1"/>
  <c r="J182" i="1"/>
  <c r="J185" i="1"/>
  <c r="J186" i="1"/>
  <c r="J188" i="1"/>
  <c r="J189" i="1"/>
  <c r="J191" i="1"/>
  <c r="J192" i="1"/>
  <c r="J193" i="1"/>
  <c r="J194" i="1"/>
  <c r="J196" i="1"/>
  <c r="J197" i="1"/>
  <c r="J198" i="1"/>
  <c r="J199" i="1"/>
  <c r="J201" i="1"/>
  <c r="J205" i="1"/>
  <c r="J207" i="1"/>
  <c r="J209" i="1"/>
  <c r="J210" i="1"/>
  <c r="J211" i="1"/>
  <c r="J212" i="1"/>
  <c r="J214" i="1"/>
  <c r="J216" i="1"/>
  <c r="J217" i="1"/>
  <c r="J218" i="1"/>
  <c r="J219" i="1"/>
  <c r="J220" i="1"/>
  <c r="J222" i="1"/>
  <c r="J224" i="1"/>
  <c r="J225" i="1"/>
  <c r="J228" i="1"/>
  <c r="J229" i="1"/>
  <c r="J230" i="1"/>
  <c r="J231" i="1"/>
  <c r="J232" i="1"/>
  <c r="J234" i="1"/>
  <c r="J235" i="1"/>
  <c r="J236" i="1"/>
  <c r="J238" i="1"/>
  <c r="J239" i="1"/>
  <c r="J240" i="1"/>
  <c r="J242" i="1"/>
  <c r="J243" i="1"/>
  <c r="J245" i="1"/>
  <c r="J247" i="1"/>
  <c r="J249" i="1"/>
  <c r="J250" i="1"/>
  <c r="J253" i="1"/>
  <c r="J254" i="1"/>
  <c r="J255" i="1"/>
  <c r="J260" i="1"/>
  <c r="J261" i="1"/>
  <c r="J263" i="1"/>
  <c r="J264" i="1"/>
  <c r="J266" i="1"/>
  <c r="J267" i="1"/>
  <c r="J269" i="1"/>
  <c r="J270" i="1"/>
  <c r="J273" i="1"/>
  <c r="J274" i="1"/>
  <c r="J276" i="1"/>
  <c r="J277" i="1"/>
  <c r="J278" i="1"/>
  <c r="J279" i="1"/>
  <c r="J280" i="1"/>
  <c r="J281" i="1"/>
  <c r="J282" i="1"/>
  <c r="J283" i="1"/>
  <c r="J284" i="1"/>
  <c r="J285" i="1"/>
  <c r="J286" i="1"/>
  <c r="J289" i="1"/>
  <c r="J291" i="1"/>
  <c r="J295" i="1"/>
  <c r="J297" i="1"/>
  <c r="J298" i="1"/>
  <c r="J299" i="1"/>
  <c r="J300" i="1"/>
  <c r="J301" i="1"/>
  <c r="J302" i="1"/>
  <c r="J304" i="1"/>
  <c r="J305" i="1"/>
  <c r="J306" i="1"/>
  <c r="J307" i="1"/>
  <c r="J310" i="1"/>
  <c r="J311" i="1"/>
  <c r="J313" i="1"/>
  <c r="J314" i="1"/>
  <c r="J317" i="1"/>
  <c r="J319" i="1"/>
  <c r="J320" i="1"/>
  <c r="J321" i="1"/>
  <c r="J322" i="1"/>
  <c r="J324" i="1"/>
  <c r="J328" i="1"/>
  <c r="J329" i="1"/>
  <c r="J330" i="1"/>
  <c r="J331" i="1"/>
  <c r="J333" i="1"/>
  <c r="J335" i="1"/>
  <c r="J336" i="1"/>
  <c r="J337" i="1"/>
  <c r="J338" i="1"/>
  <c r="J339" i="1"/>
  <c r="J340" i="1"/>
  <c r="J341" i="1"/>
  <c r="J344" i="1"/>
  <c r="J346" i="1"/>
  <c r="J347" i="1"/>
  <c r="J348" i="1"/>
  <c r="J349" i="1"/>
  <c r="J350" i="1"/>
  <c r="J351" i="1"/>
  <c r="J354" i="1"/>
  <c r="J355" i="1"/>
  <c r="J356" i="1"/>
  <c r="J357" i="1"/>
  <c r="J358" i="1"/>
  <c r="J359" i="1"/>
  <c r="J361" i="1"/>
  <c r="J363" i="1"/>
  <c r="J364" i="1"/>
  <c r="J366" i="1"/>
  <c r="J367" i="1"/>
  <c r="J368" i="1"/>
  <c r="J371" i="1"/>
  <c r="J373" i="1"/>
  <c r="J375" i="1"/>
  <c r="J376" i="1"/>
  <c r="J377" i="1"/>
  <c r="J380" i="1"/>
  <c r="J381" i="1"/>
  <c r="J383" i="1"/>
  <c r="J384" i="1"/>
  <c r="J385" i="1"/>
  <c r="J386" i="1"/>
  <c r="J387" i="1"/>
  <c r="J388" i="1"/>
  <c r="J389" i="1"/>
  <c r="J390" i="1"/>
  <c r="J392" i="1"/>
  <c r="J393" i="1"/>
  <c r="J394" i="1"/>
  <c r="J395" i="1"/>
  <c r="J396" i="1"/>
  <c r="J397" i="1"/>
  <c r="J398" i="1"/>
  <c r="J400" i="1"/>
  <c r="J402" i="1"/>
  <c r="J405" i="1"/>
  <c r="J406" i="1"/>
  <c r="K50" i="17" l="1"/>
  <c r="I50" i="17"/>
  <c r="K49" i="17"/>
  <c r="I49" i="17"/>
  <c r="K48" i="17"/>
  <c r="I48" i="17"/>
  <c r="K47" i="17"/>
  <c r="I47" i="17"/>
  <c r="K46" i="17"/>
  <c r="I46" i="17"/>
  <c r="K45" i="17"/>
  <c r="I45" i="17"/>
  <c r="K44" i="17"/>
  <c r="I44" i="17"/>
  <c r="K43" i="17"/>
  <c r="I43" i="17"/>
  <c r="K42" i="17" l="1"/>
  <c r="I42" i="17"/>
  <c r="K41" i="17"/>
  <c r="I41" i="17"/>
  <c r="K40" i="17"/>
  <c r="I40" i="17"/>
  <c r="K39" i="17"/>
  <c r="I39" i="17"/>
  <c r="K38" i="17"/>
  <c r="I38" i="17"/>
  <c r="K37" i="17"/>
  <c r="I37" i="17"/>
  <c r="K36" i="17"/>
  <c r="I36" i="17"/>
  <c r="K35" i="17"/>
  <c r="I35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" i="17"/>
  <c r="E2" i="3"/>
  <c r="I27" i="17"/>
  <c r="I28" i="17"/>
  <c r="I29" i="17"/>
  <c r="I30" i="17"/>
  <c r="I31" i="17"/>
  <c r="I32" i="17"/>
  <c r="I33" i="17"/>
  <c r="I34" i="17"/>
  <c r="I19" i="17" l="1"/>
  <c r="I20" i="17"/>
  <c r="I21" i="17"/>
  <c r="I22" i="17"/>
  <c r="I23" i="17"/>
  <c r="I24" i="17"/>
  <c r="I25" i="17"/>
  <c r="I26" i="17"/>
  <c r="I11" i="17" l="1"/>
  <c r="I12" i="17"/>
  <c r="I13" i="17"/>
  <c r="I14" i="17"/>
  <c r="I15" i="17"/>
  <c r="I16" i="17"/>
  <c r="I17" i="17"/>
  <c r="I18" i="17"/>
  <c r="I4" i="17" l="1"/>
  <c r="I5" i="17"/>
  <c r="I6" i="17"/>
  <c r="I7" i="17"/>
  <c r="I8" i="17"/>
  <c r="I9" i="17"/>
  <c r="I10" i="17"/>
  <c r="I3" i="17"/>
  <c r="K20" i="1" l="1"/>
  <c r="K13" i="1"/>
  <c r="K7" i="1"/>
  <c r="K25" i="1"/>
  <c r="K24" i="1"/>
  <c r="K17" i="1"/>
  <c r="K14" i="1"/>
  <c r="K10" i="1"/>
  <c r="K18" i="1"/>
  <c r="K28" i="1"/>
  <c r="K35" i="1"/>
  <c r="K36" i="1"/>
  <c r="K22" i="1"/>
  <c r="K12" i="1"/>
  <c r="K9" i="1"/>
  <c r="K11" i="1"/>
  <c r="K31" i="1"/>
  <c r="K15" i="1"/>
  <c r="K33" i="1"/>
  <c r="K21" i="1"/>
  <c r="K63" i="1"/>
  <c r="K37" i="1"/>
  <c r="K40" i="1"/>
  <c r="K58" i="1"/>
  <c r="K38" i="1"/>
  <c r="K42" i="1"/>
  <c r="K55" i="1"/>
  <c r="K43" i="1"/>
  <c r="K45" i="1"/>
  <c r="K53" i="1"/>
  <c r="K56" i="1"/>
  <c r="K51" i="1"/>
  <c r="K49" i="1"/>
  <c r="K59" i="1"/>
  <c r="K85" i="1"/>
  <c r="K74" i="1"/>
  <c r="K69" i="1"/>
  <c r="K86" i="1"/>
  <c r="K78" i="1"/>
  <c r="K96" i="1"/>
  <c r="K87" i="1"/>
  <c r="K80" i="1"/>
  <c r="K89" i="1"/>
  <c r="K67" i="1"/>
  <c r="K98" i="1"/>
  <c r="K73" i="1"/>
  <c r="K71" i="1"/>
  <c r="K84" i="1"/>
  <c r="K68" i="1"/>
  <c r="K70" i="1"/>
  <c r="K79" i="1"/>
  <c r="K97" i="1"/>
  <c r="K91" i="1"/>
  <c r="K93" i="1"/>
  <c r="K102" i="1"/>
  <c r="K103" i="1"/>
  <c r="K119" i="1"/>
  <c r="K124" i="1"/>
  <c r="K130" i="1"/>
  <c r="K108" i="1"/>
  <c r="K120" i="1"/>
  <c r="K118" i="1"/>
  <c r="K123" i="1"/>
  <c r="K129" i="1"/>
  <c r="K128" i="1"/>
  <c r="K133" i="1"/>
  <c r="K147" i="1"/>
  <c r="K160" i="1"/>
  <c r="K139" i="1"/>
  <c r="K156" i="1"/>
  <c r="K159" i="1"/>
  <c r="K140" i="1"/>
  <c r="K142" i="1"/>
  <c r="K197" i="1"/>
  <c r="K199" i="1"/>
  <c r="K169" i="1"/>
  <c r="K174" i="1"/>
  <c r="K178" i="1"/>
  <c r="K188" i="1"/>
  <c r="K182" i="1"/>
  <c r="K193" i="1"/>
  <c r="K191" i="1"/>
  <c r="K196" i="1"/>
  <c r="K201" i="1"/>
  <c r="K168" i="1"/>
  <c r="K177" i="1"/>
  <c r="K189" i="1"/>
  <c r="K185" i="1"/>
  <c r="K194" i="1"/>
  <c r="K198" i="1"/>
  <c r="K216" i="1"/>
  <c r="K217" i="1"/>
  <c r="K205" i="1"/>
  <c r="K218" i="1"/>
  <c r="K209" i="1"/>
  <c r="K210" i="1"/>
  <c r="K211" i="1"/>
  <c r="K220" i="1"/>
  <c r="K222" i="1"/>
  <c r="K229" i="1"/>
  <c r="K224" i="1"/>
  <c r="K230" i="1"/>
  <c r="K225" i="1"/>
  <c r="K228" i="1"/>
  <c r="K219" i="1"/>
  <c r="K207" i="1"/>
  <c r="K214" i="1"/>
  <c r="K232" i="1"/>
  <c r="K245" i="1"/>
  <c r="K234" i="1"/>
  <c r="K261" i="1"/>
  <c r="K242" i="1"/>
  <c r="K239" i="1"/>
  <c r="K254" i="1"/>
  <c r="K255" i="1"/>
  <c r="K249" i="1"/>
  <c r="K250" i="1"/>
  <c r="K279" i="1"/>
  <c r="K276" i="1"/>
  <c r="K277" i="1"/>
  <c r="K273" i="1"/>
  <c r="K283" i="1"/>
  <c r="K284" i="1"/>
  <c r="K285" i="1"/>
  <c r="K269" i="1"/>
  <c r="K274" i="1"/>
  <c r="K267" i="1"/>
  <c r="K289" i="1"/>
  <c r="K281" i="1"/>
  <c r="K291" i="1"/>
  <c r="K304" i="1"/>
  <c r="K324" i="1"/>
  <c r="K317" i="1"/>
  <c r="K301" i="1"/>
  <c r="K310" i="1"/>
  <c r="K319" i="1"/>
  <c r="K311" i="1"/>
  <c r="K321" i="1"/>
  <c r="K297" i="1"/>
  <c r="K299" i="1"/>
  <c r="K328" i="1"/>
  <c r="K322" i="1"/>
  <c r="K329" i="1"/>
  <c r="K313" i="1"/>
  <c r="K305" i="1"/>
  <c r="K306" i="1"/>
  <c r="K302" i="1"/>
  <c r="K320" i="1"/>
  <c r="K330" i="1"/>
  <c r="K351" i="1"/>
  <c r="K336" i="1"/>
  <c r="K359" i="1"/>
  <c r="K331" i="1"/>
  <c r="K344" i="1"/>
  <c r="K348" i="1"/>
  <c r="K356" i="1"/>
  <c r="K340" i="1"/>
  <c r="K357" i="1"/>
  <c r="K363" i="1"/>
  <c r="K354" i="1"/>
  <c r="K349" i="1"/>
  <c r="K361" i="1"/>
  <c r="K364" i="1"/>
  <c r="K385" i="1"/>
  <c r="K389" i="1"/>
  <c r="K396" i="1"/>
  <c r="K392" i="1"/>
  <c r="K381" i="1"/>
  <c r="K371" i="1"/>
  <c r="K384" i="1"/>
  <c r="K366" i="1"/>
  <c r="K376" i="1"/>
  <c r="K377" i="1"/>
  <c r="K367" i="1"/>
  <c r="K393" i="1"/>
  <c r="K398" i="1"/>
  <c r="K405" i="1"/>
  <c r="K402" i="1"/>
  <c r="BJ28" i="16" l="1"/>
  <c r="BJ27" i="16"/>
  <c r="BJ26" i="16"/>
  <c r="BJ23" i="16"/>
  <c r="BJ24" i="16" l="1"/>
  <c r="BJ12" i="16"/>
  <c r="BJ4" i="16" s="1"/>
  <c r="BJ10" i="16" s="1"/>
  <c r="BJ8" i="16"/>
  <c r="BJ9" i="16"/>
  <c r="BJ22" i="16" s="1"/>
  <c r="BJ11" i="16"/>
  <c r="BJ14" i="16"/>
  <c r="BJ15" i="16"/>
  <c r="BJ17" i="16"/>
  <c r="BJ18" i="16"/>
  <c r="F42" i="16"/>
  <c r="I19" i="16"/>
  <c r="I16" i="16"/>
  <c r="I13" i="16"/>
  <c r="I10" i="16"/>
  <c r="J7" i="16"/>
  <c r="K7" i="16" s="1"/>
  <c r="L7" i="16" s="1"/>
  <c r="M7" i="16" s="1"/>
  <c r="N7" i="16" s="1"/>
  <c r="O7" i="16" s="1"/>
  <c r="P7" i="16" s="1"/>
  <c r="Q7" i="16" s="1"/>
  <c r="R7" i="16" s="1"/>
  <c r="S7" i="16" s="1"/>
  <c r="T7" i="16" s="1"/>
  <c r="U7" i="16" s="1"/>
  <c r="V7" i="16" s="1"/>
  <c r="W7" i="16" s="1"/>
  <c r="X7" i="16" s="1"/>
  <c r="Y7" i="16" s="1"/>
  <c r="Z7" i="16" s="1"/>
  <c r="AA7" i="16" s="1"/>
  <c r="AB7" i="16" s="1"/>
  <c r="AC7" i="16" s="1"/>
  <c r="AD7" i="16" s="1"/>
  <c r="AE7" i="16" s="1"/>
  <c r="AF7" i="16" s="1"/>
  <c r="AG7" i="16" s="1"/>
  <c r="AH7" i="16" s="1"/>
  <c r="AI7" i="16" s="1"/>
  <c r="AJ7" i="16" s="1"/>
  <c r="AK7" i="16" s="1"/>
  <c r="AL7" i="16" s="1"/>
  <c r="AM7" i="16" s="1"/>
  <c r="AN7" i="16" s="1"/>
  <c r="AO7" i="16" s="1"/>
  <c r="AP7" i="16" s="1"/>
  <c r="AQ7" i="16" s="1"/>
  <c r="AR7" i="16" s="1"/>
  <c r="AS7" i="16" s="1"/>
  <c r="AT7" i="16" s="1"/>
  <c r="AU7" i="16" s="1"/>
  <c r="AV7" i="16" s="1"/>
  <c r="AW7" i="16" s="1"/>
  <c r="AX7" i="16" s="1"/>
  <c r="AY7" i="16" s="1"/>
  <c r="AZ7" i="16" s="1"/>
  <c r="BA7" i="16" s="1"/>
  <c r="BB7" i="16" s="1"/>
  <c r="BC7" i="16" s="1"/>
  <c r="BD7" i="16" s="1"/>
  <c r="BE7" i="16" s="1"/>
  <c r="BF7" i="16" s="1"/>
  <c r="BG7" i="16" s="1"/>
  <c r="BH7" i="16" s="1"/>
  <c r="BI7" i="16" s="1"/>
  <c r="J6" i="16"/>
  <c r="J9" i="16"/>
  <c r="J17" i="16" l="1"/>
  <c r="J22" i="16"/>
  <c r="J24" i="16" s="1"/>
  <c r="J4" i="16"/>
  <c r="J16" i="16" s="1"/>
  <c r="K6" i="16"/>
  <c r="BJ16" i="16"/>
  <c r="J8" i="16"/>
  <c r="BJ19" i="16"/>
  <c r="J11" i="16"/>
  <c r="BJ13" i="16"/>
  <c r="B4" i="16"/>
  <c r="I4" i="16"/>
  <c r="J18" i="16"/>
  <c r="J12" i="16"/>
  <c r="K12" i="16"/>
  <c r="K9" i="16"/>
  <c r="J26" i="16" l="1"/>
  <c r="J28" i="16" s="1"/>
  <c r="K17" i="16"/>
  <c r="K26" i="16"/>
  <c r="K28" i="16" s="1"/>
  <c r="K22" i="16"/>
  <c r="K24" i="16" s="1"/>
  <c r="K4" i="16"/>
  <c r="K16" i="16" s="1"/>
  <c r="K11" i="16"/>
  <c r="J19" i="16"/>
  <c r="J13" i="16"/>
  <c r="J10" i="16"/>
  <c r="L6" i="16"/>
  <c r="K8" i="16"/>
  <c r="K18" i="16"/>
  <c r="L9" i="16"/>
  <c r="L12" i="16"/>
  <c r="L17" i="16" l="1"/>
  <c r="K19" i="16"/>
  <c r="L22" i="16"/>
  <c r="L24" i="16" s="1"/>
  <c r="L26" i="16"/>
  <c r="L28" i="16" s="1"/>
  <c r="K10" i="16"/>
  <c r="K13" i="16"/>
  <c r="L8" i="16"/>
  <c r="L4" i="16"/>
  <c r="L11" i="16"/>
  <c r="M6" i="16"/>
  <c r="L18" i="16"/>
  <c r="M9" i="16"/>
  <c r="M12" i="16"/>
  <c r="M17" i="16" l="1"/>
  <c r="M26" i="16"/>
  <c r="M28" i="16" s="1"/>
  <c r="M22" i="16"/>
  <c r="M24" i="16" s="1"/>
  <c r="N6" i="16"/>
  <c r="M4" i="16"/>
  <c r="M8" i="16"/>
  <c r="M11" i="16"/>
  <c r="L16" i="16"/>
  <c r="L13" i="16"/>
  <c r="L10" i="16"/>
  <c r="L19" i="16"/>
  <c r="N9" i="16"/>
  <c r="M18" i="16"/>
  <c r="N12" i="16"/>
  <c r="N17" i="16" l="1"/>
  <c r="N26" i="16"/>
  <c r="N28" i="16" s="1"/>
  <c r="N22" i="16"/>
  <c r="N24" i="16" s="1"/>
  <c r="M13" i="16"/>
  <c r="M10" i="16"/>
  <c r="M19" i="16"/>
  <c r="M16" i="16"/>
  <c r="N8" i="16"/>
  <c r="N11" i="16"/>
  <c r="N4" i="16"/>
  <c r="O6" i="16"/>
  <c r="N18" i="16"/>
  <c r="O9" i="16"/>
  <c r="O12" i="16"/>
  <c r="O17" i="16" l="1"/>
  <c r="O26" i="16"/>
  <c r="O28" i="16" s="1"/>
  <c r="O22" i="16"/>
  <c r="O24" i="16" s="1"/>
  <c r="N10" i="16"/>
  <c r="N19" i="16"/>
  <c r="N16" i="16"/>
  <c r="N13" i="16"/>
  <c r="O4" i="16"/>
  <c r="O8" i="16"/>
  <c r="P6" i="16"/>
  <c r="O11" i="16"/>
  <c r="O18" i="16"/>
  <c r="P9" i="16"/>
  <c r="P12" i="16"/>
  <c r="P17" i="16" l="1"/>
  <c r="P22" i="16"/>
  <c r="P24" i="16" s="1"/>
  <c r="P26" i="16"/>
  <c r="P28" i="16" s="1"/>
  <c r="Q6" i="16"/>
  <c r="P4" i="16"/>
  <c r="P11" i="16"/>
  <c r="P8" i="16"/>
  <c r="O10" i="16"/>
  <c r="O16" i="16"/>
  <c r="O19" i="16"/>
  <c r="O13" i="16"/>
  <c r="Q9" i="16"/>
  <c r="P18" i="16"/>
  <c r="Q12" i="16"/>
  <c r="Q17" i="16" l="1"/>
  <c r="Q22" i="16"/>
  <c r="Q24" i="16" s="1"/>
  <c r="Q26" i="16"/>
  <c r="Q28" i="16" s="1"/>
  <c r="P16" i="16"/>
  <c r="P13" i="16"/>
  <c r="P19" i="16"/>
  <c r="P10" i="16"/>
  <c r="R6" i="16"/>
  <c r="Q4" i="16"/>
  <c r="Q11" i="16"/>
  <c r="Q8" i="16"/>
  <c r="Q18" i="16"/>
  <c r="R9" i="16"/>
  <c r="R12" i="16"/>
  <c r="R17" i="16" l="1"/>
  <c r="R22" i="16"/>
  <c r="R24" i="16" s="1"/>
  <c r="R26" i="16"/>
  <c r="R28" i="16" s="1"/>
  <c r="R4" i="16"/>
  <c r="S6" i="16"/>
  <c r="R8" i="16"/>
  <c r="R11" i="16"/>
  <c r="Q16" i="16"/>
  <c r="Q10" i="16"/>
  <c r="Q19" i="16"/>
  <c r="Q13" i="16"/>
  <c r="R18" i="16"/>
  <c r="S12" i="16"/>
  <c r="S17" i="16" l="1"/>
  <c r="S26" i="16"/>
  <c r="S28" i="16" s="1"/>
  <c r="T6" i="16"/>
  <c r="S4" i="16"/>
  <c r="S8" i="16"/>
  <c r="S11" i="16"/>
  <c r="R10" i="16"/>
  <c r="R19" i="16"/>
  <c r="R16" i="16"/>
  <c r="R13" i="16"/>
  <c r="S18" i="16"/>
  <c r="S9" i="16"/>
  <c r="T12" i="16"/>
  <c r="S22" i="16" l="1"/>
  <c r="S24" i="16" s="1"/>
  <c r="T17" i="16"/>
  <c r="T26" i="16"/>
  <c r="T28" i="16" s="1"/>
  <c r="S16" i="16"/>
  <c r="S19" i="16"/>
  <c r="S13" i="16"/>
  <c r="S10" i="16"/>
  <c r="U6" i="16"/>
  <c r="T4" i="16"/>
  <c r="T8" i="16"/>
  <c r="T11" i="16"/>
  <c r="T18" i="16"/>
  <c r="U9" i="16"/>
  <c r="T9" i="16"/>
  <c r="U12" i="16"/>
  <c r="T22" i="16" l="1"/>
  <c r="T24" i="16" s="1"/>
  <c r="U17" i="16"/>
  <c r="U26" i="16"/>
  <c r="U28" i="16" s="1"/>
  <c r="U22" i="16"/>
  <c r="U24" i="16" s="1"/>
  <c r="T16" i="16"/>
  <c r="T19" i="16"/>
  <c r="T13" i="16"/>
  <c r="T10" i="16"/>
  <c r="V6" i="16"/>
  <c r="U8" i="16"/>
  <c r="U4" i="16"/>
  <c r="U11" i="16"/>
  <c r="U18" i="16"/>
  <c r="V12" i="16"/>
  <c r="V9" i="16"/>
  <c r="V17" i="16" l="1"/>
  <c r="V26" i="16"/>
  <c r="V28" i="16" s="1"/>
  <c r="V22" i="16"/>
  <c r="V24" i="16" s="1"/>
  <c r="U10" i="16"/>
  <c r="U19" i="16"/>
  <c r="U16" i="16"/>
  <c r="U13" i="16"/>
  <c r="W6" i="16"/>
  <c r="V8" i="16"/>
  <c r="V4" i="16"/>
  <c r="V11" i="16"/>
  <c r="V18" i="16"/>
  <c r="W9" i="16"/>
  <c r="W12" i="16"/>
  <c r="W17" i="16" l="1"/>
  <c r="W26" i="16"/>
  <c r="W28" i="16" s="1"/>
  <c r="W22" i="16"/>
  <c r="W24" i="16" s="1"/>
  <c r="V16" i="16"/>
  <c r="V10" i="16"/>
  <c r="V19" i="16"/>
  <c r="V13" i="16"/>
  <c r="W4" i="16"/>
  <c r="X6" i="16"/>
  <c r="W8" i="16"/>
  <c r="W11" i="16"/>
  <c r="W18" i="16"/>
  <c r="X9" i="16"/>
  <c r="X12" i="16"/>
  <c r="X17" i="16" l="1"/>
  <c r="X22" i="16"/>
  <c r="X24" i="16" s="1"/>
  <c r="X26" i="16"/>
  <c r="X28" i="16" s="1"/>
  <c r="Y6" i="16"/>
  <c r="X4" i="16"/>
  <c r="X8" i="16"/>
  <c r="X11" i="16"/>
  <c r="W16" i="16"/>
  <c r="W10" i="16"/>
  <c r="W19" i="16"/>
  <c r="W13" i="16"/>
  <c r="Y12" i="16"/>
  <c r="X18" i="16"/>
  <c r="Y9" i="16"/>
  <c r="Y17" i="16" l="1"/>
  <c r="Y22" i="16"/>
  <c r="Y24" i="16" s="1"/>
  <c r="Y26" i="16"/>
  <c r="Y28" i="16" s="1"/>
  <c r="X19" i="16"/>
  <c r="X13" i="16"/>
  <c r="X16" i="16"/>
  <c r="X10" i="16"/>
  <c r="Z6" i="16"/>
  <c r="Y4" i="16"/>
  <c r="Y11" i="16"/>
  <c r="Y8" i="16"/>
  <c r="Y18" i="16"/>
  <c r="Z9" i="16"/>
  <c r="Z12" i="16"/>
  <c r="Z17" i="16" l="1"/>
  <c r="Z22" i="16"/>
  <c r="Z24" i="16" s="1"/>
  <c r="Z26" i="16"/>
  <c r="Z28" i="16" s="1"/>
  <c r="Y16" i="16"/>
  <c r="Y10" i="16"/>
  <c r="Y13" i="16"/>
  <c r="Y19" i="16"/>
  <c r="Z4" i="16"/>
  <c r="AA6" i="16"/>
  <c r="Z8" i="16"/>
  <c r="Z11" i="16"/>
  <c r="Z18" i="16"/>
  <c r="AA12" i="16"/>
  <c r="AA9" i="16"/>
  <c r="AA17" i="16" l="1"/>
  <c r="AA22" i="16"/>
  <c r="AA24" i="16" s="1"/>
  <c r="AA26" i="16"/>
  <c r="AA28" i="16" s="1"/>
  <c r="AB6" i="16"/>
  <c r="AA4" i="16"/>
  <c r="AA8" i="16"/>
  <c r="AA11" i="16"/>
  <c r="Z19" i="16"/>
  <c r="Z10" i="16"/>
  <c r="Z16" i="16"/>
  <c r="Z13" i="16"/>
  <c r="AA18" i="16"/>
  <c r="AB9" i="16"/>
  <c r="AB12" i="16"/>
  <c r="AB17" i="16" l="1"/>
  <c r="AB22" i="16"/>
  <c r="AB24" i="16" s="1"/>
  <c r="AB26" i="16"/>
  <c r="AB28" i="16" s="1"/>
  <c r="AA16" i="16"/>
  <c r="AA10" i="16"/>
  <c r="AA19" i="16"/>
  <c r="AA13" i="16"/>
  <c r="AB4" i="16"/>
  <c r="AC6" i="16"/>
  <c r="AB11" i="16"/>
  <c r="AB8" i="16"/>
  <c r="AB18" i="16"/>
  <c r="AC9" i="16"/>
  <c r="AC12" i="16"/>
  <c r="AC17" i="16" l="1"/>
  <c r="AC22" i="16"/>
  <c r="AC26" i="16"/>
  <c r="AD6" i="16"/>
  <c r="AC4" i="16"/>
  <c r="AC14" i="16"/>
  <c r="AC11" i="16"/>
  <c r="AC8" i="16"/>
  <c r="AB10" i="16"/>
  <c r="AB19" i="16"/>
  <c r="AB13" i="16"/>
  <c r="AB16" i="16"/>
  <c r="AD9" i="16"/>
  <c r="AC18" i="16"/>
  <c r="AC23" i="16"/>
  <c r="AD12" i="16"/>
  <c r="AD17" i="16" l="1"/>
  <c r="AC24" i="16"/>
  <c r="AD22" i="16"/>
  <c r="AD26" i="16"/>
  <c r="AC16" i="16"/>
  <c r="AC10" i="16"/>
  <c r="AC19" i="16"/>
  <c r="AC13" i="16"/>
  <c r="AD11" i="16"/>
  <c r="AE6" i="16"/>
  <c r="AD4" i="16"/>
  <c r="AD8" i="16"/>
  <c r="AD14" i="16"/>
  <c r="AD18" i="16"/>
  <c r="AC27" i="16"/>
  <c r="AD23" i="16"/>
  <c r="AE17" i="16" l="1"/>
  <c r="AD24" i="16"/>
  <c r="AC28" i="16"/>
  <c r="AD10" i="16"/>
  <c r="AD13" i="16"/>
  <c r="AD16" i="16"/>
  <c r="AD19" i="16"/>
  <c r="AE8" i="16"/>
  <c r="AE14" i="16"/>
  <c r="AE11" i="16"/>
  <c r="AE4" i="16"/>
  <c r="AF6" i="16"/>
  <c r="AE12" i="16"/>
  <c r="AE9" i="16"/>
  <c r="AD27" i="16"/>
  <c r="AE23" i="16"/>
  <c r="AE18" i="16"/>
  <c r="AF8" i="16" l="1"/>
  <c r="AF17" i="16"/>
  <c r="AE26" i="16"/>
  <c r="AE22" i="16"/>
  <c r="AE24" i="16" s="1"/>
  <c r="AD28" i="16"/>
  <c r="AF14" i="16"/>
  <c r="AF11" i="16"/>
  <c r="AG6" i="16"/>
  <c r="AF4" i="16"/>
  <c r="AE10" i="16"/>
  <c r="AE19" i="16"/>
  <c r="AE13" i="16"/>
  <c r="AF12" i="16"/>
  <c r="AF18" i="16"/>
  <c r="AF23" i="16"/>
  <c r="AF9" i="16"/>
  <c r="AE27" i="16"/>
  <c r="AG17" i="16" l="1"/>
  <c r="AF22" i="16"/>
  <c r="AF24" i="16" s="1"/>
  <c r="AF26" i="16"/>
  <c r="AE16" i="16"/>
  <c r="AE28" i="16"/>
  <c r="AG8" i="16"/>
  <c r="AH6" i="16"/>
  <c r="AG4" i="16"/>
  <c r="AG14" i="16"/>
  <c r="AG11" i="16"/>
  <c r="AF13" i="16"/>
  <c r="AF10" i="16"/>
  <c r="AF19" i="16"/>
  <c r="AF27" i="16"/>
  <c r="AG12" i="16"/>
  <c r="AG18" i="16"/>
  <c r="AG23" i="16"/>
  <c r="AG9" i="16"/>
  <c r="AH17" i="16" l="1"/>
  <c r="AG26" i="16"/>
  <c r="AG22" i="16"/>
  <c r="AG24" i="16" s="1"/>
  <c r="AF16" i="16"/>
  <c r="AF28" i="16"/>
  <c r="AH8" i="16"/>
  <c r="AH14" i="16"/>
  <c r="AH4" i="16"/>
  <c r="AI6" i="16"/>
  <c r="AH11" i="16"/>
  <c r="AG13" i="16"/>
  <c r="AG10" i="16"/>
  <c r="AG19" i="16"/>
  <c r="AH9" i="16"/>
  <c r="AH18" i="16"/>
  <c r="AG27" i="16"/>
  <c r="AH12" i="16"/>
  <c r="AH23" i="16"/>
  <c r="AI8" i="16" l="1"/>
  <c r="AI17" i="16"/>
  <c r="AH22" i="16"/>
  <c r="AH24" i="16" s="1"/>
  <c r="AH26" i="16"/>
  <c r="AG16" i="16"/>
  <c r="AG28" i="16"/>
  <c r="AH13" i="16"/>
  <c r="AH10" i="16"/>
  <c r="AH19" i="16"/>
  <c r="AJ6" i="16"/>
  <c r="AI4" i="16"/>
  <c r="AI14" i="16"/>
  <c r="AI11" i="16"/>
  <c r="AI12" i="16"/>
  <c r="AI9" i="16"/>
  <c r="AI23" i="16"/>
  <c r="AH27" i="16"/>
  <c r="AI18" i="16"/>
  <c r="AI22" i="16" l="1"/>
  <c r="AJ17" i="16"/>
  <c r="AI26" i="16"/>
  <c r="AI24" i="16"/>
  <c r="AH16" i="16"/>
  <c r="AH28" i="16"/>
  <c r="AJ8" i="16"/>
  <c r="AJ4" i="16"/>
  <c r="AJ14" i="16"/>
  <c r="AJ11" i="16"/>
  <c r="AK6" i="16"/>
  <c r="AI19" i="16"/>
  <c r="AI13" i="16"/>
  <c r="AI10" i="16"/>
  <c r="AJ23" i="16"/>
  <c r="AJ12" i="16"/>
  <c r="AI27" i="16"/>
  <c r="AJ9" i="16"/>
  <c r="AJ18" i="16"/>
  <c r="AK17" i="16" l="1"/>
  <c r="AJ26" i="16"/>
  <c r="AJ22" i="16"/>
  <c r="AJ24" i="16" s="1"/>
  <c r="AI16" i="16"/>
  <c r="AI28" i="16"/>
  <c r="AL6" i="16"/>
  <c r="AK11" i="16"/>
  <c r="AK14" i="16"/>
  <c r="AK4" i="16"/>
  <c r="AK8" i="16"/>
  <c r="AJ10" i="16"/>
  <c r="AJ19" i="16"/>
  <c r="AJ13" i="16"/>
  <c r="AJ27" i="16"/>
  <c r="AK9" i="16"/>
  <c r="AK18" i="16"/>
  <c r="AK23" i="16"/>
  <c r="AK12" i="16"/>
  <c r="AL17" i="16" l="1"/>
  <c r="AK22" i="16"/>
  <c r="AK24" i="16" s="1"/>
  <c r="AK26" i="16"/>
  <c r="AJ16" i="16"/>
  <c r="AJ28" i="16"/>
  <c r="AL8" i="16"/>
  <c r="AM6" i="16"/>
  <c r="AL4" i="16"/>
  <c r="AL14" i="16"/>
  <c r="AL11" i="16"/>
  <c r="AK19" i="16"/>
  <c r="AK13" i="16"/>
  <c r="AK10" i="16"/>
  <c r="AK27" i="16"/>
  <c r="AL9" i="16"/>
  <c r="AL18" i="16"/>
  <c r="AL12" i="16"/>
  <c r="AL23" i="16"/>
  <c r="AM17" i="16" l="1"/>
  <c r="AL22" i="16"/>
  <c r="AL24" i="16" s="1"/>
  <c r="AL26" i="16"/>
  <c r="AK16" i="16"/>
  <c r="AK28" i="16"/>
  <c r="AL19" i="16"/>
  <c r="AL10" i="16"/>
  <c r="AL13" i="16"/>
  <c r="AM8" i="16"/>
  <c r="AM14" i="16"/>
  <c r="AN6" i="16"/>
  <c r="AM4" i="16"/>
  <c r="AM11" i="16"/>
  <c r="AM9" i="16"/>
  <c r="AL27" i="16"/>
  <c r="AM23" i="16"/>
  <c r="AM18" i="16"/>
  <c r="AM12" i="16"/>
  <c r="AN17" i="16" l="1"/>
  <c r="AM22" i="16"/>
  <c r="AM24" i="16" s="1"/>
  <c r="AM26" i="16"/>
  <c r="AL16" i="16"/>
  <c r="AL28" i="16"/>
  <c r="AM13" i="16"/>
  <c r="AM10" i="16"/>
  <c r="AM19" i="16"/>
  <c r="AO6" i="16"/>
  <c r="AN4" i="16"/>
  <c r="AN14" i="16"/>
  <c r="AN11" i="16"/>
  <c r="AN8" i="16"/>
  <c r="AN12" i="16"/>
  <c r="AN18" i="16"/>
  <c r="AM27" i="16"/>
  <c r="AN9" i="16"/>
  <c r="AN23" i="16"/>
  <c r="AO17" i="16" l="1"/>
  <c r="AO11" i="16"/>
  <c r="AO8" i="16"/>
  <c r="AO14" i="16"/>
  <c r="AN26" i="16"/>
  <c r="AN22" i="16"/>
  <c r="AN24" i="16" s="1"/>
  <c r="AM16" i="16"/>
  <c r="AM28" i="16"/>
  <c r="AP6" i="16"/>
  <c r="AO4" i="16"/>
  <c r="AN13" i="16"/>
  <c r="AN10" i="16"/>
  <c r="AN19" i="16"/>
  <c r="AO12" i="16"/>
  <c r="AO23" i="16"/>
  <c r="AO9" i="16"/>
  <c r="AO18" i="16"/>
  <c r="AN27" i="16"/>
  <c r="AO22" i="16" l="1"/>
  <c r="AO26" i="16"/>
  <c r="AP8" i="16"/>
  <c r="AP17" i="16"/>
  <c r="AO24" i="16"/>
  <c r="AN16" i="16"/>
  <c r="AN28" i="16"/>
  <c r="AP14" i="16"/>
  <c r="AP11" i="16"/>
  <c r="AP4" i="16"/>
  <c r="AQ6" i="16"/>
  <c r="AO13" i="16"/>
  <c r="AO10" i="16"/>
  <c r="AO16" i="16"/>
  <c r="AO19" i="16"/>
  <c r="AP12" i="16"/>
  <c r="AP18" i="16"/>
  <c r="AO27" i="16"/>
  <c r="AP9" i="16"/>
  <c r="AP23" i="16"/>
  <c r="AP22" i="16" l="1"/>
  <c r="AQ17" i="16"/>
  <c r="AP26" i="16"/>
  <c r="AP24" i="16"/>
  <c r="AO28" i="16"/>
  <c r="AP10" i="16"/>
  <c r="AP13" i="16"/>
  <c r="AP19" i="16"/>
  <c r="AQ11" i="16"/>
  <c r="AQ8" i="16"/>
  <c r="AQ14" i="16"/>
  <c r="AR6" i="16"/>
  <c r="AQ4" i="16"/>
  <c r="AQ12" i="16"/>
  <c r="AQ23" i="16"/>
  <c r="AP27" i="16"/>
  <c r="AQ9" i="16"/>
  <c r="AQ18" i="16"/>
  <c r="AR17" i="16" l="1"/>
  <c r="AQ26" i="16"/>
  <c r="AQ22" i="16"/>
  <c r="AQ24" i="16" s="1"/>
  <c r="AP16" i="16"/>
  <c r="AP28" i="16"/>
  <c r="AQ13" i="16"/>
  <c r="AQ19" i="16"/>
  <c r="AQ10" i="16"/>
  <c r="AS6" i="16"/>
  <c r="AR14" i="16"/>
  <c r="AR4" i="16"/>
  <c r="AR11" i="16"/>
  <c r="AR8" i="16"/>
  <c r="AQ27" i="16"/>
  <c r="AR12" i="16"/>
  <c r="AR18" i="16"/>
  <c r="AR9" i="16"/>
  <c r="AR23" i="16"/>
  <c r="AS17" i="16" l="1"/>
  <c r="AR26" i="16"/>
  <c r="AR22" i="16"/>
  <c r="AR24" i="16" s="1"/>
  <c r="AQ16" i="16"/>
  <c r="AQ28" i="16"/>
  <c r="AS11" i="16"/>
  <c r="AS4" i="16"/>
  <c r="AS8" i="16"/>
  <c r="AS14" i="16"/>
  <c r="AT6" i="16"/>
  <c r="AR13" i="16"/>
  <c r="AR10" i="16"/>
  <c r="AR19" i="16"/>
  <c r="AR27" i="16"/>
  <c r="AS18" i="16"/>
  <c r="AS12" i="16"/>
  <c r="AS23" i="16"/>
  <c r="AS9" i="16"/>
  <c r="AT17" i="16" l="1"/>
  <c r="AS26" i="16"/>
  <c r="AS22" i="16"/>
  <c r="AS24" i="16" s="1"/>
  <c r="AR16" i="16"/>
  <c r="AR28" i="16"/>
  <c r="AS19" i="16"/>
  <c r="AS13" i="16"/>
  <c r="AS10" i="16"/>
  <c r="AT14" i="16"/>
  <c r="AT4" i="16"/>
  <c r="AU6" i="16"/>
  <c r="AT11" i="16"/>
  <c r="AT8" i="16"/>
  <c r="AT12" i="16"/>
  <c r="AT18" i="16"/>
  <c r="AT9" i="16"/>
  <c r="AT23" i="16"/>
  <c r="AS27" i="16"/>
  <c r="AU17" i="16" l="1"/>
  <c r="AT16" i="16"/>
  <c r="AT26" i="16"/>
  <c r="AT22" i="16"/>
  <c r="AT24" i="16" s="1"/>
  <c r="AS16" i="16"/>
  <c r="AS28" i="16"/>
  <c r="AU11" i="16"/>
  <c r="AU14" i="16"/>
  <c r="AV6" i="16"/>
  <c r="AU8" i="16"/>
  <c r="AU4" i="16"/>
  <c r="AT19" i="16"/>
  <c r="AT13" i="16"/>
  <c r="AT10" i="16"/>
  <c r="AU9" i="16"/>
  <c r="AT27" i="16"/>
  <c r="AU18" i="16"/>
  <c r="AU23" i="16"/>
  <c r="AU12" i="16"/>
  <c r="AV17" i="16" l="1"/>
  <c r="AU22" i="16"/>
  <c r="AU24" i="16" s="1"/>
  <c r="AU26" i="16"/>
  <c r="AT28" i="16"/>
  <c r="AV8" i="16"/>
  <c r="AV14" i="16"/>
  <c r="AW6" i="16"/>
  <c r="AV11" i="16"/>
  <c r="AV4" i="16"/>
  <c r="AU13" i="16"/>
  <c r="AU10" i="16"/>
  <c r="AU19" i="16"/>
  <c r="AV12" i="16"/>
  <c r="AV9" i="16"/>
  <c r="AV23" i="16"/>
  <c r="AU27" i="16"/>
  <c r="AV18" i="16"/>
  <c r="AW17" i="16" l="1"/>
  <c r="AV22" i="16"/>
  <c r="AV24" i="16" s="1"/>
  <c r="AV26" i="16"/>
  <c r="AU28" i="16"/>
  <c r="AV13" i="16"/>
  <c r="AV10" i="16"/>
  <c r="AV19" i="16"/>
  <c r="AW8" i="16"/>
  <c r="AW11" i="16"/>
  <c r="AW14" i="16"/>
  <c r="AX6" i="16"/>
  <c r="AW4" i="16"/>
  <c r="AV27" i="16"/>
  <c r="AW18" i="16"/>
  <c r="AW12" i="16"/>
  <c r="AW23" i="16"/>
  <c r="AW9" i="16"/>
  <c r="AX17" i="16" l="1"/>
  <c r="AW22" i="16"/>
  <c r="AW24" i="16" s="1"/>
  <c r="AW26" i="16"/>
  <c r="AV28" i="16"/>
  <c r="AW13" i="16"/>
  <c r="AW10" i="16"/>
  <c r="AW19" i="16"/>
  <c r="AX11" i="16"/>
  <c r="AX4" i="16"/>
  <c r="AX8" i="16"/>
  <c r="AX14" i="16"/>
  <c r="AY6" i="16"/>
  <c r="AX9" i="16"/>
  <c r="AX18" i="16"/>
  <c r="AX23" i="16"/>
  <c r="AX12" i="16"/>
  <c r="AW27" i="16"/>
  <c r="AY17" i="16" l="1"/>
  <c r="AY18" i="16"/>
  <c r="AY24" i="16"/>
  <c r="AY28" i="16"/>
  <c r="AX22" i="16"/>
  <c r="AX24" i="16" s="1"/>
  <c r="AX26" i="16"/>
  <c r="AW28" i="16"/>
  <c r="AY23" i="16"/>
  <c r="AY27" i="16"/>
  <c r="AX19" i="16"/>
  <c r="AX13" i="16"/>
  <c r="AX10" i="16"/>
  <c r="AY11" i="16"/>
  <c r="AY9" i="16"/>
  <c r="AY22" i="16" s="1"/>
  <c r="AY14" i="16"/>
  <c r="AZ6" i="16"/>
  <c r="AY4" i="16"/>
  <c r="AY15" i="16"/>
  <c r="AY8" i="16"/>
  <c r="AY12" i="16"/>
  <c r="AY26" i="16" s="1"/>
  <c r="AX27" i="16"/>
  <c r="AX15" i="16"/>
  <c r="AZ17" i="16" l="1"/>
  <c r="AZ18" i="16"/>
  <c r="AZ28" i="16"/>
  <c r="AZ24" i="16"/>
  <c r="AX16" i="16"/>
  <c r="AX28" i="16"/>
  <c r="AZ23" i="16"/>
  <c r="AZ27" i="16"/>
  <c r="AZ11" i="16"/>
  <c r="BA6" i="16"/>
  <c r="AZ8" i="16"/>
  <c r="AZ4" i="16"/>
  <c r="AZ9" i="16"/>
  <c r="AZ22" i="16" s="1"/>
  <c r="AZ15" i="16"/>
  <c r="AZ14" i="16"/>
  <c r="AZ12" i="16"/>
  <c r="AZ26" i="16" s="1"/>
  <c r="AY16" i="16"/>
  <c r="AY19" i="16"/>
  <c r="AY13" i="16"/>
  <c r="AY10" i="16"/>
  <c r="D2" i="3"/>
  <c r="B3" i="3"/>
  <c r="D3" i="3" s="1"/>
  <c r="E3" i="3" l="1"/>
  <c r="BA17" i="16"/>
  <c r="BA18" i="16"/>
  <c r="BA28" i="16"/>
  <c r="BA24" i="16"/>
  <c r="BA23" i="16"/>
  <c r="BA27" i="16"/>
  <c r="AZ19" i="16"/>
  <c r="AZ10" i="16"/>
  <c r="AZ16" i="16"/>
  <c r="AZ13" i="16"/>
  <c r="BA11" i="16"/>
  <c r="BB6" i="16"/>
  <c r="BA14" i="16"/>
  <c r="BA12" i="16"/>
  <c r="BA26" i="16" s="1"/>
  <c r="BA4" i="16"/>
  <c r="BA9" i="16"/>
  <c r="BA22" i="16" s="1"/>
  <c r="BA15" i="16"/>
  <c r="BA8" i="16"/>
  <c r="B4" i="3"/>
  <c r="BB17" i="16" l="1"/>
  <c r="BB18" i="16"/>
  <c r="BB28" i="16"/>
  <c r="BB24" i="16"/>
  <c r="E4" i="3"/>
  <c r="D4" i="3"/>
  <c r="BB27" i="16"/>
  <c r="BB23" i="16"/>
  <c r="BB9" i="16"/>
  <c r="BB22" i="16" s="1"/>
  <c r="BB11" i="16"/>
  <c r="BB4" i="16"/>
  <c r="BB12" i="16"/>
  <c r="BB26" i="16" s="1"/>
  <c r="BC6" i="16"/>
  <c r="BB14" i="16"/>
  <c r="BB8" i="16"/>
  <c r="BB15" i="16"/>
  <c r="BA13" i="16"/>
  <c r="BA10" i="16"/>
  <c r="BA19" i="16"/>
  <c r="BA16" i="16"/>
  <c r="A4" i="3"/>
  <c r="C4" i="3" s="1"/>
  <c r="B5" i="3"/>
  <c r="BC17" i="16" l="1"/>
  <c r="BC18" i="16"/>
  <c r="BC28" i="16"/>
  <c r="BC24" i="16"/>
  <c r="E5" i="3"/>
  <c r="D5" i="3"/>
  <c r="BC23" i="16"/>
  <c r="BC27" i="16"/>
  <c r="BB16" i="16"/>
  <c r="BB19" i="16"/>
  <c r="BB13" i="16"/>
  <c r="BB10" i="16"/>
  <c r="BC8" i="16"/>
  <c r="BC4" i="16"/>
  <c r="BC11" i="16"/>
  <c r="BC12" i="16"/>
  <c r="BC26" i="16" s="1"/>
  <c r="BC9" i="16"/>
  <c r="BC22" i="16" s="1"/>
  <c r="BC14" i="16"/>
  <c r="BD6" i="16"/>
  <c r="BC15" i="16"/>
  <c r="B6" i="3"/>
  <c r="A5" i="3"/>
  <c r="C5" i="3" s="1"/>
  <c r="E6" i="3" l="1"/>
  <c r="D6" i="3"/>
  <c r="BD17" i="16"/>
  <c r="BD18" i="16"/>
  <c r="BD24" i="16"/>
  <c r="BD28" i="16"/>
  <c r="BD27" i="16"/>
  <c r="BD23" i="16"/>
  <c r="BC13" i="16"/>
  <c r="BC10" i="16"/>
  <c r="BC19" i="16"/>
  <c r="BC16" i="16"/>
  <c r="BD4" i="16"/>
  <c r="BD9" i="16"/>
  <c r="BD22" i="16" s="1"/>
  <c r="BE6" i="16"/>
  <c r="BD12" i="16"/>
  <c r="BD26" i="16" s="1"/>
  <c r="BD11" i="16"/>
  <c r="BD8" i="16"/>
  <c r="BD14" i="16"/>
  <c r="BD15" i="16"/>
  <c r="B7" i="3"/>
  <c r="A6" i="3"/>
  <c r="C6" i="3" s="1"/>
  <c r="BE17" i="16" l="1"/>
  <c r="BE18" i="16"/>
  <c r="BE24" i="16"/>
  <c r="BE28" i="16"/>
  <c r="E7" i="3"/>
  <c r="D7" i="3"/>
  <c r="BE23" i="16"/>
  <c r="BE27" i="16"/>
  <c r="BD13" i="16"/>
  <c r="BD10" i="16"/>
  <c r="BD19" i="16"/>
  <c r="BD16" i="16"/>
  <c r="BE8" i="16"/>
  <c r="BE9" i="16"/>
  <c r="BE22" i="16" s="1"/>
  <c r="BE14" i="16"/>
  <c r="BF6" i="16"/>
  <c r="BE15" i="16"/>
  <c r="BE12" i="16"/>
  <c r="BE26" i="16" s="1"/>
  <c r="BE11" i="16"/>
  <c r="BE4" i="16"/>
  <c r="I2" i="1"/>
  <c r="L2" i="1" s="1"/>
  <c r="J2" i="1" s="1"/>
  <c r="K2" i="1" s="1"/>
  <c r="G2" i="5"/>
  <c r="B8" i="3"/>
  <c r="A7" i="3"/>
  <c r="C7" i="3" s="1"/>
  <c r="E8" i="3" l="1"/>
  <c r="D8" i="3"/>
  <c r="BF17" i="16"/>
  <c r="BF18" i="16"/>
  <c r="BF24" i="16"/>
  <c r="BF28" i="16"/>
  <c r="BF23" i="16"/>
  <c r="BF27" i="16"/>
  <c r="BG6" i="16"/>
  <c r="BF11" i="16"/>
  <c r="BF12" i="16"/>
  <c r="BF26" i="16" s="1"/>
  <c r="BF4" i="16"/>
  <c r="BF8" i="16"/>
  <c r="BF9" i="16"/>
  <c r="BF22" i="16" s="1"/>
  <c r="BF14" i="16"/>
  <c r="BF15" i="16"/>
  <c r="BE13" i="16"/>
  <c r="BE10" i="16"/>
  <c r="BE19" i="16"/>
  <c r="BE16" i="16"/>
  <c r="I3" i="1"/>
  <c r="L3" i="1" s="1"/>
  <c r="K3" i="1" s="1"/>
  <c r="I5" i="1"/>
  <c r="L5" i="1" s="1"/>
  <c r="K5" i="1" s="1"/>
  <c r="G6" i="5"/>
  <c r="I10" i="1"/>
  <c r="L10" i="1" s="1"/>
  <c r="G10" i="5"/>
  <c r="I7" i="1"/>
  <c r="L7" i="1" s="1"/>
  <c r="I9" i="1"/>
  <c r="L9" i="1" s="1"/>
  <c r="I6" i="1"/>
  <c r="L6" i="1" s="1"/>
  <c r="J6" i="1" s="1"/>
  <c r="I11" i="1"/>
  <c r="L11" i="1" s="1"/>
  <c r="I8" i="1"/>
  <c r="L8" i="1" s="1"/>
  <c r="J8" i="1" s="1"/>
  <c r="I4" i="1"/>
  <c r="L4" i="1" s="1"/>
  <c r="J4" i="1" s="1"/>
  <c r="B9" i="3"/>
  <c r="A8" i="3"/>
  <c r="C8" i="3" s="1"/>
  <c r="G15" i="5" s="1"/>
  <c r="E9" i="3" l="1"/>
  <c r="D9" i="3"/>
  <c r="BG17" i="16"/>
  <c r="BG18" i="16"/>
  <c r="BG24" i="16"/>
  <c r="BG28" i="16"/>
  <c r="BG23" i="16"/>
  <c r="BG27" i="16"/>
  <c r="BG15" i="16"/>
  <c r="BG4" i="16"/>
  <c r="BH6" i="16"/>
  <c r="BG12" i="16"/>
  <c r="BG26" i="16" s="1"/>
  <c r="BG11" i="16"/>
  <c r="BG8" i="16"/>
  <c r="BG9" i="16"/>
  <c r="BG22" i="16" s="1"/>
  <c r="BG14" i="16"/>
  <c r="BF19" i="16"/>
  <c r="BF13" i="16"/>
  <c r="BF16" i="16"/>
  <c r="BF10" i="16"/>
  <c r="I15" i="1"/>
  <c r="L15" i="1" s="1"/>
  <c r="I16" i="1"/>
  <c r="L16" i="1" s="1"/>
  <c r="J16" i="1" s="1"/>
  <c r="I14" i="1"/>
  <c r="L14" i="1" s="1"/>
  <c r="I12" i="1"/>
  <c r="L12" i="1" s="1"/>
  <c r="G5" i="5"/>
  <c r="I13" i="1"/>
  <c r="L13" i="1" s="1"/>
  <c r="G9" i="5"/>
  <c r="B10" i="3"/>
  <c r="A9" i="3"/>
  <c r="C9" i="3" s="1"/>
  <c r="E10" i="3" l="1"/>
  <c r="D10" i="3"/>
  <c r="BH17" i="16"/>
  <c r="BH18" i="16"/>
  <c r="BH28" i="16"/>
  <c r="BH24" i="16"/>
  <c r="K8" i="1"/>
  <c r="BH23" i="16"/>
  <c r="BH27" i="16"/>
  <c r="BG16" i="16"/>
  <c r="BG19" i="16"/>
  <c r="BG10" i="16"/>
  <c r="BG13" i="16"/>
  <c r="BH11" i="16"/>
  <c r="BI6" i="16"/>
  <c r="BH12" i="16"/>
  <c r="BH26" i="16" s="1"/>
  <c r="BH14" i="16"/>
  <c r="BH15" i="16"/>
  <c r="BH4" i="16"/>
  <c r="BH9" i="16"/>
  <c r="BH22" i="16" s="1"/>
  <c r="BH8" i="16"/>
  <c r="I17" i="1"/>
  <c r="L17" i="1" s="1"/>
  <c r="I19" i="1"/>
  <c r="L19" i="1" s="1"/>
  <c r="J19" i="1" s="1"/>
  <c r="G8" i="5"/>
  <c r="I20" i="1"/>
  <c r="L20" i="1" s="1"/>
  <c r="G12" i="5"/>
  <c r="G4" i="5"/>
  <c r="I21" i="1"/>
  <c r="L21" i="1" s="1"/>
  <c r="I18" i="1"/>
  <c r="L18" i="1" s="1"/>
  <c r="B11" i="3"/>
  <c r="A10" i="3"/>
  <c r="C10" i="3" s="1"/>
  <c r="BI17" i="16" l="1"/>
  <c r="BI18" i="16"/>
  <c r="BI28" i="16"/>
  <c r="BI24" i="16"/>
  <c r="E11" i="3"/>
  <c r="D11" i="3"/>
  <c r="K19" i="1"/>
  <c r="BI23" i="16"/>
  <c r="BI27" i="16"/>
  <c r="BH13" i="16"/>
  <c r="BH19" i="16"/>
  <c r="BH16" i="16"/>
  <c r="BH10" i="16"/>
  <c r="BI11" i="16"/>
  <c r="BI4" i="16"/>
  <c r="BI15" i="16"/>
  <c r="BI12" i="16"/>
  <c r="BI26" i="16" s="1"/>
  <c r="BI8" i="16"/>
  <c r="BI9" i="16"/>
  <c r="BI22" i="16" s="1"/>
  <c r="BI14" i="16"/>
  <c r="B12" i="3"/>
  <c r="A11" i="3"/>
  <c r="C11" i="3" s="1"/>
  <c r="E12" i="3" l="1"/>
  <c r="D12" i="3"/>
  <c r="BI16" i="16"/>
  <c r="BI19" i="16"/>
  <c r="BI10" i="16"/>
  <c r="BI13" i="16"/>
  <c r="B13" i="3"/>
  <c r="A12" i="3"/>
  <c r="C12" i="3" s="1"/>
  <c r="E13" i="3" l="1"/>
  <c r="D13" i="3"/>
  <c r="B14" i="3"/>
  <c r="A13" i="3"/>
  <c r="C13" i="3" s="1"/>
  <c r="E14" i="3" l="1"/>
  <c r="D14" i="3"/>
  <c r="B15" i="3"/>
  <c r="A14" i="3"/>
  <c r="C14" i="3" s="1"/>
  <c r="E15" i="3" l="1"/>
  <c r="D15" i="3"/>
  <c r="B16" i="3"/>
  <c r="A15" i="3"/>
  <c r="C15" i="3" s="1"/>
  <c r="E16" i="3" l="1"/>
  <c r="D16" i="3"/>
  <c r="B17" i="3"/>
  <c r="A16" i="3"/>
  <c r="C16" i="3" s="1"/>
  <c r="E17" i="3" l="1"/>
  <c r="D17" i="3"/>
  <c r="B18" i="3"/>
  <c r="A17" i="3"/>
  <c r="C17" i="3" s="1"/>
  <c r="E18" i="3" l="1"/>
  <c r="D18" i="3"/>
  <c r="B19" i="3"/>
  <c r="A18" i="3"/>
  <c r="C18" i="3" s="1"/>
  <c r="E19" i="3" l="1"/>
  <c r="D19" i="3"/>
  <c r="B20" i="3"/>
  <c r="A19" i="3"/>
  <c r="C19" i="3" s="1"/>
  <c r="E20" i="3" l="1"/>
  <c r="D20" i="3"/>
  <c r="B21" i="3"/>
  <c r="A20" i="3"/>
  <c r="C20" i="3" s="1"/>
  <c r="E21" i="3" l="1"/>
  <c r="D21" i="3"/>
  <c r="B22" i="3"/>
  <c r="A21" i="3"/>
  <c r="C21" i="3" s="1"/>
  <c r="E22" i="3" l="1"/>
  <c r="D22" i="3"/>
  <c r="B23" i="3"/>
  <c r="A22" i="3"/>
  <c r="C22" i="3" s="1"/>
  <c r="E23" i="3" l="1"/>
  <c r="D23" i="3"/>
  <c r="B24" i="3"/>
  <c r="A23" i="3"/>
  <c r="C23" i="3" s="1"/>
  <c r="E24" i="3" l="1"/>
  <c r="D24" i="3"/>
  <c r="B25" i="3"/>
  <c r="A24" i="3"/>
  <c r="C24" i="3" s="1"/>
  <c r="E25" i="3" l="1"/>
  <c r="D25" i="3"/>
  <c r="B26" i="3"/>
  <c r="A25" i="3"/>
  <c r="C25" i="3" s="1"/>
  <c r="E26" i="3" l="1"/>
  <c r="D26" i="3"/>
  <c r="B27" i="3"/>
  <c r="A26" i="3"/>
  <c r="C26" i="3" s="1"/>
  <c r="E27" i="3" l="1"/>
  <c r="D27" i="3"/>
  <c r="B28" i="3"/>
  <c r="A27" i="3"/>
  <c r="C27" i="3" s="1"/>
  <c r="E28" i="3" l="1"/>
  <c r="D28" i="3"/>
  <c r="B29" i="3"/>
  <c r="A28" i="3"/>
  <c r="C28" i="3" s="1"/>
  <c r="E29" i="3" l="1"/>
  <c r="D29" i="3"/>
  <c r="B30" i="3"/>
  <c r="A29" i="3"/>
  <c r="C29" i="3" s="1"/>
  <c r="E30" i="3" l="1"/>
  <c r="D30" i="3"/>
  <c r="B31" i="3"/>
  <c r="A30" i="3"/>
  <c r="C30" i="3" s="1"/>
  <c r="E31" i="3" l="1"/>
  <c r="D31" i="3"/>
  <c r="B32" i="3"/>
  <c r="A31" i="3"/>
  <c r="C31" i="3" s="1"/>
  <c r="E32" i="3" l="1"/>
  <c r="D32" i="3"/>
  <c r="B33" i="3"/>
  <c r="A32" i="3"/>
  <c r="C32" i="3" s="1"/>
  <c r="E33" i="3" l="1"/>
  <c r="D33" i="3"/>
  <c r="B34" i="3"/>
  <c r="A33" i="3"/>
  <c r="C33" i="3" s="1"/>
  <c r="E34" i="3" l="1"/>
  <c r="D34" i="3"/>
  <c r="B35" i="3"/>
  <c r="A34" i="3"/>
  <c r="C34" i="3" s="1"/>
  <c r="E35" i="3" l="1"/>
  <c r="D35" i="3"/>
  <c r="B36" i="3"/>
  <c r="A35" i="3"/>
  <c r="C35" i="3" s="1"/>
  <c r="E36" i="3" l="1"/>
  <c r="D36" i="3"/>
  <c r="B37" i="3"/>
  <c r="A36" i="3"/>
  <c r="C36" i="3" s="1"/>
  <c r="E37" i="3" l="1"/>
  <c r="D37" i="3"/>
  <c r="B38" i="3"/>
  <c r="A37" i="3"/>
  <c r="C37" i="3" s="1"/>
  <c r="E38" i="3" l="1"/>
  <c r="D38" i="3"/>
  <c r="B39" i="3"/>
  <c r="A38" i="3"/>
  <c r="C38" i="3" s="1"/>
  <c r="E39" i="3" l="1"/>
  <c r="D39" i="3"/>
  <c r="B40" i="3"/>
  <c r="A39" i="3"/>
  <c r="C39" i="3" s="1"/>
  <c r="E40" i="3" l="1"/>
  <c r="D40" i="3"/>
  <c r="B41" i="3"/>
  <c r="A40" i="3"/>
  <c r="C40" i="3" s="1"/>
  <c r="E41" i="3" l="1"/>
  <c r="D41" i="3"/>
  <c r="B42" i="3"/>
  <c r="A41" i="3"/>
  <c r="C41" i="3" s="1"/>
  <c r="E42" i="3" l="1"/>
  <c r="D42" i="3"/>
  <c r="B43" i="3"/>
  <c r="A42" i="3"/>
  <c r="C42" i="3" s="1"/>
  <c r="E43" i="3" l="1"/>
  <c r="D43" i="3"/>
  <c r="B44" i="3"/>
  <c r="A43" i="3"/>
  <c r="C43" i="3" s="1"/>
  <c r="E44" i="3" l="1"/>
  <c r="D44" i="3"/>
  <c r="B45" i="3"/>
  <c r="A44" i="3"/>
  <c r="C44" i="3" s="1"/>
  <c r="E45" i="3" l="1"/>
  <c r="D45" i="3"/>
  <c r="B46" i="3"/>
  <c r="A45" i="3"/>
  <c r="C45" i="3" s="1"/>
  <c r="E46" i="3" l="1"/>
  <c r="D46" i="3"/>
  <c r="B47" i="3"/>
  <c r="A46" i="3"/>
  <c r="C46" i="3" s="1"/>
  <c r="E47" i="3" l="1"/>
  <c r="D47" i="3"/>
  <c r="B48" i="3"/>
  <c r="A47" i="3"/>
  <c r="C47" i="3" s="1"/>
  <c r="E48" i="3" l="1"/>
  <c r="D48" i="3"/>
  <c r="B49" i="3"/>
  <c r="A48" i="3"/>
  <c r="C48" i="3" s="1"/>
  <c r="E49" i="3" l="1"/>
  <c r="D49" i="3"/>
  <c r="B50" i="3"/>
  <c r="A49" i="3"/>
  <c r="C49" i="3" s="1"/>
  <c r="E50" i="3" l="1"/>
  <c r="D50" i="3"/>
  <c r="B51" i="3"/>
  <c r="A50" i="3"/>
  <c r="C50" i="3" s="1"/>
  <c r="E51" i="3" l="1"/>
  <c r="D51" i="3"/>
  <c r="B52" i="3"/>
  <c r="A51" i="3"/>
  <c r="C51" i="3" s="1"/>
  <c r="E52" i="3" l="1"/>
  <c r="D52" i="3"/>
  <c r="B53" i="3"/>
  <c r="A52" i="3"/>
  <c r="C52" i="3" s="1"/>
  <c r="E53" i="3" l="1"/>
  <c r="D53" i="3"/>
  <c r="B54" i="3"/>
  <c r="A53" i="3"/>
  <c r="C53" i="3" s="1"/>
  <c r="E54" i="3" l="1"/>
  <c r="D54" i="3"/>
  <c r="B55" i="3"/>
  <c r="A54" i="3"/>
  <c r="C54" i="3" s="1"/>
  <c r="E55" i="3" l="1"/>
  <c r="D55" i="3"/>
  <c r="B56" i="3"/>
  <c r="A55" i="3"/>
  <c r="C55" i="3" s="1"/>
  <c r="E56" i="3" l="1"/>
  <c r="D56" i="3"/>
  <c r="B57" i="3"/>
  <c r="A56" i="3"/>
  <c r="C56" i="3" s="1"/>
  <c r="E57" i="3" l="1"/>
  <c r="D57" i="3"/>
  <c r="B58" i="3"/>
  <c r="A57" i="3"/>
  <c r="C57" i="3" s="1"/>
  <c r="E58" i="3" l="1"/>
  <c r="D58" i="3"/>
  <c r="B59" i="3"/>
  <c r="A58" i="3"/>
  <c r="C58" i="3" s="1"/>
  <c r="E59" i="3" l="1"/>
  <c r="D59" i="3"/>
  <c r="B60" i="3"/>
  <c r="A59" i="3"/>
  <c r="C59" i="3" s="1"/>
  <c r="E60" i="3" l="1"/>
  <c r="D60" i="3"/>
  <c r="B61" i="3"/>
  <c r="A60" i="3"/>
  <c r="C60" i="3" s="1"/>
  <c r="E61" i="3" l="1"/>
  <c r="D61" i="3"/>
  <c r="B62" i="3"/>
  <c r="A61" i="3"/>
  <c r="C61" i="3" s="1"/>
  <c r="E62" i="3" l="1"/>
  <c r="D62" i="3"/>
  <c r="B63" i="3"/>
  <c r="A62" i="3"/>
  <c r="C62" i="3" s="1"/>
  <c r="E63" i="3" l="1"/>
  <c r="D63" i="3"/>
  <c r="B64" i="3"/>
  <c r="A63" i="3"/>
  <c r="C63" i="3" s="1"/>
  <c r="E64" i="3" l="1"/>
  <c r="D64" i="3"/>
  <c r="B65" i="3"/>
  <c r="A64" i="3"/>
  <c r="C64" i="3" s="1"/>
  <c r="E65" i="3" l="1"/>
  <c r="D65" i="3"/>
  <c r="B66" i="3"/>
  <c r="A65" i="3"/>
  <c r="C65" i="3" s="1"/>
  <c r="E66" i="3" l="1"/>
  <c r="D66" i="3"/>
  <c r="B67" i="3"/>
  <c r="A66" i="3"/>
  <c r="C66" i="3" s="1"/>
  <c r="E67" i="3" l="1"/>
  <c r="D67" i="3"/>
  <c r="B68" i="3"/>
  <c r="A67" i="3"/>
  <c r="C67" i="3" s="1"/>
  <c r="E68" i="3" l="1"/>
  <c r="D68" i="3"/>
  <c r="B69" i="3"/>
  <c r="A68" i="3"/>
  <c r="C68" i="3" s="1"/>
  <c r="E69" i="3" l="1"/>
  <c r="D69" i="3"/>
  <c r="B70" i="3"/>
  <c r="A69" i="3"/>
  <c r="C69" i="3" s="1"/>
  <c r="E70" i="3" l="1"/>
  <c r="D70" i="3"/>
  <c r="B71" i="3"/>
  <c r="A70" i="3"/>
  <c r="C70" i="3" s="1"/>
  <c r="E71" i="3" l="1"/>
  <c r="D71" i="3"/>
  <c r="B72" i="3"/>
  <c r="A71" i="3"/>
  <c r="C71" i="3" s="1"/>
  <c r="E72" i="3" l="1"/>
  <c r="D72" i="3"/>
  <c r="B73" i="3"/>
  <c r="A72" i="3"/>
  <c r="C72" i="3" s="1"/>
  <c r="E73" i="3" l="1"/>
  <c r="D73" i="3"/>
  <c r="B74" i="3"/>
  <c r="A73" i="3"/>
  <c r="C73" i="3" s="1"/>
  <c r="E74" i="3" l="1"/>
  <c r="D74" i="3"/>
  <c r="B75" i="3"/>
  <c r="A74" i="3"/>
  <c r="C74" i="3" s="1"/>
  <c r="E75" i="3" l="1"/>
  <c r="D75" i="3"/>
  <c r="B76" i="3"/>
  <c r="A75" i="3"/>
  <c r="C75" i="3" s="1"/>
  <c r="E76" i="3" l="1"/>
  <c r="D76" i="3"/>
  <c r="B77" i="3"/>
  <c r="A76" i="3"/>
  <c r="C76" i="3" s="1"/>
  <c r="E77" i="3" l="1"/>
  <c r="D77" i="3"/>
  <c r="B78" i="3"/>
  <c r="A77" i="3"/>
  <c r="C77" i="3" s="1"/>
  <c r="E78" i="3" l="1"/>
  <c r="D78" i="3"/>
  <c r="B79" i="3"/>
  <c r="A78" i="3"/>
  <c r="C78" i="3" s="1"/>
  <c r="E79" i="3" l="1"/>
  <c r="D79" i="3"/>
  <c r="B80" i="3"/>
  <c r="A79" i="3"/>
  <c r="C79" i="3" s="1"/>
  <c r="E80" i="3" l="1"/>
  <c r="D80" i="3"/>
  <c r="B81" i="3"/>
  <c r="A80" i="3"/>
  <c r="C80" i="3" s="1"/>
  <c r="E81" i="3" l="1"/>
  <c r="D81" i="3"/>
  <c r="B82" i="3"/>
  <c r="A81" i="3"/>
  <c r="C81" i="3" s="1"/>
  <c r="E82" i="3" l="1"/>
  <c r="D82" i="3"/>
  <c r="B83" i="3"/>
  <c r="A82" i="3"/>
  <c r="C82" i="3" s="1"/>
  <c r="E83" i="3" l="1"/>
  <c r="D83" i="3"/>
  <c r="B84" i="3"/>
  <c r="A83" i="3"/>
  <c r="C83" i="3" s="1"/>
  <c r="E84" i="3" l="1"/>
  <c r="D84" i="3"/>
  <c r="B85" i="3"/>
  <c r="A84" i="3"/>
  <c r="C84" i="3" s="1"/>
  <c r="E85" i="3" l="1"/>
  <c r="D85" i="3"/>
  <c r="B86" i="3"/>
  <c r="A85" i="3"/>
  <c r="C85" i="3" s="1"/>
  <c r="E86" i="3" l="1"/>
  <c r="D86" i="3"/>
  <c r="B87" i="3"/>
  <c r="A86" i="3"/>
  <c r="C86" i="3" s="1"/>
  <c r="E87" i="3" l="1"/>
  <c r="D87" i="3"/>
  <c r="B88" i="3"/>
  <c r="A87" i="3"/>
  <c r="C87" i="3" s="1"/>
  <c r="E88" i="3" l="1"/>
  <c r="D88" i="3"/>
  <c r="B89" i="3"/>
  <c r="A88" i="3"/>
  <c r="C88" i="3" s="1"/>
  <c r="E89" i="3" l="1"/>
  <c r="D89" i="3"/>
  <c r="B90" i="3"/>
  <c r="A89" i="3"/>
  <c r="C89" i="3" s="1"/>
  <c r="E90" i="3" l="1"/>
  <c r="D90" i="3"/>
  <c r="B91" i="3"/>
  <c r="A90" i="3"/>
  <c r="C90" i="3" s="1"/>
  <c r="E91" i="3" l="1"/>
  <c r="D91" i="3"/>
  <c r="B92" i="3"/>
  <c r="A91" i="3"/>
  <c r="C91" i="3" s="1"/>
  <c r="E92" i="3" l="1"/>
  <c r="D92" i="3"/>
  <c r="B93" i="3"/>
  <c r="A92" i="3"/>
  <c r="C92" i="3" s="1"/>
  <c r="E93" i="3" l="1"/>
  <c r="D93" i="3"/>
  <c r="B94" i="3"/>
  <c r="A93" i="3"/>
  <c r="C93" i="3" s="1"/>
  <c r="E94" i="3" l="1"/>
  <c r="D94" i="3"/>
  <c r="B95" i="3"/>
  <c r="A94" i="3"/>
  <c r="C94" i="3" s="1"/>
  <c r="E95" i="3" l="1"/>
  <c r="D95" i="3"/>
  <c r="B96" i="3"/>
  <c r="A95" i="3"/>
  <c r="C95" i="3" s="1"/>
  <c r="E96" i="3" l="1"/>
  <c r="D96" i="3"/>
  <c r="B97" i="3"/>
  <c r="A96" i="3"/>
  <c r="C96" i="3" s="1"/>
  <c r="E97" i="3" l="1"/>
  <c r="D97" i="3"/>
  <c r="B98" i="3"/>
  <c r="A97" i="3"/>
  <c r="C97" i="3" s="1"/>
  <c r="E98" i="3" l="1"/>
  <c r="D98" i="3"/>
  <c r="B99" i="3"/>
  <c r="A98" i="3"/>
  <c r="C98" i="3" s="1"/>
  <c r="E99" i="3" l="1"/>
  <c r="D99" i="3"/>
  <c r="B100" i="3"/>
  <c r="A99" i="3"/>
  <c r="C99" i="3" s="1"/>
  <c r="E100" i="3" l="1"/>
  <c r="D100" i="3"/>
  <c r="B101" i="3"/>
  <c r="A100" i="3"/>
  <c r="C100" i="3" s="1"/>
  <c r="E101" i="3" l="1"/>
  <c r="D101" i="3"/>
  <c r="B102" i="3"/>
  <c r="A101" i="3"/>
  <c r="C101" i="3" s="1"/>
  <c r="E102" i="3" l="1"/>
  <c r="D102" i="3"/>
  <c r="B103" i="3"/>
  <c r="A102" i="3"/>
  <c r="C102" i="3" s="1"/>
  <c r="E103" i="3" l="1"/>
  <c r="D103" i="3"/>
  <c r="B104" i="3"/>
  <c r="A103" i="3"/>
  <c r="C103" i="3" s="1"/>
  <c r="E104" i="3" l="1"/>
  <c r="D104" i="3"/>
  <c r="B105" i="3"/>
  <c r="A104" i="3"/>
  <c r="C104" i="3" s="1"/>
  <c r="E105" i="3" l="1"/>
  <c r="D105" i="3"/>
  <c r="B106" i="3"/>
  <c r="A105" i="3"/>
  <c r="C105" i="3" s="1"/>
  <c r="E106" i="3" l="1"/>
  <c r="D106" i="3"/>
  <c r="B107" i="3"/>
  <c r="A106" i="3"/>
  <c r="C106" i="3" s="1"/>
  <c r="E107" i="3" l="1"/>
  <c r="D107" i="3"/>
  <c r="B108" i="3"/>
  <c r="A107" i="3"/>
  <c r="C107" i="3" s="1"/>
  <c r="E108" i="3" l="1"/>
  <c r="D108" i="3"/>
  <c r="B109" i="3"/>
  <c r="A108" i="3"/>
  <c r="C108" i="3" s="1"/>
  <c r="E109" i="3" l="1"/>
  <c r="D109" i="3"/>
  <c r="B110" i="3"/>
  <c r="A109" i="3"/>
  <c r="C109" i="3" s="1"/>
  <c r="E110" i="3" l="1"/>
  <c r="D110" i="3"/>
  <c r="B111" i="3"/>
  <c r="A110" i="3"/>
  <c r="C110" i="3" s="1"/>
  <c r="E111" i="3" l="1"/>
  <c r="D111" i="3"/>
  <c r="B112" i="3"/>
  <c r="A111" i="3"/>
  <c r="C111" i="3" s="1"/>
  <c r="E112" i="3" l="1"/>
  <c r="D112" i="3"/>
  <c r="B113" i="3"/>
  <c r="A112" i="3"/>
  <c r="C112" i="3" s="1"/>
  <c r="E113" i="3" l="1"/>
  <c r="D113" i="3"/>
  <c r="B114" i="3"/>
  <c r="A113" i="3"/>
  <c r="C113" i="3" s="1"/>
  <c r="E114" i="3" l="1"/>
  <c r="D114" i="3"/>
  <c r="B115" i="3"/>
  <c r="A114" i="3"/>
  <c r="C114" i="3" s="1"/>
  <c r="E115" i="3" l="1"/>
  <c r="D115" i="3"/>
  <c r="B116" i="3"/>
  <c r="A115" i="3"/>
  <c r="C115" i="3" s="1"/>
  <c r="E116" i="3" l="1"/>
  <c r="D116" i="3"/>
  <c r="B117" i="3"/>
  <c r="A116" i="3"/>
  <c r="C116" i="3" s="1"/>
  <c r="E117" i="3" l="1"/>
  <c r="D117" i="3"/>
  <c r="B118" i="3"/>
  <c r="A117" i="3"/>
  <c r="C117" i="3" s="1"/>
  <c r="E118" i="3" l="1"/>
  <c r="D118" i="3"/>
  <c r="B119" i="3"/>
  <c r="A118" i="3"/>
  <c r="C118" i="3" s="1"/>
  <c r="E119" i="3" l="1"/>
  <c r="D119" i="3"/>
  <c r="B120" i="3"/>
  <c r="A119" i="3"/>
  <c r="C119" i="3" s="1"/>
  <c r="E120" i="3" l="1"/>
  <c r="D120" i="3"/>
  <c r="B121" i="3"/>
  <c r="A120" i="3"/>
  <c r="C120" i="3" s="1"/>
  <c r="E121" i="3" l="1"/>
  <c r="D121" i="3"/>
  <c r="B122" i="3"/>
  <c r="A121" i="3"/>
  <c r="C121" i="3" s="1"/>
  <c r="E122" i="3" l="1"/>
  <c r="D122" i="3"/>
  <c r="B123" i="3"/>
  <c r="A122" i="3"/>
  <c r="C122" i="3" s="1"/>
  <c r="E123" i="3" l="1"/>
  <c r="D123" i="3"/>
  <c r="B124" i="3"/>
  <c r="A123" i="3"/>
  <c r="C123" i="3" s="1"/>
  <c r="E124" i="3" l="1"/>
  <c r="D124" i="3"/>
  <c r="B125" i="3"/>
  <c r="A124" i="3"/>
  <c r="C124" i="3" s="1"/>
  <c r="E125" i="3" l="1"/>
  <c r="D125" i="3"/>
  <c r="B126" i="3"/>
  <c r="A125" i="3"/>
  <c r="C125" i="3" s="1"/>
  <c r="E126" i="3" l="1"/>
  <c r="D126" i="3"/>
  <c r="B127" i="3"/>
  <c r="A126" i="3"/>
  <c r="C126" i="3" s="1"/>
  <c r="E127" i="3" l="1"/>
  <c r="D127" i="3"/>
  <c r="B128" i="3"/>
  <c r="A127" i="3"/>
  <c r="C127" i="3" s="1"/>
  <c r="E128" i="3" l="1"/>
  <c r="D128" i="3"/>
  <c r="B129" i="3"/>
  <c r="A128" i="3"/>
  <c r="C128" i="3" s="1"/>
  <c r="E129" i="3" l="1"/>
  <c r="D129" i="3"/>
  <c r="B130" i="3"/>
  <c r="A129" i="3"/>
  <c r="C129" i="3" s="1"/>
  <c r="E130" i="3" l="1"/>
  <c r="D130" i="3"/>
  <c r="B131" i="3"/>
  <c r="A130" i="3"/>
  <c r="C130" i="3" s="1"/>
  <c r="E131" i="3" l="1"/>
  <c r="D131" i="3"/>
  <c r="B132" i="3"/>
  <c r="A131" i="3"/>
  <c r="C131" i="3" s="1"/>
  <c r="E132" i="3" l="1"/>
  <c r="D132" i="3"/>
  <c r="B133" i="3"/>
  <c r="A132" i="3"/>
  <c r="C132" i="3" s="1"/>
  <c r="E133" i="3" l="1"/>
  <c r="D133" i="3"/>
  <c r="B134" i="3"/>
  <c r="A133" i="3"/>
  <c r="C133" i="3" s="1"/>
  <c r="E134" i="3" l="1"/>
  <c r="D134" i="3"/>
  <c r="B135" i="3"/>
  <c r="A134" i="3"/>
  <c r="C134" i="3" s="1"/>
  <c r="E135" i="3" l="1"/>
  <c r="D135" i="3"/>
  <c r="B136" i="3"/>
  <c r="A135" i="3"/>
  <c r="C135" i="3" s="1"/>
  <c r="E136" i="3" l="1"/>
  <c r="D136" i="3"/>
  <c r="B137" i="3"/>
  <c r="A136" i="3"/>
  <c r="C136" i="3" s="1"/>
  <c r="E137" i="3" l="1"/>
  <c r="D137" i="3"/>
  <c r="B138" i="3"/>
  <c r="A137" i="3"/>
  <c r="C137" i="3" s="1"/>
  <c r="E138" i="3" l="1"/>
  <c r="D138" i="3"/>
  <c r="B139" i="3"/>
  <c r="A138" i="3"/>
  <c r="C138" i="3" s="1"/>
  <c r="E139" i="3" l="1"/>
  <c r="D139" i="3"/>
  <c r="B140" i="3"/>
  <c r="A139" i="3"/>
  <c r="C139" i="3" s="1"/>
  <c r="E140" i="3" l="1"/>
  <c r="D140" i="3"/>
  <c r="B141" i="3"/>
  <c r="A140" i="3"/>
  <c r="C140" i="3" s="1"/>
  <c r="E141" i="3" l="1"/>
  <c r="D141" i="3"/>
  <c r="B142" i="3"/>
  <c r="A141" i="3"/>
  <c r="C141" i="3" s="1"/>
  <c r="E142" i="3" l="1"/>
  <c r="D142" i="3"/>
  <c r="B143" i="3"/>
  <c r="A142" i="3"/>
  <c r="C142" i="3" s="1"/>
  <c r="E143" i="3" l="1"/>
  <c r="D143" i="3"/>
  <c r="B144" i="3"/>
  <c r="A143" i="3"/>
  <c r="C143" i="3" s="1"/>
  <c r="E144" i="3" l="1"/>
  <c r="D144" i="3"/>
  <c r="B145" i="3"/>
  <c r="A144" i="3"/>
  <c r="C144" i="3" s="1"/>
  <c r="E145" i="3" l="1"/>
  <c r="D145" i="3"/>
  <c r="B146" i="3"/>
  <c r="A145" i="3"/>
  <c r="C145" i="3" s="1"/>
  <c r="E146" i="3" l="1"/>
  <c r="D146" i="3"/>
  <c r="B147" i="3"/>
  <c r="A146" i="3"/>
  <c r="C146" i="3" s="1"/>
  <c r="E147" i="3" l="1"/>
  <c r="D147" i="3"/>
  <c r="B148" i="3"/>
  <c r="A147" i="3"/>
  <c r="C147" i="3" s="1"/>
  <c r="E148" i="3" l="1"/>
  <c r="D148" i="3"/>
  <c r="B149" i="3"/>
  <c r="A148" i="3"/>
  <c r="C148" i="3" s="1"/>
  <c r="E149" i="3" l="1"/>
  <c r="D149" i="3"/>
  <c r="B150" i="3"/>
  <c r="A149" i="3"/>
  <c r="C149" i="3" s="1"/>
  <c r="E150" i="3" l="1"/>
  <c r="D150" i="3"/>
  <c r="B151" i="3"/>
  <c r="A150" i="3"/>
  <c r="C150" i="3" s="1"/>
  <c r="E151" i="3" l="1"/>
  <c r="D151" i="3"/>
  <c r="B152" i="3"/>
  <c r="A151" i="3"/>
  <c r="C151" i="3" s="1"/>
  <c r="E152" i="3" l="1"/>
  <c r="D152" i="3"/>
  <c r="B153" i="3"/>
  <c r="A152" i="3"/>
  <c r="C152" i="3" s="1"/>
  <c r="E153" i="3" l="1"/>
  <c r="D153" i="3"/>
  <c r="B154" i="3"/>
  <c r="A153" i="3"/>
  <c r="C153" i="3" s="1"/>
  <c r="E154" i="3" l="1"/>
  <c r="D154" i="3"/>
  <c r="B155" i="3"/>
  <c r="A154" i="3"/>
  <c r="C154" i="3" s="1"/>
  <c r="E155" i="3" l="1"/>
  <c r="D155" i="3"/>
  <c r="B156" i="3"/>
  <c r="A155" i="3"/>
  <c r="C155" i="3" s="1"/>
  <c r="E156" i="3" l="1"/>
  <c r="D156" i="3"/>
  <c r="B157" i="3"/>
  <c r="A156" i="3"/>
  <c r="C156" i="3" s="1"/>
  <c r="E157" i="3" l="1"/>
  <c r="D157" i="3"/>
  <c r="B158" i="3"/>
  <c r="A157" i="3"/>
  <c r="C157" i="3" s="1"/>
  <c r="E158" i="3" l="1"/>
  <c r="D158" i="3"/>
  <c r="B159" i="3"/>
  <c r="A158" i="3"/>
  <c r="C158" i="3" s="1"/>
  <c r="E159" i="3" l="1"/>
  <c r="D159" i="3"/>
  <c r="B160" i="3"/>
  <c r="A159" i="3"/>
  <c r="C159" i="3" s="1"/>
  <c r="E160" i="3" l="1"/>
  <c r="D160" i="3"/>
  <c r="B161" i="3"/>
  <c r="A160" i="3"/>
  <c r="C160" i="3" s="1"/>
  <c r="E161" i="3" l="1"/>
  <c r="D161" i="3"/>
  <c r="B162" i="3"/>
  <c r="A161" i="3"/>
  <c r="C161" i="3" s="1"/>
  <c r="E162" i="3" l="1"/>
  <c r="D162" i="3"/>
  <c r="B163" i="3"/>
  <c r="A162" i="3"/>
  <c r="C162" i="3" s="1"/>
  <c r="E163" i="3" l="1"/>
  <c r="D163" i="3"/>
  <c r="B164" i="3"/>
  <c r="A163" i="3"/>
  <c r="C163" i="3" s="1"/>
  <c r="E164" i="3" l="1"/>
  <c r="D164" i="3"/>
  <c r="B165" i="3"/>
  <c r="A164" i="3"/>
  <c r="C164" i="3" s="1"/>
  <c r="E165" i="3" l="1"/>
  <c r="D165" i="3"/>
  <c r="B166" i="3"/>
  <c r="A165" i="3"/>
  <c r="C165" i="3" s="1"/>
  <c r="E166" i="3" l="1"/>
  <c r="D166" i="3"/>
  <c r="B167" i="3"/>
  <c r="A166" i="3"/>
  <c r="C166" i="3" s="1"/>
  <c r="E167" i="3" l="1"/>
  <c r="D167" i="3"/>
  <c r="B168" i="3"/>
  <c r="A167" i="3"/>
  <c r="C167" i="3" s="1"/>
  <c r="E168" i="3" l="1"/>
  <c r="D168" i="3"/>
  <c r="B169" i="3"/>
  <c r="A168" i="3"/>
  <c r="C168" i="3" s="1"/>
  <c r="E169" i="3" l="1"/>
  <c r="D169" i="3"/>
  <c r="B170" i="3"/>
  <c r="A169" i="3"/>
  <c r="C169" i="3" s="1"/>
  <c r="E170" i="3" l="1"/>
  <c r="D170" i="3"/>
  <c r="B171" i="3"/>
  <c r="A170" i="3"/>
  <c r="C170" i="3" s="1"/>
  <c r="E171" i="3" l="1"/>
  <c r="D171" i="3"/>
  <c r="B172" i="3"/>
  <c r="A171" i="3"/>
  <c r="C171" i="3" s="1"/>
  <c r="E172" i="3" l="1"/>
  <c r="D172" i="3"/>
  <c r="B173" i="3"/>
  <c r="A172" i="3"/>
  <c r="C172" i="3" s="1"/>
  <c r="E173" i="3" l="1"/>
  <c r="D173" i="3"/>
  <c r="B174" i="3"/>
  <c r="A173" i="3"/>
  <c r="C173" i="3" s="1"/>
  <c r="E174" i="3" l="1"/>
  <c r="D174" i="3"/>
  <c r="B175" i="3"/>
  <c r="A174" i="3"/>
  <c r="C174" i="3" s="1"/>
  <c r="E175" i="3" l="1"/>
  <c r="D175" i="3"/>
  <c r="B176" i="3"/>
  <c r="A175" i="3"/>
  <c r="C175" i="3" s="1"/>
  <c r="E176" i="3" l="1"/>
  <c r="D176" i="3"/>
  <c r="B177" i="3"/>
  <c r="A176" i="3"/>
  <c r="C176" i="3" s="1"/>
  <c r="E177" i="3" l="1"/>
  <c r="D177" i="3"/>
  <c r="B178" i="3"/>
  <c r="A177" i="3"/>
  <c r="C177" i="3" s="1"/>
  <c r="E178" i="3" l="1"/>
  <c r="D178" i="3"/>
  <c r="B179" i="3"/>
  <c r="A178" i="3"/>
  <c r="C178" i="3" s="1"/>
  <c r="E179" i="3" l="1"/>
  <c r="D179" i="3"/>
  <c r="B180" i="3"/>
  <c r="A179" i="3"/>
  <c r="C179" i="3" s="1"/>
  <c r="E180" i="3" l="1"/>
  <c r="D180" i="3"/>
  <c r="B181" i="3"/>
  <c r="A180" i="3"/>
  <c r="C180" i="3" s="1"/>
  <c r="E181" i="3" l="1"/>
  <c r="D181" i="3"/>
  <c r="B182" i="3"/>
  <c r="A181" i="3"/>
  <c r="C181" i="3" s="1"/>
  <c r="E182" i="3" l="1"/>
  <c r="D182" i="3"/>
  <c r="B183" i="3"/>
  <c r="A182" i="3"/>
  <c r="C182" i="3" s="1"/>
  <c r="E183" i="3" l="1"/>
  <c r="D183" i="3"/>
  <c r="B184" i="3"/>
  <c r="A183" i="3"/>
  <c r="C183" i="3" s="1"/>
  <c r="E184" i="3" l="1"/>
  <c r="D184" i="3"/>
  <c r="B185" i="3"/>
  <c r="A184" i="3"/>
  <c r="C184" i="3" s="1"/>
  <c r="E185" i="3" l="1"/>
  <c r="D185" i="3"/>
  <c r="B186" i="3"/>
  <c r="A185" i="3"/>
  <c r="C185" i="3" s="1"/>
  <c r="E186" i="3" l="1"/>
  <c r="D186" i="3"/>
  <c r="B187" i="3"/>
  <c r="A186" i="3"/>
  <c r="C186" i="3" s="1"/>
  <c r="E187" i="3" l="1"/>
  <c r="D187" i="3"/>
  <c r="B188" i="3"/>
  <c r="A187" i="3"/>
  <c r="C187" i="3" s="1"/>
  <c r="E188" i="3" l="1"/>
  <c r="D188" i="3"/>
  <c r="B189" i="3"/>
  <c r="A188" i="3"/>
  <c r="C188" i="3" s="1"/>
  <c r="E189" i="3" l="1"/>
  <c r="D189" i="3"/>
  <c r="B190" i="3"/>
  <c r="A189" i="3"/>
  <c r="C189" i="3" s="1"/>
  <c r="E190" i="3" l="1"/>
  <c r="D190" i="3"/>
  <c r="B191" i="3"/>
  <c r="A190" i="3"/>
  <c r="C190" i="3" s="1"/>
  <c r="E191" i="3" l="1"/>
  <c r="D191" i="3"/>
  <c r="B192" i="3"/>
  <c r="A191" i="3"/>
  <c r="C191" i="3" s="1"/>
  <c r="E192" i="3" l="1"/>
  <c r="D192" i="3"/>
  <c r="B193" i="3"/>
  <c r="A192" i="3"/>
  <c r="C192" i="3" s="1"/>
  <c r="E193" i="3" l="1"/>
  <c r="D193" i="3"/>
  <c r="B194" i="3"/>
  <c r="A193" i="3"/>
  <c r="C193" i="3" s="1"/>
  <c r="E194" i="3" l="1"/>
  <c r="D194" i="3"/>
  <c r="B195" i="3"/>
  <c r="A194" i="3"/>
  <c r="C194" i="3" s="1"/>
  <c r="E195" i="3" l="1"/>
  <c r="D195" i="3"/>
  <c r="B196" i="3"/>
  <c r="A195" i="3"/>
  <c r="C195" i="3" s="1"/>
  <c r="E196" i="3" l="1"/>
  <c r="D196" i="3"/>
  <c r="B197" i="3"/>
  <c r="A196" i="3"/>
  <c r="C196" i="3" s="1"/>
  <c r="E197" i="3" l="1"/>
  <c r="D197" i="3"/>
  <c r="B198" i="3"/>
  <c r="A197" i="3"/>
  <c r="C197" i="3" s="1"/>
  <c r="E198" i="3" l="1"/>
  <c r="D198" i="3"/>
  <c r="B199" i="3"/>
  <c r="A198" i="3"/>
  <c r="C198" i="3" s="1"/>
  <c r="E199" i="3" l="1"/>
  <c r="D199" i="3"/>
  <c r="B200" i="3"/>
  <c r="A199" i="3"/>
  <c r="C199" i="3" s="1"/>
  <c r="E200" i="3" l="1"/>
  <c r="D200" i="3"/>
  <c r="B201" i="3"/>
  <c r="A200" i="3"/>
  <c r="C200" i="3" s="1"/>
  <c r="E201" i="3" l="1"/>
  <c r="D201" i="3"/>
  <c r="B202" i="3"/>
  <c r="A201" i="3"/>
  <c r="C201" i="3" s="1"/>
  <c r="E202" i="3" l="1"/>
  <c r="D202" i="3"/>
  <c r="B203" i="3"/>
  <c r="A202" i="3"/>
  <c r="C202" i="3" s="1"/>
  <c r="E203" i="3" l="1"/>
  <c r="D203" i="3"/>
  <c r="B204" i="3"/>
  <c r="A203" i="3"/>
  <c r="C203" i="3" s="1"/>
  <c r="E204" i="3" l="1"/>
  <c r="D204" i="3"/>
  <c r="B205" i="3"/>
  <c r="A204" i="3"/>
  <c r="C204" i="3" s="1"/>
  <c r="E205" i="3" l="1"/>
  <c r="D205" i="3"/>
  <c r="B206" i="3"/>
  <c r="A205" i="3"/>
  <c r="C205" i="3" s="1"/>
  <c r="E206" i="3" l="1"/>
  <c r="D206" i="3"/>
  <c r="B207" i="3"/>
  <c r="A206" i="3"/>
  <c r="C206" i="3" s="1"/>
  <c r="E207" i="3" l="1"/>
  <c r="D207" i="3"/>
  <c r="B208" i="3"/>
  <c r="A207" i="3"/>
  <c r="C207" i="3" s="1"/>
  <c r="E208" i="3" l="1"/>
  <c r="D208" i="3"/>
  <c r="B209" i="3"/>
  <c r="A208" i="3"/>
  <c r="C208" i="3" s="1"/>
  <c r="E209" i="3" l="1"/>
  <c r="D209" i="3"/>
  <c r="B210" i="3"/>
  <c r="A209" i="3"/>
  <c r="C209" i="3" s="1"/>
  <c r="E210" i="3" l="1"/>
  <c r="D210" i="3"/>
  <c r="B211" i="3"/>
  <c r="A210" i="3"/>
  <c r="C210" i="3" s="1"/>
  <c r="E211" i="3" l="1"/>
  <c r="D211" i="3"/>
  <c r="B212" i="3"/>
  <c r="A211" i="3"/>
  <c r="C211" i="3" s="1"/>
  <c r="E212" i="3" l="1"/>
  <c r="D212" i="3"/>
  <c r="B213" i="3"/>
  <c r="A212" i="3"/>
  <c r="C212" i="3" s="1"/>
  <c r="E213" i="3" l="1"/>
  <c r="D213" i="3"/>
  <c r="B214" i="3"/>
  <c r="A213" i="3"/>
  <c r="C213" i="3" s="1"/>
  <c r="E214" i="3" l="1"/>
  <c r="D214" i="3"/>
  <c r="B215" i="3"/>
  <c r="A214" i="3"/>
  <c r="C214" i="3" s="1"/>
  <c r="E215" i="3" l="1"/>
  <c r="D215" i="3"/>
  <c r="B216" i="3"/>
  <c r="A215" i="3"/>
  <c r="C215" i="3" s="1"/>
  <c r="E216" i="3" l="1"/>
  <c r="D216" i="3"/>
  <c r="B217" i="3"/>
  <c r="A216" i="3"/>
  <c r="C216" i="3" s="1"/>
  <c r="E217" i="3" l="1"/>
  <c r="D217" i="3"/>
  <c r="B218" i="3"/>
  <c r="A217" i="3"/>
  <c r="C217" i="3" s="1"/>
  <c r="E218" i="3" l="1"/>
  <c r="D218" i="3"/>
  <c r="B219" i="3"/>
  <c r="A218" i="3"/>
  <c r="C218" i="3" s="1"/>
  <c r="E219" i="3" l="1"/>
  <c r="D219" i="3"/>
  <c r="B220" i="3"/>
  <c r="A219" i="3"/>
  <c r="C219" i="3" s="1"/>
  <c r="E220" i="3" l="1"/>
  <c r="D220" i="3"/>
  <c r="B221" i="3"/>
  <c r="A220" i="3"/>
  <c r="C220" i="3" s="1"/>
  <c r="E221" i="3" l="1"/>
  <c r="D221" i="3"/>
  <c r="B222" i="3"/>
  <c r="A221" i="3"/>
  <c r="C221" i="3" s="1"/>
  <c r="E222" i="3" l="1"/>
  <c r="D222" i="3"/>
  <c r="B223" i="3"/>
  <c r="A222" i="3"/>
  <c r="C222" i="3" s="1"/>
  <c r="E223" i="3" l="1"/>
  <c r="D223" i="3"/>
  <c r="B224" i="3"/>
  <c r="A223" i="3"/>
  <c r="C223" i="3" s="1"/>
  <c r="E224" i="3" l="1"/>
  <c r="D224" i="3"/>
  <c r="B225" i="3"/>
  <c r="A224" i="3"/>
  <c r="C224" i="3" s="1"/>
  <c r="E225" i="3" l="1"/>
  <c r="D225" i="3"/>
  <c r="B226" i="3"/>
  <c r="A225" i="3"/>
  <c r="C225" i="3" s="1"/>
  <c r="E226" i="3" l="1"/>
  <c r="D226" i="3"/>
  <c r="B227" i="3"/>
  <c r="A226" i="3"/>
  <c r="C226" i="3" s="1"/>
  <c r="E227" i="3" l="1"/>
  <c r="D227" i="3"/>
  <c r="B228" i="3"/>
  <c r="A227" i="3"/>
  <c r="C227" i="3" s="1"/>
  <c r="E228" i="3" l="1"/>
  <c r="D228" i="3"/>
  <c r="B229" i="3"/>
  <c r="A228" i="3"/>
  <c r="C228" i="3" s="1"/>
  <c r="E229" i="3" l="1"/>
  <c r="D229" i="3"/>
  <c r="B230" i="3"/>
  <c r="A229" i="3"/>
  <c r="C229" i="3" s="1"/>
  <c r="E230" i="3" l="1"/>
  <c r="D230" i="3"/>
  <c r="B231" i="3"/>
  <c r="A230" i="3"/>
  <c r="C230" i="3" s="1"/>
  <c r="E231" i="3" l="1"/>
  <c r="D231" i="3"/>
  <c r="B232" i="3"/>
  <c r="A231" i="3"/>
  <c r="C231" i="3" s="1"/>
  <c r="E232" i="3" l="1"/>
  <c r="D232" i="3"/>
  <c r="B233" i="3"/>
  <c r="A232" i="3"/>
  <c r="C232" i="3" s="1"/>
  <c r="E233" i="3" l="1"/>
  <c r="D233" i="3"/>
  <c r="B234" i="3"/>
  <c r="A233" i="3"/>
  <c r="C233" i="3" s="1"/>
  <c r="E234" i="3" l="1"/>
  <c r="D234" i="3"/>
  <c r="B235" i="3"/>
  <c r="A234" i="3"/>
  <c r="C234" i="3" s="1"/>
  <c r="E235" i="3" l="1"/>
  <c r="D235" i="3"/>
  <c r="B236" i="3"/>
  <c r="A235" i="3"/>
  <c r="C235" i="3" s="1"/>
  <c r="E236" i="3" l="1"/>
  <c r="D236" i="3"/>
  <c r="B237" i="3"/>
  <c r="A236" i="3"/>
  <c r="C236" i="3" s="1"/>
  <c r="E237" i="3" l="1"/>
  <c r="D237" i="3"/>
  <c r="B238" i="3"/>
  <c r="A237" i="3"/>
  <c r="C237" i="3" s="1"/>
  <c r="E238" i="3" l="1"/>
  <c r="D238" i="3"/>
  <c r="B239" i="3"/>
  <c r="A238" i="3"/>
  <c r="C238" i="3" s="1"/>
  <c r="E239" i="3" l="1"/>
  <c r="D239" i="3"/>
  <c r="B240" i="3"/>
  <c r="A239" i="3"/>
  <c r="C239" i="3" s="1"/>
  <c r="E240" i="3" l="1"/>
  <c r="D240" i="3"/>
  <c r="B241" i="3"/>
  <c r="A240" i="3"/>
  <c r="C240" i="3" s="1"/>
  <c r="E241" i="3" l="1"/>
  <c r="D241" i="3"/>
  <c r="B242" i="3"/>
  <c r="A241" i="3"/>
  <c r="C241" i="3" s="1"/>
  <c r="E242" i="3" l="1"/>
  <c r="D242" i="3"/>
  <c r="B243" i="3"/>
  <c r="A242" i="3"/>
  <c r="C242" i="3" s="1"/>
  <c r="E243" i="3" l="1"/>
  <c r="D243" i="3"/>
  <c r="B244" i="3"/>
  <c r="A243" i="3"/>
  <c r="C243" i="3" s="1"/>
  <c r="E244" i="3" l="1"/>
  <c r="D244" i="3"/>
  <c r="B245" i="3"/>
  <c r="A244" i="3"/>
  <c r="C244" i="3" s="1"/>
  <c r="E245" i="3" l="1"/>
  <c r="D245" i="3"/>
  <c r="B246" i="3"/>
  <c r="A245" i="3"/>
  <c r="C245" i="3" s="1"/>
  <c r="E246" i="3" l="1"/>
  <c r="D246" i="3"/>
  <c r="B247" i="3"/>
  <c r="A246" i="3"/>
  <c r="C246" i="3" s="1"/>
  <c r="E247" i="3" l="1"/>
  <c r="D247" i="3"/>
  <c r="B248" i="3"/>
  <c r="A247" i="3"/>
  <c r="C247" i="3" s="1"/>
  <c r="E248" i="3" l="1"/>
  <c r="D248" i="3"/>
  <c r="B249" i="3"/>
  <c r="A248" i="3"/>
  <c r="C248" i="3" s="1"/>
  <c r="E249" i="3" l="1"/>
  <c r="D249" i="3"/>
  <c r="B250" i="3"/>
  <c r="A249" i="3"/>
  <c r="C249" i="3" s="1"/>
  <c r="E250" i="3" l="1"/>
  <c r="D250" i="3"/>
  <c r="B251" i="3"/>
  <c r="A250" i="3"/>
  <c r="C250" i="3" s="1"/>
  <c r="E251" i="3" l="1"/>
  <c r="D251" i="3"/>
  <c r="B252" i="3"/>
  <c r="A251" i="3"/>
  <c r="C251" i="3" s="1"/>
  <c r="E252" i="3" l="1"/>
  <c r="D252" i="3"/>
  <c r="B253" i="3"/>
  <c r="A252" i="3"/>
  <c r="C252" i="3" s="1"/>
  <c r="E253" i="3" l="1"/>
  <c r="D253" i="3"/>
  <c r="B254" i="3"/>
  <c r="A253" i="3"/>
  <c r="C253" i="3" s="1"/>
  <c r="E254" i="3" l="1"/>
  <c r="D254" i="3"/>
  <c r="B255" i="3"/>
  <c r="A254" i="3"/>
  <c r="C254" i="3" s="1"/>
  <c r="E255" i="3" l="1"/>
  <c r="D255" i="3"/>
  <c r="B256" i="3"/>
  <c r="A255" i="3"/>
  <c r="C255" i="3" s="1"/>
  <c r="E256" i="3" l="1"/>
  <c r="D256" i="3"/>
  <c r="B257" i="3"/>
  <c r="A256" i="3"/>
  <c r="C256" i="3" s="1"/>
  <c r="E257" i="3" l="1"/>
  <c r="D257" i="3"/>
  <c r="B258" i="3"/>
  <c r="A257" i="3"/>
  <c r="C257" i="3" s="1"/>
  <c r="E258" i="3" l="1"/>
  <c r="D258" i="3"/>
  <c r="B259" i="3"/>
  <c r="A258" i="3"/>
  <c r="C258" i="3" s="1"/>
  <c r="E259" i="3" l="1"/>
  <c r="D259" i="3"/>
  <c r="B260" i="3"/>
  <c r="A259" i="3"/>
  <c r="C259" i="3" s="1"/>
  <c r="E260" i="3" l="1"/>
  <c r="D260" i="3"/>
  <c r="B261" i="3"/>
  <c r="A260" i="3"/>
  <c r="C260" i="3" s="1"/>
  <c r="E261" i="3" l="1"/>
  <c r="D261" i="3"/>
  <c r="B262" i="3"/>
  <c r="A261" i="3"/>
  <c r="C261" i="3" s="1"/>
  <c r="E262" i="3" l="1"/>
  <c r="D262" i="3"/>
  <c r="B263" i="3"/>
  <c r="A262" i="3"/>
  <c r="C262" i="3" s="1"/>
  <c r="E263" i="3" l="1"/>
  <c r="D263" i="3"/>
  <c r="B264" i="3"/>
  <c r="A263" i="3"/>
  <c r="C263" i="3" s="1"/>
  <c r="E264" i="3" l="1"/>
  <c r="D264" i="3"/>
  <c r="B265" i="3"/>
  <c r="A264" i="3"/>
  <c r="C264" i="3" s="1"/>
  <c r="E265" i="3" l="1"/>
  <c r="D265" i="3"/>
  <c r="B266" i="3"/>
  <c r="A265" i="3"/>
  <c r="C265" i="3" s="1"/>
  <c r="E266" i="3" l="1"/>
  <c r="D266" i="3"/>
  <c r="B267" i="3"/>
  <c r="A266" i="3"/>
  <c r="C266" i="3" s="1"/>
  <c r="E267" i="3" l="1"/>
  <c r="D267" i="3"/>
  <c r="B268" i="3"/>
  <c r="A267" i="3"/>
  <c r="C267" i="3" s="1"/>
  <c r="E268" i="3" l="1"/>
  <c r="D268" i="3"/>
  <c r="B269" i="3"/>
  <c r="A268" i="3"/>
  <c r="C268" i="3" s="1"/>
  <c r="E269" i="3" l="1"/>
  <c r="D269" i="3"/>
  <c r="B270" i="3"/>
  <c r="A269" i="3"/>
  <c r="C269" i="3" s="1"/>
  <c r="E270" i="3" l="1"/>
  <c r="D270" i="3"/>
  <c r="B271" i="3"/>
  <c r="A270" i="3"/>
  <c r="C270" i="3" s="1"/>
  <c r="E271" i="3" l="1"/>
  <c r="D271" i="3"/>
  <c r="B272" i="3"/>
  <c r="A271" i="3"/>
  <c r="C271" i="3" s="1"/>
  <c r="E272" i="3" l="1"/>
  <c r="D272" i="3"/>
  <c r="B273" i="3"/>
  <c r="A272" i="3"/>
  <c r="C272" i="3" s="1"/>
  <c r="E273" i="3" l="1"/>
  <c r="D273" i="3"/>
  <c r="B274" i="3"/>
  <c r="A273" i="3"/>
  <c r="C273" i="3" s="1"/>
  <c r="E274" i="3" l="1"/>
  <c r="D274" i="3"/>
  <c r="B275" i="3"/>
  <c r="A274" i="3"/>
  <c r="C274" i="3" s="1"/>
  <c r="E275" i="3" l="1"/>
  <c r="D275" i="3"/>
  <c r="B276" i="3"/>
  <c r="A275" i="3"/>
  <c r="C275" i="3" s="1"/>
  <c r="E276" i="3" l="1"/>
  <c r="D276" i="3"/>
  <c r="B277" i="3"/>
  <c r="A276" i="3"/>
  <c r="C276" i="3" s="1"/>
  <c r="E277" i="3" l="1"/>
  <c r="D277" i="3"/>
  <c r="B278" i="3"/>
  <c r="A277" i="3"/>
  <c r="C277" i="3" s="1"/>
  <c r="E278" i="3" l="1"/>
  <c r="D278" i="3"/>
  <c r="B279" i="3"/>
  <c r="A278" i="3"/>
  <c r="C278" i="3" s="1"/>
  <c r="E279" i="3" l="1"/>
  <c r="D279" i="3"/>
  <c r="B280" i="3"/>
  <c r="A279" i="3"/>
  <c r="C279" i="3" s="1"/>
  <c r="E280" i="3" l="1"/>
  <c r="D280" i="3"/>
  <c r="B281" i="3"/>
  <c r="A280" i="3"/>
  <c r="C280" i="3" s="1"/>
  <c r="E281" i="3" l="1"/>
  <c r="D281" i="3"/>
  <c r="B282" i="3"/>
  <c r="A281" i="3"/>
  <c r="C281" i="3" s="1"/>
  <c r="E282" i="3" l="1"/>
  <c r="D282" i="3"/>
  <c r="B283" i="3"/>
  <c r="A282" i="3"/>
  <c r="C282" i="3" s="1"/>
  <c r="E283" i="3" l="1"/>
  <c r="D283" i="3"/>
  <c r="B284" i="3"/>
  <c r="A283" i="3"/>
  <c r="C283" i="3" s="1"/>
  <c r="E284" i="3" l="1"/>
  <c r="D284" i="3"/>
  <c r="B285" i="3"/>
  <c r="A284" i="3"/>
  <c r="C284" i="3" s="1"/>
  <c r="E285" i="3" l="1"/>
  <c r="D285" i="3"/>
  <c r="B286" i="3"/>
  <c r="A285" i="3"/>
  <c r="C285" i="3" s="1"/>
  <c r="E286" i="3" l="1"/>
  <c r="D286" i="3"/>
  <c r="B287" i="3"/>
  <c r="A286" i="3"/>
  <c r="C286" i="3" s="1"/>
  <c r="E287" i="3" l="1"/>
  <c r="D287" i="3"/>
  <c r="B288" i="3"/>
  <c r="A287" i="3"/>
  <c r="C287" i="3" s="1"/>
  <c r="E288" i="3" l="1"/>
  <c r="D288" i="3"/>
  <c r="B289" i="3"/>
  <c r="A288" i="3"/>
  <c r="C288" i="3" s="1"/>
  <c r="E289" i="3" l="1"/>
  <c r="D289" i="3"/>
  <c r="B290" i="3"/>
  <c r="A289" i="3"/>
  <c r="C289" i="3" s="1"/>
  <c r="E290" i="3" l="1"/>
  <c r="D290" i="3"/>
  <c r="B291" i="3"/>
  <c r="A290" i="3"/>
  <c r="C290" i="3" s="1"/>
  <c r="E291" i="3" l="1"/>
  <c r="D291" i="3"/>
  <c r="B292" i="3"/>
  <c r="A291" i="3"/>
  <c r="C291" i="3" s="1"/>
  <c r="E292" i="3" l="1"/>
  <c r="D292" i="3"/>
  <c r="B293" i="3"/>
  <c r="A292" i="3"/>
  <c r="C292" i="3" s="1"/>
  <c r="E293" i="3" l="1"/>
  <c r="D293" i="3"/>
  <c r="B294" i="3"/>
  <c r="A293" i="3"/>
  <c r="C293" i="3" s="1"/>
  <c r="E294" i="3" l="1"/>
  <c r="D294" i="3"/>
  <c r="B295" i="3"/>
  <c r="A294" i="3"/>
  <c r="C294" i="3" s="1"/>
  <c r="E295" i="3" l="1"/>
  <c r="D295" i="3"/>
  <c r="B296" i="3"/>
  <c r="A295" i="3"/>
  <c r="C295" i="3" s="1"/>
  <c r="E296" i="3" l="1"/>
  <c r="D296" i="3"/>
  <c r="B297" i="3"/>
  <c r="A296" i="3"/>
  <c r="C296" i="3" s="1"/>
  <c r="E297" i="3" l="1"/>
  <c r="D297" i="3"/>
  <c r="B298" i="3"/>
  <c r="A297" i="3"/>
  <c r="C297" i="3" s="1"/>
  <c r="E298" i="3" l="1"/>
  <c r="D298" i="3"/>
  <c r="B299" i="3"/>
  <c r="A298" i="3"/>
  <c r="C298" i="3" s="1"/>
  <c r="E299" i="3" l="1"/>
  <c r="D299" i="3"/>
  <c r="B300" i="3"/>
  <c r="A299" i="3"/>
  <c r="C299" i="3" s="1"/>
  <c r="E300" i="3" l="1"/>
  <c r="D300" i="3"/>
  <c r="B301" i="3"/>
  <c r="A300" i="3"/>
  <c r="C300" i="3" s="1"/>
  <c r="E301" i="3" l="1"/>
  <c r="D301" i="3"/>
  <c r="B302" i="3"/>
  <c r="A301" i="3"/>
  <c r="C301" i="3" s="1"/>
  <c r="E302" i="3" l="1"/>
  <c r="D302" i="3"/>
  <c r="B303" i="3"/>
  <c r="A302" i="3"/>
  <c r="C302" i="3" s="1"/>
  <c r="E303" i="3" l="1"/>
  <c r="D303" i="3"/>
  <c r="B304" i="3"/>
  <c r="A303" i="3"/>
  <c r="C303" i="3" s="1"/>
  <c r="E304" i="3" l="1"/>
  <c r="D304" i="3"/>
  <c r="B305" i="3"/>
  <c r="A304" i="3"/>
  <c r="C304" i="3" s="1"/>
  <c r="E305" i="3" l="1"/>
  <c r="D305" i="3"/>
  <c r="B306" i="3"/>
  <c r="A305" i="3"/>
  <c r="C305" i="3" s="1"/>
  <c r="E306" i="3" l="1"/>
  <c r="D306" i="3"/>
  <c r="B307" i="3"/>
  <c r="A306" i="3"/>
  <c r="C306" i="3" s="1"/>
  <c r="E307" i="3" l="1"/>
  <c r="D307" i="3"/>
  <c r="B308" i="3"/>
  <c r="A307" i="3"/>
  <c r="C307" i="3" s="1"/>
  <c r="E308" i="3" l="1"/>
  <c r="D308" i="3"/>
  <c r="B309" i="3"/>
  <c r="A308" i="3"/>
  <c r="C308" i="3" s="1"/>
  <c r="E309" i="3" l="1"/>
  <c r="D309" i="3"/>
  <c r="B310" i="3"/>
  <c r="A309" i="3"/>
  <c r="C309" i="3" s="1"/>
  <c r="E310" i="3" l="1"/>
  <c r="D310" i="3"/>
  <c r="B311" i="3"/>
  <c r="A310" i="3"/>
  <c r="C310" i="3" s="1"/>
  <c r="E311" i="3" l="1"/>
  <c r="D311" i="3"/>
  <c r="B312" i="3"/>
  <c r="A311" i="3"/>
  <c r="C311" i="3" s="1"/>
  <c r="E312" i="3" l="1"/>
  <c r="D312" i="3"/>
  <c r="B313" i="3"/>
  <c r="A312" i="3"/>
  <c r="C312" i="3" s="1"/>
  <c r="E313" i="3" l="1"/>
  <c r="D313" i="3"/>
  <c r="B314" i="3"/>
  <c r="A313" i="3"/>
  <c r="C313" i="3" s="1"/>
  <c r="E314" i="3" l="1"/>
  <c r="D314" i="3"/>
  <c r="B315" i="3"/>
  <c r="A314" i="3"/>
  <c r="C314" i="3" s="1"/>
  <c r="E315" i="3" l="1"/>
  <c r="D315" i="3"/>
  <c r="B316" i="3"/>
  <c r="A315" i="3"/>
  <c r="C315" i="3" s="1"/>
  <c r="E316" i="3" l="1"/>
  <c r="D316" i="3"/>
  <c r="B317" i="3"/>
  <c r="A316" i="3"/>
  <c r="C316" i="3" s="1"/>
  <c r="E317" i="3" l="1"/>
  <c r="D317" i="3"/>
  <c r="B318" i="3"/>
  <c r="A317" i="3"/>
  <c r="C317" i="3" s="1"/>
  <c r="E318" i="3" l="1"/>
  <c r="D318" i="3"/>
  <c r="B319" i="3"/>
  <c r="A318" i="3"/>
  <c r="C318" i="3" s="1"/>
  <c r="E319" i="3" l="1"/>
  <c r="D319" i="3"/>
  <c r="B320" i="3"/>
  <c r="A319" i="3"/>
  <c r="C319" i="3" s="1"/>
  <c r="E320" i="3" l="1"/>
  <c r="D320" i="3"/>
  <c r="B321" i="3"/>
  <c r="A320" i="3"/>
  <c r="C320" i="3" s="1"/>
  <c r="E321" i="3" l="1"/>
  <c r="D321" i="3"/>
  <c r="B322" i="3"/>
  <c r="A321" i="3"/>
  <c r="C321" i="3" s="1"/>
  <c r="E322" i="3" l="1"/>
  <c r="D322" i="3"/>
  <c r="B323" i="3"/>
  <c r="A322" i="3"/>
  <c r="C322" i="3" s="1"/>
  <c r="E323" i="3" l="1"/>
  <c r="D323" i="3"/>
  <c r="B324" i="3"/>
  <c r="A323" i="3"/>
  <c r="C323" i="3" s="1"/>
  <c r="E324" i="3" l="1"/>
  <c r="D324" i="3"/>
  <c r="B325" i="3"/>
  <c r="A324" i="3"/>
  <c r="C324" i="3" s="1"/>
  <c r="E325" i="3" l="1"/>
  <c r="D325" i="3"/>
  <c r="B326" i="3"/>
  <c r="A325" i="3"/>
  <c r="C325" i="3" s="1"/>
  <c r="E326" i="3" l="1"/>
  <c r="D326" i="3"/>
  <c r="B327" i="3"/>
  <c r="A326" i="3"/>
  <c r="C326" i="3" s="1"/>
  <c r="E327" i="3" l="1"/>
  <c r="D327" i="3"/>
  <c r="B328" i="3"/>
  <c r="A327" i="3"/>
  <c r="C327" i="3" s="1"/>
  <c r="E328" i="3" l="1"/>
  <c r="D328" i="3"/>
  <c r="B329" i="3"/>
  <c r="A328" i="3"/>
  <c r="C328" i="3" s="1"/>
  <c r="E329" i="3" l="1"/>
  <c r="D329" i="3"/>
  <c r="B330" i="3"/>
  <c r="A329" i="3"/>
  <c r="C329" i="3" s="1"/>
  <c r="E330" i="3" l="1"/>
  <c r="D330" i="3"/>
  <c r="B331" i="3"/>
  <c r="A330" i="3"/>
  <c r="C330" i="3" s="1"/>
  <c r="E331" i="3" l="1"/>
  <c r="D331" i="3"/>
  <c r="B332" i="3"/>
  <c r="A331" i="3"/>
  <c r="C331" i="3" s="1"/>
  <c r="E332" i="3" l="1"/>
  <c r="D332" i="3"/>
  <c r="B333" i="3"/>
  <c r="A332" i="3"/>
  <c r="C332" i="3" s="1"/>
  <c r="E333" i="3" l="1"/>
  <c r="D333" i="3"/>
  <c r="B334" i="3"/>
  <c r="A333" i="3"/>
  <c r="C333" i="3" s="1"/>
  <c r="E334" i="3" l="1"/>
  <c r="D334" i="3"/>
  <c r="B335" i="3"/>
  <c r="A334" i="3"/>
  <c r="C334" i="3" s="1"/>
  <c r="E335" i="3" l="1"/>
  <c r="D335" i="3"/>
  <c r="B336" i="3"/>
  <c r="A335" i="3"/>
  <c r="C335" i="3" s="1"/>
  <c r="E336" i="3" l="1"/>
  <c r="D336" i="3"/>
  <c r="B337" i="3"/>
  <c r="A336" i="3"/>
  <c r="C336" i="3" s="1"/>
  <c r="E337" i="3" l="1"/>
  <c r="D337" i="3"/>
  <c r="B338" i="3"/>
  <c r="A337" i="3"/>
  <c r="C337" i="3" s="1"/>
  <c r="E338" i="3" l="1"/>
  <c r="D338" i="3"/>
  <c r="B339" i="3"/>
  <c r="A338" i="3"/>
  <c r="C338" i="3" s="1"/>
  <c r="E339" i="3" l="1"/>
  <c r="D339" i="3"/>
  <c r="B340" i="3"/>
  <c r="A339" i="3"/>
  <c r="C339" i="3" s="1"/>
  <c r="E340" i="3" l="1"/>
  <c r="D340" i="3"/>
  <c r="B341" i="3"/>
  <c r="A340" i="3"/>
  <c r="C340" i="3" s="1"/>
  <c r="E341" i="3" l="1"/>
  <c r="D341" i="3"/>
  <c r="B342" i="3"/>
  <c r="A341" i="3"/>
  <c r="C341" i="3" s="1"/>
  <c r="E342" i="3" l="1"/>
  <c r="D342" i="3"/>
  <c r="B343" i="3"/>
  <c r="A342" i="3"/>
  <c r="C342" i="3" s="1"/>
  <c r="E343" i="3" l="1"/>
  <c r="D343" i="3"/>
  <c r="B344" i="3"/>
  <c r="A343" i="3"/>
  <c r="C343" i="3" s="1"/>
  <c r="E344" i="3" l="1"/>
  <c r="D344" i="3"/>
  <c r="B345" i="3"/>
  <c r="A344" i="3"/>
  <c r="C344" i="3" s="1"/>
  <c r="E345" i="3" l="1"/>
  <c r="D345" i="3"/>
  <c r="B346" i="3"/>
  <c r="A345" i="3"/>
  <c r="C345" i="3" s="1"/>
  <c r="E346" i="3" l="1"/>
  <c r="D346" i="3"/>
  <c r="B347" i="3"/>
  <c r="A346" i="3"/>
  <c r="C346" i="3" s="1"/>
  <c r="E347" i="3" l="1"/>
  <c r="D347" i="3"/>
  <c r="B348" i="3"/>
  <c r="A347" i="3"/>
  <c r="C347" i="3" s="1"/>
  <c r="E348" i="3" l="1"/>
  <c r="D348" i="3"/>
  <c r="B349" i="3"/>
  <c r="A348" i="3"/>
  <c r="C348" i="3" s="1"/>
  <c r="E349" i="3" l="1"/>
  <c r="D349" i="3"/>
  <c r="B350" i="3"/>
  <c r="A349" i="3"/>
  <c r="C349" i="3" s="1"/>
  <c r="E350" i="3" l="1"/>
  <c r="D350" i="3"/>
  <c r="B351" i="3"/>
  <c r="A350" i="3"/>
  <c r="C350" i="3" s="1"/>
  <c r="E351" i="3" l="1"/>
  <c r="D351" i="3"/>
  <c r="B352" i="3"/>
  <c r="A351" i="3"/>
  <c r="C351" i="3" s="1"/>
  <c r="E352" i="3" l="1"/>
  <c r="D352" i="3"/>
  <c r="B353" i="3"/>
  <c r="A352" i="3"/>
  <c r="C352" i="3" s="1"/>
  <c r="E353" i="3" l="1"/>
  <c r="D353" i="3"/>
  <c r="B354" i="3"/>
  <c r="A353" i="3"/>
  <c r="C353" i="3" s="1"/>
  <c r="E354" i="3" l="1"/>
  <c r="D354" i="3"/>
  <c r="B355" i="3"/>
  <c r="A354" i="3"/>
  <c r="C354" i="3" s="1"/>
  <c r="E355" i="3" l="1"/>
  <c r="D355" i="3"/>
  <c r="B356" i="3"/>
  <c r="A355" i="3"/>
  <c r="C355" i="3" s="1"/>
  <c r="E356" i="3" l="1"/>
  <c r="D356" i="3"/>
  <c r="B357" i="3"/>
  <c r="A356" i="3"/>
  <c r="C356" i="3" s="1"/>
  <c r="E357" i="3" l="1"/>
  <c r="D357" i="3"/>
  <c r="B358" i="3"/>
  <c r="A357" i="3"/>
  <c r="C357" i="3" s="1"/>
  <c r="E358" i="3" l="1"/>
  <c r="D358" i="3"/>
  <c r="B359" i="3"/>
  <c r="A358" i="3"/>
  <c r="C358" i="3" s="1"/>
  <c r="E359" i="3" l="1"/>
  <c r="D359" i="3"/>
  <c r="B360" i="3"/>
  <c r="A359" i="3"/>
  <c r="C359" i="3" s="1"/>
  <c r="E360" i="3" l="1"/>
  <c r="D360" i="3"/>
  <c r="B361" i="3"/>
  <c r="A360" i="3"/>
  <c r="C360" i="3" s="1"/>
  <c r="E361" i="3" l="1"/>
  <c r="D361" i="3"/>
  <c r="B362" i="3"/>
  <c r="A361" i="3"/>
  <c r="C361" i="3" s="1"/>
  <c r="E362" i="3" l="1"/>
  <c r="D362" i="3"/>
  <c r="B363" i="3"/>
  <c r="A362" i="3"/>
  <c r="C362" i="3" s="1"/>
  <c r="E363" i="3" l="1"/>
  <c r="D363" i="3"/>
  <c r="B364" i="3"/>
  <c r="A363" i="3"/>
  <c r="C363" i="3" s="1"/>
  <c r="E364" i="3" l="1"/>
  <c r="D364" i="3"/>
  <c r="B365" i="3"/>
  <c r="A364" i="3"/>
  <c r="C364" i="3" s="1"/>
  <c r="E365" i="3" l="1"/>
  <c r="D365" i="3"/>
  <c r="B366" i="3"/>
  <c r="A365" i="3"/>
  <c r="C365" i="3" s="1"/>
  <c r="E366" i="3" l="1"/>
  <c r="D366" i="3"/>
  <c r="G891" i="5"/>
  <c r="G330" i="5"/>
  <c r="G894" i="5"/>
  <c r="G85" i="5"/>
  <c r="I997" i="1"/>
  <c r="L997" i="1" s="1"/>
  <c r="J997" i="1" s="1"/>
  <c r="K997" i="1" s="1"/>
  <c r="I487" i="1"/>
  <c r="L487" i="1" s="1"/>
  <c r="G993" i="5"/>
  <c r="I1088" i="1"/>
  <c r="L1088" i="1" s="1"/>
  <c r="J1088" i="1" s="1"/>
  <c r="K1088" i="1" s="1"/>
  <c r="I1061" i="1"/>
  <c r="L1061" i="1" s="1"/>
  <c r="I1002" i="1"/>
  <c r="L1002" i="1" s="1"/>
  <c r="G760" i="5"/>
  <c r="I762" i="1"/>
  <c r="L762" i="1" s="1"/>
  <c r="J762" i="1" s="1"/>
  <c r="K762" i="1" s="1"/>
  <c r="I1076" i="1"/>
  <c r="L1076" i="1" s="1"/>
  <c r="G1175" i="5"/>
  <c r="G216" i="5"/>
  <c r="G377" i="5"/>
  <c r="I512" i="1"/>
  <c r="L512" i="1" s="1"/>
  <c r="I709" i="1"/>
  <c r="L709" i="1" s="1"/>
  <c r="J709" i="1" s="1"/>
  <c r="K709" i="1" s="1"/>
  <c r="G536" i="5"/>
  <c r="G1165" i="5"/>
  <c r="I868" i="1"/>
  <c r="L868" i="1" s="1"/>
  <c r="J868" i="1" s="1"/>
  <c r="K868" i="1" s="1"/>
  <c r="I680" i="1"/>
  <c r="L680" i="1" s="1"/>
  <c r="G484" i="5"/>
  <c r="G325" i="5"/>
  <c r="I563" i="1"/>
  <c r="L563" i="1" s="1"/>
  <c r="J563" i="1" s="1"/>
  <c r="K563" i="1" s="1"/>
  <c r="I572" i="1"/>
  <c r="L572" i="1" s="1"/>
  <c r="G264" i="5"/>
  <c r="I581" i="1"/>
  <c r="L581" i="1" s="1"/>
  <c r="G1114" i="5"/>
  <c r="G1016" i="5"/>
  <c r="G1088" i="5"/>
  <c r="G214" i="5"/>
  <c r="I535" i="1"/>
  <c r="L535" i="1" s="1"/>
  <c r="J535" i="1" s="1"/>
  <c r="K535" i="1" s="1"/>
  <c r="I723" i="1"/>
  <c r="L723" i="1" s="1"/>
  <c r="G1134" i="5"/>
  <c r="I567" i="1"/>
  <c r="L567" i="1" s="1"/>
  <c r="G127" i="5"/>
  <c r="I756" i="1"/>
  <c r="L756" i="1" s="1"/>
  <c r="G463" i="5"/>
  <c r="I501" i="1"/>
  <c r="L501" i="1" s="1"/>
  <c r="G626" i="5"/>
  <c r="I763" i="1"/>
  <c r="L763" i="1" s="1"/>
  <c r="J763" i="1" s="1"/>
  <c r="K763" i="1" s="1"/>
  <c r="G568" i="5"/>
  <c r="I499" i="1"/>
  <c r="L499" i="1" s="1"/>
  <c r="G853" i="5"/>
  <c r="I542" i="1"/>
  <c r="L542" i="1" s="1"/>
  <c r="G677" i="5"/>
  <c r="G115" i="5"/>
  <c r="I1138" i="1"/>
  <c r="L1138" i="1" s="1"/>
  <c r="J1138" i="1" s="1"/>
  <c r="K1138" i="1" s="1"/>
  <c r="I1129" i="1"/>
  <c r="L1129" i="1" s="1"/>
  <c r="I1001" i="1"/>
  <c r="L1001" i="1" s="1"/>
  <c r="I703" i="1"/>
  <c r="L703" i="1" s="1"/>
  <c r="G733" i="5"/>
  <c r="G1187" i="5"/>
  <c r="G699" i="5"/>
  <c r="I970" i="1"/>
  <c r="L970" i="1" s="1"/>
  <c r="J970" i="1" s="1"/>
  <c r="K970" i="1" s="1"/>
  <c r="I483" i="1"/>
  <c r="L483" i="1" s="1"/>
  <c r="I1144" i="1"/>
  <c r="L1144" i="1" s="1"/>
  <c r="J1144" i="1" s="1"/>
  <c r="K1144" i="1" s="1"/>
  <c r="G956" i="5"/>
  <c r="G691" i="5"/>
  <c r="G424" i="5"/>
  <c r="I527" i="1"/>
  <c r="L527" i="1" s="1"/>
  <c r="I1069" i="1"/>
  <c r="L1069" i="1" s="1"/>
  <c r="G143" i="5"/>
  <c r="G184" i="5"/>
  <c r="I530" i="1"/>
  <c r="L530" i="1" s="1"/>
  <c r="J530" i="1" s="1"/>
  <c r="K530" i="1" s="1"/>
  <c r="G222" i="5"/>
  <c r="G843" i="5"/>
  <c r="G578" i="5"/>
  <c r="I1096" i="1"/>
  <c r="L1096" i="1" s="1"/>
  <c r="I426" i="1"/>
  <c r="L426" i="1" s="1"/>
  <c r="J426" i="1" s="1"/>
  <c r="K426" i="1" s="1"/>
  <c r="G1198" i="5"/>
  <c r="I506" i="1"/>
  <c r="L506" i="1" s="1"/>
  <c r="I767" i="1"/>
  <c r="L767" i="1" s="1"/>
  <c r="I1161" i="1"/>
  <c r="L1161" i="1" s="1"/>
  <c r="I1018" i="1"/>
  <c r="L1018" i="1" s="1"/>
  <c r="G709" i="5"/>
  <c r="G1056" i="5"/>
  <c r="G236" i="5"/>
  <c r="I1173" i="1"/>
  <c r="L1173" i="1" s="1"/>
  <c r="G1032" i="5"/>
  <c r="G592" i="5"/>
  <c r="I1218" i="1"/>
  <c r="L1218" i="1" s="1"/>
  <c r="G221" i="5"/>
  <c r="G514" i="5"/>
  <c r="G1017" i="5"/>
  <c r="G756" i="5"/>
  <c r="G970" i="5"/>
  <c r="I1078" i="1"/>
  <c r="L1078" i="1" s="1"/>
  <c r="J1078" i="1" s="1"/>
  <c r="K1078" i="1" s="1"/>
  <c r="G504" i="5"/>
  <c r="I475" i="1"/>
  <c r="L475" i="1" s="1"/>
  <c r="G480" i="5"/>
  <c r="G806" i="5"/>
  <c r="G969" i="5"/>
  <c r="I564" i="1"/>
  <c r="L564" i="1" s="1"/>
  <c r="J564" i="1" s="1"/>
  <c r="K564" i="1" s="1"/>
  <c r="I666" i="1"/>
  <c r="L666" i="1" s="1"/>
  <c r="I636" i="1"/>
  <c r="L636" i="1" s="1"/>
  <c r="J636" i="1" s="1"/>
  <c r="K636" i="1" s="1"/>
  <c r="G147" i="5"/>
  <c r="G507" i="5"/>
  <c r="I717" i="1"/>
  <c r="L717" i="1" s="1"/>
  <c r="I741" i="1"/>
  <c r="L741" i="1" s="1"/>
  <c r="J741" i="1" s="1"/>
  <c r="K741" i="1" s="1"/>
  <c r="G537" i="5"/>
  <c r="I753" i="1"/>
  <c r="L753" i="1" s="1"/>
  <c r="G652" i="5"/>
  <c r="I1216" i="1"/>
  <c r="L1216" i="1" s="1"/>
  <c r="G112" i="5"/>
  <c r="G672" i="5"/>
  <c r="I622" i="1"/>
  <c r="L622" i="1" s="1"/>
  <c r="I1137" i="1"/>
  <c r="L1137" i="1" s="1"/>
  <c r="G1208" i="5"/>
  <c r="I493" i="1"/>
  <c r="L493" i="1" s="1"/>
  <c r="G615" i="5"/>
  <c r="G458" i="5"/>
  <c r="I1146" i="1"/>
  <c r="L1146" i="1" s="1"/>
  <c r="J1146" i="1" s="1"/>
  <c r="K1146" i="1" s="1"/>
  <c r="I539" i="1"/>
  <c r="L539" i="1" s="1"/>
  <c r="G433" i="5"/>
  <c r="G418" i="5"/>
  <c r="G1100" i="5"/>
  <c r="G525" i="5"/>
  <c r="G1197" i="5"/>
  <c r="I799" i="1"/>
  <c r="L799" i="1" s="1"/>
  <c r="I571" i="1"/>
  <c r="L571" i="1" s="1"/>
  <c r="G1051" i="5"/>
  <c r="G625" i="5"/>
  <c r="I1080" i="1"/>
  <c r="L1080" i="1" s="1"/>
  <c r="I555" i="1"/>
  <c r="L555" i="1" s="1"/>
  <c r="J555" i="1" s="1"/>
  <c r="K555" i="1" s="1"/>
  <c r="I1215" i="1"/>
  <c r="L1215" i="1" s="1"/>
  <c r="I410" i="1"/>
  <c r="L410" i="1" s="1"/>
  <c r="G1087" i="5"/>
  <c r="I1142" i="1"/>
  <c r="L1142" i="1" s="1"/>
  <c r="G726" i="5"/>
  <c r="I1214" i="1"/>
  <c r="L1214" i="1" s="1"/>
  <c r="G1110" i="5"/>
  <c r="I938" i="1"/>
  <c r="L938" i="1" s="1"/>
  <c r="I419" i="1"/>
  <c r="L419" i="1" s="1"/>
  <c r="J419" i="1" s="1"/>
  <c r="K419" i="1" s="1"/>
  <c r="G240" i="5"/>
  <c r="I841" i="1"/>
  <c r="L841" i="1" s="1"/>
  <c r="J841" i="1" s="1"/>
  <c r="K841" i="1" s="1"/>
  <c r="I899" i="1"/>
  <c r="L899" i="1" s="1"/>
  <c r="J899" i="1" s="1"/>
  <c r="K899" i="1" s="1"/>
  <c r="G1167" i="5"/>
  <c r="G957" i="5"/>
  <c r="G1215" i="5"/>
  <c r="G149" i="5"/>
  <c r="I604" i="1"/>
  <c r="L604" i="1" s="1"/>
  <c r="I785" i="1"/>
  <c r="L785" i="1" s="1"/>
  <c r="G22" i="5"/>
  <c r="G38" i="5"/>
  <c r="I456" i="1"/>
  <c r="L456" i="1" s="1"/>
  <c r="I1039" i="1"/>
  <c r="L1039" i="1" s="1"/>
  <c r="J1039" i="1" s="1"/>
  <c r="K1039" i="1" s="1"/>
  <c r="G724" i="5"/>
  <c r="G796" i="5"/>
  <c r="I732" i="1"/>
  <c r="L732" i="1" s="1"/>
  <c r="I595" i="1"/>
  <c r="L595" i="1" s="1"/>
  <c r="J595" i="1" s="1"/>
  <c r="K595" i="1" s="1"/>
  <c r="I1058" i="1"/>
  <c r="L1058" i="1" s="1"/>
  <c r="I1079" i="1"/>
  <c r="L1079" i="1" s="1"/>
  <c r="J1079" i="1" s="1"/>
  <c r="K1079" i="1" s="1"/>
  <c r="I653" i="1"/>
  <c r="L653" i="1" s="1"/>
  <c r="G90" i="5"/>
  <c r="G761" i="5"/>
  <c r="I513" i="1"/>
  <c r="L513" i="1" s="1"/>
  <c r="G422" i="5"/>
  <c r="I547" i="1"/>
  <c r="L547" i="1" s="1"/>
  <c r="I708" i="1"/>
  <c r="L708" i="1" s="1"/>
  <c r="J708" i="1" s="1"/>
  <c r="K708" i="1" s="1"/>
  <c r="G938" i="5"/>
  <c r="G933" i="5"/>
  <c r="G455" i="5"/>
  <c r="I411" i="1"/>
  <c r="L411" i="1" s="1"/>
  <c r="G996" i="5"/>
  <c r="G654" i="5"/>
  <c r="I1033" i="1"/>
  <c r="L1033" i="1" s="1"/>
  <c r="I995" i="1"/>
  <c r="L995" i="1" s="1"/>
  <c r="J995" i="1" s="1"/>
  <c r="K995" i="1" s="1"/>
  <c r="G80" i="5"/>
  <c r="G1182" i="5"/>
  <c r="G180" i="5"/>
  <c r="G1003" i="5"/>
  <c r="G540" i="5"/>
  <c r="G531" i="5"/>
  <c r="G990" i="5"/>
  <c r="G550" i="5"/>
  <c r="I1094" i="1"/>
  <c r="L1094" i="1" s="1"/>
  <c r="J1094" i="1" s="1"/>
  <c r="K1094" i="1" s="1"/>
  <c r="I822" i="1"/>
  <c r="L822" i="1" s="1"/>
  <c r="I417" i="1"/>
  <c r="L417" i="1" s="1"/>
  <c r="I1208" i="1"/>
  <c r="L1208" i="1" s="1"/>
  <c r="G256" i="5"/>
  <c r="G106" i="5"/>
  <c r="G505" i="5"/>
  <c r="G1133" i="5"/>
  <c r="I1006" i="1"/>
  <c r="L1006" i="1" s="1"/>
  <c r="I757" i="1"/>
  <c r="L757" i="1" s="1"/>
  <c r="G574" i="5"/>
  <c r="I769" i="1"/>
  <c r="L769" i="1" s="1"/>
  <c r="J769" i="1" s="1"/>
  <c r="K769" i="1" s="1"/>
  <c r="I1083" i="1"/>
  <c r="L1083" i="1" s="1"/>
  <c r="I850" i="1"/>
  <c r="L850" i="1" s="1"/>
  <c r="G163" i="5"/>
  <c r="G616" i="5"/>
  <c r="G268" i="5"/>
  <c r="G773" i="5"/>
  <c r="G266" i="5"/>
  <c r="I719" i="1"/>
  <c r="L719" i="1" s="1"/>
  <c r="I837" i="1"/>
  <c r="L837" i="1" s="1"/>
  <c r="I528" i="1"/>
  <c r="L528" i="1" s="1"/>
  <c r="J528" i="1" s="1"/>
  <c r="K528" i="1" s="1"/>
  <c r="I776" i="1"/>
  <c r="L776" i="1" s="1"/>
  <c r="J776" i="1" s="1"/>
  <c r="K776" i="1" s="1"/>
  <c r="I608" i="1"/>
  <c r="L608" i="1" s="1"/>
  <c r="I1176" i="1"/>
  <c r="L1176" i="1" s="1"/>
  <c r="G1099" i="5"/>
  <c r="G604" i="5"/>
  <c r="G639" i="5"/>
  <c r="G838" i="5"/>
  <c r="G869" i="5"/>
  <c r="I520" i="1"/>
  <c r="L520" i="1" s="1"/>
  <c r="J520" i="1" s="1"/>
  <c r="K520" i="1" s="1"/>
  <c r="I439" i="1"/>
  <c r="L439" i="1" s="1"/>
  <c r="G897" i="5"/>
  <c r="I1052" i="1"/>
  <c r="L1052" i="1" s="1"/>
  <c r="I764" i="1"/>
  <c r="L764" i="1" s="1"/>
  <c r="G498" i="5"/>
  <c r="G161" i="5"/>
  <c r="G914" i="5"/>
  <c r="G582" i="5"/>
  <c r="I786" i="1"/>
  <c r="L786" i="1" s="1"/>
  <c r="J786" i="1" s="1"/>
  <c r="K786" i="1" s="1"/>
  <c r="I432" i="1"/>
  <c r="L432" i="1" s="1"/>
  <c r="G1210" i="5"/>
  <c r="I540" i="1"/>
  <c r="L540" i="1" s="1"/>
  <c r="G528" i="5"/>
  <c r="G301" i="5"/>
  <c r="G518" i="5"/>
  <c r="I812" i="1"/>
  <c r="L812" i="1" s="1"/>
  <c r="J812" i="1" s="1"/>
  <c r="K812" i="1" s="1"/>
  <c r="G315" i="5"/>
  <c r="G1156" i="5"/>
  <c r="G633" i="5"/>
  <c r="G777" i="5"/>
  <c r="G809" i="5"/>
  <c r="G1001" i="5"/>
  <c r="G1026" i="5"/>
  <c r="G370" i="5"/>
  <c r="G705" i="5"/>
  <c r="I824" i="1"/>
  <c r="L824" i="1" s="1"/>
  <c r="G67" i="5"/>
  <c r="I620" i="1"/>
  <c r="L620" i="1" s="1"/>
  <c r="G610" i="5"/>
  <c r="G916" i="5"/>
  <c r="I782" i="1"/>
  <c r="L782" i="1" s="1"/>
  <c r="G711" i="5"/>
  <c r="G426" i="5"/>
  <c r="I814" i="1"/>
  <c r="L814" i="1" s="1"/>
  <c r="G936" i="5"/>
  <c r="G1151" i="5"/>
  <c r="I683" i="1"/>
  <c r="L683" i="1" s="1"/>
  <c r="G1111" i="5"/>
  <c r="I481" i="1"/>
  <c r="L481" i="1" s="1"/>
  <c r="I1004" i="1"/>
  <c r="L1004" i="1" s="1"/>
  <c r="I517" i="1"/>
  <c r="L517" i="1" s="1"/>
  <c r="G870" i="5"/>
  <c r="I1064" i="1"/>
  <c r="L1064" i="1" s="1"/>
  <c r="G524" i="5"/>
  <c r="I805" i="1"/>
  <c r="L805" i="1" s="1"/>
  <c r="I864" i="1"/>
  <c r="L864" i="1" s="1"/>
  <c r="J864" i="1" s="1"/>
  <c r="K864" i="1" s="1"/>
  <c r="I477" i="1"/>
  <c r="L477" i="1" s="1"/>
  <c r="I635" i="1"/>
  <c r="L635" i="1" s="1"/>
  <c r="J635" i="1" s="1"/>
  <c r="K635" i="1" s="1"/>
  <c r="G403" i="5"/>
  <c r="I489" i="1"/>
  <c r="L489" i="1" s="1"/>
  <c r="J489" i="1" s="1"/>
  <c r="K489" i="1" s="1"/>
  <c r="G500" i="5"/>
  <c r="G1177" i="5"/>
  <c r="G943" i="5"/>
  <c r="G816" i="5"/>
  <c r="I681" i="1"/>
  <c r="L681" i="1" s="1"/>
  <c r="I974" i="1"/>
  <c r="L974" i="1" s="1"/>
  <c r="J974" i="1" s="1"/>
  <c r="K974" i="1" s="1"/>
  <c r="I1200" i="1"/>
  <c r="L1200" i="1" s="1"/>
  <c r="I676" i="1"/>
  <c r="L676" i="1" s="1"/>
  <c r="J676" i="1" s="1"/>
  <c r="K676" i="1" s="1"/>
  <c r="G1002" i="5"/>
  <c r="G1072" i="5"/>
  <c r="I761" i="1"/>
  <c r="L761" i="1" s="1"/>
  <c r="J761" i="1" s="1"/>
  <c r="K761" i="1" s="1"/>
  <c r="G1180" i="5"/>
  <c r="G603" i="5"/>
  <c r="G785" i="5"/>
  <c r="G82" i="5"/>
  <c r="I565" i="1"/>
  <c r="L565" i="1" s="1"/>
  <c r="J565" i="1" s="1"/>
  <c r="K565" i="1" s="1"/>
  <c r="I451" i="1"/>
  <c r="L451" i="1" s="1"/>
  <c r="J451" i="1" s="1"/>
  <c r="K451" i="1" s="1"/>
  <c r="G109" i="5"/>
  <c r="I486" i="1"/>
  <c r="L486" i="1" s="1"/>
  <c r="G1021" i="5"/>
  <c r="G837" i="5"/>
  <c r="G575" i="5"/>
  <c r="G354" i="5"/>
  <c r="G558" i="5"/>
  <c r="I929" i="1"/>
  <c r="L929" i="1" s="1"/>
  <c r="G631" i="5"/>
  <c r="I1056" i="1"/>
  <c r="L1056" i="1" s="1"/>
  <c r="G363" i="5"/>
  <c r="G953" i="5"/>
  <c r="I592" i="1"/>
  <c r="L592" i="1" s="1"/>
  <c r="J592" i="1" s="1"/>
  <c r="K592" i="1" s="1"/>
  <c r="G141" i="5"/>
  <c r="G280" i="5"/>
  <c r="G740" i="5"/>
  <c r="I928" i="1"/>
  <c r="L928" i="1" s="1"/>
  <c r="I896" i="1"/>
  <c r="L896" i="1" s="1"/>
  <c r="J896" i="1" s="1"/>
  <c r="K896" i="1" s="1"/>
  <c r="G348" i="5"/>
  <c r="G187" i="5"/>
  <c r="G382" i="5"/>
  <c r="I464" i="1"/>
  <c r="L464" i="1" s="1"/>
  <c r="J464" i="1" s="1"/>
  <c r="K464" i="1" s="1"/>
  <c r="I422" i="1"/>
  <c r="L422" i="1" s="1"/>
  <c r="I1060" i="1"/>
  <c r="L1060" i="1" s="1"/>
  <c r="I998" i="1"/>
  <c r="L998" i="1" s="1"/>
  <c r="J998" i="1" s="1"/>
  <c r="K998" i="1" s="1"/>
  <c r="G741" i="5"/>
  <c r="G1152" i="5"/>
  <c r="G274" i="5"/>
  <c r="G999" i="5"/>
  <c r="G632" i="5"/>
  <c r="I699" i="1"/>
  <c r="L699" i="1" s="1"/>
  <c r="I711" i="1"/>
  <c r="L711" i="1" s="1"/>
  <c r="J711" i="1" s="1"/>
  <c r="K711" i="1" s="1"/>
  <c r="I775" i="1"/>
  <c r="L775" i="1" s="1"/>
  <c r="J775" i="1" s="1"/>
  <c r="K775" i="1" s="1"/>
  <c r="G874" i="5"/>
  <c r="I1109" i="1"/>
  <c r="L1109" i="1" s="1"/>
  <c r="G211" i="5"/>
  <c r="G440" i="5"/>
  <c r="G93" i="5"/>
  <c r="I961" i="1"/>
  <c r="L961" i="1" s="1"/>
  <c r="J961" i="1" s="1"/>
  <c r="K961" i="1" s="1"/>
  <c r="G1057" i="5"/>
  <c r="I543" i="1"/>
  <c r="L543" i="1" s="1"/>
  <c r="G839" i="5"/>
  <c r="I772" i="1"/>
  <c r="L772" i="1" s="1"/>
  <c r="J772" i="1" s="1"/>
  <c r="K772" i="1" s="1"/>
  <c r="G198" i="5"/>
  <c r="I643" i="1"/>
  <c r="L643" i="1" s="1"/>
  <c r="J643" i="1" s="1"/>
  <c r="K643" i="1" s="1"/>
  <c r="G650" i="5"/>
  <c r="G1109" i="5"/>
  <c r="G295" i="5"/>
  <c r="G287" i="5"/>
  <c r="G624" i="5"/>
  <c r="G559" i="5"/>
  <c r="I454" i="1"/>
  <c r="L454" i="1" s="1"/>
  <c r="G670" i="5"/>
  <c r="G660" i="5"/>
  <c r="G548" i="5"/>
  <c r="I670" i="1"/>
  <c r="L670" i="1" s="1"/>
  <c r="I944" i="1"/>
  <c r="L944" i="1" s="1"/>
  <c r="G17" i="5"/>
  <c r="I584" i="1"/>
  <c r="L584" i="1" s="1"/>
  <c r="I1054" i="1"/>
  <c r="L1054" i="1" s="1"/>
  <c r="I1011" i="1"/>
  <c r="L1011" i="1" s="1"/>
  <c r="G622" i="5"/>
  <c r="G276" i="5"/>
  <c r="G580" i="5"/>
  <c r="G763" i="5"/>
  <c r="I1089" i="1"/>
  <c r="L1089" i="1" s="1"/>
  <c r="J1089" i="1" s="1"/>
  <c r="K1089" i="1" s="1"/>
  <c r="G684" i="5"/>
  <c r="I722" i="1"/>
  <c r="L722" i="1" s="1"/>
  <c r="G598" i="5"/>
  <c r="G497" i="5"/>
  <c r="I827" i="1"/>
  <c r="L827" i="1" s="1"/>
  <c r="J827" i="1" s="1"/>
  <c r="K827" i="1" s="1"/>
  <c r="G178" i="5"/>
  <c r="G395" i="5"/>
  <c r="I903" i="1"/>
  <c r="L903" i="1" s="1"/>
  <c r="J903" i="1" s="1"/>
  <c r="K903" i="1" s="1"/>
  <c r="G16" i="5"/>
  <c r="G883" i="5"/>
  <c r="I833" i="1"/>
  <c r="L833" i="1" s="1"/>
  <c r="J833" i="1" s="1"/>
  <c r="K833" i="1" s="1"/>
  <c r="G893" i="5"/>
  <c r="G73" i="5"/>
  <c r="I917" i="1"/>
  <c r="L917" i="1" s="1"/>
  <c r="G1201" i="5"/>
  <c r="G1157" i="5"/>
  <c r="G372" i="5"/>
  <c r="G971" i="5"/>
  <c r="I980" i="1"/>
  <c r="L980" i="1" s="1"/>
  <c r="J980" i="1" s="1"/>
  <c r="K980" i="1" s="1"/>
  <c r="G584" i="5"/>
  <c r="G948" i="5"/>
  <c r="G671" i="5"/>
  <c r="I1055" i="1"/>
  <c r="L1055" i="1" s="1"/>
  <c r="I447" i="1"/>
  <c r="L447" i="1" s="1"/>
  <c r="I655" i="1"/>
  <c r="L655" i="1" s="1"/>
  <c r="J655" i="1" s="1"/>
  <c r="K655" i="1" s="1"/>
  <c r="G483" i="5"/>
  <c r="G64" i="5"/>
  <c r="I886" i="1"/>
  <c r="L886" i="1" s="1"/>
  <c r="J886" i="1" s="1"/>
  <c r="K886" i="1" s="1"/>
  <c r="I1132" i="1"/>
  <c r="L1132" i="1" s="1"/>
  <c r="I901" i="1"/>
  <c r="L901" i="1" s="1"/>
  <c r="J901" i="1" s="1"/>
  <c r="K901" i="1" s="1"/>
  <c r="G176" i="5"/>
  <c r="I891" i="1"/>
  <c r="L891" i="1" s="1"/>
  <c r="J891" i="1" s="1"/>
  <c r="K891" i="1" s="1"/>
  <c r="G702" i="5"/>
  <c r="G1082" i="5"/>
  <c r="I1140" i="1"/>
  <c r="L1140" i="1" s="1"/>
  <c r="J1140" i="1" s="1"/>
  <c r="K1140" i="1" s="1"/>
  <c r="G627" i="5"/>
  <c r="I1207" i="1"/>
  <c r="L1207" i="1" s="1"/>
  <c r="G673" i="5"/>
  <c r="I844" i="1"/>
  <c r="L844" i="1" s="1"/>
  <c r="G590" i="5"/>
  <c r="I765" i="1"/>
  <c r="L765" i="1" s="1"/>
  <c r="I710" i="1"/>
  <c r="L710" i="1" s="1"/>
  <c r="J710" i="1" s="1"/>
  <c r="K710" i="1" s="1"/>
  <c r="I787" i="1"/>
  <c r="L787" i="1" s="1"/>
  <c r="J787" i="1" s="1"/>
  <c r="K787" i="1" s="1"/>
  <c r="G237" i="5"/>
  <c r="G694" i="5"/>
  <c r="I574" i="1"/>
  <c r="L574" i="1" s="1"/>
  <c r="I1194" i="1"/>
  <c r="L1194" i="1" s="1"/>
  <c r="G974" i="5"/>
  <c r="G852" i="5"/>
  <c r="I1065" i="1"/>
  <c r="L1065" i="1" s="1"/>
  <c r="J1065" i="1" s="1"/>
  <c r="K1065" i="1" s="1"/>
  <c r="I1178" i="1"/>
  <c r="L1178" i="1" s="1"/>
  <c r="G389" i="5"/>
  <c r="G895" i="5"/>
  <c r="I455" i="1"/>
  <c r="L455" i="1" s="1"/>
  <c r="G487" i="5"/>
  <c r="I656" i="1"/>
  <c r="L656" i="1" s="1"/>
  <c r="J656" i="1" s="1"/>
  <c r="K656" i="1" s="1"/>
  <c r="I538" i="1"/>
  <c r="L538" i="1" s="1"/>
  <c r="I1111" i="1"/>
  <c r="L1111" i="1" s="1"/>
  <c r="J1111" i="1" s="1"/>
  <c r="K1111" i="1" s="1"/>
  <c r="I888" i="1"/>
  <c r="L888" i="1" s="1"/>
  <c r="I469" i="1"/>
  <c r="L469" i="1" s="1"/>
  <c r="G54" i="5"/>
  <c r="G898" i="5"/>
  <c r="G950" i="5"/>
  <c r="G1075" i="5"/>
  <c r="I441" i="1"/>
  <c r="L441" i="1" s="1"/>
  <c r="I537" i="1"/>
  <c r="L537" i="1" s="1"/>
  <c r="G717" i="5"/>
  <c r="I687" i="1"/>
  <c r="L687" i="1" s="1"/>
  <c r="J687" i="1" s="1"/>
  <c r="K687" i="1" s="1"/>
  <c r="G966" i="5"/>
  <c r="I750" i="1"/>
  <c r="L750" i="1" s="1"/>
  <c r="G968" i="5"/>
  <c r="G607" i="5"/>
  <c r="I546" i="1"/>
  <c r="L546" i="1" s="1"/>
  <c r="G278" i="5"/>
  <c r="G1127" i="5"/>
  <c r="G1079" i="5"/>
  <c r="I511" i="1"/>
  <c r="L511" i="1" s="1"/>
  <c r="I920" i="1"/>
  <c r="L920" i="1" s="1"/>
  <c r="G642" i="5"/>
  <c r="G636" i="5"/>
  <c r="G151" i="5"/>
  <c r="G417" i="5"/>
  <c r="G659" i="5"/>
  <c r="G25" i="5"/>
  <c r="G1194" i="5"/>
  <c r="I649" i="1"/>
  <c r="L649" i="1" s="1"/>
  <c r="I871" i="1"/>
  <c r="L871" i="1" s="1"/>
  <c r="G765" i="5"/>
  <c r="G818" i="5"/>
  <c r="G830" i="5"/>
  <c r="G220" i="5"/>
  <c r="G599" i="5"/>
  <c r="G249" i="5"/>
  <c r="I1128" i="1"/>
  <c r="L1128" i="1" s="1"/>
  <c r="I1038" i="1"/>
  <c r="L1038" i="1" s="1"/>
  <c r="J1038" i="1" s="1"/>
  <c r="K1038" i="1" s="1"/>
  <c r="G1117" i="5"/>
  <c r="I612" i="1"/>
  <c r="L612" i="1" s="1"/>
  <c r="G1212" i="5"/>
  <c r="G791" i="5"/>
  <c r="I1147" i="1"/>
  <c r="L1147" i="1" s="1"/>
  <c r="G488" i="5"/>
  <c r="G72" i="5"/>
  <c r="I688" i="1"/>
  <c r="L688" i="1" s="1"/>
  <c r="J688" i="1" s="1"/>
  <c r="K688" i="1" s="1"/>
  <c r="G414" i="5"/>
  <c r="I768" i="1"/>
  <c r="L768" i="1" s="1"/>
  <c r="J768" i="1" s="1"/>
  <c r="K768" i="1" s="1"/>
  <c r="G743" i="5"/>
  <c r="G725" i="5"/>
  <c r="I863" i="1"/>
  <c r="L863" i="1" s="1"/>
  <c r="J863" i="1" s="1"/>
  <c r="K863" i="1" s="1"/>
  <c r="I1012" i="1"/>
  <c r="L1012" i="1" s="1"/>
  <c r="I815" i="1"/>
  <c r="L815" i="1" s="1"/>
  <c r="G1094" i="5"/>
  <c r="G373" i="5"/>
  <c r="G415" i="5"/>
  <c r="G235" i="5"/>
  <c r="G224" i="5"/>
  <c r="I551" i="1"/>
  <c r="L551" i="1" s="1"/>
  <c r="G846" i="5"/>
  <c r="I1047" i="1"/>
  <c r="L1047" i="1" s="1"/>
  <c r="J1047" i="1" s="1"/>
  <c r="K1047" i="1" s="1"/>
  <c r="I746" i="1"/>
  <c r="L746" i="1" s="1"/>
  <c r="I524" i="1"/>
  <c r="L524" i="1" s="1"/>
  <c r="G566" i="5"/>
  <c r="I874" i="1"/>
  <c r="L874" i="1" s="1"/>
  <c r="G675" i="5"/>
  <c r="G1184" i="5"/>
  <c r="G453" i="5"/>
  <c r="I593" i="1"/>
  <c r="L593" i="1" s="1"/>
  <c r="G442" i="5"/>
  <c r="G723" i="5"/>
  <c r="I840" i="1"/>
  <c r="L840" i="1" s="1"/>
  <c r="J840" i="1" s="1"/>
  <c r="K840" i="1" s="1"/>
  <c r="I682" i="1"/>
  <c r="L682" i="1" s="1"/>
  <c r="I624" i="1"/>
  <c r="L624" i="1" s="1"/>
  <c r="G1132" i="5"/>
  <c r="I638" i="1"/>
  <c r="L638" i="1" s="1"/>
  <c r="J638" i="1" s="1"/>
  <c r="K638" i="1" s="1"/>
  <c r="G69" i="5"/>
  <c r="I790" i="1"/>
  <c r="L790" i="1" s="1"/>
  <c r="G1037" i="5"/>
  <c r="G882" i="5"/>
  <c r="I1087" i="1"/>
  <c r="L1087" i="1" s="1"/>
  <c r="G828" i="5"/>
  <c r="I1130" i="1"/>
  <c r="L1130" i="1" s="1"/>
  <c r="J1130" i="1" s="1"/>
  <c r="K1130" i="1" s="1"/>
  <c r="G246" i="5"/>
  <c r="G926" i="5"/>
  <c r="G1018" i="5"/>
  <c r="I895" i="1"/>
  <c r="L895" i="1" s="1"/>
  <c r="J895" i="1" s="1"/>
  <c r="K895" i="1" s="1"/>
  <c r="G775" i="5"/>
  <c r="G735" i="5"/>
  <c r="I446" i="1"/>
  <c r="L446" i="1" s="1"/>
  <c r="G1040" i="5"/>
  <c r="G549" i="5"/>
  <c r="I966" i="1"/>
  <c r="L966" i="1" s="1"/>
  <c r="J966" i="1" s="1"/>
  <c r="K966" i="1" s="1"/>
  <c r="I774" i="1"/>
  <c r="L774" i="1" s="1"/>
  <c r="J774" i="1" s="1"/>
  <c r="K774" i="1" s="1"/>
  <c r="I409" i="1"/>
  <c r="L409" i="1" s="1"/>
  <c r="G207" i="5"/>
  <c r="G482" i="5"/>
  <c r="I457" i="1"/>
  <c r="L457" i="1" s="1"/>
  <c r="J457" i="1" s="1"/>
  <c r="K457" i="1" s="1"/>
  <c r="I1043" i="1"/>
  <c r="L1043" i="1" s="1"/>
  <c r="J1043" i="1" s="1"/>
  <c r="K1043" i="1" s="1"/>
  <c r="I573" i="1"/>
  <c r="L573" i="1" s="1"/>
  <c r="G547" i="5"/>
  <c r="I578" i="1"/>
  <c r="L578" i="1" s="1"/>
  <c r="G516" i="5"/>
  <c r="G391" i="5"/>
  <c r="G786" i="5"/>
  <c r="G181" i="5"/>
  <c r="G738" i="5"/>
  <c r="G742" i="5"/>
  <c r="G1203" i="5"/>
  <c r="I900" i="1"/>
  <c r="L900" i="1" s="1"/>
  <c r="J900" i="1" s="1"/>
  <c r="K900" i="1" s="1"/>
  <c r="I626" i="1"/>
  <c r="L626" i="1" s="1"/>
  <c r="G113" i="5"/>
  <c r="G562" i="5"/>
  <c r="I953" i="1"/>
  <c r="L953" i="1" s="1"/>
  <c r="G485" i="5"/>
  <c r="I1190" i="1"/>
  <c r="L1190" i="1" s="1"/>
  <c r="I652" i="1"/>
  <c r="L652" i="1" s="1"/>
  <c r="G128" i="5"/>
  <c r="G1190" i="5"/>
  <c r="I1106" i="1"/>
  <c r="L1106" i="1" s="1"/>
  <c r="J1106" i="1" s="1"/>
  <c r="K1106" i="1" s="1"/>
  <c r="G1014" i="5"/>
  <c r="G252" i="5"/>
  <c r="G265" i="5"/>
  <c r="G421" i="5"/>
  <c r="I1077" i="1"/>
  <c r="L1077" i="1" s="1"/>
  <c r="I695" i="1"/>
  <c r="L695" i="1" s="1"/>
  <c r="G1104" i="5"/>
  <c r="G1023" i="5"/>
  <c r="G96" i="5"/>
  <c r="I1104" i="1"/>
  <c r="L1104" i="1" s="1"/>
  <c r="J1104" i="1" s="1"/>
  <c r="K1104" i="1" s="1"/>
  <c r="G1142" i="5"/>
  <c r="G158" i="5"/>
  <c r="I1195" i="1"/>
  <c r="L1195" i="1" s="1"/>
  <c r="I831" i="1"/>
  <c r="L831" i="1" s="1"/>
  <c r="I421" i="1"/>
  <c r="L421" i="1" s="1"/>
  <c r="J421" i="1" s="1"/>
  <c r="K421" i="1" s="1"/>
  <c r="G1130" i="5"/>
  <c r="G661" i="5"/>
  <c r="G730" i="5"/>
  <c r="G1155" i="5"/>
  <c r="G728" i="5"/>
  <c r="G1141" i="5"/>
  <c r="G290" i="5"/>
  <c r="G831" i="5"/>
  <c r="I576" i="1"/>
  <c r="L576" i="1" s="1"/>
  <c r="G75" i="5"/>
  <c r="G545" i="5"/>
  <c r="G313" i="5"/>
  <c r="G429" i="5"/>
  <c r="I641" i="1"/>
  <c r="L641" i="1" s="1"/>
  <c r="J641" i="1" s="1"/>
  <c r="K641" i="1" s="1"/>
  <c r="G729" i="5"/>
  <c r="G344" i="5"/>
  <c r="I988" i="1"/>
  <c r="L988" i="1" s="1"/>
  <c r="J988" i="1" s="1"/>
  <c r="K988" i="1" s="1"/>
  <c r="G538" i="5"/>
  <c r="G764" i="5"/>
  <c r="I890" i="1"/>
  <c r="L890" i="1" s="1"/>
  <c r="J890" i="1" s="1"/>
  <c r="K890" i="1" s="1"/>
  <c r="G478" i="5"/>
  <c r="I771" i="1"/>
  <c r="L771" i="1" s="1"/>
  <c r="J771" i="1" s="1"/>
  <c r="K771" i="1" s="1"/>
  <c r="G577" i="5"/>
  <c r="I1171" i="1"/>
  <c r="L1171" i="1" s="1"/>
  <c r="J1171" i="1" s="1"/>
  <c r="K1171" i="1" s="1"/>
  <c r="I832" i="1"/>
  <c r="L832" i="1" s="1"/>
  <c r="J832" i="1" s="1"/>
  <c r="K832" i="1" s="1"/>
  <c r="G1205" i="5"/>
  <c r="I755" i="1"/>
  <c r="L755" i="1" s="1"/>
  <c r="G1015" i="5"/>
  <c r="I692" i="1"/>
  <c r="L692" i="1" s="1"/>
  <c r="G908" i="5"/>
  <c r="G1076" i="5"/>
  <c r="G200" i="5"/>
  <c r="I1032" i="1"/>
  <c r="L1032" i="1" s="1"/>
  <c r="I473" i="1"/>
  <c r="L473" i="1" s="1"/>
  <c r="G931" i="5"/>
  <c r="G1070" i="5"/>
  <c r="I807" i="1"/>
  <c r="L807" i="1" s="1"/>
  <c r="J807" i="1" s="1"/>
  <c r="K807" i="1" s="1"/>
  <c r="I554" i="1"/>
  <c r="L554" i="1" s="1"/>
  <c r="J554" i="1" s="1"/>
  <c r="K554" i="1" s="1"/>
  <c r="G320" i="5"/>
  <c r="G864" i="5"/>
  <c r="G770" i="5"/>
  <c r="I1154" i="1"/>
  <c r="L1154" i="1" s="1"/>
  <c r="J1154" i="1" s="1"/>
  <c r="K1154" i="1" s="1"/>
  <c r="I965" i="1"/>
  <c r="L965" i="1" s="1"/>
  <c r="J965" i="1" s="1"/>
  <c r="K965" i="1" s="1"/>
  <c r="I678" i="1"/>
  <c r="L678" i="1" s="1"/>
  <c r="J678" i="1" s="1"/>
  <c r="K678" i="1" s="1"/>
  <c r="G849" i="5"/>
  <c r="I466" i="1"/>
  <c r="L466" i="1" s="1"/>
  <c r="I845" i="1"/>
  <c r="L845" i="1" s="1"/>
  <c r="G475" i="5"/>
  <c r="G291" i="5"/>
  <c r="G688" i="5"/>
  <c r="G701" i="5"/>
  <c r="G892" i="5"/>
  <c r="I1073" i="1"/>
  <c r="L1073" i="1" s="1"/>
  <c r="I759" i="1"/>
  <c r="L759" i="1" s="1"/>
  <c r="G153" i="5"/>
  <c r="I898" i="1"/>
  <c r="L898" i="1" s="1"/>
  <c r="J898" i="1" s="1"/>
  <c r="K898" i="1" s="1"/>
  <c r="G71" i="5"/>
  <c r="G790" i="5"/>
  <c r="G394" i="5"/>
  <c r="G208" i="5"/>
  <c r="I640" i="1"/>
  <c r="L640" i="1" s="1"/>
  <c r="J640" i="1" s="1"/>
  <c r="K640" i="1" s="1"/>
  <c r="I433" i="1"/>
  <c r="L433" i="1" s="1"/>
  <c r="I1029" i="1"/>
  <c r="L1029" i="1" s="1"/>
  <c r="G130" i="5"/>
  <c r="I648" i="1"/>
  <c r="L648" i="1" s="1"/>
  <c r="I1071" i="1"/>
  <c r="L1071" i="1" s="1"/>
  <c r="J1071" i="1" s="1"/>
  <c r="K1071" i="1" s="1"/>
  <c r="I529" i="1"/>
  <c r="L529" i="1" s="1"/>
  <c r="J529" i="1" s="1"/>
  <c r="K529" i="1" s="1"/>
  <c r="G439" i="5"/>
  <c r="I758" i="1"/>
  <c r="L758" i="1" s="1"/>
  <c r="G89" i="5"/>
  <c r="G1080" i="5"/>
  <c r="G438" i="5"/>
  <c r="G614" i="5"/>
  <c r="G445" i="5"/>
  <c r="G304" i="5"/>
  <c r="G811" i="5"/>
  <c r="G468" i="5"/>
  <c r="G210" i="5"/>
  <c r="G1137" i="5"/>
  <c r="G1176" i="5"/>
  <c r="G907" i="5"/>
  <c r="I930" i="1"/>
  <c r="L930" i="1" s="1"/>
  <c r="J930" i="1" s="1"/>
  <c r="K930" i="1" s="1"/>
  <c r="I836" i="1"/>
  <c r="L836" i="1" s="1"/>
  <c r="J836" i="1" s="1"/>
  <c r="K836" i="1" s="1"/>
  <c r="I694" i="1"/>
  <c r="L694" i="1" s="1"/>
  <c r="G406" i="5"/>
  <c r="I526" i="1"/>
  <c r="L526" i="1" s="1"/>
  <c r="J526" i="1" s="1"/>
  <c r="K526" i="1" s="1"/>
  <c r="I781" i="1"/>
  <c r="L781" i="1" s="1"/>
  <c r="I1150" i="1"/>
  <c r="L1150" i="1" s="1"/>
  <c r="G70" i="5"/>
  <c r="I1022" i="1"/>
  <c r="L1022" i="1" s="1"/>
  <c r="G963" i="5"/>
  <c r="G585" i="5"/>
  <c r="I510" i="1"/>
  <c r="L510" i="1" s="1"/>
  <c r="I1126" i="1"/>
  <c r="L1126" i="1" s="1"/>
  <c r="G665" i="5"/>
  <c r="G155" i="5"/>
  <c r="I1101" i="1"/>
  <c r="L1101" i="1" s="1"/>
  <c r="J1101" i="1" s="1"/>
  <c r="K1101" i="1" s="1"/>
  <c r="I945" i="1"/>
  <c r="L945" i="1" s="1"/>
  <c r="G515" i="5"/>
  <c r="G32" i="5"/>
  <c r="G323" i="5"/>
  <c r="G745" i="5"/>
  <c r="G795" i="5"/>
  <c r="G602" i="5"/>
  <c r="I802" i="1"/>
  <c r="L802" i="1" s="1"/>
  <c r="J802" i="1" s="1"/>
  <c r="K802" i="1" s="1"/>
  <c r="I1097" i="1"/>
  <c r="L1097" i="1" s="1"/>
  <c r="I480" i="1"/>
  <c r="L480" i="1" s="1"/>
  <c r="I931" i="1"/>
  <c r="L931" i="1" s="1"/>
  <c r="J931" i="1" s="1"/>
  <c r="K931" i="1" s="1"/>
  <c r="I1019" i="1"/>
  <c r="L1019" i="1" s="1"/>
  <c r="G667" i="5"/>
  <c r="I628" i="1"/>
  <c r="L628" i="1" s="1"/>
  <c r="J628" i="1" s="1"/>
  <c r="K628" i="1" s="1"/>
  <c r="G412" i="5"/>
  <c r="I644" i="1"/>
  <c r="L644" i="1" s="1"/>
  <c r="I603" i="1"/>
  <c r="L603" i="1" s="1"/>
  <c r="G1161" i="5"/>
  <c r="G767" i="5"/>
  <c r="G783" i="5"/>
  <c r="G656" i="5"/>
  <c r="I685" i="1"/>
  <c r="L685" i="1" s="1"/>
  <c r="J685" i="1" s="1"/>
  <c r="K685" i="1" s="1"/>
  <c r="G1054" i="5"/>
  <c r="G102" i="5"/>
  <c r="G768" i="5"/>
  <c r="G1169" i="5"/>
  <c r="G1048" i="5"/>
  <c r="I435" i="1"/>
  <c r="L435" i="1" s="1"/>
  <c r="G1186" i="5"/>
  <c r="I779" i="1"/>
  <c r="L779" i="1" s="1"/>
  <c r="G781" i="5"/>
  <c r="I939" i="1"/>
  <c r="L939" i="1" s="1"/>
  <c r="J939" i="1" s="1"/>
  <c r="K939" i="1" s="1"/>
  <c r="G119" i="5"/>
  <c r="G787" i="5"/>
  <c r="G1065" i="5"/>
  <c r="I479" i="1"/>
  <c r="L479" i="1" s="1"/>
  <c r="I522" i="1"/>
  <c r="L522" i="1" s="1"/>
  <c r="I983" i="1"/>
  <c r="L983" i="1" s="1"/>
  <c r="J983" i="1" s="1"/>
  <c r="K983" i="1" s="1"/>
  <c r="I866" i="1"/>
  <c r="L866" i="1" s="1"/>
  <c r="I1040" i="1"/>
  <c r="L1040" i="1" s="1"/>
  <c r="J1040" i="1" s="1"/>
  <c r="K1040" i="1" s="1"/>
  <c r="G1196" i="5"/>
  <c r="I1005" i="1"/>
  <c r="L1005" i="1" s="1"/>
  <c r="I1021" i="1"/>
  <c r="L1021" i="1" s="1"/>
  <c r="I668" i="1"/>
  <c r="L668" i="1" s="1"/>
  <c r="G1096" i="5"/>
  <c r="G1173" i="5"/>
  <c r="I1143" i="1"/>
  <c r="L1143" i="1" s="1"/>
  <c r="G945" i="5"/>
  <c r="G1009" i="5"/>
  <c r="G1154" i="5"/>
  <c r="G1092" i="5"/>
  <c r="G1098" i="5"/>
  <c r="I596" i="1"/>
  <c r="L596" i="1" s="1"/>
  <c r="J596" i="1" s="1"/>
  <c r="K596" i="1" s="1"/>
  <c r="G906" i="5"/>
  <c r="G793" i="5"/>
  <c r="G976" i="5"/>
  <c r="I602" i="1"/>
  <c r="L602" i="1" s="1"/>
  <c r="G713" i="5"/>
  <c r="I686" i="1"/>
  <c r="L686" i="1" s="1"/>
  <c r="J686" i="1" s="1"/>
  <c r="K686" i="1" s="1"/>
  <c r="I979" i="1"/>
  <c r="L979" i="1" s="1"/>
  <c r="J979" i="1" s="1"/>
  <c r="K979" i="1" s="1"/>
  <c r="I1072" i="1"/>
  <c r="L1072" i="1" s="1"/>
  <c r="J1072" i="1" s="1"/>
  <c r="K1072" i="1" s="1"/>
  <c r="I1085" i="1"/>
  <c r="L1085" i="1" s="1"/>
  <c r="J1085" i="1" s="1"/>
  <c r="K1085" i="1" s="1"/>
  <c r="G700" i="5"/>
  <c r="I553" i="1"/>
  <c r="L553" i="1" s="1"/>
  <c r="J553" i="1" s="1"/>
  <c r="K553" i="1" s="1"/>
  <c r="I990" i="1"/>
  <c r="L990" i="1" s="1"/>
  <c r="J990" i="1" s="1"/>
  <c r="K990" i="1" s="1"/>
  <c r="I514" i="1"/>
  <c r="L514" i="1" s="1"/>
  <c r="G233" i="5"/>
  <c r="I952" i="1"/>
  <c r="L952" i="1" s="1"/>
  <c r="I1092" i="1"/>
  <c r="L1092" i="1" s="1"/>
  <c r="G81" i="5"/>
  <c r="G606" i="5"/>
  <c r="G601" i="5"/>
  <c r="G1013" i="5"/>
  <c r="G88" i="5"/>
  <c r="I1204" i="1"/>
  <c r="L1204" i="1" s="1"/>
  <c r="I505" i="1"/>
  <c r="L505" i="1" s="1"/>
  <c r="I1062" i="1"/>
  <c r="L1062" i="1" s="1"/>
  <c r="I544" i="1"/>
  <c r="L544" i="1" s="1"/>
  <c r="I1030" i="1"/>
  <c r="L1030" i="1" s="1"/>
  <c r="G935" i="5"/>
  <c r="G1195" i="5"/>
  <c r="I492" i="1"/>
  <c r="L492" i="1" s="1"/>
  <c r="I657" i="1"/>
  <c r="L657" i="1" s="1"/>
  <c r="J657" i="1" s="1"/>
  <c r="K657" i="1" s="1"/>
  <c r="I956" i="1"/>
  <c r="L956" i="1" s="1"/>
  <c r="G522" i="5"/>
  <c r="G462" i="5"/>
  <c r="G258" i="5"/>
  <c r="G506" i="5"/>
  <c r="G572" i="5"/>
  <c r="I600" i="1"/>
  <c r="L600" i="1" s="1"/>
  <c r="J600" i="1" s="1"/>
  <c r="K600" i="1" s="1"/>
  <c r="G706" i="5"/>
  <c r="I1015" i="1"/>
  <c r="L1015" i="1" s="1"/>
  <c r="I427" i="1"/>
  <c r="L427" i="1" s="1"/>
  <c r="J427" i="1" s="1"/>
  <c r="K427" i="1" s="1"/>
  <c r="G461" i="5"/>
  <c r="I663" i="1"/>
  <c r="L663" i="1" s="1"/>
  <c r="I536" i="1"/>
  <c r="L536" i="1" s="1"/>
  <c r="G332" i="5"/>
  <c r="G1058" i="5"/>
  <c r="I1075" i="1"/>
  <c r="L1075" i="1" s="1"/>
  <c r="G817" i="5"/>
  <c r="G959" i="5"/>
  <c r="G597" i="5"/>
  <c r="G889" i="5"/>
  <c r="G281" i="5"/>
  <c r="G630" i="5"/>
  <c r="I821" i="1"/>
  <c r="L821" i="1" s="1"/>
  <c r="G432" i="5"/>
  <c r="G827" i="5"/>
  <c r="G358" i="5"/>
  <c r="I1081" i="1"/>
  <c r="L1081" i="1" s="1"/>
  <c r="I467" i="1"/>
  <c r="L467" i="1" s="1"/>
  <c r="G347" i="5"/>
  <c r="G1044" i="5"/>
  <c r="I743" i="1"/>
  <c r="L743" i="1" s="1"/>
  <c r="G905" i="5"/>
  <c r="I1034" i="1"/>
  <c r="L1034" i="1" s="1"/>
  <c r="G137" i="5"/>
  <c r="G978" i="5"/>
  <c r="G232" i="5"/>
  <c r="G736" i="5"/>
  <c r="G509" i="5"/>
  <c r="I867" i="1"/>
  <c r="L867" i="1" s="1"/>
  <c r="J867" i="1" s="1"/>
  <c r="K867" i="1" s="1"/>
  <c r="G159" i="5"/>
  <c r="G751" i="5"/>
  <c r="G182" i="5"/>
  <c r="I927" i="1"/>
  <c r="L927" i="1" s="1"/>
  <c r="J927" i="1" s="1"/>
  <c r="K927" i="1" s="1"/>
  <c r="I780" i="1"/>
  <c r="L780" i="1" s="1"/>
  <c r="G502" i="5"/>
  <c r="G1043" i="5"/>
  <c r="I993" i="1"/>
  <c r="L993" i="1" s="1"/>
  <c r="J993" i="1" s="1"/>
  <c r="K993" i="1" s="1"/>
  <c r="I1095" i="1"/>
  <c r="L1095" i="1" s="1"/>
  <c r="J1095" i="1" s="1"/>
  <c r="K1095" i="1" s="1"/>
  <c r="G77" i="5"/>
  <c r="G923" i="5"/>
  <c r="G241" i="5"/>
  <c r="I810" i="1"/>
  <c r="L810" i="1" s="1"/>
  <c r="J810" i="1" s="1"/>
  <c r="K810" i="1" s="1"/>
  <c r="G213" i="5"/>
  <c r="I1141" i="1"/>
  <c r="L1141" i="1" s="1"/>
  <c r="G1041" i="5"/>
  <c r="I804" i="1"/>
  <c r="L804" i="1" s="1"/>
  <c r="J804" i="1" s="1"/>
  <c r="K804" i="1" s="1"/>
  <c r="G919" i="5"/>
  <c r="I684" i="1"/>
  <c r="L684" i="1" s="1"/>
  <c r="I742" i="1"/>
  <c r="L742" i="1" s="1"/>
  <c r="J742" i="1" s="1"/>
  <c r="K742" i="1" s="1"/>
  <c r="G987" i="5"/>
  <c r="I958" i="1"/>
  <c r="L958" i="1" s="1"/>
  <c r="J958" i="1" s="1"/>
  <c r="K958" i="1" s="1"/>
  <c r="I468" i="1"/>
  <c r="L468" i="1" s="1"/>
  <c r="I1000" i="1"/>
  <c r="L1000" i="1" s="1"/>
  <c r="I577" i="1"/>
  <c r="L577" i="1" s="1"/>
  <c r="G145" i="5"/>
  <c r="I1184" i="1"/>
  <c r="L1184" i="1" s="1"/>
  <c r="J1184" i="1" s="1"/>
  <c r="K1184" i="1" s="1"/>
  <c r="G1204" i="5"/>
  <c r="G847" i="5"/>
  <c r="G1128" i="5"/>
  <c r="G1174" i="5"/>
  <c r="I909" i="1"/>
  <c r="L909" i="1" s="1"/>
  <c r="J909" i="1" s="1"/>
  <c r="K909" i="1" s="1"/>
  <c r="G36" i="5"/>
  <c r="I1139" i="1"/>
  <c r="L1139" i="1" s="1"/>
  <c r="J1139" i="1" s="1"/>
  <c r="K1139" i="1" s="1"/>
  <c r="I788" i="1"/>
  <c r="L788" i="1" s="1"/>
  <c r="I569" i="1"/>
  <c r="L569" i="1" s="1"/>
  <c r="J569" i="1" s="1"/>
  <c r="K569" i="1" s="1"/>
  <c r="I673" i="1"/>
  <c r="L673" i="1" s="1"/>
  <c r="G722" i="5"/>
  <c r="I407" i="1"/>
  <c r="L407" i="1" s="1"/>
  <c r="G51" i="5"/>
  <c r="I922" i="1"/>
  <c r="L922" i="1" s="1"/>
  <c r="G277" i="5"/>
  <c r="I598" i="1"/>
  <c r="L598" i="1" s="1"/>
  <c r="I1186" i="1"/>
  <c r="L1186" i="1" s="1"/>
  <c r="G530" i="5"/>
  <c r="G873" i="5"/>
  <c r="I1187" i="1"/>
  <c r="L1187" i="1" s="1"/>
  <c r="G495" i="5"/>
  <c r="G1125" i="5"/>
  <c r="G1089" i="5"/>
  <c r="I1113" i="1"/>
  <c r="L1113" i="1" s="1"/>
  <c r="J1113" i="1" s="1"/>
  <c r="K1113" i="1" s="1"/>
  <c r="G967" i="5"/>
  <c r="G1136" i="5"/>
  <c r="G160" i="5"/>
  <c r="I1041" i="1"/>
  <c r="L1041" i="1" s="1"/>
  <c r="J1041" i="1" s="1"/>
  <c r="K1041" i="1" s="1"/>
  <c r="I1179" i="1"/>
  <c r="L1179" i="1" s="1"/>
  <c r="G986" i="5"/>
  <c r="I458" i="1"/>
  <c r="L458" i="1" s="1"/>
  <c r="G407" i="5"/>
  <c r="G57" i="5"/>
  <c r="G1066" i="5"/>
  <c r="I744" i="1"/>
  <c r="L744" i="1" s="1"/>
  <c r="I625" i="1"/>
  <c r="L625" i="1" s="1"/>
  <c r="G1209" i="5"/>
  <c r="I696" i="1"/>
  <c r="L696" i="1" s="1"/>
  <c r="G154" i="5"/>
  <c r="G1178" i="5"/>
  <c r="I647" i="1"/>
  <c r="L647" i="1" s="1"/>
  <c r="G1078" i="5"/>
  <c r="I1192" i="1"/>
  <c r="L1192" i="1" s="1"/>
  <c r="G1118" i="5"/>
  <c r="G739" i="5"/>
  <c r="G398" i="5"/>
  <c r="G1163" i="5"/>
  <c r="I1169" i="1"/>
  <c r="L1169" i="1" s="1"/>
  <c r="J1169" i="1" s="1"/>
  <c r="K1169" i="1" s="1"/>
  <c r="I777" i="1"/>
  <c r="L777" i="1" s="1"/>
  <c r="J777" i="1" s="1"/>
  <c r="K777" i="1" s="1"/>
  <c r="G877" i="5"/>
  <c r="I494" i="1"/>
  <c r="L494" i="1" s="1"/>
  <c r="G886" i="5"/>
  <c r="G411" i="5"/>
  <c r="I690" i="1"/>
  <c r="L690" i="1" s="1"/>
  <c r="J690" i="1" s="1"/>
  <c r="K690" i="1" s="1"/>
  <c r="I1090" i="1"/>
  <c r="L1090" i="1" s="1"/>
  <c r="J1090" i="1" s="1"/>
  <c r="K1090" i="1" s="1"/>
  <c r="G1006" i="5"/>
  <c r="G940" i="5"/>
  <c r="G662" i="5"/>
  <c r="G583" i="5"/>
  <c r="I689" i="1"/>
  <c r="L689" i="1" s="1"/>
  <c r="J689" i="1" s="1"/>
  <c r="K689" i="1" s="1"/>
  <c r="I982" i="1"/>
  <c r="L982" i="1" s="1"/>
  <c r="J982" i="1" s="1"/>
  <c r="K982" i="1" s="1"/>
  <c r="G679" i="5"/>
  <c r="I1057" i="1"/>
  <c r="L1057" i="1" s="1"/>
  <c r="G910" i="5"/>
  <c r="G473" i="5"/>
  <c r="I1020" i="1"/>
  <c r="L1020" i="1" s="1"/>
  <c r="G561" i="5"/>
  <c r="G521" i="5"/>
  <c r="I478" i="1"/>
  <c r="L478" i="1" s="1"/>
  <c r="G34" i="5"/>
  <c r="I633" i="1"/>
  <c r="L633" i="1" s="1"/>
  <c r="G74" i="5"/>
  <c r="I999" i="1"/>
  <c r="L999" i="1" s="1"/>
  <c r="G680" i="5"/>
  <c r="I497" i="1"/>
  <c r="L497" i="1" s="1"/>
  <c r="G1053" i="5"/>
  <c r="I853" i="1"/>
  <c r="L853" i="1" s="1"/>
  <c r="J853" i="1" s="1"/>
  <c r="K853" i="1" s="1"/>
  <c r="G262" i="5"/>
  <c r="I1172" i="1"/>
  <c r="L1172" i="1" s="1"/>
  <c r="G491" i="5"/>
  <c r="I436" i="1"/>
  <c r="L436" i="1" s="1"/>
  <c r="I914" i="1"/>
  <c r="L914" i="1" s="1"/>
  <c r="G1063" i="5"/>
  <c r="I973" i="1"/>
  <c r="L973" i="1" s="1"/>
  <c r="J973" i="1" s="1"/>
  <c r="K973" i="1" s="1"/>
  <c r="I878" i="1"/>
  <c r="L878" i="1" s="1"/>
  <c r="I892" i="1"/>
  <c r="L892" i="1" s="1"/>
  <c r="J892" i="1" s="1"/>
  <c r="K892" i="1" s="1"/>
  <c r="G471" i="5"/>
  <c r="G784" i="5"/>
  <c r="G402" i="5"/>
  <c r="G43" i="5"/>
  <c r="I440" i="1"/>
  <c r="L440" i="1" s="1"/>
  <c r="G1077" i="5"/>
  <c r="I420" i="1"/>
  <c r="L420" i="1" s="1"/>
  <c r="G994" i="5"/>
  <c r="G851" i="5"/>
  <c r="G1185" i="5"/>
  <c r="I955" i="1"/>
  <c r="L955" i="1" s="1"/>
  <c r="G563" i="5"/>
  <c r="G125" i="5"/>
  <c r="G696" i="5"/>
  <c r="G759" i="5"/>
  <c r="G243" i="5"/>
  <c r="I924" i="1"/>
  <c r="L924" i="1" s="1"/>
  <c r="I726" i="1"/>
  <c r="L726" i="1" s="1"/>
  <c r="G413" i="5"/>
  <c r="G68" i="5"/>
  <c r="G48" i="5"/>
  <c r="G162" i="5"/>
  <c r="G138" i="5"/>
  <c r="G1031" i="5"/>
  <c r="I806" i="1"/>
  <c r="L806" i="1" s="1"/>
  <c r="J806" i="1" s="1"/>
  <c r="K806" i="1" s="1"/>
  <c r="G201" i="5"/>
  <c r="G420" i="5"/>
  <c r="I948" i="1"/>
  <c r="L948" i="1" s="1"/>
  <c r="I619" i="1"/>
  <c r="L619" i="1" s="1"/>
  <c r="I975" i="1"/>
  <c r="L975" i="1" s="1"/>
  <c r="J975" i="1" s="1"/>
  <c r="K975" i="1" s="1"/>
  <c r="I1124" i="1"/>
  <c r="L1124" i="1" s="1"/>
  <c r="G118" i="5"/>
  <c r="G637" i="5"/>
  <c r="I1122" i="1"/>
  <c r="L1122" i="1" s="1"/>
  <c r="I1206" i="1"/>
  <c r="L1206" i="1" s="1"/>
  <c r="G186" i="5"/>
  <c r="G108" i="5"/>
  <c r="I1160" i="1"/>
  <c r="L1160" i="1" s="1"/>
  <c r="J1160" i="1" s="1"/>
  <c r="K1160" i="1" s="1"/>
  <c r="I976" i="1"/>
  <c r="L976" i="1" s="1"/>
  <c r="J976" i="1" s="1"/>
  <c r="K976" i="1" s="1"/>
  <c r="G326" i="5"/>
  <c r="G920" i="5"/>
  <c r="G18" i="5"/>
  <c r="I1180" i="1"/>
  <c r="L1180" i="1" s="1"/>
  <c r="G804" i="5"/>
  <c r="I509" i="1"/>
  <c r="L509" i="1" s="1"/>
  <c r="I586" i="1"/>
  <c r="L586" i="1" s="1"/>
  <c r="J586" i="1" s="1"/>
  <c r="K586" i="1" s="1"/>
  <c r="I1059" i="1"/>
  <c r="L1059" i="1" s="1"/>
  <c r="I1134" i="1"/>
  <c r="L1134" i="1" s="1"/>
  <c r="I532" i="1"/>
  <c r="L532" i="1" s="1"/>
  <c r="J532" i="1" s="1"/>
  <c r="K532" i="1" s="1"/>
  <c r="I610" i="1"/>
  <c r="L610" i="1" s="1"/>
  <c r="G693" i="5"/>
  <c r="G628" i="5"/>
  <c r="I700" i="1"/>
  <c r="L700" i="1" s="1"/>
  <c r="I617" i="1"/>
  <c r="L617" i="1" s="1"/>
  <c r="I533" i="1"/>
  <c r="L533" i="1" s="1"/>
  <c r="I452" i="1"/>
  <c r="L452" i="1" s="1"/>
  <c r="J452" i="1" s="1"/>
  <c r="K452" i="1" s="1"/>
  <c r="G1095" i="5"/>
  <c r="G1144" i="5"/>
  <c r="G1160" i="5"/>
  <c r="G983" i="5"/>
  <c r="I991" i="1"/>
  <c r="L991" i="1" s="1"/>
  <c r="J991" i="1" s="1"/>
  <c r="K991" i="1" s="1"/>
  <c r="I794" i="1"/>
  <c r="L794" i="1" s="1"/>
  <c r="G273" i="5"/>
  <c r="I915" i="1"/>
  <c r="L915" i="1" s="1"/>
  <c r="I618" i="1"/>
  <c r="L618" i="1" s="1"/>
  <c r="G579" i="5"/>
  <c r="I981" i="1"/>
  <c r="L981" i="1" s="1"/>
  <c r="J981" i="1" s="1"/>
  <c r="K981" i="1" s="1"/>
  <c r="G1071" i="5"/>
  <c r="I873" i="1"/>
  <c r="L873" i="1" s="1"/>
  <c r="I1100" i="1"/>
  <c r="L1100" i="1" s="1"/>
  <c r="G640" i="5"/>
  <c r="I1198" i="1"/>
  <c r="L1198" i="1" s="1"/>
  <c r="G539" i="5"/>
  <c r="G887" i="5"/>
  <c r="I752" i="1"/>
  <c r="L752" i="1" s="1"/>
  <c r="G821" i="5"/>
  <c r="I425" i="1"/>
  <c r="L425" i="1" s="1"/>
  <c r="I495" i="1"/>
  <c r="L495" i="1" s="1"/>
  <c r="I1082" i="1"/>
  <c r="L1082" i="1" s="1"/>
  <c r="G844" i="5"/>
  <c r="I712" i="1"/>
  <c r="L712" i="1" s="1"/>
  <c r="J712" i="1" s="1"/>
  <c r="K712" i="1" s="1"/>
  <c r="G876" i="5"/>
  <c r="I725" i="1"/>
  <c r="L725" i="1" s="1"/>
  <c r="G1039" i="5"/>
  <c r="G685" i="5"/>
  <c r="G350" i="5"/>
  <c r="G1081" i="5"/>
  <c r="G1038" i="5"/>
  <c r="G681" i="5"/>
  <c r="G721" i="5"/>
  <c r="I907" i="1"/>
  <c r="L907" i="1" s="1"/>
  <c r="J907" i="1" s="1"/>
  <c r="K907" i="1" s="1"/>
  <c r="I531" i="1"/>
  <c r="L531" i="1" s="1"/>
  <c r="J531" i="1" s="1"/>
  <c r="K531" i="1" s="1"/>
  <c r="G152" i="5"/>
  <c r="G144" i="5"/>
  <c r="I721" i="1"/>
  <c r="L721" i="1" s="1"/>
  <c r="G1153" i="5"/>
  <c r="I443" i="1"/>
  <c r="L443" i="1" s="1"/>
  <c r="I1196" i="1"/>
  <c r="L1196" i="1" s="1"/>
  <c r="G1060" i="5"/>
  <c r="I701" i="1"/>
  <c r="L701" i="1" s="1"/>
  <c r="I697" i="1"/>
  <c r="L697" i="1" s="1"/>
  <c r="G651" i="5"/>
  <c r="I1177" i="1"/>
  <c r="L1177" i="1" s="1"/>
  <c r="G782" i="5"/>
  <c r="I1107" i="1"/>
  <c r="L1107" i="1" s="1"/>
  <c r="J1107" i="1" s="1"/>
  <c r="K1107" i="1" s="1"/>
  <c r="I962" i="1"/>
  <c r="L962" i="1" s="1"/>
  <c r="G803" i="5"/>
  <c r="G441" i="5"/>
  <c r="I1014" i="1"/>
  <c r="L1014" i="1" s="1"/>
  <c r="G1012" i="5"/>
  <c r="G329" i="5"/>
  <c r="I654" i="1"/>
  <c r="L654" i="1" s="1"/>
  <c r="J654" i="1" s="1"/>
  <c r="K654" i="1" s="1"/>
  <c r="I861" i="1"/>
  <c r="L861" i="1" s="1"/>
  <c r="J861" i="1" s="1"/>
  <c r="K861" i="1" s="1"/>
  <c r="I911" i="1"/>
  <c r="L911" i="1" s="1"/>
  <c r="I606" i="1"/>
  <c r="L606" i="1" s="1"/>
  <c r="G1124" i="5"/>
  <c r="I562" i="1"/>
  <c r="L562" i="1" s="1"/>
  <c r="J562" i="1" s="1"/>
  <c r="K562" i="1" s="1"/>
  <c r="I932" i="1"/>
  <c r="L932" i="1" s="1"/>
  <c r="J932" i="1" s="1"/>
  <c r="K932" i="1" s="1"/>
  <c r="I879" i="1"/>
  <c r="L879" i="1" s="1"/>
  <c r="G788" i="5"/>
  <c r="G511" i="5"/>
  <c r="I783" i="1"/>
  <c r="L783" i="1" s="1"/>
  <c r="G410" i="5"/>
  <c r="I461" i="1"/>
  <c r="L461" i="1" s="1"/>
  <c r="I735" i="1"/>
  <c r="L735" i="1" s="1"/>
  <c r="J735" i="1" s="1"/>
  <c r="K735" i="1" s="1"/>
  <c r="G1067" i="5"/>
  <c r="G493" i="5"/>
  <c r="G76" i="5"/>
  <c r="G825" i="5"/>
  <c r="G600" i="5"/>
  <c r="G1025" i="5"/>
  <c r="G250" i="5"/>
  <c r="I916" i="1"/>
  <c r="L916" i="1" s="1"/>
  <c r="G47" i="5"/>
  <c r="I813" i="1"/>
  <c r="L813" i="1" s="1"/>
  <c r="G789" i="5"/>
  <c r="G960" i="5"/>
  <c r="G1179" i="5"/>
  <c r="G939" i="5"/>
  <c r="I1028" i="1"/>
  <c r="L1028" i="1" s="1"/>
  <c r="G772" i="5"/>
  <c r="I658" i="1"/>
  <c r="L658" i="1" s="1"/>
  <c r="J658" i="1" s="1"/>
  <c r="K658" i="1" s="1"/>
  <c r="G991" i="5"/>
  <c r="I462" i="1"/>
  <c r="L462" i="1" s="1"/>
  <c r="J462" i="1" s="1"/>
  <c r="K462" i="1" s="1"/>
  <c r="G196" i="5"/>
  <c r="I728" i="1"/>
  <c r="L728" i="1" s="1"/>
  <c r="G408" i="5"/>
  <c r="I941" i="1"/>
  <c r="L941" i="1" s="1"/>
  <c r="J941" i="1" s="1"/>
  <c r="K941" i="1" s="1"/>
  <c r="G355" i="5"/>
  <c r="G848" i="5"/>
  <c r="G1138" i="5"/>
  <c r="I1046" i="1"/>
  <c r="L1046" i="1" s="1"/>
  <c r="J1046" i="1" s="1"/>
  <c r="K1046" i="1" s="1"/>
  <c r="G1028" i="5"/>
  <c r="G306" i="5"/>
  <c r="G359" i="5"/>
  <c r="I749" i="1"/>
  <c r="L749" i="1" s="1"/>
  <c r="G26" i="5"/>
  <c r="G98" i="5"/>
  <c r="G1126" i="5"/>
  <c r="G946" i="5"/>
  <c r="G555" i="5"/>
  <c r="I1168" i="1"/>
  <c r="L1168" i="1" s="1"/>
  <c r="I1051" i="1"/>
  <c r="L1051" i="1" s="1"/>
  <c r="G443" i="5"/>
  <c r="G307" i="5"/>
  <c r="I470" i="1"/>
  <c r="L470" i="1" s="1"/>
  <c r="I734" i="1"/>
  <c r="L734" i="1" s="1"/>
  <c r="G834" i="5"/>
  <c r="I839" i="1"/>
  <c r="L839" i="1" s="1"/>
  <c r="G173" i="5"/>
  <c r="I859" i="1"/>
  <c r="L859" i="1" s="1"/>
  <c r="J859" i="1" s="1"/>
  <c r="K859" i="1" s="1"/>
  <c r="G779" i="5"/>
  <c r="I498" i="1"/>
  <c r="L498" i="1" s="1"/>
  <c r="G193" i="5"/>
  <c r="G835" i="5"/>
  <c r="G275" i="5"/>
  <c r="G1112" i="5"/>
  <c r="G1102" i="5"/>
  <c r="G121" i="5"/>
  <c r="G749" i="5"/>
  <c r="G99" i="5"/>
  <c r="I1027" i="1"/>
  <c r="L1027" i="1" s="1"/>
  <c r="G1139" i="5"/>
  <c r="G499" i="5"/>
  <c r="G92" i="5"/>
  <c r="G913" i="5"/>
  <c r="G469" i="5"/>
  <c r="G519" i="5"/>
  <c r="G101" i="5"/>
  <c r="G833" i="5"/>
  <c r="G888" i="5"/>
  <c r="I959" i="1"/>
  <c r="L959" i="1" s="1"/>
  <c r="J959" i="1" s="1"/>
  <c r="K959" i="1" s="1"/>
  <c r="I737" i="1"/>
  <c r="L737" i="1" s="1"/>
  <c r="J737" i="1" s="1"/>
  <c r="K737" i="1" s="1"/>
  <c r="G605" i="5"/>
  <c r="I739" i="1"/>
  <c r="L739" i="1" s="1"/>
  <c r="J739" i="1" s="1"/>
  <c r="K739" i="1" s="1"/>
  <c r="G586" i="5"/>
  <c r="G1034" i="5"/>
  <c r="I1050" i="1"/>
  <c r="L1050" i="1" s="1"/>
  <c r="G449" i="5"/>
  <c r="G965" i="5"/>
  <c r="G771" i="5"/>
  <c r="I834" i="1"/>
  <c r="L834" i="1" s="1"/>
  <c r="J834" i="1" s="1"/>
  <c r="K834" i="1" s="1"/>
  <c r="G1027" i="5"/>
  <c r="I828" i="1"/>
  <c r="L828" i="1" s="1"/>
  <c r="J828" i="1" s="1"/>
  <c r="K828" i="1" s="1"/>
  <c r="I521" i="1"/>
  <c r="L521" i="1" s="1"/>
  <c r="J521" i="1" s="1"/>
  <c r="K521" i="1" s="1"/>
  <c r="G1010" i="5"/>
  <c r="G944" i="5"/>
  <c r="I1098" i="1"/>
  <c r="L1098" i="1" s="1"/>
  <c r="I471" i="1"/>
  <c r="L471" i="1" s="1"/>
  <c r="I459" i="1"/>
  <c r="L459" i="1" s="1"/>
  <c r="J459" i="1" s="1"/>
  <c r="K459" i="1" s="1"/>
  <c r="I1017" i="1"/>
  <c r="L1017" i="1" s="1"/>
  <c r="I838" i="1"/>
  <c r="L838" i="1" s="1"/>
  <c r="I883" i="1"/>
  <c r="L883" i="1" s="1"/>
  <c r="J883" i="1" s="1"/>
  <c r="K883" i="1" s="1"/>
  <c r="I818" i="1"/>
  <c r="L818" i="1" s="1"/>
  <c r="I1197" i="1"/>
  <c r="L1197" i="1" s="1"/>
  <c r="I977" i="1"/>
  <c r="L977" i="1" s="1"/>
  <c r="J977" i="1" s="1"/>
  <c r="K977" i="1" s="1"/>
  <c r="G510" i="5"/>
  <c r="G532" i="5"/>
  <c r="I825" i="1"/>
  <c r="L825" i="1" s="1"/>
  <c r="G819" i="5"/>
  <c r="G134" i="5"/>
  <c r="I736" i="1"/>
  <c r="L736" i="1" s="1"/>
  <c r="J736" i="1" s="1"/>
  <c r="K736" i="1" s="1"/>
  <c r="I671" i="1"/>
  <c r="L671" i="1" s="1"/>
  <c r="G1168" i="5"/>
  <c r="I591" i="1"/>
  <c r="L591" i="1" s="1"/>
  <c r="G758" i="5"/>
  <c r="G305" i="5"/>
  <c r="G150" i="5"/>
  <c r="G1147" i="5"/>
  <c r="I1091" i="1"/>
  <c r="L1091" i="1" s="1"/>
  <c r="J1091" i="1" s="1"/>
  <c r="K1091" i="1" s="1"/>
  <c r="G1033" i="5"/>
  <c r="G205" i="5"/>
  <c r="G1166" i="5"/>
  <c r="G1123" i="5"/>
  <c r="I835" i="1"/>
  <c r="L835" i="1" s="1"/>
  <c r="J835" i="1" s="1"/>
  <c r="K835" i="1" s="1"/>
  <c r="G609" i="5"/>
  <c r="I545" i="1"/>
  <c r="L545" i="1" s="1"/>
  <c r="I847" i="1"/>
  <c r="L847" i="1" s="1"/>
  <c r="G621" i="5"/>
  <c r="I770" i="1"/>
  <c r="L770" i="1" s="1"/>
  <c r="J770" i="1" s="1"/>
  <c r="K770" i="1" s="1"/>
  <c r="G921" i="5"/>
  <c r="I448" i="1"/>
  <c r="L448" i="1" s="1"/>
  <c r="G129" i="5"/>
  <c r="I560" i="1"/>
  <c r="L560" i="1" s="1"/>
  <c r="J560" i="1" s="1"/>
  <c r="K560" i="1" s="1"/>
  <c r="I1149" i="1"/>
  <c r="L1149" i="1" s="1"/>
  <c r="I940" i="1"/>
  <c r="L940" i="1" s="1"/>
  <c r="J940" i="1" s="1"/>
  <c r="K940" i="1" s="1"/>
  <c r="I559" i="1"/>
  <c r="L559" i="1" s="1"/>
  <c r="I1205" i="1"/>
  <c r="L1205" i="1" s="1"/>
  <c r="G608" i="5"/>
  <c r="G581" i="5"/>
  <c r="G199" i="5"/>
  <c r="G553" i="5"/>
  <c r="G668" i="5"/>
  <c r="I491" i="1"/>
  <c r="L491" i="1" s="1"/>
  <c r="G218" i="5"/>
  <c r="I463" i="1"/>
  <c r="L463" i="1" s="1"/>
  <c r="J463" i="1" s="1"/>
  <c r="K463" i="1" s="1"/>
  <c r="I629" i="1"/>
  <c r="L629" i="1" s="1"/>
  <c r="I747" i="1"/>
  <c r="L747" i="1" s="1"/>
  <c r="G710" i="5"/>
  <c r="I773" i="1"/>
  <c r="L773" i="1" s="1"/>
  <c r="J773" i="1" s="1"/>
  <c r="K773" i="1" s="1"/>
  <c r="G951" i="5"/>
  <c r="I445" i="1"/>
  <c r="L445" i="1" s="1"/>
  <c r="G807" i="5"/>
  <c r="G434" i="5"/>
  <c r="G904" i="5"/>
  <c r="I1035" i="1"/>
  <c r="L1035" i="1" s="1"/>
  <c r="G272" i="5"/>
  <c r="G937" i="5"/>
  <c r="G285" i="5"/>
  <c r="G792" i="5"/>
  <c r="G861" i="5"/>
  <c r="G286" i="5"/>
  <c r="G885" i="5"/>
  <c r="I662" i="1"/>
  <c r="L662" i="1" s="1"/>
  <c r="J662" i="1" s="1"/>
  <c r="K662" i="1" s="1"/>
  <c r="I637" i="1"/>
  <c r="L637" i="1" s="1"/>
  <c r="J637" i="1" s="1"/>
  <c r="K637" i="1" s="1"/>
  <c r="I986" i="1"/>
  <c r="L986" i="1" s="1"/>
  <c r="J986" i="1" s="1"/>
  <c r="K986" i="1" s="1"/>
  <c r="I575" i="1"/>
  <c r="L575" i="1" s="1"/>
  <c r="G1159" i="5"/>
  <c r="I1121" i="1"/>
  <c r="L1121" i="1" s="1"/>
  <c r="I631" i="1"/>
  <c r="L631" i="1" s="1"/>
  <c r="G35" i="5"/>
  <c r="I437" i="1"/>
  <c r="L437" i="1" s="1"/>
  <c r="I630" i="1"/>
  <c r="L630" i="1" s="1"/>
  <c r="I808" i="1"/>
  <c r="L808" i="1" s="1"/>
  <c r="J808" i="1" s="1"/>
  <c r="K808" i="1" s="1"/>
  <c r="G1106" i="5"/>
  <c r="G1171" i="5"/>
  <c r="G982" i="5"/>
  <c r="I642" i="1"/>
  <c r="L642" i="1" s="1"/>
  <c r="J642" i="1" s="1"/>
  <c r="K642" i="1" s="1"/>
  <c r="I587" i="1"/>
  <c r="L587" i="1" s="1"/>
  <c r="J587" i="1" s="1"/>
  <c r="K587" i="1" s="1"/>
  <c r="I1120" i="1"/>
  <c r="L1120" i="1" s="1"/>
  <c r="J1120" i="1" s="1"/>
  <c r="K1120" i="1" s="1"/>
  <c r="I645" i="1"/>
  <c r="L645" i="1" s="1"/>
  <c r="I925" i="1"/>
  <c r="L925" i="1" s="1"/>
  <c r="J925" i="1" s="1"/>
  <c r="K925" i="1" s="1"/>
  <c r="I754" i="1"/>
  <c r="L754" i="1" s="1"/>
  <c r="G649" i="5"/>
  <c r="I465" i="1"/>
  <c r="L465" i="1" s="1"/>
  <c r="J465" i="1" s="1"/>
  <c r="K465" i="1" s="1"/>
  <c r="I613" i="1"/>
  <c r="L613" i="1" s="1"/>
  <c r="G1036" i="5"/>
  <c r="I889" i="1"/>
  <c r="L889" i="1" s="1"/>
  <c r="J889" i="1" s="1"/>
  <c r="K889" i="1" s="1"/>
  <c r="G346" i="5"/>
  <c r="I865" i="1"/>
  <c r="L865" i="1" s="1"/>
  <c r="J865" i="1" s="1"/>
  <c r="K865" i="1" s="1"/>
  <c r="I556" i="1"/>
  <c r="L556" i="1" s="1"/>
  <c r="J556" i="1" s="1"/>
  <c r="K556" i="1" s="1"/>
  <c r="G635" i="5"/>
  <c r="G61" i="5"/>
  <c r="I639" i="1"/>
  <c r="L639" i="1" s="1"/>
  <c r="J639" i="1" s="1"/>
  <c r="K639" i="1" s="1"/>
  <c r="G396" i="5"/>
  <c r="G754" i="5"/>
  <c r="G456" i="5"/>
  <c r="G1202" i="5"/>
  <c r="G860" i="5"/>
  <c r="G314" i="5"/>
  <c r="I919" i="1"/>
  <c r="L919" i="1" s="1"/>
  <c r="G371" i="5"/>
  <c r="G587" i="5"/>
  <c r="G251" i="5"/>
  <c r="I817" i="1"/>
  <c r="L817" i="1" s="1"/>
  <c r="G467" i="5"/>
  <c r="G489" i="5"/>
  <c r="G494" i="5"/>
  <c r="G481" i="5"/>
  <c r="G454" i="5"/>
  <c r="I727" i="1"/>
  <c r="L727" i="1" s="1"/>
  <c r="I1162" i="1"/>
  <c r="L1162" i="1" s="1"/>
  <c r="J1162" i="1" s="1"/>
  <c r="K1162" i="1" s="1"/>
  <c r="I816" i="1"/>
  <c r="L816" i="1" s="1"/>
  <c r="I1103" i="1"/>
  <c r="L1103" i="1" s="1"/>
  <c r="G242" i="5"/>
  <c r="G42" i="5"/>
  <c r="I902" i="1"/>
  <c r="L902" i="1" s="1"/>
  <c r="J902" i="1" s="1"/>
  <c r="K902" i="1" s="1"/>
  <c r="G902" i="5"/>
  <c r="I1099" i="1"/>
  <c r="L1099" i="1" s="1"/>
  <c r="G474" i="5"/>
  <c r="G841" i="5"/>
  <c r="G989" i="5"/>
  <c r="I904" i="1"/>
  <c r="L904" i="1" s="1"/>
  <c r="J904" i="1" s="1"/>
  <c r="K904" i="1" s="1"/>
  <c r="I1148" i="1"/>
  <c r="L1148" i="1" s="1"/>
  <c r="G1214" i="5"/>
  <c r="G165" i="5"/>
  <c r="I1188" i="1"/>
  <c r="L1188" i="1" s="1"/>
  <c r="G1200" i="5"/>
  <c r="G687" i="5"/>
  <c r="I1157" i="1"/>
  <c r="L1157" i="1" s="1"/>
  <c r="G30" i="5"/>
  <c r="G1206" i="5"/>
  <c r="I418" i="1"/>
  <c r="L418" i="1" s="1"/>
  <c r="J418" i="1" s="1"/>
  <c r="K418" i="1" s="1"/>
  <c r="G1059" i="5"/>
  <c r="I634" i="1"/>
  <c r="L634" i="1" s="1"/>
  <c r="J634" i="1" s="1"/>
  <c r="K634" i="1" s="1"/>
  <c r="I795" i="1"/>
  <c r="L795" i="1" s="1"/>
  <c r="J795" i="1" s="1"/>
  <c r="K795" i="1" s="1"/>
  <c r="G798" i="5"/>
  <c r="G901" i="5"/>
  <c r="I508" i="1"/>
  <c r="L508" i="1" s="1"/>
  <c r="I842" i="1"/>
  <c r="L842" i="1" s="1"/>
  <c r="J842" i="1" s="1"/>
  <c r="K842" i="1" s="1"/>
  <c r="G427" i="5"/>
  <c r="I519" i="1"/>
  <c r="L519" i="1" s="1"/>
  <c r="G1140" i="5"/>
  <c r="G805" i="5"/>
  <c r="G1008" i="5"/>
  <c r="G975" i="5"/>
  <c r="G1129" i="5"/>
  <c r="G930" i="5"/>
  <c r="I1131" i="1"/>
  <c r="L1131" i="1" s="1"/>
  <c r="G202" i="5"/>
  <c r="G560" i="5"/>
  <c r="I482" i="1"/>
  <c r="L482" i="1" s="1"/>
  <c r="G1143" i="5"/>
  <c r="G156" i="5"/>
  <c r="I1016" i="1"/>
  <c r="L1016" i="1" s="1"/>
  <c r="I989" i="1"/>
  <c r="L989" i="1" s="1"/>
  <c r="J989" i="1" s="1"/>
  <c r="K989" i="1" s="1"/>
  <c r="I583" i="1"/>
  <c r="L583" i="1" s="1"/>
  <c r="I849" i="1"/>
  <c r="L849" i="1" s="1"/>
  <c r="I912" i="1"/>
  <c r="L912" i="1" s="1"/>
  <c r="G822" i="5"/>
  <c r="G1115" i="5"/>
  <c r="I660" i="1"/>
  <c r="L660" i="1" s="1"/>
  <c r="J660" i="1" s="1"/>
  <c r="K660" i="1" s="1"/>
  <c r="G613" i="5"/>
  <c r="G854" i="5"/>
  <c r="G591" i="5"/>
  <c r="G1046" i="5"/>
  <c r="G1086" i="5"/>
  <c r="I664" i="1"/>
  <c r="L664" i="1" s="1"/>
  <c r="I893" i="1"/>
  <c r="L893" i="1" s="1"/>
  <c r="J893" i="1" s="1"/>
  <c r="K893" i="1" s="1"/>
  <c r="G104" i="5"/>
  <c r="G750" i="5"/>
  <c r="G988" i="5"/>
  <c r="G45" i="5"/>
  <c r="G533" i="5"/>
  <c r="G657" i="5"/>
  <c r="I766" i="1"/>
  <c r="L766" i="1" s="1"/>
  <c r="G1005" i="5"/>
  <c r="I429" i="1"/>
  <c r="L429" i="1" s="1"/>
  <c r="J429" i="1" s="1"/>
  <c r="K429" i="1" s="1"/>
  <c r="I667" i="1"/>
  <c r="L667" i="1" s="1"/>
  <c r="G617" i="5"/>
  <c r="G352" i="5"/>
  <c r="G1135" i="5"/>
  <c r="I548" i="1"/>
  <c r="L548" i="1" s="1"/>
  <c r="G932" i="5"/>
  <c r="G472" i="5"/>
  <c r="I568" i="1"/>
  <c r="L568" i="1" s="1"/>
  <c r="J568" i="1" s="1"/>
  <c r="K568" i="1" s="1"/>
  <c r="G813" i="5"/>
  <c r="I1031" i="1"/>
  <c r="L1031" i="1" s="1"/>
  <c r="I820" i="1"/>
  <c r="L820" i="1" s="1"/>
  <c r="G716" i="5"/>
  <c r="G41" i="5"/>
  <c r="I474" i="1"/>
  <c r="L474" i="1" s="1"/>
  <c r="I450" i="1"/>
  <c r="L450" i="1" s="1"/>
  <c r="J450" i="1" s="1"/>
  <c r="K450" i="1" s="1"/>
  <c r="I918" i="1"/>
  <c r="L918" i="1" s="1"/>
  <c r="G911" i="5"/>
  <c r="G884" i="5"/>
  <c r="I415" i="1"/>
  <c r="L415" i="1" s="1"/>
  <c r="G140" i="5"/>
  <c r="G832" i="5"/>
  <c r="G131" i="5"/>
  <c r="I579" i="1"/>
  <c r="L579" i="1" s="1"/>
  <c r="I942" i="1"/>
  <c r="L942" i="1" s="1"/>
  <c r="J942" i="1" s="1"/>
  <c r="K942" i="1" s="1"/>
  <c r="G83" i="5"/>
  <c r="I784" i="1"/>
  <c r="L784" i="1" s="1"/>
  <c r="G404" i="5"/>
  <c r="G1103" i="5"/>
  <c r="I599" i="1"/>
  <c r="L599" i="1" s="1"/>
  <c r="J599" i="1" s="1"/>
  <c r="K599" i="1" s="1"/>
  <c r="I1183" i="1"/>
  <c r="L1183" i="1" s="1"/>
  <c r="J1183" i="1" s="1"/>
  <c r="K1183" i="1" s="1"/>
  <c r="G863" i="5"/>
  <c r="G1052" i="5"/>
  <c r="I803" i="1"/>
  <c r="L803" i="1" s="1"/>
  <c r="J803" i="1" s="1"/>
  <c r="K803" i="1" s="1"/>
  <c r="G1164" i="5"/>
  <c r="G1055" i="5"/>
  <c r="I449" i="1"/>
  <c r="L449" i="1" s="1"/>
  <c r="J449" i="1" s="1"/>
  <c r="K449" i="1" s="1"/>
  <c r="G658" i="5"/>
  <c r="I715" i="1"/>
  <c r="L715" i="1" s="1"/>
  <c r="J715" i="1" s="1"/>
  <c r="K715" i="1" s="1"/>
  <c r="I615" i="1"/>
  <c r="L615" i="1" s="1"/>
  <c r="G1050" i="5"/>
  <c r="G674" i="5"/>
  <c r="I609" i="1"/>
  <c r="L609" i="1" s="1"/>
  <c r="G663" i="5"/>
  <c r="I946" i="1"/>
  <c r="L946" i="1" s="1"/>
  <c r="G1181" i="5"/>
  <c r="I943" i="1"/>
  <c r="L943" i="1" s="1"/>
  <c r="J943" i="1" s="1"/>
  <c r="K943" i="1" s="1"/>
  <c r="I1066" i="1"/>
  <c r="L1066" i="1" s="1"/>
  <c r="J1066" i="1" s="1"/>
  <c r="K1066" i="1" s="1"/>
  <c r="G900" i="5"/>
  <c r="I589" i="1"/>
  <c r="L589" i="1" s="1"/>
  <c r="G261" i="5"/>
  <c r="G678" i="5"/>
  <c r="I877" i="1"/>
  <c r="L877" i="1" s="1"/>
  <c r="I800" i="1"/>
  <c r="L800" i="1" s="1"/>
  <c r="I921" i="1"/>
  <c r="L921" i="1" s="1"/>
  <c r="I713" i="1"/>
  <c r="L713" i="1" s="1"/>
  <c r="J713" i="1" s="1"/>
  <c r="K713" i="1" s="1"/>
  <c r="G253" i="5"/>
  <c r="G1199" i="5"/>
  <c r="I967" i="1"/>
  <c r="L967" i="1" s="1"/>
  <c r="J967" i="1" s="1"/>
  <c r="K967" i="1" s="1"/>
  <c r="G714" i="5"/>
  <c r="I430" i="1"/>
  <c r="L430" i="1" s="1"/>
  <c r="I870" i="1"/>
  <c r="L870" i="1" s="1"/>
  <c r="G437" i="5"/>
  <c r="G840" i="5"/>
  <c r="G1084" i="5"/>
  <c r="I963" i="1"/>
  <c r="L963" i="1" s="1"/>
  <c r="G1146" i="5"/>
  <c r="I597" i="1"/>
  <c r="L597" i="1" s="1"/>
  <c r="J597" i="1" s="1"/>
  <c r="K597" i="1" s="1"/>
  <c r="I518" i="1"/>
  <c r="L518" i="1" s="1"/>
  <c r="I1045" i="1"/>
  <c r="L1045" i="1" s="1"/>
  <c r="J1045" i="1" s="1"/>
  <c r="K1045" i="1" s="1"/>
  <c r="G503" i="5"/>
  <c r="G542" i="5"/>
  <c r="I969" i="1"/>
  <c r="L969" i="1" s="1"/>
  <c r="J969" i="1" s="1"/>
  <c r="K969" i="1" s="1"/>
  <c r="I846" i="1"/>
  <c r="L846" i="1" s="1"/>
  <c r="I1156" i="1"/>
  <c r="L1156" i="1" s="1"/>
  <c r="G464" i="5"/>
  <c r="G643" i="5"/>
  <c r="I880" i="1"/>
  <c r="L880" i="1" s="1"/>
  <c r="G335" i="5"/>
  <c r="G1019" i="5"/>
  <c r="G858" i="5"/>
  <c r="I869" i="1"/>
  <c r="L869" i="1" s="1"/>
  <c r="J869" i="1" s="1"/>
  <c r="K869" i="1" s="1"/>
  <c r="G1113" i="5"/>
  <c r="I588" i="1"/>
  <c r="L588" i="1" s="1"/>
  <c r="G588" i="5"/>
  <c r="I566" i="1"/>
  <c r="L566" i="1" s="1"/>
  <c r="J566" i="1" s="1"/>
  <c r="K566" i="1" s="1"/>
  <c r="I913" i="1"/>
  <c r="L913" i="1" s="1"/>
  <c r="G50" i="5"/>
  <c r="I541" i="1"/>
  <c r="L541" i="1" s="1"/>
  <c r="G748" i="5"/>
  <c r="G689" i="5"/>
  <c r="I414" i="1"/>
  <c r="L414" i="1" s="1"/>
  <c r="G496" i="5"/>
  <c r="G188" i="5"/>
  <c r="G296" i="5"/>
  <c r="G879" i="5"/>
  <c r="G595" i="5"/>
  <c r="I1003" i="1"/>
  <c r="L1003" i="1" s="1"/>
  <c r="G1172" i="5"/>
  <c r="I611" i="1"/>
  <c r="L611" i="1" s="1"/>
  <c r="I968" i="1"/>
  <c r="L968" i="1" s="1"/>
  <c r="J968" i="1" s="1"/>
  <c r="K968" i="1" s="1"/>
  <c r="G620" i="5"/>
  <c r="I796" i="1"/>
  <c r="L796" i="1" s="1"/>
  <c r="I488" i="1"/>
  <c r="L488" i="1" s="1"/>
  <c r="G564" i="5"/>
  <c r="I550" i="1"/>
  <c r="L550" i="1" s="1"/>
  <c r="G33" i="5"/>
  <c r="G293" i="5"/>
  <c r="G94" i="5"/>
  <c r="G1189" i="5"/>
  <c r="I926" i="1"/>
  <c r="L926" i="1" s="1"/>
  <c r="J926" i="1" s="1"/>
  <c r="K926" i="1" s="1"/>
  <c r="G868" i="5"/>
  <c r="G59" i="5"/>
  <c r="I1158" i="1"/>
  <c r="L1158" i="1" s="1"/>
  <c r="J1158" i="1" s="1"/>
  <c r="K1158" i="1" s="1"/>
  <c r="G859" i="5"/>
  <c r="I957" i="1"/>
  <c r="L957" i="1" s="1"/>
  <c r="G378" i="5"/>
  <c r="G917" i="5"/>
  <c r="G746" i="5"/>
  <c r="G1030" i="5"/>
  <c r="I848" i="1"/>
  <c r="L848" i="1" s="1"/>
  <c r="G452" i="5"/>
  <c r="I1167" i="1"/>
  <c r="L1167" i="1" s="1"/>
  <c r="G1047" i="5"/>
  <c r="G1091" i="5"/>
  <c r="I951" i="1"/>
  <c r="L951" i="1" s="1"/>
  <c r="I496" i="1"/>
  <c r="L496" i="1" s="1"/>
  <c r="G303" i="5"/>
  <c r="G912" i="5"/>
  <c r="I714" i="1"/>
  <c r="L714" i="1" s="1"/>
  <c r="J714" i="1" s="1"/>
  <c r="K714" i="1" s="1"/>
  <c r="G865" i="5"/>
  <c r="G842" i="5"/>
  <c r="G148" i="5"/>
  <c r="I476" i="1"/>
  <c r="L476" i="1" s="1"/>
  <c r="G292" i="5"/>
  <c r="I1125" i="1"/>
  <c r="L1125" i="1" s="1"/>
  <c r="I1202" i="1"/>
  <c r="L1202" i="1" s="1"/>
  <c r="I906" i="1"/>
  <c r="L906" i="1" s="1"/>
  <c r="J906" i="1" s="1"/>
  <c r="K906" i="1" s="1"/>
  <c r="G1122" i="5"/>
  <c r="G570" i="5"/>
  <c r="G1068" i="5"/>
  <c r="G712" i="5"/>
  <c r="G20" i="5"/>
  <c r="I485" i="1"/>
  <c r="L485" i="1" s="1"/>
  <c r="J485" i="1" s="1"/>
  <c r="K485" i="1" s="1"/>
  <c r="G1116" i="5"/>
  <c r="G780" i="5"/>
  <c r="I484" i="1"/>
  <c r="L484" i="1" s="1"/>
  <c r="J484" i="1" s="1"/>
  <c r="K484" i="1" s="1"/>
  <c r="G361" i="5"/>
  <c r="I665" i="1"/>
  <c r="L665" i="1" s="1"/>
  <c r="I500" i="1"/>
  <c r="L500" i="1" s="1"/>
  <c r="J500" i="1" s="1"/>
  <c r="K500" i="1" s="1"/>
  <c r="I1108" i="1"/>
  <c r="L1108" i="1" s="1"/>
  <c r="I1105" i="1"/>
  <c r="L1105" i="1" s="1"/>
  <c r="I1114" i="1"/>
  <c r="L1114" i="1" s="1"/>
  <c r="J1114" i="1" s="1"/>
  <c r="K1114" i="1" s="1"/>
  <c r="G466" i="5"/>
  <c r="I677" i="1"/>
  <c r="L677" i="1" s="1"/>
  <c r="J677" i="1" s="1"/>
  <c r="K677" i="1" s="1"/>
  <c r="G719" i="5"/>
  <c r="I978" i="1"/>
  <c r="L978" i="1" s="1"/>
  <c r="J978" i="1" s="1"/>
  <c r="K978" i="1" s="1"/>
  <c r="I858" i="1"/>
  <c r="L858" i="1" s="1"/>
  <c r="J858" i="1" s="1"/>
  <c r="K858" i="1" s="1"/>
  <c r="I791" i="1"/>
  <c r="L791" i="1" s="1"/>
  <c r="G1213" i="5"/>
  <c r="G317" i="5"/>
  <c r="G1069" i="5"/>
  <c r="G634" i="5"/>
  <c r="G259" i="5"/>
  <c r="G419" i="5"/>
  <c r="I935" i="1"/>
  <c r="L935" i="1" s="1"/>
  <c r="J935" i="1" s="1"/>
  <c r="K935" i="1" s="1"/>
  <c r="G612" i="5"/>
  <c r="G1145" i="5"/>
  <c r="G451" i="5"/>
  <c r="I1044" i="1"/>
  <c r="L1044" i="1" s="1"/>
  <c r="J1044" i="1" s="1"/>
  <c r="K1044" i="1" s="1"/>
  <c r="G567" i="5"/>
  <c r="I872" i="1"/>
  <c r="L872" i="1" s="1"/>
  <c r="I894" i="1"/>
  <c r="L894" i="1" s="1"/>
  <c r="J894" i="1" s="1"/>
  <c r="K894" i="1" s="1"/>
  <c r="G686" i="5"/>
  <c r="G857" i="5"/>
  <c r="I534" i="1"/>
  <c r="L534" i="1" s="1"/>
  <c r="J534" i="1" s="1"/>
  <c r="K534" i="1" s="1"/>
  <c r="G629" i="5"/>
  <c r="I1009" i="1"/>
  <c r="L1009" i="1" s="1"/>
  <c r="G934" i="5"/>
  <c r="G120" i="5"/>
  <c r="I830" i="1"/>
  <c r="L830" i="1" s="1"/>
  <c r="G766" i="5"/>
  <c r="G1097" i="5"/>
  <c r="G52" i="5"/>
  <c r="G1085" i="5"/>
  <c r="G810" i="5"/>
  <c r="G132" i="5"/>
  <c r="G676" i="5"/>
  <c r="G683" i="5"/>
  <c r="I875" i="1"/>
  <c r="L875" i="1" s="1"/>
  <c r="G477" i="5"/>
  <c r="G954" i="5"/>
  <c r="I1135" i="1"/>
  <c r="L1135" i="1" s="1"/>
  <c r="G964" i="5"/>
  <c r="I698" i="1"/>
  <c r="L698" i="1" s="1"/>
  <c r="I996" i="1"/>
  <c r="L996" i="1" s="1"/>
  <c r="J996" i="1" s="1"/>
  <c r="K996" i="1" s="1"/>
  <c r="G690" i="5"/>
  <c r="I745" i="1"/>
  <c r="L745" i="1" s="1"/>
  <c r="G1045" i="5"/>
  <c r="G368" i="5"/>
  <c r="I720" i="1"/>
  <c r="L720" i="1" s="1"/>
  <c r="G316" i="5"/>
  <c r="I1074" i="1"/>
  <c r="L1074" i="1" s="1"/>
  <c r="I1093" i="1"/>
  <c r="L1093" i="1" s="1"/>
  <c r="I1136" i="1"/>
  <c r="L1136" i="1" s="1"/>
  <c r="J1136" i="1" s="1"/>
  <c r="K1136" i="1" s="1"/>
  <c r="I960" i="1"/>
  <c r="L960" i="1" s="1"/>
  <c r="J960" i="1" s="1"/>
  <c r="K960" i="1" s="1"/>
  <c r="G589" i="5"/>
  <c r="I1024" i="1"/>
  <c r="L1024" i="1" s="1"/>
  <c r="G1170" i="5"/>
  <c r="G942" i="5"/>
  <c r="I884" i="1"/>
  <c r="L884" i="1" s="1"/>
  <c r="J884" i="1" s="1"/>
  <c r="K884" i="1" s="1"/>
  <c r="G365" i="5"/>
  <c r="G1211" i="5"/>
  <c r="G1061" i="5"/>
  <c r="G546" i="5"/>
  <c r="G84" i="5"/>
  <c r="G520" i="5"/>
  <c r="I616" i="1"/>
  <c r="L616" i="1" s="1"/>
  <c r="I504" i="1"/>
  <c r="L504" i="1" s="1"/>
  <c r="J504" i="1" s="1"/>
  <c r="K504" i="1" s="1"/>
  <c r="I905" i="1"/>
  <c r="L905" i="1" s="1"/>
  <c r="J905" i="1" s="1"/>
  <c r="K905" i="1" s="1"/>
  <c r="I428" i="1"/>
  <c r="L428" i="1" s="1"/>
  <c r="J428" i="1" s="1"/>
  <c r="K428" i="1" s="1"/>
  <c r="I1170" i="1"/>
  <c r="L1170" i="1" s="1"/>
  <c r="I1181" i="1"/>
  <c r="L1181" i="1" s="1"/>
  <c r="G1064" i="5"/>
  <c r="I707" i="1"/>
  <c r="L707" i="1" s="1"/>
  <c r="I460" i="1"/>
  <c r="L460" i="1" s="1"/>
  <c r="G399" i="5"/>
  <c r="G744" i="5"/>
  <c r="G1029" i="5"/>
  <c r="I674" i="1"/>
  <c r="L674" i="1" s="1"/>
  <c r="I444" i="1"/>
  <c r="L444" i="1" s="1"/>
  <c r="G556" i="5"/>
  <c r="G1062" i="5"/>
  <c r="G257" i="5"/>
  <c r="G1105" i="5"/>
  <c r="G645" i="5"/>
  <c r="G513" i="5"/>
  <c r="I718" i="1"/>
  <c r="L718" i="1" s="1"/>
  <c r="I1070" i="1"/>
  <c r="L1070" i="1" s="1"/>
  <c r="I1042" i="1"/>
  <c r="L1042" i="1" s="1"/>
  <c r="J1042" i="1" s="1"/>
  <c r="K1042" i="1" s="1"/>
  <c r="I1123" i="1"/>
  <c r="L1123" i="1" s="1"/>
  <c r="G386" i="5"/>
  <c r="G1101" i="5"/>
  <c r="I937" i="1"/>
  <c r="L937" i="1" s="1"/>
  <c r="J937" i="1" s="1"/>
  <c r="K937" i="1" s="1"/>
  <c r="I605" i="1"/>
  <c r="L605" i="1" s="1"/>
  <c r="I936" i="1"/>
  <c r="L936" i="1" s="1"/>
  <c r="J936" i="1" s="1"/>
  <c r="K936" i="1" s="1"/>
  <c r="G212" i="5"/>
  <c r="G1183" i="5"/>
  <c r="G470" i="5"/>
  <c r="I675" i="1"/>
  <c r="L675" i="1" s="1"/>
  <c r="J675" i="1" s="1"/>
  <c r="K675" i="1" s="1"/>
  <c r="I502" i="1"/>
  <c r="L502" i="1" s="1"/>
  <c r="I854" i="1"/>
  <c r="L854" i="1" s="1"/>
  <c r="J854" i="1" s="1"/>
  <c r="K854" i="1" s="1"/>
  <c r="I1036" i="1"/>
  <c r="L1036" i="1" s="1"/>
  <c r="I1191" i="1"/>
  <c r="L1191" i="1" s="1"/>
  <c r="G431" i="5"/>
  <c r="I1063" i="1"/>
  <c r="L1063" i="1" s="1"/>
  <c r="G778" i="5"/>
  <c r="G695" i="5"/>
  <c r="G1192" i="5"/>
  <c r="I1151" i="1"/>
  <c r="L1151" i="1" s="1"/>
  <c r="G217" i="5"/>
  <c r="I413" i="1"/>
  <c r="L413" i="1" s="1"/>
  <c r="G227" i="5"/>
  <c r="G998" i="5"/>
  <c r="G698" i="5"/>
  <c r="I949" i="1"/>
  <c r="L949" i="1" s="1"/>
  <c r="G517" i="5"/>
  <c r="G1193" i="5"/>
  <c r="G571" i="5"/>
  <c r="G1150" i="5"/>
  <c r="I416" i="1"/>
  <c r="L416" i="1" s="1"/>
  <c r="G878" i="5"/>
  <c r="I947" i="1"/>
  <c r="L947" i="1" s="1"/>
  <c r="G720" i="5"/>
  <c r="G114" i="5"/>
  <c r="I852" i="1"/>
  <c r="L852" i="1" s="1"/>
  <c r="I1211" i="1"/>
  <c r="L1211" i="1" s="1"/>
  <c r="G435" i="5"/>
  <c r="G918" i="5"/>
  <c r="G139" i="5"/>
  <c r="G1191" i="5"/>
  <c r="I856" i="1"/>
  <c r="L856" i="1" s="1"/>
  <c r="J856" i="1" s="1"/>
  <c r="K856" i="1" s="1"/>
  <c r="G1131" i="5"/>
  <c r="I985" i="1"/>
  <c r="L985" i="1" s="1"/>
  <c r="J985" i="1" s="1"/>
  <c r="K985" i="1" s="1"/>
  <c r="I1112" i="1"/>
  <c r="L1112" i="1" s="1"/>
  <c r="J1112" i="1" s="1"/>
  <c r="K1112" i="1" s="1"/>
  <c r="I1174" i="1"/>
  <c r="L1174" i="1" s="1"/>
  <c r="G872" i="5"/>
  <c r="I423" i="1"/>
  <c r="L423" i="1" s="1"/>
  <c r="I987" i="1"/>
  <c r="L987" i="1" s="1"/>
  <c r="J987" i="1" s="1"/>
  <c r="K987" i="1" s="1"/>
  <c r="I1115" i="1"/>
  <c r="L1115" i="1" s="1"/>
  <c r="I716" i="1"/>
  <c r="L716" i="1" s="1"/>
  <c r="J716" i="1" s="1"/>
  <c r="K716" i="1" s="1"/>
  <c r="G19" i="5"/>
  <c r="G146" i="5"/>
  <c r="I1007" i="1"/>
  <c r="L1007" i="1" s="1"/>
  <c r="I972" i="1"/>
  <c r="L972" i="1" s="1"/>
  <c r="J972" i="1" s="1"/>
  <c r="K972" i="1" s="1"/>
  <c r="G929" i="5"/>
  <c r="G856" i="5"/>
  <c r="G341" i="5"/>
  <c r="G820" i="5"/>
  <c r="G808" i="5"/>
  <c r="I933" i="1"/>
  <c r="L933" i="1" s="1"/>
  <c r="J933" i="1" s="1"/>
  <c r="K933" i="1" s="1"/>
  <c r="I740" i="1"/>
  <c r="L740" i="1" s="1"/>
  <c r="J740" i="1" s="1"/>
  <c r="K740" i="1" s="1"/>
  <c r="I801" i="1"/>
  <c r="L801" i="1" s="1"/>
  <c r="J801" i="1" s="1"/>
  <c r="K801" i="1" s="1"/>
  <c r="G282" i="5"/>
  <c r="G836" i="5"/>
  <c r="G298" i="5"/>
  <c r="I412" i="1"/>
  <c r="L412" i="1" s="1"/>
  <c r="G544" i="5"/>
  <c r="G360" i="5"/>
  <c r="G981" i="5"/>
  <c r="I862" i="1"/>
  <c r="L862" i="1" s="1"/>
  <c r="J862" i="1" s="1"/>
  <c r="K862" i="1" s="1"/>
  <c r="G225" i="5"/>
  <c r="G979" i="5"/>
  <c r="G169" i="5"/>
  <c r="G136" i="5"/>
  <c r="I984" i="1"/>
  <c r="L984" i="1" s="1"/>
  <c r="J984" i="1" s="1"/>
  <c r="K984" i="1" s="1"/>
  <c r="G294" i="5"/>
  <c r="G1162" i="5"/>
  <c r="I627" i="1"/>
  <c r="L627" i="1" s="1"/>
  <c r="J627" i="1" s="1"/>
  <c r="K627" i="1" s="1"/>
  <c r="G228" i="5"/>
  <c r="G928" i="5"/>
  <c r="G867" i="5"/>
  <c r="G226" i="5"/>
  <c r="G1074" i="5"/>
  <c r="G734" i="5"/>
  <c r="G973" i="5"/>
  <c r="I434" i="1"/>
  <c r="L434" i="1" s="1"/>
  <c r="I855" i="1"/>
  <c r="L855" i="1" s="1"/>
  <c r="J855" i="1" s="1"/>
  <c r="K855" i="1" s="1"/>
  <c r="G512" i="5"/>
  <c r="G1149" i="5"/>
  <c r="G646" i="5"/>
  <c r="I650" i="1"/>
  <c r="L650" i="1" s="1"/>
  <c r="I1201" i="1"/>
  <c r="L1201" i="1" s="1"/>
  <c r="I705" i="1"/>
  <c r="L705" i="1" s="1"/>
  <c r="J705" i="1" s="1"/>
  <c r="K705" i="1" s="1"/>
  <c r="G321" i="5"/>
  <c r="I558" i="1"/>
  <c r="L558" i="1" s="1"/>
  <c r="G122" i="5"/>
  <c r="I704" i="1"/>
  <c r="L704" i="1" s="1"/>
  <c r="J704" i="1" s="1"/>
  <c r="K704" i="1" s="1"/>
  <c r="G111" i="5"/>
  <c r="I797" i="1"/>
  <c r="L797" i="1" s="1"/>
  <c r="J797" i="1" s="1"/>
  <c r="K797" i="1" s="1"/>
  <c r="I408" i="1"/>
  <c r="L408" i="1" s="1"/>
  <c r="G425" i="5"/>
  <c r="G977" i="5"/>
  <c r="I826" i="1"/>
  <c r="L826" i="1" s="1"/>
  <c r="J826" i="1" s="1"/>
  <c r="K826" i="1" s="1"/>
  <c r="G992" i="5"/>
  <c r="G909" i="5"/>
  <c r="G952" i="5"/>
  <c r="G191" i="5"/>
  <c r="G1073" i="5"/>
  <c r="G527" i="5"/>
  <c r="G179" i="5"/>
  <c r="I1026" i="1"/>
  <c r="L1026" i="1" s="1"/>
  <c r="I669" i="1"/>
  <c r="L669" i="1" s="1"/>
  <c r="G1108" i="5"/>
  <c r="G947" i="5"/>
  <c r="G311" i="5"/>
  <c r="G1207" i="5"/>
  <c r="I549" i="1"/>
  <c r="L549" i="1" s="1"/>
  <c r="G985" i="5"/>
  <c r="I819" i="1"/>
  <c r="L819" i="1" s="1"/>
  <c r="G534" i="5"/>
  <c r="I1212" i="1"/>
  <c r="L1212" i="1" s="1"/>
  <c r="I843" i="1"/>
  <c r="L843" i="1" s="1"/>
  <c r="G230" i="5"/>
  <c r="G1020" i="5"/>
  <c r="G718" i="5"/>
  <c r="G1007" i="5"/>
  <c r="G1000" i="5"/>
  <c r="I582" i="1"/>
  <c r="L582" i="1" s="1"/>
  <c r="G492" i="5"/>
  <c r="G925" i="5"/>
  <c r="G447" i="5"/>
  <c r="I1127" i="1"/>
  <c r="L1127" i="1" s="1"/>
  <c r="G508" i="5"/>
  <c r="I1199" i="1"/>
  <c r="L1199" i="1" s="1"/>
  <c r="I809" i="1"/>
  <c r="L809" i="1" s="1"/>
  <c r="J809" i="1" s="1"/>
  <c r="K809" i="1" s="1"/>
  <c r="G826" i="5"/>
  <c r="G641" i="5"/>
  <c r="I561" i="1"/>
  <c r="L561" i="1" s="1"/>
  <c r="J561" i="1" s="1"/>
  <c r="K561" i="1" s="1"/>
  <c r="G619" i="5"/>
  <c r="G922" i="5"/>
  <c r="I1163" i="1"/>
  <c r="L1163" i="1" s="1"/>
  <c r="J1163" i="1" s="1"/>
  <c r="K1163" i="1" s="1"/>
  <c r="I1182" i="1"/>
  <c r="L1182" i="1" s="1"/>
  <c r="J1182" i="1" s="1"/>
  <c r="K1182" i="1" s="1"/>
  <c r="G1188" i="5"/>
  <c r="G732" i="5"/>
  <c r="G105" i="5"/>
  <c r="I1086" i="1"/>
  <c r="L1086" i="1" s="1"/>
  <c r="G1148" i="5"/>
  <c r="G801" i="5"/>
  <c r="I570" i="1"/>
  <c r="L570" i="1" s="1"/>
  <c r="I1217" i="1"/>
  <c r="L1217" i="1" s="1"/>
  <c r="G97" i="5"/>
  <c r="G949" i="5"/>
  <c r="G450" i="5"/>
  <c r="G324" i="5"/>
  <c r="I1193" i="1"/>
  <c r="L1193" i="1" s="1"/>
  <c r="G1121" i="5"/>
  <c r="G871" i="5"/>
  <c r="G769" i="5"/>
  <c r="I691" i="1"/>
  <c r="L691" i="1" s="1"/>
  <c r="G1035" i="5"/>
  <c r="I702" i="1"/>
  <c r="L702" i="1" s="1"/>
  <c r="G653" i="5"/>
  <c r="I516" i="1"/>
  <c r="L516" i="1" s="1"/>
  <c r="G328" i="5"/>
  <c r="G703" i="5"/>
  <c r="G123" i="5"/>
  <c r="I881" i="1"/>
  <c r="L881" i="1" s="1"/>
  <c r="I490" i="1"/>
  <c r="L490" i="1" s="1"/>
  <c r="I623" i="1"/>
  <c r="L623" i="1" s="1"/>
  <c r="G638" i="5"/>
  <c r="I798" i="1"/>
  <c r="L798" i="1" s="1"/>
  <c r="J798" i="1" s="1"/>
  <c r="K798" i="1" s="1"/>
  <c r="G364" i="5"/>
  <c r="I580" i="1"/>
  <c r="L580" i="1" s="1"/>
  <c r="I1210" i="1"/>
  <c r="L1210" i="1" s="1"/>
  <c r="J1210" i="1" s="1"/>
  <c r="K1210" i="1" s="1"/>
  <c r="G753" i="5"/>
  <c r="I950" i="1"/>
  <c r="L950" i="1" s="1"/>
  <c r="G279" i="5"/>
  <c r="G569" i="5"/>
  <c r="G343" i="5"/>
  <c r="G941" i="5"/>
  <c r="G331" i="5"/>
  <c r="G195" i="5"/>
  <c r="I601" i="1"/>
  <c r="L601" i="1" s="1"/>
  <c r="J601" i="1" s="1"/>
  <c r="K601" i="1" s="1"/>
  <c r="I503" i="1"/>
  <c r="L503" i="1" s="1"/>
  <c r="I851" i="1"/>
  <c r="L851" i="1" s="1"/>
  <c r="G669" i="5"/>
  <c r="G1042" i="5"/>
  <c r="G961" i="5"/>
  <c r="I594" i="1"/>
  <c r="L594" i="1" s="1"/>
  <c r="G794" i="5"/>
  <c r="G903" i="5"/>
  <c r="G774" i="5"/>
  <c r="G924" i="5"/>
  <c r="I724" i="1"/>
  <c r="L724" i="1" s="1"/>
  <c r="G707" i="5"/>
  <c r="G166" i="5"/>
  <c r="G56" i="5"/>
  <c r="I964" i="1"/>
  <c r="L964" i="1" s="1"/>
  <c r="I751" i="1"/>
  <c r="L751" i="1" s="1"/>
  <c r="G490" i="5"/>
  <c r="I523" i="1"/>
  <c r="L523" i="1" s="1"/>
  <c r="I992" i="1"/>
  <c r="L992" i="1" s="1"/>
  <c r="J992" i="1" s="1"/>
  <c r="K992" i="1" s="1"/>
  <c r="G24" i="5"/>
  <c r="G762" i="5"/>
  <c r="G523" i="5"/>
  <c r="G829" i="5"/>
  <c r="G288" i="5"/>
  <c r="I860" i="1"/>
  <c r="L860" i="1" s="1"/>
  <c r="G526" i="5"/>
  <c r="G1119" i="5"/>
  <c r="G899" i="5"/>
  <c r="G1093" i="5"/>
  <c r="I823" i="1"/>
  <c r="L823" i="1" s="1"/>
  <c r="G962" i="5"/>
  <c r="I1118" i="1"/>
  <c r="L1118" i="1" s="1"/>
  <c r="J1118" i="1" s="1"/>
  <c r="K1118" i="1" s="1"/>
  <c r="I646" i="1"/>
  <c r="L646" i="1" s="1"/>
  <c r="G479" i="5"/>
  <c r="G284" i="5"/>
  <c r="I1213" i="1"/>
  <c r="L1213" i="1" s="1"/>
  <c r="G338" i="5"/>
  <c r="G1158" i="5"/>
  <c r="I621" i="1"/>
  <c r="L621" i="1" s="1"/>
  <c r="G737" i="5"/>
  <c r="I431" i="1"/>
  <c r="L431" i="1" s="1"/>
  <c r="I994" i="1"/>
  <c r="L994" i="1" s="1"/>
  <c r="J994" i="1" s="1"/>
  <c r="K994" i="1" s="1"/>
  <c r="I923" i="1"/>
  <c r="L923" i="1" s="1"/>
  <c r="I934" i="1"/>
  <c r="L934" i="1" s="1"/>
  <c r="J934" i="1" s="1"/>
  <c r="K934" i="1" s="1"/>
  <c r="I1067" i="1"/>
  <c r="L1067" i="1" s="1"/>
  <c r="G309" i="5"/>
  <c r="G896" i="5"/>
  <c r="G1011" i="5"/>
  <c r="I1084" i="1"/>
  <c r="L1084" i="1" s="1"/>
  <c r="J1084" i="1" s="1"/>
  <c r="K1084" i="1" s="1"/>
  <c r="I590" i="1"/>
  <c r="L590" i="1" s="1"/>
  <c r="J590" i="1" s="1"/>
  <c r="K590" i="1" s="1"/>
  <c r="G476" i="5"/>
  <c r="G430" i="5"/>
  <c r="I424" i="1"/>
  <c r="L424" i="1" s="1"/>
  <c r="J424" i="1" s="1"/>
  <c r="K424" i="1" s="1"/>
  <c r="G297" i="5"/>
  <c r="G543" i="5"/>
  <c r="G752" i="5"/>
  <c r="G596" i="5"/>
  <c r="I659" i="1"/>
  <c r="L659" i="1" s="1"/>
  <c r="J659" i="1" s="1"/>
  <c r="K659" i="1" s="1"/>
  <c r="I706" i="1"/>
  <c r="L706" i="1" s="1"/>
  <c r="G647" i="5"/>
  <c r="G1090" i="5"/>
  <c r="I1145" i="1"/>
  <c r="L1145" i="1" s="1"/>
  <c r="J1145" i="1" s="1"/>
  <c r="K1145" i="1" s="1"/>
  <c r="G1024" i="5"/>
  <c r="G170" i="5"/>
  <c r="G797" i="5"/>
  <c r="G704" i="5"/>
  <c r="I1037" i="1"/>
  <c r="L1037" i="1" s="1"/>
  <c r="J1037" i="1" s="1"/>
  <c r="K1037" i="1" s="1"/>
  <c r="I793" i="1"/>
  <c r="L793" i="1" s="1"/>
  <c r="I829" i="1"/>
  <c r="L829" i="1" s="1"/>
  <c r="J829" i="1" s="1"/>
  <c r="K829" i="1" s="1"/>
  <c r="I897" i="1"/>
  <c r="L897" i="1" s="1"/>
  <c r="J897" i="1" s="1"/>
  <c r="K897" i="1" s="1"/>
  <c r="G342" i="5"/>
  <c r="G845" i="5"/>
  <c r="G409" i="5"/>
  <c r="G299" i="5"/>
  <c r="G855" i="5"/>
  <c r="I738" i="1"/>
  <c r="L738" i="1" s="1"/>
  <c r="J738" i="1" s="1"/>
  <c r="K738" i="1" s="1"/>
  <c r="I778" i="1"/>
  <c r="L778" i="1" s="1"/>
  <c r="G812" i="5"/>
  <c r="I1165" i="1"/>
  <c r="L1165" i="1" s="1"/>
  <c r="J1165" i="1" s="1"/>
  <c r="K1165" i="1" s="1"/>
  <c r="I1023" i="1"/>
  <c r="L1023" i="1" s="1"/>
  <c r="G428" i="5"/>
  <c r="G1107" i="5"/>
  <c r="G541" i="5"/>
  <c r="G972" i="5"/>
  <c r="G375" i="5"/>
  <c r="I614" i="1"/>
  <c r="L614" i="1" s="1"/>
  <c r="G824" i="5"/>
  <c r="I442" i="1"/>
  <c r="L442" i="1" s="1"/>
  <c r="I885" i="1"/>
  <c r="L885" i="1" s="1"/>
  <c r="J885" i="1" s="1"/>
  <c r="K885" i="1" s="1"/>
  <c r="G1120" i="5"/>
  <c r="G727" i="5"/>
  <c r="G529" i="5"/>
  <c r="I1166" i="1"/>
  <c r="L1166" i="1" s="1"/>
  <c r="G862" i="5"/>
  <c r="I1209" i="1"/>
  <c r="L1209" i="1" s="1"/>
  <c r="J1209" i="1" s="1"/>
  <c r="K1209" i="1" s="1"/>
  <c r="I1119" i="1"/>
  <c r="L1119" i="1" s="1"/>
  <c r="J1119" i="1" s="1"/>
  <c r="K1119" i="1" s="1"/>
  <c r="G881" i="5"/>
  <c r="G457" i="5"/>
  <c r="G444" i="5"/>
  <c r="G390" i="5"/>
  <c r="I760" i="1"/>
  <c r="L760" i="1" s="1"/>
  <c r="I910" i="1"/>
  <c r="L910" i="1" s="1"/>
  <c r="G980" i="5"/>
  <c r="I733" i="1"/>
  <c r="L733" i="1" s="1"/>
  <c r="G446" i="5"/>
  <c r="G552" i="5"/>
  <c r="G116" i="5"/>
  <c r="G312" i="5"/>
  <c r="G997" i="5"/>
  <c r="I1164" i="1"/>
  <c r="L1164" i="1" s="1"/>
  <c r="J1164" i="1" s="1"/>
  <c r="K1164" i="1" s="1"/>
  <c r="G219" i="5"/>
  <c r="G28" i="5"/>
  <c r="I515" i="1"/>
  <c r="L515" i="1" s="1"/>
  <c r="I1053" i="1"/>
  <c r="L1053" i="1" s="1"/>
  <c r="G955" i="5"/>
  <c r="I730" i="1"/>
  <c r="L730" i="1" s="1"/>
  <c r="I679" i="1"/>
  <c r="L679" i="1" s="1"/>
  <c r="J679" i="1" s="1"/>
  <c r="K679" i="1" s="1"/>
  <c r="G823" i="5"/>
  <c r="G875" i="5"/>
  <c r="I1110" i="1"/>
  <c r="L1110" i="1" s="1"/>
  <c r="J1110" i="1" s="1"/>
  <c r="K1110" i="1" s="1"/>
  <c r="I1117" i="1"/>
  <c r="L1117" i="1" s="1"/>
  <c r="J1117" i="1" s="1"/>
  <c r="K1117" i="1" s="1"/>
  <c r="I748" i="1"/>
  <c r="L748" i="1" s="1"/>
  <c r="I882" i="1"/>
  <c r="L882" i="1" s="1"/>
  <c r="J882" i="1" s="1"/>
  <c r="K882" i="1" s="1"/>
  <c r="G697" i="5"/>
  <c r="I1116" i="1"/>
  <c r="L1116" i="1" s="1"/>
  <c r="J1116" i="1" s="1"/>
  <c r="K1116" i="1" s="1"/>
  <c r="G1004" i="5"/>
  <c r="G984" i="5"/>
  <c r="G39" i="5"/>
  <c r="G397" i="5"/>
  <c r="I1152" i="1"/>
  <c r="L1152" i="1" s="1"/>
  <c r="G890" i="5"/>
  <c r="G53" i="5"/>
  <c r="G995" i="5"/>
  <c r="G802" i="5"/>
  <c r="I876" i="1"/>
  <c r="L876" i="1" s="1"/>
  <c r="I971" i="1"/>
  <c r="L971" i="1" s="1"/>
  <c r="G86" i="5"/>
  <c r="I472" i="1"/>
  <c r="L472" i="1" s="1"/>
  <c r="I792" i="1"/>
  <c r="L792" i="1" s="1"/>
  <c r="G776" i="5"/>
  <c r="I672" i="1"/>
  <c r="L672" i="1" s="1"/>
  <c r="G1022" i="5"/>
  <c r="I1189" i="1"/>
  <c r="L1189" i="1" s="1"/>
  <c r="J1189" i="1" s="1"/>
  <c r="K1189" i="1" s="1"/>
  <c r="I729" i="1"/>
  <c r="L729" i="1" s="1"/>
  <c r="I1102" i="1"/>
  <c r="L1102" i="1" s="1"/>
  <c r="G850" i="5"/>
  <c r="G333" i="5"/>
  <c r="G436" i="5"/>
  <c r="I1185" i="1"/>
  <c r="L1185" i="1" s="1"/>
  <c r="J1185" i="1" s="1"/>
  <c r="K1185" i="1" s="1"/>
  <c r="I811" i="1"/>
  <c r="L811" i="1" s="1"/>
  <c r="G204" i="5"/>
  <c r="G682" i="5"/>
  <c r="G168" i="5"/>
  <c r="I1025" i="1"/>
  <c r="L1025" i="1" s="1"/>
  <c r="I552" i="1"/>
  <c r="L552" i="1" s="1"/>
  <c r="J552" i="1" s="1"/>
  <c r="K552" i="1" s="1"/>
  <c r="G958" i="5"/>
  <c r="G664" i="5"/>
  <c r="G557" i="5"/>
  <c r="G366" i="5"/>
  <c r="G206" i="5"/>
  <c r="G618" i="5"/>
  <c r="I1049" i="1"/>
  <c r="L1049" i="1" s="1"/>
  <c r="J1049" i="1" s="1"/>
  <c r="K1049" i="1" s="1"/>
  <c r="G551" i="5"/>
  <c r="G267" i="5"/>
  <c r="G78" i="5"/>
  <c r="I1010" i="1"/>
  <c r="L1010" i="1" s="1"/>
  <c r="I908" i="1"/>
  <c r="L908" i="1" s="1"/>
  <c r="I954" i="1"/>
  <c r="L954" i="1" s="1"/>
  <c r="G44" i="5"/>
  <c r="G356" i="5"/>
  <c r="I632" i="1"/>
  <c r="L632" i="1" s="1"/>
  <c r="G62" i="5"/>
  <c r="G46" i="5"/>
  <c r="G308" i="5"/>
  <c r="G334" i="5"/>
  <c r="G194" i="5"/>
  <c r="G263" i="5"/>
  <c r="G260" i="5"/>
  <c r="G385" i="5"/>
  <c r="G576" i="5"/>
  <c r="I1175" i="1"/>
  <c r="L1175" i="1" s="1"/>
  <c r="G501" i="5"/>
  <c r="G157" i="5"/>
  <c r="G135" i="5"/>
  <c r="I1155" i="1"/>
  <c r="L1155" i="1" s="1"/>
  <c r="G593" i="5"/>
  <c r="G40" i="5"/>
  <c r="G757" i="5"/>
  <c r="G318" i="5"/>
  <c r="G486" i="5"/>
  <c r="G648" i="5"/>
  <c r="I857" i="1"/>
  <c r="L857" i="1" s="1"/>
  <c r="J857" i="1" s="1"/>
  <c r="K857" i="1" s="1"/>
  <c r="G319" i="5"/>
  <c r="I1159" i="1"/>
  <c r="L1159" i="1" s="1"/>
  <c r="J1159" i="1" s="1"/>
  <c r="K1159" i="1" s="1"/>
  <c r="G283" i="5"/>
  <c r="G866" i="5"/>
  <c r="I1133" i="1"/>
  <c r="L1133" i="1" s="1"/>
  <c r="G270" i="5"/>
  <c r="G271" i="5"/>
  <c r="G383" i="5"/>
  <c r="I789" i="1"/>
  <c r="L789" i="1" s="1"/>
  <c r="G405" i="5"/>
  <c r="G465" i="5"/>
  <c r="G799" i="5"/>
  <c r="G594" i="5"/>
  <c r="G460" i="5"/>
  <c r="G715" i="5"/>
  <c r="G351" i="5"/>
  <c r="G234" i="5"/>
  <c r="G29" i="5"/>
  <c r="G117" i="5"/>
  <c r="G644" i="5"/>
  <c r="G302" i="5"/>
  <c r="G1049" i="5"/>
  <c r="G322" i="5"/>
  <c r="G353" i="5"/>
  <c r="G185" i="5"/>
  <c r="G1083" i="5"/>
  <c r="G535" i="5"/>
  <c r="G255" i="5"/>
  <c r="I1203" i="1"/>
  <c r="L1203" i="1" s="1"/>
  <c r="G164" i="5"/>
  <c r="G747" i="5"/>
  <c r="G239" i="5"/>
  <c r="I693" i="1"/>
  <c r="L693" i="1" s="1"/>
  <c r="G381" i="5"/>
  <c r="G107" i="5"/>
  <c r="G357" i="5"/>
  <c r="G167" i="5"/>
  <c r="G380" i="5"/>
  <c r="I453" i="1"/>
  <c r="L453" i="1" s="1"/>
  <c r="G327" i="5"/>
  <c r="G63" i="5"/>
  <c r="I507" i="1"/>
  <c r="L507" i="1" s="1"/>
  <c r="G708" i="5"/>
  <c r="G310" i="5"/>
  <c r="G229" i="5"/>
  <c r="G171" i="5"/>
  <c r="G124" i="5"/>
  <c r="I585" i="1"/>
  <c r="L585" i="1" s="1"/>
  <c r="G175" i="5"/>
  <c r="I557" i="1"/>
  <c r="L557" i="1" s="1"/>
  <c r="G416" i="5"/>
  <c r="I525" i="1"/>
  <c r="L525" i="1" s="1"/>
  <c r="J525" i="1" s="1"/>
  <c r="K525" i="1" s="1"/>
  <c r="G142" i="5"/>
  <c r="I1068" i="1"/>
  <c r="L1068" i="1" s="1"/>
  <c r="G289" i="5"/>
  <c r="I607" i="1"/>
  <c r="L607" i="1" s="1"/>
  <c r="G238" i="5"/>
  <c r="G927" i="5"/>
  <c r="G800" i="5"/>
  <c r="G369" i="5"/>
  <c r="G379" i="5"/>
  <c r="I1153" i="1"/>
  <c r="L1153" i="1" s="1"/>
  <c r="G103" i="5"/>
  <c r="I731" i="1"/>
  <c r="L731" i="1" s="1"/>
  <c r="G174" i="5"/>
  <c r="G65" i="5"/>
  <c r="G244" i="5"/>
  <c r="G254" i="5"/>
  <c r="I1013" i="1"/>
  <c r="L1013" i="1" s="1"/>
  <c r="G79" i="5"/>
  <c r="G300" i="5"/>
  <c r="G203" i="5"/>
  <c r="G393" i="5"/>
  <c r="G192" i="5"/>
  <c r="G55" i="5"/>
  <c r="G400" i="5"/>
  <c r="G392" i="5"/>
  <c r="G183" i="5"/>
  <c r="G100" i="5"/>
  <c r="G231" i="5"/>
  <c r="I887" i="1"/>
  <c r="L887" i="1" s="1"/>
  <c r="J887" i="1" s="1"/>
  <c r="K887" i="1" s="1"/>
  <c r="G915" i="5"/>
  <c r="I1008" i="1"/>
  <c r="L1008" i="1" s="1"/>
  <c r="G554" i="5"/>
  <c r="G177" i="5"/>
  <c r="G37" i="5"/>
  <c r="G23" i="5"/>
  <c r="G623" i="5"/>
  <c r="G190" i="5"/>
  <c r="G245" i="5"/>
  <c r="G95" i="5"/>
  <c r="G339" i="5"/>
  <c r="G880" i="5"/>
  <c r="G31" i="5"/>
  <c r="G448" i="5"/>
  <c r="G345" i="5"/>
  <c r="I438" i="1"/>
  <c r="L438" i="1" s="1"/>
  <c r="G755" i="5"/>
  <c r="G66" i="5"/>
  <c r="G573" i="5"/>
  <c r="G133" i="5"/>
  <c r="G60" i="5"/>
  <c r="G223" i="5"/>
  <c r="G367" i="5"/>
  <c r="G815" i="5"/>
  <c r="G731" i="5"/>
  <c r="G384" i="5"/>
  <c r="G692" i="5"/>
  <c r="G27" i="5"/>
  <c r="I1048" i="1"/>
  <c r="L1048" i="1" s="1"/>
  <c r="J1048" i="1" s="1"/>
  <c r="K1048" i="1" s="1"/>
  <c r="G172" i="5"/>
  <c r="G87" i="5"/>
  <c r="G349" i="5"/>
  <c r="G336" i="5"/>
  <c r="G814" i="5"/>
  <c r="G337" i="5"/>
  <c r="G401" i="5"/>
  <c r="G611" i="5"/>
  <c r="G21" i="5"/>
  <c r="G126" i="5"/>
  <c r="I651" i="1"/>
  <c r="L651" i="1" s="1"/>
  <c r="G376" i="5"/>
  <c r="G655" i="5"/>
  <c r="G58" i="5"/>
  <c r="G247" i="5"/>
  <c r="G423" i="5"/>
  <c r="G269" i="5"/>
  <c r="I661" i="1"/>
  <c r="L661" i="1" s="1"/>
  <c r="J661" i="1" s="1"/>
  <c r="K661" i="1" s="1"/>
  <c r="G459" i="5"/>
  <c r="G189" i="5"/>
  <c r="G215" i="5"/>
  <c r="G387" i="5"/>
  <c r="G340" i="5"/>
  <c r="G565" i="5"/>
  <c r="G91" i="5"/>
  <c r="G49" i="5"/>
  <c r="G110" i="5"/>
  <c r="G362" i="5"/>
  <c r="G197" i="5"/>
  <c r="G374" i="5"/>
  <c r="G666" i="5"/>
  <c r="G248" i="5"/>
  <c r="G209" i="5"/>
  <c r="G388" i="5"/>
  <c r="A366" i="3"/>
  <c r="C366" i="3" s="1"/>
  <c r="I137" i="1"/>
  <c r="L137" i="1" s="1"/>
  <c r="J137" i="1" s="1"/>
  <c r="I82" i="1"/>
  <c r="L82" i="1" s="1"/>
  <c r="J82" i="1" s="1"/>
  <c r="I161" i="1"/>
  <c r="L161" i="1" s="1"/>
  <c r="J161" i="1" s="1"/>
  <c r="I63" i="1"/>
  <c r="L63" i="1" s="1"/>
  <c r="I70" i="1"/>
  <c r="L70" i="1" s="1"/>
  <c r="I95" i="1"/>
  <c r="L95" i="1" s="1"/>
  <c r="K95" i="1" s="1"/>
  <c r="I193" i="1"/>
  <c r="L193" i="1" s="1"/>
  <c r="I312" i="1"/>
  <c r="L312" i="1" s="1"/>
  <c r="J312" i="1" s="1"/>
  <c r="I390" i="1"/>
  <c r="L390" i="1" s="1"/>
  <c r="K390" i="1" s="1"/>
  <c r="I393" i="1"/>
  <c r="L393" i="1" s="1"/>
  <c r="I282" i="1"/>
  <c r="L282" i="1" s="1"/>
  <c r="K282" i="1" s="1"/>
  <c r="I374" i="1"/>
  <c r="L374" i="1" s="1"/>
  <c r="J374" i="1" s="1"/>
  <c r="I65" i="1"/>
  <c r="L65" i="1" s="1"/>
  <c r="J65" i="1" s="1"/>
  <c r="I377" i="1"/>
  <c r="L377" i="1" s="1"/>
  <c r="I359" i="1"/>
  <c r="L359" i="1" s="1"/>
  <c r="I233" i="1"/>
  <c r="L233" i="1" s="1"/>
  <c r="J233" i="1" s="1"/>
  <c r="I229" i="1"/>
  <c r="L229" i="1" s="1"/>
  <c r="I87" i="1"/>
  <c r="L87" i="1" s="1"/>
  <c r="I275" i="1"/>
  <c r="L275" i="1" s="1"/>
  <c r="J275" i="1" s="1"/>
  <c r="I340" i="1"/>
  <c r="L340" i="1" s="1"/>
  <c r="I382" i="1"/>
  <c r="L382" i="1" s="1"/>
  <c r="J382" i="1" s="1"/>
  <c r="I291" i="1"/>
  <c r="L291" i="1" s="1"/>
  <c r="I191" i="1"/>
  <c r="L191" i="1" s="1"/>
  <c r="I168" i="1"/>
  <c r="L168" i="1" s="1"/>
  <c r="I60" i="1"/>
  <c r="L60" i="1" s="1"/>
  <c r="K60" i="1" s="1"/>
  <c r="I210" i="1"/>
  <c r="L210" i="1" s="1"/>
  <c r="I38" i="1"/>
  <c r="L38" i="1" s="1"/>
  <c r="I154" i="1"/>
  <c r="L154" i="1" s="1"/>
  <c r="J154" i="1" s="1"/>
  <c r="I328" i="1"/>
  <c r="L328" i="1" s="1"/>
  <c r="I321" i="1"/>
  <c r="L321" i="1" s="1"/>
  <c r="I396" i="1"/>
  <c r="L396" i="1" s="1"/>
  <c r="I48" i="1"/>
  <c r="L48" i="1" s="1"/>
  <c r="K48" i="1" s="1"/>
  <c r="I366" i="1"/>
  <c r="L366" i="1" s="1"/>
  <c r="I169" i="1"/>
  <c r="L169" i="1" s="1"/>
  <c r="I307" i="1"/>
  <c r="L307" i="1" s="1"/>
  <c r="K307" i="1" s="1"/>
  <c r="I279" i="1"/>
  <c r="L279" i="1" s="1"/>
  <c r="I156" i="1"/>
  <c r="L156" i="1" s="1"/>
  <c r="I317" i="1"/>
  <c r="L317" i="1" s="1"/>
  <c r="I138" i="1"/>
  <c r="L138" i="1" s="1"/>
  <c r="K138" i="1" s="1"/>
  <c r="I107" i="1"/>
  <c r="L107" i="1" s="1"/>
  <c r="J107" i="1" s="1"/>
  <c r="I69" i="1"/>
  <c r="L69" i="1" s="1"/>
  <c r="I180" i="1"/>
  <c r="L180" i="1" s="1"/>
  <c r="J180" i="1" s="1"/>
  <c r="I346" i="1"/>
  <c r="L346" i="1" s="1"/>
  <c r="K346" i="1" s="1"/>
  <c r="I253" i="1"/>
  <c r="L253" i="1" s="1"/>
  <c r="K253" i="1" s="1"/>
  <c r="I56" i="1"/>
  <c r="L56" i="1" s="1"/>
  <c r="I356" i="1"/>
  <c r="L356" i="1" s="1"/>
  <c r="I298" i="1"/>
  <c r="L298" i="1" s="1"/>
  <c r="K298" i="1" s="1"/>
  <c r="I295" i="1"/>
  <c r="L295" i="1" s="1"/>
  <c r="K295" i="1" s="1"/>
  <c r="I79" i="1"/>
  <c r="L79" i="1" s="1"/>
  <c r="I399" i="1"/>
  <c r="L399" i="1" s="1"/>
  <c r="J399" i="1" s="1"/>
  <c r="I251" i="1"/>
  <c r="L251" i="1" s="1"/>
  <c r="J251" i="1" s="1"/>
  <c r="I47" i="1"/>
  <c r="L47" i="1" s="1"/>
  <c r="K47" i="1" s="1"/>
  <c r="I257" i="1"/>
  <c r="L257" i="1" s="1"/>
  <c r="J257" i="1" s="1"/>
  <c r="I119" i="1"/>
  <c r="L119" i="1" s="1"/>
  <c r="I353" i="1"/>
  <c r="L353" i="1" s="1"/>
  <c r="J353" i="1" s="1"/>
  <c r="I196" i="1"/>
  <c r="L196" i="1" s="1"/>
  <c r="I292" i="1"/>
  <c r="L292" i="1" s="1"/>
  <c r="J292" i="1" s="1"/>
  <c r="I241" i="1"/>
  <c r="L241" i="1" s="1"/>
  <c r="J241" i="1" s="1"/>
  <c r="I238" i="1"/>
  <c r="L238" i="1" s="1"/>
  <c r="K238" i="1" s="1"/>
  <c r="I332" i="1"/>
  <c r="L332" i="1" s="1"/>
  <c r="J332" i="1" s="1"/>
  <c r="I227" i="1"/>
  <c r="L227" i="1" s="1"/>
  <c r="J227" i="1" s="1"/>
  <c r="I376" i="1"/>
  <c r="L376" i="1" s="1"/>
  <c r="I258" i="1"/>
  <c r="L258" i="1" s="1"/>
  <c r="J258" i="1" s="1"/>
  <c r="I37" i="1"/>
  <c r="L37" i="1" s="1"/>
  <c r="I120" i="1"/>
  <c r="L120" i="1" s="1"/>
  <c r="I397" i="1"/>
  <c r="L397" i="1" s="1"/>
  <c r="K397" i="1" s="1"/>
  <c r="I90" i="1"/>
  <c r="L90" i="1" s="1"/>
  <c r="J90" i="1" s="1"/>
  <c r="I401" i="1"/>
  <c r="L401" i="1" s="1"/>
  <c r="J401" i="1" s="1"/>
  <c r="I325" i="1"/>
  <c r="L325" i="1" s="1"/>
  <c r="J325" i="1" s="1"/>
  <c r="I334" i="1"/>
  <c r="L334" i="1" s="1"/>
  <c r="J334" i="1" s="1"/>
  <c r="I303" i="1"/>
  <c r="L303" i="1" s="1"/>
  <c r="J303" i="1" s="1"/>
  <c r="I35" i="1"/>
  <c r="L35" i="1" s="1"/>
  <c r="I290" i="1"/>
  <c r="L290" i="1" s="1"/>
  <c r="J290" i="1" s="1"/>
  <c r="I39" i="1"/>
  <c r="L39" i="1" s="1"/>
  <c r="J39" i="1" s="1"/>
  <c r="I105" i="1"/>
  <c r="L105" i="1" s="1"/>
  <c r="J105" i="1" s="1"/>
  <c r="I145" i="1"/>
  <c r="L145" i="1" s="1"/>
  <c r="J145" i="1" s="1"/>
  <c r="I223" i="1"/>
  <c r="L223" i="1" s="1"/>
  <c r="J223" i="1" s="1"/>
  <c r="I244" i="1"/>
  <c r="L244" i="1" s="1"/>
  <c r="J244" i="1" s="1"/>
  <c r="I302" i="1"/>
  <c r="L302" i="1" s="1"/>
  <c r="I283" i="1"/>
  <c r="L283" i="1" s="1"/>
  <c r="I338" i="1"/>
  <c r="L338" i="1" s="1"/>
  <c r="K338" i="1" s="1"/>
  <c r="I110" i="1"/>
  <c r="L110" i="1" s="1"/>
  <c r="J110" i="1" s="1"/>
  <c r="I68" i="1"/>
  <c r="L68" i="1" s="1"/>
  <c r="I98" i="1"/>
  <c r="L98" i="1" s="1"/>
  <c r="I214" i="1"/>
  <c r="L214" i="1" s="1"/>
  <c r="I239" i="1"/>
  <c r="L239" i="1" s="1"/>
  <c r="I76" i="1"/>
  <c r="L76" i="1" s="1"/>
  <c r="J76" i="1" s="1"/>
  <c r="I134" i="1"/>
  <c r="L134" i="1" s="1"/>
  <c r="K134" i="1" s="1"/>
  <c r="I322" i="1"/>
  <c r="L322" i="1" s="1"/>
  <c r="I261" i="1"/>
  <c r="L261" i="1" s="1"/>
  <c r="I179" i="1"/>
  <c r="L179" i="1" s="1"/>
  <c r="J179" i="1" s="1"/>
  <c r="I57" i="1"/>
  <c r="L57" i="1" s="1"/>
  <c r="K57" i="1" s="1"/>
  <c r="I77" i="1"/>
  <c r="L77" i="1" s="1"/>
  <c r="J77" i="1" s="1"/>
  <c r="I375" i="1"/>
  <c r="L375" i="1" s="1"/>
  <c r="K375" i="1" s="1"/>
  <c r="I403" i="1"/>
  <c r="L403" i="1" s="1"/>
  <c r="J403" i="1" s="1"/>
  <c r="I175" i="1"/>
  <c r="L175" i="1" s="1"/>
  <c r="J175" i="1" s="1"/>
  <c r="I62" i="1"/>
  <c r="L62" i="1" s="1"/>
  <c r="K62" i="1" s="1"/>
  <c r="I184" i="1"/>
  <c r="L184" i="1" s="1"/>
  <c r="J184" i="1" s="1"/>
  <c r="I326" i="1"/>
  <c r="L326" i="1" s="1"/>
  <c r="J326" i="1" s="1"/>
  <c r="I162" i="1"/>
  <c r="L162" i="1" s="1"/>
  <c r="J162" i="1" s="1"/>
  <c r="I159" i="1"/>
  <c r="L159" i="1" s="1"/>
  <c r="I219" i="1"/>
  <c r="L219" i="1" s="1"/>
  <c r="I230" i="1"/>
  <c r="L230" i="1" s="1"/>
  <c r="I166" i="1"/>
  <c r="L166" i="1" s="1"/>
  <c r="J166" i="1" s="1"/>
  <c r="I172" i="1"/>
  <c r="L172" i="1" s="1"/>
  <c r="J172" i="1" s="1"/>
  <c r="I262" i="1"/>
  <c r="L262" i="1" s="1"/>
  <c r="J262" i="1" s="1"/>
  <c r="I373" i="1"/>
  <c r="L373" i="1" s="1"/>
  <c r="K373" i="1" s="1"/>
  <c r="I297" i="1"/>
  <c r="L297" i="1" s="1"/>
  <c r="I139" i="1"/>
  <c r="L139" i="1" s="1"/>
  <c r="I248" i="1"/>
  <c r="L248" i="1" s="1"/>
  <c r="J248" i="1" s="1"/>
  <c r="I228" i="1"/>
  <c r="L228" i="1" s="1"/>
  <c r="I188" i="1"/>
  <c r="L188" i="1" s="1"/>
  <c r="I339" i="1"/>
  <c r="L339" i="1" s="1"/>
  <c r="K339" i="1" s="1"/>
  <c r="I59" i="1"/>
  <c r="L59" i="1" s="1"/>
  <c r="I115" i="1"/>
  <c r="L115" i="1" s="1"/>
  <c r="J115" i="1" s="1"/>
  <c r="I280" i="1"/>
  <c r="L280" i="1" s="1"/>
  <c r="K280" i="1" s="1"/>
  <c r="I195" i="1"/>
  <c r="L195" i="1" s="1"/>
  <c r="J195" i="1" s="1"/>
  <c r="I205" i="1"/>
  <c r="L205" i="1" s="1"/>
  <c r="I222" i="1"/>
  <c r="L222" i="1" s="1"/>
  <c r="I143" i="1"/>
  <c r="L143" i="1" s="1"/>
  <c r="J143" i="1" s="1"/>
  <c r="I81" i="1"/>
  <c r="L81" i="1" s="1"/>
  <c r="K81" i="1" s="1"/>
  <c r="I177" i="1"/>
  <c r="L177" i="1" s="1"/>
  <c r="I94" i="1"/>
  <c r="L94" i="1" s="1"/>
  <c r="J94" i="1" s="1"/>
  <c r="I67" i="1"/>
  <c r="L67" i="1" s="1"/>
  <c r="I361" i="1"/>
  <c r="L361" i="1" s="1"/>
  <c r="I404" i="1"/>
  <c r="L404" i="1" s="1"/>
  <c r="J404" i="1" s="1"/>
  <c r="I387" i="1"/>
  <c r="L387" i="1" s="1"/>
  <c r="K387" i="1" s="1"/>
  <c r="I351" i="1"/>
  <c r="L351" i="1" s="1"/>
  <c r="I111" i="1"/>
  <c r="L111" i="1" s="1"/>
  <c r="J111" i="1" s="1"/>
  <c r="I199" i="1"/>
  <c r="L199" i="1" s="1"/>
  <c r="I286" i="1"/>
  <c r="L286" i="1" s="1"/>
  <c r="K286" i="1" s="1"/>
  <c r="I104" i="1"/>
  <c r="L104" i="1" s="1"/>
  <c r="J104" i="1" s="1"/>
  <c r="I252" i="1"/>
  <c r="L252" i="1" s="1"/>
  <c r="J252" i="1" s="1"/>
  <c r="I153" i="1"/>
  <c r="L153" i="1" s="1"/>
  <c r="J153" i="1" s="1"/>
  <c r="I311" i="1"/>
  <c r="L311" i="1" s="1"/>
  <c r="I185" i="1"/>
  <c r="L185" i="1" s="1"/>
  <c r="I379" i="1"/>
  <c r="L379" i="1" s="1"/>
  <c r="J379" i="1" s="1"/>
  <c r="I144" i="1"/>
  <c r="L144" i="1" s="1"/>
  <c r="J144" i="1" s="1"/>
  <c r="I123" i="1"/>
  <c r="L123" i="1" s="1"/>
  <c r="I247" i="1"/>
  <c r="L247" i="1" s="1"/>
  <c r="K247" i="1" s="1"/>
  <c r="I236" i="1"/>
  <c r="L236" i="1" s="1"/>
  <c r="K236" i="1" s="1"/>
  <c r="I355" i="1"/>
  <c r="L355" i="1" s="1"/>
  <c r="K355" i="1" s="1"/>
  <c r="I365" i="1"/>
  <c r="L365" i="1" s="1"/>
  <c r="J365" i="1" s="1"/>
  <c r="I278" i="1"/>
  <c r="L278" i="1" s="1"/>
  <c r="K278" i="1" s="1"/>
  <c r="I117" i="1"/>
  <c r="L117" i="1" s="1"/>
  <c r="J117" i="1" s="1"/>
  <c r="I368" i="1"/>
  <c r="L368" i="1" s="1"/>
  <c r="K368" i="1" s="1"/>
  <c r="I327" i="1"/>
  <c r="L327" i="1" s="1"/>
  <c r="J327" i="1" s="1"/>
  <c r="I335" i="1"/>
  <c r="L335" i="1" s="1"/>
  <c r="K335" i="1" s="1"/>
  <c r="I206" i="1"/>
  <c r="L206" i="1" s="1"/>
  <c r="J206" i="1" s="1"/>
  <c r="I305" i="1"/>
  <c r="L305" i="1" s="1"/>
  <c r="I41" i="1"/>
  <c r="L41" i="1" s="1"/>
  <c r="K41" i="1" s="1"/>
  <c r="I158" i="1"/>
  <c r="L158" i="1" s="1"/>
  <c r="K158" i="1" s="1"/>
  <c r="I66" i="1"/>
  <c r="L66" i="1" s="1"/>
  <c r="J66" i="1" s="1"/>
  <c r="I61" i="1"/>
  <c r="L61" i="1" s="1"/>
  <c r="K61" i="1" s="1"/>
  <c r="I194" i="1"/>
  <c r="L194" i="1" s="1"/>
  <c r="I181" i="1"/>
  <c r="L181" i="1" s="1"/>
  <c r="J181" i="1" s="1"/>
  <c r="I160" i="1"/>
  <c r="L160" i="1" s="1"/>
  <c r="I273" i="1"/>
  <c r="L273" i="1" s="1"/>
  <c r="I83" i="1"/>
  <c r="L83" i="1" s="1"/>
  <c r="J83" i="1" s="1"/>
  <c r="I43" i="1"/>
  <c r="L43" i="1" s="1"/>
  <c r="I314" i="1"/>
  <c r="L314" i="1" s="1"/>
  <c r="K314" i="1" s="1"/>
  <c r="I135" i="1"/>
  <c r="L135" i="1" s="1"/>
  <c r="J135" i="1" s="1"/>
  <c r="I369" i="1"/>
  <c r="L369" i="1" s="1"/>
  <c r="J369" i="1" s="1"/>
  <c r="I323" i="1"/>
  <c r="L323" i="1" s="1"/>
  <c r="J323" i="1" s="1"/>
  <c r="I130" i="1"/>
  <c r="L130" i="1" s="1"/>
  <c r="I58" i="1"/>
  <c r="L58" i="1" s="1"/>
  <c r="I148" i="1"/>
  <c r="L148" i="1" s="1"/>
  <c r="K148" i="1" s="1"/>
  <c r="I304" i="1"/>
  <c r="L304" i="1" s="1"/>
  <c r="I389" i="1"/>
  <c r="L389" i="1" s="1"/>
  <c r="I52" i="1"/>
  <c r="L52" i="1" s="1"/>
  <c r="J52" i="1" s="1"/>
  <c r="I242" i="1"/>
  <c r="L242" i="1" s="1"/>
  <c r="I391" i="1"/>
  <c r="L391" i="1" s="1"/>
  <c r="J391" i="1" s="1"/>
  <c r="I216" i="1"/>
  <c r="L216" i="1" s="1"/>
  <c r="I109" i="1"/>
  <c r="L109" i="1" s="1"/>
  <c r="K109" i="1" s="1"/>
  <c r="I276" i="1"/>
  <c r="L276" i="1" s="1"/>
  <c r="I192" i="1"/>
  <c r="L192" i="1" s="1"/>
  <c r="K192" i="1" s="1"/>
  <c r="I155" i="1"/>
  <c r="L155" i="1" s="1"/>
  <c r="J155" i="1" s="1"/>
  <c r="I370" i="1"/>
  <c r="L370" i="1" s="1"/>
  <c r="J370" i="1" s="1"/>
  <c r="I364" i="1"/>
  <c r="L364" i="1" s="1"/>
  <c r="I212" i="1"/>
  <c r="L212" i="1" s="1"/>
  <c r="K212" i="1" s="1"/>
  <c r="I198" i="1"/>
  <c r="L198" i="1" s="1"/>
  <c r="I53" i="1"/>
  <c r="L53" i="1" s="1"/>
  <c r="I256" i="1"/>
  <c r="L256" i="1" s="1"/>
  <c r="J256" i="1" s="1"/>
  <c r="I367" i="1"/>
  <c r="L367" i="1" s="1"/>
  <c r="I202" i="1"/>
  <c r="L202" i="1" s="1"/>
  <c r="J202" i="1" s="1"/>
  <c r="I372" i="1"/>
  <c r="L372" i="1" s="1"/>
  <c r="J372" i="1" s="1"/>
  <c r="I173" i="1"/>
  <c r="L173" i="1" s="1"/>
  <c r="J173" i="1" s="1"/>
  <c r="I221" i="1"/>
  <c r="L221" i="1" s="1"/>
  <c r="J221" i="1" s="1"/>
  <c r="I385" i="1"/>
  <c r="L385" i="1" s="1"/>
  <c r="I380" i="1"/>
  <c r="L380" i="1" s="1"/>
  <c r="K380" i="1" s="1"/>
  <c r="I217" i="1"/>
  <c r="L217" i="1" s="1"/>
  <c r="I345" i="1"/>
  <c r="L345" i="1" s="1"/>
  <c r="J345" i="1" s="1"/>
  <c r="I406" i="1"/>
  <c r="L406" i="1" s="1"/>
  <c r="K406" i="1" s="1"/>
  <c r="I171" i="1"/>
  <c r="L171" i="1" s="1"/>
  <c r="K171" i="1" s="1"/>
  <c r="I91" i="1"/>
  <c r="L91" i="1" s="1"/>
  <c r="I131" i="1"/>
  <c r="L131" i="1" s="1"/>
  <c r="J131" i="1" s="1"/>
  <c r="I350" i="1"/>
  <c r="L350" i="1" s="1"/>
  <c r="K350" i="1" s="1"/>
  <c r="I284" i="1"/>
  <c r="L284" i="1" s="1"/>
  <c r="I141" i="1"/>
  <c r="L141" i="1" s="1"/>
  <c r="J141" i="1" s="1"/>
  <c r="I149" i="1"/>
  <c r="L149" i="1" s="1"/>
  <c r="J149" i="1" s="1"/>
  <c r="I42" i="1"/>
  <c r="L42" i="1" s="1"/>
  <c r="I152" i="1"/>
  <c r="L152" i="1" s="1"/>
  <c r="K152" i="1" s="1"/>
  <c r="I336" i="1"/>
  <c r="L336" i="1" s="1"/>
  <c r="I384" i="1"/>
  <c r="L384" i="1" s="1"/>
  <c r="I255" i="1"/>
  <c r="L255" i="1" s="1"/>
  <c r="I211" i="1"/>
  <c r="L211" i="1" s="1"/>
  <c r="I101" i="1"/>
  <c r="L101" i="1" s="1"/>
  <c r="K101" i="1" s="1"/>
  <c r="I315" i="1"/>
  <c r="L315" i="1" s="1"/>
  <c r="J315" i="1" s="1"/>
  <c r="I72" i="1"/>
  <c r="L72" i="1" s="1"/>
  <c r="J72" i="1" s="1"/>
  <c r="I218" i="1"/>
  <c r="L218" i="1" s="1"/>
  <c r="I349" i="1"/>
  <c r="L349" i="1" s="1"/>
  <c r="I127" i="1"/>
  <c r="L127" i="1" s="1"/>
  <c r="K127" i="1" s="1"/>
  <c r="I337" i="1"/>
  <c r="L337" i="1" s="1"/>
  <c r="K337" i="1" s="1"/>
  <c r="I124" i="1"/>
  <c r="L124" i="1" s="1"/>
  <c r="I150" i="1"/>
  <c r="L150" i="1" s="1"/>
  <c r="J150" i="1" s="1"/>
  <c r="I80" i="1"/>
  <c r="L80" i="1" s="1"/>
  <c r="I140" i="1"/>
  <c r="L140" i="1" s="1"/>
  <c r="I147" i="1"/>
  <c r="L147" i="1" s="1"/>
  <c r="I121" i="1"/>
  <c r="L121" i="1" s="1"/>
  <c r="J121" i="1" s="1"/>
  <c r="I215" i="1"/>
  <c r="L215" i="1" s="1"/>
  <c r="J215" i="1" s="1"/>
  <c r="I220" i="1"/>
  <c r="L220" i="1" s="1"/>
  <c r="I371" i="1"/>
  <c r="L371" i="1" s="1"/>
  <c r="I197" i="1"/>
  <c r="L197" i="1" s="1"/>
  <c r="I114" i="1"/>
  <c r="L114" i="1" s="1"/>
  <c r="J114" i="1" s="1"/>
  <c r="I71" i="1"/>
  <c r="L71" i="1" s="1"/>
  <c r="I324" i="1"/>
  <c r="L324" i="1" s="1"/>
  <c r="I186" i="1"/>
  <c r="L186" i="1" s="1"/>
  <c r="K186" i="1" s="1"/>
  <c r="I266" i="1"/>
  <c r="L266" i="1" s="1"/>
  <c r="K266" i="1" s="1"/>
  <c r="I167" i="1"/>
  <c r="L167" i="1" s="1"/>
  <c r="J167" i="1" s="1"/>
  <c r="I201" i="1"/>
  <c r="L201" i="1" s="1"/>
  <c r="I301" i="1"/>
  <c r="L301" i="1" s="1"/>
  <c r="I319" i="1"/>
  <c r="L319" i="1" s="1"/>
  <c r="I287" i="1"/>
  <c r="L287" i="1" s="1"/>
  <c r="J287" i="1" s="1"/>
  <c r="I342" i="1"/>
  <c r="L342" i="1" s="1"/>
  <c r="J342" i="1" s="1"/>
  <c r="I50" i="1"/>
  <c r="L50" i="1" s="1"/>
  <c r="J50" i="1" s="1"/>
  <c r="I249" i="1"/>
  <c r="L249" i="1" s="1"/>
  <c r="I225" i="1"/>
  <c r="L225" i="1" s="1"/>
  <c r="I296" i="1"/>
  <c r="L296" i="1" s="1"/>
  <c r="J296" i="1" s="1"/>
  <c r="I271" i="1"/>
  <c r="L271" i="1" s="1"/>
  <c r="J271" i="1" s="1"/>
  <c r="I189" i="1"/>
  <c r="L189" i="1" s="1"/>
  <c r="I294" i="1"/>
  <c r="L294" i="1" s="1"/>
  <c r="J294" i="1" s="1"/>
  <c r="I277" i="1"/>
  <c r="L277" i="1" s="1"/>
  <c r="I386" i="1"/>
  <c r="L386" i="1" s="1"/>
  <c r="K386" i="1" s="1"/>
  <c r="I316" i="1"/>
  <c r="L316" i="1" s="1"/>
  <c r="J316" i="1" s="1"/>
  <c r="I285" i="1"/>
  <c r="L285" i="1" s="1"/>
  <c r="I78" i="1"/>
  <c r="L78" i="1" s="1"/>
  <c r="I274" i="1"/>
  <c r="L274" i="1" s="1"/>
  <c r="I318" i="1"/>
  <c r="L318" i="1" s="1"/>
  <c r="J318" i="1" s="1"/>
  <c r="I164" i="1"/>
  <c r="L164" i="1" s="1"/>
  <c r="J164" i="1" s="1"/>
  <c r="I269" i="1"/>
  <c r="L269" i="1" s="1"/>
  <c r="I348" i="1"/>
  <c r="L348" i="1" s="1"/>
  <c r="I108" i="1"/>
  <c r="L108" i="1" s="1"/>
  <c r="I85" i="1"/>
  <c r="L85" i="1" s="1"/>
  <c r="I383" i="1"/>
  <c r="L383" i="1" s="1"/>
  <c r="K383" i="1" s="1"/>
  <c r="I352" i="1"/>
  <c r="L352" i="1" s="1"/>
  <c r="J352" i="1" s="1"/>
  <c r="I176" i="1"/>
  <c r="L176" i="1" s="1"/>
  <c r="J176" i="1" s="1"/>
  <c r="I89" i="1"/>
  <c r="L89" i="1" s="1"/>
  <c r="I132" i="1"/>
  <c r="L132" i="1" s="1"/>
  <c r="K132" i="1" s="1"/>
  <c r="I398" i="1"/>
  <c r="L398" i="1" s="1"/>
  <c r="I395" i="1"/>
  <c r="L395" i="1" s="1"/>
  <c r="K395" i="1" s="1"/>
  <c r="I49" i="1"/>
  <c r="L49" i="1" s="1"/>
  <c r="I293" i="1"/>
  <c r="L293" i="1" s="1"/>
  <c r="J293" i="1" s="1"/>
  <c r="I170" i="1"/>
  <c r="L170" i="1" s="1"/>
  <c r="J170" i="1" s="1"/>
  <c r="I146" i="1"/>
  <c r="L146" i="1" s="1"/>
  <c r="J146" i="1" s="1"/>
  <c r="I341" i="1"/>
  <c r="L341" i="1" s="1"/>
  <c r="K341" i="1" s="1"/>
  <c r="I381" i="1"/>
  <c r="L381" i="1" s="1"/>
  <c r="I289" i="1"/>
  <c r="L289" i="1" s="1"/>
  <c r="I309" i="1"/>
  <c r="L309" i="1" s="1"/>
  <c r="J309" i="1" s="1"/>
  <c r="I183" i="1"/>
  <c r="L183" i="1" s="1"/>
  <c r="J183" i="1" s="1"/>
  <c r="I263" i="1"/>
  <c r="L263" i="1" s="1"/>
  <c r="K263" i="1" s="1"/>
  <c r="I254" i="1"/>
  <c r="L254" i="1" s="1"/>
  <c r="I226" i="1"/>
  <c r="L226" i="1" s="1"/>
  <c r="J226" i="1" s="1"/>
  <c r="I96" i="1"/>
  <c r="L96" i="1" s="1"/>
  <c r="I267" i="1"/>
  <c r="L267" i="1" s="1"/>
  <c r="I310" i="1"/>
  <c r="L310" i="1" s="1"/>
  <c r="I55" i="1"/>
  <c r="L55" i="1" s="1"/>
  <c r="I363" i="1"/>
  <c r="L363" i="1" s="1"/>
  <c r="I112" i="1"/>
  <c r="L112" i="1" s="1"/>
  <c r="K112" i="1" s="1"/>
  <c r="I116" i="1"/>
  <c r="L116" i="1" s="1"/>
  <c r="K116" i="1" s="1"/>
  <c r="I100" i="1"/>
  <c r="L100" i="1" s="1"/>
  <c r="K100" i="1" s="1"/>
  <c r="I129" i="1"/>
  <c r="L129" i="1" s="1"/>
  <c r="I394" i="1"/>
  <c r="L394" i="1" s="1"/>
  <c r="K394" i="1" s="1"/>
  <c r="I88" i="1"/>
  <c r="L88" i="1" s="1"/>
  <c r="J88" i="1" s="1"/>
  <c r="I40" i="1"/>
  <c r="L40" i="1" s="1"/>
  <c r="I128" i="1"/>
  <c r="L128" i="1" s="1"/>
  <c r="I190" i="1"/>
  <c r="L190" i="1" s="1"/>
  <c r="J190" i="1" s="1"/>
  <c r="I245" i="1"/>
  <c r="L245" i="1" s="1"/>
  <c r="I392" i="1"/>
  <c r="L392" i="1" s="1"/>
  <c r="I264" i="1"/>
  <c r="L264" i="1" s="1"/>
  <c r="K264" i="1" s="1"/>
  <c r="I151" i="1"/>
  <c r="L151" i="1" s="1"/>
  <c r="J151" i="1" s="1"/>
  <c r="I142" i="1"/>
  <c r="L142" i="1" s="1"/>
  <c r="I300" i="1"/>
  <c r="L300" i="1" s="1"/>
  <c r="K300" i="1" s="1"/>
  <c r="I354" i="1"/>
  <c r="L354" i="1" s="1"/>
  <c r="I92" i="1"/>
  <c r="L92" i="1" s="1"/>
  <c r="J92" i="1" s="1"/>
  <c r="I235" i="1"/>
  <c r="L235" i="1" s="1"/>
  <c r="K235" i="1" s="1"/>
  <c r="I358" i="1"/>
  <c r="L358" i="1" s="1"/>
  <c r="K358" i="1" s="1"/>
  <c r="I237" i="1"/>
  <c r="L237" i="1" s="1"/>
  <c r="J237" i="1" s="1"/>
  <c r="I136" i="1"/>
  <c r="L136" i="1" s="1"/>
  <c r="K136" i="1" s="1"/>
  <c r="I97" i="1"/>
  <c r="L97" i="1" s="1"/>
  <c r="I75" i="1"/>
  <c r="L75" i="1" s="1"/>
  <c r="J75" i="1" s="1"/>
  <c r="I102" i="1"/>
  <c r="L102" i="1" s="1"/>
  <c r="I126" i="1"/>
  <c r="L126" i="1" s="1"/>
  <c r="J126" i="1" s="1"/>
  <c r="I174" i="1"/>
  <c r="L174" i="1" s="1"/>
  <c r="I330" i="1"/>
  <c r="L330" i="1" s="1"/>
  <c r="I231" i="1"/>
  <c r="L231" i="1" s="1"/>
  <c r="K231" i="1" s="1"/>
  <c r="I54" i="1"/>
  <c r="L54" i="1" s="1"/>
  <c r="J54" i="1" s="1"/>
  <c r="I103" i="1"/>
  <c r="L103" i="1" s="1"/>
  <c r="I405" i="1"/>
  <c r="L405" i="1" s="1"/>
  <c r="I157" i="1"/>
  <c r="L157" i="1" s="1"/>
  <c r="K157" i="1" s="1"/>
  <c r="I36" i="1"/>
  <c r="L36" i="1" s="1"/>
  <c r="I93" i="1"/>
  <c r="L93" i="1" s="1"/>
  <c r="I113" i="1"/>
  <c r="L113" i="1" s="1"/>
  <c r="K113" i="1" s="1"/>
  <c r="I86" i="1"/>
  <c r="L86" i="1" s="1"/>
  <c r="I118" i="1"/>
  <c r="L118" i="1" s="1"/>
  <c r="I46" i="1"/>
  <c r="L46" i="1" s="1"/>
  <c r="J46" i="1" s="1"/>
  <c r="I208" i="1"/>
  <c r="L208" i="1" s="1"/>
  <c r="J208" i="1" s="1"/>
  <c r="I122" i="1"/>
  <c r="L122" i="1" s="1"/>
  <c r="J122" i="1" s="1"/>
  <c r="I333" i="1"/>
  <c r="L333" i="1" s="1"/>
  <c r="K333" i="1" s="1"/>
  <c r="I270" i="1"/>
  <c r="L270" i="1" s="1"/>
  <c r="K270" i="1" s="1"/>
  <c r="I308" i="1"/>
  <c r="L308" i="1" s="1"/>
  <c r="J308" i="1" s="1"/>
  <c r="I306" i="1"/>
  <c r="L306" i="1" s="1"/>
  <c r="I259" i="1"/>
  <c r="L259" i="1" s="1"/>
  <c r="J259" i="1" s="1"/>
  <c r="I234" i="1"/>
  <c r="L234" i="1" s="1"/>
  <c r="I360" i="1"/>
  <c r="L360" i="1" s="1"/>
  <c r="J360" i="1" s="1"/>
  <c r="I99" i="1"/>
  <c r="L99" i="1" s="1"/>
  <c r="J99" i="1" s="1"/>
  <c r="I209" i="1"/>
  <c r="L209" i="1" s="1"/>
  <c r="I178" i="1"/>
  <c r="L178" i="1" s="1"/>
  <c r="I240" i="1"/>
  <c r="L240" i="1" s="1"/>
  <c r="K240" i="1" s="1"/>
  <c r="I400" i="1"/>
  <c r="L400" i="1" s="1"/>
  <c r="K400" i="1" s="1"/>
  <c r="I207" i="1"/>
  <c r="L207" i="1" s="1"/>
  <c r="I329" i="1"/>
  <c r="L329" i="1" s="1"/>
  <c r="I260" i="1"/>
  <c r="L260" i="1" s="1"/>
  <c r="K260" i="1" s="1"/>
  <c r="I133" i="1"/>
  <c r="L133" i="1" s="1"/>
  <c r="I213" i="1"/>
  <c r="L213" i="1" s="1"/>
  <c r="J213" i="1" s="1"/>
  <c r="I165" i="1"/>
  <c r="L165" i="1" s="1"/>
  <c r="J165" i="1" s="1"/>
  <c r="I44" i="1"/>
  <c r="L44" i="1" s="1"/>
  <c r="J44" i="1" s="1"/>
  <c r="I344" i="1"/>
  <c r="L344" i="1" s="1"/>
  <c r="I320" i="1"/>
  <c r="L320" i="1" s="1"/>
  <c r="I243" i="1"/>
  <c r="L243" i="1" s="1"/>
  <c r="K243" i="1" s="1"/>
  <c r="I265" i="1"/>
  <c r="L265" i="1" s="1"/>
  <c r="J265" i="1" s="1"/>
  <c r="I204" i="1"/>
  <c r="L204" i="1" s="1"/>
  <c r="J204" i="1" s="1"/>
  <c r="I232" i="1"/>
  <c r="L232" i="1" s="1"/>
  <c r="I343" i="1"/>
  <c r="L343" i="1" s="1"/>
  <c r="J343" i="1" s="1"/>
  <c r="I268" i="1"/>
  <c r="L268" i="1" s="1"/>
  <c r="J268" i="1" s="1"/>
  <c r="I51" i="1"/>
  <c r="L51" i="1" s="1"/>
  <c r="I246" i="1"/>
  <c r="L246" i="1" s="1"/>
  <c r="J246" i="1" s="1"/>
  <c r="I45" i="1"/>
  <c r="L45" i="1" s="1"/>
  <c r="I378" i="1"/>
  <c r="L378" i="1" s="1"/>
  <c r="J378" i="1" s="1"/>
  <c r="I73" i="1"/>
  <c r="L73" i="1" s="1"/>
  <c r="I362" i="1"/>
  <c r="L362" i="1" s="1"/>
  <c r="J362" i="1" s="1"/>
  <c r="I250" i="1"/>
  <c r="L250" i="1" s="1"/>
  <c r="I187" i="1"/>
  <c r="L187" i="1" s="1"/>
  <c r="J187" i="1" s="1"/>
  <c r="I64" i="1"/>
  <c r="L64" i="1" s="1"/>
  <c r="J64" i="1" s="1"/>
  <c r="I84" i="1"/>
  <c r="L84" i="1" s="1"/>
  <c r="I313" i="1"/>
  <c r="L313" i="1" s="1"/>
  <c r="I203" i="1"/>
  <c r="L203" i="1" s="1"/>
  <c r="J203" i="1" s="1"/>
  <c r="I281" i="1"/>
  <c r="L281" i="1" s="1"/>
  <c r="I163" i="1"/>
  <c r="L163" i="1" s="1"/>
  <c r="K163" i="1" s="1"/>
  <c r="I299" i="1"/>
  <c r="L299" i="1" s="1"/>
  <c r="I182" i="1"/>
  <c r="L182" i="1" s="1"/>
  <c r="I106" i="1"/>
  <c r="L106" i="1" s="1"/>
  <c r="J106" i="1" s="1"/>
  <c r="I331" i="1"/>
  <c r="L331" i="1" s="1"/>
  <c r="I200" i="1"/>
  <c r="L200" i="1" s="1"/>
  <c r="J200" i="1" s="1"/>
  <c r="I125" i="1"/>
  <c r="L125" i="1" s="1"/>
  <c r="J125" i="1" s="1"/>
  <c r="I272" i="1"/>
  <c r="L272" i="1" s="1"/>
  <c r="J272" i="1" s="1"/>
  <c r="I74" i="1"/>
  <c r="L74" i="1" s="1"/>
  <c r="I402" i="1"/>
  <c r="L402" i="1" s="1"/>
  <c r="I357" i="1"/>
  <c r="L357" i="1" s="1"/>
  <c r="I347" i="1"/>
  <c r="L347" i="1" s="1"/>
  <c r="K347" i="1" s="1"/>
  <c r="I224" i="1"/>
  <c r="L224" i="1" s="1"/>
  <c r="I388" i="1"/>
  <c r="L388" i="1" s="1"/>
  <c r="K388" i="1" s="1"/>
  <c r="I288" i="1"/>
  <c r="L288" i="1" s="1"/>
  <c r="J288" i="1" s="1"/>
  <c r="K303" i="1" l="1"/>
  <c r="K272" i="1"/>
  <c r="K204" i="1"/>
  <c r="K99" i="1"/>
  <c r="K122" i="1"/>
  <c r="K296" i="1"/>
  <c r="K153" i="1"/>
  <c r="K213" i="1"/>
  <c r="K92" i="1"/>
  <c r="K77" i="1"/>
  <c r="K200" i="1"/>
  <c r="K131" i="1"/>
  <c r="K154" i="1"/>
  <c r="K125" i="1"/>
  <c r="K360" i="1"/>
  <c r="K246" i="1"/>
  <c r="K259" i="1"/>
  <c r="K54" i="1"/>
  <c r="K151" i="1"/>
  <c r="K50" i="1"/>
  <c r="K190" i="1"/>
  <c r="K309" i="1"/>
  <c r="K167" i="1"/>
  <c r="K52" i="1"/>
  <c r="K184" i="1"/>
  <c r="K208" i="1"/>
  <c r="K268" i="1"/>
  <c r="K44" i="1"/>
  <c r="K226" i="1"/>
  <c r="K176" i="1"/>
  <c r="K318" i="1"/>
  <c r="K287" i="1"/>
  <c r="K379" i="1"/>
  <c r="K378" i="1"/>
  <c r="K170" i="1"/>
  <c r="K114" i="1"/>
  <c r="K143" i="1"/>
  <c r="K107" i="1"/>
  <c r="K75" i="1"/>
  <c r="K288" i="1"/>
  <c r="K46" i="1"/>
  <c r="K215" i="1"/>
  <c r="K181" i="1"/>
  <c r="K106" i="1"/>
  <c r="K64" i="1"/>
  <c r="K164" i="1"/>
  <c r="K370" i="1"/>
  <c r="K110" i="1"/>
  <c r="K241" i="1"/>
  <c r="K399" i="1"/>
  <c r="K180" i="1"/>
  <c r="K308" i="1"/>
  <c r="K146" i="1"/>
  <c r="K343" i="1"/>
  <c r="K403" i="1"/>
  <c r="K187" i="1"/>
  <c r="K265" i="1"/>
  <c r="K271" i="1"/>
  <c r="K173" i="1"/>
  <c r="K83" i="1"/>
  <c r="K165" i="1"/>
  <c r="K104" i="1"/>
  <c r="K126" i="1"/>
  <c r="K237" i="1"/>
  <c r="K352" i="1"/>
  <c r="K342" i="1"/>
  <c r="K121" i="1"/>
  <c r="K150" i="1"/>
  <c r="K202" i="1"/>
  <c r="K195" i="1"/>
  <c r="K166" i="1"/>
  <c r="K175" i="1"/>
  <c r="K179" i="1"/>
  <c r="K290" i="1"/>
  <c r="K334" i="1"/>
  <c r="K353" i="1"/>
  <c r="K294" i="1"/>
  <c r="K149" i="1"/>
  <c r="K323" i="1"/>
  <c r="K327" i="1"/>
  <c r="K94" i="1"/>
  <c r="K233" i="1"/>
  <c r="K141" i="1"/>
  <c r="K221" i="1"/>
  <c r="K155" i="1"/>
  <c r="K369" i="1"/>
  <c r="K66" i="1"/>
  <c r="K111" i="1"/>
  <c r="K248" i="1"/>
  <c r="K325" i="1"/>
  <c r="K258" i="1"/>
  <c r="K257" i="1"/>
  <c r="K316" i="1"/>
  <c r="K72" i="1"/>
  <c r="K256" i="1"/>
  <c r="K115" i="1"/>
  <c r="K244" i="1"/>
  <c r="K401" i="1"/>
  <c r="K382" i="1"/>
  <c r="K161" i="1"/>
  <c r="K203" i="1"/>
  <c r="K88" i="1"/>
  <c r="K315" i="1"/>
  <c r="K345" i="1"/>
  <c r="K372" i="1"/>
  <c r="K117" i="1"/>
  <c r="K252" i="1"/>
  <c r="K162" i="1"/>
  <c r="K223" i="1"/>
  <c r="K90" i="1"/>
  <c r="K292" i="1"/>
  <c r="K251" i="1"/>
  <c r="K312" i="1"/>
  <c r="K362" i="1"/>
  <c r="K135" i="1"/>
  <c r="K144" i="1"/>
  <c r="K404" i="1"/>
  <c r="K326" i="1"/>
  <c r="K145" i="1"/>
  <c r="K275" i="1"/>
  <c r="K82" i="1"/>
  <c r="K183" i="1"/>
  <c r="K206" i="1"/>
  <c r="K262" i="1"/>
  <c r="K76" i="1"/>
  <c r="K105" i="1"/>
  <c r="K227" i="1"/>
  <c r="K65" i="1"/>
  <c r="K137" i="1"/>
  <c r="K293" i="1"/>
  <c r="K391" i="1"/>
  <c r="K365" i="1"/>
  <c r="K172" i="1"/>
  <c r="K39" i="1"/>
  <c r="K332" i="1"/>
  <c r="K374" i="1"/>
  <c r="I31" i="1"/>
  <c r="L31" i="1" s="1"/>
  <c r="I27" i="1"/>
  <c r="L27" i="1" s="1"/>
  <c r="J27" i="1" s="1"/>
  <c r="G3" i="5"/>
  <c r="G14" i="5"/>
  <c r="G13" i="5"/>
  <c r="I29" i="1"/>
  <c r="L29" i="1" s="1"/>
  <c r="K29" i="1" s="1"/>
  <c r="I23" i="1"/>
  <c r="L23" i="1" s="1"/>
  <c r="J23" i="1" s="1"/>
  <c r="I32" i="1"/>
  <c r="L32" i="1" s="1"/>
  <c r="J32" i="1" s="1"/>
  <c r="I26" i="1"/>
  <c r="L26" i="1" s="1"/>
  <c r="I24" i="1"/>
  <c r="L24" i="1" s="1"/>
  <c r="I34" i="1"/>
  <c r="L34" i="1" s="1"/>
  <c r="K34" i="1" s="1"/>
  <c r="I28" i="1"/>
  <c r="L28" i="1" s="1"/>
  <c r="G11" i="5"/>
  <c r="I33" i="1"/>
  <c r="L33" i="1" s="1"/>
  <c r="I30" i="1"/>
  <c r="L30" i="1" s="1"/>
  <c r="J30" i="1" s="1"/>
  <c r="I22" i="1"/>
  <c r="L22" i="1" s="1"/>
  <c r="I25" i="1"/>
  <c r="L25" i="1" s="1"/>
  <c r="G7" i="5"/>
  <c r="K30" i="1" l="1"/>
  <c r="K32" i="1"/>
  <c r="K26" i="1"/>
  <c r="K6" i="1"/>
  <c r="K23" i="1"/>
  <c r="K4" i="1"/>
  <c r="K27" i="1"/>
  <c r="K16" i="1"/>
</calcChain>
</file>

<file path=xl/sharedStrings.xml><?xml version="1.0" encoding="utf-8"?>
<sst xmlns="http://schemas.openxmlformats.org/spreadsheetml/2006/main" count="10053" uniqueCount="1884">
  <si>
    <t>Opened Date</t>
  </si>
  <si>
    <t>Proposal Request No.</t>
  </si>
  <si>
    <t>Project Name: Project Name</t>
  </si>
  <si>
    <t>Estimated Value Currency</t>
  </si>
  <si>
    <t>Estimated Value</t>
  </si>
  <si>
    <t>Closed Date</t>
  </si>
  <si>
    <t>Sales Division</t>
  </si>
  <si>
    <t>Record Type</t>
  </si>
  <si>
    <t>PRO-000002800</t>
  </si>
  <si>
    <t>DARLING PARK - LEVEL 17 &amp; 18</t>
  </si>
  <si>
    <t>AUD</t>
  </si>
  <si>
    <t>Australia</t>
  </si>
  <si>
    <t>CAD Sketch</t>
  </si>
  <si>
    <t>PRO-000002826</t>
  </si>
  <si>
    <t>UNI OF LEEDS CHENEY LABS</t>
  </si>
  <si>
    <t>GBP</t>
  </si>
  <si>
    <t>UK</t>
  </si>
  <si>
    <t>PRO-000002776</t>
  </si>
  <si>
    <t>HERON TOWER NO 110 BISHOPSGATE TRADITION FLOORS 8-10 LONDON</t>
  </si>
  <si>
    <t>Proposal</t>
  </si>
  <si>
    <t>PRO-000002784</t>
  </si>
  <si>
    <t>WEST ONE DEVELOPMENT OXFORD STREET LONDON</t>
  </si>
  <si>
    <t>PRO-000002798</t>
  </si>
  <si>
    <t>SEMPLE STREET NO 30 REFURB FLRS 5&amp;6 EDINBURGH</t>
  </si>
  <si>
    <t>PRO-000002797</t>
  </si>
  <si>
    <t>TURING COURT NO 1 CARECO HQ BRAINTREE</t>
  </si>
  <si>
    <t>PRO-000002801</t>
  </si>
  <si>
    <t>JAMES STREET NO 1 LONDON</t>
  </si>
  <si>
    <t>PRO-000002809</t>
  </si>
  <si>
    <t>MOORGATE NO 25 CAT B WATSON FARLEY LONDON</t>
  </si>
  <si>
    <t>PRO-000002807</t>
  </si>
  <si>
    <t>PRO-000002808</t>
  </si>
  <si>
    <t>PRO-000002822</t>
  </si>
  <si>
    <t>NDA TRAINING GROUND MANCHESTER</t>
  </si>
  <si>
    <t>PRO-000002832</t>
  </si>
  <si>
    <t>GRESHAM STREET NO 10 MOODYS CORP CAT B FITOUT LONDON</t>
  </si>
  <si>
    <t>PRO-000002840</t>
  </si>
  <si>
    <t>BRADFORD MALL SADDLERS CENTRE WALSALL</t>
  </si>
  <si>
    <t>PRO-000002795</t>
  </si>
  <si>
    <t>HOLDING SAINT MICHEL PARIS</t>
  </si>
  <si>
    <t>EUR</t>
  </si>
  <si>
    <t>France</t>
  </si>
  <si>
    <t>PRO-000002816</t>
  </si>
  <si>
    <t>SNCB HEADQUARTER SAINT GILLES</t>
  </si>
  <si>
    <t>PRO-000002781</t>
  </si>
  <si>
    <t>ORCHARD RIDGE DRIVE NO 200 GAITHERSBURG</t>
  </si>
  <si>
    <t>USD</t>
  </si>
  <si>
    <t>USA</t>
  </si>
  <si>
    <t>PRO-000002704</t>
  </si>
  <si>
    <t>RIVER STREET 111 PROJECT SINATRA HOBOKEN NJ</t>
  </si>
  <si>
    <t>Shop Drawing</t>
  </si>
  <si>
    <t>PRO-000002769</t>
  </si>
  <si>
    <t>WEST 31ST ST NO 401 DE SHAW FIT OUT FLRS 48-56 NEW YORK</t>
  </si>
  <si>
    <t>PRO-000002791</t>
  </si>
  <si>
    <t>WATERSHED CHEVRON HEADQUARTERS HOUSTON</t>
  </si>
  <si>
    <t>PRO-000002802</t>
  </si>
  <si>
    <t>7171 SOUTHWEST PKWY AUSTIN TX 78735</t>
  </si>
  <si>
    <t>PRO-000002817</t>
  </si>
  <si>
    <t>MANHATTAN WEST 2 FLOORS 13,14,15,16,17,18 KPMG</t>
  </si>
  <si>
    <t>PRO-000002821</t>
  </si>
  <si>
    <t>WESTCHESTER AVE 2000 1NC MORGAN STANLEY</t>
  </si>
  <si>
    <t>PRO-000002171</t>
  </si>
  <si>
    <t>SYDNEY FISH MARKET</t>
  </si>
  <si>
    <t>PRO-000002745</t>
  </si>
  <si>
    <t>GOOD SAMARITAN COLLEGE STAGE 4</t>
  </si>
  <si>
    <t>PRO-000002756</t>
  </si>
  <si>
    <t>SYDNEY FISH MARKET INTERNAL FIT OUT</t>
  </si>
  <si>
    <t>PRO-000002780</t>
  </si>
  <si>
    <t>PRO-000002813</t>
  </si>
  <si>
    <t>SENEX OFFICE BRISBANE</t>
  </si>
  <si>
    <t>PRO-000002681</t>
  </si>
  <si>
    <t>CENTRO EXCELENCIA LOEWE MADRID</t>
  </si>
  <si>
    <t>Rest of the World</t>
  </si>
  <si>
    <t>PRO-000002749</t>
  </si>
  <si>
    <t>PASO INFERIOR INFANTA LEONOR</t>
  </si>
  <si>
    <t>PRO-000002804</t>
  </si>
  <si>
    <t>OCASO FUENCARRAL 107  MADRID</t>
  </si>
  <si>
    <t>PRO-000002810</t>
  </si>
  <si>
    <t>METRO MANILA SUBWAY 17 STATIONS</t>
  </si>
  <si>
    <t>PRO-000002811</t>
  </si>
  <si>
    <t>CORCEGA 331 SURE BARCELONA</t>
  </si>
  <si>
    <t>PRO-000002812</t>
  </si>
  <si>
    <t>CALLE ROSARIO PINO 14-16 RENOVATION MADRID</t>
  </si>
  <si>
    <t>PRO-000002829</t>
  </si>
  <si>
    <t>ALPHA BANK VE ALTERNATIVES FABRIC ATHENS</t>
  </si>
  <si>
    <t>PRO-000002834</t>
  </si>
  <si>
    <t>CHAMARTIN PHASE 2 MADRID</t>
  </si>
  <si>
    <t>PRO-000002866</t>
  </si>
  <si>
    <t>QUEEN VICTORIA STREET NO 60 LONDON</t>
  </si>
  <si>
    <t>PRO-000002818</t>
  </si>
  <si>
    <t>THE FORUM KINGS QUARTER EXTERNAL WALKWAYS GLOUCESTER</t>
  </si>
  <si>
    <t>PRO-000002819</t>
  </si>
  <si>
    <t>WELLINGTON PLACE NO 2 REFURB LEEDS</t>
  </si>
  <si>
    <t>PRO-000002823</t>
  </si>
  <si>
    <t>PRO-000002833</t>
  </si>
  <si>
    <t>ALDERSGATE ST NO 150 THE VERDANT TIKTOK FIT OUT LONDON</t>
  </si>
  <si>
    <t>PRO-000002835</t>
  </si>
  <si>
    <t>SKILLS HUB &amp; STORAGE BUILDINGS CRADLEY HEATH</t>
  </si>
  <si>
    <t>PRO-000002839</t>
  </si>
  <si>
    <t>ARTHUR STREET NO 12 FLOOR 6 LIGHTING LONDON</t>
  </si>
  <si>
    <t>PRO-000002844</t>
  </si>
  <si>
    <t>PRO-000002843</t>
  </si>
  <si>
    <t>WIGMORE STREET NO 42 REFURB LONDON</t>
  </si>
  <si>
    <t>PRO-000002848</t>
  </si>
  <si>
    <t>10 COLMORE ROW BIRMINGHAM</t>
  </si>
  <si>
    <t>PRO-000002856</t>
  </si>
  <si>
    <t>KADANS HEALTH INNOVATION HUB GLASGOW</t>
  </si>
  <si>
    <t>PRO-000002858</t>
  </si>
  <si>
    <t>IRC CAMPSFIELD HOUSE KIDLINGTON OXFORDSHIRE</t>
  </si>
  <si>
    <t>PRO-000002788</t>
  </si>
  <si>
    <t>EASTBROOK STUDIOS DAGENHAM LONDON</t>
  </si>
  <si>
    <t>PRO-000002825</t>
  </si>
  <si>
    <t>M3 TOULOUSE STATIONS - SECTEUR NO</t>
  </si>
  <si>
    <t>PRO-000002772</t>
  </si>
  <si>
    <t>PRO-000002852</t>
  </si>
  <si>
    <t>CONFIDENTIAL EUROPEAN PROJECT.GENSLER DC</t>
  </si>
  <si>
    <t>PRO-000002820</t>
  </si>
  <si>
    <t>MADISON AVE 1 FLOOR 11 FRANKLIN TEMPLETON FIT OUT</t>
  </si>
  <si>
    <t>PRO-000002830</t>
  </si>
  <si>
    <t>FOLLIN LANE SE 820 NAVY FCU HQ WZ 8 AND WZ 6 AND WZ 5</t>
  </si>
  <si>
    <t>PRO-000002837</t>
  </si>
  <si>
    <t>415 COLORADO STREET FLR 33 AUSTIN TX</t>
  </si>
  <si>
    <t>PRO-000002846</t>
  </si>
  <si>
    <t>PRO-000002850</t>
  </si>
  <si>
    <t>AVENUE OF AMERICAS 1290 FLRS 13-16 KING &amp; SPALDING</t>
  </si>
  <si>
    <t>PRO-000002854</t>
  </si>
  <si>
    <t>CONGRESS AVE 301 FLR 1 &amp; 2 AUSTIN TX</t>
  </si>
  <si>
    <t>PRO-000002874</t>
  </si>
  <si>
    <t>UNSW HEALTH TRANSLATION HUB RANDWICK</t>
  </si>
  <si>
    <t>PRO-000002815</t>
  </si>
  <si>
    <t>60 MARTIN PLACE LEVEL 3 PODIUM</t>
  </si>
  <si>
    <t>PRO-000002838</t>
  </si>
  <si>
    <t>PRO-000002842</t>
  </si>
  <si>
    <t>PRO-000002793</t>
  </si>
  <si>
    <t>SKÃ˜YEN STATION FORNEBU LINE OSLO</t>
  </si>
  <si>
    <t>PRO-000002857</t>
  </si>
  <si>
    <t>ARIMA OFFICES MADRID</t>
  </si>
  <si>
    <t>PRO-000002827</t>
  </si>
  <si>
    <t>WARSAW CPK BAGGAGE HALL</t>
  </si>
  <si>
    <t>PRO-000002875</t>
  </si>
  <si>
    <t>UPPER CAMPFIELD LIVERPOOL ROAD MANCHESTER</t>
  </si>
  <si>
    <t>PRO-000002824</t>
  </si>
  <si>
    <t>PRO-000002864</t>
  </si>
  <si>
    <t>SMITHFIELD MARKET DEVELOPMENT MUSEUM OF LONDON CLADDING</t>
  </si>
  <si>
    <t>PRO-000002877</t>
  </si>
  <si>
    <t>SOUTH PARADE NO 10 GRND FLR LEEDS</t>
  </si>
  <si>
    <t>PRO-000002876</t>
  </si>
  <si>
    <t>PRO-000002878</t>
  </si>
  <si>
    <t>THE FAIRFAX PHASE 1 RESIDENTIAL MANCHESTER</t>
  </si>
  <si>
    <t>PRO-000002879</t>
  </si>
  <si>
    <t>PRO-000002884</t>
  </si>
  <si>
    <t>BROADGATE QUARTER CAT A REFURB APPOLD STREET LONDON</t>
  </si>
  <si>
    <t>PRO-000002890</t>
  </si>
  <si>
    <t>BASINGHALL AVENUE NO 1 FLRS LG-4 REFURB LONDON</t>
  </si>
  <si>
    <t>PRO-000002766</t>
  </si>
  <si>
    <t>CRITERION BUILDING PICCADILLY NO 225-229 LONDON</t>
  </si>
  <si>
    <t>PRO-000002900</t>
  </si>
  <si>
    <t>PRO-000002859</t>
  </si>
  <si>
    <t>GPE - PONT DE SEVRES STATION</t>
  </si>
  <si>
    <t>PRO-000002891</t>
  </si>
  <si>
    <t>A 928 PARIS - CHILLED</t>
  </si>
  <si>
    <t>PRO-000002696</t>
  </si>
  <si>
    <t>GEORGE W BUSH INTL AIRPORT IAH PROCESSOR AND EXT CANOPY</t>
  </si>
  <si>
    <t>PRO-000002855</t>
  </si>
  <si>
    <t>YALE PHYSICAL SCIENCE AND ENGINEERING BUILDING (PSEB) PH II</t>
  </si>
  <si>
    <t>PRO-000002863</t>
  </si>
  <si>
    <t>PRO-000002889</t>
  </si>
  <si>
    <t>EATON HS STADIUM EAGLE BLVD NO 1350 HASLET</t>
  </si>
  <si>
    <t>PRO-000002790</t>
  </si>
  <si>
    <t>TCU ATHLETICS HUMAN PERF CTR STADIUM DR NO 3000 FT WORTH TX</t>
  </si>
  <si>
    <t>PRO-000002849</t>
  </si>
  <si>
    <t>FIDELITY THE PIER T1 CWP COMMONWEALTH PIER MESH BOSTON</t>
  </si>
  <si>
    <t>PRO-000002869</t>
  </si>
  <si>
    <t>UMASS COMPUTER SCIENCE LABORATORIES</t>
  </si>
  <si>
    <t>PRO-000002881</t>
  </si>
  <si>
    <t>PARK AVENUE 270 LOBBY JP MORGAN HQ NEW YORK</t>
  </si>
  <si>
    <t>PRO-000002898</t>
  </si>
  <si>
    <t>MELBOURNE AIRPORT LOTTE DUTY FREE</t>
  </si>
  <si>
    <t>PRO-000002883</t>
  </si>
  <si>
    <t>MELBOURNE AIRPORT ELEVATED ROAD AND FORECOURT PROJECT</t>
  </si>
  <si>
    <t>PRO-000002761</t>
  </si>
  <si>
    <t>COLLINS STREET NO 55 MELBOURNE</t>
  </si>
  <si>
    <t>PRO-000002888</t>
  </si>
  <si>
    <t>PRO-000002860</t>
  </si>
  <si>
    <t>APPLE CAMPUS HERZLIYA FABRIC</t>
  </si>
  <si>
    <t>PRO-000002861</t>
  </si>
  <si>
    <t>RESIDENTIAL PROJECT THAILAND</t>
  </si>
  <si>
    <t>PRO-000002868</t>
  </si>
  <si>
    <t>02034 CADDELL</t>
  </si>
  <si>
    <t>PRO-000002880</t>
  </si>
  <si>
    <t>PRO-000002886</t>
  </si>
  <si>
    <t>PRO-000002887</t>
  </si>
  <si>
    <t>PRO-000002893</t>
  </si>
  <si>
    <t>PRO-000002901</t>
  </si>
  <si>
    <t>SEVEN STARS MALL WAVY BAFFLES HERZLIYA</t>
  </si>
  <si>
    <t>PRO-000002910</t>
  </si>
  <si>
    <t>WARWICK HOUSE AEROSPACE CENTRE GF &amp; FLR 1 FARNBOROUGH</t>
  </si>
  <si>
    <t>PRO-000002911</t>
  </si>
  <si>
    <t>PRO-000002912</t>
  </si>
  <si>
    <t>PRO-000002921</t>
  </si>
  <si>
    <t>PRO-000002923</t>
  </si>
  <si>
    <t>PRO-000002940</t>
  </si>
  <si>
    <t>PRO-000002914</t>
  </si>
  <si>
    <t>PRO-000002929</t>
  </si>
  <si>
    <t>PRO-000002913</t>
  </si>
  <si>
    <t>PRO-000002931</t>
  </si>
  <si>
    <t>RESO STOCK</t>
  </si>
  <si>
    <t>PRO-000002930</t>
  </si>
  <si>
    <t>AVENUE RAYMOND POINCARE 34 PARIS</t>
  </si>
  <si>
    <t>PRO-000002771</t>
  </si>
  <si>
    <t>PRO-000002841</t>
  </si>
  <si>
    <t>HOBBY AIRPORT CENTRAL TERMINAL/ BAGGAGE CLAIM</t>
  </si>
  <si>
    <t>PRO-000002873</t>
  </si>
  <si>
    <t>POPLAR GROVE ST. 800.BALTIMORE. DOMO CATHOLIC CHARITIES</t>
  </si>
  <si>
    <t>PRO-000002882</t>
  </si>
  <si>
    <t>HUDSON YARDS 20 WELLS FARGO, FLRS 5 &amp; 6, NEW YORK</t>
  </si>
  <si>
    <t>PRO-000002904</t>
  </si>
  <si>
    <t>PASSAGE OF TIME ART GALLERY FLORIDA</t>
  </si>
  <si>
    <t>PRO-000002836</t>
  </si>
  <si>
    <t>PRO-000002871</t>
  </si>
  <si>
    <t>ASTOR PLACE NO 51 FLOOR 4 NEW YORK</t>
  </si>
  <si>
    <t>PRO-000002872</t>
  </si>
  <si>
    <t>PILSBURY LAW FIRM AUSTIN</t>
  </si>
  <si>
    <t>PRO-000002902</t>
  </si>
  <si>
    <t>MADISON AVENUE 550 CLAYTON DUBILIER &amp; RICE FIT OUT</t>
  </si>
  <si>
    <t>PRO-000002919</t>
  </si>
  <si>
    <t>PARK AVENUE 270 AMENITY FLOORS 15 &amp; 16, JP MORGAN</t>
  </si>
  <si>
    <t>PRO-000002920</t>
  </si>
  <si>
    <t>MADISON AVENUE 343 NEW YORK</t>
  </si>
  <si>
    <t>PRO-000002936</t>
  </si>
  <si>
    <t>PRO-000002939</t>
  </si>
  <si>
    <t>PRO-000002894</t>
  </si>
  <si>
    <t>PRO-000002917</t>
  </si>
  <si>
    <t>COLLINS STREET NO 303</t>
  </si>
  <si>
    <t>PRO-000002938</t>
  </si>
  <si>
    <t>PUBLIC INFRASTRUCTURE (CONFIDENTIAL)</t>
  </si>
  <si>
    <t>PRO-000002170</t>
  </si>
  <si>
    <t>PRO-000002905</t>
  </si>
  <si>
    <t>PRO-000002907</t>
  </si>
  <si>
    <t>PRO-000002932</t>
  </si>
  <si>
    <t>PRO-000002933</t>
  </si>
  <si>
    <t>PRO-000002918</t>
  </si>
  <si>
    <t>PALACE STREET NO 16 LONDON</t>
  </si>
  <si>
    <t>PRO-000002922</t>
  </si>
  <si>
    <t>UNI OF MANCHESTER FALLOWFIELD CAMPUS REDEVELOPMENT</t>
  </si>
  <si>
    <t>PRO-000002942</t>
  </si>
  <si>
    <t>FITZROY PLACE NO 2 CAT A FLOOR 3 FABRIC LONDON</t>
  </si>
  <si>
    <t>PRO-000002944</t>
  </si>
  <si>
    <t>ST GEORGE STREET NO 14 CAT A FLOOR 2 LIGHTING LONDON</t>
  </si>
  <si>
    <t>PRO-000002952</t>
  </si>
  <si>
    <t>PRO-000002963</t>
  </si>
  <si>
    <t>PRO-000002964</t>
  </si>
  <si>
    <t>BARCLAYS PARIS INVESTMENT BANK</t>
  </si>
  <si>
    <t>PRO-000002981</t>
  </si>
  <si>
    <t>PRO-000002926</t>
  </si>
  <si>
    <t>MATHWORKS R&amp;D BLDG LAKESIDE NATICK</t>
  </si>
  <si>
    <t>PRO-000002831</t>
  </si>
  <si>
    <t>200 N BOULEVARD.RICHMOND VA. VMFA</t>
  </si>
  <si>
    <t>PRO-000002924</t>
  </si>
  <si>
    <t>MADISON AVENUE 383 PODIUM FLRS NEW YORK</t>
  </si>
  <si>
    <t>PRO-000002935</t>
  </si>
  <si>
    <t>NEW YORK CITY FOOTBALL CLUB NYFC STADIUM SUITES, QUEENS, NY</t>
  </si>
  <si>
    <t>PRO-000002946</t>
  </si>
  <si>
    <t>HOWELL ST 2699 STE 900 DALLAS</t>
  </si>
  <si>
    <t>PRO-000002971</t>
  </si>
  <si>
    <t>MIT SLOAN EXECUTIVE EDUCATION</t>
  </si>
  <si>
    <t>PRO-000002870</t>
  </si>
  <si>
    <t>E WHITAKER MILL ROAD 1111 AUDEMARS PIGUET REFIT</t>
  </si>
  <si>
    <t>PRO-000002937</t>
  </si>
  <si>
    <t>HARVARD UNIV ERC LAB BUILDING WEST</t>
  </si>
  <si>
    <t>PRO-000002945</t>
  </si>
  <si>
    <t>PRO-000002953</t>
  </si>
  <si>
    <t>PARK AVENUE 270 AMENITY FLOORS 13 &amp; 14, JP MORGAN</t>
  </si>
  <si>
    <t>PRO-000002989</t>
  </si>
  <si>
    <t>PRO-000002977</t>
  </si>
  <si>
    <t>MACQUARIE COLLEGE SENIOR BUILDING ELERMORE VALE</t>
  </si>
  <si>
    <t>PRO-000002980</t>
  </si>
  <si>
    <t>RANDWICK HOSPITAL - EXTERNAL SOFFIT</t>
  </si>
  <si>
    <t>PRO-000002986</t>
  </si>
  <si>
    <t>SYDNEY AIRPORT T1 PIER B EAST BUSSING PBE</t>
  </si>
  <si>
    <t>PRO-000002947</t>
  </si>
  <si>
    <t>Hand Sketch</t>
  </si>
  <si>
    <t>PRO-000002522</t>
  </si>
  <si>
    <t>PRO-000002916</t>
  </si>
  <si>
    <t>PERTH AIRPORT</t>
  </si>
  <si>
    <t>PRO-000002949</t>
  </si>
  <si>
    <t>PRO-000002960</t>
  </si>
  <si>
    <t>88 WALKER STREET AIRTRUNK SYDNEY</t>
  </si>
  <si>
    <t>PRO-000002895</t>
  </si>
  <si>
    <t>ADOBE BUCHAREST</t>
  </si>
  <si>
    <t>PRO-000002896</t>
  </si>
  <si>
    <t>BELGRADE NATIONAL STADIUM</t>
  </si>
  <si>
    <t>PRO-000002943</t>
  </si>
  <si>
    <t>PRO-000002956</t>
  </si>
  <si>
    <t>PRO-000002955</t>
  </si>
  <si>
    <t>PRO-000002961</t>
  </si>
  <si>
    <t>PRO-000002962</t>
  </si>
  <si>
    <t>PRO-000002984</t>
  </si>
  <si>
    <t>PRO-000003005</t>
  </si>
  <si>
    <t>TEE GRID FIRE RESISTANCE TESTING</t>
  </si>
  <si>
    <t>PRO-000003015</t>
  </si>
  <si>
    <t>BUNHILL ROW NO 3 CAT A REFURB LONDON</t>
  </si>
  <si>
    <t>PRO-000003020</t>
  </si>
  <si>
    <t>PRO-000002925</t>
  </si>
  <si>
    <t>AMAZON SWANSEA</t>
  </si>
  <si>
    <t>PRO-000002941</t>
  </si>
  <si>
    <t>GRESHAM STREET NO 30 INVESTEC LEVEL 6 LONDON</t>
  </si>
  <si>
    <t>PRO-000002969</t>
  </si>
  <si>
    <t>CANARY WHARF DS7 CANADA SQUARE NO 1 UCL SOM PHASE 1 LONDON</t>
  </si>
  <si>
    <t>PRO-000002982</t>
  </si>
  <si>
    <t>PRO-000002988</t>
  </si>
  <si>
    <t>PRO-000002994</t>
  </si>
  <si>
    <t>LEADENHALL STREET NO 40 BROOKS MACDONALD FLR 8 LONDON</t>
  </si>
  <si>
    <t>PRO-000003009</t>
  </si>
  <si>
    <t>BARCLAYS BANK BRANCH EAST HAM LONDON</t>
  </si>
  <si>
    <t>PRO-000003010</t>
  </si>
  <si>
    <t>BUNHILL ROW NO 1 SLAUGHTER &amp; MAY CAT A REFURB LONDON</t>
  </si>
  <si>
    <t>PRO-000003022</t>
  </si>
  <si>
    <t>PRO-000002992</t>
  </si>
  <si>
    <t>PRO-000003001</t>
  </si>
  <si>
    <t>RATP GARE DE LYON</t>
  </si>
  <si>
    <t>PRO-000003008</t>
  </si>
  <si>
    <t>PRO-000003021</t>
  </si>
  <si>
    <t>PRO-000002851</t>
  </si>
  <si>
    <t>PRO-000002867</t>
  </si>
  <si>
    <t>PARK AVENUE 270 EXEC FLOORS, 44 to 47, JP MORGAN</t>
  </si>
  <si>
    <t>PRO-000002885</t>
  </si>
  <si>
    <t>PRO-000002897</t>
  </si>
  <si>
    <t>ONE UTSA CIRCLE SAN ANTONIO TX 78249</t>
  </si>
  <si>
    <t>PRO-000002927</t>
  </si>
  <si>
    <t>COLORADO STREET 415 FLR 33 AUSTIN TX PHASE 2</t>
  </si>
  <si>
    <t>PRO-000002950</t>
  </si>
  <si>
    <t>UNIVERSITY OF NORTH CAROLINA MCCOLL BUILDING</t>
  </si>
  <si>
    <t>PRO-000002976</t>
  </si>
  <si>
    <t>PRO-000002995</t>
  </si>
  <si>
    <t>DFW AIRPORT TERMINAL F DALLAS</t>
  </si>
  <si>
    <t>PRO-000003000</t>
  </si>
  <si>
    <t>PRO-000002951</t>
  </si>
  <si>
    <t>PRO-000002968</t>
  </si>
  <si>
    <t>NATIONAL GALLERY OF VICTORIA</t>
  </si>
  <si>
    <t>PRO-000002973</t>
  </si>
  <si>
    <t>PRO-000002974</t>
  </si>
  <si>
    <t>ASX</t>
  </si>
  <si>
    <t>PRO-000002773</t>
  </si>
  <si>
    <t>EDMONDSON PARK TOWN CENTRE</t>
  </si>
  <si>
    <t>PRO-000002991</t>
  </si>
  <si>
    <t>PRO-000002985</t>
  </si>
  <si>
    <t>CAIXA GERAL DE DEPOSITOS PORTUGAL</t>
  </si>
  <si>
    <t>PRO-000002993</t>
  </si>
  <si>
    <t>PRO-000002998</t>
  </si>
  <si>
    <t>PRO-000003002</t>
  </si>
  <si>
    <t>PRO-000003006</t>
  </si>
  <si>
    <t>ALPHA BANK ATHENS</t>
  </si>
  <si>
    <t>PRO-000003018</t>
  </si>
  <si>
    <t>PRO-000002915</t>
  </si>
  <si>
    <t>HOLBORN VIADUCT NO 40  REFURB LONDON</t>
  </si>
  <si>
    <t>PRO-000002934</t>
  </si>
  <si>
    <t>ROPEMAKER STREET NO 20-22 LINKLATERS JOINERY FEATURE LONDON</t>
  </si>
  <si>
    <t>PRO-000002997</t>
  </si>
  <si>
    <t>UNI OF JOHN MOORES COPPERAS HILL NO 10 LIVERPOOL</t>
  </si>
  <si>
    <t>PRO-000003004</t>
  </si>
  <si>
    <t>BRITISH AIRWAYS HQ WATERSIDE PH 2 HARMONDSWORTH</t>
  </si>
  <si>
    <t>PRO-000003012</t>
  </si>
  <si>
    <t>ELMFIELD ROAD NO 26 LOBBY AREA LIGHTING BROMLEY</t>
  </si>
  <si>
    <t>PRO-000003013</t>
  </si>
  <si>
    <t>PULSANT DATA CENTRE SE-1 MILTON KEYNES</t>
  </si>
  <si>
    <t>PRO-000003019</t>
  </si>
  <si>
    <t>BROADGATE NO 1-2 CAT B JLL FLOORS 8-11 LONDON</t>
  </si>
  <si>
    <t>PRO-000003026</t>
  </si>
  <si>
    <t>KINGSWAY BUSINESS PARK PLOT R2 ROCHDALE LIGHTING</t>
  </si>
  <si>
    <t>PRO-000003032</t>
  </si>
  <si>
    <t>CITY POINT 2ND FLR HAYMARKET TERRACE NO 65 EDINBURGH</t>
  </si>
  <si>
    <t>PRO-000003038</t>
  </si>
  <si>
    <t>PRO-000003040</t>
  </si>
  <si>
    <t>BISHOPSGATE NO 8 FLOOR 33 STANHOPE FITOUT LONDON</t>
  </si>
  <si>
    <t>PRO-000003046</t>
  </si>
  <si>
    <t>BISHOPSGATE NO 199 CAT B FLR 9 CROWELL MORING LONDON</t>
  </si>
  <si>
    <t>PRO-000003053</t>
  </si>
  <si>
    <t>BISHOPSGATE NO 199 CAT B FLR 9 LIGHTING LONDON</t>
  </si>
  <si>
    <t>PRO-000003037</t>
  </si>
  <si>
    <t>ABBVIE PARIS</t>
  </si>
  <si>
    <t>PRO-000002908</t>
  </si>
  <si>
    <t>PRO-000002972</t>
  </si>
  <si>
    <t>PRO-000002903</t>
  </si>
  <si>
    <t>5TH AVENUE NO 645 FLOOR 21 ROKOS CAPITAL NYC</t>
  </si>
  <si>
    <t>PRO-000002948</t>
  </si>
  <si>
    <t>PRO-000002999</t>
  </si>
  <si>
    <t>PRO-000003003</t>
  </si>
  <si>
    <t>TAILWATER CAPITAL TI DALLAS TX</t>
  </si>
  <si>
    <t>PRO-000003031</t>
  </si>
  <si>
    <t>PRO-000003033</t>
  </si>
  <si>
    <t>PRO-000002966</t>
  </si>
  <si>
    <t>AUCKLAND AIRPORT DOMESTIC PROCESSOR</t>
  </si>
  <si>
    <t>PRO-000003035</t>
  </si>
  <si>
    <t>CALOUNDRA LIBRARY</t>
  </si>
  <si>
    <t>PRO-000003017</t>
  </si>
  <si>
    <t>MUSEO BELLAS ARTES BILBAO</t>
  </si>
  <si>
    <t>PRO-000003024</t>
  </si>
  <si>
    <t>OFICINAS SEGIPSA MADRID</t>
  </si>
  <si>
    <t>PRO-000003027</t>
  </si>
  <si>
    <t>PRO-000003039</t>
  </si>
  <si>
    <t>PRO-000003050</t>
  </si>
  <si>
    <t>PRO-000003014</t>
  </si>
  <si>
    <t>DANIEL HOUSE FLEET STREET NO 133 REFURB LONDON</t>
  </si>
  <si>
    <t>PRO-000003042</t>
  </si>
  <si>
    <t>REGENTS QUARTER LIFE SCIENCES PH 1 JAHN COURT LONDON</t>
  </si>
  <si>
    <t>PRO-000003051</t>
  </si>
  <si>
    <t>PRO-000003052</t>
  </si>
  <si>
    <t>ELMFIELD ROAD NO 26 LOBBY AREA BROMLEY</t>
  </si>
  <si>
    <t>PRO-000003067</t>
  </si>
  <si>
    <t>MORE LONDON NO 6 CAT A LONDON</t>
  </si>
  <si>
    <t>PRO-000003041</t>
  </si>
  <si>
    <t>PRO-000003043</t>
  </si>
  <si>
    <t>PRO-000003049</t>
  </si>
  <si>
    <t>PRO-000003080</t>
  </si>
  <si>
    <t>PRO-000002990</t>
  </si>
  <si>
    <t>M3 TOULOUSE STATIONS - SECTEUR CENTRE 1</t>
  </si>
  <si>
    <t>PRO-000003030</t>
  </si>
  <si>
    <t>DETROIT CONFIDENTIAL HQ LEVEL 11</t>
  </si>
  <si>
    <t>PRO-000002862</t>
  </si>
  <si>
    <t>PRO-000002954</t>
  </si>
  <si>
    <t>DIMAN REGIONAL VOCATIONAL TECHNICAL HIGH SCHOOL</t>
  </si>
  <si>
    <t>PRO-000002970</t>
  </si>
  <si>
    <t>PRO-000002975</t>
  </si>
  <si>
    <t>PRO-000002983</t>
  </si>
  <si>
    <t>PRO-000003045</t>
  </si>
  <si>
    <t>PRO-000003060</t>
  </si>
  <si>
    <t>UT LOBBY BELMONT HALL-LEVEL 1 &amp; 2</t>
  </si>
  <si>
    <t>PRO-000003069</t>
  </si>
  <si>
    <t>PRO-000003070</t>
  </si>
  <si>
    <t>PRO-000003063</t>
  </si>
  <si>
    <t>PRO-000003029</t>
  </si>
  <si>
    <t>COLLINS STREET NO 367 LOBBY AND EOT UPGRADE</t>
  </si>
  <si>
    <t>PRO-000002979</t>
  </si>
  <si>
    <t>PRO-000002987</t>
  </si>
  <si>
    <t>PRO-000003011</t>
  </si>
  <si>
    <t>PRO-000003028</t>
  </si>
  <si>
    <t>PRO-000003064</t>
  </si>
  <si>
    <t>KENT ST NO 275 EOT AND LOBBY</t>
  </si>
  <si>
    <t>PRO-000003065</t>
  </si>
  <si>
    <t>PRO-000003016</t>
  </si>
  <si>
    <t>PRO-000003055</t>
  </si>
  <si>
    <t>PRO-000003056</t>
  </si>
  <si>
    <t>PRO-000003074</t>
  </si>
  <si>
    <t>SEVEN STARS MALL HERZLIYA</t>
  </si>
  <si>
    <t>PRO-000003075</t>
  </si>
  <si>
    <t>PRO-000003112</t>
  </si>
  <si>
    <t>MORRISON STREET NO 69 PORT HAMILTON CAT A REFURB EDINBURGH</t>
  </si>
  <si>
    <t>PRO-000003079</t>
  </si>
  <si>
    <t>MERCHANT SQUARE NO 5 CAT A REFURB PADDINGTON LONDON</t>
  </si>
  <si>
    <t>PRO-000003083</t>
  </si>
  <si>
    <t>PRO-000003090</t>
  </si>
  <si>
    <t>UPPER BROOK STREET KADANS PBSA MANCHESTER</t>
  </si>
  <si>
    <t>PRO-000003092</t>
  </si>
  <si>
    <t>ARGYLL STREET NO 40 REFURB LONDON</t>
  </si>
  <si>
    <t>PRO-000003095</t>
  </si>
  <si>
    <t>PRO-000003096</t>
  </si>
  <si>
    <t>PRO-000003111</t>
  </si>
  <si>
    <t>PRO-000003110</t>
  </si>
  <si>
    <t>PRO-000003089</t>
  </si>
  <si>
    <t>PRO-000003066</t>
  </si>
  <si>
    <t>GPE - MASSY PALAISEAU</t>
  </si>
  <si>
    <t>PRO-000003073</t>
  </si>
  <si>
    <t>GPE - ISSY RER STATION</t>
  </si>
  <si>
    <t>PRO-000002805</t>
  </si>
  <si>
    <t>MADISON AVENUE 383 LOBBY NEW YORK</t>
  </si>
  <si>
    <t>PRO-000003098</t>
  </si>
  <si>
    <t>PRO-000003044</t>
  </si>
  <si>
    <t>PRO-000003061</t>
  </si>
  <si>
    <t>PRO-000003062</t>
  </si>
  <si>
    <t>PRO-000003077</t>
  </si>
  <si>
    <t>PRO-000003048</t>
  </si>
  <si>
    <t>PRO-000003078</t>
  </si>
  <si>
    <t>PRO-000003082</t>
  </si>
  <si>
    <t>BENDIGO AND ADELAIDE BANK</t>
  </si>
  <si>
    <t>PRO-000003054</t>
  </si>
  <si>
    <t>PRO-000003057</t>
  </si>
  <si>
    <t>SUBWAY STATION BERLIN</t>
  </si>
  <si>
    <t>PRO-000003059</t>
  </si>
  <si>
    <t>GOOGLE DATA CENTRE DZH1A DIETZENBACH FRANKFURT</t>
  </si>
  <si>
    <t>PRO-000003068</t>
  </si>
  <si>
    <t>METRO VALENCIA ALICANTE-XATIVA STN VALENCIA</t>
  </si>
  <si>
    <t>PRO-000003084</t>
  </si>
  <si>
    <t>PRO-000003116</t>
  </si>
  <si>
    <t>PRO-000003140</t>
  </si>
  <si>
    <t>PRO-000003113</t>
  </si>
  <si>
    <t>BOTHWELL STREET NO 120 FLS 8 &amp; 9 CAT B FITOUT GLASGOW</t>
  </si>
  <si>
    <t>PRO-000003118</t>
  </si>
  <si>
    <t>BASINGHALL AVENUE NO 1 GROUND &amp; 5-10 REFURB LONDON</t>
  </si>
  <si>
    <t>PRO-000003127</t>
  </si>
  <si>
    <t>OXFORD STREET NO 334-348 S&amp;C / LOBBIES LONDON</t>
  </si>
  <si>
    <t>PRO-000003131</t>
  </si>
  <si>
    <t>LEADENHALL STREET NO 40 KIRKLAND &amp; ELLIS FLRS 15-34 LONDON</t>
  </si>
  <si>
    <t>PRO-000003138</t>
  </si>
  <si>
    <t>QUEEN VICTORIA STREET NO 160 FLR 2 LONDON</t>
  </si>
  <si>
    <t>PRO-000003142</t>
  </si>
  <si>
    <t>PRO-000003149</t>
  </si>
  <si>
    <t>THE CURSITOR CHANCERY LANE NO 38 CAT A REFURB LONDON</t>
  </si>
  <si>
    <t>PRO-000003117</t>
  </si>
  <si>
    <t>EVERTON FC TUNNEL CLUB &amp; TRINITY LOUNGE LIVERPOOL</t>
  </si>
  <si>
    <t>PRO-000003103</t>
  </si>
  <si>
    <t>PRO-000003119</t>
  </si>
  <si>
    <t>GENESYS BREST</t>
  </si>
  <si>
    <t>PRO-000003136</t>
  </si>
  <si>
    <t>PRO-000003145</t>
  </si>
  <si>
    <t>PRO-000003134</t>
  </si>
  <si>
    <t>DAVIE TOWN HALL, DAVIE, FL</t>
  </si>
  <si>
    <t>PRO-000003023</t>
  </si>
  <si>
    <t>MICHIGAN STATE FOOTBALL STADIUM RENO</t>
  </si>
  <si>
    <t>PRO-000003086</t>
  </si>
  <si>
    <t>PRO-000003129</t>
  </si>
  <si>
    <t>PRO-000003025</t>
  </si>
  <si>
    <t>JOHN R PIERCE SCHOOL ADD/RENO BROOKLINE</t>
  </si>
  <si>
    <t>PRO-000003034</t>
  </si>
  <si>
    <t>PRO-000003097</t>
  </si>
  <si>
    <t>AVENUE OF AMERICAS 1290 LOWER LEVEL 01</t>
  </si>
  <si>
    <t>PRO-000003105</t>
  </si>
  <si>
    <t>PRO-000003122</t>
  </si>
  <si>
    <t>PRO-000003130</t>
  </si>
  <si>
    <t>PRO-000003133</t>
  </si>
  <si>
    <t>PRO-000003141</t>
  </si>
  <si>
    <t>PRO-000003144</t>
  </si>
  <si>
    <t>PRO-000003151</t>
  </si>
  <si>
    <t>PRO-000003154</t>
  </si>
  <si>
    <t>PRO-000003099</t>
  </si>
  <si>
    <t>275 KENT ST THIRD AREA</t>
  </si>
  <si>
    <t>PRO-000003106</t>
  </si>
  <si>
    <t>AUCKLAND AIRPORT WP3</t>
  </si>
  <si>
    <t>PRO-000003108</t>
  </si>
  <si>
    <t>PRO-000002978</t>
  </si>
  <si>
    <t>PRO-000003115</t>
  </si>
  <si>
    <t>PRO-000003124</t>
  </si>
  <si>
    <t>PRO-000003085</t>
  </si>
  <si>
    <t>ALFONSO XI MADRID</t>
  </si>
  <si>
    <t>PRO-000003091</t>
  </si>
  <si>
    <t>PRO-000003128</t>
  </si>
  <si>
    <t>ESTEL ANTIGUA TELEFONICA BARCELONA</t>
  </si>
  <si>
    <t>PRO-000003147</t>
  </si>
  <si>
    <t>PRO-000003156</t>
  </si>
  <si>
    <t>PRO-000002965</t>
  </si>
  <si>
    <t>SAMPLES MISC 2024</t>
  </si>
  <si>
    <t>PRO-000003160</t>
  </si>
  <si>
    <t>EDINBURGH AIRPORT ESCAPE LOUNGE</t>
  </si>
  <si>
    <t>PRO-000003135</t>
  </si>
  <si>
    <t>PRO-000003152</t>
  </si>
  <si>
    <t>PRO-000003164</t>
  </si>
  <si>
    <t>ST MICHAELS TOWER FLRS 7 &amp; 8 MANCHESTER</t>
  </si>
  <si>
    <t>PRO-000003166</t>
  </si>
  <si>
    <t>ST MARY AXE NO 30 THE GHERKIN CAT A REDEVELOPMENT LONDON</t>
  </si>
  <si>
    <t>PRO-000003168</t>
  </si>
  <si>
    <t>PRO-000003171</t>
  </si>
  <si>
    <t>PRO-000003174</t>
  </si>
  <si>
    <t>PRO-000003182</t>
  </si>
  <si>
    <t>PEEL ESTATE &amp; NWCC EAST UNDERCROFT SOUTH KILBURN LONDON</t>
  </si>
  <si>
    <t>PRO-000003139</t>
  </si>
  <si>
    <t>GRESHAM STREET NO 10 MOODYS CORP CAT B FITOUT LIGHTING</t>
  </si>
  <si>
    <t>PRO-000003183</t>
  </si>
  <si>
    <t>PRO-000003163</t>
  </si>
  <si>
    <t>RESO POLYNODE MONACO LIGHTING</t>
  </si>
  <si>
    <t>PRO-000003191</t>
  </si>
  <si>
    <t>PLACE VALHUBERT PARIS 13</t>
  </si>
  <si>
    <t>PRO-000003192</t>
  </si>
  <si>
    <t>101 COLLEGE AVENUE YALE UNIV COLLEGE OF MED</t>
  </si>
  <si>
    <t>PRO-000003094</t>
  </si>
  <si>
    <t>MULVA HALL UT BUSINESS SCHOOL WHITIS AVE NO 2005 AUSTIN</t>
  </si>
  <si>
    <t>PRO-000003195</t>
  </si>
  <si>
    <t>1900 N ST NW WASHINGTON DC BROWN RUDNICK ESQ</t>
  </si>
  <si>
    <t>PRO-000003093</t>
  </si>
  <si>
    <t>300 E RANDOLPH HCSC CHICAGO PHASE 3 - 17 &amp; 18 FLOORS</t>
  </si>
  <si>
    <t>PRO-000003137</t>
  </si>
  <si>
    <t>PRO-000003143</t>
  </si>
  <si>
    <t>PRO-000003153</t>
  </si>
  <si>
    <t>PRO-000003159</t>
  </si>
  <si>
    <t>PRO-000003165</t>
  </si>
  <si>
    <t>PRO-000003172</t>
  </si>
  <si>
    <t>PRO-000003196</t>
  </si>
  <si>
    <t>UT BELMONT HALL FRINGE LEVEL 3 TEXAS</t>
  </si>
  <si>
    <t>PRO-000003088</t>
  </si>
  <si>
    <t>PRO-000003125</t>
  </si>
  <si>
    <t>PRO-000003081</t>
  </si>
  <si>
    <t>PALMA AIRPORT EXTENSION</t>
  </si>
  <si>
    <t>PRO-000003120</t>
  </si>
  <si>
    <t>PRO-000003146</t>
  </si>
  <si>
    <t>PRO-000003155</t>
  </si>
  <si>
    <t>HOSPITAL EL CARMEN CIUDAD REAL</t>
  </si>
  <si>
    <t>PRO-000003176</t>
  </si>
  <si>
    <t>PURE DC DATA CENTRE MAD01 MADRID</t>
  </si>
  <si>
    <t>PRO-000003193</t>
  </si>
  <si>
    <t>PRO-000003200</t>
  </si>
  <si>
    <t>PRO-000003222</t>
  </si>
  <si>
    <t>PRO-000003228</t>
  </si>
  <si>
    <t>BURY COLLEGE WOODBURY MANCHESTER</t>
  </si>
  <si>
    <t>PRO-000003185</t>
  </si>
  <si>
    <t>PRO-000003189</t>
  </si>
  <si>
    <t>PARK HOUSE FINSBURY CIRCUS NO 16/18 PH 1 FLR 6 CISCO LONDON</t>
  </si>
  <si>
    <t>PRO-000003209</t>
  </si>
  <si>
    <t>PRO-000003210</t>
  </si>
  <si>
    <t>PRO-000003211</t>
  </si>
  <si>
    <t>PRO-000003239</t>
  </si>
  <si>
    <t>MORE LONDON NO 4 CAT A FLOOR 3 LONDON</t>
  </si>
  <si>
    <t>PRO-000003076</t>
  </si>
  <si>
    <t>NEW STREET SQUARE NO 5 TAYLOR WESSING REFURB LONDON</t>
  </si>
  <si>
    <t>PRO-000003175</t>
  </si>
  <si>
    <t>OXFORD STREET NO 334-348 BASEMENT LONDON</t>
  </si>
  <si>
    <t>PRO-000003190</t>
  </si>
  <si>
    <t>BROADGATE NO 1-2 CAT B A&amp;O SHEARMAN FLOORS 1-7</t>
  </si>
  <si>
    <t>PRO-000003227</t>
  </si>
  <si>
    <t>PRO-000003226</t>
  </si>
  <si>
    <t>PRO-000003184</t>
  </si>
  <si>
    <t>OPENSKY LA DEFENSE</t>
  </si>
  <si>
    <t>PRO-000003167</t>
  </si>
  <si>
    <t>PRO-000003186</t>
  </si>
  <si>
    <t>GEORGE BUSH UNITED TERM B WINGED PANEL/ WOOD CEILING MOCKUP</t>
  </si>
  <si>
    <t>PRO-000003194</t>
  </si>
  <si>
    <t>PRO-000003198</t>
  </si>
  <si>
    <t>GEORGE BUSH INT AIRPORT IAH- UNITED B N. TERMINAL EXPANSION</t>
  </si>
  <si>
    <t>PRO-000003214</t>
  </si>
  <si>
    <t>PRO-000003236</t>
  </si>
  <si>
    <t>PRO-000003177</t>
  </si>
  <si>
    <t>UNSW BIOLINK</t>
  </si>
  <si>
    <t>PRO-000003207</t>
  </si>
  <si>
    <t>SYDNEY AIRPORT - T2 LOUVRES</t>
  </si>
  <si>
    <t>PRO-000003162</t>
  </si>
  <si>
    <t>BARANGAROO TOWER 2 LEVEL 37</t>
  </si>
  <si>
    <t>PRO-000003188</t>
  </si>
  <si>
    <t>NEPEAN HOSPITAL</t>
  </si>
  <si>
    <t>PRO-000003072</t>
  </si>
  <si>
    <t>PRO-000003114</t>
  </si>
  <si>
    <t>PRO-000003181</t>
  </si>
  <si>
    <t>PRO-000003208</t>
  </si>
  <si>
    <t>TOORAK VILLAGE MELBOURNE</t>
  </si>
  <si>
    <t>PRO-000003148</t>
  </si>
  <si>
    <t>PRO-000003150</t>
  </si>
  <si>
    <t>KEFLAVIK INTERNATIONAL AIRPORT EXPANSION ICELAND</t>
  </si>
  <si>
    <t>PRO-000003157</t>
  </si>
  <si>
    <t>SMARALIND MATHOLL SHOPPING MALL REYKJAVIK</t>
  </si>
  <si>
    <t>PRO-000003161</t>
  </si>
  <si>
    <t>PRO-000003201</t>
  </si>
  <si>
    <t>NOVARTIS PHASE 2 BARCELONA</t>
  </si>
  <si>
    <t>PRO-000003205</t>
  </si>
  <si>
    <t>PRO-000003213</t>
  </si>
  <si>
    <t>VOULIAGMENIS MALL HELLINIKON  FOOD COURT MT-10 ATHENS</t>
  </si>
  <si>
    <t>PRO-000003232</t>
  </si>
  <si>
    <t>PRO-000003170</t>
  </si>
  <si>
    <t>EDGE SHAFTESBURY AVENUE NO 125 CHILLED RAFTS LONDON</t>
  </si>
  <si>
    <t>Special Projects</t>
  </si>
  <si>
    <t>PRO-000003254</t>
  </si>
  <si>
    <t>MONKLANDS REPLACEMENT HOSPITAL AIRDRIE</t>
  </si>
  <si>
    <t>PRO-000003197</t>
  </si>
  <si>
    <t>EMBERTON HOUSE INSPIRED SCHOOLS CAT B OLYMPIA LONDON</t>
  </si>
  <si>
    <t>PRO-000003231</t>
  </si>
  <si>
    <t>WITAN GATE HOUSE OFFICE REFURB PHASE 2 MILTON KEYNES</t>
  </si>
  <si>
    <t>PRO-000003240</t>
  </si>
  <si>
    <t>PRO-000003242</t>
  </si>
  <si>
    <t>BMW SHOWROOM INVERNESS ARNOLD CLARK</t>
  </si>
  <si>
    <t>PRO-000003244</t>
  </si>
  <si>
    <t>PETERBOROUGH COURT FLEET STREET CAT B MORGAN LEWIS FLRS 8-11</t>
  </si>
  <si>
    <t>PRO-000003250</t>
  </si>
  <si>
    <t>MANCHESTER AIRPORT PIER 2 PHASE 2 CELINGS</t>
  </si>
  <si>
    <t>PRO-000003251</t>
  </si>
  <si>
    <t>ADANAC PARK NORTH OPUS FIT OUT SOUTHAMPTON</t>
  </si>
  <si>
    <t>PRO-000003252</t>
  </si>
  <si>
    <t>REDCLIFFE QUAY SKELTON GROUP REFURB BRISTOL</t>
  </si>
  <si>
    <t>PRO-000003253</t>
  </si>
  <si>
    <t>PRO-000003265</t>
  </si>
  <si>
    <t>ROCHESTER ROW NO 17-19 DEVELOPMENT LONDON</t>
  </si>
  <si>
    <t>PRO-000003267</t>
  </si>
  <si>
    <t>PRO-000003241</t>
  </si>
  <si>
    <t>UNKNOWN PROJECT</t>
  </si>
  <si>
    <t>PRO-000003243</t>
  </si>
  <si>
    <t>TRI-COUNTY REGIONAL VOCATIONAL TECHNICAL HIGH SCHOOL</t>
  </si>
  <si>
    <t>PRO-000003235</t>
  </si>
  <si>
    <t>KSU KENNESAW STATE UNIVERSITY SUMMIT II HOUSING</t>
  </si>
  <si>
    <t>PRO-000003132</t>
  </si>
  <si>
    <t>PRO-000003173</t>
  </si>
  <si>
    <t>PRO-000003215</t>
  </si>
  <si>
    <t>PRO-000003217</t>
  </si>
  <si>
    <t>HUDSON BLVD 66 HSBC, 29TH - 30TH EXPANSION</t>
  </si>
  <si>
    <t>PRO-000003229</t>
  </si>
  <si>
    <t>MADISON AVE 1 FLOOR 11 FRANKLIN TEMPLETON ADDITIONAL ORDER</t>
  </si>
  <si>
    <t>PRO-000003245</t>
  </si>
  <si>
    <t>PRO-000003274</t>
  </si>
  <si>
    <t>PRO-000003237</t>
  </si>
  <si>
    <t>PRO-000003087</t>
  </si>
  <si>
    <t>PRO-000003202</t>
  </si>
  <si>
    <t>PRO-000003218</t>
  </si>
  <si>
    <t>PRO-000003224</t>
  </si>
  <si>
    <t>PRO-000003248</t>
  </si>
  <si>
    <t>PRO-000003255</t>
  </si>
  <si>
    <t>PRO-000003225</t>
  </si>
  <si>
    <t>PRO-000003233</t>
  </si>
  <si>
    <t>BARCELONA AIRPORT T2 &amp; T1</t>
  </si>
  <si>
    <t>PRO-000003246</t>
  </si>
  <si>
    <t>PRO-000003249</t>
  </si>
  <si>
    <t>WARSAW CPK NEW INTERNATIONAL AIRPORT</t>
  </si>
  <si>
    <t>PRO-000003258</t>
  </si>
  <si>
    <t>PRO-000003289</t>
  </si>
  <si>
    <t>BRITISH AIRWAYS CUSTOMER SERVICES NEWCASTLE</t>
  </si>
  <si>
    <t>PRO-000003238</t>
  </si>
  <si>
    <t>PRO-000003259</t>
  </si>
  <si>
    <t>BRISTOL ZOO PROJECT BLACKHORSE HILL BRISTOL</t>
  </si>
  <si>
    <t>PRO-000003260</t>
  </si>
  <si>
    <t>OLD BROAD STREET NO 105-108 PINNERS HALL REFURB LONDON</t>
  </si>
  <si>
    <t>PRO-000003263</t>
  </si>
  <si>
    <t>PRO-000003264</t>
  </si>
  <si>
    <t>SAFRAN LANDING SYSTEMS TEMPORARY RECEPTION GLOUCESTER</t>
  </si>
  <si>
    <t>PRO-000003266</t>
  </si>
  <si>
    <t>PRO-000003271</t>
  </si>
  <si>
    <t>PRO-000003276</t>
  </si>
  <si>
    <t>PRO-000003279</t>
  </si>
  <si>
    <t>CLIFFORD STREET NO 7 CAT A REFURB FLOORS 1 &amp; 5 LONDON</t>
  </si>
  <si>
    <t>PRO-000003291</t>
  </si>
  <si>
    <t>LONDON WALL NO 75 WINCHESTER HOUSE LONDON</t>
  </si>
  <si>
    <t>PRO-000003292</t>
  </si>
  <si>
    <t>PRO-000003294</t>
  </si>
  <si>
    <t>PRO-000003212</t>
  </si>
  <si>
    <t>ODYSSEUM MONTPELLIER</t>
  </si>
  <si>
    <t>PRO-000003273</t>
  </si>
  <si>
    <t>COURCELLOR REFURBISHMENT</t>
  </si>
  <si>
    <t>PRO-000003275</t>
  </si>
  <si>
    <t>PRO-000003123</t>
  </si>
  <si>
    <t>PROJECT MEADOW</t>
  </si>
  <si>
    <t>PRO-000003158</t>
  </si>
  <si>
    <t>PRO-000003178</t>
  </si>
  <si>
    <t>PRO-000003187</t>
  </si>
  <si>
    <t>PRO-000003230</t>
  </si>
  <si>
    <t>PRO-000003234</t>
  </si>
  <si>
    <t>PRO-000003287</t>
  </si>
  <si>
    <t>PRO-000003288</t>
  </si>
  <si>
    <t>PRO-000003295</t>
  </si>
  <si>
    <t>PRO-000003302</t>
  </si>
  <si>
    <t>PRO-000003285</t>
  </si>
  <si>
    <t>PRO-000002847</t>
  </si>
  <si>
    <t>FLINDERS LANE NO 51</t>
  </si>
  <si>
    <t>PRO-000003283</t>
  </si>
  <si>
    <t>PRO-000003300</t>
  </si>
  <si>
    <t>PRO-000003206</t>
  </si>
  <si>
    <t>IGLESIA DE DIOS MINISTERIAL VALLECAS</t>
  </si>
  <si>
    <t>PRO-000003221</t>
  </si>
  <si>
    <t>PRO-000003262</t>
  </si>
  <si>
    <t>PRO-000003268</t>
  </si>
  <si>
    <t>PRO-000003269</t>
  </si>
  <si>
    <t>PRO-000003297</t>
  </si>
  <si>
    <t>CANARY WHARF WOOD WHARF B2 APARTMENT FIT OUT LONDON</t>
  </si>
  <si>
    <t>PRO-000003301</t>
  </si>
  <si>
    <t>CREASEYS DEPARTMENT STORE ST PETER PORT</t>
  </si>
  <si>
    <t>PRO-000003303</t>
  </si>
  <si>
    <t>PRO-000003308</t>
  </si>
  <si>
    <t>PRO-000003309</t>
  </si>
  <si>
    <t>PRO-000003311</t>
  </si>
  <si>
    <t>PRO-000003313</t>
  </si>
  <si>
    <t>SAM JAMES MISC 2025</t>
  </si>
  <si>
    <t>PRO-000003318</t>
  </si>
  <si>
    <t>AGAR STREET NO 6 CAT A REFURB FLOORS 2 &amp; 5 LONDON</t>
  </si>
  <si>
    <t>PRO-000003330</t>
  </si>
  <si>
    <t>PRO-000003272</t>
  </si>
  <si>
    <t>LEADENHALL STREET NO 1 CAT B LATHAM &amp; WATKINS FLRS 1-20</t>
  </si>
  <si>
    <t>PRO-000003277</t>
  </si>
  <si>
    <t>PRO-000003199</t>
  </si>
  <si>
    <t>PRO-000003304</t>
  </si>
  <si>
    <t>PRO-000003306</t>
  </si>
  <si>
    <t>PRO-000003315</t>
  </si>
  <si>
    <t>PRO-000003320</t>
  </si>
  <si>
    <t>PRO-000003329</t>
  </si>
  <si>
    <t>PRO-000003333</t>
  </si>
  <si>
    <t>PRO-000003284</t>
  </si>
  <si>
    <t>PRO-000003322</t>
  </si>
  <si>
    <t>ARROYOFRESNO MADRID</t>
  </si>
  <si>
    <t>PRO-000003331</t>
  </si>
  <si>
    <t>MAPLE HOUSE EXTERNAL CANOPY CEILING FITZROVIA LONDON</t>
  </si>
  <si>
    <t>PRO-000003338</t>
  </si>
  <si>
    <t>PRO-000003280</t>
  </si>
  <si>
    <t>CHANCERY LANE NO 5 REDEVELOPMENT LONDON</t>
  </si>
  <si>
    <t>PRO-000003281</t>
  </si>
  <si>
    <t>HILL HOUSE REDEVELOPMENT NEW STREET SQUARE LONDON</t>
  </si>
  <si>
    <t>PRO-000003314</t>
  </si>
  <si>
    <t>PRO-000003326</t>
  </si>
  <si>
    <t>CANARY WHARF CANADA SQUARE NO 25 CITIBANK REFURB LONDON</t>
  </si>
  <si>
    <t>PRO-000003336</t>
  </si>
  <si>
    <t>PRO-000003337</t>
  </si>
  <si>
    <t>LOWER MARSH NO 1-5 LOMA UNDERCROFT LONDON</t>
  </si>
  <si>
    <t>PRO-000003345</t>
  </si>
  <si>
    <t>PRO-000003247</t>
  </si>
  <si>
    <t>PRO-000003305</t>
  </si>
  <si>
    <t>PRO-000003334</t>
  </si>
  <si>
    <t>SCOVELL HALL UNIVERSITY OF KENTUCKY</t>
  </si>
  <si>
    <t>PRO-000003342</t>
  </si>
  <si>
    <t>PRO-000003323</t>
  </si>
  <si>
    <t>PRO-000003310</t>
  </si>
  <si>
    <t>PRO-000003324</t>
  </si>
  <si>
    <t>PRO-000003373</t>
  </si>
  <si>
    <t>DUDLEY INTERCHANGE FISHER STREET</t>
  </si>
  <si>
    <t>PRO-000003282</t>
  </si>
  <si>
    <t>NEWCASTLE AIRPORT EXTENSION AND BAGGAGE RECLAIM REFURB</t>
  </si>
  <si>
    <t>PRO-000003319</t>
  </si>
  <si>
    <t>UCB PHARMA COLLABORATION HUB WINDLESHAM CAMPUS SURREY</t>
  </si>
  <si>
    <t>PRO-000003340</t>
  </si>
  <si>
    <t>PRO-000003348</t>
  </si>
  <si>
    <t>THE BISHOPS AVENUE NO 56 RIVERSTONE LONDON</t>
  </si>
  <si>
    <t>PRO-000003349</t>
  </si>
  <si>
    <t>PRO-000003352</t>
  </si>
  <si>
    <t>VINE STREET NO 1 FLOORS 3-4 CAT A+ LONDON</t>
  </si>
  <si>
    <t>PRO-000003354</t>
  </si>
  <si>
    <t>PRO-000003355</t>
  </si>
  <si>
    <t>PRO-000003357</t>
  </si>
  <si>
    <t>BAKER STREET NO 25 CAT B  MOELIS FLOORS 3-4 LONDON</t>
  </si>
  <si>
    <t>PRO-000003364</t>
  </si>
  <si>
    <t>FETTER LANE NO 100 MACFARLANES FIT OUT FLOOR 3 LONDON</t>
  </si>
  <si>
    <t>PRO-000003369</t>
  </si>
  <si>
    <t>SOUTHWARK STREET NO 59.5 TP BENNETT OFFICE LONDON</t>
  </si>
  <si>
    <t>PRO-000003379</t>
  </si>
  <si>
    <t>DORKING OFFICE PARK NO 7 STONEBRIDGE HOUSE LIGHTING</t>
  </si>
  <si>
    <t>PRO-000003317</t>
  </si>
  <si>
    <t>SQUANTUM ELEMENTARY SCHOOL NEW OR RENO</t>
  </si>
  <si>
    <t>GEORGE W BUSH INTL AIRPORT IAH- UA TBT NORTH BRIDGE</t>
  </si>
  <si>
    <t>PRO-000003341</t>
  </si>
  <si>
    <t>HOBBY AIRPORT BAGGAGE CLAIM EXTERIOR CANOPY</t>
  </si>
  <si>
    <t>PRO-000003126</t>
  </si>
  <si>
    <t>PRO-000003290</t>
  </si>
  <si>
    <t>PRO-000003343</t>
  </si>
  <si>
    <t>PRO-000003350</t>
  </si>
  <si>
    <t>PRO-000003351</t>
  </si>
  <si>
    <t>PRO-000003362</t>
  </si>
  <si>
    <t>PRO-000003299</t>
  </si>
  <si>
    <t>PRO-000003366</t>
  </si>
  <si>
    <t>PRO-000003036</t>
  </si>
  <si>
    <t>PRO-000003256</t>
  </si>
  <si>
    <t>PRO-000003286</t>
  </si>
  <si>
    <t>ATLASSIAN CENTRAL HAYMARKET SYDNEY</t>
  </si>
  <si>
    <t>PRO-000003312</t>
  </si>
  <si>
    <t>PRO-000003328</t>
  </si>
  <si>
    <t>PRO-000003371</t>
  </si>
  <si>
    <t>PRO-000003327</t>
  </si>
  <si>
    <t>PRO-000003339</t>
  </si>
  <si>
    <t>PRO-000003347</t>
  </si>
  <si>
    <t>PRO-000003375</t>
  </si>
  <si>
    <t>BLACKFRIARS ROAD NO 220 DEVELOPMENT LONDON</t>
  </si>
  <si>
    <t>PRO-000003382</t>
  </si>
  <si>
    <t>LIVERPOOL FC EXECUTIVE BOXES ANFIELD</t>
  </si>
  <si>
    <t>PRO-000003408</t>
  </si>
  <si>
    <t>PRO-000003367</t>
  </si>
  <si>
    <t>WARWICK UNIVERSITY TEXTILES MOCK UP</t>
  </si>
  <si>
    <t>PRO-000003377</t>
  </si>
  <si>
    <t>NEWGATE STREET NO 81 BT CENTRE HSBC FIT OUT LONDON</t>
  </si>
  <si>
    <t>PRO-000003376</t>
  </si>
  <si>
    <t>PRO-000003378</t>
  </si>
  <si>
    <t>PRO-000003380</t>
  </si>
  <si>
    <t>PRO-000003381</t>
  </si>
  <si>
    <t>PRO-000003385</t>
  </si>
  <si>
    <t>BISHOPSGATE NO 22 CAT B FIT OUT RIVERSTONE FLOOR 5 LONDON</t>
  </si>
  <si>
    <t>PRO-000003398</t>
  </si>
  <si>
    <t>MERCHANT SQUARE NO 5 CAT A REFURB LIGHTING LONDON</t>
  </si>
  <si>
    <t>PRO-000003400</t>
  </si>
  <si>
    <t>PRO-000003414</t>
  </si>
  <si>
    <t>PRO-000003346</t>
  </si>
  <si>
    <t>GILEAD LA DEFENSE</t>
  </si>
  <si>
    <t>PRO-000002678</t>
  </si>
  <si>
    <t>PRO-000003368</t>
  </si>
  <si>
    <t>PRO-000003383</t>
  </si>
  <si>
    <t>777 6TH ST NW BRENNAN CTR FOR JUSTICE WASHINGTON</t>
  </si>
  <si>
    <t>PRO-000003394</t>
  </si>
  <si>
    <t>PRO-000003216</t>
  </si>
  <si>
    <t>DETROIT CONFIDENTIAL HQ LEVEL 9 AND 10</t>
  </si>
  <si>
    <t>PRO-000003344</t>
  </si>
  <si>
    <t>PRO-000003395</t>
  </si>
  <si>
    <t>PRO-000003353</t>
  </si>
  <si>
    <t>PRO-000003359</t>
  </si>
  <si>
    <t>ANZ CENTRE 833 COLLINS</t>
  </si>
  <si>
    <t>PRO-000003370</t>
  </si>
  <si>
    <t>PRO-000003405</t>
  </si>
  <si>
    <t>SHEPPARTON CLUB REDEVELOPMENT STAGE 2, 3 &amp; 4</t>
  </si>
  <si>
    <t>PRO-000003220</t>
  </si>
  <si>
    <t>SOUTH ROAD NO 47 BRIGHTON EVENT SPACE</t>
  </si>
  <si>
    <t>PRO-000003358</t>
  </si>
  <si>
    <t>BARANGAROO T2 - LVL 17</t>
  </si>
  <si>
    <t>PRO-000003360</t>
  </si>
  <si>
    <t>PRO-000003372</t>
  </si>
  <si>
    <t>PRO-000003388</t>
  </si>
  <si>
    <t>WILLIAM CLARKE COLLEGE - BRYSON BUILDING</t>
  </si>
  <si>
    <t>PRO-000003403</t>
  </si>
  <si>
    <t>MURRAY ROSE NO 5 LEVEL 1-2</t>
  </si>
  <si>
    <t>PRO-000003316</t>
  </si>
  <si>
    <t>PRO-000003390</t>
  </si>
  <si>
    <t>PRO-000003402</t>
  </si>
  <si>
    <t>MUPAC SANTANDER</t>
  </si>
  <si>
    <t>PRO-000002909</t>
  </si>
  <si>
    <t>HONG KONG INTERNATIONAL AIRPORT T1 ANNEX BUILDING</t>
  </si>
  <si>
    <t>(blank)</t>
  </si>
  <si>
    <t>Grand Total</t>
  </si>
  <si>
    <t>Count of Proposal Request No.</t>
  </si>
  <si>
    <t>week No</t>
  </si>
  <si>
    <t>KPI Data</t>
  </si>
  <si>
    <t>On Time?</t>
  </si>
  <si>
    <t>Estimated Completion Date</t>
  </si>
  <si>
    <t>(All)</t>
  </si>
  <si>
    <t>MARRIOTT HOTEL ABASTUMANI</t>
  </si>
  <si>
    <t>KITCHEN REVAMPING BOURI DP4 LIBYA OFFSHORE</t>
  </si>
  <si>
    <t>THE PAVILION MELBOURNE</t>
  </si>
  <si>
    <t>PARK AVENUE BMW QUEBEC</t>
  </si>
  <si>
    <t>LIVERPOOL STREET NO 1 FOH RECEPTION &amp; EVENT SPACE LONDON</t>
  </si>
  <si>
    <t>This shows the close date of the designs</t>
  </si>
  <si>
    <t>Weekly Closed Proposal Request - Power BI Report - saved on tab of the same name</t>
  </si>
  <si>
    <t>Date in Text Format</t>
  </si>
  <si>
    <t>Date</t>
  </si>
  <si>
    <t>Week No</t>
  </si>
  <si>
    <t>Blank</t>
  </si>
  <si>
    <t>Quality</t>
  </si>
  <si>
    <t>Average of On Time?</t>
  </si>
  <si>
    <t>Week</t>
  </si>
  <si>
    <t>Design Days between estimate - Power BI Report - Saved on tab of the same name</t>
  </si>
  <si>
    <t>This shows the design proposals their close data and the completed on time %</t>
  </si>
  <si>
    <t>PRO-000003406</t>
  </si>
  <si>
    <t>PRO-000003411</t>
  </si>
  <si>
    <t>PRO-000003409</t>
  </si>
  <si>
    <t>PRO-000003419</t>
  </si>
  <si>
    <t>PRO-000003421</t>
  </si>
  <si>
    <t>CENTRAL SQUARE PWC FIT OUT 1 WOOD ST CARDIFF</t>
  </si>
  <si>
    <t>PRO-000003424</t>
  </si>
  <si>
    <t>PRO-000003425</t>
  </si>
  <si>
    <t>LONDON SCHOOL OF ECONOMICS THE MARSHALL BUILDING ROOFLIGHT</t>
  </si>
  <si>
    <t>PRO-000003431</t>
  </si>
  <si>
    <t>PRO-000003441</t>
  </si>
  <si>
    <t>PRO-000003443</t>
  </si>
  <si>
    <t>PRO-000003451</t>
  </si>
  <si>
    <t>PRO-000003452</t>
  </si>
  <si>
    <t>PRO-000003455</t>
  </si>
  <si>
    <t>PRO-000003442</t>
  </si>
  <si>
    <t>PRO-000003223</t>
  </si>
  <si>
    <t>PRO-000003332</t>
  </si>
  <si>
    <t>PRO-000003361</t>
  </si>
  <si>
    <t>PRO-000003365</t>
  </si>
  <si>
    <t>PRO-000003393</t>
  </si>
  <si>
    <t>PRO-000003401</t>
  </si>
  <si>
    <t>PRO-000003412</t>
  </si>
  <si>
    <t>PRO-000003454</t>
  </si>
  <si>
    <t>PRO-000003449</t>
  </si>
  <si>
    <t>PRO-000003450</t>
  </si>
  <si>
    <t>PRO-000003416</t>
  </si>
  <si>
    <t>POLICE PRECINCT HQ HOTEL</t>
  </si>
  <si>
    <t>PRO-000003389</t>
  </si>
  <si>
    <t>PRO-000003404</t>
  </si>
  <si>
    <t>MELBOURNE AIRPORT T2 INTERNATIONAL CHECK IN</t>
  </si>
  <si>
    <t>PRO-000003415</t>
  </si>
  <si>
    <t>VICTORIA UNIVERSITY HIC ASSOCIATED WORKS STAGE 2</t>
  </si>
  <si>
    <t>PRO-000003432</t>
  </si>
  <si>
    <t>PRO-000003298</t>
  </si>
  <si>
    <t>PRADO MUSEUM EXTENSION MADRID</t>
  </si>
  <si>
    <t>PRO-000003363</t>
  </si>
  <si>
    <t>CASTELLANA 106 MADRID</t>
  </si>
  <si>
    <t>PRO-000003407</t>
  </si>
  <si>
    <t>PRO-000003420</t>
  </si>
  <si>
    <t>CUBO DE ALTADIS SEVILLA</t>
  </si>
  <si>
    <t>PRO-000003428</t>
  </si>
  <si>
    <t>PRO-000003410</t>
  </si>
  <si>
    <t>PRO-000003418</t>
  </si>
  <si>
    <t>Owner</t>
  </si>
  <si>
    <t>Andrew Skitt</t>
  </si>
  <si>
    <t>Completed up to week</t>
  </si>
  <si>
    <t>update</t>
  </si>
  <si>
    <t>Status</t>
  </si>
  <si>
    <t>Current Week</t>
  </si>
  <si>
    <t>Submission</t>
  </si>
  <si>
    <t>Weekly</t>
  </si>
  <si>
    <t>Department:</t>
  </si>
  <si>
    <t>Design &amp; R&amp;D</t>
  </si>
  <si>
    <r>
      <t xml:space="preserve">Commentary
</t>
    </r>
    <r>
      <rPr>
        <i/>
        <sz val="11"/>
        <color theme="0"/>
        <rFont val="Aptos Narrow"/>
        <family val="2"/>
        <scheme val="minor"/>
      </rPr>
      <t>[in relation to current week, trend and outlook]</t>
    </r>
  </si>
  <si>
    <t>YTD</t>
  </si>
  <si>
    <t>Category</t>
  </si>
  <si>
    <t>KPI</t>
  </si>
  <si>
    <t>Measure</t>
  </si>
  <si>
    <t>UOM</t>
  </si>
  <si>
    <t>Sign</t>
  </si>
  <si>
    <t>Date (Fri)</t>
  </si>
  <si>
    <t>Productivity</t>
  </si>
  <si>
    <t>Volume Completed</t>
  </si>
  <si>
    <t>Number of Approx. Design requests closed weekly</t>
  </si>
  <si>
    <t>Count</t>
  </si>
  <si>
    <t>Under Breach</t>
  </si>
  <si>
    <t xml:space="preserve"> Sales Force - https://sasinternational.lightning.force.com/lightning/r/Report/00OP3000005K1gDMAS/view</t>
  </si>
  <si>
    <t>Target</t>
  </si>
  <si>
    <t>Actual</t>
  </si>
  <si>
    <t>Variance</t>
  </si>
  <si>
    <t>Delivery</t>
  </si>
  <si>
    <t>OTIF</t>
  </si>
  <si>
    <t>% of Designs closed that were completed by the Internal Date</t>
  </si>
  <si>
    <t>Percentage</t>
  </si>
  <si>
    <t>Sales Force - https://sasinternational.lightning.force.com/lightning/r/Report/00OP3000003GHJJMA4/view</t>
  </si>
  <si>
    <t>Design Rejections</t>
  </si>
  <si>
    <t xml:space="preserve">Number  of rejected designs (internal to Design team)
</t>
  </si>
  <si>
    <t>Over Breach</t>
  </si>
  <si>
    <t>Sales Force - https://sasinternational.lightning.force.com/lightning/r/Report/00OP3000005cl33MAA/view?queryScope=userFolders</t>
  </si>
  <si>
    <t>Cost</t>
  </si>
  <si>
    <t>Opportunity Value per proposal</t>
  </si>
  <si>
    <t xml:space="preserve">Expected Opportunity value / No of proposals collated 
</t>
  </si>
  <si>
    <t>£'s</t>
  </si>
  <si>
    <t>R</t>
  </si>
  <si>
    <t>KPI is worse than Target</t>
  </si>
  <si>
    <t>A</t>
  </si>
  <si>
    <t>KPI is &lt;5% worse than Target</t>
  </si>
  <si>
    <t>G</t>
  </si>
  <si>
    <t>KPI is better than Target</t>
  </si>
  <si>
    <t>TBC</t>
  </si>
  <si>
    <t>Missing Submission</t>
  </si>
  <si>
    <t>No Submission</t>
  </si>
  <si>
    <t>From Power BI Pivot</t>
  </si>
  <si>
    <t>Reported by Submission</t>
  </si>
  <si>
    <t>As above</t>
  </si>
  <si>
    <t>As per KPI Data</t>
  </si>
  <si>
    <t>Never reported on before</t>
  </si>
  <si>
    <t>Not in a system</t>
  </si>
  <si>
    <t>Difference  +ve power BI Higher</t>
  </si>
  <si>
    <t>Reviewed with Andy Skitt</t>
  </si>
  <si>
    <t>The power BI reports will be sent by email each Monday</t>
  </si>
  <si>
    <t xml:space="preserve">Update the Relevent Green Tab with the data </t>
  </si>
  <si>
    <t>Check the week number formula in the last row goes to the bottom</t>
  </si>
  <si>
    <t>Refresh the pivot Table on the relevant Pink Tab</t>
  </si>
  <si>
    <t>The data should pull through into the Design KPI tab - you will need to update the week number in cell E2 to drive the formulas</t>
  </si>
  <si>
    <t>The data originally supplied by Andy Skitt differs from the pivoted table</t>
  </si>
  <si>
    <t>At the bottom of the design KPI tab ive shown a comparison between these two sets of data in row 22 down</t>
  </si>
  <si>
    <t>These differences have been discussed with Andy and he is ok with the Data built from the sales force report</t>
  </si>
  <si>
    <t>This feeds the productivity and Cost KPI</t>
  </si>
  <si>
    <t>This feeds the delivery KPI</t>
  </si>
  <si>
    <t>The data for the quality KPI continues to be sent in by Andy Skitt</t>
  </si>
  <si>
    <t>Once Updated curculate the data back to Andy for his records</t>
  </si>
  <si>
    <t>Design Department _ KPI build</t>
  </si>
  <si>
    <t>PRO-000003434</t>
  </si>
  <si>
    <t>PRO-000003453</t>
  </si>
  <si>
    <t>PRO-000003478</t>
  </si>
  <si>
    <t>PRO-000003433</t>
  </si>
  <si>
    <t>PRO-000003435</t>
  </si>
  <si>
    <t>PRO-000003440</t>
  </si>
  <si>
    <t>PRO-000003462</t>
  </si>
  <si>
    <t>PRO-000003463</t>
  </si>
  <si>
    <t>PRO-000003470</t>
  </si>
  <si>
    <t>PRO-000003471</t>
  </si>
  <si>
    <t>PRO-000003472</t>
  </si>
  <si>
    <t>PRO-000003475</t>
  </si>
  <si>
    <t>PRO-000003479</t>
  </si>
  <si>
    <t>PRO-000003487</t>
  </si>
  <si>
    <t>PRO-000003489</t>
  </si>
  <si>
    <t>PRO-000003493</t>
  </si>
  <si>
    <t>PRO-000003495</t>
  </si>
  <si>
    <t>PRO-000003427</t>
  </si>
  <si>
    <t>PRO-000003321</t>
  </si>
  <si>
    <t>PRO-000003335</t>
  </si>
  <si>
    <t>PRO-000003386</t>
  </si>
  <si>
    <t>PRO-000003396</t>
  </si>
  <si>
    <t>PRO-000003437</t>
  </si>
  <si>
    <t>PRO-000003484</t>
  </si>
  <si>
    <t>PRO-000003397</t>
  </si>
  <si>
    <t>PRO-000003465</t>
  </si>
  <si>
    <t>PRO-000003477</t>
  </si>
  <si>
    <t>PRO-000003374</t>
  </si>
  <si>
    <t>PRO-000003429</t>
  </si>
  <si>
    <t>PRO-000003466</t>
  </si>
  <si>
    <t>PRO-000003467</t>
  </si>
  <si>
    <t>PRO-000003468</t>
  </si>
  <si>
    <t>PRO-000003476</t>
  </si>
  <si>
    <t>PRO-000003480</t>
  </si>
  <si>
    <t>PRO-000003439</t>
  </si>
  <si>
    <t>PRO-000003447</t>
  </si>
  <si>
    <t>JOHNS HOPKINS LIFE SCIENCE BUILDING</t>
  </si>
  <si>
    <t>2 CHAWLEY PARK OXFORD</t>
  </si>
  <si>
    <t>UNI OF CAMBRIDGE CHEMISTRY LECTURE ROOM CEILINGS FLRS 2&amp;3</t>
  </si>
  <si>
    <t>BASINGHALL STREET NO 25 WOOLGATE EXCHANGE SUSQUEHANNA</t>
  </si>
  <si>
    <t>GOSWELL ROAD NO 348-350 EXTERNAL CANOPY LONDON</t>
  </si>
  <si>
    <t>UNI OF OXFORD INSTITUTE FOR GLOBAL HEALTH BLDG</t>
  </si>
  <si>
    <t>BLUEWATER SHOPPING CENTRE</t>
  </si>
  <si>
    <t>STEPHEN STREET NO 1-2 FLOOR 7 LONDON</t>
  </si>
  <si>
    <t>KEBLE COLLEGE KITCHENS OXFORD</t>
  </si>
  <si>
    <t>GRESHAM STREET NO 20 CAT A REFURB LONDON</t>
  </si>
  <si>
    <t>PLUNGE BEACH RESORT FORT LAUDERDALE</t>
  </si>
  <si>
    <t>BRICKELL PLAZA 830 KIRKLAND ELLIS FIT OUT MIAMI</t>
  </si>
  <si>
    <t>PARK AVE NO 99 CELLAR LEVEL NEW YORK</t>
  </si>
  <si>
    <t>IAPMO ENERGY EFFICIENCY AND APPLIANCE SAFETY LABRATORY</t>
  </si>
  <si>
    <t>estimate £</t>
  </si>
  <si>
    <t>Ex Rate</t>
  </si>
  <si>
    <t>Sum of estimate £</t>
  </si>
  <si>
    <t>Historic Comparisons - Reference only discussed with Andy Skitt</t>
  </si>
  <si>
    <t>K:\Finance\Financial accounts\2025\SAS Holdings consolidation\4. Apr 2025\April 2025 Holdings consolidation DRAFTv2.xlsx</t>
  </si>
  <si>
    <t>AED</t>
  </si>
  <si>
    <t>CAD</t>
  </si>
  <si>
    <t>CHF</t>
  </si>
  <si>
    <t>HKD</t>
  </si>
  <si>
    <t>NZD</t>
  </si>
  <si>
    <t>Mth</t>
  </si>
  <si>
    <t>This needs the exchange rate table updating - the current month will need to use last months data until the month end exchange rate is set.</t>
  </si>
  <si>
    <t>PRO-000003436</t>
  </si>
  <si>
    <t>PRO-000003507</t>
  </si>
  <si>
    <t>PRO-000003391</t>
  </si>
  <si>
    <t>PRO-000003413</t>
  </si>
  <si>
    <t>PRO-000003469</t>
  </si>
  <si>
    <t>PRO-000003482</t>
  </si>
  <si>
    <t>PRO-000003486</t>
  </si>
  <si>
    <t>PRO-000003506</t>
  </si>
  <si>
    <t>PRO-000003448</t>
  </si>
  <si>
    <t>PRO-000003417</t>
  </si>
  <si>
    <t>PRO-000003502</t>
  </si>
  <si>
    <t>PRO-000003503</t>
  </si>
  <si>
    <t>PRO-000003504</t>
  </si>
  <si>
    <t>PRO-000003505</t>
  </si>
  <si>
    <t>PRO-000003513</t>
  </si>
  <si>
    <t>PRO-000003514</t>
  </si>
  <si>
    <t>PRO-000003521</t>
  </si>
  <si>
    <t>PRO-000003488</t>
  </si>
  <si>
    <t>PRO-000003498</t>
  </si>
  <si>
    <t>PRO-000003520</t>
  </si>
  <si>
    <t>JFK TERMINAL ONE DUTY FREE (C220 Ceilings)</t>
  </si>
  <si>
    <t>TURING HOUSE BARCLAYS TECHNOLOGY CENTRE KNUTSFORD</t>
  </si>
  <si>
    <t>WELLINGBOROUGH SCHOOL LONDON RD WELLINGBOROUGH</t>
  </si>
  <si>
    <t>MELBOURNE AIRPORT T1 NORTHERN BRIDGE LINK</t>
  </si>
  <si>
    <t>PROGRESSIVE OFFICE</t>
  </si>
  <si>
    <t>PRO-000003485</t>
  </si>
  <si>
    <t>KING WILLIAM STREET NO 10 BANK OVERSITE OSD LOADING BAY</t>
  </si>
  <si>
    <t>PRO-000003490</t>
  </si>
  <si>
    <t>CANARY WHARF DS7 CANADA SQUARE NO 1 UCL SOM PHASE 2 LONDON</t>
  </si>
  <si>
    <t>PRO-000003515</t>
  </si>
  <si>
    <t>PRO-000003522</t>
  </si>
  <si>
    <t>PRO-000003526</t>
  </si>
  <si>
    <t>CANARY WHARF WOOD WHARF WATER STREET NO 20 LONDON</t>
  </si>
  <si>
    <t>PRO-000003527</t>
  </si>
  <si>
    <t>PRO-000003535</t>
  </si>
  <si>
    <t>COLEMAN STREET NO 4 REFURB LONDON</t>
  </si>
  <si>
    <t>PRO-000003541</t>
  </si>
  <si>
    <t>PRO-000003547</t>
  </si>
  <si>
    <t>PRO-000003399</t>
  </si>
  <si>
    <t>PRO-000003426</t>
  </si>
  <si>
    <t>STT ST CYRIL AIRPORT REDEVELOPMENT ST THOMAS USVI</t>
  </si>
  <si>
    <t>PRO-000003512</t>
  </si>
  <si>
    <t>JFK TERMINAL ONE DUTY FREE (C220 WALLS)</t>
  </si>
  <si>
    <t>PRO-000003524</t>
  </si>
  <si>
    <t>INTERNATIONAL DR. 1676 - MCLEAN VA</t>
  </si>
  <si>
    <t>PRO-000003423</t>
  </si>
  <si>
    <t>SAMPLE ROOM USA - NYC</t>
  </si>
  <si>
    <t>PRO-000003509</t>
  </si>
  <si>
    <t>PRO-000003510</t>
  </si>
  <si>
    <t>PRO-000003529</t>
  </si>
  <si>
    <t>PRO-000003536</t>
  </si>
  <si>
    <t>PRO-000003550</t>
  </si>
  <si>
    <t>PRO-000003545</t>
  </si>
  <si>
    <t>BUREAU OF METEOROLOGY</t>
  </si>
  <si>
    <t>PRO-000003546</t>
  </si>
  <si>
    <t>PRO-000003492</t>
  </si>
  <si>
    <t>PRO-000003501</t>
  </si>
  <si>
    <t>PRO-000003538</t>
  </si>
  <si>
    <t>PRO-000003539</t>
  </si>
  <si>
    <t>PRO-000003497</t>
  </si>
  <si>
    <t>NDA - PWC LAYSEN VALLEY RIYADH OFFICE FIT OUT WALL PANELS</t>
  </si>
  <si>
    <t>Middle East</t>
  </si>
  <si>
    <t>PRO-000003494</t>
  </si>
  <si>
    <t>VIA AUGUSTA BARCELONA</t>
  </si>
  <si>
    <t>PRO-000003499</t>
  </si>
  <si>
    <t>PRO-000003516</t>
  </si>
  <si>
    <t>PRO-000003517</t>
  </si>
  <si>
    <t>PRO-000003528</t>
  </si>
  <si>
    <t>PRO-000003531</t>
  </si>
  <si>
    <t>CPD ALCALA  DATA CENTRE 1</t>
  </si>
  <si>
    <t>PRO-000003533</t>
  </si>
  <si>
    <t>PRO-000003556</t>
  </si>
  <si>
    <t>PRO-000003548</t>
  </si>
  <si>
    <t>PRO-000003558</t>
  </si>
  <si>
    <t>PRO-000003500</t>
  </si>
  <si>
    <t>PRO-000003557</t>
  </si>
  <si>
    <t>PRO-000003577</t>
  </si>
  <si>
    <t>PRO-000003392</t>
  </si>
  <si>
    <t>PRO-000003511</t>
  </si>
  <si>
    <t>PRO-000003518</t>
  </si>
  <si>
    <t>PRO-000003525</t>
  </si>
  <si>
    <t>PRO-000003543</t>
  </si>
  <si>
    <t>PRO-000003566</t>
  </si>
  <si>
    <t>PRO-000003491</t>
  </si>
  <si>
    <t>PRO-000003544</t>
  </si>
  <si>
    <t>PRO-000003567</t>
  </si>
  <si>
    <t>PRO-000003568</t>
  </si>
  <si>
    <t>PRO-000003572</t>
  </si>
  <si>
    <t>PRO-000003575</t>
  </si>
  <si>
    <t>PRO-000003537</t>
  </si>
  <si>
    <t>PRO-000003563</t>
  </si>
  <si>
    <t>PRO-000003560</t>
  </si>
  <si>
    <t>PRO-000003561</t>
  </si>
  <si>
    <t>PRO-000003564</t>
  </si>
  <si>
    <t>PRO-000003570</t>
  </si>
  <si>
    <t>DERING STREET NO 20 MAYFAIR LONDON</t>
  </si>
  <si>
    <t>AWE THE HUB OFFICE AND TEACHING FACILITY MHS ALDERMASTON</t>
  </si>
  <si>
    <t>BISHOPSGATE NO 201 BROADGATE TOWER FLRS 12-13,17,19 &amp; 29-33</t>
  </si>
  <si>
    <t>FINSBURY SQUARE NO 38 LONDON</t>
  </si>
  <si>
    <t>CONFIDENTIAL LAW FIRM WASH DC OTJ</t>
  </si>
  <si>
    <t>9TH AVENUE 375, DE SHAW DAY 2 FITOUT, FLR 55, NYC</t>
  </si>
  <si>
    <t>YALE UNIVERSITY WHITNEY AVE NO 272 WRIGHT LAB ADDITION</t>
  </si>
  <si>
    <t>ONE SCHOOL GLOBAL OATLANDS CAMPUS REDEVELOPMENT</t>
  </si>
  <si>
    <t>ROYAL CARIBBEAN CRUISE TERMINAL G BARCELONA</t>
  </si>
  <si>
    <t>PRO-000003551</t>
  </si>
  <si>
    <t>PRO-000003523</t>
  </si>
  <si>
    <t>PRO-000003542</t>
  </si>
  <si>
    <t>PRO-000003565</t>
  </si>
  <si>
    <t>PRO-000003573</t>
  </si>
  <si>
    <t>PRO-000003583</t>
  </si>
  <si>
    <t>PRO-000003496</t>
  </si>
  <si>
    <t>PRO-000003552</t>
  </si>
  <si>
    <t>PRO-000003581</t>
  </si>
  <si>
    <t>PRO-000003599</t>
  </si>
  <si>
    <t>PRO-000003612</t>
  </si>
  <si>
    <t>PRO-000003620</t>
  </si>
  <si>
    <t>PRO-000003534</t>
  </si>
  <si>
    <t>PRO-000003554</t>
  </si>
  <si>
    <t>PRO-000003596</t>
  </si>
  <si>
    <t>PRO-000003618</t>
  </si>
  <si>
    <t>PRO-000003530</t>
  </si>
  <si>
    <t>PRO-000003571</t>
  </si>
  <si>
    <t>PRO-000003576</t>
  </si>
  <si>
    <t>PRO-000002828</t>
  </si>
  <si>
    <t>PRO-000003585</t>
  </si>
  <si>
    <t>PRO-000003590</t>
  </si>
  <si>
    <t>JACKSON PROJECT MISSISSIPPI</t>
  </si>
  <si>
    <t>CURTIN UNIVERSITY B316 SCIENCES PROJECT</t>
  </si>
  <si>
    <t>BASINGHALL STREET NO 25 WOOLGATE EXCHANGE L&amp;G FITOUT LONDON</t>
  </si>
  <si>
    <t>UNI OF OXFORD CAESR BUILDING</t>
  </si>
  <si>
    <t>FINSBURY AVENUE NO 2 DEVELOPMENT LONDON</t>
  </si>
  <si>
    <t>MINSTER COURT NO 3 CAT B TOWER RESEARCH FLR 4 LONDON</t>
  </si>
  <si>
    <t>AURIOL DRIVE UNIT 3 GREENFORD LONDON</t>
  </si>
  <si>
    <t>IGLU MASCOT 2</t>
  </si>
  <si>
    <t>RLB OFFICE FITOUT MELBOURNE</t>
  </si>
  <si>
    <t>SAMPLE ROOM SYDNEY - 2025</t>
  </si>
  <si>
    <t>Please note the weeks below changed values post submission</t>
  </si>
  <si>
    <t>Looks like certain projects has a closed date that was subsequently changed - i.e. project 3531 was 05/06 then amended to 13/06</t>
  </si>
  <si>
    <t>PRO-000003594</t>
  </si>
  <si>
    <t>PRO-000003579</t>
  </si>
  <si>
    <t>PRO-000003586</t>
  </si>
  <si>
    <t>PRO-000003592</t>
  </si>
  <si>
    <t>PRO-000003603</t>
  </si>
  <si>
    <t>PRO-000003619</t>
  </si>
  <si>
    <t>PRO-000003622</t>
  </si>
  <si>
    <t>PRO-000003532</t>
  </si>
  <si>
    <t>PRO-000003553</t>
  </si>
  <si>
    <t>PRO-000003578</t>
  </si>
  <si>
    <t>PRO-000003588</t>
  </si>
  <si>
    <t>PRO-000003591</t>
  </si>
  <si>
    <t>PRO-000003600</t>
  </si>
  <si>
    <t>PRO-000003605</t>
  </si>
  <si>
    <t>PRO-000003614</t>
  </si>
  <si>
    <t>PRO-000003621</t>
  </si>
  <si>
    <t>PRO-000003629</t>
  </si>
  <si>
    <t>PRO-000003597</t>
  </si>
  <si>
    <t>PRO-000003559</t>
  </si>
  <si>
    <t>PRO-000003569</t>
  </si>
  <si>
    <t>PRO-000003584</t>
  </si>
  <si>
    <t>PRO-000003598</t>
  </si>
  <si>
    <t>PRO-000003607</t>
  </si>
  <si>
    <t>PRO-000003615</t>
  </si>
  <si>
    <t>PRO-000003595</t>
  </si>
  <si>
    <t>PRO-000003625</t>
  </si>
  <si>
    <t>PRO-000003430</t>
  </si>
  <si>
    <t>PRO-000003613</t>
  </si>
  <si>
    <t>PRO-000003624</t>
  </si>
  <si>
    <t>PRO-000003626</t>
  </si>
  <si>
    <t>PRO-000003627</t>
  </si>
  <si>
    <t>PRO-000003640</t>
  </si>
  <si>
    <t>PRO-000003641</t>
  </si>
  <si>
    <t>PRO-000003606</t>
  </si>
  <si>
    <t>PRO-000003610</t>
  </si>
  <si>
    <t>PRO-000003611</t>
  </si>
  <si>
    <t>PRO-000003623</t>
  </si>
  <si>
    <t>333 W CAMDEN ST ORIOLE PARK PRESS CLUB</t>
  </si>
  <si>
    <t>MEADOWHALL SHOPPING CENTRE WCS SHEFFIELD</t>
  </si>
  <si>
    <t>UNIVERSITY OF HERTFORDSHIRE TODD BUILDING</t>
  </si>
  <si>
    <t>CHARLOTTE STREET NO 80 AURUM FIT OUT FLOOR 2 LONDON</t>
  </si>
  <si>
    <t>ALDERMANBURY SQUARE NO 2 CLIFFORD CHANCE FIT-OUT LONDON</t>
  </si>
  <si>
    <t>VICTORIA STREET NO 1 LONDON</t>
  </si>
  <si>
    <t>LONDON WALL PLACE NO 2 LEVEL 4 LOGITECH FIT OUT LONDON</t>
  </si>
  <si>
    <t>TOOLEY STREET NO 155 REFURB LONDON</t>
  </si>
  <si>
    <t>LEADENHALL STREET NO 40 CHUBB FITOUT PH2 FLOOR 12 LONDON</t>
  </si>
  <si>
    <t>CRAYFIELDS BUSINESS PARK UNIT 4.01 ORPINGTON</t>
  </si>
  <si>
    <t>923-927 5TH ST NW 5TH &amp; K HOTEL ALOFT WASHINGTON DC</t>
  </si>
  <si>
    <t>PRO-000003384</t>
  </si>
  <si>
    <t>AMERICAN TOWER 222 BERKELEY ST FLOORS 6 &amp; 7</t>
  </si>
  <si>
    <t>UMC BOARDROOM EL PASO</t>
  </si>
  <si>
    <t>ANAM PERFORMANCE STUDIO</t>
  </si>
  <si>
    <t>BABY BUNTING STORES AUSTRALIA</t>
  </si>
  <si>
    <t>PRO-000003649</t>
  </si>
  <si>
    <t>ANGEL PLACE - LEVEL 9</t>
  </si>
  <si>
    <t>PRO-000003636</t>
  </si>
  <si>
    <t>GROSVENOR HOUSE SUITES PARK LANE NO 86 LONDON</t>
  </si>
  <si>
    <t>PRO-000003681</t>
  </si>
  <si>
    <t>MORE LONDON RIVERSIDE NO 7 FLOOR 10 PWC LONDON</t>
  </si>
  <si>
    <t>BRABAZON OFFICE AND STATION BRISTOL</t>
  </si>
  <si>
    <t>PRO-000003602</t>
  </si>
  <si>
    <t>PRO-000003637</t>
  </si>
  <si>
    <t>PRO-000003643</t>
  </si>
  <si>
    <t>DEVONSHIRE SQUARE NO 7 FLOOR 5 TWO SIGMA LONDON</t>
  </si>
  <si>
    <t>PRO-000003652</t>
  </si>
  <si>
    <t>PRO-000003654</t>
  </si>
  <si>
    <t>UNI OF SOUTHAMPTON NORTH EAST QUADRANT B142</t>
  </si>
  <si>
    <t>PRO-000003665</t>
  </si>
  <si>
    <t>PRO-000003666</t>
  </si>
  <si>
    <t>VICTORIA STREET NO 171 REFURBISHMENT LONDON</t>
  </si>
  <si>
    <t>PRO-000003667</t>
  </si>
  <si>
    <t>PRO-000003671</t>
  </si>
  <si>
    <t>PRO-000003645</t>
  </si>
  <si>
    <t>PRO-000003672</t>
  </si>
  <si>
    <t>WITAN GATE HOUSE REFURB PHASE 2 LIFT LOBBY MILTON KEYNES</t>
  </si>
  <si>
    <t>PRO-000003644</t>
  </si>
  <si>
    <t>GPE LIGNE 15 - LA DEFENSE</t>
  </si>
  <si>
    <t>PRO-000003647</t>
  </si>
  <si>
    <t>ORACLE- NORTH RIVER NASHVILLE, TN</t>
  </si>
  <si>
    <t>PRO-000003662</t>
  </si>
  <si>
    <t>PHMS NEW PEDIATRIC CAMPUS DALLAS</t>
  </si>
  <si>
    <t>PRO-000002906</t>
  </si>
  <si>
    <t>PRO-000003617</t>
  </si>
  <si>
    <t>PRO-000003630</t>
  </si>
  <si>
    <t>NYU GOULD PLAZA</t>
  </si>
  <si>
    <t>PRO-000003634</t>
  </si>
  <si>
    <t>PRO-000003661</t>
  </si>
  <si>
    <t>CLARENCE STREET NO 155 L2</t>
  </si>
  <si>
    <t>PRO-000003650</t>
  </si>
  <si>
    <t>BDO MELBOURNE</t>
  </si>
  <si>
    <t>PRO-000003669</t>
  </si>
  <si>
    <t>ROUSE HILL TOWN CENTRE NORTH RETAIL EXPANSION STAGE 1</t>
  </si>
  <si>
    <t>PRO-000003632</t>
  </si>
  <si>
    <t>PRO-000003658</t>
  </si>
  <si>
    <t>PRO-000003677</t>
  </si>
  <si>
    <t>PRO-000003540</t>
  </si>
  <si>
    <t>PRO-000003616</t>
  </si>
  <si>
    <t>PRO-000003635</t>
  </si>
  <si>
    <t>PRO-000003639</t>
  </si>
  <si>
    <t>PRO-000003646</t>
  </si>
  <si>
    <t>VIVIENDAS ALTO ARENAL MADRID</t>
  </si>
  <si>
    <t>PRO-000003659</t>
  </si>
  <si>
    <t>PRO-000003555</t>
  </si>
  <si>
    <t>PRO-000003655</t>
  </si>
  <si>
    <t>PRO-000003660</t>
  </si>
  <si>
    <t>PRO-000003678</t>
  </si>
  <si>
    <t>PRO-000003682</t>
  </si>
  <si>
    <t>PRO-000003664</t>
  </si>
  <si>
    <t>PRO-000003670</t>
  </si>
  <si>
    <t>PRO-000003680</t>
  </si>
  <si>
    <t>PRO-000003684</t>
  </si>
  <si>
    <t>PRO-000003697</t>
  </si>
  <si>
    <t>PRO-000003699</t>
  </si>
  <si>
    <t>PRO-000003683</t>
  </si>
  <si>
    <t>PRO-000003685</t>
  </si>
  <si>
    <t>PRO-000003508</t>
  </si>
  <si>
    <t>PRO-000003631</t>
  </si>
  <si>
    <t>PRO-000002263</t>
  </si>
  <si>
    <t>PRO-000003593</t>
  </si>
  <si>
    <t>PRO-000003609</t>
  </si>
  <si>
    <t>PRO-000003638</t>
  </si>
  <si>
    <t>PRO-000003702</t>
  </si>
  <si>
    <t>PRO-000003709</t>
  </si>
  <si>
    <t>PRO-000003648</t>
  </si>
  <si>
    <t>PRO-000003689</t>
  </si>
  <si>
    <t>PRO-000003698</t>
  </si>
  <si>
    <t>PRO-000003673</t>
  </si>
  <si>
    <t>PRO-000003674</t>
  </si>
  <si>
    <t>PRO-000003651</t>
  </si>
  <si>
    <t>PRO-000003663</t>
  </si>
  <si>
    <t>PRO-000003694</t>
  </si>
  <si>
    <t>PRO-000003701</t>
  </si>
  <si>
    <t>MAKE ARCHITECTS FABRIC RAFTS 32 CLEVELAND ST STUDIO LONDON</t>
  </si>
  <si>
    <t>COOPER HOUSE COVENTRY</t>
  </si>
  <si>
    <t>ONE EASTSIDE TOWER A SKYLOUNGE BIRMINGHAM</t>
  </si>
  <si>
    <t>NDA PROJECT CADILLAC F1 SILVERSTONE</t>
  </si>
  <si>
    <t>PETERBOROUGH COURT FLEET STREET CAT B DAIWA LONDON</t>
  </si>
  <si>
    <t>GPE - SAINT MAUR CRETEIL STATION</t>
  </si>
  <si>
    <t>TRAM OBSERVATOIRE</t>
  </si>
  <si>
    <t>HOBBY AIRPORT WEST CONCOURSE HOUSTON TX</t>
  </si>
  <si>
    <t>5TH AVENUE NO 665 ROLEX HQ NEW YORK</t>
  </si>
  <si>
    <t>OHARE AIRPORT TERMINAL 3 L CONCOURSE UPGRADE</t>
  </si>
  <si>
    <t>DETROIT CONFIDENTIAL FINANCIAL HQ PROJECT-LEVEL 8</t>
  </si>
  <si>
    <t>ALLENS</t>
  </si>
  <si>
    <t>Row Labels</t>
  </si>
  <si>
    <t>PRO-000003676</t>
  </si>
  <si>
    <t>PRO-000003691</t>
  </si>
  <si>
    <t>PRO-000003705</t>
  </si>
  <si>
    <t>PRO-000003707</t>
  </si>
  <si>
    <t>PRO-000003481</t>
  </si>
  <si>
    <t>PRO-000003653</t>
  </si>
  <si>
    <t>PRO-000003696</t>
  </si>
  <si>
    <t>PRO-000003714</t>
  </si>
  <si>
    <t>PRO-000003727</t>
  </si>
  <si>
    <t>PRO-000003726</t>
  </si>
  <si>
    <t>PRO-000002638</t>
  </si>
  <si>
    <t>PRO-000003580</t>
  </si>
  <si>
    <t>PRO-000003695</t>
  </si>
  <si>
    <t>PRO-000003706</t>
  </si>
  <si>
    <t>PRO-000003708</t>
  </si>
  <si>
    <t>PRO-000003717</t>
  </si>
  <si>
    <t>PRO-000003737</t>
  </si>
  <si>
    <t>PRO-000003688</t>
  </si>
  <si>
    <t>PRO-000003713</t>
  </si>
  <si>
    <t>PRO-000003735</t>
  </si>
  <si>
    <t>PRO-000003668</t>
  </si>
  <si>
    <t>PRO-000003741</t>
  </si>
  <si>
    <t>PRO-000003628</t>
  </si>
  <si>
    <t>PRO-000003687</t>
  </si>
  <si>
    <t>PRO-000003710</t>
  </si>
  <si>
    <t>BERKELEY STREET NO 12 REFURB LONDON</t>
  </si>
  <si>
    <t>MBDA BUILDING 4500 STEVENAGE</t>
  </si>
  <si>
    <t>EXCHANGE SQUARE NO 1 CAT A REFURB LONDON</t>
  </si>
  <si>
    <t>WHITEHALL RIVERSIDE NO 2 LEEDS</t>
  </si>
  <si>
    <t>BLOOMBERG RUE SCRIBE REFURBISHMENT PARIS 2025</t>
  </si>
  <si>
    <t>HUDSON YARDS 30 WELLS FARGO, 64TH FLOOR CAFE, NEW YORK</t>
  </si>
  <si>
    <t>PROJECT CUCUMBER (CONFIDENTIAL)</t>
  </si>
  <si>
    <t>BROADWAY 1585 MORGAN STANLEY AMENITY FLRS NEW YORK</t>
  </si>
  <si>
    <t>TRENT UNIVERSITY STUDENT RESIDENCE AND COLLEGE PETERBOROUGH</t>
  </si>
  <si>
    <t>SIKLA ARROYOMOLINOS</t>
  </si>
  <si>
    <t>PRO-000003608</t>
  </si>
  <si>
    <t>PRO-000003679</t>
  </si>
  <si>
    <t>PRO-000003690</t>
  </si>
  <si>
    <t>PRO-000003753</t>
  </si>
  <si>
    <t>PRO-000003754</t>
  </si>
  <si>
    <t>PRO-000003716</t>
  </si>
  <si>
    <t>PRO-000003715</t>
  </si>
  <si>
    <t>PRO-000003731</t>
  </si>
  <si>
    <t>PRO-000003732</t>
  </si>
  <si>
    <t>PRO-000003740</t>
  </si>
  <si>
    <t>PRO-000003745</t>
  </si>
  <si>
    <t>PRO-000003751</t>
  </si>
  <si>
    <t>PRO-000003757</t>
  </si>
  <si>
    <t>PRO-000003771</t>
  </si>
  <si>
    <t>PRO-000003739</t>
  </si>
  <si>
    <t>PRO-000003387</t>
  </si>
  <si>
    <t>PRO-000003483</t>
  </si>
  <si>
    <t>PRO-000003574</t>
  </si>
  <si>
    <t>PRO-000003747</t>
  </si>
  <si>
    <t>PRO-000003675</t>
  </si>
  <si>
    <t>PRO-000003743</t>
  </si>
  <si>
    <t>PRO-000003744</t>
  </si>
  <si>
    <t>PRO-000003755</t>
  </si>
  <si>
    <t>PRO-000003762</t>
  </si>
  <si>
    <t>PRO-000003775</t>
  </si>
  <si>
    <t>PRO-000003712</t>
  </si>
  <si>
    <t>PRO-000003729</t>
  </si>
  <si>
    <t>PRO-000003730</t>
  </si>
  <si>
    <t>PRO-000003736</t>
  </si>
  <si>
    <t>PRO-000003756</t>
  </si>
  <si>
    <t>PRO-000003765</t>
  </si>
  <si>
    <t>PRO-000003766</t>
  </si>
  <si>
    <t>PRO-000003767</t>
  </si>
  <si>
    <t>PRO-000003779</t>
  </si>
  <si>
    <t>PRO-000003692</t>
  </si>
  <si>
    <t>PRO-000003703</t>
  </si>
  <si>
    <t>PRO-000003704</t>
  </si>
  <si>
    <t>PRO-000003700</t>
  </si>
  <si>
    <t>PRO-000003722</t>
  </si>
  <si>
    <t>PRO-000003723</t>
  </si>
  <si>
    <t>PRO-000003718</t>
  </si>
  <si>
    <t>REPSOL 2026 PLAN MADRID</t>
  </si>
  <si>
    <t>GEORGE W BUSH INTL AIRPORT IAH-PROCESSOR MOCK-UPS</t>
  </si>
  <si>
    <t>RIVERBANK HOUSE SWAN LANE FLOOR 9 FIELDFISHER LONDON</t>
  </si>
  <si>
    <t>LEXINGTON STREET NO 28-32 LONDON</t>
  </si>
  <si>
    <t>HEATHROW T5 LEVEL 10 UK BORDER FORCE HOLDING ROOM</t>
  </si>
  <si>
    <t>1325 AVE OF THE AMERICAS, FLR 11</t>
  </si>
  <si>
    <t>UMASS SUSTAINABLE  ENGINEERING  LABORATORIES</t>
  </si>
  <si>
    <t>KMART GROUP MELBOURNE HEAD OFFICE FITOUT</t>
  </si>
  <si>
    <t>CHARLES GARDINER HOSPITAL STAGE ONE</t>
  </si>
  <si>
    <t>COLLINS STREET NO 260 LEVEL 2</t>
  </si>
  <si>
    <t>TECHTRONIC INDUSTRIES TTI</t>
  </si>
  <si>
    <t>AGL FITOUT</t>
  </si>
  <si>
    <t>MELBOURNE AIRPORT T2 SCREENING</t>
  </si>
  <si>
    <t>HEART OF PORTO PORTUGAL</t>
  </si>
  <si>
    <t>PARK HOUSE APARTMENTS REFURB NORTH ROW LONDON</t>
  </si>
  <si>
    <t>AVENUE OF THE AMERICAS 1345 PAUL WEISS</t>
  </si>
  <si>
    <t>LUANDA MEMORIAL</t>
  </si>
  <si>
    <t>PRO-000003783</t>
  </si>
  <si>
    <t>PRO-000003749</t>
  </si>
  <si>
    <t>PRO-000003781</t>
  </si>
  <si>
    <t>MANCHESTER AIRPORT T2 EAST WING NEW DEVELOPMENT</t>
  </si>
  <si>
    <t>PRO-000003721</t>
  </si>
  <si>
    <t>CITY POINT L1 AND LGF HAYMARKET TERRACE NO 65 EDINBURGH</t>
  </si>
  <si>
    <t>PRO-000003738</t>
  </si>
  <si>
    <t>SPRING GARDENS NO 40 FLR 2 MANCHESTER</t>
  </si>
  <si>
    <t>PRO-000003742</t>
  </si>
  <si>
    <t>ABBEY ROAD STUDIOS REFURB LONDON</t>
  </si>
  <si>
    <t>PRO-000003761</t>
  </si>
  <si>
    <t>PRO-000003772</t>
  </si>
  <si>
    <t>BISHOPSGATE NO 155 FLRS 9-12 AKIN FIT OUT LONDON</t>
  </si>
  <si>
    <t>PRO-000003774</t>
  </si>
  <si>
    <t>PRO-000003789</t>
  </si>
  <si>
    <t>PRO-000003788</t>
  </si>
  <si>
    <t>OXFORD SCIENCE PARK PLOTS NO 23-25 OXFORD LIGHTING</t>
  </si>
  <si>
    <t>PRO-000003799</t>
  </si>
  <si>
    <t>GATWICK NORTH TERMINAL PIER 6 EXTENSION</t>
  </si>
  <si>
    <t>PRO-000003801</t>
  </si>
  <si>
    <t>ELLISON INSTITUTE TRANSFORMATIVE MEDICINE RESEARCH CAMPUS</t>
  </si>
  <si>
    <t>PRO-000003806</t>
  </si>
  <si>
    <t>PORTMAN SQUARE NO 40 LEVEL 1-3 CPPIB FIT OUT LONDON</t>
  </si>
  <si>
    <t>PRO-000003807</t>
  </si>
  <si>
    <t>PRO-000003724</t>
  </si>
  <si>
    <t>PRO-000003728</t>
  </si>
  <si>
    <t>6100 MAIN STREET STE 480, HOUSTON, TX 77005- PHASE 1</t>
  </si>
  <si>
    <t>PRO-000003734</t>
  </si>
  <si>
    <t>PRO-000003780</t>
  </si>
  <si>
    <t>PRO-000003790</t>
  </si>
  <si>
    <t>PRO-000003794</t>
  </si>
  <si>
    <t>PRO-000003823</t>
  </si>
  <si>
    <t>NEXT DC S4</t>
  </si>
  <si>
    <t>PRO-000003768</t>
  </si>
  <si>
    <t>PRO-000003784</t>
  </si>
  <si>
    <t>PRO-000003785</t>
  </si>
  <si>
    <t>PRO-000003786</t>
  </si>
  <si>
    <t>PRO-000003811</t>
  </si>
  <si>
    <t>PRO-000003812</t>
  </si>
  <si>
    <t>PRO-000003822</t>
  </si>
  <si>
    <t>PRO-000003791</t>
  </si>
  <si>
    <t>LAGOS BOUTIQUE HOTEL</t>
  </si>
  <si>
    <t>PRO-000003686</t>
  </si>
  <si>
    <t>PRO-000003711</t>
  </si>
  <si>
    <t>HACIENDA AUDITORIO BARCELONA</t>
  </si>
  <si>
    <t>PRO-000003748</t>
  </si>
  <si>
    <t>PRO-000003795</t>
  </si>
  <si>
    <t>DEGROOTE SCHOOL OF BUSINESS HAMILTON LEVELS 6 &amp; 9</t>
  </si>
  <si>
    <t>1306 MAIN STREET  REDWOOD CITY CA</t>
  </si>
  <si>
    <t>OPTIMA AMR DEVELOPMENT PROJECT</t>
  </si>
  <si>
    <t>PRO-000003752</t>
  </si>
  <si>
    <t>PETERBOROUGH COURT FLEET STREET CAT B DAIWA FABRIC LONDON</t>
  </si>
  <si>
    <t>PRO-000003758</t>
  </si>
  <si>
    <t>OLD BROAD STREET NO 55 DEVELOPMENT LONDON</t>
  </si>
  <si>
    <t>PRO-000003776</t>
  </si>
  <si>
    <t>PRO-000003782</t>
  </si>
  <si>
    <t>PRO-000003787</t>
  </si>
  <si>
    <t>PALMER STREET NO 21 ASTICUS BUILDING NESO LONDON</t>
  </si>
  <si>
    <t>PRO-000003792</t>
  </si>
  <si>
    <t>PRO-000003798</t>
  </si>
  <si>
    <t>OXFORD STREET NO 334-348 CAT B BDO LONDON</t>
  </si>
  <si>
    <t>PRO-000003802</t>
  </si>
  <si>
    <t>PRO-000003803</t>
  </si>
  <si>
    <t>CRESCENT HOUSE GOLDEN LANE ESTATE REFURB LONDON</t>
  </si>
  <si>
    <t>PRO-000003804</t>
  </si>
  <si>
    <t>PRO-000003808</t>
  </si>
  <si>
    <t>URBANEST TRAFALGAR WAY NO 2 LONDON</t>
  </si>
  <si>
    <t>PRO-000003815</t>
  </si>
  <si>
    <t>PRO-000003814</t>
  </si>
  <si>
    <t>PRO-000003818</t>
  </si>
  <si>
    <t>THAVIES INN HOUSE HOLBORN CIRCUS NO 1 LONDON</t>
  </si>
  <si>
    <t>PRO-000003837</t>
  </si>
  <si>
    <t>PRO-000003838</t>
  </si>
  <si>
    <t>PRO-000003809</t>
  </si>
  <si>
    <t>PRO-000003733</t>
  </si>
  <si>
    <t>SCIENCE DR. 100.DURHAM.NC DUKE HUDSON</t>
  </si>
  <si>
    <t>PRO-000003816</t>
  </si>
  <si>
    <t>PRO-000003833</t>
  </si>
  <si>
    <t>PRO-000003797</t>
  </si>
  <si>
    <t>PRO-000003800</t>
  </si>
  <si>
    <t>HIGHWAY 225 NO 5900 DEER PARK 77536 PHASE 2</t>
  </si>
  <si>
    <t>PRO-000003829</t>
  </si>
  <si>
    <t>PRO-000003840</t>
  </si>
  <si>
    <t>PRO-000003820</t>
  </si>
  <si>
    <t>PRO-000003825</t>
  </si>
  <si>
    <t>PRO-000003828</t>
  </si>
  <si>
    <t>WESTERN SYDNEY AIRPORT NANCY BIRD WALTON</t>
  </si>
  <si>
    <t>PRO-000003846</t>
  </si>
  <si>
    <t>PRO-000003582</t>
  </si>
  <si>
    <t>CENTRO COMERCIAL BREOGAN CORUÑA</t>
  </si>
  <si>
    <t>PRO-000003764</t>
  </si>
  <si>
    <t>02036 PROJECT CADDELL</t>
  </si>
  <si>
    <t>PRO-000003841</t>
  </si>
  <si>
    <t>HEATHROW T5 WATCHES OF SWITZERLAND STORE</t>
  </si>
  <si>
    <t>PRO-000003805</t>
  </si>
  <si>
    <t>COTTONS CENTRE CAT A FLOOR 4 LONDON</t>
  </si>
  <si>
    <t>PRO-000003845</t>
  </si>
  <si>
    <t>PRO-000003876</t>
  </si>
  <si>
    <t>PRO-000003862</t>
  </si>
  <si>
    <t>BELLEVUE RAIL DEPOT</t>
  </si>
  <si>
    <t>PRO-000003871</t>
  </si>
  <si>
    <t>BARANGAROO T1 L27</t>
  </si>
  <si>
    <t>PRO-000003877</t>
  </si>
  <si>
    <t>ST JOHN OF GOD SUBIACO</t>
  </si>
  <si>
    <t>PRO-000003777</t>
  </si>
  <si>
    <t>PRO-000003855</t>
  </si>
  <si>
    <t>PRO-000003863</t>
  </si>
  <si>
    <t>PRO-000003865</t>
  </si>
  <si>
    <t>PRO-000003827</t>
  </si>
  <si>
    <t>APPOLD STREET NO 1 RECEPTION CLADDING LONDON</t>
  </si>
  <si>
    <t>PRO-000003859</t>
  </si>
  <si>
    <t>PRO-000003861</t>
  </si>
  <si>
    <t>PRO-000003898</t>
  </si>
  <si>
    <t>PRO-000003867</t>
  </si>
  <si>
    <t>PRO-000003886</t>
  </si>
  <si>
    <t>PRO-000003887</t>
  </si>
  <si>
    <t>PRO-000003895</t>
  </si>
  <si>
    <t>PRO-000003842</t>
  </si>
  <si>
    <t>NEW HERTFORDSHIRE POLICE HQ WELWYN GARDEN CITY</t>
  </si>
  <si>
    <t>TREEHOUSE HOTEL BLACKFRIARS STREET MANCHESTER</t>
  </si>
  <si>
    <t>ATLANTIC AVENUE 640-750 BOSTON</t>
  </si>
  <si>
    <t>COSM DETROIT</t>
  </si>
  <si>
    <t>ST GEORGE ILLAWARRA DRAGONS CHPC WOLLONGONG</t>
  </si>
  <si>
    <t>PRO-000003866</t>
  </si>
  <si>
    <t>PRO-000003796</t>
  </si>
  <si>
    <t>PRO-000003810</t>
  </si>
  <si>
    <t>PRO-000003817</t>
  </si>
  <si>
    <t>PRO-000003819</t>
  </si>
  <si>
    <t>PRO-000003826</t>
  </si>
  <si>
    <t>PRO-000003830</t>
  </si>
  <si>
    <t>PRO-000003832</t>
  </si>
  <si>
    <t>PRO-000003843</t>
  </si>
  <si>
    <t>PRO-000003844</t>
  </si>
  <si>
    <t>PRO-000003849</t>
  </si>
  <si>
    <t>PRO-000003850</t>
  </si>
  <si>
    <t>PRO-000003857</t>
  </si>
  <si>
    <t>PRO-000003858</t>
  </si>
  <si>
    <t>PRO-000003869</t>
  </si>
  <si>
    <t>PRO-000003868</t>
  </si>
  <si>
    <t>PRO-000003878</t>
  </si>
  <si>
    <t>PRO-000003880</t>
  </si>
  <si>
    <t>PRO-000003882</t>
  </si>
  <si>
    <t>PRO-000003883</t>
  </si>
  <si>
    <t>PRO-000003885</t>
  </si>
  <si>
    <t>PRO-000003888</t>
  </si>
  <si>
    <t>PRO-000003890</t>
  </si>
  <si>
    <t>PRO-000003892</t>
  </si>
  <si>
    <t>PRO-000003914</t>
  </si>
  <si>
    <t>PRO-000003839</t>
  </si>
  <si>
    <t>PRO-000003879</t>
  </si>
  <si>
    <t>PRO-000003891</t>
  </si>
  <si>
    <t>PRO-000003905</t>
  </si>
  <si>
    <t>PRO-000003913</t>
  </si>
  <si>
    <t>PRO-000003759</t>
  </si>
  <si>
    <t>PRO-000003847</t>
  </si>
  <si>
    <t>PRO-000003853</t>
  </si>
  <si>
    <t>PRO-000003860</t>
  </si>
  <si>
    <t>PRO-000003874</t>
  </si>
  <si>
    <t>PRO-000003851</t>
  </si>
  <si>
    <t>PRO-000003854</t>
  </si>
  <si>
    <t>PRO-000003870</t>
  </si>
  <si>
    <t>PRO-000003884</t>
  </si>
  <si>
    <t>PRO-000003903</t>
  </si>
  <si>
    <t>PRO-000003907</t>
  </si>
  <si>
    <t>PRO-000003912</t>
  </si>
  <si>
    <t>PRO-000003770</t>
  </si>
  <si>
    <t>PRO-000003896</t>
  </si>
  <si>
    <t>PRO-000003901</t>
  </si>
  <si>
    <t>PRO-000003906</t>
  </si>
  <si>
    <t>PRO-000003908</t>
  </si>
  <si>
    <t>PRO-000003917</t>
  </si>
  <si>
    <t>PRO-000003725</t>
  </si>
  <si>
    <t>PRO-000003831</t>
  </si>
  <si>
    <t>PRO-000003836</t>
  </si>
  <si>
    <t>PRO-000003856</t>
  </si>
  <si>
    <t>PRO-000003881</t>
  </si>
  <si>
    <t>PRO-000003763</t>
  </si>
  <si>
    <t>PRO-000003897</t>
  </si>
  <si>
    <t>PRO-000003899</t>
  </si>
  <si>
    <t>PRO-000003910</t>
  </si>
  <si>
    <t>PRO-000003911</t>
  </si>
  <si>
    <t>MADDOX STREET NO 31 - 33 CAT A LONDON</t>
  </si>
  <si>
    <t>EDINBURGH QUAYSIDE 1 L0A FCA FITOUT EDINBURGH</t>
  </si>
  <si>
    <t>UNI OF CAMBRIDGE RPU FLOOR 1</t>
  </si>
  <si>
    <t>SHEFFIELD ARENA PHASE 1</t>
  </si>
  <si>
    <t>OVERDALE HOSPITAL JERSEY NDA LIGHTING</t>
  </si>
  <si>
    <t>UNI OF LIVERPOOL SCHOOL OF ARCHITECTURE EXTENSION</t>
  </si>
  <si>
    <t>MORE LONDON NO 4 CAT B FLOOR 4 RYAN LONDON</t>
  </si>
  <si>
    <t>BISHOPSGATE NO 8 FLOOR 41 KING &amp; SPALDING LONDON</t>
  </si>
  <si>
    <t>TYPHOO WHARF REDEVELOPMENT DIGBETH BIRMINGHAM CAT A</t>
  </si>
  <si>
    <t>SOUTH MOLTON TRIANGLE DEVELOPMENT NORTH BLOCK LONDON</t>
  </si>
  <si>
    <t>MANCHESTER AIRPORT T1 STAFF CHANNEL</t>
  </si>
  <si>
    <t>KINGS ROAD NO 81-103 DEVELOPMENT LONDON</t>
  </si>
  <si>
    <t>516 MEMPHIS BROOKS ART MUSEUM</t>
  </si>
  <si>
    <t>BASILICA DA MUXIMA ANGOLA</t>
  </si>
  <si>
    <t>ESCOLA SOPHIA MELLO PORTUGAL</t>
  </si>
  <si>
    <t>L.-ILLA BY RENTAMAR BARCELONA</t>
  </si>
  <si>
    <t>CANOPIA BORDEAUX SAINT-JEAN HOTEL</t>
  </si>
  <si>
    <t>GENEVA AIRPORT - FRENCH SECTOR</t>
  </si>
  <si>
    <t>PRO-000003921</t>
  </si>
  <si>
    <t>PITTWATER RSL CLUB</t>
  </si>
  <si>
    <t>PRO-000003935</t>
  </si>
  <si>
    <t>FENCHURCH STREET NO 20 CAT A FLOOR 4 LONDON</t>
  </si>
  <si>
    <t>PRO-000003720</t>
  </si>
  <si>
    <t>PRO-000003900</t>
  </si>
  <si>
    <t>PRO-000003919</t>
  </si>
  <si>
    <t>PRO-000003929</t>
  </si>
  <si>
    <t>SALISBURY SQUARE DEVELOPMENT COMMERCIAL BUILDING LONDON</t>
  </si>
  <si>
    <t>PRO-000003936</t>
  </si>
  <si>
    <t>PRO-000003942</t>
  </si>
  <si>
    <t>PRO-000003873</t>
  </si>
  <si>
    <t>WHITFIELD STREET NO 90 FLOORS 4-5 LONDON</t>
  </si>
  <si>
    <t>PRO-000003793</t>
  </si>
  <si>
    <t>PRO-000003915</t>
  </si>
  <si>
    <t>PRO-000003930</t>
  </si>
  <si>
    <t>PRO-000003933</t>
  </si>
  <si>
    <t>VERDE BY SOBHA MIXED DEVT PLOT 3935816 JLT DUBAI</t>
  </si>
  <si>
    <t>PRO-000003922</t>
  </si>
  <si>
    <t>PRO-000003944</t>
  </si>
  <si>
    <t>PRO-000003934</t>
  </si>
  <si>
    <t>PRO-000003937</t>
  </si>
  <si>
    <t>PRO-000003945</t>
  </si>
  <si>
    <t>PRO-000003473</t>
  </si>
  <si>
    <t>PRO-000003834</t>
  </si>
  <si>
    <t>PRO-000003902</t>
  </si>
  <si>
    <t>PRO-000003927</t>
  </si>
  <si>
    <t>PRO-000003948</t>
  </si>
  <si>
    <t>PRO-000003956</t>
  </si>
  <si>
    <t>PRO-000003893</t>
  </si>
  <si>
    <t>PRO-000003894</t>
  </si>
  <si>
    <t>PRO-000003931</t>
  </si>
  <si>
    <t>PRO-000003940</t>
  </si>
  <si>
    <t>PRO-000003941</t>
  </si>
  <si>
    <t>PRO-000003938</t>
  </si>
  <si>
    <t>PRO-000003813</t>
  </si>
  <si>
    <t>PRO-000003932</t>
  </si>
  <si>
    <t>PRO-000003946</t>
  </si>
  <si>
    <t>PRO-000003953</t>
  </si>
  <si>
    <t>PRO-000003954</t>
  </si>
  <si>
    <t>PRO-000003947</t>
  </si>
  <si>
    <t>PRO-000003951</t>
  </si>
  <si>
    <t>PRO-000003923</t>
  </si>
  <si>
    <t>PRO-000003939</t>
  </si>
  <si>
    <t>PRO-000003957</t>
  </si>
  <si>
    <t>PRO-000003950</t>
  </si>
  <si>
    <t>PROJECT CAVE BROADWAY WESTMINSTER SW1 LONDON</t>
  </si>
  <si>
    <t>THE FAIRFAX PHASE 1 WALL PANELS MANCHESTER</t>
  </si>
  <si>
    <t>JPMC ARGYLE STREET GLASGOW</t>
  </si>
  <si>
    <t>ABERDEEN MARKET REDEVELOPMENT</t>
  </si>
  <si>
    <t>1165 NORWOOD FM GLOBAL</t>
  </si>
  <si>
    <t>900 N MICHIGAN TOWER - OFFICE LOBBY</t>
  </si>
  <si>
    <t>ATSIAGA ALICE SPRINGS</t>
  </si>
  <si>
    <t>QUINTA CRAVEL PORTO</t>
  </si>
  <si>
    <t>EUROPEAN INVESTMENT BANK LUXEMBOURG</t>
  </si>
  <si>
    <t>BARCELONA CAMP NOU VIP ROOMS</t>
  </si>
  <si>
    <t>BMW RENOVATION MISSISSAUGA ONTARIO</t>
  </si>
  <si>
    <t>BEDFONT LAKES BUILDING 11 CISCO CHILLED RAFTS &amp; CEILINGS</t>
  </si>
  <si>
    <t>PRO-000003909</t>
  </si>
  <si>
    <t>OLYMPIA DEVELOPMENT ONE OLYMPIA PREMIER LEAGUE LONDON</t>
  </si>
  <si>
    <t>PRO-000003904</t>
  </si>
  <si>
    <t>PRO-000003959</t>
  </si>
  <si>
    <t>BOW BELLS HOUSE BREAD STREET CAT B BRISTOWS LONDON</t>
  </si>
  <si>
    <t>PRO-000003969</t>
  </si>
  <si>
    <t>PRO-000003970</t>
  </si>
  <si>
    <t>HARROW SCHOOL SPORTS CENTRE LONDON</t>
  </si>
  <si>
    <t>PRO-000003971</t>
  </si>
  <si>
    <t>UPPER GROUND NO 76-78 CAT B PAYPAL LONDON</t>
  </si>
  <si>
    <t>PRO-000003987</t>
  </si>
  <si>
    <t>PRO-000003875</t>
  </si>
  <si>
    <t>PRO-000003889</t>
  </si>
  <si>
    <t>PRO-000003924</t>
  </si>
  <si>
    <t>PRO-000003949</t>
  </si>
  <si>
    <t>PRO-000003960</t>
  </si>
  <si>
    <t>18TH STREET 1000 COLORADO SCHOOL OF MINES EMRF</t>
  </si>
  <si>
    <t>PRO-000003965</t>
  </si>
  <si>
    <t>PRO-000003982</t>
  </si>
  <si>
    <t>PRO-000003981</t>
  </si>
  <si>
    <t>PRO-000003926</t>
  </si>
  <si>
    <t>PRO-000003955</t>
  </si>
  <si>
    <t>PRO-000003962</t>
  </si>
  <si>
    <t>PRO-000003967</t>
  </si>
  <si>
    <t>PRO-000003989</t>
  </si>
  <si>
    <t>PRO-000003974</t>
  </si>
  <si>
    <t>PRO-000003991</t>
  </si>
  <si>
    <t>CITY CENTER MIRDIF CCMI CITY KITCHEN WALL PANEL DUBAI</t>
  </si>
  <si>
    <t>PRO-000003952</t>
  </si>
  <si>
    <t>PRO-000003977</t>
  </si>
  <si>
    <t>SANCHINARRO OFICINAS MADRID</t>
  </si>
  <si>
    <t>PRO-000003964</t>
  </si>
  <si>
    <t>PRO-000003966</t>
  </si>
  <si>
    <t>PRO-000003997</t>
  </si>
  <si>
    <t>PRO-000003928</t>
  </si>
  <si>
    <t>PRO-000003963</t>
  </si>
  <si>
    <t>PRO-000003973</t>
  </si>
  <si>
    <t>PRO-000003985</t>
  </si>
  <si>
    <t>PRO-000003998</t>
  </si>
  <si>
    <t>PRO-000004002</t>
  </si>
  <si>
    <t>PRO-000004000</t>
  </si>
  <si>
    <t>PRO-000003958</t>
  </si>
  <si>
    <t>PRO-000003972</t>
  </si>
  <si>
    <t>PRO-000003988</t>
  </si>
  <si>
    <t>PRO-000003993</t>
  </si>
  <si>
    <t>PRO-000003994</t>
  </si>
  <si>
    <t>PRO-000004007</t>
  </si>
  <si>
    <t>PRO-000003983</t>
  </si>
  <si>
    <t>PRO-000003996</t>
  </si>
  <si>
    <t>PRO-000003979</t>
  </si>
  <si>
    <t>PRO-000003984</t>
  </si>
  <si>
    <t>PRO-000004009</t>
  </si>
  <si>
    <t>PRO-000004010</t>
  </si>
  <si>
    <t>MADRID AIRPORT REFURBISHMENT VIP T2</t>
  </si>
  <si>
    <t>OSNEY POWER STATION SAID BUSINESS SCHOOL OXFORD</t>
  </si>
  <si>
    <t>ONE STATION HILL CENTRICA HQ FITOUT READING</t>
  </si>
  <si>
    <t>CASTLE WHARF NOTTINGHAM</t>
  </si>
  <si>
    <t>WHITE STREET 124-125</t>
  </si>
  <si>
    <t>PRO-000003920</t>
  </si>
  <si>
    <t>PRO-000004008</t>
  </si>
  <si>
    <t>PRO-000003995</t>
  </si>
  <si>
    <t>PRO-000003986</t>
  </si>
  <si>
    <t>PRO-000004001</t>
  </si>
  <si>
    <t>PRO-000004016</t>
  </si>
  <si>
    <t>PRO-000004018</t>
  </si>
  <si>
    <t>PRO-000004030</t>
  </si>
  <si>
    <t>PRO-000004031</t>
  </si>
  <si>
    <t>PRO-000004033</t>
  </si>
  <si>
    <t>PRO-000004035</t>
  </si>
  <si>
    <t>PRO-000004051</t>
  </si>
  <si>
    <t>PRO-000003992</t>
  </si>
  <si>
    <t>PRO-000004014</t>
  </si>
  <si>
    <t>PRO-000004019</t>
  </si>
  <si>
    <t>PRO-000004027</t>
  </si>
  <si>
    <t>PRO-000004024</t>
  </si>
  <si>
    <t>PRO-000004045</t>
  </si>
  <si>
    <t>PRO-000004006</t>
  </si>
  <si>
    <t>PRO-000004038</t>
  </si>
  <si>
    <t>PRO-000004042</t>
  </si>
  <si>
    <t>PRO-000004043</t>
  </si>
  <si>
    <t>PRO-000004044</t>
  </si>
  <si>
    <t>PRO-000004048</t>
  </si>
  <si>
    <t>PRO-000004026</t>
  </si>
  <si>
    <t>PRO-000004040</t>
  </si>
  <si>
    <t>COLUMBUS COURTYARD NO 17 CAT A LONDON</t>
  </si>
  <si>
    <t>GATWICK AIRPORT NORTH TERMINAL SKYBRIDGE PIER 6 REFURB</t>
  </si>
  <si>
    <t>FARNBOROUGH AIRPORT PROJECT VARSITY</t>
  </si>
  <si>
    <t>UNI OF ST ANDREWS NEW COLLEGE ST ANDREWS</t>
  </si>
  <si>
    <t>AELTC MILLENNIUM BUILDING PHASE 2 WIMBLEDON LONDON</t>
  </si>
  <si>
    <t>BAKER STREET NO 25 CAT B PIMCO FLOORS 5-9 LONDON</t>
  </si>
  <si>
    <t>LUMINOUS OAK SEMH SCHOOL SOUTHAMPTON</t>
  </si>
  <si>
    <t>SOUTH LAS VEGAS BOULVEARD 3771 HARD ROCK LAS VEGAS</t>
  </si>
  <si>
    <t>LA CAISSE WORKPLACE</t>
  </si>
  <si>
    <t>NOVARTIS</t>
  </si>
  <si>
    <t>OD</t>
  </si>
  <si>
    <t>PRO-000004015</t>
  </si>
  <si>
    <t>PRO-000004034</t>
  </si>
  <si>
    <t>PRO-000004073</t>
  </si>
  <si>
    <t>PRO-000004012</t>
  </si>
  <si>
    <t>PRO-000004029</t>
  </si>
  <si>
    <t>PRO-000004046</t>
  </si>
  <si>
    <t>PRO-000004052</t>
  </si>
  <si>
    <t>PRO-000004055</t>
  </si>
  <si>
    <t>PRO-000004057</t>
  </si>
  <si>
    <t>PRO-000004061</t>
  </si>
  <si>
    <t>PRO-000004064</t>
  </si>
  <si>
    <t>PRO-000004066</t>
  </si>
  <si>
    <t>PRO-000004065</t>
  </si>
  <si>
    <t>PRO-000004071</t>
  </si>
  <si>
    <t>PRO-000003961</t>
  </si>
  <si>
    <t>PRO-000004020</t>
  </si>
  <si>
    <t>PRO-000004032</t>
  </si>
  <si>
    <t>PRO-000004036</t>
  </si>
  <si>
    <t>PRO-000004063</t>
  </si>
  <si>
    <t>PRO-000003990</t>
  </si>
  <si>
    <t>PRO-000004049</t>
  </si>
  <si>
    <t>PRO-000004060</t>
  </si>
  <si>
    <t>PRO-000004054</t>
  </si>
  <si>
    <t>PRO-000004011</t>
  </si>
  <si>
    <t>PRO-000004056</t>
  </si>
  <si>
    <t>PRO-000004075</t>
  </si>
  <si>
    <t>PRO-000004077</t>
  </si>
  <si>
    <t>PALMA AIRPORT EXTENSION LIGHTING</t>
  </si>
  <si>
    <t>QUEENSBERRY HOUSE OLD BURLINGTON STREET NO 3 CAT B LONDON</t>
  </si>
  <si>
    <t>NR DARLINGTON RAILWAY STATION UPGRADE</t>
  </si>
  <si>
    <t>AIR STREET NO 7 CAT A REFURB LONDON</t>
  </si>
  <si>
    <t>JERSEY AIRPORT DEPARTURES REFURBISHMENT</t>
  </si>
  <si>
    <t>ANGEL SQUARE NO 4 BNY FIT OUT MANCHESTER</t>
  </si>
  <si>
    <t>EASTBOURNE TERRACE NO 10 FLOOR 4 LONDON</t>
  </si>
  <si>
    <t>GRIMSHAW PARK SERVICE STATION KAY GROUP LIGHTING BLACKBURN</t>
  </si>
  <si>
    <t>FORT LAUDERDALE AIRPORT TERMINAL CONNECTORS, FT, FL</t>
  </si>
  <si>
    <t>LOGAN TERMINAL E MODERNIZATION GATES 17 TO 19 EXPANSION</t>
  </si>
  <si>
    <t>RESIDENTIAL PROJECT LAGOS</t>
  </si>
  <si>
    <t>PRO-000004041</t>
  </si>
  <si>
    <t>PRO-000004025</t>
  </si>
  <si>
    <t>PRO-000004095</t>
  </si>
  <si>
    <t>PRO-000004070</t>
  </si>
  <si>
    <t>PRO-000004074</t>
  </si>
  <si>
    <t>PRO-000004076</t>
  </si>
  <si>
    <t>PRO-000004086</t>
  </si>
  <si>
    <t>PRO-000004093</t>
  </si>
  <si>
    <t>PRO-000004101</t>
  </si>
  <si>
    <t>PRO-000004103</t>
  </si>
  <si>
    <t>PRO-000003978</t>
  </si>
  <si>
    <t>PRO-000004059</t>
  </si>
  <si>
    <t>PRO-000004083</t>
  </si>
  <si>
    <t>PRO-000004099</t>
  </si>
  <si>
    <t>PRO-000004072</t>
  </si>
  <si>
    <t>PRO-000004081</t>
  </si>
  <si>
    <t>PRO-000004062</t>
  </si>
  <si>
    <t>PRO-000004068</t>
  </si>
  <si>
    <t>PRO-000004088</t>
  </si>
  <si>
    <t>PRO-000004089</t>
  </si>
  <si>
    <t>PRO-000004091</t>
  </si>
  <si>
    <t>RHODE ISLAND ENERGY JOHNSTON</t>
  </si>
  <si>
    <t>TOLWORTH HOSPITAL MENTAL HEALTH BUILDING</t>
  </si>
  <si>
    <t>WARWICK COURT CAT B EGYM LONDON</t>
  </si>
  <si>
    <t>PRO-000004082</t>
  </si>
  <si>
    <t>PRO-000004087</t>
  </si>
  <si>
    <t>GOLDSWORTH PLACE FORGE END NO 1 WOKING</t>
  </si>
  <si>
    <t>AUSTRALIAN INSTITUTE FOR INFECTIOUS DISEASE</t>
  </si>
  <si>
    <t>EDIFICIO EN REPUBLICA DOMINICANA</t>
  </si>
  <si>
    <t>02034 CADDELL ADDITIONAL SCOPE</t>
  </si>
  <si>
    <t>PRO-000004096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</si>
</sst>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66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 style="dotted">
        <color theme="0"/>
      </bottom>
      <diagonal/>
    </border>
    <border>
      <left/>
      <right style="dotted">
        <color theme="0"/>
      </right>
      <top style="dotted">
        <color theme="0" tint="-0.499984740745262"/>
      </top>
      <bottom style="dotted">
        <color theme="0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/>
      <right/>
      <top style="dotted">
        <color theme="0"/>
      </top>
      <bottom style="dotted">
        <color theme="0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 style="dotted">
        <color theme="0"/>
      </right>
      <top/>
      <bottom style="dotted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/>
      </top>
      <bottom/>
      <diagonal/>
    </border>
    <border>
      <left style="dotted">
        <color theme="0" tint="-0.499984740745262"/>
      </left>
      <right/>
      <top/>
      <bottom style="thin">
        <color theme="0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dotted">
        <color theme="0" tint="-0.499984740745262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indexed="64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dotted">
        <color theme="0" tint="-0.499984740745262"/>
      </right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3" fillId="34" borderId="10" xfId="0" applyFont="1" applyFill="1" applyBorder="1" applyAlignment="1">
      <alignment horizontal="center"/>
    </xf>
    <xf numFmtId="0" fontId="13" fillId="34" borderId="1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0" fontId="17" fillId="35" borderId="0" xfId="0" applyFont="1" applyFill="1"/>
    <xf numFmtId="0" fontId="16" fillId="0" borderId="0" xfId="0" applyFont="1"/>
    <xf numFmtId="0" fontId="17" fillId="35" borderId="0" xfId="0" applyFont="1" applyFill="1" applyAlignment="1">
      <alignment wrapText="1"/>
    </xf>
    <xf numFmtId="16" fontId="18" fillId="34" borderId="11" xfId="0" applyNumberFormat="1" applyFont="1" applyFill="1" applyBorder="1" applyAlignment="1">
      <alignment horizontal="center" textRotation="90"/>
    </xf>
    <xf numFmtId="0" fontId="0" fillId="37" borderId="0" xfId="0" applyFill="1"/>
    <xf numFmtId="4" fontId="0" fillId="0" borderId="0" xfId="0" applyNumberFormat="1"/>
    <xf numFmtId="0" fontId="19" fillId="34" borderId="13" xfId="0" applyFont="1" applyFill="1" applyBorder="1" applyAlignment="1">
      <alignment vertical="center"/>
    </xf>
    <xf numFmtId="0" fontId="20" fillId="38" borderId="13" xfId="0" applyFont="1" applyFill="1" applyBorder="1" applyAlignment="1">
      <alignment horizontal="center" vertical="center" wrapText="1"/>
    </xf>
    <xf numFmtId="0" fontId="0" fillId="39" borderId="0" xfId="0" applyFill="1"/>
    <xf numFmtId="0" fontId="0" fillId="39" borderId="0" xfId="0" applyFill="1" applyAlignment="1">
      <alignment horizontal="left"/>
    </xf>
    <xf numFmtId="0" fontId="0" fillId="39" borderId="14" xfId="0" applyFill="1" applyBorder="1"/>
    <xf numFmtId="0" fontId="0" fillId="40" borderId="15" xfId="0" applyFill="1" applyBorder="1"/>
    <xf numFmtId="0" fontId="0" fillId="39" borderId="15" xfId="0" applyFill="1" applyBorder="1"/>
    <xf numFmtId="0" fontId="0" fillId="39" borderId="15" xfId="0" applyFill="1" applyBorder="1" applyAlignment="1">
      <alignment horizontal="left"/>
    </xf>
    <xf numFmtId="0" fontId="0" fillId="39" borderId="0" xfId="0" applyFill="1" applyAlignment="1">
      <alignment wrapText="1"/>
    </xf>
    <xf numFmtId="0" fontId="0" fillId="39" borderId="0" xfId="0" applyFill="1" applyAlignment="1">
      <alignment textRotation="90"/>
    </xf>
    <xf numFmtId="0" fontId="21" fillId="40" borderId="17" xfId="0" applyFont="1" applyFill="1" applyBorder="1" applyAlignment="1">
      <alignment horizontal="left" vertical="center"/>
    </xf>
    <xf numFmtId="0" fontId="13" fillId="34" borderId="19" xfId="0" applyFont="1" applyFill="1" applyBorder="1"/>
    <xf numFmtId="0" fontId="13" fillId="34" borderId="13" xfId="0" applyFont="1" applyFill="1" applyBorder="1" applyAlignment="1">
      <alignment vertical="center"/>
    </xf>
    <xf numFmtId="0" fontId="19" fillId="34" borderId="20" xfId="0" applyFont="1" applyFill="1" applyBorder="1" applyAlignment="1">
      <alignment horizontal="left" vertical="center"/>
    </xf>
    <xf numFmtId="16" fontId="18" fillId="34" borderId="12" xfId="0" applyNumberFormat="1" applyFont="1" applyFill="1" applyBorder="1" applyAlignment="1">
      <alignment horizontal="center" textRotation="90"/>
    </xf>
    <xf numFmtId="0" fontId="13" fillId="34" borderId="22" xfId="0" applyFont="1" applyFill="1" applyBorder="1" applyAlignment="1">
      <alignment vertical="center"/>
    </xf>
    <xf numFmtId="0" fontId="25" fillId="41" borderId="25" xfId="0" applyFont="1" applyFill="1" applyBorder="1" applyAlignment="1">
      <alignment horizontal="center" vertical="center"/>
    </xf>
    <xf numFmtId="0" fontId="26" fillId="41" borderId="12" xfId="0" applyFont="1" applyFill="1" applyBorder="1" applyAlignment="1">
      <alignment horizontal="center" vertical="center"/>
    </xf>
    <xf numFmtId="0" fontId="25" fillId="42" borderId="28" xfId="0" applyFont="1" applyFill="1" applyBorder="1" applyAlignment="1">
      <alignment horizontal="center" vertical="center"/>
    </xf>
    <xf numFmtId="0" fontId="26" fillId="42" borderId="29" xfId="0" applyFont="1" applyFill="1" applyBorder="1" applyAlignment="1">
      <alignment horizontal="center" vertical="center"/>
    </xf>
    <xf numFmtId="0" fontId="26" fillId="42" borderId="30" xfId="0" applyFont="1" applyFill="1" applyBorder="1" applyAlignment="1">
      <alignment horizontal="center" vertical="center"/>
    </xf>
    <xf numFmtId="0" fontId="25" fillId="43" borderId="31" xfId="0" applyFont="1" applyFill="1" applyBorder="1" applyAlignment="1">
      <alignment horizontal="center" vertical="center"/>
    </xf>
    <xf numFmtId="0" fontId="26" fillId="43" borderId="33" xfId="0" applyFont="1" applyFill="1" applyBorder="1" applyAlignment="1">
      <alignment horizontal="center" vertical="center"/>
    </xf>
    <xf numFmtId="0" fontId="26" fillId="43" borderId="32" xfId="0" applyFont="1" applyFill="1" applyBorder="1" applyAlignment="1">
      <alignment horizontal="center" vertical="center"/>
    </xf>
    <xf numFmtId="0" fontId="26" fillId="43" borderId="26" xfId="0" applyFont="1" applyFill="1" applyBorder="1" applyAlignment="1">
      <alignment horizontal="center" vertical="center"/>
    </xf>
    <xf numFmtId="0" fontId="25" fillId="41" borderId="34" xfId="0" applyFont="1" applyFill="1" applyBorder="1" applyAlignment="1">
      <alignment horizontal="center" vertical="center"/>
    </xf>
    <xf numFmtId="0" fontId="26" fillId="41" borderId="35" xfId="0" applyFont="1" applyFill="1" applyBorder="1" applyAlignment="1">
      <alignment horizontal="center" vertical="center"/>
    </xf>
    <xf numFmtId="0" fontId="26" fillId="41" borderId="36" xfId="0" applyFont="1" applyFill="1" applyBorder="1" applyAlignment="1">
      <alignment horizontal="center" vertical="center"/>
    </xf>
    <xf numFmtId="164" fontId="26" fillId="41" borderId="36" xfId="1" applyNumberFormat="1" applyFont="1" applyFill="1" applyBorder="1" applyAlignment="1">
      <alignment horizontal="center" vertical="center"/>
    </xf>
    <xf numFmtId="0" fontId="20" fillId="44" borderId="0" xfId="0" applyFont="1" applyFill="1" applyAlignment="1">
      <alignment horizontal="center"/>
    </xf>
    <xf numFmtId="0" fontId="24" fillId="39" borderId="0" xfId="0" applyFont="1" applyFill="1"/>
    <xf numFmtId="0" fontId="20" fillId="36" borderId="0" xfId="0" applyFont="1" applyFill="1" applyAlignment="1">
      <alignment horizontal="center"/>
    </xf>
    <xf numFmtId="0" fontId="20" fillId="45" borderId="0" xfId="0" applyFont="1" applyFill="1" applyAlignment="1">
      <alignment horizontal="center"/>
    </xf>
    <xf numFmtId="0" fontId="0" fillId="46" borderId="0" xfId="0" applyFill="1"/>
    <xf numFmtId="0" fontId="26" fillId="43" borderId="33" xfId="0" applyFont="1" applyFill="1" applyBorder="1" applyAlignment="1">
      <alignment horizontal="left" vertical="center"/>
    </xf>
    <xf numFmtId="1" fontId="26" fillId="42" borderId="30" xfId="0" applyNumberFormat="1" applyFont="1" applyFill="1" applyBorder="1" applyAlignment="1">
      <alignment horizontal="center" vertical="center"/>
    </xf>
    <xf numFmtId="0" fontId="0" fillId="39" borderId="0" xfId="0" applyFill="1" applyAlignment="1">
      <alignment horizontal="center"/>
    </xf>
    <xf numFmtId="0" fontId="0" fillId="39" borderId="0" xfId="0" applyFill="1" applyAlignment="1">
      <alignment horizontal="center" wrapText="1"/>
    </xf>
    <xf numFmtId="164" fontId="26" fillId="41" borderId="36" xfId="1" applyNumberFormat="1" applyFont="1" applyFill="1" applyBorder="1" applyAlignment="1">
      <alignment horizontal="center"/>
    </xf>
    <xf numFmtId="0" fontId="26" fillId="42" borderId="30" xfId="0" applyFont="1" applyFill="1" applyBorder="1" applyAlignment="1">
      <alignment horizontal="center"/>
    </xf>
    <xf numFmtId="0" fontId="26" fillId="43" borderId="26" xfId="0" applyFont="1" applyFill="1" applyBorder="1" applyAlignment="1">
      <alignment horizontal="center"/>
    </xf>
    <xf numFmtId="1" fontId="26" fillId="42" borderId="30" xfId="0" applyNumberFormat="1" applyFont="1" applyFill="1" applyBorder="1" applyAlignment="1">
      <alignment horizontal="center"/>
    </xf>
    <xf numFmtId="0" fontId="26" fillId="41" borderId="36" xfId="0" applyFont="1" applyFill="1" applyBorder="1" applyAlignment="1">
      <alignment horizontal="center"/>
    </xf>
    <xf numFmtId="0" fontId="26" fillId="43" borderId="33" xfId="0" applyFont="1" applyFill="1" applyBorder="1" applyAlignment="1">
      <alignment horizontal="center"/>
    </xf>
    <xf numFmtId="3" fontId="26" fillId="42" borderId="30" xfId="1" applyNumberFormat="1" applyFont="1" applyFill="1" applyBorder="1" applyAlignment="1">
      <alignment horizontal="center"/>
    </xf>
    <xf numFmtId="2" fontId="26" fillId="42" borderId="30" xfId="0" applyNumberFormat="1" applyFont="1" applyFill="1" applyBorder="1" applyAlignment="1">
      <alignment horizontal="center"/>
    </xf>
    <xf numFmtId="0" fontId="27" fillId="0" borderId="0" xfId="0" applyFont="1"/>
    <xf numFmtId="17" fontId="0" fillId="0" borderId="0" xfId="0" applyNumberFormat="1"/>
    <xf numFmtId="0" fontId="0" fillId="38" borderId="0" xfId="0" applyFill="1"/>
    <xf numFmtId="165" fontId="0" fillId="0" borderId="0" xfId="0" applyNumberFormat="1"/>
    <xf numFmtId="0" fontId="0" fillId="37" borderId="0" xfId="0" applyFill="1" applyAlignment="1">
      <alignment horizontal="center"/>
    </xf>
    <xf numFmtId="0" fontId="28" fillId="0" borderId="0" xfId="0" applyFont="1"/>
    <xf numFmtId="14" fontId="0" fillId="37" borderId="0" xfId="0" applyNumberFormat="1" applyFill="1"/>
    <xf numFmtId="4" fontId="0" fillId="0" borderId="0" xfId="0" applyNumberFormat="1" applyAlignment="1">
      <alignment wrapText="1"/>
    </xf>
    <xf numFmtId="0" fontId="28" fillId="0" borderId="0" xfId="0" applyFont="1" applyAlignment="1">
      <alignment horizontal="center"/>
    </xf>
    <xf numFmtId="14" fontId="0" fillId="47" borderId="0" xfId="0" applyNumberFormat="1" applyFill="1"/>
    <xf numFmtId="0" fontId="0" fillId="47" borderId="0" xfId="0" applyFill="1"/>
    <xf numFmtId="0" fontId="0" fillId="0" borderId="0" xfId="0" applyAlignment="1">
      <alignment wrapText="1"/>
    </xf>
    <xf numFmtId="0" fontId="21" fillId="40" borderId="16" xfId="0" applyFont="1" applyFill="1" applyBorder="1" applyAlignment="1">
      <alignment horizontal="left" vertical="center"/>
    </xf>
    <xf numFmtId="0" fontId="21" fillId="40" borderId="17" xfId="0" applyFont="1" applyFill="1" applyBorder="1" applyAlignment="1">
      <alignment horizontal="left" vertical="center"/>
    </xf>
    <xf numFmtId="0" fontId="19" fillId="34" borderId="18" xfId="0" applyFont="1" applyFill="1" applyBorder="1" applyAlignment="1">
      <alignment horizontal="center" vertical="center" wrapText="1"/>
    </xf>
    <xf numFmtId="0" fontId="19" fillId="34" borderId="21" xfId="0" applyFont="1" applyFill="1" applyBorder="1" applyAlignment="1">
      <alignment horizontal="center" vertical="center" wrapText="1"/>
    </xf>
    <xf numFmtId="0" fontId="23" fillId="34" borderId="13" xfId="0" applyFont="1" applyFill="1" applyBorder="1" applyAlignment="1">
      <alignment vertical="center"/>
    </xf>
    <xf numFmtId="0" fontId="24" fillId="40" borderId="23" xfId="0" applyFont="1" applyFill="1" applyBorder="1" applyAlignment="1">
      <alignment horizontal="center" vertical="center" wrapText="1"/>
    </xf>
    <xf numFmtId="0" fontId="24" fillId="40" borderId="26" xfId="0" applyFont="1" applyFill="1" applyBorder="1" applyAlignment="1">
      <alignment horizontal="center" vertical="center" wrapText="1"/>
    </xf>
    <xf numFmtId="0" fontId="0" fillId="39" borderId="24" xfId="0" applyFill="1" applyBorder="1" applyAlignment="1">
      <alignment horizontal="center" wrapText="1"/>
    </xf>
    <xf numFmtId="0" fontId="0" fillId="39" borderId="27" xfId="0" applyFill="1" applyBorder="1" applyAlignment="1">
      <alignment horizontal="center" wrapText="1"/>
    </xf>
    <xf numFmtId="0" fontId="0" fillId="39" borderId="23" xfId="0" applyFill="1" applyBorder="1" applyAlignment="1">
      <alignment horizontal="center" wrapText="1"/>
    </xf>
    <xf numFmtId="0" fontId="0" fillId="39" borderId="26" xfId="0" applyFill="1" applyBorder="1" applyAlignment="1">
      <alignment horizontal="center"/>
    </xf>
    <xf numFmtId="0" fontId="24" fillId="40" borderId="37" xfId="0" applyFont="1" applyFill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0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8" tint="0.79998168889431442"/>
        </patternFill>
      </fill>
    </dxf>
    <dxf>
      <font>
        <color theme="0"/>
      </font>
      <fill>
        <patternFill>
          <bgColor theme="8" tint="0.79998168889431442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8" tint="0.59996337778862885"/>
        </patternFill>
      </fill>
    </dxf>
    <dxf>
      <numFmt numFmtId="165" formatCode="0.0"/>
    </dxf>
    <dxf>
      <numFmt numFmtId="4" formatCode="#,##0.00"/>
    </dxf>
    <dxf>
      <alignment wrapText="1"/>
    </dxf>
    <dxf>
      <numFmt numFmtId="4" formatCode="#,##0.00"/>
    </dxf>
    <dxf>
      <numFmt numFmtId="4" formatCode="#,##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sa Perrett" refreshedDate="45950.434427777778" createdVersion="8" refreshedVersion="8" minRefreshableVersion="3" recordCount="1415" xr:uid="{83D576A0-F4B1-4740-AE18-46B889C438E2}">
  <cacheSource type="worksheet">
    <worksheetSource ref="A1:G1048576" sheet="Design Days between estimate by"/>
  </cacheSource>
  <cacheFields count="7">
    <cacheField name="Proposal Request No." numFmtId="0">
      <sharedItems containsBlank="1"/>
    </cacheField>
    <cacheField name="Estimated Completion Date" numFmtId="0">
      <sharedItems containsNonDate="0" containsDate="1" containsString="0" containsBlank="1" minDate="2024-10-30T00:00:00" maxDate="2025-10-18T00:00:00"/>
    </cacheField>
    <cacheField name="On Time?" numFmtId="0">
      <sharedItems containsString="0" containsBlank="1" containsNumber="1" containsInteger="1" minValue="0" maxValue="100"/>
    </cacheField>
    <cacheField name="Record Type" numFmtId="0">
      <sharedItems containsBlank="1" count="5">
        <s v="CAD Sketch"/>
        <s v="Proposal"/>
        <s v="Shop Drawing"/>
        <s v="Hand Sketch"/>
        <m/>
      </sharedItems>
    </cacheField>
    <cacheField name="Closed Date" numFmtId="0">
      <sharedItems containsNonDate="0" containsDate="1" containsString="0" containsBlank="1" minDate="2025-01-05T00:00:00" maxDate="2025-10-18T00:00:00"/>
    </cacheField>
    <cacheField name="Sales Division" numFmtId="0">
      <sharedItems containsBlank="1"/>
    </cacheField>
    <cacheField name="week No" numFmtId="0">
      <sharedItems containsString="0" containsBlank="1" containsNumber="1" containsInteger="1" minValue="2" maxValue="42" count="42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sa Perrett" refreshedDate="45950.434469444444" createdVersion="8" refreshedVersion="8" minRefreshableVersion="3" recordCount="1218" xr:uid="{2660F98B-A502-45EE-AC4B-4E298B09577E}">
  <cacheSource type="worksheet">
    <worksheetSource ref="A1:K1048576" sheet="Weekly Closed Proposal Requests"/>
  </cacheSource>
  <cacheFields count="11">
    <cacheField name="Opened Date" numFmtId="0">
      <sharedItems containsNonDate="0" containsDate="1" containsString="0" containsBlank="1" minDate="2024-08-02T00:00:00" maxDate="2025-10-17T00:00:00"/>
    </cacheField>
    <cacheField name="Proposal Request No." numFmtId="0">
      <sharedItems containsBlank="1"/>
    </cacheField>
    <cacheField name="Project Name: Project Name" numFmtId="0">
      <sharedItems containsBlank="1"/>
    </cacheField>
    <cacheField name="Estimated Value Currency" numFmtId="0">
      <sharedItems containsBlank="1"/>
    </cacheField>
    <cacheField name="Estimated Value" numFmtId="0">
      <sharedItems containsString="0" containsBlank="1" containsNumber="1" minValue="0" maxValue="32000000"/>
    </cacheField>
    <cacheField name="Closed Date" numFmtId="0">
      <sharedItems containsNonDate="0" containsDate="1" containsString="0" containsBlank="1" minDate="2025-01-05T00:00:00" maxDate="2025-10-18T00:00:00"/>
    </cacheField>
    <cacheField name="Sales Division" numFmtId="0">
      <sharedItems containsBlank="1"/>
    </cacheField>
    <cacheField name="Record Type" numFmtId="0">
      <sharedItems containsBlank="1"/>
    </cacheField>
    <cacheField name="week No" numFmtId="0">
      <sharedItems containsString="0" containsBlank="1" containsNumber="1" containsInteger="1" minValue="2" maxValue="42" count="42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m/>
      </sharedItems>
    </cacheField>
    <cacheField name="Ex Rate" numFmtId="0">
      <sharedItems containsString="0" containsBlank="1" containsNumber="1" minValue="0.47755491881566381" maxValue="1"/>
    </cacheField>
    <cacheField name="estimate £" numFmtId="0">
      <sharedItems containsString="0" containsBlank="1" containsNumber="1" minValue="0" maxValue="24242424.2424242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5">
  <r>
    <s v="PRO-000002800"/>
    <m/>
    <n v="100"/>
    <x v="0"/>
    <d v="2025-01-05T00:00:00"/>
    <s v="Australia"/>
    <x v="0"/>
  </r>
  <r>
    <s v="PRO-000002784"/>
    <d v="2025-01-06T00:00:00"/>
    <n v="100"/>
    <x v="1"/>
    <d v="2025-01-06T00:00:00"/>
    <s v="UK"/>
    <x v="0"/>
  </r>
  <r>
    <s v="PRO-000002807"/>
    <d v="2025-01-06T00:00:00"/>
    <n v="100"/>
    <x v="1"/>
    <d v="2025-01-06T00:00:00"/>
    <s v="UK"/>
    <x v="0"/>
  </r>
  <r>
    <s v="PRO-000002795"/>
    <d v="2025-01-06T00:00:00"/>
    <n v="100"/>
    <x v="1"/>
    <d v="2025-01-06T00:00:00"/>
    <s v="France"/>
    <x v="0"/>
  </r>
  <r>
    <s v="PRO-000002769"/>
    <d v="2025-01-06T00:00:00"/>
    <n v="100"/>
    <x v="2"/>
    <d v="2025-01-06T00:00:00"/>
    <s v="USA"/>
    <x v="0"/>
  </r>
  <r>
    <s v="PRO-000002171"/>
    <d v="2025-01-06T00:00:00"/>
    <n v="100"/>
    <x v="2"/>
    <d v="2025-01-06T00:00:00"/>
    <s v="Australia"/>
    <x v="0"/>
  </r>
  <r>
    <s v="PRO-000002756"/>
    <d v="2025-01-06T00:00:00"/>
    <n v="100"/>
    <x v="2"/>
    <d v="2025-01-06T00:00:00"/>
    <s v="Australia"/>
    <x v="0"/>
  </r>
  <r>
    <s v="PRO-000002780"/>
    <d v="2025-01-06T00:00:00"/>
    <n v="100"/>
    <x v="2"/>
    <d v="2025-01-06T00:00:00"/>
    <s v="Australia"/>
    <x v="0"/>
  </r>
  <r>
    <s v="PRO-000002804"/>
    <d v="2025-01-07T00:00:00"/>
    <n v="100"/>
    <x v="1"/>
    <d v="2025-01-06T00:00:00"/>
    <s v="Rest of the World"/>
    <x v="0"/>
  </r>
  <r>
    <s v="PRO-000002810"/>
    <d v="2025-01-10T00:00:00"/>
    <n v="100"/>
    <x v="1"/>
    <d v="2025-01-06T00:00:00"/>
    <s v="Rest of the World"/>
    <x v="0"/>
  </r>
  <r>
    <s v="PRO-000002776"/>
    <d v="2025-01-07T00:00:00"/>
    <n v="100"/>
    <x v="1"/>
    <d v="2025-01-07T00:00:00"/>
    <s v="UK"/>
    <x v="0"/>
  </r>
  <r>
    <s v="PRO-000002809"/>
    <d v="2025-01-08T00:00:00"/>
    <n v="100"/>
    <x v="1"/>
    <d v="2025-01-07T00:00:00"/>
    <s v="UK"/>
    <x v="0"/>
  </r>
  <r>
    <s v="PRO-000002813"/>
    <m/>
    <n v="100"/>
    <x v="2"/>
    <d v="2025-01-07T00:00:00"/>
    <s v="Australia"/>
    <x v="0"/>
  </r>
  <r>
    <s v="PRO-000002749"/>
    <d v="2025-01-07T00:00:00"/>
    <n v="100"/>
    <x v="1"/>
    <d v="2025-01-07T00:00:00"/>
    <s v="Rest of the World"/>
    <x v="0"/>
  </r>
  <r>
    <s v="PRO-000002812"/>
    <d v="2025-01-10T00:00:00"/>
    <n v="100"/>
    <x v="1"/>
    <d v="2025-01-07T00:00:00"/>
    <s v="Rest of the World"/>
    <x v="0"/>
  </r>
  <r>
    <s v="PRO-000002808"/>
    <d v="2025-01-07T00:00:00"/>
    <n v="0"/>
    <x v="1"/>
    <d v="2025-01-08T00:00:00"/>
    <s v="UK"/>
    <x v="0"/>
  </r>
  <r>
    <s v="PRO-000002801"/>
    <d v="2025-01-13T00:00:00"/>
    <n v="100"/>
    <x v="1"/>
    <d v="2025-01-08T00:00:00"/>
    <s v="UK"/>
    <x v="0"/>
  </r>
  <r>
    <s v="PRO-000002826"/>
    <d v="2025-01-08T00:00:00"/>
    <n v="100"/>
    <x v="0"/>
    <d v="2025-01-08T00:00:00"/>
    <s v="UK"/>
    <x v="0"/>
  </r>
  <r>
    <s v="PRO-000002816"/>
    <d v="2025-01-13T00:00:00"/>
    <n v="100"/>
    <x v="1"/>
    <d v="2025-01-08T00:00:00"/>
    <s v="France"/>
    <x v="0"/>
  </r>
  <r>
    <s v="PRO-000002834"/>
    <d v="2025-01-10T00:00:00"/>
    <n v="100"/>
    <x v="1"/>
    <d v="2025-01-08T00:00:00"/>
    <s v="Rest of the World"/>
    <x v="0"/>
  </r>
  <r>
    <s v="PRO-000002797"/>
    <d v="2025-01-08T00:00:00"/>
    <n v="0"/>
    <x v="1"/>
    <d v="2025-01-09T00:00:00"/>
    <s v="UK"/>
    <x v="0"/>
  </r>
  <r>
    <s v="PRO-000002798"/>
    <d v="2025-01-09T00:00:00"/>
    <n v="100"/>
    <x v="1"/>
    <d v="2025-01-09T00:00:00"/>
    <s v="UK"/>
    <x v="0"/>
  </r>
  <r>
    <s v="PRO-000002822"/>
    <d v="2025-01-10T00:00:00"/>
    <n v="100"/>
    <x v="1"/>
    <d v="2025-01-09T00:00:00"/>
    <s v="UK"/>
    <x v="0"/>
  </r>
  <r>
    <s v="PRO-000002832"/>
    <d v="2025-01-15T00:00:00"/>
    <n v="100"/>
    <x v="1"/>
    <d v="2025-01-09T00:00:00"/>
    <s v="UK"/>
    <x v="0"/>
  </r>
  <r>
    <s v="PRO-000002781"/>
    <d v="2025-01-07T00:00:00"/>
    <n v="0"/>
    <x v="1"/>
    <d v="2025-01-09T00:00:00"/>
    <s v="USA"/>
    <x v="0"/>
  </r>
  <r>
    <s v="PRO-000002802"/>
    <d v="2025-01-09T00:00:00"/>
    <n v="100"/>
    <x v="2"/>
    <d v="2025-01-09T00:00:00"/>
    <s v="USA"/>
    <x v="0"/>
  </r>
  <r>
    <s v="PRO-000002817"/>
    <d v="2025-01-09T00:00:00"/>
    <n v="100"/>
    <x v="2"/>
    <d v="2025-01-09T00:00:00"/>
    <s v="USA"/>
    <x v="0"/>
  </r>
  <r>
    <s v="PRO-000002681"/>
    <d v="2024-12-12T00:00:00"/>
    <n v="0"/>
    <x v="1"/>
    <d v="2025-01-09T00:00:00"/>
    <s v="Rest of the World"/>
    <x v="0"/>
  </r>
  <r>
    <s v="PRO-000002840"/>
    <d v="2025-01-13T00:00:00"/>
    <n v="100"/>
    <x v="1"/>
    <d v="2025-01-10T00:00:00"/>
    <s v="UK"/>
    <x v="0"/>
  </r>
  <r>
    <s v="PRO-000002821"/>
    <d v="2025-01-17T00:00:00"/>
    <n v="100"/>
    <x v="2"/>
    <d v="2025-01-10T00:00:00"/>
    <s v="USA"/>
    <x v="0"/>
  </r>
  <r>
    <s v="PRO-000002745"/>
    <d v="2025-01-10T00:00:00"/>
    <n v="100"/>
    <x v="2"/>
    <d v="2025-01-10T00:00:00"/>
    <s v="Australia"/>
    <x v="0"/>
  </r>
  <r>
    <s v="PRO-000002811"/>
    <d v="2025-01-10T00:00:00"/>
    <n v="100"/>
    <x v="1"/>
    <d v="2025-01-10T00:00:00"/>
    <s v="Rest of the World"/>
    <x v="0"/>
  </r>
  <r>
    <s v="PRO-000002829"/>
    <d v="2025-01-10T00:00:00"/>
    <n v="100"/>
    <x v="1"/>
    <d v="2025-01-10T00:00:00"/>
    <s v="Rest of the World"/>
    <x v="0"/>
  </r>
  <r>
    <s v="PRO-000002704"/>
    <d v="2025-01-12T00:00:00"/>
    <n v="100"/>
    <x v="2"/>
    <d v="2025-01-12T00:00:00"/>
    <s v="USA"/>
    <x v="1"/>
  </r>
  <r>
    <s v="PRO-000002791"/>
    <d v="2025-02-18T00:00:00"/>
    <n v="100"/>
    <x v="2"/>
    <d v="2025-01-12T00:00:00"/>
    <s v="USA"/>
    <x v="1"/>
  </r>
  <r>
    <s v="PRO-000002818"/>
    <d v="2025-01-13T00:00:00"/>
    <n v="100"/>
    <x v="1"/>
    <d v="2025-01-13T00:00:00"/>
    <s v="UK"/>
    <x v="1"/>
  </r>
  <r>
    <s v="PRO-000002833"/>
    <d v="2025-01-15T00:00:00"/>
    <n v="100"/>
    <x v="1"/>
    <d v="2025-01-13T00:00:00"/>
    <s v="UK"/>
    <x v="1"/>
  </r>
  <r>
    <s v="PRO-000002846"/>
    <d v="2025-01-17T00:00:00"/>
    <n v="100"/>
    <x v="2"/>
    <d v="2025-01-13T00:00:00"/>
    <s v="USA"/>
    <x v="1"/>
  </r>
  <r>
    <s v="PRO-000002819"/>
    <d v="2025-01-14T00:00:00"/>
    <n v="100"/>
    <x v="1"/>
    <d v="2025-01-14T00:00:00"/>
    <s v="UK"/>
    <x v="1"/>
  </r>
  <r>
    <s v="PRO-000002835"/>
    <d v="2025-01-14T00:00:00"/>
    <n v="100"/>
    <x v="1"/>
    <d v="2025-01-14T00:00:00"/>
    <s v="UK"/>
    <x v="1"/>
  </r>
  <r>
    <s v="PRO-000002844"/>
    <d v="2025-01-16T00:00:00"/>
    <n v="100"/>
    <x v="1"/>
    <d v="2025-01-14T00:00:00"/>
    <s v="UK"/>
    <x v="1"/>
  </r>
  <r>
    <s v="PRO-000002820"/>
    <d v="2025-01-16T00:00:00"/>
    <n v="100"/>
    <x v="2"/>
    <d v="2025-01-14T00:00:00"/>
    <s v="USA"/>
    <x v="1"/>
  </r>
  <r>
    <s v="PRO-000002852"/>
    <d v="2025-01-20T00:00:00"/>
    <n v="100"/>
    <x v="1"/>
    <d v="2025-01-14T00:00:00"/>
    <s v="USA"/>
    <x v="1"/>
  </r>
  <r>
    <s v="PRO-000002788"/>
    <d v="2025-01-17T00:00:00"/>
    <n v="100"/>
    <x v="2"/>
    <d v="2025-01-15T00:00:00"/>
    <s v="UK"/>
    <x v="1"/>
  </r>
  <r>
    <s v="PRO-000002843"/>
    <m/>
    <n v="100"/>
    <x v="1"/>
    <d v="2025-01-15T00:00:00"/>
    <s v="UK"/>
    <x v="1"/>
  </r>
  <r>
    <s v="PRO-000002848"/>
    <d v="2025-01-15T00:00:00"/>
    <n v="100"/>
    <x v="1"/>
    <d v="2025-01-15T00:00:00"/>
    <s v="UK"/>
    <x v="1"/>
  </r>
  <r>
    <s v="PRO-000002825"/>
    <d v="2025-01-16T00:00:00"/>
    <n v="100"/>
    <x v="1"/>
    <d v="2025-01-15T00:00:00"/>
    <s v="France"/>
    <x v="1"/>
  </r>
  <r>
    <s v="PRO-000002857"/>
    <d v="2025-01-16T00:00:00"/>
    <n v="100"/>
    <x v="1"/>
    <d v="2025-01-15T00:00:00"/>
    <s v="Rest of the World"/>
    <x v="1"/>
  </r>
  <r>
    <s v="PRO-000002839"/>
    <d v="2025-01-16T00:00:00"/>
    <n v="100"/>
    <x v="1"/>
    <d v="2025-01-16T00:00:00"/>
    <s v="UK"/>
    <x v="1"/>
  </r>
  <r>
    <s v="PRO-000002858"/>
    <d v="2025-01-20T00:00:00"/>
    <n v="100"/>
    <x v="1"/>
    <d v="2025-01-16T00:00:00"/>
    <s v="UK"/>
    <x v="1"/>
  </r>
  <r>
    <s v="PRO-000002772"/>
    <d v="2025-01-16T00:00:00"/>
    <n v="100"/>
    <x v="1"/>
    <d v="2025-01-16T00:00:00"/>
    <s v="USA"/>
    <x v="1"/>
  </r>
  <r>
    <s v="PRO-000002830"/>
    <d v="2025-01-17T00:00:00"/>
    <n v="100"/>
    <x v="2"/>
    <d v="2025-01-16T00:00:00"/>
    <s v="USA"/>
    <x v="1"/>
  </r>
  <r>
    <s v="PRO-000002850"/>
    <m/>
    <n v="100"/>
    <x v="2"/>
    <d v="2025-01-16T00:00:00"/>
    <s v="USA"/>
    <x v="1"/>
  </r>
  <r>
    <s v="PRO-000002815"/>
    <d v="2025-01-16T00:00:00"/>
    <n v="100"/>
    <x v="1"/>
    <d v="2025-01-16T00:00:00"/>
    <s v="Australia"/>
    <x v="1"/>
  </r>
  <r>
    <s v="PRO-000002838"/>
    <m/>
    <n v="100"/>
    <x v="2"/>
    <d v="2025-01-16T00:00:00"/>
    <s v="Australia"/>
    <x v="1"/>
  </r>
  <r>
    <s v="PRO-000002793"/>
    <d v="2025-01-24T00:00:00"/>
    <n v="100"/>
    <x v="1"/>
    <d v="2025-01-16T00:00:00"/>
    <s v="Rest of the World"/>
    <x v="1"/>
  </r>
  <r>
    <s v="PRO-000002823"/>
    <d v="2025-01-17T00:00:00"/>
    <n v="100"/>
    <x v="1"/>
    <d v="2025-01-17T00:00:00"/>
    <s v="UK"/>
    <x v="1"/>
  </r>
  <r>
    <s v="PRO-000002856"/>
    <d v="2025-01-17T00:00:00"/>
    <n v="100"/>
    <x v="1"/>
    <d v="2025-01-17T00:00:00"/>
    <s v="UK"/>
    <x v="1"/>
  </r>
  <r>
    <s v="PRO-000002866"/>
    <d v="2025-01-20T00:00:00"/>
    <n v="100"/>
    <x v="0"/>
    <d v="2025-01-17T00:00:00"/>
    <s v="UK"/>
    <x v="1"/>
  </r>
  <r>
    <s v="PRO-000002837"/>
    <d v="2025-01-17T00:00:00"/>
    <n v="100"/>
    <x v="2"/>
    <d v="2025-01-17T00:00:00"/>
    <s v="USA"/>
    <x v="1"/>
  </r>
  <r>
    <s v="PRO-000002854"/>
    <d v="2025-01-24T00:00:00"/>
    <n v="100"/>
    <x v="2"/>
    <d v="2025-01-17T00:00:00"/>
    <s v="USA"/>
    <x v="1"/>
  </r>
  <r>
    <s v="PRO-000002874"/>
    <m/>
    <n v="100"/>
    <x v="0"/>
    <d v="2025-01-17T00:00:00"/>
    <s v="Australia"/>
    <x v="1"/>
  </r>
  <r>
    <s v="PRO-000002827"/>
    <d v="2025-01-17T00:00:00"/>
    <n v="100"/>
    <x v="2"/>
    <d v="2025-01-17T00:00:00"/>
    <s v="Rest of the World"/>
    <x v="1"/>
  </r>
  <r>
    <s v="PRO-000002842"/>
    <d v="2025-01-17T00:00:00"/>
    <n v="0"/>
    <x v="2"/>
    <d v="2025-01-19T00:00:00"/>
    <s v="Australia"/>
    <x v="2"/>
  </r>
  <r>
    <s v="PRO-000002766"/>
    <d v="2025-01-20T00:00:00"/>
    <n v="100"/>
    <x v="2"/>
    <d v="2025-01-20T00:00:00"/>
    <s v="UK"/>
    <x v="2"/>
  </r>
  <r>
    <s v="PRO-000002864"/>
    <d v="2025-01-28T00:00:00"/>
    <n v="100"/>
    <x v="1"/>
    <d v="2025-01-20T00:00:00"/>
    <s v="UK"/>
    <x v="2"/>
  </r>
  <r>
    <s v="PRO-000002881"/>
    <d v="2025-01-24T00:00:00"/>
    <n v="100"/>
    <x v="2"/>
    <d v="2025-01-20T00:00:00"/>
    <s v="USA"/>
    <x v="2"/>
  </r>
  <r>
    <s v="PRO-000002761"/>
    <d v="2025-01-20T00:00:00"/>
    <n v="100"/>
    <x v="2"/>
    <d v="2025-01-20T00:00:00"/>
    <s v="Australia"/>
    <x v="2"/>
  </r>
  <r>
    <s v="PRO-000002861"/>
    <d v="2025-01-22T00:00:00"/>
    <n v="100"/>
    <x v="1"/>
    <d v="2025-01-20T00:00:00"/>
    <s v="Rest of the World"/>
    <x v="2"/>
  </r>
  <r>
    <s v="PRO-000002868"/>
    <d v="2025-01-20T00:00:00"/>
    <n v="100"/>
    <x v="1"/>
    <d v="2025-01-20T00:00:00"/>
    <s v="Rest of the World"/>
    <x v="2"/>
  </r>
  <r>
    <s v="PRO-000002824"/>
    <d v="2025-01-17T00:00:00"/>
    <n v="0"/>
    <x v="1"/>
    <d v="2025-01-21T00:00:00"/>
    <s v="UK"/>
    <x v="2"/>
  </r>
  <r>
    <s v="PRO-000002876"/>
    <d v="2025-01-21T00:00:00"/>
    <n v="100"/>
    <x v="1"/>
    <d v="2025-01-21T00:00:00"/>
    <s v="UK"/>
    <x v="2"/>
  </r>
  <r>
    <s v="PRO-000002884"/>
    <d v="2025-01-23T00:00:00"/>
    <n v="100"/>
    <x v="1"/>
    <d v="2025-01-21T00:00:00"/>
    <s v="UK"/>
    <x v="2"/>
  </r>
  <r>
    <s v="PRO-000002859"/>
    <d v="2025-01-22T00:00:00"/>
    <n v="100"/>
    <x v="1"/>
    <d v="2025-01-21T00:00:00"/>
    <s v="France"/>
    <x v="2"/>
  </r>
  <r>
    <s v="PRO-000002696"/>
    <m/>
    <n v="100"/>
    <x v="1"/>
    <d v="2025-01-21T00:00:00"/>
    <s v="USA"/>
    <x v="2"/>
  </r>
  <r>
    <s v="PRO-000002790"/>
    <d v="2025-01-21T00:00:00"/>
    <n v="100"/>
    <x v="2"/>
    <d v="2025-01-21T00:00:00"/>
    <s v="USA"/>
    <x v="2"/>
  </r>
  <r>
    <s v="PRO-000002849"/>
    <d v="2025-01-23T00:00:00"/>
    <n v="100"/>
    <x v="2"/>
    <d v="2025-01-21T00:00:00"/>
    <s v="USA"/>
    <x v="2"/>
  </r>
  <r>
    <s v="PRO-000002863"/>
    <d v="2025-01-21T00:00:00"/>
    <n v="100"/>
    <x v="1"/>
    <d v="2025-01-21T00:00:00"/>
    <s v="USA"/>
    <x v="2"/>
  </r>
  <r>
    <s v="PRO-000002889"/>
    <m/>
    <n v="100"/>
    <x v="1"/>
    <d v="2025-01-21T00:00:00"/>
    <s v="USA"/>
    <x v="2"/>
  </r>
  <r>
    <s v="PRO-000002888"/>
    <m/>
    <n v="100"/>
    <x v="2"/>
    <d v="2025-01-21T00:00:00"/>
    <s v="Australia"/>
    <x v="2"/>
  </r>
  <r>
    <s v="PRO-000002880"/>
    <d v="2025-01-21T00:00:00"/>
    <n v="100"/>
    <x v="1"/>
    <d v="2025-01-21T00:00:00"/>
    <s v="Rest of the World"/>
    <x v="2"/>
  </r>
  <r>
    <s v="PRO-000002887"/>
    <d v="2025-01-23T00:00:00"/>
    <n v="100"/>
    <x v="1"/>
    <d v="2025-01-21T00:00:00"/>
    <s v="Rest of the World"/>
    <x v="2"/>
  </r>
  <r>
    <s v="PRO-000002877"/>
    <d v="2025-01-22T00:00:00"/>
    <n v="100"/>
    <x v="1"/>
    <d v="2025-01-22T00:00:00"/>
    <s v="UK"/>
    <x v="2"/>
  </r>
  <r>
    <s v="PRO-000002875"/>
    <d v="2025-01-22T00:00:00"/>
    <n v="100"/>
    <x v="0"/>
    <d v="2025-01-22T00:00:00"/>
    <s v="UK"/>
    <x v="2"/>
  </r>
  <r>
    <s v="PRO-000002879"/>
    <d v="2025-01-23T00:00:00"/>
    <n v="100"/>
    <x v="1"/>
    <d v="2025-01-22T00:00:00"/>
    <s v="UK"/>
    <x v="2"/>
  </r>
  <r>
    <s v="PRO-000002883"/>
    <d v="2025-01-22T00:00:00"/>
    <n v="100"/>
    <x v="1"/>
    <d v="2025-01-22T00:00:00"/>
    <s v="Australia"/>
    <x v="2"/>
  </r>
  <r>
    <s v="PRO-000002860"/>
    <d v="2025-01-22T00:00:00"/>
    <n v="100"/>
    <x v="1"/>
    <d v="2025-01-22T00:00:00"/>
    <s v="Rest of the World"/>
    <x v="2"/>
  </r>
  <r>
    <s v="PRO-000002890"/>
    <d v="2025-01-24T00:00:00"/>
    <n v="100"/>
    <x v="1"/>
    <d v="2025-01-23T00:00:00"/>
    <s v="UK"/>
    <x v="2"/>
  </r>
  <r>
    <s v="PRO-000002891"/>
    <d v="2025-01-28T00:00:00"/>
    <n v="100"/>
    <x v="1"/>
    <d v="2025-01-23T00:00:00"/>
    <s v="France"/>
    <x v="2"/>
  </r>
  <r>
    <s v="PRO-000002898"/>
    <d v="2025-01-24T00:00:00"/>
    <n v="100"/>
    <x v="0"/>
    <d v="2025-01-23T00:00:00"/>
    <s v="Australia"/>
    <x v="2"/>
  </r>
  <r>
    <s v="PRO-000002893"/>
    <d v="2025-01-27T00:00:00"/>
    <n v="100"/>
    <x v="1"/>
    <d v="2025-01-23T00:00:00"/>
    <s v="Rest of the World"/>
    <x v="2"/>
  </r>
  <r>
    <s v="PRO-000002901"/>
    <d v="2025-01-29T00:00:00"/>
    <n v="100"/>
    <x v="1"/>
    <d v="2025-01-23T00:00:00"/>
    <s v="Rest of the World"/>
    <x v="2"/>
  </r>
  <r>
    <s v="PRO-000002878"/>
    <d v="2025-01-22T00:00:00"/>
    <n v="0"/>
    <x v="1"/>
    <d v="2025-01-24T00:00:00"/>
    <s v="UK"/>
    <x v="2"/>
  </r>
  <r>
    <s v="PRO-000002900"/>
    <d v="2025-01-28T00:00:00"/>
    <n v="100"/>
    <x v="2"/>
    <d v="2025-01-24T00:00:00"/>
    <s v="UK"/>
    <x v="2"/>
  </r>
  <r>
    <s v="PRO-000002855"/>
    <d v="2025-01-20T00:00:00"/>
    <n v="0"/>
    <x v="1"/>
    <d v="2025-01-24T00:00:00"/>
    <s v="USA"/>
    <x v="2"/>
  </r>
  <r>
    <s v="PRO-000002869"/>
    <d v="2025-01-24T00:00:00"/>
    <n v="100"/>
    <x v="2"/>
    <d v="2025-01-24T00:00:00"/>
    <s v="USA"/>
    <x v="2"/>
  </r>
  <r>
    <s v="PRO-000002886"/>
    <d v="2025-01-24T00:00:00"/>
    <n v="100"/>
    <x v="1"/>
    <d v="2025-01-24T00:00:00"/>
    <s v="Rest of the World"/>
    <x v="2"/>
  </r>
  <r>
    <s v="PRO-000002910"/>
    <d v="2025-01-28T00:00:00"/>
    <n v="100"/>
    <x v="1"/>
    <d v="2025-01-27T00:00:00"/>
    <s v="UK"/>
    <x v="3"/>
  </r>
  <r>
    <s v="PRO-000002912"/>
    <d v="2025-01-29T00:00:00"/>
    <n v="100"/>
    <x v="1"/>
    <d v="2025-01-27T00:00:00"/>
    <s v="UK"/>
    <x v="3"/>
  </r>
  <r>
    <s v="PRO-000002873"/>
    <d v="2025-01-27T00:00:00"/>
    <n v="100"/>
    <x v="1"/>
    <d v="2025-01-27T00:00:00"/>
    <s v="USA"/>
    <x v="3"/>
  </r>
  <r>
    <s v="PRO-000002905"/>
    <d v="2025-01-29T00:00:00"/>
    <n v="100"/>
    <x v="1"/>
    <d v="2025-01-27T00:00:00"/>
    <s v="Rest of the World"/>
    <x v="3"/>
  </r>
  <r>
    <s v="PRO-000002907"/>
    <d v="2025-01-29T00:00:00"/>
    <n v="100"/>
    <x v="1"/>
    <d v="2025-01-27T00:00:00"/>
    <s v="Rest of the World"/>
    <x v="3"/>
  </r>
  <r>
    <s v="PRO-000002841"/>
    <d v="2025-01-28T00:00:00"/>
    <n v="100"/>
    <x v="1"/>
    <d v="2025-01-28T00:00:00"/>
    <s v="USA"/>
    <x v="3"/>
  </r>
  <r>
    <s v="PRO-000002904"/>
    <d v="2025-02-03T00:00:00"/>
    <n v="100"/>
    <x v="1"/>
    <d v="2025-01-28T00:00:00"/>
    <s v="USA"/>
    <x v="3"/>
  </r>
  <r>
    <s v="PRO-000002914"/>
    <d v="2025-01-29T00:00:00"/>
    <n v="100"/>
    <x v="2"/>
    <d v="2025-01-29T00:00:00"/>
    <s v="UK"/>
    <x v="3"/>
  </r>
  <r>
    <s v="PRO-000002913"/>
    <d v="2025-02-03T00:00:00"/>
    <n v="100"/>
    <x v="1"/>
    <d v="2025-01-29T00:00:00"/>
    <s v="France"/>
    <x v="3"/>
  </r>
  <r>
    <s v="PRO-000002894"/>
    <d v="2025-01-29T00:00:00"/>
    <n v="100"/>
    <x v="0"/>
    <d v="2025-01-29T00:00:00"/>
    <s v="Australia"/>
    <x v="3"/>
  </r>
  <r>
    <s v="PRO-000002911"/>
    <d v="2025-01-30T00:00:00"/>
    <n v="100"/>
    <x v="1"/>
    <d v="2025-01-30T00:00:00"/>
    <s v="UK"/>
    <x v="3"/>
  </r>
  <r>
    <s v="PRO-000002921"/>
    <d v="2025-01-30T00:00:00"/>
    <n v="100"/>
    <x v="1"/>
    <d v="2025-01-30T00:00:00"/>
    <s v="UK"/>
    <x v="3"/>
  </r>
  <r>
    <s v="PRO-000002929"/>
    <d v="2025-01-30T00:00:00"/>
    <n v="100"/>
    <x v="2"/>
    <d v="2025-01-30T00:00:00"/>
    <s v="UK"/>
    <x v="3"/>
  </r>
  <r>
    <s v="PRO-000002836"/>
    <d v="2025-01-28T00:00:00"/>
    <n v="0"/>
    <x v="2"/>
    <d v="2025-01-30T00:00:00"/>
    <s v="USA"/>
    <x v="3"/>
  </r>
  <r>
    <s v="PRO-000002771"/>
    <d v="2025-01-30T00:00:00"/>
    <n v="100"/>
    <x v="1"/>
    <d v="2025-01-30T00:00:00"/>
    <s v="USA"/>
    <x v="3"/>
  </r>
  <r>
    <s v="PRO-000002871"/>
    <d v="2025-01-30T00:00:00"/>
    <n v="100"/>
    <x v="2"/>
    <d v="2025-01-30T00:00:00"/>
    <s v="USA"/>
    <x v="3"/>
  </r>
  <r>
    <s v="PRO-000002872"/>
    <d v="2025-01-31T00:00:00"/>
    <n v="100"/>
    <x v="2"/>
    <d v="2025-01-30T00:00:00"/>
    <s v="USA"/>
    <x v="3"/>
  </r>
  <r>
    <s v="PRO-000002882"/>
    <d v="2025-01-30T00:00:00"/>
    <n v="100"/>
    <x v="1"/>
    <d v="2025-01-30T00:00:00"/>
    <s v="USA"/>
    <x v="3"/>
  </r>
  <r>
    <s v="PRO-000002902"/>
    <d v="2025-01-30T00:00:00"/>
    <n v="100"/>
    <x v="2"/>
    <d v="2025-01-30T00:00:00"/>
    <s v="USA"/>
    <x v="3"/>
  </r>
  <r>
    <s v="PRO-000002919"/>
    <d v="2025-01-30T00:00:00"/>
    <n v="100"/>
    <x v="2"/>
    <d v="2025-01-30T00:00:00"/>
    <s v="USA"/>
    <x v="3"/>
  </r>
  <r>
    <s v="PRO-000002939"/>
    <d v="2025-01-30T00:00:00"/>
    <n v="100"/>
    <x v="2"/>
    <d v="2025-01-30T00:00:00"/>
    <s v="USA"/>
    <x v="3"/>
  </r>
  <r>
    <s v="PRO-000002170"/>
    <d v="2025-01-30T00:00:00"/>
    <n v="100"/>
    <x v="2"/>
    <d v="2025-01-30T00:00:00"/>
    <s v="Australia"/>
    <x v="3"/>
  </r>
  <r>
    <s v="PRO-000002917"/>
    <d v="2025-01-31T00:00:00"/>
    <n v="100"/>
    <x v="0"/>
    <d v="2025-01-30T00:00:00"/>
    <s v="Australia"/>
    <x v="3"/>
  </r>
  <r>
    <s v="PRO-000002938"/>
    <d v="2025-01-30T00:00:00"/>
    <n v="100"/>
    <x v="0"/>
    <d v="2025-01-30T00:00:00"/>
    <s v="Australia"/>
    <x v="3"/>
  </r>
  <r>
    <s v="PRO-000002923"/>
    <d v="2025-01-31T00:00:00"/>
    <n v="100"/>
    <x v="1"/>
    <d v="2025-01-31T00:00:00"/>
    <s v="UK"/>
    <x v="3"/>
  </r>
  <r>
    <s v="PRO-000002940"/>
    <m/>
    <n v="100"/>
    <x v="1"/>
    <d v="2025-01-31T00:00:00"/>
    <s v="UK"/>
    <x v="3"/>
  </r>
  <r>
    <s v="PRO-000002931"/>
    <d v="2025-02-04T00:00:00"/>
    <n v="100"/>
    <x v="1"/>
    <d v="2025-01-31T00:00:00"/>
    <s v="France"/>
    <x v="3"/>
  </r>
  <r>
    <s v="PRO-000002930"/>
    <d v="2025-02-05T00:00:00"/>
    <n v="100"/>
    <x v="1"/>
    <d v="2025-01-31T00:00:00"/>
    <s v="France"/>
    <x v="3"/>
  </r>
  <r>
    <s v="PRO-000002920"/>
    <d v="2025-01-31T00:00:00"/>
    <n v="100"/>
    <x v="2"/>
    <d v="2025-01-31T00:00:00"/>
    <s v="USA"/>
    <x v="3"/>
  </r>
  <r>
    <s v="PRO-000002936"/>
    <d v="2025-01-31T00:00:00"/>
    <n v="100"/>
    <x v="2"/>
    <d v="2025-01-31T00:00:00"/>
    <s v="USA"/>
    <x v="3"/>
  </r>
  <r>
    <s v="PRO-000002932"/>
    <d v="2025-02-04T00:00:00"/>
    <n v="100"/>
    <x v="1"/>
    <d v="2025-01-31T00:00:00"/>
    <s v="Rest of the World"/>
    <x v="3"/>
  </r>
  <r>
    <s v="PRO-000002933"/>
    <d v="2025-02-03T00:00:00"/>
    <n v="100"/>
    <x v="1"/>
    <d v="2025-01-31T00:00:00"/>
    <s v="Rest of the World"/>
    <x v="3"/>
  </r>
  <r>
    <s v="PRO-000002922"/>
    <d v="2025-02-03T00:00:00"/>
    <n v="100"/>
    <x v="1"/>
    <d v="2025-02-03T00:00:00"/>
    <s v="UK"/>
    <x v="4"/>
  </r>
  <r>
    <s v="PRO-000002942"/>
    <d v="2025-02-13T00:00:00"/>
    <n v="100"/>
    <x v="1"/>
    <d v="2025-02-03T00:00:00"/>
    <s v="UK"/>
    <x v="4"/>
  </r>
  <r>
    <s v="PRO-000002963"/>
    <m/>
    <n v="100"/>
    <x v="1"/>
    <d v="2025-02-03T00:00:00"/>
    <s v="UK"/>
    <x v="4"/>
  </r>
  <r>
    <s v="PRO-000002831"/>
    <d v="2025-02-03T00:00:00"/>
    <n v="100"/>
    <x v="1"/>
    <d v="2025-02-03T00:00:00"/>
    <s v="USA"/>
    <x v="4"/>
  </r>
  <r>
    <s v="PRO-000002947"/>
    <d v="2025-02-04T00:00:00"/>
    <n v="100"/>
    <x v="3"/>
    <d v="2025-02-03T00:00:00"/>
    <s v="Australia"/>
    <x v="4"/>
  </r>
  <r>
    <s v="PRO-000002960"/>
    <d v="2025-02-04T00:00:00"/>
    <n v="100"/>
    <x v="2"/>
    <d v="2025-02-03T00:00:00"/>
    <s v="Australia"/>
    <x v="4"/>
  </r>
  <r>
    <s v="PRO-000002943"/>
    <d v="2025-02-05T00:00:00"/>
    <n v="100"/>
    <x v="1"/>
    <d v="2025-02-03T00:00:00"/>
    <s v="Rest of the World"/>
    <x v="4"/>
  </r>
  <r>
    <s v="PRO-000002955"/>
    <d v="2025-02-04T00:00:00"/>
    <n v="100"/>
    <x v="1"/>
    <d v="2025-02-03T00:00:00"/>
    <s v="Rest of the World"/>
    <x v="4"/>
  </r>
  <r>
    <s v="PRO-000002961"/>
    <d v="2025-02-05T00:00:00"/>
    <n v="100"/>
    <x v="1"/>
    <d v="2025-02-03T00:00:00"/>
    <s v="Rest of the World"/>
    <x v="4"/>
  </r>
  <r>
    <s v="PRO-000002964"/>
    <d v="2025-02-05T00:00:00"/>
    <n v="100"/>
    <x v="1"/>
    <d v="2025-02-04T00:00:00"/>
    <s v="France"/>
    <x v="4"/>
  </r>
  <r>
    <s v="PRO-000002945"/>
    <d v="2025-02-04T00:00:00"/>
    <n v="100"/>
    <x v="2"/>
    <d v="2025-02-04T00:00:00"/>
    <s v="USA"/>
    <x v="4"/>
  </r>
  <r>
    <s v="PRO-000002946"/>
    <d v="2025-02-04T00:00:00"/>
    <n v="100"/>
    <x v="1"/>
    <d v="2025-02-04T00:00:00"/>
    <s v="USA"/>
    <x v="4"/>
  </r>
  <r>
    <s v="PRO-000002962"/>
    <d v="2025-03-05T00:00:00"/>
    <n v="100"/>
    <x v="1"/>
    <d v="2025-02-04T00:00:00"/>
    <s v="Rest of the World"/>
    <x v="4"/>
  </r>
  <r>
    <s v="PRO-000002944"/>
    <d v="2025-02-05T00:00:00"/>
    <n v="100"/>
    <x v="1"/>
    <d v="2025-02-05T00:00:00"/>
    <s v="UK"/>
    <x v="4"/>
  </r>
  <r>
    <s v="PRO-000002924"/>
    <m/>
    <n v="100"/>
    <x v="1"/>
    <d v="2025-02-05T00:00:00"/>
    <s v="USA"/>
    <x v="4"/>
  </r>
  <r>
    <s v="PRO-000002926"/>
    <d v="2025-02-05T00:00:00"/>
    <n v="100"/>
    <x v="0"/>
    <d v="2025-02-05T00:00:00"/>
    <s v="USA"/>
    <x v="4"/>
  </r>
  <r>
    <s v="PRO-000002522"/>
    <d v="2024-10-30T00:00:00"/>
    <n v="0"/>
    <x v="2"/>
    <d v="2025-02-05T00:00:00"/>
    <s v="Australia"/>
    <x v="4"/>
  </r>
  <r>
    <s v="PRO-000002981"/>
    <d v="2025-02-11T00:00:00"/>
    <n v="100"/>
    <x v="1"/>
    <d v="2025-02-06T00:00:00"/>
    <s v="France"/>
    <x v="4"/>
  </r>
  <r>
    <s v="PRO-000002935"/>
    <m/>
    <n v="100"/>
    <x v="1"/>
    <d v="2025-02-06T00:00:00"/>
    <s v="USA"/>
    <x v="4"/>
  </r>
  <r>
    <s v="PRO-000002916"/>
    <d v="2025-01-31T00:00:00"/>
    <n v="0"/>
    <x v="2"/>
    <d v="2025-02-06T00:00:00"/>
    <s v="Australia"/>
    <x v="4"/>
  </r>
  <r>
    <s v="PRO-000002949"/>
    <d v="2025-02-06T00:00:00"/>
    <n v="100"/>
    <x v="2"/>
    <d v="2025-02-06T00:00:00"/>
    <s v="Australia"/>
    <x v="4"/>
  </r>
  <r>
    <s v="PRO-000002977"/>
    <d v="2025-02-06T00:00:00"/>
    <n v="100"/>
    <x v="0"/>
    <d v="2025-02-06T00:00:00"/>
    <s v="Australia"/>
    <x v="4"/>
  </r>
  <r>
    <s v="PRO-000002980"/>
    <d v="2025-02-06T00:00:00"/>
    <n v="100"/>
    <x v="0"/>
    <d v="2025-02-06T00:00:00"/>
    <s v="Australia"/>
    <x v="4"/>
  </r>
  <r>
    <s v="PRO-000002896"/>
    <d v="2025-02-07T00:00:00"/>
    <n v="100"/>
    <x v="1"/>
    <d v="2025-02-06T00:00:00"/>
    <s v="Rest of the World"/>
    <x v="4"/>
  </r>
  <r>
    <s v="PRO-000002956"/>
    <d v="2025-02-06T00:00:00"/>
    <n v="100"/>
    <x v="1"/>
    <d v="2025-02-06T00:00:00"/>
    <s v="Rest of the World"/>
    <x v="4"/>
  </r>
  <r>
    <s v="PRO-000002918"/>
    <d v="2025-02-07T00:00:00"/>
    <n v="100"/>
    <x v="0"/>
    <d v="2025-02-07T00:00:00"/>
    <s v="UK"/>
    <x v="4"/>
  </r>
  <r>
    <s v="PRO-000002952"/>
    <m/>
    <n v="100"/>
    <x v="1"/>
    <d v="2025-02-07T00:00:00"/>
    <s v="UK"/>
    <x v="4"/>
  </r>
  <r>
    <s v="PRO-000002937"/>
    <d v="2025-02-06T00:00:00"/>
    <n v="0"/>
    <x v="2"/>
    <d v="2025-02-07T00:00:00"/>
    <s v="USA"/>
    <x v="4"/>
  </r>
  <r>
    <s v="PRO-000002870"/>
    <d v="2025-02-07T00:00:00"/>
    <n v="100"/>
    <x v="2"/>
    <d v="2025-02-07T00:00:00"/>
    <s v="USA"/>
    <x v="4"/>
  </r>
  <r>
    <s v="PRO-000002953"/>
    <m/>
    <n v="100"/>
    <x v="2"/>
    <d v="2025-02-07T00:00:00"/>
    <s v="USA"/>
    <x v="4"/>
  </r>
  <r>
    <s v="PRO-000002971"/>
    <m/>
    <n v="100"/>
    <x v="1"/>
    <d v="2025-02-07T00:00:00"/>
    <s v="USA"/>
    <x v="4"/>
  </r>
  <r>
    <s v="PRO-000002989"/>
    <m/>
    <n v="100"/>
    <x v="2"/>
    <d v="2025-02-07T00:00:00"/>
    <s v="USA"/>
    <x v="4"/>
  </r>
  <r>
    <s v="PRO-000002986"/>
    <m/>
    <n v="100"/>
    <x v="0"/>
    <d v="2025-02-07T00:00:00"/>
    <s v="Australia"/>
    <x v="4"/>
  </r>
  <r>
    <s v="PRO-000002895"/>
    <d v="2025-01-28T00:00:00"/>
    <n v="0"/>
    <x v="1"/>
    <d v="2025-02-07T00:00:00"/>
    <s v="Rest of the World"/>
    <x v="4"/>
  </r>
  <r>
    <s v="PRO-000002984"/>
    <d v="2025-02-10T00:00:00"/>
    <n v="100"/>
    <x v="1"/>
    <d v="2025-02-07T00:00:00"/>
    <s v="Rest of the World"/>
    <x v="4"/>
  </r>
  <r>
    <s v="PRO-000002925"/>
    <m/>
    <n v="100"/>
    <x v="1"/>
    <d v="2025-02-10T00:00:00"/>
    <s v="UK"/>
    <x v="5"/>
  </r>
  <r>
    <s v="PRO-000002851"/>
    <d v="2025-02-20T00:00:00"/>
    <n v="100"/>
    <x v="1"/>
    <d v="2025-02-10T00:00:00"/>
    <s v="USA"/>
    <x v="5"/>
  </r>
  <r>
    <s v="PRO-000002885"/>
    <d v="2025-02-10T00:00:00"/>
    <n v="100"/>
    <x v="2"/>
    <d v="2025-02-10T00:00:00"/>
    <s v="USA"/>
    <x v="5"/>
  </r>
  <r>
    <s v="PRO-000002897"/>
    <d v="2025-02-10T00:00:00"/>
    <n v="100"/>
    <x v="2"/>
    <d v="2025-02-10T00:00:00"/>
    <s v="USA"/>
    <x v="5"/>
  </r>
  <r>
    <s v="PRO-000002951"/>
    <d v="2025-02-10T00:00:00"/>
    <n v="100"/>
    <x v="0"/>
    <d v="2025-02-10T00:00:00"/>
    <s v="Australia"/>
    <x v="5"/>
  </r>
  <r>
    <s v="PRO-000002991"/>
    <d v="2025-02-11T00:00:00"/>
    <n v="100"/>
    <x v="2"/>
    <d v="2025-02-10T00:00:00"/>
    <s v="Australia"/>
    <x v="5"/>
  </r>
  <r>
    <s v="PRO-000002985"/>
    <d v="2025-02-11T00:00:00"/>
    <n v="100"/>
    <x v="1"/>
    <d v="2025-02-10T00:00:00"/>
    <s v="Rest of the World"/>
    <x v="5"/>
  </r>
  <r>
    <s v="PRO-000002941"/>
    <d v="2025-02-10T00:00:00"/>
    <n v="0"/>
    <x v="1"/>
    <d v="2025-02-11T00:00:00"/>
    <s v="UK"/>
    <x v="5"/>
  </r>
  <r>
    <s v="PRO-000002992"/>
    <d v="2025-02-14T00:00:00"/>
    <n v="100"/>
    <x v="1"/>
    <d v="2025-02-11T00:00:00"/>
    <s v="France"/>
    <x v="5"/>
  </r>
  <r>
    <s v="PRO-000002867"/>
    <d v="2025-02-11T00:00:00"/>
    <n v="100"/>
    <x v="2"/>
    <d v="2025-02-11T00:00:00"/>
    <s v="USA"/>
    <x v="5"/>
  </r>
  <r>
    <s v="PRO-000002988"/>
    <d v="2025-02-11T00:00:00"/>
    <n v="0"/>
    <x v="1"/>
    <d v="2025-02-12T00:00:00"/>
    <s v="UK"/>
    <x v="5"/>
  </r>
  <r>
    <s v="PRO-000002969"/>
    <d v="2025-02-13T00:00:00"/>
    <n v="100"/>
    <x v="1"/>
    <d v="2025-02-12T00:00:00"/>
    <s v="UK"/>
    <x v="5"/>
  </r>
  <r>
    <s v="PRO-000003005"/>
    <d v="2025-02-12T00:00:00"/>
    <n v="100"/>
    <x v="0"/>
    <d v="2025-02-12T00:00:00"/>
    <s v="UK"/>
    <x v="5"/>
  </r>
  <r>
    <s v="PRO-000003001"/>
    <d v="2025-02-14T00:00:00"/>
    <n v="100"/>
    <x v="1"/>
    <d v="2025-02-12T00:00:00"/>
    <s v="France"/>
    <x v="5"/>
  </r>
  <r>
    <s v="PRO-000002927"/>
    <d v="2025-02-07T00:00:00"/>
    <n v="0"/>
    <x v="2"/>
    <d v="2025-02-12T00:00:00"/>
    <s v="USA"/>
    <x v="5"/>
  </r>
  <r>
    <s v="PRO-000002976"/>
    <d v="2025-02-12T00:00:00"/>
    <n v="100"/>
    <x v="2"/>
    <d v="2025-02-12T00:00:00"/>
    <s v="USA"/>
    <x v="5"/>
  </r>
  <r>
    <s v="PRO-000002995"/>
    <m/>
    <n v="100"/>
    <x v="2"/>
    <d v="2025-02-12T00:00:00"/>
    <s v="USA"/>
    <x v="5"/>
  </r>
  <r>
    <s v="PRO-000002773"/>
    <d v="2025-02-07T00:00:00"/>
    <n v="0"/>
    <x v="2"/>
    <d v="2025-02-12T00:00:00"/>
    <s v="Australia"/>
    <x v="5"/>
  </r>
  <r>
    <s v="PRO-000002973"/>
    <d v="2025-02-12T00:00:00"/>
    <n v="100"/>
    <x v="1"/>
    <d v="2025-02-12T00:00:00"/>
    <s v="Australia"/>
    <x v="5"/>
  </r>
  <r>
    <s v="PRO-000002974"/>
    <d v="2025-02-14T00:00:00"/>
    <n v="100"/>
    <x v="1"/>
    <d v="2025-02-12T00:00:00"/>
    <s v="Australia"/>
    <x v="5"/>
  </r>
  <r>
    <s v="PRO-000003002"/>
    <d v="2025-02-13T00:00:00"/>
    <n v="100"/>
    <x v="1"/>
    <d v="2025-02-12T00:00:00"/>
    <s v="Rest of the World"/>
    <x v="5"/>
  </r>
  <r>
    <s v="PRO-000002982"/>
    <d v="2025-02-13T00:00:00"/>
    <n v="100"/>
    <x v="1"/>
    <d v="2025-02-13T00:00:00"/>
    <s v="UK"/>
    <x v="5"/>
  </r>
  <r>
    <s v="PRO-000003009"/>
    <d v="2025-02-13T00:00:00"/>
    <n v="100"/>
    <x v="1"/>
    <d v="2025-02-13T00:00:00"/>
    <s v="UK"/>
    <x v="5"/>
  </r>
  <r>
    <s v="PRO-000002950"/>
    <d v="2025-02-13T00:00:00"/>
    <n v="100"/>
    <x v="2"/>
    <d v="2025-02-13T00:00:00"/>
    <s v="USA"/>
    <x v="5"/>
  </r>
  <r>
    <s v="PRO-000003000"/>
    <d v="2025-02-13T00:00:00"/>
    <n v="100"/>
    <x v="2"/>
    <d v="2025-02-13T00:00:00"/>
    <s v="USA"/>
    <x v="5"/>
  </r>
  <r>
    <s v="PRO-000002998"/>
    <d v="2025-02-14T00:00:00"/>
    <n v="100"/>
    <x v="1"/>
    <d v="2025-02-13T00:00:00"/>
    <s v="Rest of the World"/>
    <x v="5"/>
  </r>
  <r>
    <s v="PRO-000002994"/>
    <d v="2025-02-14T00:00:00"/>
    <n v="100"/>
    <x v="1"/>
    <d v="2025-02-14T00:00:00"/>
    <s v="UK"/>
    <x v="5"/>
  </r>
  <r>
    <s v="PRO-000003010"/>
    <m/>
    <n v="100"/>
    <x v="1"/>
    <d v="2025-02-14T00:00:00"/>
    <s v="UK"/>
    <x v="5"/>
  </r>
  <r>
    <s v="PRO-000003015"/>
    <d v="2025-02-14T00:00:00"/>
    <n v="100"/>
    <x v="0"/>
    <d v="2025-02-14T00:00:00"/>
    <s v="UK"/>
    <x v="5"/>
  </r>
  <r>
    <s v="PRO-000003020"/>
    <m/>
    <n v="100"/>
    <x v="3"/>
    <d v="2025-02-14T00:00:00"/>
    <s v="UK"/>
    <x v="5"/>
  </r>
  <r>
    <s v="PRO-000003008"/>
    <d v="2025-02-17T00:00:00"/>
    <n v="100"/>
    <x v="1"/>
    <d v="2025-02-14T00:00:00"/>
    <s v="France"/>
    <x v="5"/>
  </r>
  <r>
    <s v="PRO-000003021"/>
    <m/>
    <n v="100"/>
    <x v="1"/>
    <d v="2025-02-14T00:00:00"/>
    <s v="France"/>
    <x v="5"/>
  </r>
  <r>
    <s v="PRO-000002993"/>
    <d v="2025-02-14T00:00:00"/>
    <n v="100"/>
    <x v="1"/>
    <d v="2025-02-14T00:00:00"/>
    <s v="Rest of the World"/>
    <x v="5"/>
  </r>
  <r>
    <s v="PRO-000003006"/>
    <d v="2025-02-17T00:00:00"/>
    <n v="100"/>
    <x v="1"/>
    <d v="2025-02-14T00:00:00"/>
    <s v="Rest of the World"/>
    <x v="5"/>
  </r>
  <r>
    <s v="PRO-000003018"/>
    <d v="2025-02-17T00:00:00"/>
    <n v="100"/>
    <x v="1"/>
    <d v="2025-02-14T00:00:00"/>
    <s v="Rest of the World"/>
    <x v="5"/>
  </r>
  <r>
    <s v="PRO-000003022"/>
    <d v="2025-02-15T00:00:00"/>
    <n v="100"/>
    <x v="1"/>
    <d v="2025-02-15T00:00:00"/>
    <s v="UK"/>
    <x v="6"/>
  </r>
  <r>
    <s v="PRO-000002968"/>
    <d v="2025-02-17T00:00:00"/>
    <n v="100"/>
    <x v="1"/>
    <d v="2025-02-16T00:00:00"/>
    <s v="Australia"/>
    <x v="6"/>
  </r>
  <r>
    <s v="PRO-000002997"/>
    <d v="2025-02-14T00:00:00"/>
    <n v="0"/>
    <x v="1"/>
    <d v="2025-02-17T00:00:00"/>
    <s v="UK"/>
    <x v="6"/>
  </r>
  <r>
    <s v="PRO-000002948"/>
    <d v="2025-02-20T00:00:00"/>
    <n v="100"/>
    <x v="2"/>
    <d v="2025-02-17T00:00:00"/>
    <s v="USA"/>
    <x v="6"/>
  </r>
  <r>
    <s v="PRO-000002966"/>
    <d v="2025-02-21T00:00:00"/>
    <n v="100"/>
    <x v="2"/>
    <d v="2025-02-17T00:00:00"/>
    <s v="Australia"/>
    <x v="6"/>
  </r>
  <r>
    <s v="PRO-000002908"/>
    <d v="2025-02-18T00:00:00"/>
    <n v="100"/>
    <x v="1"/>
    <d v="2025-02-18T00:00:00"/>
    <s v="USA"/>
    <x v="6"/>
  </r>
  <r>
    <s v="PRO-000003027"/>
    <d v="2025-02-19T00:00:00"/>
    <n v="100"/>
    <x v="1"/>
    <d v="2025-02-18T00:00:00"/>
    <s v="Rest of the World"/>
    <x v="6"/>
  </r>
  <r>
    <s v="PRO-000003012"/>
    <d v="2025-02-20T00:00:00"/>
    <n v="100"/>
    <x v="1"/>
    <d v="2025-02-19T00:00:00"/>
    <s v="UK"/>
    <x v="6"/>
  </r>
  <r>
    <s v="PRO-000003013"/>
    <d v="2025-02-22T00:00:00"/>
    <n v="100"/>
    <x v="1"/>
    <d v="2025-02-19T00:00:00"/>
    <s v="UK"/>
    <x v="6"/>
  </r>
  <r>
    <s v="PRO-000003019"/>
    <d v="2025-02-19T00:00:00"/>
    <n v="100"/>
    <x v="1"/>
    <d v="2025-02-19T00:00:00"/>
    <s v="UK"/>
    <x v="6"/>
  </r>
  <r>
    <s v="PRO-000002972"/>
    <d v="2025-02-19T00:00:00"/>
    <n v="100"/>
    <x v="1"/>
    <d v="2025-02-19T00:00:00"/>
    <s v="USA"/>
    <x v="6"/>
  </r>
  <r>
    <s v="PRO-000003033"/>
    <d v="2025-02-19T00:00:00"/>
    <n v="100"/>
    <x v="2"/>
    <d v="2025-02-19T00:00:00"/>
    <s v="USA"/>
    <x v="6"/>
  </r>
  <r>
    <s v="PRO-000003035"/>
    <d v="2025-02-20T00:00:00"/>
    <n v="100"/>
    <x v="2"/>
    <d v="2025-02-19T00:00:00"/>
    <s v="Australia"/>
    <x v="6"/>
  </r>
  <r>
    <s v="PRO-000003039"/>
    <d v="2025-02-20T00:00:00"/>
    <n v="100"/>
    <x v="1"/>
    <d v="2025-02-19T00:00:00"/>
    <s v="Rest of the World"/>
    <x v="6"/>
  </r>
  <r>
    <s v="PRO-000002915"/>
    <d v="2025-02-20T00:00:00"/>
    <n v="100"/>
    <x v="1"/>
    <d v="2025-02-20T00:00:00"/>
    <s v="UK"/>
    <x v="6"/>
  </r>
  <r>
    <s v="PRO-000002934"/>
    <d v="2025-02-21T00:00:00"/>
    <n v="100"/>
    <x v="1"/>
    <d v="2025-02-20T00:00:00"/>
    <s v="UK"/>
    <x v="6"/>
  </r>
  <r>
    <s v="PRO-000003004"/>
    <d v="2025-02-21T00:00:00"/>
    <n v="100"/>
    <x v="1"/>
    <d v="2025-02-20T00:00:00"/>
    <s v="UK"/>
    <x v="6"/>
  </r>
  <r>
    <s v="PRO-000003026"/>
    <m/>
    <n v="100"/>
    <x v="1"/>
    <d v="2025-02-20T00:00:00"/>
    <s v="UK"/>
    <x v="6"/>
  </r>
  <r>
    <s v="PRO-000003032"/>
    <d v="2025-02-21T00:00:00"/>
    <n v="100"/>
    <x v="1"/>
    <d v="2025-02-20T00:00:00"/>
    <s v="UK"/>
    <x v="6"/>
  </r>
  <r>
    <s v="PRO-000003040"/>
    <m/>
    <n v="100"/>
    <x v="2"/>
    <d v="2025-02-20T00:00:00"/>
    <s v="UK"/>
    <x v="6"/>
  </r>
  <r>
    <s v="PRO-000003053"/>
    <m/>
    <n v="100"/>
    <x v="2"/>
    <d v="2025-02-20T00:00:00"/>
    <s v="UK"/>
    <x v="6"/>
  </r>
  <r>
    <s v="PRO-000003037"/>
    <d v="2025-02-26T00:00:00"/>
    <n v="100"/>
    <x v="1"/>
    <d v="2025-02-20T00:00:00"/>
    <s v="France"/>
    <x v="6"/>
  </r>
  <r>
    <s v="PRO-000002903"/>
    <d v="2025-02-20T00:00:00"/>
    <n v="100"/>
    <x v="2"/>
    <d v="2025-02-20T00:00:00"/>
    <s v="USA"/>
    <x v="6"/>
  </r>
  <r>
    <s v="PRO-000003031"/>
    <m/>
    <n v="100"/>
    <x v="2"/>
    <d v="2025-02-20T00:00:00"/>
    <s v="USA"/>
    <x v="6"/>
  </r>
  <r>
    <s v="PRO-000003024"/>
    <d v="2025-02-20T00:00:00"/>
    <n v="100"/>
    <x v="1"/>
    <d v="2025-02-20T00:00:00"/>
    <s v="Rest of the World"/>
    <x v="6"/>
  </r>
  <r>
    <s v="PRO-000003038"/>
    <d v="2025-02-21T00:00:00"/>
    <n v="100"/>
    <x v="1"/>
    <d v="2025-02-21T00:00:00"/>
    <s v="UK"/>
    <x v="6"/>
  </r>
  <r>
    <s v="PRO-000003046"/>
    <d v="2025-02-21T00:00:00"/>
    <n v="100"/>
    <x v="2"/>
    <d v="2025-02-21T00:00:00"/>
    <s v="UK"/>
    <x v="6"/>
  </r>
  <r>
    <s v="PRO-000003003"/>
    <d v="2025-02-17T00:00:00"/>
    <n v="0"/>
    <x v="2"/>
    <d v="2025-02-21T00:00:00"/>
    <s v="USA"/>
    <x v="6"/>
  </r>
  <r>
    <s v="PRO-000002999"/>
    <d v="2025-02-21T00:00:00"/>
    <n v="100"/>
    <x v="2"/>
    <d v="2025-02-21T00:00:00"/>
    <s v="USA"/>
    <x v="6"/>
  </r>
  <r>
    <s v="PRO-000003017"/>
    <d v="2025-02-21T00:00:00"/>
    <n v="100"/>
    <x v="1"/>
    <d v="2025-02-21T00:00:00"/>
    <s v="Rest of the World"/>
    <x v="6"/>
  </r>
  <r>
    <s v="PRO-000003050"/>
    <d v="2025-02-24T00:00:00"/>
    <n v="100"/>
    <x v="1"/>
    <d v="2025-02-21T00:00:00"/>
    <s v="Rest of the World"/>
    <x v="6"/>
  </r>
  <r>
    <s v="PRO-000003051"/>
    <d v="2025-02-25T00:00:00"/>
    <n v="100"/>
    <x v="1"/>
    <d v="2025-02-24T00:00:00"/>
    <s v="UK"/>
    <x v="7"/>
  </r>
  <r>
    <s v="PRO-000003052"/>
    <d v="2025-02-25T00:00:00"/>
    <n v="100"/>
    <x v="1"/>
    <d v="2025-02-24T00:00:00"/>
    <s v="UK"/>
    <x v="7"/>
  </r>
  <r>
    <s v="PRO-000002970"/>
    <d v="2025-02-24T00:00:00"/>
    <n v="100"/>
    <x v="2"/>
    <d v="2025-02-24T00:00:00"/>
    <s v="USA"/>
    <x v="7"/>
  </r>
  <r>
    <s v="PRO-000003045"/>
    <d v="2025-02-24T00:00:00"/>
    <n v="100"/>
    <x v="2"/>
    <d v="2025-02-24T00:00:00"/>
    <s v="USA"/>
    <x v="7"/>
  </r>
  <r>
    <s v="PRO-000003011"/>
    <m/>
    <n v="100"/>
    <x v="2"/>
    <d v="2025-02-24T00:00:00"/>
    <s v="Australia"/>
    <x v="7"/>
  </r>
  <r>
    <s v="PRO-000003014"/>
    <d v="2025-02-25T00:00:00"/>
    <n v="100"/>
    <x v="1"/>
    <d v="2025-02-25T00:00:00"/>
    <s v="UK"/>
    <x v="7"/>
  </r>
  <r>
    <s v="PRO-000003042"/>
    <m/>
    <n v="100"/>
    <x v="1"/>
    <d v="2025-02-25T00:00:00"/>
    <s v="UK"/>
    <x v="7"/>
  </r>
  <r>
    <s v="PRO-000002990"/>
    <d v="2025-02-26T00:00:00"/>
    <n v="100"/>
    <x v="1"/>
    <d v="2025-02-25T00:00:00"/>
    <s v="France"/>
    <x v="7"/>
  </r>
  <r>
    <s v="PRO-000003069"/>
    <d v="2025-02-26T00:00:00"/>
    <n v="100"/>
    <x v="2"/>
    <d v="2025-02-25T00:00:00"/>
    <s v="USA"/>
    <x v="7"/>
  </r>
  <r>
    <s v="PRO-000003070"/>
    <d v="2025-02-25T00:00:00"/>
    <n v="100"/>
    <x v="2"/>
    <d v="2025-02-25T00:00:00"/>
    <s v="USA"/>
    <x v="7"/>
  </r>
  <r>
    <s v="PRO-000003063"/>
    <d v="2025-02-25T00:00:00"/>
    <n v="100"/>
    <x v="0"/>
    <d v="2025-02-25T00:00:00"/>
    <s v="Australia"/>
    <x v="7"/>
  </r>
  <r>
    <s v="PRO-000003016"/>
    <d v="2025-02-24T00:00:00"/>
    <n v="0"/>
    <x v="1"/>
    <d v="2025-02-25T00:00:00"/>
    <s v="Rest of the World"/>
    <x v="7"/>
  </r>
  <r>
    <s v="PRO-000003043"/>
    <d v="2025-02-27T00:00:00"/>
    <n v="100"/>
    <x v="2"/>
    <d v="2025-02-26T00:00:00"/>
    <s v="UK"/>
    <x v="7"/>
  </r>
  <r>
    <s v="PRO-000002862"/>
    <d v="2025-02-11T00:00:00"/>
    <n v="0"/>
    <x v="2"/>
    <d v="2025-02-26T00:00:00"/>
    <s v="USA"/>
    <x v="7"/>
  </r>
  <r>
    <s v="PRO-000002975"/>
    <d v="2025-02-11T00:00:00"/>
    <n v="0"/>
    <x v="2"/>
    <d v="2025-02-26T00:00:00"/>
    <s v="USA"/>
    <x v="7"/>
  </r>
  <r>
    <s v="PRO-000003029"/>
    <d v="2025-02-26T00:00:00"/>
    <n v="100"/>
    <x v="1"/>
    <d v="2025-02-26T00:00:00"/>
    <s v="Australia"/>
    <x v="7"/>
  </r>
  <r>
    <s v="PRO-000003064"/>
    <d v="2025-02-26T00:00:00"/>
    <n v="100"/>
    <x v="2"/>
    <d v="2025-02-26T00:00:00"/>
    <s v="Australia"/>
    <x v="7"/>
  </r>
  <r>
    <s v="PRO-000003074"/>
    <d v="2025-02-27T00:00:00"/>
    <n v="100"/>
    <x v="1"/>
    <d v="2025-02-26T00:00:00"/>
    <s v="Rest of the World"/>
    <x v="7"/>
  </r>
  <r>
    <s v="PRO-000003075"/>
    <d v="2025-02-27T00:00:00"/>
    <n v="100"/>
    <x v="1"/>
    <d v="2025-02-26T00:00:00"/>
    <s v="Rest of the World"/>
    <x v="7"/>
  </r>
  <r>
    <s v="PRO-000003049"/>
    <d v="2025-02-28T00:00:00"/>
    <n v="100"/>
    <x v="2"/>
    <d v="2025-02-27T00:00:00"/>
    <s v="UK"/>
    <x v="7"/>
  </r>
  <r>
    <s v="PRO-000002954"/>
    <d v="2025-02-18T00:00:00"/>
    <n v="0"/>
    <x v="2"/>
    <d v="2025-02-27T00:00:00"/>
    <s v="USA"/>
    <x v="7"/>
  </r>
  <r>
    <s v="PRO-000003028"/>
    <d v="2025-02-27T00:00:00"/>
    <n v="100"/>
    <x v="2"/>
    <d v="2025-02-27T00:00:00"/>
    <s v="Australia"/>
    <x v="7"/>
  </r>
  <r>
    <s v="PRO-000003055"/>
    <d v="2025-02-28T00:00:00"/>
    <n v="100"/>
    <x v="1"/>
    <d v="2025-02-27T00:00:00"/>
    <s v="Rest of the World"/>
    <x v="7"/>
  </r>
  <r>
    <s v="PRO-000003056"/>
    <d v="2025-02-28T00:00:00"/>
    <n v="100"/>
    <x v="1"/>
    <d v="2025-02-27T00:00:00"/>
    <s v="Rest of the World"/>
    <x v="7"/>
  </r>
  <r>
    <s v="PRO-000003041"/>
    <m/>
    <n v="100"/>
    <x v="2"/>
    <d v="2025-02-28T00:00:00"/>
    <s v="UK"/>
    <x v="7"/>
  </r>
  <r>
    <s v="PRO-000003067"/>
    <m/>
    <n v="100"/>
    <x v="1"/>
    <d v="2025-02-28T00:00:00"/>
    <s v="UK"/>
    <x v="7"/>
  </r>
  <r>
    <s v="PRO-000003080"/>
    <d v="2025-02-28T00:00:00"/>
    <n v="100"/>
    <x v="2"/>
    <d v="2025-02-28T00:00:00"/>
    <s v="UK"/>
    <x v="7"/>
  </r>
  <r>
    <s v="PRO-000003060"/>
    <d v="2025-02-27T00:00:00"/>
    <n v="0"/>
    <x v="2"/>
    <d v="2025-02-28T00:00:00"/>
    <s v="USA"/>
    <x v="7"/>
  </r>
  <r>
    <s v="PRO-000002983"/>
    <d v="2025-02-28T00:00:00"/>
    <n v="100"/>
    <x v="2"/>
    <d v="2025-02-28T00:00:00"/>
    <s v="USA"/>
    <x v="7"/>
  </r>
  <r>
    <s v="PRO-000003030"/>
    <d v="2025-02-28T00:00:00"/>
    <n v="100"/>
    <x v="1"/>
    <d v="2025-02-28T00:00:00"/>
    <s v="USA"/>
    <x v="7"/>
  </r>
  <r>
    <s v="PRO-000002979"/>
    <m/>
    <n v="100"/>
    <x v="2"/>
    <d v="2025-02-28T00:00:00"/>
    <s v="Australia"/>
    <x v="7"/>
  </r>
  <r>
    <s v="PRO-000002987"/>
    <d v="2025-03-05T00:00:00"/>
    <n v="100"/>
    <x v="2"/>
    <d v="2025-02-28T00:00:00"/>
    <s v="Australia"/>
    <x v="7"/>
  </r>
  <r>
    <s v="PRO-000003065"/>
    <m/>
    <n v="100"/>
    <x v="2"/>
    <d v="2025-02-28T00:00:00"/>
    <s v="Australia"/>
    <x v="7"/>
  </r>
  <r>
    <s v="PRO-000003048"/>
    <d v="2025-03-03T00:00:00"/>
    <n v="100"/>
    <x v="2"/>
    <d v="2025-03-03T00:00:00"/>
    <s v="Australia"/>
    <x v="8"/>
  </r>
  <r>
    <s v="PRO-000003082"/>
    <d v="2025-03-03T00:00:00"/>
    <n v="100"/>
    <x v="2"/>
    <d v="2025-03-03T00:00:00"/>
    <s v="Australia"/>
    <x v="8"/>
  </r>
  <r>
    <s v="PRO-000003057"/>
    <d v="2025-03-07T00:00:00"/>
    <n v="100"/>
    <x v="1"/>
    <d v="2025-03-03T00:00:00"/>
    <s v="Rest of the World"/>
    <x v="8"/>
  </r>
  <r>
    <s v="PRO-000003059"/>
    <d v="2025-03-06T00:00:00"/>
    <n v="100"/>
    <x v="1"/>
    <d v="2025-03-03T00:00:00"/>
    <s v="Rest of the World"/>
    <x v="8"/>
  </r>
  <r>
    <s v="PRO-000003090"/>
    <m/>
    <n v="100"/>
    <x v="1"/>
    <d v="2025-03-04T00:00:00"/>
    <s v="UK"/>
    <x v="8"/>
  </r>
  <r>
    <s v="PRO-000003073"/>
    <d v="2025-03-06T00:00:00"/>
    <n v="100"/>
    <x v="1"/>
    <d v="2025-03-04T00:00:00"/>
    <s v="France"/>
    <x v="8"/>
  </r>
  <r>
    <s v="PRO-000003044"/>
    <d v="2025-02-27T00:00:00"/>
    <n v="0"/>
    <x v="2"/>
    <d v="2025-03-04T00:00:00"/>
    <s v="USA"/>
    <x v="8"/>
  </r>
  <r>
    <s v="PRO-000003078"/>
    <m/>
    <n v="100"/>
    <x v="2"/>
    <d v="2025-03-04T00:00:00"/>
    <s v="Australia"/>
    <x v="8"/>
  </r>
  <r>
    <s v="PRO-000003054"/>
    <d v="2025-02-28T00:00:00"/>
    <n v="0"/>
    <x v="1"/>
    <d v="2025-03-04T00:00:00"/>
    <s v="Rest of the World"/>
    <x v="8"/>
  </r>
  <r>
    <s v="PRO-000003083"/>
    <d v="2025-03-04T00:00:00"/>
    <n v="0"/>
    <x v="1"/>
    <d v="2025-03-05T00:00:00"/>
    <s v="UK"/>
    <x v="8"/>
  </r>
  <r>
    <s v="PRO-000003079"/>
    <m/>
    <n v="100"/>
    <x v="1"/>
    <d v="2025-03-05T00:00:00"/>
    <s v="UK"/>
    <x v="8"/>
  </r>
  <r>
    <s v="PRO-000003111"/>
    <m/>
    <n v="100"/>
    <x v="1"/>
    <d v="2025-03-05T00:00:00"/>
    <s v="UK"/>
    <x v="8"/>
  </r>
  <r>
    <s v="PRO-000003112"/>
    <d v="2025-03-06T00:00:00"/>
    <n v="100"/>
    <x v="0"/>
    <d v="2025-03-05T00:00:00"/>
    <s v="UK"/>
    <x v="8"/>
  </r>
  <r>
    <s v="PRO-000003061"/>
    <d v="2025-03-05T00:00:00"/>
    <n v="100"/>
    <x v="2"/>
    <d v="2025-03-05T00:00:00"/>
    <s v="USA"/>
    <x v="8"/>
  </r>
  <r>
    <s v="PRO-000003062"/>
    <d v="2025-03-05T00:00:00"/>
    <n v="100"/>
    <x v="2"/>
    <d v="2025-03-05T00:00:00"/>
    <s v="USA"/>
    <x v="8"/>
  </r>
  <r>
    <s v="PRO-000003089"/>
    <d v="2025-03-07T00:00:00"/>
    <n v="100"/>
    <x v="2"/>
    <d v="2025-03-06T00:00:00"/>
    <s v="UK"/>
    <x v="8"/>
  </r>
  <r>
    <s v="PRO-000003092"/>
    <m/>
    <n v="100"/>
    <x v="1"/>
    <d v="2025-03-06T00:00:00"/>
    <s v="UK"/>
    <x v="8"/>
  </r>
  <r>
    <s v="PRO-000003095"/>
    <d v="2025-03-07T00:00:00"/>
    <n v="100"/>
    <x v="1"/>
    <d v="2025-03-06T00:00:00"/>
    <s v="UK"/>
    <x v="8"/>
  </r>
  <r>
    <s v="PRO-000003096"/>
    <d v="2025-03-07T00:00:00"/>
    <n v="100"/>
    <x v="1"/>
    <d v="2025-03-06T00:00:00"/>
    <s v="UK"/>
    <x v="8"/>
  </r>
  <r>
    <s v="PRO-000003110"/>
    <m/>
    <n v="100"/>
    <x v="1"/>
    <d v="2025-03-06T00:00:00"/>
    <s v="UK"/>
    <x v="8"/>
  </r>
  <r>
    <s v="PRO-000003077"/>
    <d v="2025-03-06T00:00:00"/>
    <n v="100"/>
    <x v="2"/>
    <d v="2025-03-06T00:00:00"/>
    <s v="USA"/>
    <x v="8"/>
  </r>
  <r>
    <s v="PRO-000003084"/>
    <d v="2025-03-07T00:00:00"/>
    <n v="100"/>
    <x v="1"/>
    <d v="2025-03-06T00:00:00"/>
    <s v="Rest of the World"/>
    <x v="8"/>
  </r>
  <r>
    <s v="PRO-000003066"/>
    <d v="2025-03-10T00:00:00"/>
    <n v="100"/>
    <x v="1"/>
    <d v="2025-03-07T00:00:00"/>
    <s v="France"/>
    <x v="8"/>
  </r>
  <r>
    <s v="PRO-000002805"/>
    <d v="2025-03-07T00:00:00"/>
    <n v="100"/>
    <x v="1"/>
    <d v="2025-03-07T00:00:00"/>
    <s v="USA"/>
    <x v="8"/>
  </r>
  <r>
    <s v="PRO-000003098"/>
    <d v="2025-03-07T00:00:00"/>
    <n v="100"/>
    <x v="1"/>
    <d v="2025-03-07T00:00:00"/>
    <s v="USA"/>
    <x v="8"/>
  </r>
  <r>
    <s v="PRO-000003068"/>
    <d v="2025-03-10T00:00:00"/>
    <n v="100"/>
    <x v="1"/>
    <d v="2025-03-07T00:00:00"/>
    <s v="Rest of the World"/>
    <x v="8"/>
  </r>
  <r>
    <s v="PRO-000003116"/>
    <d v="2025-03-11T00:00:00"/>
    <n v="100"/>
    <x v="1"/>
    <d v="2025-03-07T00:00:00"/>
    <s v="Rest of the World"/>
    <x v="8"/>
  </r>
  <r>
    <s v="PRO-000003117"/>
    <d v="2025-03-10T00:00:00"/>
    <n v="100"/>
    <x v="2"/>
    <d v="2025-03-10T00:00:00"/>
    <s v="UK"/>
    <x v="9"/>
  </r>
  <r>
    <s v="PRO-000003103"/>
    <d v="2025-03-11T00:00:00"/>
    <n v="100"/>
    <x v="1"/>
    <d v="2025-03-10T00:00:00"/>
    <s v="France"/>
    <x v="9"/>
  </r>
  <r>
    <s v="PRO-000003023"/>
    <d v="2025-03-10T00:00:00"/>
    <n v="100"/>
    <x v="1"/>
    <d v="2025-03-10T00:00:00"/>
    <s v="USA"/>
    <x v="9"/>
  </r>
  <r>
    <s v="PRO-000003105"/>
    <d v="2025-03-10T00:00:00"/>
    <n v="100"/>
    <x v="2"/>
    <d v="2025-03-10T00:00:00"/>
    <s v="USA"/>
    <x v="9"/>
  </r>
  <r>
    <s v="PRO-000003122"/>
    <d v="2025-03-20T00:00:00"/>
    <n v="100"/>
    <x v="2"/>
    <d v="2025-03-10T00:00:00"/>
    <s v="USA"/>
    <x v="9"/>
  </r>
  <r>
    <s v="PRO-000003133"/>
    <d v="2025-03-10T00:00:00"/>
    <n v="100"/>
    <x v="2"/>
    <d v="2025-03-10T00:00:00"/>
    <s v="USA"/>
    <x v="9"/>
  </r>
  <r>
    <s v="PRO-000003099"/>
    <d v="2025-03-11T00:00:00"/>
    <n v="100"/>
    <x v="0"/>
    <d v="2025-03-10T00:00:00"/>
    <s v="Australia"/>
    <x v="9"/>
  </r>
  <r>
    <s v="PRO-000003115"/>
    <d v="2025-03-13T00:00:00"/>
    <n v="100"/>
    <x v="2"/>
    <d v="2025-03-10T00:00:00"/>
    <s v="Australia"/>
    <x v="9"/>
  </r>
  <r>
    <s v="PRO-000003127"/>
    <m/>
    <n v="100"/>
    <x v="1"/>
    <d v="2025-03-11T00:00:00"/>
    <s v="UK"/>
    <x v="9"/>
  </r>
  <r>
    <s v="PRO-000003140"/>
    <d v="2025-03-11T00:00:00"/>
    <n v="100"/>
    <x v="3"/>
    <d v="2025-03-11T00:00:00"/>
    <s v="UK"/>
    <x v="9"/>
  </r>
  <r>
    <s v="PRO-000003025"/>
    <d v="2025-03-07T00:00:00"/>
    <n v="0"/>
    <x v="2"/>
    <d v="2025-03-11T00:00:00"/>
    <s v="USA"/>
    <x v="9"/>
  </r>
  <r>
    <s v="PRO-000003129"/>
    <d v="2025-03-11T00:00:00"/>
    <n v="100"/>
    <x v="1"/>
    <d v="2025-03-11T00:00:00"/>
    <s v="USA"/>
    <x v="9"/>
  </r>
  <r>
    <s v="PRO-000003128"/>
    <d v="2025-03-11T00:00:00"/>
    <n v="100"/>
    <x v="1"/>
    <d v="2025-03-11T00:00:00"/>
    <s v="Rest of the World"/>
    <x v="9"/>
  </r>
  <r>
    <s v="PRO-000003131"/>
    <d v="2025-03-12T00:00:00"/>
    <n v="100"/>
    <x v="1"/>
    <d v="2025-03-12T00:00:00"/>
    <s v="UK"/>
    <x v="9"/>
  </r>
  <r>
    <s v="PRO-000003142"/>
    <d v="2025-03-13T00:00:00"/>
    <n v="100"/>
    <x v="1"/>
    <d v="2025-03-12T00:00:00"/>
    <s v="UK"/>
    <x v="9"/>
  </r>
  <r>
    <s v="PRO-000003119"/>
    <d v="2025-03-11T00:00:00"/>
    <n v="0"/>
    <x v="1"/>
    <d v="2025-03-12T00:00:00"/>
    <s v="France"/>
    <x v="9"/>
  </r>
  <r>
    <s v="PRO-000003145"/>
    <d v="2025-03-12T00:00:00"/>
    <n v="100"/>
    <x v="1"/>
    <d v="2025-03-12T00:00:00"/>
    <s v="France"/>
    <x v="9"/>
  </r>
  <r>
    <s v="PRO-000003097"/>
    <d v="2025-03-12T00:00:00"/>
    <n v="100"/>
    <x v="2"/>
    <d v="2025-03-12T00:00:00"/>
    <s v="USA"/>
    <x v="9"/>
  </r>
  <r>
    <s v="PRO-000003130"/>
    <d v="2025-03-12T00:00:00"/>
    <n v="100"/>
    <x v="2"/>
    <d v="2025-03-12T00:00:00"/>
    <s v="USA"/>
    <x v="9"/>
  </r>
  <r>
    <s v="PRO-000003085"/>
    <d v="2025-03-12T00:00:00"/>
    <n v="100"/>
    <x v="1"/>
    <d v="2025-03-12T00:00:00"/>
    <s v="Rest of the World"/>
    <x v="9"/>
  </r>
  <r>
    <s v="PRO-000003091"/>
    <d v="2025-03-14T00:00:00"/>
    <n v="100"/>
    <x v="1"/>
    <d v="2025-03-12T00:00:00"/>
    <s v="Rest of the World"/>
    <x v="9"/>
  </r>
  <r>
    <s v="PRO-000003118"/>
    <m/>
    <n v="100"/>
    <x v="1"/>
    <d v="2025-03-13T00:00:00"/>
    <s v="UK"/>
    <x v="9"/>
  </r>
  <r>
    <s v="PRO-000003138"/>
    <m/>
    <n v="100"/>
    <x v="1"/>
    <d v="2025-03-13T00:00:00"/>
    <s v="UK"/>
    <x v="9"/>
  </r>
  <r>
    <s v="PRO-000003149"/>
    <d v="2025-03-13T00:00:00"/>
    <n v="100"/>
    <x v="1"/>
    <d v="2025-03-13T00:00:00"/>
    <s v="UK"/>
    <x v="9"/>
  </r>
  <r>
    <s v="PRO-000003151"/>
    <d v="2025-02-26T00:00:00"/>
    <n v="0"/>
    <x v="2"/>
    <d v="2025-03-13T00:00:00"/>
    <s v="USA"/>
    <x v="9"/>
  </r>
  <r>
    <s v="PRO-000003034"/>
    <d v="2025-03-13T00:00:00"/>
    <n v="100"/>
    <x v="2"/>
    <d v="2025-03-13T00:00:00"/>
    <s v="USA"/>
    <x v="9"/>
  </r>
  <r>
    <s v="PRO-000003124"/>
    <d v="2025-03-10T00:00:00"/>
    <n v="0"/>
    <x v="2"/>
    <d v="2025-03-13T00:00:00"/>
    <s v="Australia"/>
    <x v="9"/>
  </r>
  <r>
    <s v="PRO-000002978"/>
    <d v="2025-03-13T00:00:00"/>
    <n v="100"/>
    <x v="2"/>
    <d v="2025-03-13T00:00:00"/>
    <s v="Australia"/>
    <x v="9"/>
  </r>
  <r>
    <s v="PRO-000003106"/>
    <d v="2025-03-13T00:00:00"/>
    <n v="100"/>
    <x v="0"/>
    <d v="2025-03-13T00:00:00"/>
    <s v="Australia"/>
    <x v="9"/>
  </r>
  <r>
    <s v="PRO-000003108"/>
    <d v="2025-03-14T00:00:00"/>
    <n v="100"/>
    <x v="1"/>
    <d v="2025-03-13T00:00:00"/>
    <s v="Australia"/>
    <x v="9"/>
  </r>
  <r>
    <s v="PRO-000003147"/>
    <d v="2025-03-13T00:00:00"/>
    <n v="100"/>
    <x v="1"/>
    <d v="2025-03-13T00:00:00"/>
    <s v="Rest of the World"/>
    <x v="9"/>
  </r>
  <r>
    <s v="PRO-000003113"/>
    <d v="2025-03-14T00:00:00"/>
    <n v="100"/>
    <x v="1"/>
    <d v="2025-03-14T00:00:00"/>
    <s v="UK"/>
    <x v="9"/>
  </r>
  <r>
    <s v="PRO-000003136"/>
    <d v="2025-03-20T00:00:00"/>
    <n v="100"/>
    <x v="1"/>
    <d v="2025-03-14T00:00:00"/>
    <s v="France"/>
    <x v="9"/>
  </r>
  <r>
    <s v="PRO-000003086"/>
    <d v="2025-03-14T00:00:00"/>
    <n v="100"/>
    <x v="1"/>
    <d v="2025-03-14T00:00:00"/>
    <s v="USA"/>
    <x v="9"/>
  </r>
  <r>
    <s v="PRO-000003134"/>
    <d v="2025-03-14T00:00:00"/>
    <n v="100"/>
    <x v="0"/>
    <d v="2025-03-14T00:00:00"/>
    <s v="USA"/>
    <x v="9"/>
  </r>
  <r>
    <s v="PRO-000003141"/>
    <d v="2025-03-14T00:00:00"/>
    <n v="100"/>
    <x v="2"/>
    <d v="2025-03-14T00:00:00"/>
    <s v="USA"/>
    <x v="9"/>
  </r>
  <r>
    <s v="PRO-000003144"/>
    <d v="2025-03-14T00:00:00"/>
    <n v="100"/>
    <x v="2"/>
    <d v="2025-03-14T00:00:00"/>
    <s v="USA"/>
    <x v="9"/>
  </r>
  <r>
    <s v="PRO-000003154"/>
    <d v="2025-03-14T00:00:00"/>
    <n v="100"/>
    <x v="2"/>
    <d v="2025-03-14T00:00:00"/>
    <s v="USA"/>
    <x v="9"/>
  </r>
  <r>
    <s v="PRO-000003156"/>
    <d v="2025-03-20T00:00:00"/>
    <n v="100"/>
    <x v="1"/>
    <d v="2025-03-14T00:00:00"/>
    <s v="Rest of the World"/>
    <x v="9"/>
  </r>
  <r>
    <s v="PRO-000003163"/>
    <d v="2025-03-19T00:00:00"/>
    <n v="100"/>
    <x v="1"/>
    <d v="2025-03-17T00:00:00"/>
    <s v="France"/>
    <x v="10"/>
  </r>
  <r>
    <s v="PRO-000003094"/>
    <d v="2025-03-12T00:00:00"/>
    <n v="0"/>
    <x v="1"/>
    <d v="2025-03-17T00:00:00"/>
    <s v="USA"/>
    <x v="10"/>
  </r>
  <r>
    <s v="PRO-000003093"/>
    <d v="2025-03-17T00:00:00"/>
    <n v="100"/>
    <x v="2"/>
    <d v="2025-03-17T00:00:00"/>
    <s v="USA"/>
    <x v="10"/>
  </r>
  <r>
    <s v="PRO-000003120"/>
    <d v="2025-03-17T00:00:00"/>
    <n v="100"/>
    <x v="1"/>
    <d v="2025-03-17T00:00:00"/>
    <s v="Rest of the World"/>
    <x v="10"/>
  </r>
  <r>
    <s v="PRO-000003135"/>
    <d v="2025-03-17T00:00:00"/>
    <n v="0"/>
    <x v="1"/>
    <d v="2025-03-18T00:00:00"/>
    <s v="UK"/>
    <x v="10"/>
  </r>
  <r>
    <s v="PRO-000003139"/>
    <d v="2025-03-19T00:00:00"/>
    <n v="100"/>
    <x v="2"/>
    <d v="2025-03-18T00:00:00"/>
    <s v="UK"/>
    <x v="10"/>
  </r>
  <r>
    <s v="PRO-000003152"/>
    <d v="2025-03-21T00:00:00"/>
    <n v="100"/>
    <x v="1"/>
    <d v="2025-03-18T00:00:00"/>
    <s v="UK"/>
    <x v="10"/>
  </r>
  <r>
    <s v="PRO-000003160"/>
    <d v="2025-04-18T00:00:00"/>
    <n v="100"/>
    <x v="0"/>
    <d v="2025-03-18T00:00:00"/>
    <s v="UK"/>
    <x v="10"/>
  </r>
  <r>
    <s v="PRO-000003164"/>
    <d v="2025-03-18T00:00:00"/>
    <n v="100"/>
    <x v="1"/>
    <d v="2025-03-18T00:00:00"/>
    <s v="UK"/>
    <x v="10"/>
  </r>
  <r>
    <s v="PRO-000003171"/>
    <d v="2025-04-28T00:00:00"/>
    <n v="100"/>
    <x v="1"/>
    <d v="2025-03-18T00:00:00"/>
    <s v="UK"/>
    <x v="10"/>
  </r>
  <r>
    <s v="PRO-000003165"/>
    <d v="2025-03-18T00:00:00"/>
    <n v="100"/>
    <x v="2"/>
    <d v="2025-03-18T00:00:00"/>
    <s v="USA"/>
    <x v="10"/>
  </r>
  <r>
    <s v="PRO-000003166"/>
    <d v="2025-03-20T00:00:00"/>
    <n v="100"/>
    <x v="1"/>
    <d v="2025-03-19T00:00:00"/>
    <s v="UK"/>
    <x v="10"/>
  </r>
  <r>
    <s v="PRO-000003174"/>
    <d v="2025-03-19T00:00:00"/>
    <n v="100"/>
    <x v="1"/>
    <d v="2025-03-19T00:00:00"/>
    <s v="UK"/>
    <x v="10"/>
  </r>
  <r>
    <s v="PRO-000003137"/>
    <d v="2025-03-20T00:00:00"/>
    <n v="100"/>
    <x v="2"/>
    <d v="2025-03-19T00:00:00"/>
    <s v="USA"/>
    <x v="10"/>
  </r>
  <r>
    <s v="PRO-000003159"/>
    <d v="2025-03-20T00:00:00"/>
    <n v="100"/>
    <x v="2"/>
    <d v="2025-03-19T00:00:00"/>
    <s v="USA"/>
    <x v="10"/>
  </r>
  <r>
    <s v="PRO-000003088"/>
    <d v="2025-03-14T00:00:00"/>
    <n v="0"/>
    <x v="2"/>
    <d v="2025-03-19T00:00:00"/>
    <s v="Australia"/>
    <x v="10"/>
  </r>
  <r>
    <s v="PRO-000003125"/>
    <d v="2025-03-17T00:00:00"/>
    <n v="0"/>
    <x v="2"/>
    <d v="2025-03-19T00:00:00"/>
    <s v="Australia"/>
    <x v="10"/>
  </r>
  <r>
    <s v="PRO-000003168"/>
    <d v="2025-03-20T00:00:00"/>
    <n v="100"/>
    <x v="1"/>
    <d v="2025-03-20T00:00:00"/>
    <s v="UK"/>
    <x v="10"/>
  </r>
  <r>
    <s v="PRO-000003182"/>
    <d v="2025-03-20T00:00:00"/>
    <n v="100"/>
    <x v="1"/>
    <d v="2025-03-20T00:00:00"/>
    <s v="UK"/>
    <x v="10"/>
  </r>
  <r>
    <s v="PRO-000003191"/>
    <d v="2025-03-24T00:00:00"/>
    <n v="100"/>
    <x v="1"/>
    <d v="2025-03-20T00:00:00"/>
    <s v="France"/>
    <x v="10"/>
  </r>
  <r>
    <s v="PRO-000003143"/>
    <d v="2025-03-13T00:00:00"/>
    <n v="0"/>
    <x v="2"/>
    <d v="2025-03-20T00:00:00"/>
    <s v="USA"/>
    <x v="10"/>
  </r>
  <r>
    <s v="PRO-000003155"/>
    <d v="2025-03-21T00:00:00"/>
    <n v="100"/>
    <x v="1"/>
    <d v="2025-03-20T00:00:00"/>
    <s v="Rest of the World"/>
    <x v="10"/>
  </r>
  <r>
    <s v="PRO-000002965"/>
    <d v="2025-03-21T00:00:00"/>
    <n v="100"/>
    <x v="0"/>
    <d v="2025-03-21T00:00:00"/>
    <s v="UK"/>
    <x v="10"/>
  </r>
  <r>
    <s v="PRO-000003183"/>
    <d v="2025-03-21T00:00:00"/>
    <n v="100"/>
    <x v="2"/>
    <d v="2025-03-21T00:00:00"/>
    <s v="UK"/>
    <x v="10"/>
  </r>
  <r>
    <s v="PRO-000003153"/>
    <d v="2025-03-21T00:00:00"/>
    <n v="100"/>
    <x v="2"/>
    <d v="2025-03-21T00:00:00"/>
    <s v="USA"/>
    <x v="10"/>
  </r>
  <r>
    <s v="PRO-000003172"/>
    <d v="2025-03-29T00:00:00"/>
    <n v="100"/>
    <x v="2"/>
    <d v="2025-03-21T00:00:00"/>
    <s v="USA"/>
    <x v="10"/>
  </r>
  <r>
    <s v="PRO-000003192"/>
    <d v="2025-03-21T00:00:00"/>
    <n v="100"/>
    <x v="3"/>
    <d v="2025-03-21T00:00:00"/>
    <s v="USA"/>
    <x v="10"/>
  </r>
  <r>
    <s v="PRO-000003195"/>
    <d v="2025-03-21T00:00:00"/>
    <n v="100"/>
    <x v="1"/>
    <d v="2025-03-21T00:00:00"/>
    <s v="USA"/>
    <x v="10"/>
  </r>
  <r>
    <s v="PRO-000003196"/>
    <d v="2025-03-21T00:00:00"/>
    <n v="100"/>
    <x v="2"/>
    <d v="2025-03-21T00:00:00"/>
    <s v="USA"/>
    <x v="10"/>
  </r>
  <r>
    <s v="PRO-000003146"/>
    <d v="2025-03-20T00:00:00"/>
    <n v="0"/>
    <x v="1"/>
    <d v="2025-03-21T00:00:00"/>
    <s v="Rest of the World"/>
    <x v="10"/>
  </r>
  <r>
    <s v="PRO-000003081"/>
    <d v="2025-03-28T00:00:00"/>
    <n v="100"/>
    <x v="1"/>
    <d v="2025-03-21T00:00:00"/>
    <s v="Rest of the World"/>
    <x v="10"/>
  </r>
  <r>
    <s v="PRO-000003176"/>
    <d v="2025-03-21T00:00:00"/>
    <n v="100"/>
    <x v="1"/>
    <d v="2025-03-21T00:00:00"/>
    <s v="Rest of the World"/>
    <x v="10"/>
  </r>
  <r>
    <s v="PRO-000003193"/>
    <d v="2025-03-24T00:00:00"/>
    <n v="100"/>
    <x v="1"/>
    <d v="2025-03-21T00:00:00"/>
    <s v="Rest of the World"/>
    <x v="10"/>
  </r>
  <r>
    <s v="PRO-000003200"/>
    <d v="2025-03-21T00:00:00"/>
    <n v="100"/>
    <x v="1"/>
    <d v="2025-03-21T00:00:00"/>
    <s v="Rest of the World"/>
    <x v="10"/>
  </r>
  <r>
    <s v="PRO-000003175"/>
    <d v="2025-03-24T00:00:00"/>
    <n v="100"/>
    <x v="2"/>
    <d v="2025-03-24T00:00:00"/>
    <s v="UK"/>
    <x v="11"/>
  </r>
  <r>
    <s v="PRO-000003198"/>
    <d v="2025-03-24T00:00:00"/>
    <n v="100"/>
    <x v="2"/>
    <d v="2025-03-24T00:00:00"/>
    <s v="USA"/>
    <x v="11"/>
  </r>
  <r>
    <s v="PRO-000003114"/>
    <d v="2025-03-24T00:00:00"/>
    <n v="100"/>
    <x v="2"/>
    <d v="2025-03-24T00:00:00"/>
    <s v="Australia"/>
    <x v="11"/>
  </r>
  <r>
    <s v="PRO-000003177"/>
    <d v="2025-03-25T00:00:00"/>
    <n v="100"/>
    <x v="0"/>
    <d v="2025-03-24T00:00:00"/>
    <s v="Australia"/>
    <x v="11"/>
  </r>
  <r>
    <s v="PRO-000003188"/>
    <m/>
    <n v="100"/>
    <x v="1"/>
    <d v="2025-03-24T00:00:00"/>
    <s v="Australia"/>
    <x v="11"/>
  </r>
  <r>
    <s v="PRO-000003148"/>
    <d v="2025-03-25T00:00:00"/>
    <n v="100"/>
    <x v="1"/>
    <d v="2025-03-24T00:00:00"/>
    <s v="Rest of the World"/>
    <x v="11"/>
  </r>
  <r>
    <s v="PRO-000003161"/>
    <d v="2025-03-26T00:00:00"/>
    <n v="100"/>
    <x v="1"/>
    <d v="2025-03-24T00:00:00"/>
    <s v="Rest of the World"/>
    <x v="11"/>
  </r>
  <r>
    <s v="PRO-000003076"/>
    <d v="2025-03-26T00:00:00"/>
    <n v="100"/>
    <x v="2"/>
    <d v="2025-03-25T00:00:00"/>
    <s v="UK"/>
    <x v="11"/>
  </r>
  <r>
    <s v="PRO-000003190"/>
    <d v="2025-03-25T00:00:00"/>
    <n v="100"/>
    <x v="2"/>
    <d v="2025-03-25T00:00:00"/>
    <s v="UK"/>
    <x v="11"/>
  </r>
  <r>
    <s v="PRO-000003072"/>
    <d v="2025-03-26T00:00:00"/>
    <n v="100"/>
    <x v="2"/>
    <d v="2025-03-25T00:00:00"/>
    <s v="Australia"/>
    <x v="11"/>
  </r>
  <r>
    <s v="PRO-000003162"/>
    <d v="2025-03-26T00:00:00"/>
    <n v="100"/>
    <x v="1"/>
    <d v="2025-03-25T00:00:00"/>
    <s v="Australia"/>
    <x v="11"/>
  </r>
  <r>
    <s v="PRO-000003185"/>
    <d v="2025-03-26T00:00:00"/>
    <n v="100"/>
    <x v="1"/>
    <d v="2025-03-26T00:00:00"/>
    <s v="UK"/>
    <x v="11"/>
  </r>
  <r>
    <s v="PRO-000003222"/>
    <d v="2025-04-07T00:00:00"/>
    <n v="100"/>
    <x v="0"/>
    <d v="2025-03-26T00:00:00"/>
    <s v="UK"/>
    <x v="11"/>
  </r>
  <r>
    <s v="PRO-000003184"/>
    <d v="2025-03-28T00:00:00"/>
    <n v="100"/>
    <x v="1"/>
    <d v="2025-03-26T00:00:00"/>
    <s v="France"/>
    <x v="11"/>
  </r>
  <r>
    <s v="PRO-000003167"/>
    <d v="2025-03-26T00:00:00"/>
    <n v="100"/>
    <x v="1"/>
    <d v="2025-03-26T00:00:00"/>
    <s v="USA"/>
    <x v="11"/>
  </r>
  <r>
    <s v="PRO-000003194"/>
    <d v="2025-03-26T00:00:00"/>
    <n v="100"/>
    <x v="2"/>
    <d v="2025-03-26T00:00:00"/>
    <s v="USA"/>
    <x v="11"/>
  </r>
  <r>
    <s v="PRO-000003214"/>
    <d v="2025-04-26T00:00:00"/>
    <n v="100"/>
    <x v="2"/>
    <d v="2025-03-26T00:00:00"/>
    <s v="USA"/>
    <x v="11"/>
  </r>
  <r>
    <s v="PRO-000003208"/>
    <d v="2025-03-26T00:00:00"/>
    <n v="100"/>
    <x v="2"/>
    <d v="2025-03-26T00:00:00"/>
    <s v="Australia"/>
    <x v="11"/>
  </r>
  <r>
    <s v="PRO-000003157"/>
    <d v="2025-03-25T00:00:00"/>
    <n v="0"/>
    <x v="1"/>
    <d v="2025-03-26T00:00:00"/>
    <s v="Rest of the World"/>
    <x v="11"/>
  </r>
  <r>
    <s v="PRO-000003150"/>
    <d v="2025-03-27T00:00:00"/>
    <n v="100"/>
    <x v="1"/>
    <d v="2025-03-26T00:00:00"/>
    <s v="Rest of the World"/>
    <x v="11"/>
  </r>
  <r>
    <s v="PRO-000003213"/>
    <d v="2025-04-01T00:00:00"/>
    <n v="100"/>
    <x v="1"/>
    <d v="2025-03-26T00:00:00"/>
    <s v="Rest of the World"/>
    <x v="11"/>
  </r>
  <r>
    <s v="PRO-000003189"/>
    <d v="2025-03-28T00:00:00"/>
    <n v="100"/>
    <x v="1"/>
    <d v="2025-03-27T00:00:00"/>
    <s v="UK"/>
    <x v="11"/>
  </r>
  <r>
    <s v="PRO-000003209"/>
    <d v="2025-03-27T00:00:00"/>
    <n v="100"/>
    <x v="1"/>
    <d v="2025-03-27T00:00:00"/>
    <s v="UK"/>
    <x v="11"/>
  </r>
  <r>
    <s v="PRO-000003211"/>
    <m/>
    <n v="100"/>
    <x v="1"/>
    <d v="2025-03-27T00:00:00"/>
    <s v="UK"/>
    <x v="11"/>
  </r>
  <r>
    <s v="PRO-000003228"/>
    <m/>
    <n v="100"/>
    <x v="0"/>
    <d v="2025-03-27T00:00:00"/>
    <s v="UK"/>
    <x v="11"/>
  </r>
  <r>
    <s v="PRO-000003239"/>
    <d v="2025-03-27T00:00:00"/>
    <n v="0"/>
    <x v="1"/>
    <d v="2025-03-28T00:00:00"/>
    <s v="UK"/>
    <x v="11"/>
  </r>
  <r>
    <s v="PRO-000003210"/>
    <m/>
    <n v="100"/>
    <x v="1"/>
    <d v="2025-03-28T00:00:00"/>
    <s v="UK"/>
    <x v="11"/>
  </r>
  <r>
    <s v="PRO-000003227"/>
    <d v="2025-04-02T00:00:00"/>
    <n v="100"/>
    <x v="2"/>
    <d v="2025-03-28T00:00:00"/>
    <s v="UK"/>
    <x v="11"/>
  </r>
  <r>
    <s v="PRO-000003226"/>
    <d v="2025-04-04T00:00:00"/>
    <n v="100"/>
    <x v="2"/>
    <d v="2025-03-28T00:00:00"/>
    <s v="UK"/>
    <x v="11"/>
  </r>
  <r>
    <s v="PRO-000003186"/>
    <d v="2025-03-28T00:00:00"/>
    <n v="100"/>
    <x v="2"/>
    <d v="2025-03-28T00:00:00"/>
    <s v="USA"/>
    <x v="11"/>
  </r>
  <r>
    <s v="PRO-000003236"/>
    <m/>
    <n v="100"/>
    <x v="2"/>
    <d v="2025-03-28T00:00:00"/>
    <s v="USA"/>
    <x v="11"/>
  </r>
  <r>
    <s v="PRO-000003181"/>
    <d v="2025-03-28T00:00:00"/>
    <n v="100"/>
    <x v="2"/>
    <d v="2025-03-28T00:00:00"/>
    <s v="Australia"/>
    <x v="11"/>
  </r>
  <r>
    <s v="PRO-000003201"/>
    <d v="2025-03-31T00:00:00"/>
    <n v="100"/>
    <x v="1"/>
    <d v="2025-03-28T00:00:00"/>
    <s v="Rest of the World"/>
    <x v="11"/>
  </r>
  <r>
    <s v="PRO-000003205"/>
    <d v="2025-03-31T00:00:00"/>
    <n v="100"/>
    <x v="1"/>
    <d v="2025-03-28T00:00:00"/>
    <s v="Rest of the World"/>
    <x v="11"/>
  </r>
  <r>
    <s v="PRO-000003232"/>
    <d v="2025-04-03T00:00:00"/>
    <n v="100"/>
    <x v="1"/>
    <d v="2025-03-28T00:00:00"/>
    <s v="Rest of the World"/>
    <x v="11"/>
  </r>
  <r>
    <s v="PRO-000003170"/>
    <d v="2025-03-28T00:00:00"/>
    <n v="100"/>
    <x v="1"/>
    <d v="2025-03-28T00:00:00"/>
    <s v="Special Projects"/>
    <x v="11"/>
  </r>
  <r>
    <s v="PRO-000003207"/>
    <d v="2025-03-31T00:00:00"/>
    <n v="100"/>
    <x v="0"/>
    <d v="2025-03-30T00:00:00"/>
    <s v="Australia"/>
    <x v="12"/>
  </r>
  <r>
    <s v="PRO-000003231"/>
    <m/>
    <n v="100"/>
    <x v="1"/>
    <d v="2025-03-31T00:00:00"/>
    <s v="UK"/>
    <x v="12"/>
  </r>
  <r>
    <s v="PRO-000003240"/>
    <m/>
    <n v="100"/>
    <x v="1"/>
    <d v="2025-03-31T00:00:00"/>
    <s v="UK"/>
    <x v="12"/>
  </r>
  <r>
    <s v="PRO-000003173"/>
    <d v="2025-03-30T00:00:00"/>
    <n v="0"/>
    <x v="2"/>
    <d v="2025-03-31T00:00:00"/>
    <s v="USA"/>
    <x v="12"/>
  </r>
  <r>
    <s v="PRO-000003202"/>
    <d v="2025-04-01T00:00:00"/>
    <n v="100"/>
    <x v="2"/>
    <d v="2025-03-31T00:00:00"/>
    <s v="Australia"/>
    <x v="12"/>
  </r>
  <r>
    <s v="PRO-000003224"/>
    <d v="2025-04-25T00:00:00"/>
    <n v="100"/>
    <x v="2"/>
    <d v="2025-03-31T00:00:00"/>
    <s v="Australia"/>
    <x v="12"/>
  </r>
  <r>
    <s v="PRO-000003197"/>
    <d v="2025-04-02T00:00:00"/>
    <n v="100"/>
    <x v="1"/>
    <d v="2025-04-01T00:00:00"/>
    <s v="UK"/>
    <x v="12"/>
  </r>
  <r>
    <s v="PRO-000003242"/>
    <m/>
    <n v="100"/>
    <x v="1"/>
    <d v="2025-04-01T00:00:00"/>
    <s v="UK"/>
    <x v="12"/>
  </r>
  <r>
    <s v="PRO-000003244"/>
    <d v="2025-04-04T00:00:00"/>
    <n v="100"/>
    <x v="1"/>
    <d v="2025-04-04T00:00:00"/>
    <s v="UK"/>
    <x v="12"/>
  </r>
  <r>
    <s v="PRO-000003250"/>
    <m/>
    <n v="100"/>
    <x v="1"/>
    <d v="2025-04-03T00:00:00"/>
    <s v="UK"/>
    <x v="12"/>
  </r>
  <r>
    <s v="PRO-000003251"/>
    <m/>
    <n v="100"/>
    <x v="1"/>
    <d v="2025-04-04T00:00:00"/>
    <s v="UK"/>
    <x v="12"/>
  </r>
  <r>
    <s v="PRO-000003252"/>
    <d v="2025-04-04T00:00:00"/>
    <n v="100"/>
    <x v="1"/>
    <d v="2025-04-04T00:00:00"/>
    <s v="UK"/>
    <x v="12"/>
  </r>
  <r>
    <s v="PRO-000003253"/>
    <m/>
    <n v="100"/>
    <x v="1"/>
    <d v="2025-04-02T00:00:00"/>
    <s v="UK"/>
    <x v="12"/>
  </r>
  <r>
    <s v="PRO-000003254"/>
    <d v="2025-04-03T00:00:00"/>
    <n v="100"/>
    <x v="0"/>
    <d v="2025-04-03T00:00:00"/>
    <s v="UK"/>
    <x v="12"/>
  </r>
  <r>
    <s v="PRO-000003265"/>
    <m/>
    <n v="100"/>
    <x v="1"/>
    <d v="2025-04-04T00:00:00"/>
    <s v="UK"/>
    <x v="12"/>
  </r>
  <r>
    <s v="PRO-000003267"/>
    <d v="2025-04-03T00:00:00"/>
    <n v="100"/>
    <x v="1"/>
    <d v="2025-04-03T00:00:00"/>
    <s v="UK"/>
    <x v="12"/>
  </r>
  <r>
    <s v="PRO-000003241"/>
    <d v="2025-04-04T00:00:00"/>
    <n v="100"/>
    <x v="1"/>
    <d v="2025-04-04T00:00:00"/>
    <s v="France"/>
    <x v="12"/>
  </r>
  <r>
    <s v="PRO-000003132"/>
    <d v="2025-03-28T00:00:00"/>
    <n v="0"/>
    <x v="2"/>
    <d v="2025-04-01T00:00:00"/>
    <s v="USA"/>
    <x v="12"/>
  </r>
  <r>
    <s v="PRO-000003215"/>
    <d v="2025-04-02T00:00:00"/>
    <n v="100"/>
    <x v="2"/>
    <d v="2025-04-02T00:00:00"/>
    <s v="USA"/>
    <x v="12"/>
  </r>
  <r>
    <s v="PRO-000003217"/>
    <d v="2025-04-02T00:00:00"/>
    <n v="100"/>
    <x v="2"/>
    <d v="2025-04-01T00:00:00"/>
    <s v="USA"/>
    <x v="12"/>
  </r>
  <r>
    <s v="PRO-000003229"/>
    <d v="2025-04-02T00:00:00"/>
    <n v="100"/>
    <x v="2"/>
    <d v="2025-04-02T00:00:00"/>
    <s v="USA"/>
    <x v="12"/>
  </r>
  <r>
    <s v="PRO-000003235"/>
    <m/>
    <n v="100"/>
    <x v="1"/>
    <d v="2025-04-01T00:00:00"/>
    <s v="USA"/>
    <x v="12"/>
  </r>
  <r>
    <s v="PRO-000003243"/>
    <m/>
    <n v="100"/>
    <x v="3"/>
    <d v="2025-04-01T00:00:00"/>
    <s v="USA"/>
    <x v="12"/>
  </r>
  <r>
    <s v="PRO-000003245"/>
    <d v="2025-04-04T00:00:00"/>
    <n v="100"/>
    <x v="2"/>
    <d v="2025-04-04T00:00:00"/>
    <s v="USA"/>
    <x v="12"/>
  </r>
  <r>
    <s v="PRO-000003274"/>
    <d v="2025-04-04T00:00:00"/>
    <n v="100"/>
    <x v="2"/>
    <d v="2025-04-04T00:00:00"/>
    <s v="USA"/>
    <x v="12"/>
  </r>
  <r>
    <s v="PRO-000003087"/>
    <d v="2025-04-02T00:00:00"/>
    <n v="100"/>
    <x v="2"/>
    <d v="2025-04-01T00:00:00"/>
    <s v="Australia"/>
    <x v="12"/>
  </r>
  <r>
    <s v="PRO-000003218"/>
    <d v="2025-04-02T00:00:00"/>
    <n v="100"/>
    <x v="2"/>
    <d v="2025-04-02T00:00:00"/>
    <s v="Australia"/>
    <x v="12"/>
  </r>
  <r>
    <s v="PRO-000003237"/>
    <d v="2025-04-03T00:00:00"/>
    <n v="100"/>
    <x v="0"/>
    <d v="2025-04-03T00:00:00"/>
    <s v="Australia"/>
    <x v="12"/>
  </r>
  <r>
    <s v="PRO-000003248"/>
    <d v="2025-04-02T00:00:00"/>
    <n v="100"/>
    <x v="2"/>
    <d v="2025-04-01T00:00:00"/>
    <s v="Australia"/>
    <x v="12"/>
  </r>
  <r>
    <s v="PRO-000003255"/>
    <d v="2025-04-04T00:00:00"/>
    <n v="100"/>
    <x v="2"/>
    <d v="2025-04-04T00:00:00"/>
    <s v="Australia"/>
    <x v="12"/>
  </r>
  <r>
    <s v="PRO-000003246"/>
    <d v="2025-03-31T00:00:00"/>
    <n v="0"/>
    <x v="1"/>
    <d v="2025-04-01T00:00:00"/>
    <s v="Rest of the World"/>
    <x v="12"/>
  </r>
  <r>
    <s v="PRO-000003225"/>
    <d v="2025-04-04T00:00:00"/>
    <n v="100"/>
    <x v="1"/>
    <d v="2025-04-03T00:00:00"/>
    <s v="Rest of the World"/>
    <x v="12"/>
  </r>
  <r>
    <s v="PRO-000003233"/>
    <d v="2025-04-04T00:00:00"/>
    <n v="100"/>
    <x v="1"/>
    <d v="2025-04-01T00:00:00"/>
    <s v="Rest of the World"/>
    <x v="12"/>
  </r>
  <r>
    <s v="PRO-000003249"/>
    <d v="2025-04-01T00:00:00"/>
    <n v="100"/>
    <x v="1"/>
    <d v="2025-04-01T00:00:00"/>
    <s v="Rest of the World"/>
    <x v="12"/>
  </r>
  <r>
    <s v="PRO-000003258"/>
    <d v="2025-04-03T00:00:00"/>
    <n v="100"/>
    <x v="1"/>
    <d v="2025-04-03T00:00:00"/>
    <s v="Special Projects"/>
    <x v="12"/>
  </r>
  <r>
    <s v="PRO-000003238"/>
    <d v="2025-04-07T00:00:00"/>
    <n v="0"/>
    <x v="1"/>
    <d v="2025-04-08T00:00:00"/>
    <s v="UK"/>
    <x v="13"/>
  </r>
  <r>
    <s v="PRO-000003266"/>
    <d v="2025-04-08T00:00:00"/>
    <n v="0"/>
    <x v="1"/>
    <d v="2025-04-10T00:00:00"/>
    <s v="UK"/>
    <x v="13"/>
  </r>
  <r>
    <s v="PRO-000003259"/>
    <m/>
    <n v="100"/>
    <x v="1"/>
    <d v="2025-04-08T00:00:00"/>
    <s v="UK"/>
    <x v="13"/>
  </r>
  <r>
    <s v="PRO-000003260"/>
    <m/>
    <n v="100"/>
    <x v="1"/>
    <d v="2025-04-11T00:00:00"/>
    <s v="UK"/>
    <x v="13"/>
  </r>
  <r>
    <s v="PRO-000003263"/>
    <m/>
    <n v="100"/>
    <x v="1"/>
    <d v="2025-04-07T00:00:00"/>
    <s v="UK"/>
    <x v="13"/>
  </r>
  <r>
    <s v="PRO-000003264"/>
    <m/>
    <n v="100"/>
    <x v="1"/>
    <d v="2025-04-08T00:00:00"/>
    <s v="UK"/>
    <x v="13"/>
  </r>
  <r>
    <s v="PRO-000003271"/>
    <m/>
    <n v="100"/>
    <x v="1"/>
    <d v="2025-04-08T00:00:00"/>
    <s v="UK"/>
    <x v="13"/>
  </r>
  <r>
    <s v="PRO-000003276"/>
    <d v="2025-04-09T00:00:00"/>
    <n v="100"/>
    <x v="1"/>
    <d v="2025-04-09T00:00:00"/>
    <s v="UK"/>
    <x v="13"/>
  </r>
  <r>
    <s v="PRO-000003279"/>
    <d v="2025-04-11T00:00:00"/>
    <n v="100"/>
    <x v="1"/>
    <d v="2025-04-11T00:00:00"/>
    <s v="UK"/>
    <x v="13"/>
  </r>
  <r>
    <s v="PRO-000003289"/>
    <d v="2025-04-09T00:00:00"/>
    <n v="100"/>
    <x v="0"/>
    <d v="2025-04-09T00:00:00"/>
    <s v="UK"/>
    <x v="13"/>
  </r>
  <r>
    <s v="PRO-000003291"/>
    <m/>
    <n v="100"/>
    <x v="1"/>
    <d v="2025-04-11T00:00:00"/>
    <s v="UK"/>
    <x v="13"/>
  </r>
  <r>
    <s v="PRO-000003292"/>
    <m/>
    <n v="100"/>
    <x v="1"/>
    <d v="2025-04-08T00:00:00"/>
    <s v="UK"/>
    <x v="13"/>
  </r>
  <r>
    <s v="PRO-000003294"/>
    <m/>
    <n v="100"/>
    <x v="1"/>
    <d v="2025-04-11T00:00:00"/>
    <s v="UK"/>
    <x v="13"/>
  </r>
  <r>
    <s v="PRO-000003212"/>
    <d v="2025-04-11T00:00:00"/>
    <n v="100"/>
    <x v="1"/>
    <d v="2025-04-11T00:00:00"/>
    <s v="France"/>
    <x v="13"/>
  </r>
  <r>
    <s v="PRO-000003273"/>
    <d v="2025-04-11T00:00:00"/>
    <n v="100"/>
    <x v="1"/>
    <d v="2025-04-08T00:00:00"/>
    <s v="France"/>
    <x v="13"/>
  </r>
  <r>
    <s v="PRO-000003275"/>
    <d v="2025-04-11T00:00:00"/>
    <n v="100"/>
    <x v="1"/>
    <d v="2025-04-08T00:00:00"/>
    <s v="France"/>
    <x v="13"/>
  </r>
  <r>
    <s v="PRO-000003187"/>
    <d v="2025-04-07T00:00:00"/>
    <n v="0"/>
    <x v="2"/>
    <d v="2025-04-11T00:00:00"/>
    <s v="USA"/>
    <x v="13"/>
  </r>
  <r>
    <s v="PRO-000003234"/>
    <d v="2025-04-08T00:00:00"/>
    <n v="0"/>
    <x v="2"/>
    <d v="2025-04-10T00:00:00"/>
    <s v="USA"/>
    <x v="13"/>
  </r>
  <r>
    <s v="PRO-000003123"/>
    <d v="2025-04-07T00:00:00"/>
    <n v="100"/>
    <x v="1"/>
    <d v="2025-04-07T00:00:00"/>
    <s v="USA"/>
    <x v="13"/>
  </r>
  <r>
    <s v="PRO-000003158"/>
    <d v="2025-04-11T00:00:00"/>
    <n v="100"/>
    <x v="2"/>
    <d v="2025-04-11T00:00:00"/>
    <s v="USA"/>
    <x v="13"/>
  </r>
  <r>
    <s v="PRO-000003178"/>
    <d v="2025-04-11T00:00:00"/>
    <n v="100"/>
    <x v="2"/>
    <d v="2025-04-11T00:00:00"/>
    <s v="USA"/>
    <x v="13"/>
  </r>
  <r>
    <s v="PRO-000003230"/>
    <d v="2025-04-11T00:00:00"/>
    <n v="100"/>
    <x v="2"/>
    <d v="2025-04-11T00:00:00"/>
    <s v="USA"/>
    <x v="13"/>
  </r>
  <r>
    <s v="PRO-000003287"/>
    <d v="2025-04-08T00:00:00"/>
    <n v="100"/>
    <x v="2"/>
    <d v="2025-04-08T00:00:00"/>
    <s v="USA"/>
    <x v="13"/>
  </r>
  <r>
    <s v="PRO-000003288"/>
    <d v="2025-04-14T00:00:00"/>
    <n v="100"/>
    <x v="2"/>
    <d v="2025-04-13T00:00:00"/>
    <s v="USA"/>
    <x v="14"/>
  </r>
  <r>
    <s v="PRO-000003295"/>
    <d v="2025-04-10T00:00:00"/>
    <n v="100"/>
    <x v="2"/>
    <d v="2025-04-10T00:00:00"/>
    <s v="USA"/>
    <x v="13"/>
  </r>
  <r>
    <s v="PRO-000003302"/>
    <m/>
    <n v="100"/>
    <x v="2"/>
    <d v="2025-04-09T00:00:00"/>
    <s v="USA"/>
    <x v="13"/>
  </r>
  <r>
    <s v="PRO-000002847"/>
    <d v="2025-04-07T00:00:00"/>
    <n v="100"/>
    <x v="1"/>
    <d v="2025-04-07T00:00:00"/>
    <s v="Australia"/>
    <x v="13"/>
  </r>
  <r>
    <s v="PRO-000003283"/>
    <d v="2025-04-07T00:00:00"/>
    <n v="100"/>
    <x v="2"/>
    <d v="2025-04-07T00:00:00"/>
    <s v="Australia"/>
    <x v="13"/>
  </r>
  <r>
    <s v="PRO-000003285"/>
    <d v="2025-04-08T00:00:00"/>
    <n v="100"/>
    <x v="0"/>
    <d v="2025-04-08T00:00:00"/>
    <s v="Australia"/>
    <x v="13"/>
  </r>
  <r>
    <s v="PRO-000003300"/>
    <d v="2025-04-11T00:00:00"/>
    <n v="100"/>
    <x v="2"/>
    <d v="2025-04-11T00:00:00"/>
    <s v="Australia"/>
    <x v="13"/>
  </r>
  <r>
    <s v="PRO-000003206"/>
    <d v="2025-04-08T00:00:00"/>
    <n v="0"/>
    <x v="1"/>
    <d v="2025-04-11T00:00:00"/>
    <s v="Rest of the World"/>
    <x v="13"/>
  </r>
  <r>
    <s v="PRO-000003221"/>
    <d v="2025-04-07T00:00:00"/>
    <n v="100"/>
    <x v="1"/>
    <d v="2025-04-07T00:00:00"/>
    <s v="Rest of the World"/>
    <x v="13"/>
  </r>
  <r>
    <s v="PRO-000003262"/>
    <d v="2025-04-11T00:00:00"/>
    <n v="100"/>
    <x v="1"/>
    <d v="2025-04-09T00:00:00"/>
    <s v="Rest of the World"/>
    <x v="13"/>
  </r>
  <r>
    <s v="PRO-000003268"/>
    <d v="2025-04-10T00:00:00"/>
    <n v="100"/>
    <x v="1"/>
    <d v="2025-04-09T00:00:00"/>
    <s v="Rest of the World"/>
    <x v="13"/>
  </r>
  <r>
    <s v="PRO-000003269"/>
    <d v="2025-04-10T00:00:00"/>
    <n v="100"/>
    <x v="1"/>
    <d v="2025-04-07T00:00:00"/>
    <s v="Rest of the World"/>
    <x v="13"/>
  </r>
  <r>
    <s v="PRO-000003277"/>
    <d v="2025-04-15T00:00:00"/>
    <n v="0"/>
    <x v="2"/>
    <d v="2025-04-16T00:00:00"/>
    <s v="UK"/>
    <x v="14"/>
  </r>
  <r>
    <s v="PRO-000003303"/>
    <d v="2025-04-14T00:00:00"/>
    <n v="0"/>
    <x v="1"/>
    <d v="2025-04-15T00:00:00"/>
    <s v="UK"/>
    <x v="14"/>
  </r>
  <r>
    <s v="PRO-000003272"/>
    <d v="2025-04-17T00:00:00"/>
    <n v="100"/>
    <x v="2"/>
    <d v="2025-04-14T00:00:00"/>
    <s v="UK"/>
    <x v="14"/>
  </r>
  <r>
    <s v="PRO-000003297"/>
    <m/>
    <n v="100"/>
    <x v="0"/>
    <d v="2025-04-16T00:00:00"/>
    <s v="UK"/>
    <x v="14"/>
  </r>
  <r>
    <s v="PRO-000003301"/>
    <d v="2025-04-16T00:00:00"/>
    <n v="100"/>
    <x v="1"/>
    <d v="2025-04-16T00:00:00"/>
    <s v="UK"/>
    <x v="14"/>
  </r>
  <r>
    <s v="PRO-000003308"/>
    <m/>
    <n v="100"/>
    <x v="1"/>
    <d v="2025-04-14T00:00:00"/>
    <s v="UK"/>
    <x v="14"/>
  </r>
  <r>
    <s v="PRO-000003309"/>
    <d v="2025-04-15T00:00:00"/>
    <n v="100"/>
    <x v="1"/>
    <d v="2025-04-15T00:00:00"/>
    <s v="UK"/>
    <x v="14"/>
  </r>
  <r>
    <s v="PRO-000003311"/>
    <m/>
    <n v="100"/>
    <x v="1"/>
    <d v="2025-04-14T00:00:00"/>
    <s v="UK"/>
    <x v="14"/>
  </r>
  <r>
    <s v="PRO-000003313"/>
    <m/>
    <n v="100"/>
    <x v="1"/>
    <d v="2025-04-16T00:00:00"/>
    <s v="UK"/>
    <x v="14"/>
  </r>
  <r>
    <s v="PRO-000003318"/>
    <d v="2025-04-17T00:00:00"/>
    <n v="100"/>
    <x v="1"/>
    <d v="2025-04-16T00:00:00"/>
    <s v="UK"/>
    <x v="14"/>
  </r>
  <r>
    <s v="PRO-000003330"/>
    <d v="2025-04-17T00:00:00"/>
    <n v="100"/>
    <x v="1"/>
    <d v="2025-04-17T00:00:00"/>
    <s v="UK"/>
    <x v="14"/>
  </r>
  <r>
    <s v="PRO-000003199"/>
    <d v="2025-04-16T00:00:00"/>
    <n v="0"/>
    <x v="2"/>
    <d v="2025-04-18T00:00:00"/>
    <s v="USA"/>
    <x v="14"/>
  </r>
  <r>
    <s v="PRO-000003315"/>
    <d v="2025-04-16T00:00:00"/>
    <n v="0"/>
    <x v="2"/>
    <d v="2025-04-17T00:00:00"/>
    <s v="USA"/>
    <x v="14"/>
  </r>
  <r>
    <s v="PRO-000003304"/>
    <m/>
    <n v="100"/>
    <x v="2"/>
    <d v="2025-04-14T00:00:00"/>
    <s v="USA"/>
    <x v="14"/>
  </r>
  <r>
    <s v="PRO-000003306"/>
    <d v="2025-04-16T00:00:00"/>
    <n v="100"/>
    <x v="2"/>
    <d v="2025-04-16T00:00:00"/>
    <s v="USA"/>
    <x v="14"/>
  </r>
  <r>
    <s v="PRO-000003320"/>
    <d v="2025-04-17T00:00:00"/>
    <n v="100"/>
    <x v="2"/>
    <d v="2025-04-17T00:00:00"/>
    <s v="USA"/>
    <x v="14"/>
  </r>
  <r>
    <s v="PRO-000003329"/>
    <d v="2025-04-17T00:00:00"/>
    <n v="100"/>
    <x v="2"/>
    <d v="2025-04-17T00:00:00"/>
    <s v="USA"/>
    <x v="14"/>
  </r>
  <r>
    <s v="PRO-000003333"/>
    <d v="2025-04-18T00:00:00"/>
    <n v="100"/>
    <x v="2"/>
    <d v="2025-04-18T00:00:00"/>
    <s v="USA"/>
    <x v="14"/>
  </r>
  <r>
    <s v="PRO-000003284"/>
    <m/>
    <n v="100"/>
    <x v="2"/>
    <d v="2025-04-14T00:00:00"/>
    <s v="Australia"/>
    <x v="14"/>
  </r>
  <r>
    <s v="PRO-000003322"/>
    <d v="2025-04-17T00:00:00"/>
    <n v="100"/>
    <x v="1"/>
    <d v="2025-04-17T00:00:00"/>
    <s v="Rest of the World"/>
    <x v="14"/>
  </r>
  <r>
    <s v="PRO-000003281"/>
    <d v="2025-04-22T00:00:00"/>
    <n v="0"/>
    <x v="1"/>
    <d v="2025-04-23T00:00:00"/>
    <s v="UK"/>
    <x v="15"/>
  </r>
  <r>
    <s v="PRO-000003280"/>
    <d v="2025-04-22T00:00:00"/>
    <n v="100"/>
    <x v="1"/>
    <d v="2025-04-22T00:00:00"/>
    <s v="UK"/>
    <x v="15"/>
  </r>
  <r>
    <s v="PRO-000003314"/>
    <d v="2025-04-28T00:00:00"/>
    <n v="100"/>
    <x v="1"/>
    <d v="2025-04-25T00:00:00"/>
    <s v="UK"/>
    <x v="15"/>
  </r>
  <r>
    <s v="PRO-000003326"/>
    <d v="2025-04-23T00:00:00"/>
    <n v="100"/>
    <x v="1"/>
    <d v="2025-04-23T00:00:00"/>
    <s v="UK"/>
    <x v="15"/>
  </r>
  <r>
    <s v="PRO-000003331"/>
    <m/>
    <n v="100"/>
    <x v="3"/>
    <d v="2025-04-25T00:00:00"/>
    <s v="UK"/>
    <x v="15"/>
  </r>
  <r>
    <s v="PRO-000003336"/>
    <d v="2025-04-28T00:00:00"/>
    <n v="100"/>
    <x v="1"/>
    <d v="2025-04-25T00:00:00"/>
    <s v="UK"/>
    <x v="15"/>
  </r>
  <r>
    <s v="PRO-000003337"/>
    <d v="2025-04-25T00:00:00"/>
    <n v="100"/>
    <x v="1"/>
    <d v="2025-04-25T00:00:00"/>
    <s v="UK"/>
    <x v="15"/>
  </r>
  <r>
    <s v="PRO-000003338"/>
    <d v="2025-04-25T00:00:00"/>
    <n v="100"/>
    <x v="3"/>
    <d v="2025-04-25T00:00:00"/>
    <s v="UK"/>
    <x v="15"/>
  </r>
  <r>
    <s v="PRO-000003345"/>
    <m/>
    <n v="100"/>
    <x v="1"/>
    <d v="2025-04-25T00:00:00"/>
    <s v="UK"/>
    <x v="15"/>
  </r>
  <r>
    <s v="PRO-000003305"/>
    <d v="2025-04-22T00:00:00"/>
    <n v="0"/>
    <x v="2"/>
    <d v="2025-04-23T00:00:00"/>
    <s v="USA"/>
    <x v="15"/>
  </r>
  <r>
    <s v="PRO-000003247"/>
    <m/>
    <n v="100"/>
    <x v="2"/>
    <d v="2025-04-25T00:00:00"/>
    <s v="USA"/>
    <x v="15"/>
  </r>
  <r>
    <s v="PRO-000003334"/>
    <d v="2025-04-25T00:00:00"/>
    <n v="100"/>
    <x v="2"/>
    <d v="2025-04-25T00:00:00"/>
    <s v="USA"/>
    <x v="15"/>
  </r>
  <r>
    <s v="PRO-000003342"/>
    <m/>
    <n v="100"/>
    <x v="2"/>
    <d v="2025-04-25T00:00:00"/>
    <s v="USA"/>
    <x v="15"/>
  </r>
  <r>
    <s v="PRO-000003323"/>
    <d v="2025-04-24T00:00:00"/>
    <n v="100"/>
    <x v="2"/>
    <d v="2025-04-24T00:00:00"/>
    <s v="Australia"/>
    <x v="15"/>
  </r>
  <r>
    <s v="PRO-000003310"/>
    <d v="2025-04-17T00:00:00"/>
    <n v="0"/>
    <x v="1"/>
    <d v="2025-04-23T00:00:00"/>
    <s v="Rest of the World"/>
    <x v="15"/>
  </r>
  <r>
    <s v="PRO-000003324"/>
    <d v="2025-04-25T00:00:00"/>
    <n v="100"/>
    <x v="1"/>
    <d v="2025-04-24T00:00:00"/>
    <s v="Rest of the World"/>
    <x v="15"/>
  </r>
  <r>
    <s v="PRO-000003340"/>
    <d v="2025-04-28T00:00:00"/>
    <n v="0"/>
    <x v="1"/>
    <d v="2025-04-29T00:00:00"/>
    <s v="UK"/>
    <x v="16"/>
  </r>
  <r>
    <s v="PRO-000003369"/>
    <d v="2025-05-01T00:00:00"/>
    <n v="0"/>
    <x v="1"/>
    <d v="2025-05-02T00:00:00"/>
    <s v="UK"/>
    <x v="16"/>
  </r>
  <r>
    <s v="PRO-000003282"/>
    <d v="2025-04-29T00:00:00"/>
    <n v="100"/>
    <x v="1"/>
    <d v="2025-04-29T00:00:00"/>
    <s v="UK"/>
    <x v="16"/>
  </r>
  <r>
    <s v="PRO-000003319"/>
    <m/>
    <n v="100"/>
    <x v="1"/>
    <d v="2025-05-02T00:00:00"/>
    <s v="UK"/>
    <x v="16"/>
  </r>
  <r>
    <s v="PRO-000003348"/>
    <d v="2025-04-28T00:00:00"/>
    <n v="100"/>
    <x v="1"/>
    <d v="2025-04-28T00:00:00"/>
    <s v="UK"/>
    <x v="16"/>
  </r>
  <r>
    <s v="PRO-000003349"/>
    <d v="2025-04-28T00:00:00"/>
    <n v="100"/>
    <x v="1"/>
    <d v="2025-04-28T00:00:00"/>
    <s v="UK"/>
    <x v="16"/>
  </r>
  <r>
    <s v="PRO-000003352"/>
    <d v="2025-04-29T00:00:00"/>
    <n v="100"/>
    <x v="1"/>
    <d v="2025-04-28T00:00:00"/>
    <s v="UK"/>
    <x v="16"/>
  </r>
  <r>
    <s v="PRO-000003354"/>
    <d v="2025-04-30T00:00:00"/>
    <n v="100"/>
    <x v="1"/>
    <d v="2025-04-29T00:00:00"/>
    <s v="UK"/>
    <x v="16"/>
  </r>
  <r>
    <s v="PRO-000003355"/>
    <d v="2025-05-06T00:00:00"/>
    <n v="100"/>
    <x v="1"/>
    <d v="2025-04-29T00:00:00"/>
    <s v="UK"/>
    <x v="16"/>
  </r>
  <r>
    <s v="PRO-000003357"/>
    <d v="2025-05-02T00:00:00"/>
    <n v="100"/>
    <x v="1"/>
    <d v="2025-05-02T00:00:00"/>
    <s v="UK"/>
    <x v="16"/>
  </r>
  <r>
    <s v="PRO-000003364"/>
    <d v="2025-05-02T00:00:00"/>
    <n v="100"/>
    <x v="1"/>
    <d v="2025-05-02T00:00:00"/>
    <s v="UK"/>
    <x v="16"/>
  </r>
  <r>
    <s v="PRO-000003373"/>
    <d v="2025-05-02T00:00:00"/>
    <n v="100"/>
    <x v="3"/>
    <d v="2025-05-02T00:00:00"/>
    <s v="UK"/>
    <x v="16"/>
  </r>
  <r>
    <s v="PRO-000003379"/>
    <d v="2025-05-02T00:00:00"/>
    <n v="100"/>
    <x v="2"/>
    <d v="2025-05-02T00:00:00"/>
    <s v="UK"/>
    <x v="16"/>
  </r>
  <r>
    <s v="PRO-000003126"/>
    <d v="2025-04-28T00:00:00"/>
    <n v="0"/>
    <x v="2"/>
    <d v="2025-04-30T00:00:00"/>
    <s v="USA"/>
    <x v="16"/>
  </r>
  <r>
    <s v="PRO-000003290"/>
    <d v="2025-04-29T00:00:00"/>
    <n v="100"/>
    <x v="2"/>
    <d v="2025-04-29T00:00:00"/>
    <s v="USA"/>
    <x v="16"/>
  </r>
  <r>
    <s v="PRO-000003317"/>
    <m/>
    <n v="100"/>
    <x v="1"/>
    <d v="2025-04-29T00:00:00"/>
    <s v="USA"/>
    <x v="16"/>
  </r>
  <r>
    <s v="PRO-000003341"/>
    <d v="2025-04-30T00:00:00"/>
    <n v="100"/>
    <x v="1"/>
    <d v="2025-04-28T00:00:00"/>
    <s v="USA"/>
    <x v="16"/>
  </r>
  <r>
    <s v="PRO-000003343"/>
    <d v="2025-04-29T00:00:00"/>
    <n v="100"/>
    <x v="2"/>
    <d v="2025-04-28T00:00:00"/>
    <s v="USA"/>
    <x v="16"/>
  </r>
  <r>
    <s v="PRO-000003350"/>
    <d v="2025-05-07T00:00:00"/>
    <n v="100"/>
    <x v="2"/>
    <d v="2025-05-02T00:00:00"/>
    <s v="USA"/>
    <x v="16"/>
  </r>
  <r>
    <s v="PRO-000003351"/>
    <d v="2025-05-02T00:00:00"/>
    <n v="100"/>
    <x v="2"/>
    <d v="2025-05-02T00:00:00"/>
    <s v="USA"/>
    <x v="16"/>
  </r>
  <r>
    <s v="PRO-000003362"/>
    <d v="2025-05-08T00:00:00"/>
    <n v="100"/>
    <x v="2"/>
    <d v="2025-05-01T00:00:00"/>
    <s v="USA"/>
    <x v="16"/>
  </r>
  <r>
    <s v="PRO-000003036"/>
    <d v="2025-05-02T00:00:00"/>
    <n v="100"/>
    <x v="2"/>
    <d v="2025-05-02T00:00:00"/>
    <s v="Australia"/>
    <x v="16"/>
  </r>
  <r>
    <s v="PRO-000003256"/>
    <d v="2025-05-02T00:00:00"/>
    <n v="100"/>
    <x v="2"/>
    <d v="2025-05-02T00:00:00"/>
    <s v="Australia"/>
    <x v="16"/>
  </r>
  <r>
    <s v="PRO-000003286"/>
    <d v="2025-05-06T00:00:00"/>
    <n v="100"/>
    <x v="2"/>
    <d v="2025-04-29T00:00:00"/>
    <s v="Australia"/>
    <x v="16"/>
  </r>
  <r>
    <s v="PRO-000003299"/>
    <d v="2025-04-30T00:00:00"/>
    <n v="100"/>
    <x v="0"/>
    <d v="2025-04-29T00:00:00"/>
    <s v="Australia"/>
    <x v="16"/>
  </r>
  <r>
    <s v="PRO-000003312"/>
    <d v="2025-04-29T00:00:00"/>
    <n v="100"/>
    <x v="2"/>
    <d v="2025-04-29T00:00:00"/>
    <s v="Australia"/>
    <x v="16"/>
  </r>
  <r>
    <s v="PRO-000003328"/>
    <d v="2025-04-28T00:00:00"/>
    <n v="100"/>
    <x v="2"/>
    <d v="2025-04-28T00:00:00"/>
    <s v="Australia"/>
    <x v="16"/>
  </r>
  <r>
    <s v="PRO-000003366"/>
    <d v="2025-04-30T00:00:00"/>
    <n v="100"/>
    <x v="0"/>
    <d v="2025-04-30T00:00:00"/>
    <s v="Australia"/>
    <x v="16"/>
  </r>
  <r>
    <s v="PRO-000003371"/>
    <m/>
    <n v="100"/>
    <x v="2"/>
    <d v="2025-05-01T00:00:00"/>
    <s v="Australia"/>
    <x v="16"/>
  </r>
  <r>
    <s v="PRO-000003327"/>
    <d v="2025-04-29T00:00:00"/>
    <n v="100"/>
    <x v="1"/>
    <d v="2025-04-29T00:00:00"/>
    <s v="Rest of the World"/>
    <x v="16"/>
  </r>
  <r>
    <s v="PRO-000003339"/>
    <d v="2025-04-30T00:00:00"/>
    <n v="100"/>
    <x v="1"/>
    <d v="2025-04-30T00:00:00"/>
    <s v="Rest of the World"/>
    <x v="16"/>
  </r>
  <r>
    <s v="PRO-000003347"/>
    <d v="2025-04-30T00:00:00"/>
    <n v="100"/>
    <x v="1"/>
    <d v="2025-04-30T00:00:00"/>
    <s v="Rest of the World"/>
    <x v="16"/>
  </r>
  <r>
    <s v="PRO-000003376"/>
    <d v="2025-05-06T00:00:00"/>
    <n v="0"/>
    <x v="1"/>
    <d v="2025-05-07T00:00:00"/>
    <s v="UK"/>
    <x v="17"/>
  </r>
  <r>
    <s v="PRO-000003380"/>
    <d v="2025-05-07T00:00:00"/>
    <n v="0"/>
    <x v="1"/>
    <d v="2025-05-08T00:00:00"/>
    <s v="UK"/>
    <x v="17"/>
  </r>
  <r>
    <s v="PRO-000003381"/>
    <d v="2025-05-07T00:00:00"/>
    <n v="0"/>
    <x v="1"/>
    <d v="2025-05-08T00:00:00"/>
    <s v="UK"/>
    <x v="17"/>
  </r>
  <r>
    <s v="PRO-000003367"/>
    <d v="2025-05-07T00:00:00"/>
    <n v="100"/>
    <x v="1"/>
    <d v="2025-05-06T00:00:00"/>
    <s v="UK"/>
    <x v="17"/>
  </r>
  <r>
    <s v="PRO-000003377"/>
    <d v="2025-05-09T00:00:00"/>
    <n v="100"/>
    <x v="1"/>
    <d v="2025-05-09T00:00:00"/>
    <s v="UK"/>
    <x v="17"/>
  </r>
  <r>
    <s v="PRO-000003375"/>
    <d v="2025-05-06T00:00:00"/>
    <n v="100"/>
    <x v="0"/>
    <d v="2025-05-06T00:00:00"/>
    <s v="UK"/>
    <x v="17"/>
  </r>
  <r>
    <s v="PRO-000003378"/>
    <d v="2025-05-08T00:00:00"/>
    <n v="100"/>
    <x v="1"/>
    <d v="2025-05-07T00:00:00"/>
    <s v="UK"/>
    <x v="17"/>
  </r>
  <r>
    <s v="PRO-000003382"/>
    <d v="2025-05-07T00:00:00"/>
    <n v="100"/>
    <x v="0"/>
    <d v="2025-05-07T00:00:00"/>
    <s v="UK"/>
    <x v="17"/>
  </r>
  <r>
    <s v="PRO-000003385"/>
    <d v="2025-05-09T00:00:00"/>
    <n v="100"/>
    <x v="1"/>
    <d v="2025-05-09T00:00:00"/>
    <s v="UK"/>
    <x v="17"/>
  </r>
  <r>
    <s v="PRO-000003398"/>
    <d v="2025-05-09T00:00:00"/>
    <n v="100"/>
    <x v="1"/>
    <d v="2025-05-09T00:00:00"/>
    <s v="UK"/>
    <x v="17"/>
  </r>
  <r>
    <s v="PRO-000003400"/>
    <d v="2025-05-08T00:00:00"/>
    <n v="100"/>
    <x v="1"/>
    <d v="2025-05-08T00:00:00"/>
    <s v="UK"/>
    <x v="17"/>
  </r>
  <r>
    <s v="PRO-000003408"/>
    <d v="2025-05-08T00:00:00"/>
    <n v="100"/>
    <x v="0"/>
    <d v="2025-05-08T00:00:00"/>
    <s v="UK"/>
    <x v="17"/>
  </r>
  <r>
    <s v="PRO-000003414"/>
    <m/>
    <n v="100"/>
    <x v="1"/>
    <d v="2025-05-09T00:00:00"/>
    <s v="UK"/>
    <x v="17"/>
  </r>
  <r>
    <s v="PRO-000003346"/>
    <d v="2025-05-05T00:00:00"/>
    <n v="0"/>
    <x v="1"/>
    <d v="2025-05-06T00:00:00"/>
    <s v="France"/>
    <x v="17"/>
  </r>
  <r>
    <s v="PRO-000002678"/>
    <d v="2025-02-21T00:00:00"/>
    <n v="0"/>
    <x v="1"/>
    <d v="2025-05-08T00:00:00"/>
    <s v="USA"/>
    <x v="17"/>
  </r>
  <r>
    <s v="PRO-000003216"/>
    <d v="2025-05-02T00:00:00"/>
    <n v="0"/>
    <x v="2"/>
    <d v="2025-05-06T00:00:00"/>
    <s v="USA"/>
    <x v="17"/>
  </r>
  <r>
    <s v="PRO-000003344"/>
    <d v="2025-05-07T00:00:00"/>
    <n v="100"/>
    <x v="2"/>
    <d v="2025-05-07T00:00:00"/>
    <s v="USA"/>
    <x v="17"/>
  </r>
  <r>
    <s v="PRO-000003368"/>
    <d v="2025-05-12T00:00:00"/>
    <n v="100"/>
    <x v="1"/>
    <d v="2025-05-09T00:00:00"/>
    <s v="USA"/>
    <x v="17"/>
  </r>
  <r>
    <s v="PRO-000003383"/>
    <d v="2025-05-06T00:00:00"/>
    <n v="100"/>
    <x v="1"/>
    <d v="2025-05-06T00:00:00"/>
    <s v="USA"/>
    <x v="17"/>
  </r>
  <r>
    <s v="PRO-000003394"/>
    <d v="2025-05-08T00:00:00"/>
    <n v="100"/>
    <x v="1"/>
    <d v="2025-05-08T00:00:00"/>
    <s v="USA"/>
    <x v="17"/>
  </r>
  <r>
    <s v="PRO-000003395"/>
    <d v="2025-05-07T00:00:00"/>
    <n v="100"/>
    <x v="2"/>
    <d v="2025-05-07T00:00:00"/>
    <s v="USA"/>
    <x v="17"/>
  </r>
  <r>
    <s v="PRO-000003220"/>
    <d v="2025-05-06T00:00:00"/>
    <n v="0"/>
    <x v="1"/>
    <d v="2025-05-08T00:00:00"/>
    <s v="Australia"/>
    <x v="17"/>
  </r>
  <r>
    <s v="PRO-000003358"/>
    <d v="2025-05-07T00:00:00"/>
    <n v="0"/>
    <x v="2"/>
    <d v="2025-05-08T00:00:00"/>
    <s v="Australia"/>
    <x v="17"/>
  </r>
  <r>
    <s v="PRO-000003372"/>
    <d v="2025-05-05T00:00:00"/>
    <n v="0"/>
    <x v="2"/>
    <d v="2025-05-07T00:00:00"/>
    <s v="Australia"/>
    <x v="17"/>
  </r>
  <r>
    <s v="PRO-000003353"/>
    <m/>
    <n v="100"/>
    <x v="0"/>
    <d v="2025-05-07T00:00:00"/>
    <s v="Australia"/>
    <x v="17"/>
  </r>
  <r>
    <s v="PRO-000003359"/>
    <d v="2025-05-09T00:00:00"/>
    <n v="100"/>
    <x v="0"/>
    <d v="2025-05-09T00:00:00"/>
    <s v="Australia"/>
    <x v="17"/>
  </r>
  <r>
    <s v="PRO-000003360"/>
    <d v="2025-05-05T00:00:00"/>
    <n v="100"/>
    <x v="2"/>
    <d v="2025-05-05T00:00:00"/>
    <s v="Australia"/>
    <x v="17"/>
  </r>
  <r>
    <s v="PRO-000003370"/>
    <d v="2025-05-08T00:00:00"/>
    <n v="100"/>
    <x v="0"/>
    <d v="2025-05-08T00:00:00"/>
    <s v="Australia"/>
    <x v="17"/>
  </r>
  <r>
    <s v="PRO-000003388"/>
    <d v="2025-05-06T00:00:00"/>
    <n v="100"/>
    <x v="2"/>
    <d v="2025-05-06T00:00:00"/>
    <s v="Australia"/>
    <x v="17"/>
  </r>
  <r>
    <s v="PRO-000003403"/>
    <d v="2025-05-08T00:00:00"/>
    <n v="100"/>
    <x v="2"/>
    <d v="2025-05-08T00:00:00"/>
    <s v="Australia"/>
    <x v="17"/>
  </r>
  <r>
    <s v="PRO-000003405"/>
    <d v="2025-05-09T00:00:00"/>
    <n v="100"/>
    <x v="0"/>
    <d v="2025-05-09T00:00:00"/>
    <s v="Australia"/>
    <x v="17"/>
  </r>
  <r>
    <s v="PRO-000003316"/>
    <d v="2025-05-02T00:00:00"/>
    <n v="0"/>
    <x v="1"/>
    <d v="2025-05-08T00:00:00"/>
    <s v="Rest of the World"/>
    <x v="17"/>
  </r>
  <r>
    <s v="PRO-000002909"/>
    <d v="2025-05-08T00:00:00"/>
    <n v="100"/>
    <x v="2"/>
    <d v="2025-05-08T00:00:00"/>
    <s v="Rest of the World"/>
    <x v="17"/>
  </r>
  <r>
    <s v="PRO-000003390"/>
    <d v="2025-05-14T00:00:00"/>
    <n v="100"/>
    <x v="1"/>
    <d v="2025-05-08T00:00:00"/>
    <s v="Rest of the World"/>
    <x v="17"/>
  </r>
  <r>
    <s v="PRO-000003411"/>
    <d v="2025-05-09T00:00:00"/>
    <n v="0"/>
    <x v="1"/>
    <d v="2025-05-13T00:00:00"/>
    <s v="UK"/>
    <x v="18"/>
  </r>
  <r>
    <s v="PRO-000003424"/>
    <d v="2025-05-13T00:00:00"/>
    <n v="0"/>
    <x v="1"/>
    <d v="2025-05-15T00:00:00"/>
    <s v="UK"/>
    <x v="18"/>
  </r>
  <r>
    <s v="PRO-000003406"/>
    <d v="2025-05-12T00:00:00"/>
    <n v="100"/>
    <x v="1"/>
    <d v="2025-05-12T00:00:00"/>
    <s v="UK"/>
    <x v="18"/>
  </r>
  <r>
    <s v="PRO-000003409"/>
    <d v="2025-05-14T00:00:00"/>
    <n v="100"/>
    <x v="1"/>
    <d v="2025-05-14T00:00:00"/>
    <s v="UK"/>
    <x v="18"/>
  </r>
  <r>
    <s v="PRO-000003419"/>
    <d v="2025-05-12T00:00:00"/>
    <n v="100"/>
    <x v="1"/>
    <d v="2025-05-12T00:00:00"/>
    <s v="UK"/>
    <x v="18"/>
  </r>
  <r>
    <s v="PRO-000003421"/>
    <d v="2025-05-16T00:00:00"/>
    <n v="100"/>
    <x v="1"/>
    <d v="2025-05-16T00:00:00"/>
    <s v="UK"/>
    <x v="18"/>
  </r>
  <r>
    <s v="PRO-000003425"/>
    <d v="2025-05-16T00:00:00"/>
    <n v="100"/>
    <x v="1"/>
    <d v="2025-05-15T00:00:00"/>
    <s v="UK"/>
    <x v="18"/>
  </r>
  <r>
    <s v="PRO-000003431"/>
    <d v="2025-05-14T00:00:00"/>
    <n v="100"/>
    <x v="1"/>
    <d v="2025-05-14T00:00:00"/>
    <s v="UK"/>
    <x v="18"/>
  </r>
  <r>
    <s v="PRO-000003441"/>
    <d v="2025-05-16T00:00:00"/>
    <n v="100"/>
    <x v="1"/>
    <d v="2025-05-16T00:00:00"/>
    <s v="UK"/>
    <x v="18"/>
  </r>
  <r>
    <s v="PRO-000003443"/>
    <d v="2025-05-16T00:00:00"/>
    <n v="100"/>
    <x v="1"/>
    <d v="2025-05-16T00:00:00"/>
    <s v="UK"/>
    <x v="18"/>
  </r>
  <r>
    <s v="PRO-000003451"/>
    <d v="2025-05-16T00:00:00"/>
    <n v="100"/>
    <x v="1"/>
    <d v="2025-05-16T00:00:00"/>
    <s v="UK"/>
    <x v="18"/>
  </r>
  <r>
    <s v="PRO-000003452"/>
    <d v="2025-05-16T00:00:00"/>
    <n v="100"/>
    <x v="1"/>
    <d v="2025-05-16T00:00:00"/>
    <s v="UK"/>
    <x v="18"/>
  </r>
  <r>
    <s v="PRO-000003455"/>
    <d v="2025-05-16T00:00:00"/>
    <n v="100"/>
    <x v="1"/>
    <d v="2025-05-16T00:00:00"/>
    <s v="UK"/>
    <x v="18"/>
  </r>
  <r>
    <s v="PRO-000003442"/>
    <m/>
    <n v="100"/>
    <x v="1"/>
    <d v="2025-05-15T00:00:00"/>
    <s v="France"/>
    <x v="18"/>
  </r>
  <r>
    <s v="PRO-000003332"/>
    <d v="2025-05-13T00:00:00"/>
    <n v="0"/>
    <x v="2"/>
    <d v="2025-05-14T00:00:00"/>
    <s v="USA"/>
    <x v="18"/>
  </r>
  <r>
    <s v="PRO-000003365"/>
    <d v="2025-05-14T00:00:00"/>
    <n v="0"/>
    <x v="2"/>
    <d v="2025-05-16T00:00:00"/>
    <s v="USA"/>
    <x v="18"/>
  </r>
  <r>
    <s v="PRO-000003223"/>
    <d v="2025-05-16T00:00:00"/>
    <n v="100"/>
    <x v="2"/>
    <d v="2025-05-16T00:00:00"/>
    <s v="USA"/>
    <x v="18"/>
  </r>
  <r>
    <s v="PRO-000003361"/>
    <d v="2025-05-14T00:00:00"/>
    <n v="100"/>
    <x v="2"/>
    <d v="2025-05-14T00:00:00"/>
    <s v="USA"/>
    <x v="18"/>
  </r>
  <r>
    <s v="PRO-000003393"/>
    <d v="2025-05-23T00:00:00"/>
    <n v="100"/>
    <x v="2"/>
    <d v="2025-05-16T00:00:00"/>
    <s v="USA"/>
    <x v="18"/>
  </r>
  <r>
    <s v="PRO-000003401"/>
    <d v="2025-05-13T00:00:00"/>
    <n v="100"/>
    <x v="2"/>
    <d v="2025-05-13T00:00:00"/>
    <s v="USA"/>
    <x v="18"/>
  </r>
  <r>
    <s v="PRO-000003412"/>
    <d v="2025-05-12T00:00:00"/>
    <n v="100"/>
    <x v="2"/>
    <d v="2025-05-12T00:00:00"/>
    <s v="USA"/>
    <x v="18"/>
  </r>
  <r>
    <s v="PRO-000003454"/>
    <d v="2025-05-15T00:00:00"/>
    <n v="100"/>
    <x v="2"/>
    <d v="2025-05-15T00:00:00"/>
    <s v="USA"/>
    <x v="18"/>
  </r>
  <r>
    <s v="PRO-000003389"/>
    <d v="2025-05-23T00:00:00"/>
    <n v="100"/>
    <x v="2"/>
    <d v="2025-05-12T00:00:00"/>
    <s v="Australia"/>
    <x v="18"/>
  </r>
  <r>
    <s v="PRO-000003404"/>
    <d v="2025-05-16T00:00:00"/>
    <n v="100"/>
    <x v="2"/>
    <d v="2025-05-14T00:00:00"/>
    <s v="Australia"/>
    <x v="18"/>
  </r>
  <r>
    <s v="PRO-000003415"/>
    <d v="2025-05-19T00:00:00"/>
    <n v="100"/>
    <x v="2"/>
    <d v="2025-05-16T00:00:00"/>
    <s v="Australia"/>
    <x v="18"/>
  </r>
  <r>
    <s v="PRO-000003416"/>
    <d v="2025-05-12T00:00:00"/>
    <n v="100"/>
    <x v="1"/>
    <d v="2025-05-12T00:00:00"/>
    <s v="Australia"/>
    <x v="18"/>
  </r>
  <r>
    <s v="PRO-000003432"/>
    <m/>
    <n v="100"/>
    <x v="2"/>
    <d v="2025-05-14T00:00:00"/>
    <s v="Australia"/>
    <x v="18"/>
  </r>
  <r>
    <s v="PRO-000003449"/>
    <d v="2025-05-15T00:00:00"/>
    <n v="100"/>
    <x v="0"/>
    <d v="2025-05-15T00:00:00"/>
    <s v="Australia"/>
    <x v="18"/>
  </r>
  <r>
    <s v="PRO-000003450"/>
    <d v="2025-05-15T00:00:00"/>
    <n v="100"/>
    <x v="0"/>
    <d v="2025-05-15T00:00:00"/>
    <s v="Australia"/>
    <x v="18"/>
  </r>
  <r>
    <s v="PRO-000003298"/>
    <d v="2025-05-09T00:00:00"/>
    <n v="0"/>
    <x v="1"/>
    <d v="2025-05-12T00:00:00"/>
    <s v="Rest of the World"/>
    <x v="18"/>
  </r>
  <r>
    <s v="PRO-000003402"/>
    <d v="2025-05-12T00:00:00"/>
    <n v="0"/>
    <x v="1"/>
    <d v="2025-05-13T00:00:00"/>
    <s v="Rest of the World"/>
    <x v="18"/>
  </r>
  <r>
    <s v="PRO-000003420"/>
    <d v="2025-05-14T00:00:00"/>
    <n v="0"/>
    <x v="1"/>
    <d v="2025-05-15T00:00:00"/>
    <s v="Rest of the World"/>
    <x v="18"/>
  </r>
  <r>
    <s v="PRO-000003363"/>
    <d v="2025-05-21T00:00:00"/>
    <n v="100"/>
    <x v="1"/>
    <d v="2025-05-16T00:00:00"/>
    <s v="Rest of the World"/>
    <x v="18"/>
  </r>
  <r>
    <s v="PRO-000003407"/>
    <d v="2025-05-15T00:00:00"/>
    <n v="100"/>
    <x v="1"/>
    <d v="2025-05-15T00:00:00"/>
    <s v="Rest of the World"/>
    <x v="18"/>
  </r>
  <r>
    <s v="PRO-000003410"/>
    <d v="2025-05-16T00:00:00"/>
    <n v="100"/>
    <x v="2"/>
    <d v="2025-05-15T00:00:00"/>
    <s v="Rest of the World"/>
    <x v="18"/>
  </r>
  <r>
    <s v="PRO-000003418"/>
    <d v="2025-05-19T00:00:00"/>
    <n v="100"/>
    <x v="2"/>
    <d v="2025-05-14T00:00:00"/>
    <s v="Rest of the World"/>
    <x v="18"/>
  </r>
  <r>
    <s v="PRO-000003428"/>
    <d v="2025-05-23T00:00:00"/>
    <n v="100"/>
    <x v="1"/>
    <d v="2025-05-15T00:00:00"/>
    <s v="Rest of the World"/>
    <x v="18"/>
  </r>
  <r>
    <s v="PRO-000003434"/>
    <d v="2025-05-20T00:00:00"/>
    <n v="0"/>
    <x v="1"/>
    <d v="2025-05-22T00:00:00"/>
    <s v="UK"/>
    <x v="19"/>
  </r>
  <r>
    <s v="PRO-000003453"/>
    <d v="2025-05-21T00:00:00"/>
    <n v="0"/>
    <x v="1"/>
    <d v="2025-05-22T00:00:00"/>
    <s v="UK"/>
    <x v="19"/>
  </r>
  <r>
    <s v="PRO-000003478"/>
    <d v="2025-05-22T00:00:00"/>
    <n v="0"/>
    <x v="1"/>
    <d v="2025-05-23T00:00:00"/>
    <s v="UK"/>
    <x v="19"/>
  </r>
  <r>
    <s v="PRO-000003433"/>
    <d v="2025-05-20T00:00:00"/>
    <n v="100"/>
    <x v="1"/>
    <d v="2025-05-20T00:00:00"/>
    <s v="UK"/>
    <x v="19"/>
  </r>
  <r>
    <s v="PRO-000003435"/>
    <d v="2025-05-23T00:00:00"/>
    <n v="100"/>
    <x v="1"/>
    <d v="2025-05-23T00:00:00"/>
    <s v="UK"/>
    <x v="19"/>
  </r>
  <r>
    <s v="PRO-000003440"/>
    <d v="2025-05-20T00:00:00"/>
    <n v="100"/>
    <x v="1"/>
    <d v="2025-05-20T00:00:00"/>
    <s v="UK"/>
    <x v="19"/>
  </r>
  <r>
    <s v="PRO-000003462"/>
    <m/>
    <n v="100"/>
    <x v="1"/>
    <d v="2025-05-20T00:00:00"/>
    <s v="UK"/>
    <x v="19"/>
  </r>
  <r>
    <s v="PRO-000003463"/>
    <m/>
    <n v="100"/>
    <x v="1"/>
    <d v="2025-05-19T00:00:00"/>
    <s v="UK"/>
    <x v="19"/>
  </r>
  <r>
    <s v="PRO-000003470"/>
    <d v="2025-05-23T00:00:00"/>
    <n v="100"/>
    <x v="2"/>
    <d v="2025-05-23T00:00:00"/>
    <s v="UK"/>
    <x v="19"/>
  </r>
  <r>
    <s v="PRO-000003471"/>
    <m/>
    <n v="100"/>
    <x v="1"/>
    <d v="2025-05-20T00:00:00"/>
    <s v="UK"/>
    <x v="19"/>
  </r>
  <r>
    <s v="PRO-000003472"/>
    <d v="2025-05-22T00:00:00"/>
    <n v="100"/>
    <x v="1"/>
    <d v="2025-05-22T00:00:00"/>
    <s v="UK"/>
    <x v="19"/>
  </r>
  <r>
    <s v="PRO-000003475"/>
    <d v="2025-05-22T00:00:00"/>
    <n v="100"/>
    <x v="3"/>
    <d v="2025-05-22T00:00:00"/>
    <s v="UK"/>
    <x v="19"/>
  </r>
  <r>
    <s v="PRO-000003479"/>
    <d v="2025-05-23T00:00:00"/>
    <n v="100"/>
    <x v="1"/>
    <d v="2025-05-23T00:00:00"/>
    <s v="UK"/>
    <x v="19"/>
  </r>
  <r>
    <s v="PRO-000003487"/>
    <m/>
    <n v="100"/>
    <x v="1"/>
    <d v="2025-05-22T00:00:00"/>
    <s v="UK"/>
    <x v="19"/>
  </r>
  <r>
    <s v="PRO-000003489"/>
    <m/>
    <n v="100"/>
    <x v="1"/>
    <d v="2025-05-23T00:00:00"/>
    <s v="UK"/>
    <x v="19"/>
  </r>
  <r>
    <s v="PRO-000003493"/>
    <m/>
    <n v="100"/>
    <x v="1"/>
    <d v="2025-05-23T00:00:00"/>
    <s v="UK"/>
    <x v="19"/>
  </r>
  <r>
    <s v="PRO-000003495"/>
    <d v="2025-05-23T00:00:00"/>
    <n v="100"/>
    <x v="3"/>
    <d v="2025-05-23T00:00:00"/>
    <s v="UK"/>
    <x v="19"/>
  </r>
  <r>
    <s v="PRO-000003427"/>
    <d v="2025-05-20T00:00:00"/>
    <n v="0"/>
    <x v="2"/>
    <d v="2025-05-21T00:00:00"/>
    <s v="USA"/>
    <x v="19"/>
  </r>
  <r>
    <s v="PRO-000003321"/>
    <d v="2025-05-22T00:00:00"/>
    <n v="100"/>
    <x v="2"/>
    <d v="2025-05-22T00:00:00"/>
    <s v="USA"/>
    <x v="19"/>
  </r>
  <r>
    <s v="PRO-000003335"/>
    <d v="2025-05-29T00:00:00"/>
    <n v="100"/>
    <x v="2"/>
    <d v="2025-05-23T00:00:00"/>
    <s v="USA"/>
    <x v="19"/>
  </r>
  <r>
    <s v="PRO-000003386"/>
    <d v="2025-05-22T00:00:00"/>
    <n v="100"/>
    <x v="2"/>
    <d v="2025-05-22T00:00:00"/>
    <s v="USA"/>
    <x v="19"/>
  </r>
  <r>
    <s v="PRO-000003396"/>
    <d v="2025-05-22T00:00:00"/>
    <n v="100"/>
    <x v="1"/>
    <d v="2025-05-22T00:00:00"/>
    <s v="USA"/>
    <x v="19"/>
  </r>
  <r>
    <s v="PRO-000003437"/>
    <d v="2025-05-23T00:00:00"/>
    <n v="100"/>
    <x v="1"/>
    <d v="2025-05-23T00:00:00"/>
    <s v="USA"/>
    <x v="19"/>
  </r>
  <r>
    <s v="PRO-000003484"/>
    <d v="2025-05-22T00:00:00"/>
    <n v="100"/>
    <x v="2"/>
    <d v="2025-05-22T00:00:00"/>
    <s v="USA"/>
    <x v="19"/>
  </r>
  <r>
    <s v="PRO-000003397"/>
    <d v="2025-05-15T00:00:00"/>
    <n v="0"/>
    <x v="2"/>
    <d v="2025-05-20T00:00:00"/>
    <s v="Australia"/>
    <x v="19"/>
  </r>
  <r>
    <s v="PRO-000003465"/>
    <d v="2025-05-07T00:00:00"/>
    <n v="0"/>
    <x v="2"/>
    <d v="2025-05-19T00:00:00"/>
    <s v="Australia"/>
    <x v="19"/>
  </r>
  <r>
    <s v="PRO-000003477"/>
    <d v="2025-03-03T00:00:00"/>
    <n v="0"/>
    <x v="2"/>
    <d v="2025-05-20T00:00:00"/>
    <s v="Australia"/>
    <x v="19"/>
  </r>
  <r>
    <s v="PRO-000003374"/>
    <d v="2025-05-30T00:00:00"/>
    <n v="100"/>
    <x v="2"/>
    <d v="2025-05-23T00:00:00"/>
    <s v="Australia"/>
    <x v="19"/>
  </r>
  <r>
    <s v="PRO-000003429"/>
    <d v="2025-05-23T00:00:00"/>
    <n v="100"/>
    <x v="2"/>
    <d v="2025-05-23T00:00:00"/>
    <s v="Australia"/>
    <x v="19"/>
  </r>
  <r>
    <s v="PRO-000003466"/>
    <d v="2025-05-20T00:00:00"/>
    <n v="100"/>
    <x v="2"/>
    <d v="2025-05-20T00:00:00"/>
    <s v="Australia"/>
    <x v="19"/>
  </r>
  <r>
    <s v="PRO-000003467"/>
    <d v="2025-05-21T00:00:00"/>
    <n v="100"/>
    <x v="2"/>
    <d v="2025-05-20T00:00:00"/>
    <s v="Australia"/>
    <x v="19"/>
  </r>
  <r>
    <s v="PRO-000003468"/>
    <d v="2025-05-20T00:00:00"/>
    <n v="100"/>
    <x v="2"/>
    <d v="2025-05-19T00:00:00"/>
    <s v="Australia"/>
    <x v="19"/>
  </r>
  <r>
    <s v="PRO-000003476"/>
    <m/>
    <n v="100"/>
    <x v="2"/>
    <d v="2025-05-22T00:00:00"/>
    <s v="Australia"/>
    <x v="19"/>
  </r>
  <r>
    <s v="PRO-000003480"/>
    <d v="2025-05-21T00:00:00"/>
    <n v="100"/>
    <x v="2"/>
    <d v="2025-05-21T00:00:00"/>
    <s v="Australia"/>
    <x v="19"/>
  </r>
  <r>
    <s v="PRO-000003439"/>
    <d v="2025-05-23T00:00:00"/>
    <n v="100"/>
    <x v="1"/>
    <d v="2025-05-23T00:00:00"/>
    <s v="Rest of the World"/>
    <x v="19"/>
  </r>
  <r>
    <s v="PRO-000003447"/>
    <d v="2025-05-23T00:00:00"/>
    <n v="100"/>
    <x v="1"/>
    <d v="2025-05-23T00:00:00"/>
    <s v="Rest of the World"/>
    <x v="19"/>
  </r>
  <r>
    <s v="PRO-000003436"/>
    <d v="2025-05-23T00:00:00"/>
    <n v="0"/>
    <x v="1"/>
    <d v="2025-05-30T00:00:00"/>
    <s v="UK"/>
    <x v="20"/>
  </r>
  <r>
    <s v="PRO-000003507"/>
    <d v="2025-05-29T00:00:00"/>
    <n v="0"/>
    <x v="1"/>
    <d v="2025-05-30T00:00:00"/>
    <s v="UK"/>
    <x v="20"/>
  </r>
  <r>
    <s v="PRO-000003391"/>
    <d v="2025-05-30T00:00:00"/>
    <n v="100"/>
    <x v="2"/>
    <d v="2025-05-30T00:00:00"/>
    <s v="UK"/>
    <x v="20"/>
  </r>
  <r>
    <s v="PRO-000003413"/>
    <d v="2025-05-30T00:00:00"/>
    <n v="100"/>
    <x v="2"/>
    <d v="2025-05-30T00:00:00"/>
    <s v="UK"/>
    <x v="20"/>
  </r>
  <r>
    <s v="PRO-000003469"/>
    <m/>
    <n v="100"/>
    <x v="1"/>
    <d v="2025-05-27T00:00:00"/>
    <s v="UK"/>
    <x v="20"/>
  </r>
  <r>
    <s v="PRO-000003482"/>
    <d v="2025-05-27T00:00:00"/>
    <n v="100"/>
    <x v="1"/>
    <d v="2025-05-27T00:00:00"/>
    <s v="UK"/>
    <x v="20"/>
  </r>
  <r>
    <s v="PRO-000003486"/>
    <m/>
    <n v="100"/>
    <x v="1"/>
    <d v="2025-05-30T00:00:00"/>
    <s v="UK"/>
    <x v="20"/>
  </r>
  <r>
    <s v="PRO-000003506"/>
    <d v="2025-05-30T00:00:00"/>
    <n v="100"/>
    <x v="1"/>
    <d v="2025-05-30T00:00:00"/>
    <s v="UK"/>
    <x v="20"/>
  </r>
  <r>
    <s v="PRO-000003448"/>
    <d v="2025-05-26T00:00:00"/>
    <n v="0"/>
    <x v="1"/>
    <d v="2025-05-27T00:00:00"/>
    <s v="Australia"/>
    <x v="20"/>
  </r>
  <r>
    <s v="PRO-000003417"/>
    <d v="2025-05-27T00:00:00"/>
    <n v="100"/>
    <x v="2"/>
    <d v="2025-05-27T00:00:00"/>
    <s v="Australia"/>
    <x v="20"/>
  </r>
  <r>
    <s v="PRO-000003502"/>
    <d v="2025-05-28T00:00:00"/>
    <n v="100"/>
    <x v="2"/>
    <d v="2025-05-28T00:00:00"/>
    <s v="Australia"/>
    <x v="20"/>
  </r>
  <r>
    <s v="PRO-000003503"/>
    <d v="2025-05-28T00:00:00"/>
    <n v="100"/>
    <x v="2"/>
    <d v="2025-05-28T00:00:00"/>
    <s v="Australia"/>
    <x v="20"/>
  </r>
  <r>
    <s v="PRO-000003504"/>
    <d v="2025-05-28T00:00:00"/>
    <n v="100"/>
    <x v="2"/>
    <d v="2025-05-27T00:00:00"/>
    <s v="Australia"/>
    <x v="20"/>
  </r>
  <r>
    <s v="PRO-000003505"/>
    <m/>
    <n v="100"/>
    <x v="2"/>
    <d v="2025-05-28T00:00:00"/>
    <s v="Australia"/>
    <x v="20"/>
  </r>
  <r>
    <s v="PRO-000003513"/>
    <d v="2025-05-30T00:00:00"/>
    <n v="100"/>
    <x v="2"/>
    <d v="2025-05-30T00:00:00"/>
    <s v="Australia"/>
    <x v="20"/>
  </r>
  <r>
    <s v="PRO-000003514"/>
    <d v="2025-05-30T00:00:00"/>
    <n v="100"/>
    <x v="2"/>
    <d v="2025-05-29T00:00:00"/>
    <s v="Australia"/>
    <x v="20"/>
  </r>
  <r>
    <s v="PRO-000003521"/>
    <d v="2025-05-30T00:00:00"/>
    <n v="100"/>
    <x v="0"/>
    <d v="2025-05-30T00:00:00"/>
    <s v="Australia"/>
    <x v="20"/>
  </r>
  <r>
    <s v="PRO-000003488"/>
    <d v="2025-05-28T00:00:00"/>
    <n v="100"/>
    <x v="1"/>
    <d v="2025-05-28T00:00:00"/>
    <s v="Rest of the World"/>
    <x v="20"/>
  </r>
  <r>
    <s v="PRO-000003498"/>
    <d v="2025-05-30T00:00:00"/>
    <n v="100"/>
    <x v="1"/>
    <d v="2025-05-27T00:00:00"/>
    <s v="Rest of the World"/>
    <x v="20"/>
  </r>
  <r>
    <s v="PRO-000003520"/>
    <d v="2025-06-06T00:00:00"/>
    <n v="100"/>
    <x v="1"/>
    <d v="2025-05-30T00:00:00"/>
    <s v="Rest of the World"/>
    <x v="20"/>
  </r>
  <r>
    <s v="PRO-000003485"/>
    <d v="2025-05-30T00:00:00"/>
    <n v="0"/>
    <x v="1"/>
    <d v="2025-06-05T00:00:00"/>
    <s v="UK"/>
    <x v="21"/>
  </r>
  <r>
    <s v="PRO-000003490"/>
    <d v="2025-05-28T00:00:00"/>
    <n v="0"/>
    <x v="1"/>
    <d v="2025-06-02T00:00:00"/>
    <s v="UK"/>
    <x v="21"/>
  </r>
  <r>
    <s v="PRO-000003527"/>
    <d v="2025-06-03T00:00:00"/>
    <n v="0"/>
    <x v="1"/>
    <d v="2025-06-04T00:00:00"/>
    <s v="UK"/>
    <x v="21"/>
  </r>
  <r>
    <s v="PRO-000003515"/>
    <m/>
    <n v="100"/>
    <x v="1"/>
    <d v="2025-06-02T00:00:00"/>
    <s v="UK"/>
    <x v="21"/>
  </r>
  <r>
    <s v="PRO-000003522"/>
    <d v="2025-06-02T00:00:00"/>
    <n v="100"/>
    <x v="1"/>
    <d v="2025-06-02T00:00:00"/>
    <s v="UK"/>
    <x v="21"/>
  </r>
  <r>
    <s v="PRO-000003526"/>
    <d v="2025-06-04T00:00:00"/>
    <n v="100"/>
    <x v="1"/>
    <d v="2025-06-04T00:00:00"/>
    <s v="UK"/>
    <x v="21"/>
  </r>
  <r>
    <s v="PRO-000003535"/>
    <d v="2025-06-04T00:00:00"/>
    <n v="100"/>
    <x v="1"/>
    <d v="2025-06-04T00:00:00"/>
    <s v="UK"/>
    <x v="21"/>
  </r>
  <r>
    <s v="PRO-000003541"/>
    <d v="2025-06-05T00:00:00"/>
    <n v="100"/>
    <x v="1"/>
    <d v="2025-06-05T00:00:00"/>
    <s v="UK"/>
    <x v="21"/>
  </r>
  <r>
    <s v="PRO-000003547"/>
    <d v="2025-06-06T00:00:00"/>
    <n v="100"/>
    <x v="1"/>
    <d v="2025-06-06T00:00:00"/>
    <s v="UK"/>
    <x v="21"/>
  </r>
  <r>
    <s v="PRO-000003399"/>
    <d v="2025-05-19T00:00:00"/>
    <n v="0"/>
    <x v="1"/>
    <d v="2025-06-04T00:00:00"/>
    <s v="USA"/>
    <x v="21"/>
  </r>
  <r>
    <s v="PRO-000003426"/>
    <d v="2025-05-14T00:00:00"/>
    <n v="0"/>
    <x v="1"/>
    <d v="2025-06-05T00:00:00"/>
    <s v="USA"/>
    <x v="21"/>
  </r>
  <r>
    <s v="PRO-000003510"/>
    <d v="2025-06-03T00:00:00"/>
    <n v="0"/>
    <x v="2"/>
    <d v="2025-06-04T00:00:00"/>
    <s v="USA"/>
    <x v="21"/>
  </r>
  <r>
    <s v="PRO-000003423"/>
    <m/>
    <n v="100"/>
    <x v="2"/>
    <d v="2025-06-05T00:00:00"/>
    <s v="USA"/>
    <x v="21"/>
  </r>
  <r>
    <s v="PRO-000003509"/>
    <d v="2025-06-04T00:00:00"/>
    <n v="100"/>
    <x v="2"/>
    <d v="2025-06-04T00:00:00"/>
    <s v="USA"/>
    <x v="21"/>
  </r>
  <r>
    <s v="PRO-000003512"/>
    <d v="2025-06-03T00:00:00"/>
    <n v="100"/>
    <x v="1"/>
    <d v="2025-06-03T00:00:00"/>
    <s v="USA"/>
    <x v="21"/>
  </r>
  <r>
    <s v="PRO-000003524"/>
    <m/>
    <n v="100"/>
    <x v="1"/>
    <d v="2025-06-05T00:00:00"/>
    <s v="USA"/>
    <x v="21"/>
  </r>
  <r>
    <s v="PRO-000003529"/>
    <d v="2025-06-02T00:00:00"/>
    <n v="100"/>
    <x v="2"/>
    <d v="2025-06-02T00:00:00"/>
    <s v="USA"/>
    <x v="21"/>
  </r>
  <r>
    <s v="PRO-000003536"/>
    <d v="2025-06-02T00:00:00"/>
    <n v="100"/>
    <x v="2"/>
    <d v="2025-06-02T00:00:00"/>
    <s v="USA"/>
    <x v="21"/>
  </r>
  <r>
    <s v="PRO-000003550"/>
    <d v="2025-06-06T00:00:00"/>
    <n v="100"/>
    <x v="2"/>
    <d v="2025-06-06T00:00:00"/>
    <s v="USA"/>
    <x v="21"/>
  </r>
  <r>
    <s v="PRO-000003492"/>
    <d v="2025-06-02T00:00:00"/>
    <n v="0"/>
    <x v="2"/>
    <d v="2025-06-03T00:00:00"/>
    <s v="Australia"/>
    <x v="21"/>
  </r>
  <r>
    <s v="PRO-000003501"/>
    <d v="2025-05-30T00:00:00"/>
    <n v="0"/>
    <x v="2"/>
    <d v="2025-06-03T00:00:00"/>
    <s v="Australia"/>
    <x v="21"/>
  </r>
  <r>
    <s v="PRO-000003538"/>
    <d v="2025-06-06T00:00:00"/>
    <n v="100"/>
    <x v="2"/>
    <d v="2025-06-06T00:00:00"/>
    <s v="Australia"/>
    <x v="21"/>
  </r>
  <r>
    <s v="PRO-000003539"/>
    <d v="2025-06-06T00:00:00"/>
    <n v="100"/>
    <x v="2"/>
    <d v="2025-06-04T00:00:00"/>
    <s v="Australia"/>
    <x v="21"/>
  </r>
  <r>
    <s v="PRO-000003545"/>
    <d v="2025-06-04T00:00:00"/>
    <n v="100"/>
    <x v="0"/>
    <d v="2025-06-04T00:00:00"/>
    <s v="Australia"/>
    <x v="21"/>
  </r>
  <r>
    <s v="PRO-000003546"/>
    <d v="2025-06-05T00:00:00"/>
    <n v="100"/>
    <x v="1"/>
    <d v="2025-06-05T00:00:00"/>
    <s v="Australia"/>
    <x v="21"/>
  </r>
  <r>
    <s v="PRO-000003497"/>
    <m/>
    <n v="100"/>
    <x v="2"/>
    <d v="2025-06-04T00:00:00"/>
    <s v="Middle East"/>
    <x v="21"/>
  </r>
  <r>
    <s v="PRO-000003494"/>
    <d v="2025-06-04T00:00:00"/>
    <n v="100"/>
    <x v="1"/>
    <d v="2025-06-03T00:00:00"/>
    <s v="Rest of the World"/>
    <x v="21"/>
  </r>
  <r>
    <s v="PRO-000003499"/>
    <d v="2025-06-04T00:00:00"/>
    <n v="100"/>
    <x v="1"/>
    <d v="2025-06-02T00:00:00"/>
    <s v="Rest of the World"/>
    <x v="21"/>
  </r>
  <r>
    <s v="PRO-000003516"/>
    <d v="2025-06-05T00:00:00"/>
    <n v="100"/>
    <x v="1"/>
    <d v="2025-06-04T00:00:00"/>
    <s v="Rest of the World"/>
    <x v="21"/>
  </r>
  <r>
    <s v="PRO-000003517"/>
    <d v="2025-06-02T00:00:00"/>
    <n v="100"/>
    <x v="1"/>
    <d v="2025-06-02T00:00:00"/>
    <s v="Rest of the World"/>
    <x v="21"/>
  </r>
  <r>
    <s v="PRO-000003528"/>
    <d v="2025-06-06T00:00:00"/>
    <n v="100"/>
    <x v="1"/>
    <d v="2025-06-05T00:00:00"/>
    <s v="Rest of the World"/>
    <x v="21"/>
  </r>
  <r>
    <s v="PRO-000003533"/>
    <d v="2025-06-11T00:00:00"/>
    <n v="100"/>
    <x v="1"/>
    <d v="2025-06-06T00:00:00"/>
    <s v="Rest of the World"/>
    <x v="21"/>
  </r>
  <r>
    <s v="PRO-000003556"/>
    <d v="2025-06-06T00:00:00"/>
    <n v="100"/>
    <x v="1"/>
    <d v="2025-06-06T00:00:00"/>
    <s v="Rest of the World"/>
    <x v="21"/>
  </r>
  <r>
    <s v="PRO-000003500"/>
    <d v="2025-06-12T00:00:00"/>
    <n v="0"/>
    <x v="3"/>
    <d v="2025-06-13T00:00:00"/>
    <s v="UK"/>
    <x v="22"/>
  </r>
  <r>
    <s v="PRO-000003548"/>
    <d v="2025-06-11T00:00:00"/>
    <n v="0"/>
    <x v="1"/>
    <d v="2025-06-12T00:00:00"/>
    <s v="UK"/>
    <x v="22"/>
  </r>
  <r>
    <s v="PRO-000003557"/>
    <d v="2025-06-13T00:00:00"/>
    <n v="100"/>
    <x v="1"/>
    <d v="2025-06-13T00:00:00"/>
    <s v="UK"/>
    <x v="22"/>
  </r>
  <r>
    <s v="PRO-000003558"/>
    <d v="2025-06-12T00:00:00"/>
    <n v="100"/>
    <x v="1"/>
    <d v="2025-06-12T00:00:00"/>
    <s v="UK"/>
    <x v="22"/>
  </r>
  <r>
    <s v="PRO-000003577"/>
    <d v="2025-06-13T00:00:00"/>
    <n v="100"/>
    <x v="1"/>
    <d v="2025-06-13T00:00:00"/>
    <s v="UK"/>
    <x v="22"/>
  </r>
  <r>
    <s v="PRO-000003392"/>
    <d v="2025-06-13T00:00:00"/>
    <n v="100"/>
    <x v="2"/>
    <d v="2025-06-13T00:00:00"/>
    <s v="USA"/>
    <x v="22"/>
  </r>
  <r>
    <s v="PRO-000003511"/>
    <d v="2025-06-13T00:00:00"/>
    <n v="100"/>
    <x v="1"/>
    <d v="2025-06-13T00:00:00"/>
    <s v="USA"/>
    <x v="22"/>
  </r>
  <r>
    <s v="PRO-000003518"/>
    <d v="2025-06-13T00:00:00"/>
    <n v="100"/>
    <x v="2"/>
    <d v="2025-06-13T00:00:00"/>
    <s v="USA"/>
    <x v="22"/>
  </r>
  <r>
    <s v="PRO-000003525"/>
    <d v="2025-06-10T00:00:00"/>
    <n v="100"/>
    <x v="1"/>
    <d v="2025-06-10T00:00:00"/>
    <s v="USA"/>
    <x v="22"/>
  </r>
  <r>
    <s v="PRO-000003543"/>
    <d v="2025-06-09T00:00:00"/>
    <n v="100"/>
    <x v="2"/>
    <d v="2025-06-09T00:00:00"/>
    <s v="USA"/>
    <x v="22"/>
  </r>
  <r>
    <s v="PRO-000003566"/>
    <d v="2025-06-13T00:00:00"/>
    <n v="100"/>
    <x v="2"/>
    <d v="2025-06-13T00:00:00"/>
    <s v="USA"/>
    <x v="22"/>
  </r>
  <r>
    <s v="PRO-000003491"/>
    <d v="2025-06-11T00:00:00"/>
    <n v="0"/>
    <x v="2"/>
    <d v="2025-06-13T00:00:00"/>
    <s v="Australia"/>
    <x v="22"/>
  </r>
  <r>
    <s v="PRO-000003544"/>
    <d v="2025-06-06T00:00:00"/>
    <n v="0"/>
    <x v="2"/>
    <d v="2025-06-13T00:00:00"/>
    <s v="Australia"/>
    <x v="22"/>
  </r>
  <r>
    <s v="PRO-000003551"/>
    <d v="2025-06-13T00:00:00"/>
    <n v="0"/>
    <x v="1"/>
    <d v="2025-06-15T00:00:00"/>
    <s v="Australia"/>
    <x v="23"/>
  </r>
  <r>
    <s v="PRO-000003567"/>
    <d v="2025-06-10T00:00:00"/>
    <n v="0"/>
    <x v="2"/>
    <d v="2025-06-11T00:00:00"/>
    <s v="Australia"/>
    <x v="22"/>
  </r>
  <r>
    <s v="PRO-000003568"/>
    <m/>
    <n v="100"/>
    <x v="0"/>
    <d v="2025-06-10T00:00:00"/>
    <s v="Australia"/>
    <x v="22"/>
  </r>
  <r>
    <s v="PRO-000003572"/>
    <d v="2025-06-12T00:00:00"/>
    <n v="100"/>
    <x v="2"/>
    <d v="2025-06-12T00:00:00"/>
    <s v="Australia"/>
    <x v="22"/>
  </r>
  <r>
    <s v="PRO-000003575"/>
    <d v="2025-06-13T00:00:00"/>
    <n v="100"/>
    <x v="2"/>
    <d v="2025-06-13T00:00:00"/>
    <s v="Australia"/>
    <x v="22"/>
  </r>
  <r>
    <s v="PRO-000003531"/>
    <d v="2025-06-16T00:00:00"/>
    <n v="100"/>
    <x v="1"/>
    <d v="2025-06-13T00:00:00"/>
    <s v="Rest of the World"/>
    <x v="22"/>
  </r>
  <r>
    <s v="PRO-000003537"/>
    <d v="2025-06-11T00:00:00"/>
    <n v="100"/>
    <x v="1"/>
    <d v="2025-06-09T00:00:00"/>
    <s v="Rest of the World"/>
    <x v="22"/>
  </r>
  <r>
    <s v="PRO-000003563"/>
    <d v="2025-06-16T00:00:00"/>
    <n v="100"/>
    <x v="1"/>
    <d v="2025-06-13T00:00:00"/>
    <s v="Rest of the World"/>
    <x v="22"/>
  </r>
  <r>
    <s v="PRO-000003560"/>
    <d v="2025-06-12T00:00:00"/>
    <n v="100"/>
    <x v="1"/>
    <d v="2025-06-12T00:00:00"/>
    <s v="Rest of the World"/>
    <x v="22"/>
  </r>
  <r>
    <s v="PRO-000003561"/>
    <d v="2025-06-16T00:00:00"/>
    <n v="100"/>
    <x v="1"/>
    <d v="2025-06-13T00:00:00"/>
    <s v="Rest of the World"/>
    <x v="22"/>
  </r>
  <r>
    <s v="PRO-000003564"/>
    <d v="2025-06-13T00:00:00"/>
    <n v="100"/>
    <x v="1"/>
    <d v="2025-06-10T00:00:00"/>
    <s v="Rest of the World"/>
    <x v="22"/>
  </r>
  <r>
    <s v="PRO-000003570"/>
    <d v="2025-06-11T00:00:00"/>
    <n v="100"/>
    <x v="1"/>
    <d v="2025-06-10T00:00:00"/>
    <s v="Rest of the World"/>
    <x v="22"/>
  </r>
  <r>
    <s v="PRO-000003523"/>
    <d v="2025-06-05T00:00:00"/>
    <n v="0"/>
    <x v="1"/>
    <d v="2025-06-16T00:00:00"/>
    <s v="UK"/>
    <x v="23"/>
  </r>
  <r>
    <s v="PRO-000003542"/>
    <d v="2025-06-11T00:00:00"/>
    <n v="0"/>
    <x v="1"/>
    <d v="2025-06-19T00:00:00"/>
    <s v="UK"/>
    <x v="23"/>
  </r>
  <r>
    <s v="PRO-000003565"/>
    <d v="2025-06-16T00:00:00"/>
    <n v="0"/>
    <x v="1"/>
    <d v="2025-06-20T00:00:00"/>
    <s v="UK"/>
    <x v="23"/>
  </r>
  <r>
    <s v="PRO-000003573"/>
    <d v="2025-06-17T00:00:00"/>
    <n v="0"/>
    <x v="1"/>
    <d v="2025-06-18T00:00:00"/>
    <s v="UK"/>
    <x v="23"/>
  </r>
  <r>
    <s v="PRO-000003583"/>
    <d v="2025-06-18T00:00:00"/>
    <n v="0"/>
    <x v="1"/>
    <d v="2025-06-20T00:00:00"/>
    <s v="UK"/>
    <x v="23"/>
  </r>
  <r>
    <s v="PRO-000003496"/>
    <d v="2025-06-18T00:00:00"/>
    <n v="100"/>
    <x v="1"/>
    <d v="2025-06-18T00:00:00"/>
    <s v="UK"/>
    <x v="23"/>
  </r>
  <r>
    <s v="PRO-000003552"/>
    <d v="2025-06-19T00:00:00"/>
    <n v="100"/>
    <x v="1"/>
    <d v="2025-06-19T00:00:00"/>
    <s v="UK"/>
    <x v="23"/>
  </r>
  <r>
    <s v="PRO-000003581"/>
    <d v="2025-06-16T00:00:00"/>
    <n v="100"/>
    <x v="1"/>
    <d v="2025-06-16T00:00:00"/>
    <s v="UK"/>
    <x v="23"/>
  </r>
  <r>
    <s v="PRO-000003599"/>
    <m/>
    <n v="100"/>
    <x v="1"/>
    <d v="2025-06-20T00:00:00"/>
    <s v="UK"/>
    <x v="23"/>
  </r>
  <r>
    <s v="PRO-000003612"/>
    <d v="2025-06-20T00:00:00"/>
    <n v="100"/>
    <x v="1"/>
    <d v="2025-06-20T00:00:00"/>
    <s v="UK"/>
    <x v="23"/>
  </r>
  <r>
    <s v="PRO-000003620"/>
    <d v="2025-06-20T00:00:00"/>
    <n v="100"/>
    <x v="1"/>
    <d v="2025-06-20T00:00:00"/>
    <s v="UK"/>
    <x v="23"/>
  </r>
  <r>
    <s v="PRO-000003534"/>
    <m/>
    <n v="100"/>
    <x v="1"/>
    <d v="2025-06-19T00:00:00"/>
    <s v="USA"/>
    <x v="23"/>
  </r>
  <r>
    <s v="PRO-000003554"/>
    <m/>
    <n v="100"/>
    <x v="2"/>
    <d v="2025-06-19T00:00:00"/>
    <s v="USA"/>
    <x v="23"/>
  </r>
  <r>
    <s v="PRO-000003594"/>
    <d v="2025-06-18T00:00:00"/>
    <n v="0"/>
    <x v="1"/>
    <d v="2025-06-22T00:00:00"/>
    <s v="Australia"/>
    <x v="24"/>
  </r>
  <r>
    <s v="PRO-000003596"/>
    <d v="2025-06-19T00:00:00"/>
    <n v="0"/>
    <x v="0"/>
    <d v="2025-06-20T00:00:00"/>
    <s v="Australia"/>
    <x v="23"/>
  </r>
  <r>
    <s v="PRO-000003618"/>
    <d v="2025-06-18T00:00:00"/>
    <n v="0"/>
    <x v="1"/>
    <d v="2025-06-20T00:00:00"/>
    <s v="Australia"/>
    <x v="23"/>
  </r>
  <r>
    <s v="PRO-000003530"/>
    <d v="2025-06-19T00:00:00"/>
    <n v="100"/>
    <x v="1"/>
    <d v="2025-06-18T00:00:00"/>
    <s v="Australia"/>
    <x v="23"/>
  </r>
  <r>
    <s v="PRO-000003571"/>
    <d v="2025-06-17T00:00:00"/>
    <n v="100"/>
    <x v="2"/>
    <d v="2025-06-17T00:00:00"/>
    <s v="Australia"/>
    <x v="23"/>
  </r>
  <r>
    <s v="PRO-000003576"/>
    <d v="2025-06-16T00:00:00"/>
    <n v="100"/>
    <x v="0"/>
    <d v="2025-06-16T00:00:00"/>
    <s v="Australia"/>
    <x v="23"/>
  </r>
  <r>
    <s v="PRO-000002828"/>
    <d v="2025-06-18T00:00:00"/>
    <n v="100"/>
    <x v="1"/>
    <d v="2025-06-18T00:00:00"/>
    <s v="Rest of the World"/>
    <x v="23"/>
  </r>
  <r>
    <s v="PRO-000003585"/>
    <m/>
    <n v="100"/>
    <x v="1"/>
    <d v="2025-06-17T00:00:00"/>
    <s v="Rest of the World"/>
    <x v="23"/>
  </r>
  <r>
    <s v="PRO-000003590"/>
    <d v="2025-06-20T00:00:00"/>
    <n v="100"/>
    <x v="1"/>
    <d v="2025-06-20T00:00:00"/>
    <s v="Rest of the World"/>
    <x v="23"/>
  </r>
  <r>
    <s v="PRO-000003579"/>
    <d v="2025-06-24T00:00:00"/>
    <n v="0"/>
    <x v="1"/>
    <d v="2025-06-26T00:00:00"/>
    <s v="UK"/>
    <x v="24"/>
  </r>
  <r>
    <s v="PRO-000003586"/>
    <d v="2025-06-19T00:00:00"/>
    <n v="0"/>
    <x v="1"/>
    <d v="2025-06-24T00:00:00"/>
    <s v="UK"/>
    <x v="24"/>
  </r>
  <r>
    <s v="PRO-000003592"/>
    <d v="2025-06-26T00:00:00"/>
    <n v="0"/>
    <x v="1"/>
    <d v="2025-06-27T00:00:00"/>
    <s v="UK"/>
    <x v="24"/>
  </r>
  <r>
    <s v="PRO-000003603"/>
    <d v="2025-06-23T00:00:00"/>
    <n v="0"/>
    <x v="1"/>
    <d v="2025-06-25T00:00:00"/>
    <s v="UK"/>
    <x v="24"/>
  </r>
  <r>
    <s v="PRO-000003619"/>
    <d v="2025-06-24T00:00:00"/>
    <n v="0"/>
    <x v="1"/>
    <d v="2025-06-26T00:00:00"/>
    <s v="UK"/>
    <x v="24"/>
  </r>
  <r>
    <s v="PRO-000003532"/>
    <d v="2025-06-26T00:00:00"/>
    <n v="100"/>
    <x v="1"/>
    <d v="2025-06-26T00:00:00"/>
    <s v="UK"/>
    <x v="24"/>
  </r>
  <r>
    <s v="PRO-000003553"/>
    <d v="2025-06-24T00:00:00"/>
    <n v="100"/>
    <x v="1"/>
    <d v="2025-06-24T00:00:00"/>
    <s v="UK"/>
    <x v="24"/>
  </r>
  <r>
    <s v="PRO-000003578"/>
    <d v="2025-06-25T00:00:00"/>
    <n v="100"/>
    <x v="1"/>
    <d v="2025-06-25T00:00:00"/>
    <s v="UK"/>
    <x v="24"/>
  </r>
  <r>
    <s v="PRO-000003591"/>
    <d v="2025-06-27T00:00:00"/>
    <n v="100"/>
    <x v="1"/>
    <d v="2025-06-27T00:00:00"/>
    <s v="UK"/>
    <x v="24"/>
  </r>
  <r>
    <s v="PRO-000003600"/>
    <d v="2025-06-26T00:00:00"/>
    <n v="100"/>
    <x v="1"/>
    <d v="2025-06-25T00:00:00"/>
    <s v="UK"/>
    <x v="24"/>
  </r>
  <r>
    <s v="PRO-000003605"/>
    <m/>
    <n v="100"/>
    <x v="1"/>
    <d v="2025-06-23T00:00:00"/>
    <s v="UK"/>
    <x v="24"/>
  </r>
  <r>
    <s v="PRO-000003614"/>
    <d v="2025-06-27T00:00:00"/>
    <n v="100"/>
    <x v="0"/>
    <d v="2025-06-27T00:00:00"/>
    <s v="UK"/>
    <x v="24"/>
  </r>
  <r>
    <s v="PRO-000003621"/>
    <d v="2025-06-23T00:00:00"/>
    <n v="100"/>
    <x v="1"/>
    <d v="2025-06-23T00:00:00"/>
    <s v="UK"/>
    <x v="24"/>
  </r>
  <r>
    <s v="PRO-000003622"/>
    <d v="2025-06-27T00:00:00"/>
    <n v="100"/>
    <x v="1"/>
    <d v="2025-06-27T00:00:00"/>
    <s v="UK"/>
    <x v="24"/>
  </r>
  <r>
    <s v="PRO-000003629"/>
    <d v="2025-06-27T00:00:00"/>
    <n v="100"/>
    <x v="1"/>
    <d v="2025-06-27T00:00:00"/>
    <s v="UK"/>
    <x v="24"/>
  </r>
  <r>
    <s v="PRO-000003597"/>
    <d v="2025-06-23T00:00:00"/>
    <n v="0"/>
    <x v="1"/>
    <d v="2025-06-25T00:00:00"/>
    <s v="USA"/>
    <x v="24"/>
  </r>
  <r>
    <s v="PRO-000003559"/>
    <m/>
    <n v="100"/>
    <x v="1"/>
    <d v="2025-06-24T00:00:00"/>
    <s v="USA"/>
    <x v="24"/>
  </r>
  <r>
    <s v="PRO-000003569"/>
    <d v="2025-06-25T00:00:00"/>
    <n v="100"/>
    <x v="2"/>
    <d v="2025-06-24T00:00:00"/>
    <s v="USA"/>
    <x v="24"/>
  </r>
  <r>
    <s v="PRO-000003584"/>
    <d v="2025-06-24T00:00:00"/>
    <n v="100"/>
    <x v="2"/>
    <d v="2025-06-24T00:00:00"/>
    <s v="USA"/>
    <x v="24"/>
  </r>
  <r>
    <s v="PRO-000003598"/>
    <d v="2025-06-24T00:00:00"/>
    <n v="100"/>
    <x v="2"/>
    <d v="2025-06-24T00:00:00"/>
    <s v="USA"/>
    <x v="24"/>
  </r>
  <r>
    <s v="PRO-000003607"/>
    <d v="2025-06-25T00:00:00"/>
    <n v="100"/>
    <x v="2"/>
    <d v="2025-06-25T00:00:00"/>
    <s v="USA"/>
    <x v="24"/>
  </r>
  <r>
    <s v="PRO-000003615"/>
    <d v="2025-06-27T00:00:00"/>
    <n v="100"/>
    <x v="2"/>
    <d v="2025-06-27T00:00:00"/>
    <s v="USA"/>
    <x v="24"/>
  </r>
  <r>
    <s v="PRO-000003595"/>
    <d v="2025-05-20T00:00:00"/>
    <n v="0"/>
    <x v="2"/>
    <d v="2025-06-23T00:00:00"/>
    <s v="Australia"/>
    <x v="24"/>
  </r>
  <r>
    <s v="PRO-000003625"/>
    <d v="2025-05-24T00:00:00"/>
    <n v="0"/>
    <x v="2"/>
    <d v="2025-06-25T00:00:00"/>
    <s v="Australia"/>
    <x v="24"/>
  </r>
  <r>
    <s v="PRO-000003430"/>
    <d v="2025-06-27T00:00:00"/>
    <n v="100"/>
    <x v="2"/>
    <d v="2025-06-26T00:00:00"/>
    <s v="Australia"/>
    <x v="24"/>
  </r>
  <r>
    <s v="PRO-000003613"/>
    <d v="2025-06-24T00:00:00"/>
    <n v="100"/>
    <x v="0"/>
    <d v="2025-06-24T00:00:00"/>
    <s v="Australia"/>
    <x v="24"/>
  </r>
  <r>
    <s v="PRO-000003624"/>
    <d v="2025-06-23T00:00:00"/>
    <n v="100"/>
    <x v="2"/>
    <d v="2025-06-23T00:00:00"/>
    <s v="Australia"/>
    <x v="24"/>
  </r>
  <r>
    <s v="PRO-000003626"/>
    <d v="2025-06-23T00:00:00"/>
    <n v="100"/>
    <x v="0"/>
    <d v="2025-06-23T00:00:00"/>
    <s v="Australia"/>
    <x v="24"/>
  </r>
  <r>
    <s v="PRO-000003627"/>
    <d v="2025-06-26T00:00:00"/>
    <n v="100"/>
    <x v="2"/>
    <d v="2025-06-26T00:00:00"/>
    <s v="Australia"/>
    <x v="24"/>
  </r>
  <r>
    <s v="PRO-000003640"/>
    <d v="2025-06-26T00:00:00"/>
    <n v="100"/>
    <x v="2"/>
    <d v="2025-06-25T00:00:00"/>
    <s v="Australia"/>
    <x v="24"/>
  </r>
  <r>
    <s v="PRO-000003641"/>
    <d v="2025-06-26T00:00:00"/>
    <n v="100"/>
    <x v="0"/>
    <d v="2025-06-25T00:00:00"/>
    <s v="Australia"/>
    <x v="24"/>
  </r>
  <r>
    <s v="PRO-000003649"/>
    <m/>
    <n v="100"/>
    <x v="2"/>
    <d v="2025-06-29T00:00:00"/>
    <s v="Australia"/>
    <x v="25"/>
  </r>
  <r>
    <s v="PRO-000003606"/>
    <d v="2025-06-27T00:00:00"/>
    <n v="100"/>
    <x v="1"/>
    <d v="2025-06-25T00:00:00"/>
    <s v="Rest of the World"/>
    <x v="24"/>
  </r>
  <r>
    <s v="PRO-000003610"/>
    <d v="2025-07-02T00:00:00"/>
    <n v="100"/>
    <x v="1"/>
    <d v="2025-06-23T00:00:00"/>
    <s v="Rest of the World"/>
    <x v="24"/>
  </r>
  <r>
    <s v="PRO-000003611"/>
    <d v="2025-07-02T00:00:00"/>
    <n v="100"/>
    <x v="1"/>
    <d v="2025-06-23T00:00:00"/>
    <s v="Rest of the World"/>
    <x v="24"/>
  </r>
  <r>
    <s v="PRO-000003623"/>
    <d v="2025-06-29T00:00:00"/>
    <n v="100"/>
    <x v="1"/>
    <d v="2025-06-27T00:00:00"/>
    <s v="Rest of the World"/>
    <x v="24"/>
  </r>
  <r>
    <s v="PRO-000003637"/>
    <d v="2025-07-01T00:00:00"/>
    <n v="0"/>
    <x v="1"/>
    <d v="2025-07-03T00:00:00"/>
    <s v="UK"/>
    <x v="25"/>
  </r>
  <r>
    <s v="PRO-000003665"/>
    <d v="2025-07-02T00:00:00"/>
    <n v="0"/>
    <x v="1"/>
    <d v="2025-07-03T00:00:00"/>
    <s v="UK"/>
    <x v="25"/>
  </r>
  <r>
    <s v="PRO-000003666"/>
    <d v="2025-07-03T00:00:00"/>
    <n v="0"/>
    <x v="1"/>
    <d v="2025-07-04T00:00:00"/>
    <s v="UK"/>
    <x v="25"/>
  </r>
  <r>
    <s v="PRO-000003602"/>
    <d v="2025-07-01T00:00:00"/>
    <n v="100"/>
    <x v="1"/>
    <d v="2025-07-01T00:00:00"/>
    <s v="UK"/>
    <x v="25"/>
  </r>
  <r>
    <s v="PRO-000003636"/>
    <d v="2025-07-02T00:00:00"/>
    <n v="100"/>
    <x v="0"/>
    <d v="2025-07-02T00:00:00"/>
    <s v="UK"/>
    <x v="25"/>
  </r>
  <r>
    <s v="PRO-000003643"/>
    <d v="2025-07-04T00:00:00"/>
    <n v="100"/>
    <x v="1"/>
    <d v="2025-07-04T00:00:00"/>
    <s v="UK"/>
    <x v="25"/>
  </r>
  <r>
    <s v="PRO-000003645"/>
    <m/>
    <n v="100"/>
    <x v="2"/>
    <d v="2025-07-03T00:00:00"/>
    <s v="UK"/>
    <x v="25"/>
  </r>
  <r>
    <s v="PRO-000003652"/>
    <d v="2025-07-02T00:00:00"/>
    <n v="100"/>
    <x v="1"/>
    <d v="2025-07-02T00:00:00"/>
    <s v="UK"/>
    <x v="25"/>
  </r>
  <r>
    <s v="PRO-000003654"/>
    <d v="2025-07-04T00:00:00"/>
    <n v="100"/>
    <x v="1"/>
    <d v="2025-07-04T00:00:00"/>
    <s v="UK"/>
    <x v="25"/>
  </r>
  <r>
    <s v="PRO-000003667"/>
    <d v="2025-07-07T00:00:00"/>
    <n v="100"/>
    <x v="1"/>
    <d v="2025-07-04T00:00:00"/>
    <s v="UK"/>
    <x v="25"/>
  </r>
  <r>
    <s v="PRO-000003671"/>
    <d v="2025-07-03T00:00:00"/>
    <n v="100"/>
    <x v="1"/>
    <d v="2025-07-03T00:00:00"/>
    <s v="UK"/>
    <x v="25"/>
  </r>
  <r>
    <s v="PRO-000003672"/>
    <d v="2025-07-03T00:00:00"/>
    <n v="100"/>
    <x v="2"/>
    <d v="2025-07-03T00:00:00"/>
    <s v="UK"/>
    <x v="25"/>
  </r>
  <r>
    <s v="PRO-000003681"/>
    <m/>
    <n v="100"/>
    <x v="0"/>
    <d v="2025-07-03T00:00:00"/>
    <s v="UK"/>
    <x v="25"/>
  </r>
  <r>
    <s v="PRO-000003644"/>
    <d v="2025-07-01T00:00:00"/>
    <n v="100"/>
    <x v="1"/>
    <d v="2025-07-01T00:00:00"/>
    <s v="France"/>
    <x v="25"/>
  </r>
  <r>
    <s v="PRO-000002906"/>
    <d v="2025-07-01T00:00:00"/>
    <n v="100"/>
    <x v="2"/>
    <d v="2025-07-01T00:00:00"/>
    <s v="USA"/>
    <x v="25"/>
  </r>
  <r>
    <s v="PRO-000003617"/>
    <d v="2025-07-08T00:00:00"/>
    <n v="100"/>
    <x v="2"/>
    <d v="2025-07-04T00:00:00"/>
    <s v="USA"/>
    <x v="25"/>
  </r>
  <r>
    <s v="PRO-000003630"/>
    <d v="2025-07-04T00:00:00"/>
    <n v="100"/>
    <x v="2"/>
    <d v="2025-07-04T00:00:00"/>
    <s v="USA"/>
    <x v="25"/>
  </r>
  <r>
    <s v="PRO-000003634"/>
    <d v="2025-07-02T00:00:00"/>
    <n v="100"/>
    <x v="2"/>
    <d v="2025-07-02T00:00:00"/>
    <s v="USA"/>
    <x v="25"/>
  </r>
  <r>
    <s v="PRO-000003647"/>
    <m/>
    <n v="100"/>
    <x v="1"/>
    <d v="2025-07-02T00:00:00"/>
    <s v="USA"/>
    <x v="25"/>
  </r>
  <r>
    <s v="PRO-000003662"/>
    <m/>
    <n v="100"/>
    <x v="1"/>
    <d v="2025-07-02T00:00:00"/>
    <s v="USA"/>
    <x v="25"/>
  </r>
  <r>
    <s v="PRO-000003632"/>
    <d v="2025-07-02T00:00:00"/>
    <n v="100"/>
    <x v="2"/>
    <d v="2025-07-02T00:00:00"/>
    <s v="Australia"/>
    <x v="25"/>
  </r>
  <r>
    <s v="PRO-000003650"/>
    <d v="2025-07-01T00:00:00"/>
    <n v="100"/>
    <x v="1"/>
    <d v="2025-07-01T00:00:00"/>
    <s v="Australia"/>
    <x v="25"/>
  </r>
  <r>
    <s v="PRO-000003658"/>
    <d v="2025-07-07T00:00:00"/>
    <n v="100"/>
    <x v="2"/>
    <d v="2025-07-03T00:00:00"/>
    <s v="Australia"/>
    <x v="25"/>
  </r>
  <r>
    <s v="PRO-000003661"/>
    <d v="2025-07-01T00:00:00"/>
    <n v="100"/>
    <x v="0"/>
    <d v="2025-07-01T00:00:00"/>
    <s v="Australia"/>
    <x v="25"/>
  </r>
  <r>
    <s v="PRO-000003669"/>
    <d v="2025-07-04T00:00:00"/>
    <n v="100"/>
    <x v="1"/>
    <d v="2025-07-03T00:00:00"/>
    <s v="Australia"/>
    <x v="25"/>
  </r>
  <r>
    <s v="PRO-000003677"/>
    <d v="2025-07-04T00:00:00"/>
    <n v="100"/>
    <x v="2"/>
    <d v="2025-07-04T00:00:00"/>
    <s v="Australia"/>
    <x v="25"/>
  </r>
  <r>
    <s v="PRO-000003540"/>
    <d v="2025-06-13T00:00:00"/>
    <n v="0"/>
    <x v="1"/>
    <d v="2025-07-02T00:00:00"/>
    <s v="Rest of the World"/>
    <x v="25"/>
  </r>
  <r>
    <s v="PRO-000003616"/>
    <d v="2025-06-26T00:00:00"/>
    <n v="0"/>
    <x v="1"/>
    <d v="2025-07-01T00:00:00"/>
    <s v="Rest of the World"/>
    <x v="25"/>
  </r>
  <r>
    <s v="PRO-000003635"/>
    <d v="2025-06-27T00:00:00"/>
    <n v="0"/>
    <x v="1"/>
    <d v="2025-07-01T00:00:00"/>
    <s v="Rest of the World"/>
    <x v="25"/>
  </r>
  <r>
    <s v="PRO-000003639"/>
    <d v="2025-07-25T00:00:00"/>
    <n v="100"/>
    <x v="1"/>
    <d v="2025-07-02T00:00:00"/>
    <s v="Rest of the World"/>
    <x v="25"/>
  </r>
  <r>
    <s v="PRO-000003646"/>
    <d v="2025-07-25T00:00:00"/>
    <n v="100"/>
    <x v="1"/>
    <d v="2025-07-04T00:00:00"/>
    <s v="Rest of the World"/>
    <x v="25"/>
  </r>
  <r>
    <s v="PRO-000003659"/>
    <m/>
    <n v="100"/>
    <x v="1"/>
    <d v="2025-07-03T00:00:00"/>
    <s v="Rest of the World"/>
    <x v="25"/>
  </r>
  <r>
    <s v="PRO-000003555"/>
    <d v="2025-07-01T00:00:00"/>
    <n v="100"/>
    <x v="1"/>
    <d v="2025-07-01T00:00:00"/>
    <s v="Special Projects"/>
    <x v="25"/>
  </r>
  <r>
    <s v="PRO-000003655"/>
    <d v="2025-07-09T00:00:00"/>
    <n v="0"/>
    <x v="1"/>
    <d v="2025-07-10T00:00:00"/>
    <s v="UK"/>
    <x v="26"/>
  </r>
  <r>
    <s v="PRO-000003660"/>
    <d v="2025-07-09T00:00:00"/>
    <n v="0"/>
    <x v="1"/>
    <d v="2025-07-11T00:00:00"/>
    <s v="UK"/>
    <x v="26"/>
  </r>
  <r>
    <s v="PRO-000003678"/>
    <d v="2025-07-07T00:00:00"/>
    <n v="0"/>
    <x v="1"/>
    <d v="2025-07-08T00:00:00"/>
    <s v="UK"/>
    <x v="26"/>
  </r>
  <r>
    <s v="PRO-000003682"/>
    <d v="2025-07-07T00:00:00"/>
    <n v="0"/>
    <x v="1"/>
    <d v="2025-07-09T00:00:00"/>
    <s v="UK"/>
    <x v="26"/>
  </r>
  <r>
    <s v="PRO-000003664"/>
    <d v="2025-07-07T00:00:00"/>
    <n v="100"/>
    <x v="1"/>
    <d v="2025-07-07T00:00:00"/>
    <s v="UK"/>
    <x v="26"/>
  </r>
  <r>
    <s v="PRO-000003670"/>
    <d v="2025-07-09T00:00:00"/>
    <n v="100"/>
    <x v="1"/>
    <d v="2025-07-08T00:00:00"/>
    <s v="UK"/>
    <x v="26"/>
  </r>
  <r>
    <s v="PRO-000003680"/>
    <d v="2025-07-08T00:00:00"/>
    <n v="100"/>
    <x v="3"/>
    <d v="2025-07-08T00:00:00"/>
    <s v="UK"/>
    <x v="26"/>
  </r>
  <r>
    <s v="PRO-000003684"/>
    <d v="2025-07-09T00:00:00"/>
    <n v="100"/>
    <x v="1"/>
    <d v="2025-07-09T00:00:00"/>
    <s v="UK"/>
    <x v="26"/>
  </r>
  <r>
    <s v="PRO-000003697"/>
    <d v="2025-07-16T00:00:00"/>
    <n v="100"/>
    <x v="1"/>
    <d v="2025-07-11T00:00:00"/>
    <s v="UK"/>
    <x v="26"/>
  </r>
  <r>
    <s v="PRO-000003699"/>
    <d v="2025-07-09T00:00:00"/>
    <n v="100"/>
    <x v="1"/>
    <d v="2025-07-09T00:00:00"/>
    <s v="UK"/>
    <x v="26"/>
  </r>
  <r>
    <s v="PRO-000003683"/>
    <d v="2025-07-19T00:00:00"/>
    <n v="100"/>
    <x v="1"/>
    <d v="2025-07-10T00:00:00"/>
    <s v="France"/>
    <x v="26"/>
  </r>
  <r>
    <s v="PRO-000003685"/>
    <d v="2025-07-10T00:00:00"/>
    <n v="100"/>
    <x v="1"/>
    <d v="2025-07-10T00:00:00"/>
    <s v="France"/>
    <x v="26"/>
  </r>
  <r>
    <s v="PRO-000003508"/>
    <d v="2025-07-09T00:00:00"/>
    <n v="0"/>
    <x v="2"/>
    <d v="2025-07-11T00:00:00"/>
    <s v="USA"/>
    <x v="26"/>
  </r>
  <r>
    <s v="PRO-000003631"/>
    <d v="2025-07-04T00:00:00"/>
    <n v="0"/>
    <x v="2"/>
    <d v="2025-07-09T00:00:00"/>
    <s v="USA"/>
    <x v="26"/>
  </r>
  <r>
    <s v="PRO-000002263"/>
    <d v="2025-07-10T00:00:00"/>
    <n v="100"/>
    <x v="2"/>
    <d v="2025-07-10T00:00:00"/>
    <s v="USA"/>
    <x v="26"/>
  </r>
  <r>
    <s v="PRO-000003593"/>
    <d v="2025-07-11T00:00:00"/>
    <n v="100"/>
    <x v="1"/>
    <d v="2025-07-11T00:00:00"/>
    <s v="USA"/>
    <x v="26"/>
  </r>
  <r>
    <s v="PRO-000003609"/>
    <d v="2025-07-09T00:00:00"/>
    <n v="100"/>
    <x v="1"/>
    <d v="2025-07-09T00:00:00"/>
    <s v="USA"/>
    <x v="26"/>
  </r>
  <r>
    <s v="PRO-000003638"/>
    <m/>
    <n v="100"/>
    <x v="2"/>
    <d v="2025-07-11T00:00:00"/>
    <s v="USA"/>
    <x v="26"/>
  </r>
  <r>
    <s v="PRO-000003676"/>
    <m/>
    <n v="100"/>
    <x v="2"/>
    <d v="2025-07-13T00:00:00"/>
    <s v="USA"/>
    <x v="27"/>
  </r>
  <r>
    <s v="PRO-000003702"/>
    <m/>
    <n v="100"/>
    <x v="2"/>
    <d v="2025-07-10T00:00:00"/>
    <s v="USA"/>
    <x v="26"/>
  </r>
  <r>
    <s v="PRO-000003709"/>
    <d v="2025-07-10T00:00:00"/>
    <n v="100"/>
    <x v="2"/>
    <d v="2025-07-10T00:00:00"/>
    <s v="USA"/>
    <x v="26"/>
  </r>
  <r>
    <s v="PRO-000003648"/>
    <d v="2025-07-11T00:00:00"/>
    <n v="100"/>
    <x v="2"/>
    <d v="2025-07-11T00:00:00"/>
    <s v="Australia"/>
    <x v="26"/>
  </r>
  <r>
    <s v="PRO-000003689"/>
    <d v="2025-07-09T00:00:00"/>
    <n v="100"/>
    <x v="2"/>
    <d v="2025-07-08T00:00:00"/>
    <s v="Australia"/>
    <x v="26"/>
  </r>
  <r>
    <s v="PRO-000003698"/>
    <d v="2025-07-10T00:00:00"/>
    <n v="100"/>
    <x v="0"/>
    <d v="2025-07-10T00:00:00"/>
    <s v="Australia"/>
    <x v="26"/>
  </r>
  <r>
    <s v="PRO-000003673"/>
    <d v="2025-07-09T00:00:00"/>
    <n v="0"/>
    <x v="1"/>
    <d v="2025-07-10T00:00:00"/>
    <s v="Rest of the World"/>
    <x v="26"/>
  </r>
  <r>
    <s v="PRO-000003674"/>
    <d v="2025-07-09T00:00:00"/>
    <n v="0"/>
    <x v="1"/>
    <d v="2025-07-10T00:00:00"/>
    <s v="Rest of the World"/>
    <x v="26"/>
  </r>
  <r>
    <s v="PRO-000003651"/>
    <d v="2025-07-11T00:00:00"/>
    <n v="100"/>
    <x v="1"/>
    <d v="2025-07-10T00:00:00"/>
    <s v="Rest of the World"/>
    <x v="26"/>
  </r>
  <r>
    <s v="PRO-000003663"/>
    <d v="2025-07-10T00:00:00"/>
    <n v="100"/>
    <x v="1"/>
    <d v="2025-07-10T00:00:00"/>
    <s v="Rest of the World"/>
    <x v="26"/>
  </r>
  <r>
    <s v="PRO-000003694"/>
    <d v="2025-07-14T00:00:00"/>
    <n v="100"/>
    <x v="1"/>
    <d v="2025-07-11T00:00:00"/>
    <s v="Rest of the World"/>
    <x v="26"/>
  </r>
  <r>
    <s v="PRO-000003701"/>
    <d v="2025-07-16T00:00:00"/>
    <n v="100"/>
    <x v="1"/>
    <d v="2025-07-11T00:00:00"/>
    <s v="Rest of the World"/>
    <x v="26"/>
  </r>
  <r>
    <s v="PRO-000003691"/>
    <d v="2025-07-15T00:00:00"/>
    <n v="0"/>
    <x v="1"/>
    <d v="2025-07-18T00:00:00"/>
    <s v="UK"/>
    <x v="27"/>
  </r>
  <r>
    <s v="PRO-000003705"/>
    <d v="2025-07-11T00:00:00"/>
    <n v="0"/>
    <x v="1"/>
    <d v="2025-07-15T00:00:00"/>
    <s v="UK"/>
    <x v="27"/>
  </r>
  <r>
    <s v="PRO-000003707"/>
    <d v="2025-07-11T00:00:00"/>
    <n v="0"/>
    <x v="0"/>
    <d v="2025-07-15T00:00:00"/>
    <s v="UK"/>
    <x v="27"/>
  </r>
  <r>
    <s v="PRO-000003481"/>
    <d v="2025-07-18T00:00:00"/>
    <n v="100"/>
    <x v="1"/>
    <d v="2025-07-18T00:00:00"/>
    <s v="UK"/>
    <x v="27"/>
  </r>
  <r>
    <s v="PRO-000003653"/>
    <m/>
    <n v="100"/>
    <x v="1"/>
    <d v="2025-07-17T00:00:00"/>
    <s v="UK"/>
    <x v="27"/>
  </r>
  <r>
    <s v="PRO-000003696"/>
    <d v="2025-07-18T00:00:00"/>
    <n v="100"/>
    <x v="1"/>
    <d v="2025-07-17T00:00:00"/>
    <s v="UK"/>
    <x v="27"/>
  </r>
  <r>
    <s v="PRO-000003714"/>
    <d v="2025-07-17T00:00:00"/>
    <n v="100"/>
    <x v="1"/>
    <d v="2025-07-17T00:00:00"/>
    <s v="UK"/>
    <x v="27"/>
  </r>
  <r>
    <s v="PRO-000003727"/>
    <d v="2025-07-18T00:00:00"/>
    <n v="100"/>
    <x v="2"/>
    <d v="2025-07-17T00:00:00"/>
    <s v="UK"/>
    <x v="27"/>
  </r>
  <r>
    <s v="PRO-000003726"/>
    <d v="2025-07-18T00:00:00"/>
    <n v="100"/>
    <x v="1"/>
    <d v="2025-07-18T00:00:00"/>
    <s v="France"/>
    <x v="27"/>
  </r>
  <r>
    <s v="PRO-000002638"/>
    <d v="2025-07-14T00:00:00"/>
    <n v="100"/>
    <x v="2"/>
    <d v="2025-07-14T00:00:00"/>
    <s v="USA"/>
    <x v="27"/>
  </r>
  <r>
    <s v="PRO-000003580"/>
    <d v="2025-07-14T00:00:00"/>
    <n v="100"/>
    <x v="2"/>
    <d v="2025-07-14T00:00:00"/>
    <s v="USA"/>
    <x v="27"/>
  </r>
  <r>
    <s v="PRO-000003695"/>
    <m/>
    <n v="100"/>
    <x v="1"/>
    <d v="2025-07-17T00:00:00"/>
    <s v="USA"/>
    <x v="27"/>
  </r>
  <r>
    <s v="PRO-000003706"/>
    <d v="2025-07-17T00:00:00"/>
    <n v="100"/>
    <x v="2"/>
    <d v="2025-07-17T00:00:00"/>
    <s v="USA"/>
    <x v="27"/>
  </r>
  <r>
    <s v="PRO-000003708"/>
    <d v="2025-07-18T00:00:00"/>
    <n v="100"/>
    <x v="2"/>
    <d v="2025-07-18T00:00:00"/>
    <s v="USA"/>
    <x v="27"/>
  </r>
  <r>
    <s v="PRO-000003717"/>
    <d v="2025-07-15T00:00:00"/>
    <n v="100"/>
    <x v="1"/>
    <d v="2025-07-15T00:00:00"/>
    <s v="USA"/>
    <x v="27"/>
  </r>
  <r>
    <s v="PRO-000003737"/>
    <d v="2025-07-17T00:00:00"/>
    <n v="100"/>
    <x v="1"/>
    <d v="2025-07-17T00:00:00"/>
    <s v="USA"/>
    <x v="27"/>
  </r>
  <r>
    <s v="PRO-000003688"/>
    <d v="2025-07-11T00:00:00"/>
    <n v="0"/>
    <x v="2"/>
    <d v="2025-07-16T00:00:00"/>
    <s v="Australia"/>
    <x v="27"/>
  </r>
  <r>
    <s v="PRO-000003713"/>
    <d v="2025-07-16T00:00:00"/>
    <n v="100"/>
    <x v="2"/>
    <d v="2025-07-16T00:00:00"/>
    <s v="Australia"/>
    <x v="27"/>
  </r>
  <r>
    <s v="PRO-000003735"/>
    <d v="2025-07-18T00:00:00"/>
    <n v="100"/>
    <x v="0"/>
    <d v="2025-07-17T00:00:00"/>
    <s v="Australia"/>
    <x v="27"/>
  </r>
  <r>
    <s v="PRO-000003668"/>
    <d v="2025-07-09T00:00:00"/>
    <n v="0"/>
    <x v="1"/>
    <d v="2025-07-17T00:00:00"/>
    <s v="Rest of the World"/>
    <x v="27"/>
  </r>
  <r>
    <s v="PRO-000003741"/>
    <d v="2025-07-17T00:00:00"/>
    <n v="0"/>
    <x v="1"/>
    <d v="2025-07-18T00:00:00"/>
    <s v="Rest of the World"/>
    <x v="27"/>
  </r>
  <r>
    <s v="PRO-000003628"/>
    <d v="2025-07-18T00:00:00"/>
    <n v="100"/>
    <x v="1"/>
    <d v="2025-07-17T00:00:00"/>
    <s v="Rest of the World"/>
    <x v="27"/>
  </r>
  <r>
    <s v="PRO-000003687"/>
    <d v="2025-07-16T00:00:00"/>
    <n v="100"/>
    <x v="1"/>
    <d v="2025-07-16T00:00:00"/>
    <s v="Rest of the World"/>
    <x v="27"/>
  </r>
  <r>
    <s v="PRO-000003710"/>
    <d v="2025-07-18T00:00:00"/>
    <n v="100"/>
    <x v="1"/>
    <d v="2025-07-17T00:00:00"/>
    <s v="Rest of the World"/>
    <x v="27"/>
  </r>
  <r>
    <s v="PRO-000003608"/>
    <d v="2025-07-04T00:00:00"/>
    <n v="0"/>
    <x v="1"/>
    <d v="2025-07-25T00:00:00"/>
    <s v="UK"/>
    <x v="28"/>
  </r>
  <r>
    <s v="PRO-000003679"/>
    <d v="2025-07-18T00:00:00"/>
    <n v="0"/>
    <x v="1"/>
    <d v="2025-07-22T00:00:00"/>
    <s v="UK"/>
    <x v="28"/>
  </r>
  <r>
    <s v="PRO-000003690"/>
    <d v="2025-07-23T00:00:00"/>
    <n v="0"/>
    <x v="1"/>
    <d v="2025-07-24T00:00:00"/>
    <s v="UK"/>
    <x v="28"/>
  </r>
  <r>
    <s v="PRO-000003753"/>
    <d v="2025-07-18T00:00:00"/>
    <n v="0"/>
    <x v="2"/>
    <d v="2025-07-24T00:00:00"/>
    <s v="UK"/>
    <x v="28"/>
  </r>
  <r>
    <s v="PRO-000003754"/>
    <d v="2025-07-23T00:00:00"/>
    <n v="0"/>
    <x v="1"/>
    <d v="2025-07-24T00:00:00"/>
    <s v="UK"/>
    <x v="28"/>
  </r>
  <r>
    <s v="PRO-000003716"/>
    <d v="2025-07-22T00:00:00"/>
    <n v="100"/>
    <x v="1"/>
    <d v="2025-07-21T00:00:00"/>
    <s v="UK"/>
    <x v="28"/>
  </r>
  <r>
    <s v="PRO-000003715"/>
    <d v="2025-07-25T00:00:00"/>
    <n v="100"/>
    <x v="0"/>
    <d v="2025-07-24T00:00:00"/>
    <s v="UK"/>
    <x v="28"/>
  </r>
  <r>
    <s v="PRO-000003731"/>
    <d v="2025-07-23T00:00:00"/>
    <n v="100"/>
    <x v="0"/>
    <d v="2025-07-23T00:00:00"/>
    <s v="UK"/>
    <x v="28"/>
  </r>
  <r>
    <s v="PRO-000003732"/>
    <d v="2025-07-25T00:00:00"/>
    <n v="100"/>
    <x v="1"/>
    <d v="2025-07-24T00:00:00"/>
    <s v="UK"/>
    <x v="28"/>
  </r>
  <r>
    <s v="PRO-000003740"/>
    <d v="2025-07-24T00:00:00"/>
    <n v="100"/>
    <x v="1"/>
    <d v="2025-07-24T00:00:00"/>
    <s v="UK"/>
    <x v="28"/>
  </r>
  <r>
    <s v="PRO-000003751"/>
    <d v="2025-07-25T00:00:00"/>
    <n v="100"/>
    <x v="0"/>
    <d v="2025-07-24T00:00:00"/>
    <s v="UK"/>
    <x v="28"/>
  </r>
  <r>
    <s v="PRO-000003757"/>
    <d v="2025-07-25T00:00:00"/>
    <n v="100"/>
    <x v="1"/>
    <d v="2025-07-25T00:00:00"/>
    <s v="UK"/>
    <x v="28"/>
  </r>
  <r>
    <s v="PRO-000003771"/>
    <d v="2025-07-25T00:00:00"/>
    <n v="100"/>
    <x v="2"/>
    <d v="2025-07-25T00:00:00"/>
    <s v="UK"/>
    <x v="28"/>
  </r>
  <r>
    <s v="PRO-000003739"/>
    <d v="2025-07-24T00:00:00"/>
    <n v="100"/>
    <x v="1"/>
    <d v="2025-07-24T00:00:00"/>
    <s v="France"/>
    <x v="28"/>
  </r>
  <r>
    <s v="PRO-000003387"/>
    <d v="2025-05-26T00:00:00"/>
    <n v="0"/>
    <x v="2"/>
    <d v="2025-07-25T00:00:00"/>
    <s v="USA"/>
    <x v="28"/>
  </r>
  <r>
    <s v="PRO-000003483"/>
    <d v="2025-07-22T00:00:00"/>
    <n v="0"/>
    <x v="2"/>
    <d v="2025-07-23T00:00:00"/>
    <s v="USA"/>
    <x v="28"/>
  </r>
  <r>
    <s v="PRO-000003574"/>
    <d v="2025-06-27T00:00:00"/>
    <n v="0"/>
    <x v="1"/>
    <d v="2025-07-25T00:00:00"/>
    <s v="USA"/>
    <x v="28"/>
  </r>
  <r>
    <s v="PRO-000003747"/>
    <d v="2025-07-21T00:00:00"/>
    <n v="0"/>
    <x v="2"/>
    <d v="2025-07-23T00:00:00"/>
    <s v="USA"/>
    <x v="28"/>
  </r>
  <r>
    <s v="PRO-000003675"/>
    <d v="2025-07-25T00:00:00"/>
    <n v="100"/>
    <x v="2"/>
    <d v="2025-07-25T00:00:00"/>
    <s v="USA"/>
    <x v="28"/>
  </r>
  <r>
    <s v="PRO-000003743"/>
    <m/>
    <n v="100"/>
    <x v="1"/>
    <d v="2025-07-21T00:00:00"/>
    <s v="USA"/>
    <x v="28"/>
  </r>
  <r>
    <s v="PRO-000003744"/>
    <d v="2025-07-21T00:00:00"/>
    <n v="100"/>
    <x v="1"/>
    <d v="2025-07-21T00:00:00"/>
    <s v="USA"/>
    <x v="28"/>
  </r>
  <r>
    <s v="PRO-000003755"/>
    <d v="2025-07-21T00:00:00"/>
    <n v="100"/>
    <x v="1"/>
    <d v="2025-07-21T00:00:00"/>
    <s v="USA"/>
    <x v="28"/>
  </r>
  <r>
    <s v="PRO-000003762"/>
    <d v="2025-07-24T00:00:00"/>
    <n v="100"/>
    <x v="1"/>
    <d v="2025-07-23T00:00:00"/>
    <s v="USA"/>
    <x v="28"/>
  </r>
  <r>
    <s v="PRO-000003775"/>
    <d v="2025-07-25T00:00:00"/>
    <n v="100"/>
    <x v="2"/>
    <d v="2025-07-25T00:00:00"/>
    <s v="USA"/>
    <x v="28"/>
  </r>
  <r>
    <s v="PRO-000003712"/>
    <d v="2025-07-17T00:00:00"/>
    <n v="0"/>
    <x v="1"/>
    <d v="2025-07-21T00:00:00"/>
    <s v="Australia"/>
    <x v="28"/>
  </r>
  <r>
    <s v="PRO-000003729"/>
    <d v="2025-07-23T00:00:00"/>
    <n v="100"/>
    <x v="2"/>
    <d v="2025-07-23T00:00:00"/>
    <s v="Australia"/>
    <x v="28"/>
  </r>
  <r>
    <s v="PRO-000003730"/>
    <d v="2025-07-23T00:00:00"/>
    <n v="100"/>
    <x v="2"/>
    <d v="2025-07-23T00:00:00"/>
    <s v="Australia"/>
    <x v="28"/>
  </r>
  <r>
    <s v="PRO-000003736"/>
    <d v="2025-07-21T00:00:00"/>
    <n v="100"/>
    <x v="2"/>
    <d v="2025-07-21T00:00:00"/>
    <s v="Australia"/>
    <x v="28"/>
  </r>
  <r>
    <s v="PRO-000003749"/>
    <m/>
    <n v="100"/>
    <x v="1"/>
    <d v="2025-07-24T00:00:00"/>
    <s v="Australia"/>
    <x v="28"/>
  </r>
  <r>
    <s v="PRO-000003756"/>
    <d v="2025-07-22T00:00:00"/>
    <n v="100"/>
    <x v="0"/>
    <d v="2025-07-22T00:00:00"/>
    <s v="Australia"/>
    <x v="28"/>
  </r>
  <r>
    <s v="PRO-000003765"/>
    <d v="2025-07-25T00:00:00"/>
    <n v="100"/>
    <x v="0"/>
    <d v="2025-07-25T00:00:00"/>
    <s v="Australia"/>
    <x v="28"/>
  </r>
  <r>
    <s v="PRO-000003766"/>
    <d v="2025-07-29T00:00:00"/>
    <n v="100"/>
    <x v="2"/>
    <d v="2025-07-24T00:00:00"/>
    <s v="Australia"/>
    <x v="28"/>
  </r>
  <r>
    <s v="PRO-000003767"/>
    <m/>
    <n v="100"/>
    <x v="0"/>
    <d v="2025-07-24T00:00:00"/>
    <s v="Australia"/>
    <x v="28"/>
  </r>
  <r>
    <s v="PRO-000003779"/>
    <d v="2025-07-25T00:00:00"/>
    <n v="100"/>
    <x v="0"/>
    <d v="2025-07-25T00:00:00"/>
    <s v="Australia"/>
    <x v="28"/>
  </r>
  <r>
    <s v="PRO-000003783"/>
    <d v="2025-07-28T00:00:00"/>
    <n v="100"/>
    <x v="0"/>
    <d v="2025-07-27T00:00:00"/>
    <s v="Australia"/>
    <x v="29"/>
  </r>
  <r>
    <s v="PRO-000003692"/>
    <d v="2025-07-21T00:00:00"/>
    <n v="0"/>
    <x v="1"/>
    <d v="2025-07-24T00:00:00"/>
    <s v="Rest of the World"/>
    <x v="28"/>
  </r>
  <r>
    <s v="PRO-000003703"/>
    <d v="2025-07-21T00:00:00"/>
    <n v="0"/>
    <x v="1"/>
    <d v="2025-07-22T00:00:00"/>
    <s v="Rest of the World"/>
    <x v="28"/>
  </r>
  <r>
    <s v="PRO-000003704"/>
    <d v="2025-07-17T00:00:00"/>
    <n v="0"/>
    <x v="1"/>
    <d v="2025-07-24T00:00:00"/>
    <s v="Rest of the World"/>
    <x v="28"/>
  </r>
  <r>
    <s v="PRO-000003700"/>
    <d v="2025-07-24T00:00:00"/>
    <n v="100"/>
    <x v="1"/>
    <d v="2025-07-24T00:00:00"/>
    <s v="Rest of the World"/>
    <x v="28"/>
  </r>
  <r>
    <s v="PRO-000003722"/>
    <d v="2025-07-25T00:00:00"/>
    <n v="100"/>
    <x v="1"/>
    <d v="2025-07-24T00:00:00"/>
    <s v="Rest of the World"/>
    <x v="28"/>
  </r>
  <r>
    <s v="PRO-000003723"/>
    <d v="2025-08-01T00:00:00"/>
    <n v="100"/>
    <x v="1"/>
    <d v="2025-07-22T00:00:00"/>
    <s v="Rest of the World"/>
    <x v="28"/>
  </r>
  <r>
    <s v="PRO-000003718"/>
    <d v="2025-07-16T00:00:00"/>
    <n v="0"/>
    <x v="1"/>
    <d v="2025-07-21T00:00:00"/>
    <s v="Special Projects"/>
    <x v="28"/>
  </r>
  <r>
    <s v="PRO-000003738"/>
    <d v="2025-07-21T00:00:00"/>
    <n v="0"/>
    <x v="1"/>
    <d v="2025-08-01T00:00:00"/>
    <s v="UK"/>
    <x v="29"/>
  </r>
  <r>
    <s v="PRO-000003742"/>
    <d v="2025-07-22T00:00:00"/>
    <n v="0"/>
    <x v="1"/>
    <d v="2025-07-28T00:00:00"/>
    <s v="UK"/>
    <x v="29"/>
  </r>
  <r>
    <s v="PRO-000003774"/>
    <d v="2025-07-25T00:00:00"/>
    <n v="0"/>
    <x v="1"/>
    <d v="2025-07-28T00:00:00"/>
    <s v="UK"/>
    <x v="29"/>
  </r>
  <r>
    <s v="PRO-000003721"/>
    <d v="2025-07-30T00:00:00"/>
    <n v="100"/>
    <x v="1"/>
    <d v="2025-07-30T00:00:00"/>
    <s v="UK"/>
    <x v="29"/>
  </r>
  <r>
    <s v="PRO-000003745"/>
    <m/>
    <n v="100"/>
    <x v="1"/>
    <d v="2025-07-29T00:00:00"/>
    <s v="UK"/>
    <x v="29"/>
  </r>
  <r>
    <s v="PRO-000003761"/>
    <m/>
    <n v="100"/>
    <x v="1"/>
    <d v="2025-07-31T00:00:00"/>
    <s v="UK"/>
    <x v="29"/>
  </r>
  <r>
    <s v="PRO-000003772"/>
    <d v="2025-08-01T00:00:00"/>
    <n v="100"/>
    <x v="1"/>
    <d v="2025-08-01T00:00:00"/>
    <s v="UK"/>
    <x v="29"/>
  </r>
  <r>
    <s v="PRO-000003781"/>
    <d v="2025-07-28T00:00:00"/>
    <n v="100"/>
    <x v="0"/>
    <d v="2025-07-28T00:00:00"/>
    <s v="UK"/>
    <x v="29"/>
  </r>
  <r>
    <s v="PRO-000003789"/>
    <d v="2025-07-29T00:00:00"/>
    <n v="100"/>
    <x v="1"/>
    <d v="2025-07-29T00:00:00"/>
    <s v="UK"/>
    <x v="29"/>
  </r>
  <r>
    <s v="PRO-000003788"/>
    <d v="2025-08-01T00:00:00"/>
    <n v="100"/>
    <x v="1"/>
    <d v="2025-08-01T00:00:00"/>
    <s v="UK"/>
    <x v="29"/>
  </r>
  <r>
    <s v="PRO-000003799"/>
    <d v="2025-07-29T00:00:00"/>
    <n v="100"/>
    <x v="1"/>
    <d v="2025-07-29T00:00:00"/>
    <s v="UK"/>
    <x v="29"/>
  </r>
  <r>
    <s v="PRO-000003801"/>
    <d v="2025-08-01T00:00:00"/>
    <n v="100"/>
    <x v="1"/>
    <d v="2025-08-01T00:00:00"/>
    <s v="UK"/>
    <x v="29"/>
  </r>
  <r>
    <s v="PRO-000003806"/>
    <d v="2025-07-31T00:00:00"/>
    <n v="100"/>
    <x v="1"/>
    <d v="2025-07-31T00:00:00"/>
    <s v="UK"/>
    <x v="29"/>
  </r>
  <r>
    <s v="PRO-000003807"/>
    <d v="2025-07-31T00:00:00"/>
    <n v="100"/>
    <x v="1"/>
    <d v="2025-07-31T00:00:00"/>
    <s v="UK"/>
    <x v="29"/>
  </r>
  <r>
    <s v="PRO-000003728"/>
    <d v="2025-07-29T00:00:00"/>
    <n v="0"/>
    <x v="1"/>
    <d v="2025-07-30T00:00:00"/>
    <s v="USA"/>
    <x v="29"/>
  </r>
  <r>
    <s v="PRO-000003734"/>
    <d v="2025-07-23T00:00:00"/>
    <n v="0"/>
    <x v="1"/>
    <d v="2025-07-29T00:00:00"/>
    <s v="USA"/>
    <x v="29"/>
  </r>
  <r>
    <s v="PRO-000003724"/>
    <m/>
    <n v="100"/>
    <x v="1"/>
    <d v="2025-07-31T00:00:00"/>
    <s v="USA"/>
    <x v="29"/>
  </r>
  <r>
    <s v="PRO-000003780"/>
    <d v="2025-07-30T00:00:00"/>
    <n v="100"/>
    <x v="2"/>
    <d v="2025-07-30T00:00:00"/>
    <s v="USA"/>
    <x v="29"/>
  </r>
  <r>
    <s v="PRO-000003790"/>
    <d v="2025-07-30T00:00:00"/>
    <n v="100"/>
    <x v="2"/>
    <d v="2025-07-30T00:00:00"/>
    <s v="USA"/>
    <x v="29"/>
  </r>
  <r>
    <s v="PRO-000003768"/>
    <d v="2025-08-01T00:00:00"/>
    <n v="100"/>
    <x v="2"/>
    <d v="2025-07-29T00:00:00"/>
    <s v="Australia"/>
    <x v="29"/>
  </r>
  <r>
    <s v="PRO-000003784"/>
    <d v="2025-08-06T00:00:00"/>
    <n v="100"/>
    <x v="2"/>
    <d v="2025-07-31T00:00:00"/>
    <s v="Australia"/>
    <x v="29"/>
  </r>
  <r>
    <s v="PRO-000003785"/>
    <d v="2025-07-28T00:00:00"/>
    <n v="100"/>
    <x v="2"/>
    <d v="2025-07-28T00:00:00"/>
    <s v="Australia"/>
    <x v="29"/>
  </r>
  <r>
    <s v="PRO-000003786"/>
    <m/>
    <n v="100"/>
    <x v="2"/>
    <d v="2025-08-01T00:00:00"/>
    <s v="Australia"/>
    <x v="29"/>
  </r>
  <r>
    <s v="PRO-000003794"/>
    <d v="2025-07-31T00:00:00"/>
    <n v="100"/>
    <x v="0"/>
    <d v="2025-07-31T00:00:00"/>
    <s v="Australia"/>
    <x v="29"/>
  </r>
  <r>
    <s v="PRO-000003811"/>
    <m/>
    <n v="100"/>
    <x v="2"/>
    <d v="2025-07-31T00:00:00"/>
    <s v="Australia"/>
    <x v="29"/>
  </r>
  <r>
    <s v="PRO-000003812"/>
    <d v="2025-08-01T00:00:00"/>
    <n v="100"/>
    <x v="2"/>
    <d v="2025-08-01T00:00:00"/>
    <s v="Australia"/>
    <x v="29"/>
  </r>
  <r>
    <s v="PRO-000003823"/>
    <d v="2025-08-01T00:00:00"/>
    <n v="100"/>
    <x v="0"/>
    <d v="2025-08-01T00:00:00"/>
    <s v="Australia"/>
    <x v="29"/>
  </r>
  <r>
    <s v="PRO-000003686"/>
    <d v="2025-07-18T00:00:00"/>
    <n v="0"/>
    <x v="1"/>
    <d v="2025-07-30T00:00:00"/>
    <s v="Rest of the World"/>
    <x v="29"/>
  </r>
  <r>
    <s v="PRO-000003748"/>
    <d v="2025-07-30T00:00:00"/>
    <n v="100"/>
    <x v="1"/>
    <d v="2025-07-28T00:00:00"/>
    <s v="Rest of the World"/>
    <x v="29"/>
  </r>
  <r>
    <s v="PRO-000003791"/>
    <d v="2025-07-31T00:00:00"/>
    <n v="100"/>
    <x v="0"/>
    <d v="2025-07-31T00:00:00"/>
    <s v="Rest of the World"/>
    <x v="29"/>
  </r>
  <r>
    <s v="PRO-000003795"/>
    <d v="2025-07-31T00:00:00"/>
    <n v="100"/>
    <x v="2"/>
    <d v="2025-07-31T00:00:00"/>
    <s v="Rest of the World"/>
    <x v="29"/>
  </r>
  <r>
    <s v="PRO-000003758"/>
    <d v="2025-08-01T00:00:00"/>
    <n v="0"/>
    <x v="1"/>
    <d v="2025-08-07T00:00:00"/>
    <s v="UK"/>
    <x v="30"/>
  </r>
  <r>
    <s v="PRO-000003776"/>
    <d v="2025-08-01T00:00:00"/>
    <n v="0"/>
    <x v="1"/>
    <d v="2025-08-06T00:00:00"/>
    <s v="UK"/>
    <x v="30"/>
  </r>
  <r>
    <s v="PRO-000003792"/>
    <d v="2025-08-06T00:00:00"/>
    <n v="0"/>
    <x v="1"/>
    <d v="2025-08-07T00:00:00"/>
    <s v="UK"/>
    <x v="30"/>
  </r>
  <r>
    <s v="PRO-000003804"/>
    <d v="2025-08-04T00:00:00"/>
    <n v="0"/>
    <x v="1"/>
    <d v="2025-08-06T00:00:00"/>
    <s v="UK"/>
    <x v="30"/>
  </r>
  <r>
    <s v="PRO-000003752"/>
    <d v="2025-08-08T00:00:00"/>
    <n v="100"/>
    <x v="1"/>
    <d v="2025-08-08T00:00:00"/>
    <s v="UK"/>
    <x v="30"/>
  </r>
  <r>
    <s v="PRO-000003782"/>
    <d v="2025-08-04T00:00:00"/>
    <n v="100"/>
    <x v="1"/>
    <d v="2025-08-04T00:00:00"/>
    <s v="UK"/>
    <x v="30"/>
  </r>
  <r>
    <s v="PRO-000003787"/>
    <d v="2025-08-08T00:00:00"/>
    <n v="100"/>
    <x v="1"/>
    <d v="2025-08-08T00:00:00"/>
    <s v="UK"/>
    <x v="30"/>
  </r>
  <r>
    <s v="PRO-000003798"/>
    <d v="2025-08-07T00:00:00"/>
    <n v="100"/>
    <x v="1"/>
    <d v="2025-08-05T00:00:00"/>
    <s v="UK"/>
    <x v="30"/>
  </r>
  <r>
    <s v="PRO-000003802"/>
    <d v="2025-08-06T00:00:00"/>
    <n v="100"/>
    <x v="1"/>
    <d v="2025-08-06T00:00:00"/>
    <s v="UK"/>
    <x v="30"/>
  </r>
  <r>
    <s v="PRO-000003803"/>
    <d v="2025-08-06T00:00:00"/>
    <n v="100"/>
    <x v="1"/>
    <d v="2025-08-06T00:00:00"/>
    <s v="UK"/>
    <x v="30"/>
  </r>
  <r>
    <s v="PRO-000003808"/>
    <d v="2025-08-06T00:00:00"/>
    <n v="100"/>
    <x v="1"/>
    <d v="2025-08-06T00:00:00"/>
    <s v="UK"/>
    <x v="30"/>
  </r>
  <r>
    <s v="PRO-000003815"/>
    <d v="2025-08-04T00:00:00"/>
    <n v="100"/>
    <x v="1"/>
    <d v="2025-08-04T00:00:00"/>
    <s v="UK"/>
    <x v="30"/>
  </r>
  <r>
    <s v="PRO-000003814"/>
    <d v="2025-08-06T00:00:00"/>
    <n v="100"/>
    <x v="1"/>
    <d v="2025-08-06T00:00:00"/>
    <s v="UK"/>
    <x v="30"/>
  </r>
  <r>
    <s v="PRO-000003818"/>
    <d v="2025-08-06T00:00:00"/>
    <n v="100"/>
    <x v="1"/>
    <d v="2025-08-06T00:00:00"/>
    <s v="UK"/>
    <x v="30"/>
  </r>
  <r>
    <s v="PRO-000003837"/>
    <d v="2025-08-06T00:00:00"/>
    <n v="100"/>
    <x v="1"/>
    <d v="2025-08-06T00:00:00"/>
    <s v="UK"/>
    <x v="30"/>
  </r>
  <r>
    <s v="PRO-000003838"/>
    <d v="2025-08-07T00:00:00"/>
    <n v="100"/>
    <x v="1"/>
    <d v="2025-08-07T00:00:00"/>
    <s v="UK"/>
    <x v="30"/>
  </r>
  <r>
    <s v="PRO-000003809"/>
    <d v="2025-08-06T00:00:00"/>
    <n v="100"/>
    <x v="1"/>
    <d v="2025-08-05T00:00:00"/>
    <s v="France"/>
    <x v="30"/>
  </r>
  <r>
    <s v="PRO-000003733"/>
    <d v="2025-07-24T00:00:00"/>
    <n v="0"/>
    <x v="1"/>
    <d v="2025-08-06T00:00:00"/>
    <s v="USA"/>
    <x v="30"/>
  </r>
  <r>
    <s v="PRO-000003797"/>
    <d v="2025-07-31T00:00:00"/>
    <n v="0"/>
    <x v="2"/>
    <d v="2025-08-04T00:00:00"/>
    <s v="USA"/>
    <x v="30"/>
  </r>
  <r>
    <s v="PRO-000003816"/>
    <d v="2025-08-01T00:00:00"/>
    <n v="0"/>
    <x v="1"/>
    <d v="2025-08-05T00:00:00"/>
    <s v="USA"/>
    <x v="30"/>
  </r>
  <r>
    <s v="PRO-000003800"/>
    <d v="2025-08-05T00:00:00"/>
    <n v="100"/>
    <x v="2"/>
    <d v="2025-08-05T00:00:00"/>
    <s v="USA"/>
    <x v="30"/>
  </r>
  <r>
    <s v="PRO-000003829"/>
    <d v="2025-08-06T00:00:00"/>
    <n v="100"/>
    <x v="2"/>
    <d v="2025-08-06T00:00:00"/>
    <s v="USA"/>
    <x v="30"/>
  </r>
  <r>
    <s v="PRO-000003833"/>
    <d v="2025-08-08T00:00:00"/>
    <n v="100"/>
    <x v="1"/>
    <d v="2025-08-07T00:00:00"/>
    <s v="USA"/>
    <x v="30"/>
  </r>
  <r>
    <s v="PRO-000003840"/>
    <d v="2025-08-07T00:00:00"/>
    <n v="100"/>
    <x v="2"/>
    <d v="2025-08-07T00:00:00"/>
    <s v="USA"/>
    <x v="30"/>
  </r>
  <r>
    <s v="PRO-000003820"/>
    <d v="2025-08-04T00:00:00"/>
    <n v="100"/>
    <x v="0"/>
    <d v="2025-08-04T00:00:00"/>
    <s v="Australia"/>
    <x v="30"/>
  </r>
  <r>
    <s v="PRO-000003822"/>
    <d v="2025-08-06T00:00:00"/>
    <n v="100"/>
    <x v="2"/>
    <d v="2025-08-06T00:00:00"/>
    <s v="Australia"/>
    <x v="30"/>
  </r>
  <r>
    <s v="PRO-000003825"/>
    <d v="2025-08-08T00:00:00"/>
    <n v="100"/>
    <x v="2"/>
    <d v="2025-08-08T00:00:00"/>
    <s v="Australia"/>
    <x v="30"/>
  </r>
  <r>
    <s v="PRO-000003828"/>
    <m/>
    <n v="100"/>
    <x v="2"/>
    <d v="2025-08-06T00:00:00"/>
    <s v="Australia"/>
    <x v="30"/>
  </r>
  <r>
    <s v="PRO-000003846"/>
    <d v="2025-08-11T00:00:00"/>
    <n v="100"/>
    <x v="2"/>
    <d v="2025-08-08T00:00:00"/>
    <s v="Australia"/>
    <x v="30"/>
  </r>
  <r>
    <s v="PRO-000003764"/>
    <d v="2025-08-01T00:00:00"/>
    <n v="0"/>
    <x v="2"/>
    <d v="2025-08-05T00:00:00"/>
    <s v="Rest of the World"/>
    <x v="30"/>
  </r>
  <r>
    <s v="PRO-000003582"/>
    <d v="2025-08-14T00:00:00"/>
    <n v="100"/>
    <x v="1"/>
    <d v="2025-08-08T00:00:00"/>
    <s v="Rest of the World"/>
    <x v="30"/>
  </r>
  <r>
    <s v="PRO-000003711"/>
    <d v="2025-08-08T00:00:00"/>
    <n v="100"/>
    <x v="1"/>
    <d v="2025-08-05T00:00:00"/>
    <s v="Rest of the World"/>
    <x v="30"/>
  </r>
  <r>
    <s v="PRO-000003841"/>
    <d v="2025-08-08T00:00:00"/>
    <n v="100"/>
    <x v="1"/>
    <d v="2025-08-08T00:00:00"/>
    <s v="Special Projects"/>
    <x v="30"/>
  </r>
  <r>
    <s v="PRO-000003845"/>
    <d v="2025-08-11T00:00:00"/>
    <n v="100"/>
    <x v="2"/>
    <d v="2025-08-11T00:00:00"/>
    <s v="USA"/>
    <x v="31"/>
  </r>
  <r>
    <s v="PRO-000003876"/>
    <d v="2025-08-15T00:00:00"/>
    <n v="100"/>
    <x v="2"/>
    <d v="2025-08-15T00:00:00"/>
    <s v="USA"/>
    <x v="31"/>
  </r>
  <r>
    <s v="PRO-000003855"/>
    <d v="2025-08-12T00:00:00"/>
    <n v="0"/>
    <x v="2"/>
    <d v="2025-08-15T00:00:00"/>
    <s v="Australia"/>
    <x v="31"/>
  </r>
  <r>
    <s v="PRO-000003777"/>
    <d v="2025-08-15T00:00:00"/>
    <n v="100"/>
    <x v="2"/>
    <d v="2025-08-13T00:00:00"/>
    <s v="Australia"/>
    <x v="31"/>
  </r>
  <r>
    <s v="PRO-000003862"/>
    <d v="2025-08-12T00:00:00"/>
    <n v="100"/>
    <x v="0"/>
    <d v="2025-08-11T00:00:00"/>
    <s v="Australia"/>
    <x v="31"/>
  </r>
  <r>
    <s v="PRO-000003863"/>
    <d v="2025-08-13T00:00:00"/>
    <n v="100"/>
    <x v="2"/>
    <d v="2025-08-12T00:00:00"/>
    <s v="Australia"/>
    <x v="31"/>
  </r>
  <r>
    <s v="PRO-000003865"/>
    <m/>
    <n v="100"/>
    <x v="2"/>
    <d v="2025-08-12T00:00:00"/>
    <s v="Australia"/>
    <x v="31"/>
  </r>
  <r>
    <s v="PRO-000003871"/>
    <d v="2025-08-15T00:00:00"/>
    <n v="100"/>
    <x v="0"/>
    <d v="2025-08-14T00:00:00"/>
    <s v="Australia"/>
    <x v="31"/>
  </r>
  <r>
    <s v="PRO-000003877"/>
    <m/>
    <n v="100"/>
    <x v="0"/>
    <d v="2025-08-14T00:00:00"/>
    <s v="Australia"/>
    <x v="31"/>
  </r>
  <r>
    <s v="PRO-000003827"/>
    <m/>
    <n v="100"/>
    <x v="1"/>
    <d v="2025-08-15T00:00:00"/>
    <s v="Special Projects"/>
    <x v="31"/>
  </r>
  <r>
    <s v="PRO-000003859"/>
    <d v="2025-08-20T00:00:00"/>
    <n v="100"/>
    <x v="1"/>
    <d v="2025-08-20T00:00:00"/>
    <s v="UK"/>
    <x v="32"/>
  </r>
  <r>
    <s v="PRO-000003861"/>
    <m/>
    <n v="100"/>
    <x v="1"/>
    <d v="2025-08-19T00:00:00"/>
    <s v="USA"/>
    <x v="32"/>
  </r>
  <r>
    <s v="PRO-000003898"/>
    <d v="2025-08-22T00:00:00"/>
    <n v="100"/>
    <x v="0"/>
    <d v="2025-08-22T00:00:00"/>
    <s v="USA"/>
    <x v="32"/>
  </r>
  <r>
    <s v="PRO-000003866"/>
    <d v="2025-08-21T00:00:00"/>
    <n v="0"/>
    <x v="2"/>
    <d v="2025-08-24T00:00:00"/>
    <s v="Australia"/>
    <x v="33"/>
  </r>
  <r>
    <s v="PRO-000003867"/>
    <d v="2025-08-22T00:00:00"/>
    <n v="100"/>
    <x v="2"/>
    <d v="2025-08-22T00:00:00"/>
    <s v="Australia"/>
    <x v="32"/>
  </r>
  <r>
    <s v="PRO-000003886"/>
    <d v="2025-08-18T00:00:00"/>
    <n v="100"/>
    <x v="2"/>
    <d v="2025-08-18T00:00:00"/>
    <s v="Australia"/>
    <x v="32"/>
  </r>
  <r>
    <s v="PRO-000003887"/>
    <d v="2025-08-21T00:00:00"/>
    <n v="100"/>
    <x v="2"/>
    <d v="2025-08-20T00:00:00"/>
    <s v="Australia"/>
    <x v="32"/>
  </r>
  <r>
    <s v="PRO-000003895"/>
    <d v="2025-08-27T00:00:00"/>
    <n v="100"/>
    <x v="2"/>
    <d v="2025-08-22T00:00:00"/>
    <s v="Australia"/>
    <x v="32"/>
  </r>
  <r>
    <s v="PRO-000003796"/>
    <d v="2025-08-13T00:00:00"/>
    <n v="0"/>
    <x v="1"/>
    <d v="2025-08-26T00:00:00"/>
    <s v="UK"/>
    <x v="33"/>
  </r>
  <r>
    <s v="PRO-000003805"/>
    <d v="2025-08-06T00:00:00"/>
    <n v="0"/>
    <x v="1"/>
    <d v="2025-08-26T00:00:00"/>
    <s v="UK"/>
    <x v="33"/>
  </r>
  <r>
    <s v="PRO-000003810"/>
    <d v="2025-08-11T00:00:00"/>
    <n v="0"/>
    <x v="1"/>
    <d v="2025-08-26T00:00:00"/>
    <s v="UK"/>
    <x v="33"/>
  </r>
  <r>
    <s v="PRO-000003817"/>
    <d v="2025-08-08T00:00:00"/>
    <n v="0"/>
    <x v="1"/>
    <d v="2025-08-26T00:00:00"/>
    <s v="UK"/>
    <x v="33"/>
  </r>
  <r>
    <s v="PRO-000003819"/>
    <d v="2025-08-06T00:00:00"/>
    <n v="0"/>
    <x v="1"/>
    <d v="2025-08-26T00:00:00"/>
    <s v="UK"/>
    <x v="33"/>
  </r>
  <r>
    <s v="PRO-000003826"/>
    <d v="2025-08-08T00:00:00"/>
    <n v="0"/>
    <x v="1"/>
    <d v="2025-08-26T00:00:00"/>
    <s v="UK"/>
    <x v="33"/>
  </r>
  <r>
    <s v="PRO-000003830"/>
    <d v="2025-08-08T00:00:00"/>
    <n v="0"/>
    <x v="1"/>
    <d v="2025-08-26T00:00:00"/>
    <s v="UK"/>
    <x v="33"/>
  </r>
  <r>
    <s v="PRO-000003842"/>
    <d v="2025-08-15T00:00:00"/>
    <n v="0"/>
    <x v="1"/>
    <d v="2025-08-26T00:00:00"/>
    <s v="UK"/>
    <x v="33"/>
  </r>
  <r>
    <s v="PRO-000003849"/>
    <d v="2025-08-11T00:00:00"/>
    <n v="0"/>
    <x v="1"/>
    <d v="2025-08-26T00:00:00"/>
    <s v="UK"/>
    <x v="33"/>
  </r>
  <r>
    <s v="PRO-000003850"/>
    <d v="2025-08-13T00:00:00"/>
    <n v="0"/>
    <x v="1"/>
    <d v="2025-08-26T00:00:00"/>
    <s v="UK"/>
    <x v="33"/>
  </r>
  <r>
    <s v="PRO-000003880"/>
    <d v="2025-08-15T00:00:00"/>
    <n v="0"/>
    <x v="3"/>
    <d v="2025-08-26T00:00:00"/>
    <s v="UK"/>
    <x v="33"/>
  </r>
  <r>
    <s v="PRO-000003882"/>
    <d v="2025-08-26T00:00:00"/>
    <n v="0"/>
    <x v="1"/>
    <d v="2025-08-28T00:00:00"/>
    <s v="UK"/>
    <x v="33"/>
  </r>
  <r>
    <s v="PRO-000003883"/>
    <d v="2025-08-26T00:00:00"/>
    <n v="0"/>
    <x v="1"/>
    <d v="2025-08-28T00:00:00"/>
    <s v="UK"/>
    <x v="33"/>
  </r>
  <r>
    <s v="PRO-000003885"/>
    <d v="2025-08-21T00:00:00"/>
    <n v="0"/>
    <x v="1"/>
    <d v="2025-08-28T00:00:00"/>
    <s v="UK"/>
    <x v="33"/>
  </r>
  <r>
    <s v="PRO-000003832"/>
    <d v="2025-08-26T00:00:00"/>
    <n v="100"/>
    <x v="1"/>
    <d v="2025-08-26T00:00:00"/>
    <s v="UK"/>
    <x v="33"/>
  </r>
  <r>
    <s v="PRO-000003839"/>
    <d v="2025-08-27T00:00:00"/>
    <n v="100"/>
    <x v="1"/>
    <d v="2025-08-27T00:00:00"/>
    <s v="UK"/>
    <x v="33"/>
  </r>
  <r>
    <s v="PRO-000003843"/>
    <d v="2025-08-26T00:00:00"/>
    <n v="100"/>
    <x v="1"/>
    <d v="2025-08-26T00:00:00"/>
    <s v="UK"/>
    <x v="33"/>
  </r>
  <r>
    <s v="PRO-000003844"/>
    <d v="2025-08-26T00:00:00"/>
    <n v="100"/>
    <x v="1"/>
    <d v="2025-08-26T00:00:00"/>
    <s v="UK"/>
    <x v="33"/>
  </r>
  <r>
    <s v="PRO-000003857"/>
    <d v="2025-08-26T00:00:00"/>
    <n v="100"/>
    <x v="1"/>
    <d v="2025-08-26T00:00:00"/>
    <s v="UK"/>
    <x v="33"/>
  </r>
  <r>
    <s v="PRO-000003858"/>
    <d v="2025-08-26T00:00:00"/>
    <n v="100"/>
    <x v="1"/>
    <d v="2025-08-26T00:00:00"/>
    <s v="UK"/>
    <x v="33"/>
  </r>
  <r>
    <s v="PRO-000003869"/>
    <d v="2025-08-26T00:00:00"/>
    <n v="100"/>
    <x v="1"/>
    <d v="2025-08-26T00:00:00"/>
    <s v="UK"/>
    <x v="33"/>
  </r>
  <r>
    <s v="PRO-000003868"/>
    <d v="2025-08-26T00:00:00"/>
    <n v="100"/>
    <x v="1"/>
    <d v="2025-08-26T00:00:00"/>
    <s v="UK"/>
    <x v="33"/>
  </r>
  <r>
    <s v="PRO-000003878"/>
    <d v="2025-08-26T00:00:00"/>
    <n v="100"/>
    <x v="1"/>
    <d v="2025-08-26T00:00:00"/>
    <s v="UK"/>
    <x v="33"/>
  </r>
  <r>
    <s v="PRO-000003879"/>
    <m/>
    <n v="100"/>
    <x v="1"/>
    <d v="2025-08-26T00:00:00"/>
    <s v="UK"/>
    <x v="33"/>
  </r>
  <r>
    <s v="PRO-000003888"/>
    <d v="2025-08-26T00:00:00"/>
    <n v="100"/>
    <x v="1"/>
    <d v="2025-08-26T00:00:00"/>
    <s v="UK"/>
    <x v="33"/>
  </r>
  <r>
    <s v="PRO-000003890"/>
    <d v="2025-08-26T00:00:00"/>
    <n v="100"/>
    <x v="1"/>
    <d v="2025-08-26T00:00:00"/>
    <s v="UK"/>
    <x v="33"/>
  </r>
  <r>
    <s v="PRO-000003891"/>
    <d v="2025-09-26T00:00:00"/>
    <n v="100"/>
    <x v="3"/>
    <d v="2025-08-26T00:00:00"/>
    <s v="UK"/>
    <x v="33"/>
  </r>
  <r>
    <s v="PRO-000003892"/>
    <d v="2025-08-29T00:00:00"/>
    <n v="100"/>
    <x v="0"/>
    <d v="2025-08-29T00:00:00"/>
    <s v="UK"/>
    <x v="33"/>
  </r>
  <r>
    <s v="PRO-000003905"/>
    <d v="2025-08-28T00:00:00"/>
    <n v="100"/>
    <x v="0"/>
    <d v="2025-08-28T00:00:00"/>
    <s v="UK"/>
    <x v="33"/>
  </r>
  <r>
    <s v="PRO-000003913"/>
    <d v="2025-08-27T00:00:00"/>
    <n v="100"/>
    <x v="3"/>
    <d v="2025-08-27T00:00:00"/>
    <s v="UK"/>
    <x v="33"/>
  </r>
  <r>
    <s v="PRO-000003914"/>
    <d v="2025-08-29T00:00:00"/>
    <n v="100"/>
    <x v="1"/>
    <d v="2025-08-29T00:00:00"/>
    <s v="UK"/>
    <x v="33"/>
  </r>
  <r>
    <s v="PRO-000003759"/>
    <d v="2025-08-01T00:00:00"/>
    <n v="0"/>
    <x v="2"/>
    <d v="2025-08-27T00:00:00"/>
    <s v="USA"/>
    <x v="33"/>
  </r>
  <r>
    <s v="PRO-000003384"/>
    <d v="2025-08-29T00:00:00"/>
    <n v="100"/>
    <x v="2"/>
    <d v="2025-08-29T00:00:00"/>
    <s v="USA"/>
    <x v="33"/>
  </r>
  <r>
    <s v="PRO-000003847"/>
    <d v="2025-08-26T00:00:00"/>
    <n v="100"/>
    <x v="2"/>
    <d v="2025-08-26T00:00:00"/>
    <s v="USA"/>
    <x v="33"/>
  </r>
  <r>
    <s v="PRO-000003851"/>
    <m/>
    <n v="100"/>
    <x v="2"/>
    <d v="2025-08-26T00:00:00"/>
    <s v="USA"/>
    <x v="33"/>
  </r>
  <r>
    <s v="PRO-000003853"/>
    <d v="2025-08-26T00:00:00"/>
    <n v="100"/>
    <x v="2"/>
    <d v="2025-08-26T00:00:00"/>
    <s v="USA"/>
    <x v="33"/>
  </r>
  <r>
    <s v="PRO-000003854"/>
    <m/>
    <n v="100"/>
    <x v="2"/>
    <d v="2025-08-26T00:00:00"/>
    <s v="USA"/>
    <x v="33"/>
  </r>
  <r>
    <s v="PRO-000003860"/>
    <d v="2025-08-27T00:00:00"/>
    <n v="100"/>
    <x v="2"/>
    <d v="2025-08-27T00:00:00"/>
    <s v="USA"/>
    <x v="33"/>
  </r>
  <r>
    <s v="PRO-000003870"/>
    <m/>
    <n v="100"/>
    <x v="2"/>
    <d v="2025-08-26T00:00:00"/>
    <s v="USA"/>
    <x v="33"/>
  </r>
  <r>
    <s v="PRO-000003874"/>
    <d v="2025-08-27T00:00:00"/>
    <n v="100"/>
    <x v="2"/>
    <d v="2025-08-27T00:00:00"/>
    <s v="USA"/>
    <x v="33"/>
  </r>
  <r>
    <s v="PRO-000003884"/>
    <m/>
    <n v="100"/>
    <x v="2"/>
    <d v="2025-08-26T00:00:00"/>
    <s v="USA"/>
    <x v="33"/>
  </r>
  <r>
    <s v="PRO-000003903"/>
    <m/>
    <n v="100"/>
    <x v="2"/>
    <d v="2025-08-26T00:00:00"/>
    <s v="USA"/>
    <x v="33"/>
  </r>
  <r>
    <s v="PRO-000003907"/>
    <m/>
    <n v="100"/>
    <x v="2"/>
    <d v="2025-08-26T00:00:00"/>
    <s v="USA"/>
    <x v="33"/>
  </r>
  <r>
    <s v="PRO-000003912"/>
    <d v="2025-08-29T00:00:00"/>
    <n v="100"/>
    <x v="2"/>
    <d v="2025-08-29T00:00:00"/>
    <s v="USA"/>
    <x v="33"/>
  </r>
  <r>
    <s v="PRO-000003770"/>
    <d v="2025-08-28T00:00:00"/>
    <n v="0"/>
    <x v="2"/>
    <d v="2025-08-29T00:00:00"/>
    <s v="Australia"/>
    <x v="33"/>
  </r>
  <r>
    <s v="PRO-000003896"/>
    <d v="2025-08-29T00:00:00"/>
    <n v="100"/>
    <x v="2"/>
    <d v="2025-08-28T00:00:00"/>
    <s v="Australia"/>
    <x v="33"/>
  </r>
  <r>
    <s v="PRO-000003901"/>
    <d v="2025-08-26T00:00:00"/>
    <n v="100"/>
    <x v="2"/>
    <d v="2025-08-25T00:00:00"/>
    <s v="Australia"/>
    <x v="33"/>
  </r>
  <r>
    <s v="PRO-000003906"/>
    <d v="2025-08-27T00:00:00"/>
    <n v="100"/>
    <x v="2"/>
    <d v="2025-08-26T00:00:00"/>
    <s v="Australia"/>
    <x v="33"/>
  </r>
  <r>
    <s v="PRO-000003908"/>
    <d v="2025-08-27T00:00:00"/>
    <n v="100"/>
    <x v="2"/>
    <d v="2025-08-26T00:00:00"/>
    <s v="Australia"/>
    <x v="33"/>
  </r>
  <r>
    <s v="PRO-000003917"/>
    <m/>
    <n v="100"/>
    <x v="0"/>
    <d v="2025-08-29T00:00:00"/>
    <s v="Australia"/>
    <x v="33"/>
  </r>
  <r>
    <s v="PRO-000003921"/>
    <d v="2025-09-01T00:00:00"/>
    <n v="100"/>
    <x v="2"/>
    <d v="2025-08-31T00:00:00"/>
    <s v="Australia"/>
    <x v="34"/>
  </r>
  <r>
    <s v="PRO-000003725"/>
    <d v="2025-08-21T00:00:00"/>
    <n v="0"/>
    <x v="2"/>
    <d v="2025-08-26T00:00:00"/>
    <s v="Rest of the World"/>
    <x v="33"/>
  </r>
  <r>
    <s v="PRO-000003831"/>
    <d v="2025-08-18T00:00:00"/>
    <n v="0"/>
    <x v="1"/>
    <d v="2025-08-26T00:00:00"/>
    <s v="Rest of the World"/>
    <x v="33"/>
  </r>
  <r>
    <s v="PRO-000003836"/>
    <d v="2025-08-14T00:00:00"/>
    <n v="0"/>
    <x v="1"/>
    <d v="2025-08-26T00:00:00"/>
    <s v="Rest of the World"/>
    <x v="33"/>
  </r>
  <r>
    <s v="PRO-000003856"/>
    <d v="2025-08-18T00:00:00"/>
    <n v="0"/>
    <x v="1"/>
    <d v="2025-08-26T00:00:00"/>
    <s v="Rest of the World"/>
    <x v="33"/>
  </r>
  <r>
    <s v="PRO-000003881"/>
    <d v="2025-08-20T00:00:00"/>
    <n v="0"/>
    <x v="1"/>
    <d v="2025-08-26T00:00:00"/>
    <s v="Rest of the World"/>
    <x v="33"/>
  </r>
  <r>
    <s v="PRO-000003763"/>
    <m/>
    <n v="100"/>
    <x v="2"/>
    <d v="2025-08-26T00:00:00"/>
    <s v="Rest of the World"/>
    <x v="33"/>
  </r>
  <r>
    <s v="PRO-000003897"/>
    <d v="2025-08-26T00:00:00"/>
    <n v="100"/>
    <x v="1"/>
    <d v="2025-08-26T00:00:00"/>
    <s v="Rest of the World"/>
    <x v="33"/>
  </r>
  <r>
    <s v="PRO-000003899"/>
    <d v="2025-08-28T00:00:00"/>
    <n v="100"/>
    <x v="2"/>
    <d v="2025-08-28T00:00:00"/>
    <s v="Rest of the World"/>
    <x v="33"/>
  </r>
  <r>
    <s v="PRO-000003910"/>
    <d v="2025-08-28T00:00:00"/>
    <n v="100"/>
    <x v="1"/>
    <d v="2025-08-27T00:00:00"/>
    <s v="Rest of the World"/>
    <x v="33"/>
  </r>
  <r>
    <s v="PRO-000003911"/>
    <d v="2025-08-28T00:00:00"/>
    <n v="100"/>
    <x v="1"/>
    <d v="2025-08-27T00:00:00"/>
    <s v="Special Projects"/>
    <x v="33"/>
  </r>
  <r>
    <s v="PRO-000003873"/>
    <d v="2025-08-29T00:00:00"/>
    <n v="0"/>
    <x v="2"/>
    <d v="2025-09-05T00:00:00"/>
    <s v="UK"/>
    <x v="34"/>
  </r>
  <r>
    <s v="PRO-000003900"/>
    <d v="2025-08-29T00:00:00"/>
    <n v="0"/>
    <x v="1"/>
    <d v="2025-09-05T00:00:00"/>
    <s v="UK"/>
    <x v="34"/>
  </r>
  <r>
    <s v="PRO-000003919"/>
    <d v="2025-09-01T00:00:00"/>
    <n v="0"/>
    <x v="1"/>
    <d v="2025-09-05T00:00:00"/>
    <s v="UK"/>
    <x v="34"/>
  </r>
  <r>
    <s v="PRO-000003929"/>
    <d v="2025-09-03T00:00:00"/>
    <n v="0"/>
    <x v="1"/>
    <d v="2025-09-05T00:00:00"/>
    <s v="UK"/>
    <x v="34"/>
  </r>
  <r>
    <s v="PRO-000003720"/>
    <m/>
    <n v="100"/>
    <x v="1"/>
    <d v="2025-09-05T00:00:00"/>
    <s v="UK"/>
    <x v="34"/>
  </r>
  <r>
    <s v="PRO-000003936"/>
    <d v="2025-09-02T00:00:00"/>
    <n v="100"/>
    <x v="1"/>
    <d v="2025-09-02T00:00:00"/>
    <s v="UK"/>
    <x v="34"/>
  </r>
  <r>
    <s v="PRO-000003935"/>
    <m/>
    <n v="100"/>
    <x v="0"/>
    <d v="2025-09-03T00:00:00"/>
    <s v="UK"/>
    <x v="34"/>
  </r>
  <r>
    <s v="PRO-000003942"/>
    <d v="2025-09-05T00:00:00"/>
    <n v="100"/>
    <x v="1"/>
    <d v="2025-09-05T00:00:00"/>
    <s v="UK"/>
    <x v="34"/>
  </r>
  <r>
    <s v="PRO-000003793"/>
    <d v="2025-08-05T00:00:00"/>
    <n v="0"/>
    <x v="2"/>
    <d v="2025-09-05T00:00:00"/>
    <s v="USA"/>
    <x v="34"/>
  </r>
  <r>
    <s v="PRO-000003915"/>
    <m/>
    <n v="100"/>
    <x v="2"/>
    <d v="2025-09-05T00:00:00"/>
    <s v="USA"/>
    <x v="34"/>
  </r>
  <r>
    <s v="PRO-000003930"/>
    <m/>
    <n v="100"/>
    <x v="2"/>
    <d v="2025-09-05T00:00:00"/>
    <s v="USA"/>
    <x v="34"/>
  </r>
  <r>
    <s v="PRO-000003933"/>
    <d v="2025-09-02T00:00:00"/>
    <n v="100"/>
    <x v="2"/>
    <d v="2025-09-02T00:00:00"/>
    <s v="Australia"/>
    <x v="34"/>
  </r>
  <r>
    <s v="PRO-000003944"/>
    <d v="2025-09-08T00:00:00"/>
    <n v="100"/>
    <x v="2"/>
    <d v="2025-09-07T00:00:00"/>
    <s v="Australia"/>
    <x v="35"/>
  </r>
  <r>
    <s v="PRO-000003922"/>
    <d v="2025-09-02T00:00:00"/>
    <n v="0"/>
    <x v="1"/>
    <d v="2025-09-04T00:00:00"/>
    <s v="Rest of the World"/>
    <x v="34"/>
  </r>
  <r>
    <s v="PRO-000003588"/>
    <d v="2025-06-23T00:00:00"/>
    <n v="0"/>
    <x v="1"/>
    <d v="2025-09-08T00:00:00"/>
    <s v="UK"/>
    <x v="35"/>
  </r>
  <r>
    <s v="PRO-000003934"/>
    <d v="2025-09-04T00:00:00"/>
    <n v="0"/>
    <x v="1"/>
    <d v="2025-09-11T00:00:00"/>
    <s v="UK"/>
    <x v="35"/>
  </r>
  <r>
    <s v="PRO-000003937"/>
    <d v="2025-09-04T00:00:00"/>
    <n v="0"/>
    <x v="1"/>
    <d v="2025-09-12T00:00:00"/>
    <s v="UK"/>
    <x v="35"/>
  </r>
  <r>
    <s v="PRO-000003945"/>
    <d v="2025-09-10T00:00:00"/>
    <n v="0"/>
    <x v="0"/>
    <d v="2025-09-11T00:00:00"/>
    <s v="UK"/>
    <x v="35"/>
  </r>
  <r>
    <s v="PRO-000003473"/>
    <d v="2025-09-10T00:00:00"/>
    <n v="100"/>
    <x v="1"/>
    <d v="2025-09-10T00:00:00"/>
    <s v="UK"/>
    <x v="35"/>
  </r>
  <r>
    <s v="PRO-000003834"/>
    <d v="2025-09-12T00:00:00"/>
    <n v="100"/>
    <x v="2"/>
    <d v="2025-09-12T00:00:00"/>
    <s v="UK"/>
    <x v="35"/>
  </r>
  <r>
    <s v="PRO-000003902"/>
    <d v="2025-09-10T00:00:00"/>
    <n v="100"/>
    <x v="1"/>
    <d v="2025-09-10T00:00:00"/>
    <s v="UK"/>
    <x v="35"/>
  </r>
  <r>
    <s v="PRO-000003927"/>
    <d v="2025-09-09T00:00:00"/>
    <n v="100"/>
    <x v="1"/>
    <d v="2025-09-09T00:00:00"/>
    <s v="UK"/>
    <x v="35"/>
  </r>
  <r>
    <s v="PRO-000003948"/>
    <d v="2025-09-10T00:00:00"/>
    <n v="100"/>
    <x v="1"/>
    <d v="2025-09-10T00:00:00"/>
    <s v="UK"/>
    <x v="35"/>
  </r>
  <r>
    <s v="PRO-000003956"/>
    <d v="2025-09-12T00:00:00"/>
    <n v="100"/>
    <x v="1"/>
    <d v="2025-09-12T00:00:00"/>
    <s v="UK"/>
    <x v="35"/>
  </r>
  <r>
    <s v="PRO-000002972"/>
    <d v="2025-02-19T00:00:00"/>
    <n v="0"/>
    <x v="1"/>
    <d v="2025-09-10T00:00:00"/>
    <s v="USA"/>
    <x v="35"/>
  </r>
  <r>
    <s v="PRO-000003893"/>
    <d v="2025-08-20T00:00:00"/>
    <n v="0"/>
    <x v="2"/>
    <d v="2025-09-08T00:00:00"/>
    <s v="USA"/>
    <x v="35"/>
  </r>
  <r>
    <s v="PRO-000003894"/>
    <d v="2025-09-13T00:00:00"/>
    <n v="100"/>
    <x v="2"/>
    <d v="2025-09-13T00:00:00"/>
    <s v="USA"/>
    <x v="36"/>
  </r>
  <r>
    <s v="PRO-000003931"/>
    <m/>
    <n v="100"/>
    <x v="1"/>
    <d v="2025-09-08T00:00:00"/>
    <s v="USA"/>
    <x v="35"/>
  </r>
  <r>
    <s v="PRO-000003940"/>
    <m/>
    <n v="100"/>
    <x v="2"/>
    <d v="2025-09-08T00:00:00"/>
    <s v="USA"/>
    <x v="35"/>
  </r>
  <r>
    <s v="PRO-000003941"/>
    <d v="2025-09-09T00:00:00"/>
    <n v="100"/>
    <x v="2"/>
    <d v="2025-09-09T00:00:00"/>
    <s v="USA"/>
    <x v="35"/>
  </r>
  <r>
    <s v="PRO-000003938"/>
    <d v="2025-09-08T00:00:00"/>
    <n v="0"/>
    <x v="0"/>
    <d v="2025-09-09T00:00:00"/>
    <s v="Australia"/>
    <x v="35"/>
  </r>
  <r>
    <s v="PRO-000003813"/>
    <m/>
    <n v="100"/>
    <x v="1"/>
    <d v="2025-09-10T00:00:00"/>
    <s v="Australia"/>
    <x v="35"/>
  </r>
  <r>
    <s v="PRO-000003932"/>
    <d v="2025-09-10T00:00:00"/>
    <n v="100"/>
    <x v="2"/>
    <d v="2025-09-10T00:00:00"/>
    <s v="Australia"/>
    <x v="35"/>
  </r>
  <r>
    <s v="PRO-000003946"/>
    <d v="2025-09-09T00:00:00"/>
    <n v="100"/>
    <x v="2"/>
    <d v="2025-09-09T00:00:00"/>
    <s v="Australia"/>
    <x v="35"/>
  </r>
  <r>
    <s v="PRO-000003953"/>
    <d v="2025-09-11T00:00:00"/>
    <n v="100"/>
    <x v="0"/>
    <d v="2025-09-11T00:00:00"/>
    <s v="Australia"/>
    <x v="35"/>
  </r>
  <r>
    <s v="PRO-000003954"/>
    <d v="2025-09-09T00:00:00"/>
    <n v="100"/>
    <x v="2"/>
    <d v="2025-09-09T00:00:00"/>
    <s v="Australia"/>
    <x v="35"/>
  </r>
  <r>
    <s v="PRO-000003947"/>
    <d v="2025-09-05T00:00:00"/>
    <n v="0"/>
    <x v="1"/>
    <d v="2025-09-10T00:00:00"/>
    <s v="Rest of the World"/>
    <x v="35"/>
  </r>
  <r>
    <s v="PRO-000003951"/>
    <d v="2025-09-11T00:00:00"/>
    <n v="0"/>
    <x v="2"/>
    <d v="2025-09-12T00:00:00"/>
    <s v="Rest of the World"/>
    <x v="35"/>
  </r>
  <r>
    <s v="PRO-000003923"/>
    <d v="2025-09-12T00:00:00"/>
    <n v="100"/>
    <x v="1"/>
    <d v="2025-09-11T00:00:00"/>
    <s v="Rest of the World"/>
    <x v="35"/>
  </r>
  <r>
    <s v="PRO-000003939"/>
    <d v="2025-09-10T00:00:00"/>
    <n v="100"/>
    <x v="1"/>
    <d v="2025-09-10T00:00:00"/>
    <s v="Rest of the World"/>
    <x v="35"/>
  </r>
  <r>
    <s v="PRO-000003957"/>
    <d v="2025-09-10T00:00:00"/>
    <n v="100"/>
    <x v="1"/>
    <d v="2025-09-10T00:00:00"/>
    <s v="Rest of the World"/>
    <x v="35"/>
  </r>
  <r>
    <s v="PRO-000003950"/>
    <d v="2025-09-11T00:00:00"/>
    <n v="100"/>
    <x v="1"/>
    <d v="2025-09-10T00:00:00"/>
    <s v="Special Projects"/>
    <x v="35"/>
  </r>
  <r>
    <s v="PRO-000003959"/>
    <d v="2025-09-15T00:00:00"/>
    <n v="0"/>
    <x v="1"/>
    <d v="2025-09-16T00:00:00"/>
    <s v="UK"/>
    <x v="36"/>
  </r>
  <r>
    <s v="PRO-000003970"/>
    <d v="2025-09-17T00:00:00"/>
    <n v="0"/>
    <x v="1"/>
    <d v="2025-09-19T00:00:00"/>
    <s v="UK"/>
    <x v="36"/>
  </r>
  <r>
    <s v="PRO-000003971"/>
    <d v="2025-09-15T00:00:00"/>
    <n v="0"/>
    <x v="1"/>
    <d v="2025-09-18T00:00:00"/>
    <s v="UK"/>
    <x v="36"/>
  </r>
  <r>
    <s v="PRO-000003904"/>
    <m/>
    <n v="100"/>
    <x v="1"/>
    <d v="2025-09-17T00:00:00"/>
    <s v="UK"/>
    <x v="36"/>
  </r>
  <r>
    <s v="PRO-000003969"/>
    <d v="2025-09-16T00:00:00"/>
    <n v="100"/>
    <x v="1"/>
    <d v="2025-09-16T00:00:00"/>
    <s v="UK"/>
    <x v="36"/>
  </r>
  <r>
    <s v="PRO-000003875"/>
    <d v="2025-08-16T00:00:00"/>
    <n v="0"/>
    <x v="2"/>
    <d v="2025-09-16T00:00:00"/>
    <s v="USA"/>
    <x v="36"/>
  </r>
  <r>
    <s v="PRO-000003960"/>
    <d v="2025-09-17T00:00:00"/>
    <n v="0"/>
    <x v="2"/>
    <d v="2025-09-18T00:00:00"/>
    <s v="USA"/>
    <x v="36"/>
  </r>
  <r>
    <s v="PRO-000003965"/>
    <d v="2025-09-12T00:00:00"/>
    <n v="0"/>
    <x v="2"/>
    <d v="2025-09-16T00:00:00"/>
    <s v="USA"/>
    <x v="36"/>
  </r>
  <r>
    <s v="PRO-000003889"/>
    <d v="2025-09-18T00:00:00"/>
    <n v="100"/>
    <x v="2"/>
    <d v="2025-09-16T00:00:00"/>
    <s v="USA"/>
    <x v="36"/>
  </r>
  <r>
    <s v="PRO-000003924"/>
    <d v="2025-09-16T00:00:00"/>
    <n v="100"/>
    <x v="2"/>
    <d v="2025-09-16T00:00:00"/>
    <s v="USA"/>
    <x v="36"/>
  </r>
  <r>
    <s v="PRO-000003949"/>
    <d v="2025-09-15T00:00:00"/>
    <n v="100"/>
    <x v="2"/>
    <d v="2025-09-15T00:00:00"/>
    <s v="USA"/>
    <x v="36"/>
  </r>
  <r>
    <s v="PRO-000003982"/>
    <d v="2025-09-16T00:00:00"/>
    <n v="100"/>
    <x v="2"/>
    <d v="2025-09-16T00:00:00"/>
    <s v="USA"/>
    <x v="36"/>
  </r>
  <r>
    <s v="PRO-000003981"/>
    <d v="2025-09-18T00:00:00"/>
    <n v="100"/>
    <x v="2"/>
    <d v="2025-09-18T00:00:00"/>
    <s v="USA"/>
    <x v="36"/>
  </r>
  <r>
    <s v="PRO-000003987"/>
    <d v="2025-09-18T00:00:00"/>
    <n v="100"/>
    <x v="1"/>
    <d v="2025-09-18T00:00:00"/>
    <s v="USA"/>
    <x v="36"/>
  </r>
  <r>
    <s v="PRO-000003926"/>
    <d v="2025-09-10T00:00:00"/>
    <n v="0"/>
    <x v="2"/>
    <d v="2025-09-15T00:00:00"/>
    <s v="Australia"/>
    <x v="36"/>
  </r>
  <r>
    <s v="PRO-000003955"/>
    <d v="2025-09-11T00:00:00"/>
    <n v="0"/>
    <x v="2"/>
    <d v="2025-09-15T00:00:00"/>
    <s v="Australia"/>
    <x v="36"/>
  </r>
  <r>
    <s v="PRO-000003962"/>
    <d v="2025-09-16T00:00:00"/>
    <n v="100"/>
    <x v="2"/>
    <d v="2025-09-16T00:00:00"/>
    <s v="Australia"/>
    <x v="36"/>
  </r>
  <r>
    <s v="PRO-000003967"/>
    <m/>
    <n v="100"/>
    <x v="2"/>
    <d v="2025-09-15T00:00:00"/>
    <s v="Australia"/>
    <x v="36"/>
  </r>
  <r>
    <s v="PRO-000003989"/>
    <d v="2025-09-17T00:00:00"/>
    <n v="100"/>
    <x v="2"/>
    <d v="2025-09-17T00:00:00"/>
    <s v="Australia"/>
    <x v="36"/>
  </r>
  <r>
    <s v="PRO-000003974"/>
    <m/>
    <n v="100"/>
    <x v="1"/>
    <d v="2025-09-18T00:00:00"/>
    <s v="Middle East"/>
    <x v="36"/>
  </r>
  <r>
    <s v="PRO-000003991"/>
    <m/>
    <n v="100"/>
    <x v="1"/>
    <d v="2025-09-18T00:00:00"/>
    <s v="Middle East"/>
    <x v="36"/>
  </r>
  <r>
    <s v="PRO-000003952"/>
    <d v="2025-09-15T00:00:00"/>
    <n v="100"/>
    <x v="1"/>
    <d v="2025-09-15T00:00:00"/>
    <s v="Rest of the World"/>
    <x v="36"/>
  </r>
  <r>
    <s v="PRO-000003964"/>
    <d v="2025-09-17T00:00:00"/>
    <n v="100"/>
    <x v="2"/>
    <d v="2025-09-15T00:00:00"/>
    <s v="Rest of the World"/>
    <x v="36"/>
  </r>
  <r>
    <s v="PRO-000003977"/>
    <d v="2025-09-17T00:00:00"/>
    <n v="100"/>
    <x v="1"/>
    <d v="2025-09-17T00:00:00"/>
    <s v="Rest of the World"/>
    <x v="36"/>
  </r>
  <r>
    <s v="PRO-000003909"/>
    <d v="2025-09-15T00:00:00"/>
    <n v="0"/>
    <x v="1"/>
    <d v="2025-09-22T00:00:00"/>
    <s v="UK"/>
    <x v="37"/>
  </r>
  <r>
    <s v="PRO-000003966"/>
    <d v="2025-09-15T00:00:00"/>
    <n v="0"/>
    <x v="1"/>
    <d v="2025-09-26T00:00:00"/>
    <s v="UK"/>
    <x v="37"/>
  </r>
  <r>
    <s v="PRO-000003997"/>
    <d v="2025-09-22T00:00:00"/>
    <n v="0"/>
    <x v="1"/>
    <d v="2025-09-23T00:00:00"/>
    <s v="UK"/>
    <x v="37"/>
  </r>
  <r>
    <s v="PRO-000003928"/>
    <d v="2025-09-22T00:00:00"/>
    <n v="100"/>
    <x v="1"/>
    <d v="2025-09-22T00:00:00"/>
    <s v="UK"/>
    <x v="37"/>
  </r>
  <r>
    <s v="PRO-000003963"/>
    <d v="2025-09-23T00:00:00"/>
    <n v="100"/>
    <x v="1"/>
    <d v="2025-09-23T00:00:00"/>
    <s v="UK"/>
    <x v="37"/>
  </r>
  <r>
    <s v="PRO-000003973"/>
    <d v="2025-09-22T00:00:00"/>
    <n v="100"/>
    <x v="3"/>
    <d v="2025-09-22T00:00:00"/>
    <s v="UK"/>
    <x v="37"/>
  </r>
  <r>
    <s v="PRO-000003985"/>
    <d v="2025-09-26T00:00:00"/>
    <n v="100"/>
    <x v="1"/>
    <d v="2025-09-26T00:00:00"/>
    <s v="UK"/>
    <x v="37"/>
  </r>
  <r>
    <s v="PRO-000003998"/>
    <d v="2025-09-26T00:00:00"/>
    <n v="100"/>
    <x v="1"/>
    <d v="2025-09-26T00:00:00"/>
    <s v="UK"/>
    <x v="37"/>
  </r>
  <r>
    <s v="PRO-000004002"/>
    <d v="2025-09-25T00:00:00"/>
    <n v="100"/>
    <x v="1"/>
    <d v="2025-09-25T00:00:00"/>
    <s v="UK"/>
    <x v="37"/>
  </r>
  <r>
    <s v="PRO-000004000"/>
    <m/>
    <n v="100"/>
    <x v="2"/>
    <d v="2025-09-26T00:00:00"/>
    <s v="France"/>
    <x v="37"/>
  </r>
  <r>
    <s v="PRO-000003920"/>
    <d v="2025-09-18T00:00:00"/>
    <n v="0"/>
    <x v="2"/>
    <d v="2025-09-27T00:00:00"/>
    <s v="USA"/>
    <x v="38"/>
  </r>
  <r>
    <s v="PRO-000003958"/>
    <d v="2025-09-22T00:00:00"/>
    <n v="100"/>
    <x v="2"/>
    <d v="2025-09-22T00:00:00"/>
    <s v="USA"/>
    <x v="37"/>
  </r>
  <r>
    <s v="PRO-000003972"/>
    <d v="2025-09-23T00:00:00"/>
    <n v="100"/>
    <x v="2"/>
    <d v="2025-09-23T00:00:00"/>
    <s v="USA"/>
    <x v="37"/>
  </r>
  <r>
    <s v="PRO-000003988"/>
    <d v="2025-09-26T00:00:00"/>
    <n v="100"/>
    <x v="1"/>
    <d v="2025-09-26T00:00:00"/>
    <s v="USA"/>
    <x v="37"/>
  </r>
  <r>
    <s v="PRO-000003993"/>
    <d v="2025-09-24T00:00:00"/>
    <n v="100"/>
    <x v="2"/>
    <d v="2025-09-24T00:00:00"/>
    <s v="USA"/>
    <x v="37"/>
  </r>
  <r>
    <s v="PRO-000003994"/>
    <d v="2025-09-23T00:00:00"/>
    <n v="100"/>
    <x v="2"/>
    <d v="2025-09-23T00:00:00"/>
    <s v="USA"/>
    <x v="37"/>
  </r>
  <r>
    <s v="PRO-000004007"/>
    <d v="2025-09-26T00:00:00"/>
    <n v="100"/>
    <x v="2"/>
    <d v="2025-09-25T00:00:00"/>
    <s v="USA"/>
    <x v="37"/>
  </r>
  <r>
    <s v="PRO-000004008"/>
    <d v="2025-09-28T00:00:00"/>
    <n v="100"/>
    <x v="2"/>
    <d v="2025-09-28T00:00:00"/>
    <s v="USA"/>
    <x v="38"/>
  </r>
  <r>
    <s v="PRO-000003983"/>
    <d v="2025-09-19T00:00:00"/>
    <n v="0"/>
    <x v="2"/>
    <d v="2025-09-24T00:00:00"/>
    <s v="Australia"/>
    <x v="37"/>
  </r>
  <r>
    <s v="PRO-000003995"/>
    <d v="2025-10-02T00:00:00"/>
    <n v="100"/>
    <x v="2"/>
    <d v="2025-09-28T00:00:00"/>
    <s v="Australia"/>
    <x v="38"/>
  </r>
  <r>
    <s v="PRO-000003996"/>
    <m/>
    <n v="100"/>
    <x v="2"/>
    <d v="2025-09-24T00:00:00"/>
    <s v="Australia"/>
    <x v="37"/>
  </r>
  <r>
    <s v="PRO-000003979"/>
    <d v="2025-09-25T00:00:00"/>
    <n v="0"/>
    <x v="1"/>
    <d v="2025-09-26T00:00:00"/>
    <s v="Rest of the World"/>
    <x v="37"/>
  </r>
  <r>
    <s v="PRO-000003984"/>
    <d v="2025-09-22T00:00:00"/>
    <n v="100"/>
    <x v="1"/>
    <d v="2025-09-22T00:00:00"/>
    <s v="Rest of the World"/>
    <x v="37"/>
  </r>
  <r>
    <s v="PRO-000004009"/>
    <d v="2025-10-03T00:00:00"/>
    <n v="100"/>
    <x v="1"/>
    <d v="2025-09-26T00:00:00"/>
    <s v="Rest of the World"/>
    <x v="37"/>
  </r>
  <r>
    <s v="PRO-000004010"/>
    <d v="2025-09-29T00:00:00"/>
    <n v="100"/>
    <x v="1"/>
    <d v="2025-09-26T00:00:00"/>
    <s v="Rest of the World"/>
    <x v="37"/>
  </r>
  <r>
    <s v="PRO-000003986"/>
    <d v="2025-09-30T00:00:00"/>
    <n v="0"/>
    <x v="1"/>
    <d v="2025-10-01T00:00:00"/>
    <s v="UK"/>
    <x v="38"/>
  </r>
  <r>
    <s v="PRO-000004001"/>
    <d v="2025-10-01T00:00:00"/>
    <n v="0"/>
    <x v="1"/>
    <d v="2025-10-03T00:00:00"/>
    <s v="UK"/>
    <x v="38"/>
  </r>
  <r>
    <s v="PRO-000004016"/>
    <m/>
    <n v="100"/>
    <x v="1"/>
    <d v="2025-09-29T00:00:00"/>
    <s v="UK"/>
    <x v="38"/>
  </r>
  <r>
    <s v="PRO-000004018"/>
    <d v="2025-09-30T00:00:00"/>
    <n v="100"/>
    <x v="1"/>
    <d v="2025-09-30T00:00:00"/>
    <s v="UK"/>
    <x v="38"/>
  </r>
  <r>
    <s v="PRO-000004030"/>
    <d v="2025-10-02T00:00:00"/>
    <n v="100"/>
    <x v="1"/>
    <d v="2025-10-02T00:00:00"/>
    <s v="UK"/>
    <x v="38"/>
  </r>
  <r>
    <s v="PRO-000004031"/>
    <d v="2025-10-02T00:00:00"/>
    <n v="100"/>
    <x v="1"/>
    <d v="2025-10-02T00:00:00"/>
    <s v="UK"/>
    <x v="38"/>
  </r>
  <r>
    <s v="PRO-000004033"/>
    <d v="2025-09-29T00:00:00"/>
    <n v="100"/>
    <x v="1"/>
    <d v="2025-09-29T00:00:00"/>
    <s v="UK"/>
    <x v="38"/>
  </r>
  <r>
    <s v="PRO-000004035"/>
    <d v="2025-09-29T00:00:00"/>
    <n v="100"/>
    <x v="1"/>
    <d v="2025-09-29T00:00:00"/>
    <s v="UK"/>
    <x v="38"/>
  </r>
  <r>
    <s v="PRO-000004051"/>
    <d v="2025-10-03T00:00:00"/>
    <n v="100"/>
    <x v="1"/>
    <d v="2025-10-03T00:00:00"/>
    <s v="UK"/>
    <x v="38"/>
  </r>
  <r>
    <s v="PRO-000003992"/>
    <d v="2025-09-24T00:00:00"/>
    <n v="0"/>
    <x v="2"/>
    <d v="2025-09-30T00:00:00"/>
    <s v="USA"/>
    <x v="38"/>
  </r>
  <r>
    <s v="PRO-000004014"/>
    <d v="2025-10-01T00:00:00"/>
    <n v="100"/>
    <x v="1"/>
    <d v="2025-10-01T00:00:00"/>
    <s v="USA"/>
    <x v="38"/>
  </r>
  <r>
    <s v="PRO-000004019"/>
    <d v="2025-10-02T00:00:00"/>
    <n v="100"/>
    <x v="2"/>
    <d v="2025-10-01T00:00:00"/>
    <s v="USA"/>
    <x v="38"/>
  </r>
  <r>
    <s v="PRO-000004027"/>
    <m/>
    <n v="100"/>
    <x v="2"/>
    <d v="2025-09-30T00:00:00"/>
    <s v="USA"/>
    <x v="38"/>
  </r>
  <r>
    <s v="PRO-000004024"/>
    <d v="2025-09-26T00:00:00"/>
    <n v="0"/>
    <x v="2"/>
    <d v="2025-10-01T00:00:00"/>
    <s v="Australia"/>
    <x v="38"/>
  </r>
  <r>
    <s v="PRO-000004045"/>
    <d v="2025-10-02T00:00:00"/>
    <n v="0"/>
    <x v="2"/>
    <d v="2025-10-03T00:00:00"/>
    <s v="Australia"/>
    <x v="38"/>
  </r>
  <r>
    <s v="PRO-000004006"/>
    <d v="2025-10-01T00:00:00"/>
    <n v="100"/>
    <x v="2"/>
    <d v="2025-09-30T00:00:00"/>
    <s v="Australia"/>
    <x v="38"/>
  </r>
  <r>
    <s v="PRO-000004038"/>
    <d v="2025-10-01T00:00:00"/>
    <n v="100"/>
    <x v="2"/>
    <d v="2025-09-30T00:00:00"/>
    <s v="Australia"/>
    <x v="38"/>
  </r>
  <r>
    <s v="PRO-000004042"/>
    <d v="2025-10-01T00:00:00"/>
    <n v="100"/>
    <x v="2"/>
    <d v="2025-09-30T00:00:00"/>
    <s v="Australia"/>
    <x v="38"/>
  </r>
  <r>
    <s v="PRO-000004043"/>
    <d v="2025-10-02T00:00:00"/>
    <n v="100"/>
    <x v="1"/>
    <d v="2025-10-01T00:00:00"/>
    <s v="Australia"/>
    <x v="38"/>
  </r>
  <r>
    <s v="PRO-000004044"/>
    <m/>
    <n v="100"/>
    <x v="0"/>
    <d v="2025-10-01T00:00:00"/>
    <s v="Australia"/>
    <x v="38"/>
  </r>
  <r>
    <s v="PRO-000004048"/>
    <d v="2025-10-03T00:00:00"/>
    <n v="100"/>
    <x v="2"/>
    <d v="2025-10-03T00:00:00"/>
    <s v="Australia"/>
    <x v="38"/>
  </r>
  <r>
    <s v="PRO-000004026"/>
    <d v="2025-10-02T00:00:00"/>
    <n v="100"/>
    <x v="1"/>
    <d v="2025-09-29T00:00:00"/>
    <s v="Rest of the World"/>
    <x v="38"/>
  </r>
  <r>
    <s v="PRO-000004040"/>
    <d v="2025-10-03T00:00:00"/>
    <n v="100"/>
    <x v="1"/>
    <d v="2025-10-02T00:00:00"/>
    <s v="Rest of the World"/>
    <x v="38"/>
  </r>
  <r>
    <s v="PRO-000004015"/>
    <d v="2025-10-06T00:00:00"/>
    <n v="0"/>
    <x v="1"/>
    <d v="2025-10-07T00:00:00"/>
    <s v="UK"/>
    <x v="39"/>
  </r>
  <r>
    <s v="PRO-000004034"/>
    <d v="2025-10-02T00:00:00"/>
    <n v="0"/>
    <x v="1"/>
    <d v="2025-10-08T00:00:00"/>
    <s v="UK"/>
    <x v="39"/>
  </r>
  <r>
    <s v="PRO-000004073"/>
    <d v="2025-07-22T00:00:00"/>
    <n v="0"/>
    <x v="1"/>
    <d v="2025-10-10T00:00:00"/>
    <s v="UK"/>
    <x v="39"/>
  </r>
  <r>
    <s v="PRO-000004012"/>
    <d v="2025-10-07T00:00:00"/>
    <n v="100"/>
    <x v="1"/>
    <d v="2025-10-07T00:00:00"/>
    <s v="UK"/>
    <x v="39"/>
  </r>
  <r>
    <s v="PRO-000004029"/>
    <d v="2025-10-10T00:00:00"/>
    <n v="100"/>
    <x v="1"/>
    <d v="2025-10-09T00:00:00"/>
    <s v="UK"/>
    <x v="39"/>
  </r>
  <r>
    <s v="PRO-000004046"/>
    <m/>
    <n v="100"/>
    <x v="1"/>
    <d v="2025-10-07T00:00:00"/>
    <s v="UK"/>
    <x v="39"/>
  </r>
  <r>
    <s v="PRO-000004052"/>
    <d v="2025-10-07T00:00:00"/>
    <n v="100"/>
    <x v="1"/>
    <d v="2025-10-07T00:00:00"/>
    <s v="UK"/>
    <x v="39"/>
  </r>
  <r>
    <s v="PRO-000004055"/>
    <d v="2025-10-09T00:00:00"/>
    <n v="100"/>
    <x v="1"/>
    <d v="2025-10-06T00:00:00"/>
    <s v="UK"/>
    <x v="39"/>
  </r>
  <r>
    <s v="PRO-000004057"/>
    <d v="2025-10-09T00:00:00"/>
    <n v="100"/>
    <x v="3"/>
    <d v="2025-10-09T00:00:00"/>
    <s v="UK"/>
    <x v="39"/>
  </r>
  <r>
    <s v="PRO-000004061"/>
    <d v="2025-10-13T00:00:00"/>
    <n v="100"/>
    <x v="1"/>
    <d v="2025-10-10T00:00:00"/>
    <s v="UK"/>
    <x v="39"/>
  </r>
  <r>
    <s v="PRO-000004064"/>
    <d v="2025-10-09T00:00:00"/>
    <n v="100"/>
    <x v="1"/>
    <d v="2025-10-09T00:00:00"/>
    <s v="UK"/>
    <x v="39"/>
  </r>
  <r>
    <s v="PRO-000004066"/>
    <d v="2025-10-09T00:00:00"/>
    <n v="100"/>
    <x v="1"/>
    <d v="2025-10-09T00:00:00"/>
    <s v="UK"/>
    <x v="39"/>
  </r>
  <r>
    <s v="PRO-000004065"/>
    <m/>
    <n v="100"/>
    <x v="1"/>
    <d v="2025-10-09T00:00:00"/>
    <s v="UK"/>
    <x v="39"/>
  </r>
  <r>
    <s v="PRO-000004071"/>
    <m/>
    <n v="100"/>
    <x v="1"/>
    <d v="2025-10-09T00:00:00"/>
    <s v="UK"/>
    <x v="39"/>
  </r>
  <r>
    <s v="PRO-000003961"/>
    <d v="2025-09-29T00:00:00"/>
    <n v="0"/>
    <x v="2"/>
    <d v="2025-10-06T00:00:00"/>
    <s v="USA"/>
    <x v="39"/>
  </r>
  <r>
    <s v="PRO-000004041"/>
    <d v="2025-10-06T00:00:00"/>
    <n v="0"/>
    <x v="2"/>
    <d v="2025-10-12T00:00:00"/>
    <s v="USA"/>
    <x v="40"/>
  </r>
  <r>
    <s v="PRO-000004020"/>
    <d v="2025-10-10T00:00:00"/>
    <n v="100"/>
    <x v="1"/>
    <d v="2025-10-09T00:00:00"/>
    <s v="USA"/>
    <x v="39"/>
  </r>
  <r>
    <s v="PRO-000004032"/>
    <m/>
    <n v="100"/>
    <x v="2"/>
    <d v="2025-10-06T00:00:00"/>
    <s v="USA"/>
    <x v="39"/>
  </r>
  <r>
    <s v="PRO-000004036"/>
    <m/>
    <n v="100"/>
    <x v="1"/>
    <d v="2025-10-10T00:00:00"/>
    <s v="USA"/>
    <x v="39"/>
  </r>
  <r>
    <s v="PRO-000004063"/>
    <m/>
    <n v="100"/>
    <x v="2"/>
    <d v="2025-10-09T00:00:00"/>
    <s v="USA"/>
    <x v="39"/>
  </r>
  <r>
    <s v="PRO-000003990"/>
    <m/>
    <n v="100"/>
    <x v="1"/>
    <d v="2025-10-09T00:00:00"/>
    <s v="Australia"/>
    <x v="39"/>
  </r>
  <r>
    <s v="PRO-000004049"/>
    <d v="2025-10-10T00:00:00"/>
    <n v="100"/>
    <x v="2"/>
    <d v="2025-10-09T00:00:00"/>
    <s v="Australia"/>
    <x v="39"/>
  </r>
  <r>
    <s v="PRO-000004060"/>
    <d v="2025-10-09T00:00:00"/>
    <n v="100"/>
    <x v="2"/>
    <d v="2025-10-09T00:00:00"/>
    <s v="Australia"/>
    <x v="39"/>
  </r>
  <r>
    <s v="PRO-000004054"/>
    <d v="2025-10-08T00:00:00"/>
    <n v="0"/>
    <x v="1"/>
    <d v="2025-10-10T00:00:00"/>
    <s v="Rest of the World"/>
    <x v="39"/>
  </r>
  <r>
    <s v="PRO-000004011"/>
    <d v="2025-10-10T00:00:00"/>
    <n v="100"/>
    <x v="1"/>
    <d v="2025-10-09T00:00:00"/>
    <s v="Rest of the World"/>
    <x v="39"/>
  </r>
  <r>
    <s v="PRO-000004056"/>
    <d v="2025-10-06T00:00:00"/>
    <n v="100"/>
    <x v="1"/>
    <d v="2025-10-06T00:00:00"/>
    <s v="Rest of the World"/>
    <x v="39"/>
  </r>
  <r>
    <s v="PRO-000004075"/>
    <d v="2025-10-16T00:00:00"/>
    <n v="100"/>
    <x v="1"/>
    <d v="2025-10-10T00:00:00"/>
    <s v="Rest of the World"/>
    <x v="39"/>
  </r>
  <r>
    <s v="PRO-000004077"/>
    <m/>
    <n v="100"/>
    <x v="1"/>
    <d v="2025-10-09T00:00:00"/>
    <s v="Rest of the World"/>
    <x v="39"/>
  </r>
  <r>
    <s v="PRO-000004025"/>
    <d v="2025-10-07T00:00:00"/>
    <n v="0"/>
    <x v="1"/>
    <d v="2025-10-16T00:00:00"/>
    <s v="UK"/>
    <x v="40"/>
  </r>
  <r>
    <s v="PRO-000004095"/>
    <d v="2025-10-16T00:00:00"/>
    <n v="0"/>
    <x v="0"/>
    <d v="2025-10-17T00:00:00"/>
    <s v="UK"/>
    <x v="40"/>
  </r>
  <r>
    <s v="PRO-000004070"/>
    <d v="2025-10-17T00:00:00"/>
    <n v="100"/>
    <x v="1"/>
    <d v="2025-10-17T00:00:00"/>
    <s v="UK"/>
    <x v="40"/>
  </r>
  <r>
    <s v="PRO-000004074"/>
    <d v="2025-10-13T00:00:00"/>
    <n v="100"/>
    <x v="1"/>
    <d v="2025-10-13T00:00:00"/>
    <s v="UK"/>
    <x v="40"/>
  </r>
  <r>
    <s v="PRO-000004076"/>
    <d v="2025-10-15T00:00:00"/>
    <n v="100"/>
    <x v="1"/>
    <d v="2025-10-15T00:00:00"/>
    <s v="UK"/>
    <x v="40"/>
  </r>
  <r>
    <s v="PRO-000004086"/>
    <d v="2025-10-16T00:00:00"/>
    <n v="100"/>
    <x v="1"/>
    <d v="2025-10-13T00:00:00"/>
    <s v="UK"/>
    <x v="40"/>
  </r>
  <r>
    <s v="PRO-000004093"/>
    <d v="2025-10-14T00:00:00"/>
    <n v="100"/>
    <x v="0"/>
    <d v="2025-10-14T00:00:00"/>
    <s v="UK"/>
    <x v="40"/>
  </r>
  <r>
    <s v="PRO-000004101"/>
    <d v="2025-10-17T00:00:00"/>
    <n v="100"/>
    <x v="1"/>
    <d v="2025-10-17T00:00:00"/>
    <s v="UK"/>
    <x v="40"/>
  </r>
  <r>
    <s v="PRO-000004103"/>
    <d v="2025-10-16T00:00:00"/>
    <n v="100"/>
    <x v="1"/>
    <d v="2025-10-16T00:00:00"/>
    <s v="UK"/>
    <x v="40"/>
  </r>
  <r>
    <s v="PRO-000003978"/>
    <d v="2025-10-17T00:00:00"/>
    <n v="100"/>
    <x v="2"/>
    <d v="2025-10-17T00:00:00"/>
    <s v="USA"/>
    <x v="40"/>
  </r>
  <r>
    <s v="PRO-000004059"/>
    <m/>
    <n v="100"/>
    <x v="2"/>
    <d v="2025-10-13T00:00:00"/>
    <s v="USA"/>
    <x v="40"/>
  </r>
  <r>
    <s v="PRO-000004083"/>
    <d v="2025-10-15T00:00:00"/>
    <n v="100"/>
    <x v="1"/>
    <d v="2025-10-15T00:00:00"/>
    <s v="Australia"/>
    <x v="40"/>
  </r>
  <r>
    <s v="PRO-000004099"/>
    <d v="2025-10-15T00:00:00"/>
    <n v="100"/>
    <x v="2"/>
    <d v="2025-10-15T00:00:00"/>
    <s v="Australia"/>
    <x v="40"/>
  </r>
  <r>
    <s v="PRO-000004072"/>
    <d v="2025-10-13T00:00:00"/>
    <n v="0"/>
    <x v="1"/>
    <d v="2025-10-14T00:00:00"/>
    <s v="Rest of the World"/>
    <x v="40"/>
  </r>
  <r>
    <s v="PRO-000004081"/>
    <d v="2025-10-15T00:00:00"/>
    <n v="0"/>
    <x v="1"/>
    <d v="2025-10-16T00:00:00"/>
    <s v="Rest of the World"/>
    <x v="40"/>
  </r>
  <r>
    <s v="PRO-000004062"/>
    <d v="2025-10-13T00:00:00"/>
    <n v="100"/>
    <x v="1"/>
    <d v="2025-10-13T00:00:00"/>
    <s v="Rest of the World"/>
    <x v="40"/>
  </r>
  <r>
    <s v="PRO-000004068"/>
    <d v="2025-10-15T00:00:00"/>
    <n v="100"/>
    <x v="1"/>
    <d v="2025-10-15T00:00:00"/>
    <s v="Rest of the World"/>
    <x v="40"/>
  </r>
  <r>
    <s v="PRO-000004088"/>
    <m/>
    <n v="100"/>
    <x v="1"/>
    <d v="2025-10-13T00:00:00"/>
    <s v="Rest of the World"/>
    <x v="40"/>
  </r>
  <r>
    <s v="PRO-000004089"/>
    <d v="2025-10-13T00:00:00"/>
    <n v="100"/>
    <x v="1"/>
    <d v="2025-10-13T00:00:00"/>
    <s v="Rest of the World"/>
    <x v="40"/>
  </r>
  <r>
    <s v="PRO-000004091"/>
    <d v="2025-10-15T00:00:00"/>
    <n v="100"/>
    <x v="2"/>
    <d v="2025-10-15T00:00:00"/>
    <s v="Rest of the World"/>
    <x v="40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  <r>
    <m/>
    <m/>
    <m/>
    <x v="4"/>
    <m/>
    <m/>
    <x v="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8">
  <r>
    <d v="2024-12-19T00:00:00"/>
    <s v="PRO-000002800"/>
    <s v="DARLING PARK - LEVEL 17 &amp; 18"/>
    <s v="AUD"/>
    <n v="5000"/>
    <d v="2025-01-05T00:00:00"/>
    <s v="Australia"/>
    <s v="CAD Sketch"/>
    <x v="0"/>
    <n v="0.50125313283208017"/>
    <n v="2506.2656641604008"/>
  </r>
  <r>
    <d v="2024-08-02T00:00:00"/>
    <s v="PRO-000002171"/>
    <s v="SYDNEY FISH MARKET"/>
    <s v="GBP"/>
    <n v="250000"/>
    <d v="2025-01-06T00:00:00"/>
    <s v="Australia"/>
    <s v="Shop Drawing"/>
    <x v="0"/>
    <n v="1"/>
    <n v="250000"/>
  </r>
  <r>
    <d v="2024-12-10T00:00:00"/>
    <s v="PRO-000002756"/>
    <s v="SYDNEY FISH MARKET INTERNAL FIT OUT"/>
    <s v="AUD"/>
    <n v="250000"/>
    <d v="2025-01-06T00:00:00"/>
    <s v="Australia"/>
    <s v="Shop Drawing"/>
    <x v="0"/>
    <n v="0.50125313283208017"/>
    <n v="125313.28320802005"/>
  </r>
  <r>
    <d v="2024-12-12T00:00:00"/>
    <s v="PRO-000002769"/>
    <s v="WEST 31ST ST NO 401 DE SHAW FIT OUT FLRS 48-56 NEW YORK"/>
    <s v="GBP"/>
    <n v="0"/>
    <d v="2025-01-06T00:00:00"/>
    <s v="USA"/>
    <s v="Shop Drawing"/>
    <x v="0"/>
    <n v="1"/>
    <n v="0"/>
  </r>
  <r>
    <d v="2024-12-17T00:00:00"/>
    <s v="PRO-000002780"/>
    <s v="SYDNEY FISH MARKET INTERNAL FIT OUT"/>
    <s v="AUD"/>
    <n v="250000"/>
    <d v="2025-01-06T00:00:00"/>
    <s v="Australia"/>
    <s v="Shop Drawing"/>
    <x v="0"/>
    <n v="0.50125313283208017"/>
    <n v="125313.28320802005"/>
  </r>
  <r>
    <d v="2024-12-17T00:00:00"/>
    <s v="PRO-000002784"/>
    <s v="WEST ONE DEVELOPMENT OXFORD STREET LONDON"/>
    <s v="GBP"/>
    <n v="100000"/>
    <d v="2025-01-06T00:00:00"/>
    <s v="UK"/>
    <s v="Proposal"/>
    <x v="0"/>
    <n v="1"/>
    <n v="100000"/>
  </r>
  <r>
    <d v="2024-12-18T00:00:00"/>
    <s v="PRO-000002795"/>
    <s v="HOLDING SAINT MICHEL PARIS"/>
    <s v="EUR"/>
    <n v="50000"/>
    <d v="2025-01-06T00:00:00"/>
    <s v="France"/>
    <s v="Proposal"/>
    <x v="0"/>
    <n v="0.83682008368200833"/>
    <n v="41841.004184100413"/>
  </r>
  <r>
    <d v="2024-12-19T00:00:00"/>
    <s v="PRO-000002804"/>
    <s v="OCASO FUENCARRAL 107  MADRID"/>
    <s v="GBP"/>
    <n v="50000"/>
    <d v="2025-01-06T00:00:00"/>
    <s v="Rest of the World"/>
    <s v="Proposal"/>
    <x v="0"/>
    <n v="1"/>
    <n v="50000"/>
  </r>
  <r>
    <d v="2024-12-20T00:00:00"/>
    <s v="PRO-000002807"/>
    <s v="MOORGATE NO 25 CAT B WATSON FARLEY LONDON"/>
    <s v="GBP"/>
    <n v="250000"/>
    <d v="2025-01-06T00:00:00"/>
    <s v="UK"/>
    <s v="Proposal"/>
    <x v="0"/>
    <n v="1"/>
    <n v="250000"/>
  </r>
  <r>
    <d v="2024-12-20T00:00:00"/>
    <s v="PRO-000002810"/>
    <s v="METRO MANILA SUBWAY 17 STATIONS"/>
    <s v="GBP"/>
    <n v="180000"/>
    <d v="2025-01-06T00:00:00"/>
    <s v="Rest of the World"/>
    <s v="Proposal"/>
    <x v="0"/>
    <n v="1"/>
    <n v="180000"/>
  </r>
  <r>
    <d v="2024-12-10T00:00:00"/>
    <s v="PRO-000002749"/>
    <s v="PASO INFERIOR INFANTA LEONOR"/>
    <s v="GBP"/>
    <n v="300000"/>
    <d v="2025-01-07T00:00:00"/>
    <s v="Rest of the World"/>
    <s v="Proposal"/>
    <x v="0"/>
    <n v="1"/>
    <n v="300000"/>
  </r>
  <r>
    <d v="2024-12-16T00:00:00"/>
    <s v="PRO-000002776"/>
    <s v="HERON TOWER NO 110 BISHOPSGATE TRADITION FLOORS 8-10 LONDON"/>
    <s v="GBP"/>
    <n v="15000"/>
    <d v="2025-01-07T00:00:00"/>
    <s v="UK"/>
    <s v="Proposal"/>
    <x v="0"/>
    <n v="1"/>
    <n v="15000"/>
  </r>
  <r>
    <d v="2024-12-20T00:00:00"/>
    <s v="PRO-000002809"/>
    <s v="MOORGATE NO 25 CAT B WATSON FARLEY LONDON"/>
    <s v="GBP"/>
    <n v="250000"/>
    <d v="2025-01-07T00:00:00"/>
    <s v="UK"/>
    <s v="Proposal"/>
    <x v="0"/>
    <n v="1"/>
    <n v="250000"/>
  </r>
  <r>
    <d v="2024-12-23T00:00:00"/>
    <s v="PRO-000002812"/>
    <s v="CALLE ROSARIO PINO 14-16 RENOVATION MADRID"/>
    <s v="GBP"/>
    <n v="60000"/>
    <d v="2025-01-07T00:00:00"/>
    <s v="Rest of the World"/>
    <s v="Proposal"/>
    <x v="0"/>
    <n v="1"/>
    <n v="60000"/>
  </r>
  <r>
    <d v="2025-01-06T00:00:00"/>
    <s v="PRO-000002813"/>
    <s v="SENEX OFFICE BRISBANE"/>
    <s v="AUD"/>
    <n v="30000"/>
    <d v="2025-01-07T00:00:00"/>
    <s v="Australia"/>
    <s v="Shop Drawing"/>
    <x v="0"/>
    <n v="0.50125313283208017"/>
    <n v="15037.593984962405"/>
  </r>
  <r>
    <d v="2024-12-19T00:00:00"/>
    <s v="PRO-000002801"/>
    <s v="JAMES STREET NO 1 LONDON"/>
    <s v="GBP"/>
    <n v="20000"/>
    <d v="2025-01-08T00:00:00"/>
    <s v="UK"/>
    <s v="Proposal"/>
    <x v="0"/>
    <n v="1"/>
    <n v="20000"/>
  </r>
  <r>
    <d v="2024-12-20T00:00:00"/>
    <s v="PRO-000002808"/>
    <s v="MOORGATE NO 25 CAT B WATSON FARLEY LONDON"/>
    <s v="GBP"/>
    <n v="250000"/>
    <d v="2025-01-08T00:00:00"/>
    <s v="UK"/>
    <s v="Proposal"/>
    <x v="0"/>
    <n v="1"/>
    <n v="250000"/>
  </r>
  <r>
    <d v="2025-01-06T00:00:00"/>
    <s v="PRO-000002816"/>
    <s v="SNCB HEADQUARTER SAINT GILLES"/>
    <s v="EUR"/>
    <n v="10000"/>
    <d v="2025-01-08T00:00:00"/>
    <s v="France"/>
    <s v="Proposal"/>
    <x v="0"/>
    <n v="0.83682008368200833"/>
    <n v="8368.2008368200841"/>
  </r>
  <r>
    <d v="2025-01-07T00:00:00"/>
    <s v="PRO-000002826"/>
    <s v="UNI OF LEEDS CHENEY LABS"/>
    <s v="GBP"/>
    <n v="1000"/>
    <d v="2025-01-08T00:00:00"/>
    <s v="UK"/>
    <s v="CAD Sketch"/>
    <x v="0"/>
    <n v="1"/>
    <n v="1000"/>
  </r>
  <r>
    <d v="2025-01-08T00:00:00"/>
    <s v="PRO-000002834"/>
    <s v="CHAMARTIN PHASE 2 MADRID"/>
    <s v="GBP"/>
    <n v="50000"/>
    <d v="2025-01-08T00:00:00"/>
    <s v="Rest of the World"/>
    <s v="Proposal"/>
    <x v="0"/>
    <n v="1"/>
    <n v="50000"/>
  </r>
  <r>
    <d v="2024-11-25T00:00:00"/>
    <s v="PRO-000002681"/>
    <s v="CENTRO EXCELENCIA LOEWE MADRID"/>
    <s v="GBP"/>
    <n v="1000000"/>
    <d v="2025-01-09T00:00:00"/>
    <s v="Rest of the World"/>
    <s v="Proposal"/>
    <x v="0"/>
    <n v="1"/>
    <n v="1000000"/>
  </r>
  <r>
    <d v="2024-12-17T00:00:00"/>
    <s v="PRO-000002781"/>
    <s v="ORCHARD RIDGE DRIVE NO 200 GAITHERSBURG"/>
    <s v="USD"/>
    <n v="300000"/>
    <d v="2025-01-09T00:00:00"/>
    <s v="USA"/>
    <s v="Proposal"/>
    <x v="0"/>
    <n v="0.80775444264943463"/>
    <n v="242326.33279483038"/>
  </r>
  <r>
    <d v="2024-12-18T00:00:00"/>
    <s v="PRO-000002797"/>
    <s v="TURING COURT NO 1 CARECO HQ BRAINTREE"/>
    <s v="GBP"/>
    <n v="71000"/>
    <d v="2025-01-09T00:00:00"/>
    <s v="UK"/>
    <s v="Proposal"/>
    <x v="0"/>
    <n v="1"/>
    <n v="71000"/>
  </r>
  <r>
    <d v="2024-12-18T00:00:00"/>
    <s v="PRO-000002798"/>
    <s v="SEMPLE STREET NO 30 REFURB FLRS 5&amp;6 EDINBURGH"/>
    <s v="GBP"/>
    <n v="10000"/>
    <d v="2025-01-09T00:00:00"/>
    <s v="UK"/>
    <s v="Proposal"/>
    <x v="0"/>
    <n v="1"/>
    <n v="10000"/>
  </r>
  <r>
    <d v="2024-12-19T00:00:00"/>
    <s v="PRO-000002802"/>
    <s v="7171 SOUTHWEST PKWY AUSTIN TX 78735"/>
    <s v="GBP"/>
    <n v="12835"/>
    <d v="2025-01-09T00:00:00"/>
    <s v="USA"/>
    <s v="Shop Drawing"/>
    <x v="0"/>
    <n v="1"/>
    <n v="12835"/>
  </r>
  <r>
    <d v="2025-01-06T00:00:00"/>
    <s v="PRO-000002817"/>
    <s v="MANHATTAN WEST 2 FLOORS 13,14,15,16,17,18 KPMG"/>
    <s v="USD"/>
    <n v="140000"/>
    <d v="2025-01-09T00:00:00"/>
    <s v="USA"/>
    <s v="Shop Drawing"/>
    <x v="0"/>
    <n v="0.80775444264943463"/>
    <n v="113085.62197092085"/>
  </r>
  <r>
    <d v="2025-01-07T00:00:00"/>
    <s v="PRO-000002822"/>
    <s v="NDA TRAINING GROUND MANCHESTER"/>
    <s v="GBP"/>
    <n v="10000"/>
    <d v="2025-01-09T00:00:00"/>
    <s v="UK"/>
    <s v="Proposal"/>
    <x v="0"/>
    <n v="1"/>
    <n v="10000"/>
  </r>
  <r>
    <d v="2025-01-08T00:00:00"/>
    <s v="PRO-000002832"/>
    <s v="GRESHAM STREET NO 10 MOODYS CORP CAT B FITOUT LONDON"/>
    <s v="GBP"/>
    <n v="150000"/>
    <d v="2025-01-09T00:00:00"/>
    <s v="UK"/>
    <s v="Proposal"/>
    <x v="0"/>
    <n v="1"/>
    <n v="150000"/>
  </r>
  <r>
    <d v="2024-12-09T00:00:00"/>
    <s v="PRO-000002745"/>
    <s v="GOOD SAMARITAN COLLEGE STAGE 4"/>
    <s v="AUD"/>
    <n v="40000"/>
    <d v="2025-01-10T00:00:00"/>
    <s v="Australia"/>
    <s v="Shop Drawing"/>
    <x v="0"/>
    <n v="0.50125313283208017"/>
    <n v="20050.125313283206"/>
  </r>
  <r>
    <d v="2024-12-20T00:00:00"/>
    <s v="PRO-000002811"/>
    <s v="CORCEGA 331 SURE BARCELONA"/>
    <s v="GBP"/>
    <n v="60000"/>
    <d v="2025-01-10T00:00:00"/>
    <s v="Rest of the World"/>
    <s v="Proposal"/>
    <x v="0"/>
    <n v="1"/>
    <n v="60000"/>
  </r>
  <r>
    <d v="2025-01-07T00:00:00"/>
    <s v="PRO-000002821"/>
    <s v="WESTCHESTER AVE 2000 1NC MORGAN STANLEY"/>
    <s v="USD"/>
    <n v="609383.93999999994"/>
    <d v="2025-01-10T00:00:00"/>
    <s v="USA"/>
    <s v="Shop Drawing"/>
    <x v="0"/>
    <n v="0.80775444264943463"/>
    <n v="492232.58481421648"/>
  </r>
  <r>
    <d v="2025-01-07T00:00:00"/>
    <s v="PRO-000002829"/>
    <s v="ALPHA BANK VE ALTERNATIVES FABRIC ATHENS"/>
    <s v="GBP"/>
    <n v="50000"/>
    <d v="2025-01-10T00:00:00"/>
    <s v="Rest of the World"/>
    <s v="Proposal"/>
    <x v="0"/>
    <n v="1"/>
    <n v="50000"/>
  </r>
  <r>
    <d v="2025-01-09T00:00:00"/>
    <s v="PRO-000002840"/>
    <s v="BRADFORD MALL SADDLERS CENTRE WALSALL"/>
    <s v="GBP"/>
    <n v="15000"/>
    <d v="2025-01-10T00:00:00"/>
    <s v="UK"/>
    <s v="Proposal"/>
    <x v="0"/>
    <n v="1"/>
    <n v="15000"/>
  </r>
  <r>
    <d v="2024-12-02T00:00:00"/>
    <s v="PRO-000002704"/>
    <s v="RIVER STREET 111 PROJECT SINATRA HOBOKEN NJ"/>
    <s v="GBP"/>
    <n v="75849"/>
    <d v="2025-01-12T00:00:00"/>
    <s v="USA"/>
    <s v="Shop Drawing"/>
    <x v="1"/>
    <n v="1"/>
    <n v="75849"/>
  </r>
  <r>
    <d v="2024-12-17T00:00:00"/>
    <s v="PRO-000002791"/>
    <s v="WATERSHED CHEVRON HEADQUARTERS HOUSTON"/>
    <s v="GBP"/>
    <n v="139709"/>
    <d v="2025-01-12T00:00:00"/>
    <s v="USA"/>
    <s v="Shop Drawing"/>
    <x v="1"/>
    <n v="1"/>
    <n v="139709"/>
  </r>
  <r>
    <d v="2025-01-06T00:00:00"/>
    <s v="PRO-000002818"/>
    <s v="THE FORUM KINGS QUARTER EXTERNAL WALKWAYS GLOUCESTER"/>
    <s v="GBP"/>
    <n v="1"/>
    <d v="2025-01-13T00:00:00"/>
    <s v="UK"/>
    <s v="Proposal"/>
    <x v="1"/>
    <n v="1"/>
    <n v="1"/>
  </r>
  <r>
    <d v="2025-01-08T00:00:00"/>
    <s v="PRO-000002833"/>
    <s v="ALDERSGATE ST NO 150 THE VERDANT TIKTOK FIT OUT LONDON"/>
    <s v="GBP"/>
    <n v="250000"/>
    <d v="2025-01-13T00:00:00"/>
    <s v="UK"/>
    <s v="Proposal"/>
    <x v="1"/>
    <n v="1"/>
    <n v="250000"/>
  </r>
  <r>
    <d v="2025-01-10T00:00:00"/>
    <s v="PRO-000002846"/>
    <s v="MANHATTAN WEST 2 FLOORS 13,14,15,16,17,18 KPMG"/>
    <s v="USD"/>
    <n v="140000"/>
    <d v="2025-01-13T00:00:00"/>
    <s v="USA"/>
    <s v="Shop Drawing"/>
    <x v="1"/>
    <n v="0.80775444264943463"/>
    <n v="113085.62197092085"/>
  </r>
  <r>
    <d v="2025-01-06T00:00:00"/>
    <s v="PRO-000002819"/>
    <s v="WELLINGTON PLACE NO 2 REFURB LEEDS"/>
    <s v="GBP"/>
    <n v="20000"/>
    <d v="2025-01-14T00:00:00"/>
    <s v="UK"/>
    <s v="Proposal"/>
    <x v="1"/>
    <n v="1"/>
    <n v="20000"/>
  </r>
  <r>
    <d v="2025-01-06T00:00:00"/>
    <s v="PRO-000002820"/>
    <s v="MADISON AVE 1 FLOOR 11 FRANKLIN TEMPLETON FIT OUT"/>
    <s v="GBP"/>
    <n v="93379"/>
    <d v="2025-01-14T00:00:00"/>
    <s v="USA"/>
    <s v="Shop Drawing"/>
    <x v="1"/>
    <n v="1"/>
    <n v="93379"/>
  </r>
  <r>
    <d v="2025-01-08T00:00:00"/>
    <s v="PRO-000002835"/>
    <s v="SKILLS HUB &amp; STORAGE BUILDINGS CRADLEY HEATH"/>
    <s v="GBP"/>
    <n v="50000"/>
    <d v="2025-01-14T00:00:00"/>
    <s v="UK"/>
    <s v="Proposal"/>
    <x v="1"/>
    <n v="1"/>
    <n v="50000"/>
  </r>
  <r>
    <d v="2025-01-10T00:00:00"/>
    <s v="PRO-000002844"/>
    <s v="SKILLS HUB &amp; STORAGE BUILDINGS CRADLEY HEATH"/>
    <s v="GBP"/>
    <n v="50000"/>
    <d v="2025-01-14T00:00:00"/>
    <s v="UK"/>
    <s v="Proposal"/>
    <x v="1"/>
    <n v="1"/>
    <n v="50000"/>
  </r>
  <r>
    <d v="2025-01-13T00:00:00"/>
    <s v="PRO-000002852"/>
    <s v="CONFIDENTIAL EUROPEAN PROJECT.GENSLER DC"/>
    <s v="USD"/>
    <n v="500000"/>
    <d v="2025-01-14T00:00:00"/>
    <s v="USA"/>
    <s v="Proposal"/>
    <x v="1"/>
    <n v="0.80775444264943463"/>
    <n v="403877.22132471733"/>
  </r>
  <r>
    <d v="2024-12-17T00:00:00"/>
    <s v="PRO-000002788"/>
    <s v="EASTBROOK STUDIOS DAGENHAM LONDON"/>
    <s v="GBP"/>
    <n v="145000"/>
    <d v="2025-01-15T00:00:00"/>
    <s v="UK"/>
    <s v="Shop Drawing"/>
    <x v="1"/>
    <n v="1"/>
    <n v="145000"/>
  </r>
  <r>
    <d v="2025-01-07T00:00:00"/>
    <s v="PRO-000002825"/>
    <s v="M3 TOULOUSE STATIONS - SECTEUR NO"/>
    <s v="EUR"/>
    <n v="150000"/>
    <d v="2025-01-15T00:00:00"/>
    <s v="France"/>
    <s v="Proposal"/>
    <x v="1"/>
    <n v="0.83682008368200833"/>
    <n v="125523.01255230125"/>
  </r>
  <r>
    <d v="2025-01-10T00:00:00"/>
    <s v="PRO-000002843"/>
    <s v="WIGMORE STREET NO 42 REFURB LONDON"/>
    <s v="GBP"/>
    <n v="10000"/>
    <d v="2025-01-15T00:00:00"/>
    <s v="UK"/>
    <s v="Proposal"/>
    <x v="1"/>
    <n v="1"/>
    <n v="10000"/>
  </r>
  <r>
    <d v="2025-01-13T00:00:00"/>
    <s v="PRO-000002848"/>
    <s v="10 COLMORE ROW BIRMINGHAM"/>
    <s v="GBP"/>
    <n v="50000"/>
    <d v="2025-01-15T00:00:00"/>
    <s v="UK"/>
    <s v="Proposal"/>
    <x v="1"/>
    <n v="1"/>
    <n v="50000"/>
  </r>
  <r>
    <d v="2025-01-15T00:00:00"/>
    <s v="PRO-000002857"/>
    <s v="ARIMA OFFICES MADRID"/>
    <s v="GBP"/>
    <n v="100000"/>
    <d v="2025-01-15T00:00:00"/>
    <s v="Rest of the World"/>
    <s v="Proposal"/>
    <x v="1"/>
    <n v="1"/>
    <n v="100000"/>
  </r>
  <r>
    <d v="2024-12-12T00:00:00"/>
    <s v="PRO-000002772"/>
    <s v="JFK TERMINAL ONE DUTY FREE (C220 Ceilings)"/>
    <s v="USD"/>
    <n v="100000"/>
    <d v="2025-01-16T00:00:00"/>
    <s v="USA"/>
    <s v="Proposal"/>
    <x v="1"/>
    <n v="0.80775444264943463"/>
    <n v="80775.444264943464"/>
  </r>
  <r>
    <d v="2024-12-17T00:00:00"/>
    <s v="PRO-000002793"/>
    <s v="SKÃ˜YEN STATION FORNEBU LINE OSLO"/>
    <s v="GBP"/>
    <n v="100000"/>
    <d v="2025-01-16T00:00:00"/>
    <s v="Rest of the World"/>
    <s v="Proposal"/>
    <x v="1"/>
    <n v="1"/>
    <n v="100000"/>
  </r>
  <r>
    <d v="2025-01-06T00:00:00"/>
    <s v="PRO-000002815"/>
    <s v="60 MARTIN PLACE LEVEL 3 PODIUM"/>
    <s v="AUD"/>
    <n v="50000"/>
    <d v="2025-01-16T00:00:00"/>
    <s v="Australia"/>
    <s v="Proposal"/>
    <x v="1"/>
    <n v="0.50125313283208017"/>
    <n v="25062.656641604008"/>
  </r>
  <r>
    <d v="2025-01-07T00:00:00"/>
    <s v="PRO-000002830"/>
    <s v="FOLLIN LANE SE 820 NAVY FCU HQ WZ 8 AND WZ 6 AND WZ 5"/>
    <s v="GBP"/>
    <n v="36000"/>
    <d v="2025-01-16T00:00:00"/>
    <s v="USA"/>
    <s v="Shop Drawing"/>
    <x v="1"/>
    <n v="1"/>
    <n v="36000"/>
  </r>
  <r>
    <d v="2025-01-09T00:00:00"/>
    <s v="PRO-000002838"/>
    <s v="SENEX OFFICE BRISBANE"/>
    <s v="AUD"/>
    <n v="20000"/>
    <d v="2025-01-16T00:00:00"/>
    <s v="Australia"/>
    <s v="Shop Drawing"/>
    <x v="1"/>
    <n v="0.50125313283208017"/>
    <n v="10025.062656641603"/>
  </r>
  <r>
    <d v="2025-01-09T00:00:00"/>
    <s v="PRO-000002839"/>
    <s v="ARTHUR STREET NO 12 FLOOR 6 LIGHTING LONDON"/>
    <s v="GBP"/>
    <n v="50000"/>
    <d v="2025-01-16T00:00:00"/>
    <s v="UK"/>
    <s v="Proposal"/>
    <x v="1"/>
    <n v="1"/>
    <n v="50000"/>
  </r>
  <r>
    <d v="2025-01-13T00:00:00"/>
    <s v="PRO-000002850"/>
    <s v="AVENUE OF AMERICAS 1290 FLRS 13-16 KING &amp; SPALDING"/>
    <s v="GBP"/>
    <n v="10000"/>
    <d v="2025-01-16T00:00:00"/>
    <s v="USA"/>
    <s v="Shop Drawing"/>
    <x v="1"/>
    <n v="1"/>
    <n v="10000"/>
  </r>
  <r>
    <d v="2025-01-15T00:00:00"/>
    <s v="PRO-000002858"/>
    <s v="IRC CAMPSFIELD HOUSE KIDLINGTON OXFORDSHIRE"/>
    <s v="GBP"/>
    <n v="50000"/>
    <d v="2025-01-16T00:00:00"/>
    <s v="UK"/>
    <s v="Proposal"/>
    <x v="1"/>
    <n v="1"/>
    <n v="50000"/>
  </r>
  <r>
    <d v="2025-01-07T00:00:00"/>
    <s v="PRO-000002823"/>
    <s v="WEST ONE DEVELOPMENT OXFORD STREET LONDON"/>
    <s v="GBP"/>
    <n v="250000"/>
    <d v="2025-01-17T00:00:00"/>
    <s v="UK"/>
    <s v="Proposal"/>
    <x v="1"/>
    <n v="1"/>
    <n v="250000"/>
  </r>
  <r>
    <d v="2025-01-07T00:00:00"/>
    <s v="PRO-000002827"/>
    <s v="WARSAW CPK BAGGAGE HALL"/>
    <s v="GBP"/>
    <n v="0"/>
    <d v="2025-01-17T00:00:00"/>
    <s v="Rest of the World"/>
    <s v="Shop Drawing"/>
    <x v="1"/>
    <n v="1"/>
    <n v="0"/>
  </r>
  <r>
    <d v="2025-01-08T00:00:00"/>
    <s v="PRO-000002837"/>
    <s v="415 COLORADO STREET FLR 33 AUSTIN TX"/>
    <s v="GBP"/>
    <n v="6822"/>
    <d v="2025-01-17T00:00:00"/>
    <s v="USA"/>
    <s v="Shop Drawing"/>
    <x v="1"/>
    <n v="1"/>
    <n v="6822"/>
  </r>
  <r>
    <d v="2025-01-14T00:00:00"/>
    <s v="PRO-000002854"/>
    <s v="CONGRESS AVE 301 FLR 1 &amp; 2 AUSTIN TX"/>
    <s v="GBP"/>
    <n v="360000"/>
    <d v="2025-01-17T00:00:00"/>
    <s v="USA"/>
    <s v="Shop Drawing"/>
    <x v="1"/>
    <n v="1"/>
    <n v="360000"/>
  </r>
  <r>
    <d v="2025-01-14T00:00:00"/>
    <s v="PRO-000002856"/>
    <s v="KADANS HEALTH INNOVATION HUB GLASGOW"/>
    <s v="GBP"/>
    <n v="50000"/>
    <d v="2025-01-17T00:00:00"/>
    <s v="UK"/>
    <s v="Proposal"/>
    <x v="1"/>
    <n v="1"/>
    <n v="50000"/>
  </r>
  <r>
    <d v="2025-01-16T00:00:00"/>
    <s v="PRO-000002866"/>
    <s v="QUEEN VICTORIA STREET NO 60 LONDON"/>
    <s v="GBP"/>
    <n v="200000"/>
    <d v="2025-01-17T00:00:00"/>
    <s v="UK"/>
    <s v="CAD Sketch"/>
    <x v="1"/>
    <n v="1"/>
    <n v="200000"/>
  </r>
  <r>
    <d v="2025-01-17T00:00:00"/>
    <s v="PRO-000002874"/>
    <s v="UNSW HEALTH TRANSLATION HUB RANDWICK"/>
    <s v="AUD"/>
    <n v="15000"/>
    <d v="2025-01-17T00:00:00"/>
    <s v="Australia"/>
    <s v="CAD Sketch"/>
    <x v="1"/>
    <n v="0.50125313283208017"/>
    <n v="7518.7969924812023"/>
  </r>
  <r>
    <d v="2025-01-10T00:00:00"/>
    <s v="PRO-000002842"/>
    <s v="GOOD SAMARITAN COLLEGE STAGE 4"/>
    <s v="AUD"/>
    <n v="40000"/>
    <d v="2025-01-19T00:00:00"/>
    <s v="Australia"/>
    <s v="Shop Drawing"/>
    <x v="2"/>
    <n v="0.50125313283208017"/>
    <n v="20050.125313283206"/>
  </r>
  <r>
    <d v="2024-12-12T00:00:00"/>
    <s v="PRO-000002761"/>
    <s v="COLLINS STREET NO 55 MELBOURNE"/>
    <s v="AUD"/>
    <n v="333000"/>
    <d v="2025-01-20T00:00:00"/>
    <s v="Australia"/>
    <s v="Shop Drawing"/>
    <x v="2"/>
    <n v="0.50125313283208017"/>
    <n v="166917.29323308269"/>
  </r>
  <r>
    <d v="2024-12-12T00:00:00"/>
    <s v="PRO-000002766"/>
    <s v="CRITERION BUILDING PICCADILLY NO 225-229 LONDON"/>
    <s v="GBP"/>
    <n v="60000"/>
    <d v="2025-01-20T00:00:00"/>
    <s v="UK"/>
    <s v="Shop Drawing"/>
    <x v="2"/>
    <n v="1"/>
    <n v="60000"/>
  </r>
  <r>
    <d v="2025-01-15T00:00:00"/>
    <s v="PRO-000002861"/>
    <s v="RESIDENTIAL PROJECT THAILAND"/>
    <s v="GBP"/>
    <n v="20000"/>
    <d v="2025-01-20T00:00:00"/>
    <s v="Rest of the World"/>
    <s v="Proposal"/>
    <x v="2"/>
    <n v="1"/>
    <n v="20000"/>
  </r>
  <r>
    <d v="2025-01-16T00:00:00"/>
    <s v="PRO-000002864"/>
    <s v="SMITHFIELD MARKET DEVELOPMENT MUSEUM OF LONDON CLADDING"/>
    <s v="GBP"/>
    <n v="75000"/>
    <d v="2025-01-20T00:00:00"/>
    <s v="UK"/>
    <s v="Proposal"/>
    <x v="2"/>
    <n v="1"/>
    <n v="75000"/>
  </r>
  <r>
    <d v="2025-01-16T00:00:00"/>
    <s v="PRO-000002868"/>
    <s v="02034 CADDELL"/>
    <s v="GBP"/>
    <n v="203000"/>
    <d v="2025-01-20T00:00:00"/>
    <s v="Rest of the World"/>
    <s v="Proposal"/>
    <x v="2"/>
    <n v="1"/>
    <n v="203000"/>
  </r>
  <r>
    <d v="2025-01-17T00:00:00"/>
    <s v="PRO-000002881"/>
    <s v="PARK AVENUE 270 LOBBY JP MORGAN HQ NEW YORK"/>
    <s v="GBP"/>
    <n v="4000000"/>
    <d v="2025-01-20T00:00:00"/>
    <s v="USA"/>
    <s v="Shop Drawing"/>
    <x v="2"/>
    <n v="1"/>
    <n v="4000000"/>
  </r>
  <r>
    <d v="2024-11-27T00:00:00"/>
    <s v="PRO-000002696"/>
    <s v="GEORGE W BUSH INTL AIRPORT IAH PROCESSOR AND EXT CANOPY"/>
    <s v="USD"/>
    <n v="1"/>
    <d v="2025-01-21T00:00:00"/>
    <s v="USA"/>
    <s v="Proposal"/>
    <x v="2"/>
    <n v="0.80775444264943463"/>
    <n v="0.80775444264943463"/>
  </r>
  <r>
    <d v="2024-12-17T00:00:00"/>
    <s v="PRO-000002790"/>
    <s v="TCU ATHLETICS HUMAN PERF CTR STADIUM DR NO 3000 FT WORTH TX"/>
    <s v="GBP"/>
    <n v="121110"/>
    <d v="2025-01-21T00:00:00"/>
    <s v="USA"/>
    <s v="Shop Drawing"/>
    <x v="2"/>
    <n v="1"/>
    <n v="121110"/>
  </r>
  <r>
    <d v="2025-01-07T00:00:00"/>
    <s v="PRO-000002824"/>
    <s v="WEST ONE DEVELOPMENT OXFORD STREET LONDON"/>
    <s v="GBP"/>
    <n v="250000"/>
    <d v="2025-01-21T00:00:00"/>
    <s v="UK"/>
    <s v="Proposal"/>
    <x v="2"/>
    <n v="1"/>
    <n v="250000"/>
  </r>
  <r>
    <d v="2025-01-13T00:00:00"/>
    <s v="PRO-000002849"/>
    <s v="FIDELITY THE PIER T1 CWP COMMONWEALTH PIER MESH BOSTON"/>
    <s v="USD"/>
    <n v="8000"/>
    <d v="2025-01-21T00:00:00"/>
    <s v="USA"/>
    <s v="Shop Drawing"/>
    <x v="2"/>
    <n v="0.80775444264943463"/>
    <n v="6462.035541195477"/>
  </r>
  <r>
    <d v="2025-01-15T00:00:00"/>
    <s v="PRO-000002859"/>
    <s v="GPE - PONT DE SEVRES STATION"/>
    <s v="EUR"/>
    <n v="50000"/>
    <d v="2025-01-21T00:00:00"/>
    <s v="France"/>
    <s v="Proposal"/>
    <x v="2"/>
    <n v="0.83682008368200833"/>
    <n v="41841.004184100413"/>
  </r>
  <r>
    <d v="2025-01-15T00:00:00"/>
    <s v="PRO-000002863"/>
    <s v="GEORGE W BUSH INTL AIRPORT IAH PROCESSOR AND EXT CANOPY"/>
    <s v="USD"/>
    <n v="90000"/>
    <d v="2025-01-21T00:00:00"/>
    <s v="USA"/>
    <s v="Proposal"/>
    <x v="2"/>
    <n v="0.80775444264943463"/>
    <n v="72697.899838449113"/>
  </r>
  <r>
    <d v="2025-01-17T00:00:00"/>
    <s v="PRO-000002876"/>
    <s v="IRC CAMPSFIELD HOUSE KIDLINGTON OXFORDSHIRE"/>
    <s v="GBP"/>
    <n v="50000"/>
    <d v="2025-01-21T00:00:00"/>
    <s v="UK"/>
    <s v="Proposal"/>
    <x v="2"/>
    <n v="1"/>
    <n v="50000"/>
  </r>
  <r>
    <d v="2025-01-17T00:00:00"/>
    <s v="PRO-000002880"/>
    <s v="ALPHA BANK VE ALTERNATIVES FABRIC ATHENS"/>
    <s v="GBP"/>
    <n v="60000"/>
    <d v="2025-01-21T00:00:00"/>
    <s v="Rest of the World"/>
    <s v="Proposal"/>
    <x v="2"/>
    <n v="1"/>
    <n v="60000"/>
  </r>
  <r>
    <d v="2025-01-20T00:00:00"/>
    <s v="PRO-000002884"/>
    <s v="BROADGATE QUARTER CAT A REFURB APPOLD STREET LONDON"/>
    <s v="GBP"/>
    <n v="450000"/>
    <d v="2025-01-21T00:00:00"/>
    <s v="UK"/>
    <s v="Proposal"/>
    <x v="2"/>
    <n v="1"/>
    <n v="450000"/>
  </r>
  <r>
    <d v="2025-01-20T00:00:00"/>
    <s v="PRO-000002887"/>
    <s v="02034 CADDELL"/>
    <s v="GBP"/>
    <n v="30000"/>
    <d v="2025-01-21T00:00:00"/>
    <s v="Rest of the World"/>
    <s v="Proposal"/>
    <x v="2"/>
    <n v="1"/>
    <n v="30000"/>
  </r>
  <r>
    <d v="2025-01-20T00:00:00"/>
    <s v="PRO-000002888"/>
    <s v="SENEX OFFICE BRISBANE"/>
    <s v="AUD"/>
    <n v="20000"/>
    <d v="2025-01-21T00:00:00"/>
    <s v="Australia"/>
    <s v="Shop Drawing"/>
    <x v="2"/>
    <n v="0.50125313283208017"/>
    <n v="10025.062656641603"/>
  </r>
  <r>
    <d v="2025-01-21T00:00:00"/>
    <s v="PRO-000002889"/>
    <s v="EATON HS STADIUM EAGLE BLVD NO 1350 HASLET"/>
    <s v="USD"/>
    <n v="5"/>
    <d v="2025-01-21T00:00:00"/>
    <s v="USA"/>
    <s v="Proposal"/>
    <x v="2"/>
    <n v="0.80775444264943463"/>
    <n v="4.0387722132471735"/>
  </r>
  <r>
    <d v="2025-01-15T00:00:00"/>
    <s v="PRO-000002860"/>
    <s v="APPLE CAMPUS HERZLIYA FABRIC"/>
    <s v="GBP"/>
    <n v="30000"/>
    <d v="2025-01-22T00:00:00"/>
    <s v="Rest of the World"/>
    <s v="Proposal"/>
    <x v="2"/>
    <n v="1"/>
    <n v="30000"/>
  </r>
  <r>
    <d v="2025-01-17T00:00:00"/>
    <s v="PRO-000002875"/>
    <s v="UPPER CAMPFIELD LIVERPOOL ROAD MANCHESTER"/>
    <s v="GBP"/>
    <n v="22294.42"/>
    <d v="2025-01-22T00:00:00"/>
    <s v="UK"/>
    <s v="CAD Sketch"/>
    <x v="2"/>
    <n v="1"/>
    <n v="22294.42"/>
  </r>
  <r>
    <d v="2025-01-17T00:00:00"/>
    <s v="PRO-000002877"/>
    <s v="SOUTH PARADE NO 10 GRND FLR LEEDS"/>
    <s v="GBP"/>
    <n v="7391"/>
    <d v="2025-01-22T00:00:00"/>
    <s v="UK"/>
    <s v="Proposal"/>
    <x v="2"/>
    <n v="1"/>
    <n v="7391"/>
  </r>
  <r>
    <d v="2025-01-17T00:00:00"/>
    <s v="PRO-000002879"/>
    <s v="THE FAIRFAX PHASE 1 RESIDENTIAL MANCHESTER"/>
    <s v="GBP"/>
    <n v="80000"/>
    <d v="2025-01-22T00:00:00"/>
    <s v="UK"/>
    <s v="Proposal"/>
    <x v="2"/>
    <n v="1"/>
    <n v="80000"/>
  </r>
  <r>
    <d v="2025-01-19T00:00:00"/>
    <s v="PRO-000002883"/>
    <s v="MELBOURNE AIRPORT ELEVATED ROAD AND FORECOURT PROJECT"/>
    <s v="AUD"/>
    <n v="1200000"/>
    <d v="2025-01-22T00:00:00"/>
    <s v="Australia"/>
    <s v="Proposal"/>
    <x v="2"/>
    <n v="0.50125313283208017"/>
    <n v="601503.75939849624"/>
  </r>
  <r>
    <d v="2025-01-21T00:00:00"/>
    <s v="PRO-000002890"/>
    <s v="BASINGHALL AVENUE NO 1 FLRS LG-4 REFURB LONDON"/>
    <s v="GBP"/>
    <n v="15000"/>
    <d v="2025-01-23T00:00:00"/>
    <s v="UK"/>
    <s v="Proposal"/>
    <x v="2"/>
    <n v="1"/>
    <n v="15000"/>
  </r>
  <r>
    <d v="2025-01-21T00:00:00"/>
    <s v="PRO-000002891"/>
    <s v="A 928 PARIS - CHILLED"/>
    <s v="EUR"/>
    <n v="1000000"/>
    <d v="2025-01-23T00:00:00"/>
    <s v="France"/>
    <s v="Proposal"/>
    <x v="2"/>
    <n v="0.83682008368200833"/>
    <n v="836820.08368200832"/>
  </r>
  <r>
    <d v="2025-01-21T00:00:00"/>
    <s v="PRO-000002893"/>
    <s v="CORCEGA 331 SURE BARCELONA"/>
    <s v="GBP"/>
    <n v="30000"/>
    <d v="2025-01-23T00:00:00"/>
    <s v="Rest of the World"/>
    <s v="Proposal"/>
    <x v="2"/>
    <n v="1"/>
    <n v="30000"/>
  </r>
  <r>
    <d v="2025-01-22T00:00:00"/>
    <s v="PRO-000002898"/>
    <s v="MELBOURNE AIRPORT LOTTE DUTY FREE"/>
    <s v="AUD"/>
    <n v="560000"/>
    <d v="2025-01-23T00:00:00"/>
    <s v="Australia"/>
    <s v="CAD Sketch"/>
    <x v="2"/>
    <n v="0.50125313283208017"/>
    <n v="280701.75438596489"/>
  </r>
  <r>
    <d v="2025-01-23T00:00:00"/>
    <s v="PRO-000002901"/>
    <s v="SEVEN STARS MALL WAVY BAFFLES HERZLIYA"/>
    <s v="GBP"/>
    <n v="30000"/>
    <d v="2025-01-23T00:00:00"/>
    <s v="Rest of the World"/>
    <s v="Proposal"/>
    <x v="2"/>
    <n v="1"/>
    <n v="30000"/>
  </r>
  <r>
    <d v="2025-01-14T00:00:00"/>
    <s v="PRO-000002855"/>
    <s v="YALE PHYSICAL SCIENCE AND ENGINEERING BUILDING (PSEB) PH II"/>
    <s v="USD"/>
    <n v="60000"/>
    <d v="2025-01-24T00:00:00"/>
    <s v="USA"/>
    <s v="Proposal"/>
    <x v="2"/>
    <n v="0.80775444264943463"/>
    <n v="48465.266558966076"/>
  </r>
  <r>
    <d v="2025-01-16T00:00:00"/>
    <s v="PRO-000002869"/>
    <s v="UMASS COMPUTER SCIENCE LABORATORIES"/>
    <s v="GBP"/>
    <n v="43918"/>
    <d v="2025-01-24T00:00:00"/>
    <s v="USA"/>
    <s v="Shop Drawing"/>
    <x v="2"/>
    <n v="1"/>
    <n v="43918"/>
  </r>
  <r>
    <d v="2025-01-17T00:00:00"/>
    <s v="PRO-000002878"/>
    <s v="THE FAIRFAX PHASE 1 RESIDENTIAL MANCHESTER"/>
    <s v="GBP"/>
    <n v="800000"/>
    <d v="2025-01-24T00:00:00"/>
    <s v="UK"/>
    <s v="Proposal"/>
    <x v="2"/>
    <n v="1"/>
    <n v="800000"/>
  </r>
  <r>
    <d v="2025-01-20T00:00:00"/>
    <s v="PRO-000002886"/>
    <s v="OCASO FUENCARRAL 107  MADRID"/>
    <s v="GBP"/>
    <n v="100000"/>
    <d v="2025-01-24T00:00:00"/>
    <s v="Rest of the World"/>
    <s v="Proposal"/>
    <x v="2"/>
    <n v="1"/>
    <n v="100000"/>
  </r>
  <r>
    <d v="2025-01-23T00:00:00"/>
    <s v="PRO-000002900"/>
    <s v="JAMES STREET NO 1 LONDON"/>
    <s v="GBP"/>
    <n v="20000"/>
    <d v="2025-01-24T00:00:00"/>
    <s v="UK"/>
    <s v="Shop Drawing"/>
    <x v="2"/>
    <n v="1"/>
    <n v="20000"/>
  </r>
  <r>
    <d v="2025-01-16T00:00:00"/>
    <s v="PRO-000002873"/>
    <s v="POPLAR GROVE ST. 800.BALTIMORE. DOMO CATHOLIC CHARITIES"/>
    <s v="USD"/>
    <n v="10000"/>
    <d v="2025-01-27T00:00:00"/>
    <s v="USA"/>
    <s v="Proposal"/>
    <x v="3"/>
    <n v="0.80775444264943463"/>
    <n v="8077.5444264943462"/>
  </r>
  <r>
    <d v="2025-01-24T00:00:00"/>
    <s v="PRO-000002905"/>
    <s v="CORCEGA 331 SURE BARCELONA"/>
    <s v="GBP"/>
    <n v="50000"/>
    <d v="2025-01-27T00:00:00"/>
    <s v="Rest of the World"/>
    <s v="Proposal"/>
    <x v="3"/>
    <n v="1"/>
    <n v="50000"/>
  </r>
  <r>
    <d v="2025-01-24T00:00:00"/>
    <s v="PRO-000002907"/>
    <s v="CORCEGA 331 SURE BARCELONA"/>
    <s v="GBP"/>
    <n v="50000"/>
    <d v="2025-01-27T00:00:00"/>
    <s v="Rest of the World"/>
    <s v="Proposal"/>
    <x v="3"/>
    <n v="1"/>
    <n v="50000"/>
  </r>
  <r>
    <d v="2025-01-27T00:00:00"/>
    <s v="PRO-000002910"/>
    <s v="WARWICK HOUSE AEROSPACE CENTRE GF &amp; FLR 1 FARNBOROUGH"/>
    <s v="GBP"/>
    <n v="15000"/>
    <d v="2025-01-27T00:00:00"/>
    <s v="UK"/>
    <s v="Proposal"/>
    <x v="3"/>
    <n v="1"/>
    <n v="15000"/>
  </r>
  <r>
    <d v="2025-01-27T00:00:00"/>
    <s v="PRO-000002912"/>
    <s v="WARWICK HOUSE AEROSPACE CENTRE GF &amp; FLR 1 FARNBOROUGH"/>
    <s v="GBP"/>
    <n v="15000"/>
    <d v="2025-01-27T00:00:00"/>
    <s v="UK"/>
    <s v="Proposal"/>
    <x v="3"/>
    <n v="1"/>
    <n v="15000"/>
  </r>
  <r>
    <d v="2025-01-09T00:00:00"/>
    <s v="PRO-000002841"/>
    <s v="HOBBY AIRPORT CENTRAL TERMINAL/ BAGGAGE CLAIM"/>
    <s v="USD"/>
    <n v="500000"/>
    <d v="2025-01-28T00:00:00"/>
    <s v="USA"/>
    <s v="Proposal"/>
    <x v="3"/>
    <n v="0.80775444264943463"/>
    <n v="403877.22132471733"/>
  </r>
  <r>
    <d v="2025-01-23T00:00:00"/>
    <s v="PRO-000002904"/>
    <s v="PASSAGE OF TIME ART GALLERY FLORIDA"/>
    <s v="USD"/>
    <n v="750000"/>
    <d v="2025-01-28T00:00:00"/>
    <s v="USA"/>
    <s v="Proposal"/>
    <x v="3"/>
    <n v="0.80775444264943463"/>
    <n v="605815.83198707597"/>
  </r>
  <r>
    <d v="2025-01-22T00:00:00"/>
    <s v="PRO-000002894"/>
    <s v="MELBOURNE AIRPORT ELEVATED ROAD AND FORECOURT PROJECT"/>
    <s v="AUD"/>
    <n v="1000000"/>
    <d v="2025-01-29T00:00:00"/>
    <s v="Australia"/>
    <s v="CAD Sketch"/>
    <x v="3"/>
    <n v="0.50125313283208017"/>
    <n v="501253.13283208018"/>
  </r>
  <r>
    <d v="2025-01-27T00:00:00"/>
    <s v="PRO-000002913"/>
    <s v="HOLDING SAINT MICHEL PARIS"/>
    <s v="EUR"/>
    <n v="50000"/>
    <d v="2025-01-29T00:00:00"/>
    <s v="France"/>
    <s v="Proposal"/>
    <x v="3"/>
    <n v="0.83682008368200833"/>
    <n v="41841.004184100413"/>
  </r>
  <r>
    <d v="2025-01-27T00:00:00"/>
    <s v="PRO-000002914"/>
    <s v="JAMES STREET NO 1 LONDON"/>
    <s v="GBP"/>
    <n v="90000"/>
    <d v="2025-01-29T00:00:00"/>
    <s v="UK"/>
    <s v="Shop Drawing"/>
    <x v="3"/>
    <n v="1"/>
    <n v="90000"/>
  </r>
  <r>
    <d v="2024-08-02T00:00:00"/>
    <s v="PRO-000002170"/>
    <s v="SYDNEY FISH MARKET"/>
    <s v="GBP"/>
    <n v="250000"/>
    <d v="2025-01-30T00:00:00"/>
    <s v="Australia"/>
    <s v="Shop Drawing"/>
    <x v="3"/>
    <n v="1"/>
    <n v="250000"/>
  </r>
  <r>
    <d v="2024-12-12T00:00:00"/>
    <s v="PRO-000002771"/>
    <s v="JFK TERMINAL ONE DUTY FREE (C220 Ceilings)"/>
    <s v="USD"/>
    <n v="30000"/>
    <d v="2025-01-30T00:00:00"/>
    <s v="USA"/>
    <s v="Proposal"/>
    <x v="3"/>
    <n v="0.80775444264943463"/>
    <n v="24232.633279483038"/>
  </r>
  <r>
    <d v="2025-01-08T00:00:00"/>
    <s v="PRO-000002836"/>
    <s v="AVENUE OF AMERICAS 1290 FLRS 13-16 KING &amp; SPALDING"/>
    <s v="USD"/>
    <n v="170000"/>
    <d v="2025-01-30T00:00:00"/>
    <s v="USA"/>
    <s v="Shop Drawing"/>
    <x v="3"/>
    <n v="0.80775444264943463"/>
    <n v="137318.25525040389"/>
  </r>
  <r>
    <d v="2025-01-16T00:00:00"/>
    <s v="PRO-000002871"/>
    <s v="ASTOR PLACE NO 51 FLOOR 4 NEW YORK"/>
    <s v="GBP"/>
    <n v="92865"/>
    <d v="2025-01-30T00:00:00"/>
    <s v="USA"/>
    <s v="Shop Drawing"/>
    <x v="3"/>
    <n v="1"/>
    <n v="92865"/>
  </r>
  <r>
    <d v="2025-01-16T00:00:00"/>
    <s v="PRO-000002872"/>
    <s v="PILSBURY LAW FIRM AUSTIN"/>
    <s v="GBP"/>
    <n v="59900"/>
    <d v="2025-01-30T00:00:00"/>
    <s v="USA"/>
    <s v="Shop Drawing"/>
    <x v="3"/>
    <n v="1"/>
    <n v="59900"/>
  </r>
  <r>
    <d v="2025-01-17T00:00:00"/>
    <s v="PRO-000002882"/>
    <s v="HUDSON YARDS 20 WELLS FARGO, FLRS 5 &amp; 6, NEW YORK"/>
    <s v="USD"/>
    <n v="50000"/>
    <d v="2025-01-30T00:00:00"/>
    <s v="USA"/>
    <s v="Proposal"/>
    <x v="3"/>
    <n v="0.80775444264943463"/>
    <n v="40387.722132471732"/>
  </r>
  <r>
    <d v="2025-01-23T00:00:00"/>
    <s v="PRO-000002902"/>
    <s v="MADISON AVENUE 550 CLAYTON DUBILIER &amp; RICE FIT OUT"/>
    <s v="USD"/>
    <n v="780000"/>
    <d v="2025-01-30T00:00:00"/>
    <s v="USA"/>
    <s v="Shop Drawing"/>
    <x v="3"/>
    <n v="0.80775444264943463"/>
    <n v="630048.46526655904"/>
  </r>
  <r>
    <d v="2025-01-27T00:00:00"/>
    <s v="PRO-000002911"/>
    <s v="UPPER CAMPFIELD LIVERPOOL ROAD MANCHESTER"/>
    <s v="GBP"/>
    <n v="20000"/>
    <d v="2025-01-30T00:00:00"/>
    <s v="UK"/>
    <s v="Proposal"/>
    <x v="3"/>
    <n v="1"/>
    <n v="20000"/>
  </r>
  <r>
    <d v="2025-01-28T00:00:00"/>
    <s v="PRO-000002917"/>
    <s v="COLLINS STREET NO 303"/>
    <s v="AUD"/>
    <n v="50000"/>
    <d v="2025-01-30T00:00:00"/>
    <s v="Australia"/>
    <s v="CAD Sketch"/>
    <x v="3"/>
    <n v="0.50125313283208017"/>
    <n v="25062.656641604008"/>
  </r>
  <r>
    <d v="2025-01-28T00:00:00"/>
    <s v="PRO-000002919"/>
    <s v="PARK AVENUE 270 AMENITY FLOORS 15 &amp; 16, JP MORGAN"/>
    <s v="GBP"/>
    <n v="650000"/>
    <d v="2025-01-30T00:00:00"/>
    <s v="USA"/>
    <s v="Shop Drawing"/>
    <x v="3"/>
    <n v="1"/>
    <n v="650000"/>
  </r>
  <r>
    <d v="2025-01-28T00:00:00"/>
    <s v="PRO-000002921"/>
    <s v="THE FAIRFAX PHASE 1 RESIDENTIAL MANCHESTER"/>
    <s v="GBP"/>
    <n v="10000"/>
    <d v="2025-01-30T00:00:00"/>
    <s v="UK"/>
    <s v="Proposal"/>
    <x v="3"/>
    <n v="1"/>
    <n v="10000"/>
  </r>
  <r>
    <d v="2025-01-29T00:00:00"/>
    <s v="PRO-000002929"/>
    <s v="JAMES STREET NO 1 LONDON"/>
    <s v="GBP"/>
    <n v="90000"/>
    <d v="2025-01-30T00:00:00"/>
    <s v="UK"/>
    <s v="Shop Drawing"/>
    <x v="3"/>
    <n v="1"/>
    <n v="90000"/>
  </r>
  <r>
    <d v="2025-01-30T00:00:00"/>
    <s v="PRO-000002938"/>
    <s v="PUBLIC INFRASTRUCTURE (CONFIDENTIAL)"/>
    <s v="AUD"/>
    <n v="80000"/>
    <d v="2025-01-30T00:00:00"/>
    <s v="Australia"/>
    <s v="CAD Sketch"/>
    <x v="3"/>
    <n v="0.50125313283208017"/>
    <n v="40100.250626566412"/>
  </r>
  <r>
    <d v="2025-01-30T00:00:00"/>
    <s v="PRO-000002939"/>
    <s v="WESTCHESTER AVE 2000 1NC MORGAN STANLEY"/>
    <s v="USD"/>
    <n v="609383.93999999994"/>
    <d v="2025-01-30T00:00:00"/>
    <s v="USA"/>
    <s v="Shop Drawing"/>
    <x v="3"/>
    <n v="0.80775444264943463"/>
    <n v="492232.58481421648"/>
  </r>
  <r>
    <d v="2025-01-28T00:00:00"/>
    <s v="PRO-000002920"/>
    <s v="MADISON AVENUE 343 NEW YORK"/>
    <s v="GBP"/>
    <n v="20000"/>
    <d v="2025-01-31T00:00:00"/>
    <s v="USA"/>
    <s v="Shop Drawing"/>
    <x v="3"/>
    <n v="1"/>
    <n v="20000"/>
  </r>
  <r>
    <d v="2025-01-28T00:00:00"/>
    <s v="PRO-000002923"/>
    <s v="KADANS HEALTH INNOVATION HUB GLASGOW"/>
    <s v="GBP"/>
    <n v="100000"/>
    <d v="2025-01-31T00:00:00"/>
    <s v="UK"/>
    <s v="Proposal"/>
    <x v="3"/>
    <n v="1"/>
    <n v="100000"/>
  </r>
  <r>
    <d v="2025-01-29T00:00:00"/>
    <s v="PRO-000002930"/>
    <s v="AVENUE RAYMOND POINCARE 34 PARIS"/>
    <s v="EUR"/>
    <n v="10000"/>
    <d v="2025-01-31T00:00:00"/>
    <s v="France"/>
    <s v="Proposal"/>
    <x v="3"/>
    <n v="0.83682008368200833"/>
    <n v="8368.2008368200841"/>
  </r>
  <r>
    <d v="2025-01-29T00:00:00"/>
    <s v="PRO-000002931"/>
    <s v="RESO STOCK"/>
    <s v="EUR"/>
    <n v="20000"/>
    <d v="2025-01-31T00:00:00"/>
    <s v="France"/>
    <s v="Proposal"/>
    <x v="3"/>
    <n v="0.83682008368200833"/>
    <n v="16736.401673640168"/>
  </r>
  <r>
    <d v="2025-01-29T00:00:00"/>
    <s v="PRO-000002932"/>
    <s v="CHAMARTIN PHASE 2 MADRID"/>
    <s v="GBP"/>
    <n v="30000"/>
    <d v="2025-01-31T00:00:00"/>
    <s v="Rest of the World"/>
    <s v="Proposal"/>
    <x v="3"/>
    <n v="1"/>
    <n v="30000"/>
  </r>
  <r>
    <d v="2025-01-29T00:00:00"/>
    <s v="PRO-000002933"/>
    <s v="APPLE CAMPUS HERZLIYA FABRIC"/>
    <s v="GBP"/>
    <n v="30000"/>
    <d v="2025-01-31T00:00:00"/>
    <s v="Rest of the World"/>
    <s v="Proposal"/>
    <x v="3"/>
    <n v="1"/>
    <n v="30000"/>
  </r>
  <r>
    <d v="2025-01-29T00:00:00"/>
    <s v="PRO-000002936"/>
    <s v="415 COLORADO STREET FLR 33 AUSTIN TX"/>
    <s v="GBP"/>
    <n v="6000"/>
    <d v="2025-01-31T00:00:00"/>
    <s v="USA"/>
    <s v="Shop Drawing"/>
    <x v="3"/>
    <n v="1"/>
    <n v="6000"/>
  </r>
  <r>
    <d v="2025-01-30T00:00:00"/>
    <s v="PRO-000002940"/>
    <s v="WIGMORE STREET NO 42 REFURB LONDON"/>
    <s v="GBP"/>
    <n v="40000"/>
    <d v="2025-01-31T00:00:00"/>
    <s v="UK"/>
    <s v="Proposal"/>
    <x v="3"/>
    <n v="1"/>
    <n v="40000"/>
  </r>
  <r>
    <d v="2025-01-07T00:00:00"/>
    <s v="PRO-000002831"/>
    <s v="200 N BOULEVARD.RICHMOND VA. VMFA"/>
    <s v="USD"/>
    <n v="300000"/>
    <d v="2025-02-03T00:00:00"/>
    <s v="USA"/>
    <s v="Proposal"/>
    <x v="4"/>
    <n v="0.79554494828957845"/>
    <n v="238663.48448687352"/>
  </r>
  <r>
    <d v="2025-01-28T00:00:00"/>
    <s v="PRO-000002922"/>
    <s v="UNI OF MANCHESTER FALLOWFIELD CAMPUS REDEVELOPMENT"/>
    <s v="GBP"/>
    <n v="542700"/>
    <d v="2025-02-03T00:00:00"/>
    <s v="UK"/>
    <s v="Proposal"/>
    <x v="4"/>
    <n v="1"/>
    <n v="542700"/>
  </r>
  <r>
    <d v="2025-01-30T00:00:00"/>
    <s v="PRO-000002942"/>
    <s v="FITZROY PLACE NO 2 CAT A FLOOR 3 FABRIC LONDON"/>
    <s v="GBP"/>
    <n v="30000"/>
    <d v="2025-02-03T00:00:00"/>
    <s v="UK"/>
    <s v="Proposal"/>
    <x v="4"/>
    <n v="1"/>
    <n v="30000"/>
  </r>
  <r>
    <d v="2025-01-30T00:00:00"/>
    <s v="PRO-000002943"/>
    <s v="OCASO FUENCARRAL 107  MADRID"/>
    <s v="GBP"/>
    <n v="50000"/>
    <d v="2025-02-03T00:00:00"/>
    <s v="Rest of the World"/>
    <s v="Proposal"/>
    <x v="4"/>
    <n v="1"/>
    <n v="50000"/>
  </r>
  <r>
    <d v="2025-01-30T00:00:00"/>
    <s v="PRO-000002947"/>
    <s v="MELBOURNE AIRPORT LOTTE DUTY FREE"/>
    <s v="AUD"/>
    <n v="560000"/>
    <d v="2025-02-03T00:00:00"/>
    <s v="Australia"/>
    <s v="Hand Sketch"/>
    <x v="4"/>
    <n v="0.49358341559723601"/>
    <n v="276406.71273445216"/>
  </r>
  <r>
    <d v="2025-01-31T00:00:00"/>
    <s v="PRO-000002955"/>
    <s v="SEVEN STARS MALL WAVY BAFFLES HERZLIYA"/>
    <s v="GBP"/>
    <n v="70000"/>
    <d v="2025-02-03T00:00:00"/>
    <s v="Rest of the World"/>
    <s v="Proposal"/>
    <x v="4"/>
    <n v="1"/>
    <n v="70000"/>
  </r>
  <r>
    <d v="2025-02-03T00:00:00"/>
    <s v="PRO-000002960"/>
    <s v="88 WALKER STREET AIRTRUNK SYDNEY"/>
    <s v="AUD"/>
    <n v="6106.8"/>
    <d v="2025-02-03T00:00:00"/>
    <s v="Australia"/>
    <s v="Shop Drawing"/>
    <x v="4"/>
    <n v="0.49358341559723601"/>
    <n v="3014.2152023692011"/>
  </r>
  <r>
    <d v="2025-02-03T00:00:00"/>
    <s v="PRO-000002961"/>
    <s v="OCASO FUENCARRAL 107  MADRID"/>
    <s v="GBP"/>
    <n v="50000"/>
    <d v="2025-02-03T00:00:00"/>
    <s v="Rest of the World"/>
    <s v="Proposal"/>
    <x v="4"/>
    <n v="1"/>
    <n v="50000"/>
  </r>
  <r>
    <d v="2025-02-03T00:00:00"/>
    <s v="PRO-000002963"/>
    <s v="WIGMORE STREET NO 42 REFURB LONDON"/>
    <s v="GBP"/>
    <n v="10000"/>
    <d v="2025-02-03T00:00:00"/>
    <s v="UK"/>
    <s v="Proposal"/>
    <x v="4"/>
    <n v="1"/>
    <n v="10000"/>
  </r>
  <r>
    <d v="2025-01-30T00:00:00"/>
    <s v="PRO-000002945"/>
    <s v="FOLLIN LANE SE 820 NAVY FCU HQ WZ 8 AND WZ 6 AND WZ 5"/>
    <s v="GBP"/>
    <n v="36398"/>
    <d v="2025-02-04T00:00:00"/>
    <s v="USA"/>
    <s v="Shop Drawing"/>
    <x v="4"/>
    <n v="1"/>
    <n v="36398"/>
  </r>
  <r>
    <d v="2025-01-30T00:00:00"/>
    <s v="PRO-000002946"/>
    <s v="HOWELL ST 2699 STE 900 DALLAS"/>
    <s v="USD"/>
    <n v="90000"/>
    <d v="2025-02-04T00:00:00"/>
    <s v="USA"/>
    <s v="Proposal"/>
    <x v="4"/>
    <n v="0.79554494828957845"/>
    <n v="71599.045346062063"/>
  </r>
  <r>
    <d v="2025-02-03T00:00:00"/>
    <s v="PRO-000002962"/>
    <s v="CORCEGA 331 SURE BARCELONA"/>
    <s v="GBP"/>
    <n v="50000"/>
    <d v="2025-02-04T00:00:00"/>
    <s v="Rest of the World"/>
    <s v="Proposal"/>
    <x v="4"/>
    <n v="1"/>
    <n v="50000"/>
  </r>
  <r>
    <d v="2025-02-03T00:00:00"/>
    <s v="PRO-000002964"/>
    <s v="BARCLAYS PARIS INVESTMENT BANK"/>
    <s v="EUR"/>
    <n v="100000"/>
    <d v="2025-02-04T00:00:00"/>
    <s v="France"/>
    <s v="Proposal"/>
    <x v="4"/>
    <n v="0.82576383154417832"/>
    <n v="82576.383154417825"/>
  </r>
  <r>
    <d v="2024-10-29T00:00:00"/>
    <s v="PRO-000002522"/>
    <s v="SYDNEY FISH MARKET INTERNAL FIT OUT"/>
    <s v="AUD"/>
    <n v="250000"/>
    <d v="2025-02-05T00:00:00"/>
    <s v="Australia"/>
    <s v="Shop Drawing"/>
    <x v="4"/>
    <n v="0.49358341559723601"/>
    <n v="123395.853899309"/>
  </r>
  <r>
    <d v="2025-01-28T00:00:00"/>
    <s v="PRO-000002924"/>
    <s v="MADISON AVENUE 383 PODIUM FLRS NEW YORK"/>
    <s v="USD"/>
    <n v="1500000"/>
    <d v="2025-02-05T00:00:00"/>
    <s v="USA"/>
    <s v="Proposal"/>
    <x v="4"/>
    <n v="0.79554494828957845"/>
    <n v="1193317.4224343677"/>
  </r>
  <r>
    <d v="2025-01-28T00:00:00"/>
    <s v="PRO-000002926"/>
    <s v="MATHWORKS R&amp;D BLDG LAKESIDE NATICK"/>
    <s v="USD"/>
    <n v="100000"/>
    <d v="2025-02-05T00:00:00"/>
    <s v="USA"/>
    <s v="CAD Sketch"/>
    <x v="4"/>
    <n v="0.79554494828957845"/>
    <n v="79554.494828957846"/>
  </r>
  <r>
    <d v="2025-01-30T00:00:00"/>
    <s v="PRO-000002944"/>
    <s v="ST GEORGE STREET NO 14 CAT A FLOOR 2 LIGHTING LONDON"/>
    <s v="GBP"/>
    <n v="100000"/>
    <d v="2025-02-05T00:00:00"/>
    <s v="UK"/>
    <s v="Proposal"/>
    <x v="4"/>
    <n v="1"/>
    <n v="100000"/>
  </r>
  <r>
    <d v="2025-01-22T00:00:00"/>
    <s v="PRO-000002896"/>
    <s v="BELGRADE NATIONAL STADIUM"/>
    <s v="GBP"/>
    <n v="500000"/>
    <d v="2025-02-06T00:00:00"/>
    <s v="Rest of the World"/>
    <s v="Proposal"/>
    <x v="4"/>
    <n v="1"/>
    <n v="500000"/>
  </r>
  <r>
    <d v="2025-01-28T00:00:00"/>
    <s v="PRO-000002916"/>
    <s v="PERTH AIRPORT"/>
    <s v="AUD"/>
    <n v="25000"/>
    <d v="2025-02-06T00:00:00"/>
    <s v="Australia"/>
    <s v="Shop Drawing"/>
    <x v="4"/>
    <n v="0.49358341559723601"/>
    <n v="12339.5853899309"/>
  </r>
  <r>
    <d v="2025-01-29T00:00:00"/>
    <s v="PRO-000002935"/>
    <s v="NEW YORK CITY FOOTBALL CLUB NYFC STADIUM SUITES, QUEENS, NY"/>
    <s v="USD"/>
    <n v="50000"/>
    <d v="2025-02-06T00:00:00"/>
    <s v="USA"/>
    <s v="Proposal"/>
    <x v="4"/>
    <n v="0.79554494828957845"/>
    <n v="39777.247414478923"/>
  </r>
  <r>
    <d v="2025-01-31T00:00:00"/>
    <s v="PRO-000002949"/>
    <s v="GOOD SAMARITAN COLLEGE STAGE 4"/>
    <s v="AUD"/>
    <n v="45000"/>
    <d v="2025-02-06T00:00:00"/>
    <s v="Australia"/>
    <s v="Shop Drawing"/>
    <x v="4"/>
    <n v="0.49358341559723601"/>
    <n v="22211.253701875619"/>
  </r>
  <r>
    <d v="2025-01-31T00:00:00"/>
    <s v="PRO-000002956"/>
    <s v="OCASO FUENCARRAL 107  MADRID"/>
    <s v="GBP"/>
    <n v="30000"/>
    <d v="2025-02-06T00:00:00"/>
    <s v="Rest of the World"/>
    <s v="Proposal"/>
    <x v="4"/>
    <n v="1"/>
    <n v="30000"/>
  </r>
  <r>
    <d v="2025-02-05T00:00:00"/>
    <s v="PRO-000002977"/>
    <s v="MACQUARIE COLLEGE SENIOR BUILDING ELERMORE VALE"/>
    <s v="AUD"/>
    <n v="35000"/>
    <d v="2025-02-06T00:00:00"/>
    <s v="Australia"/>
    <s v="CAD Sketch"/>
    <x v="4"/>
    <n v="0.49358341559723601"/>
    <n v="17275.41954590326"/>
  </r>
  <r>
    <d v="2025-02-06T00:00:00"/>
    <s v="PRO-000002980"/>
    <s v="RANDWICK HOSPITAL - EXTERNAL SOFFIT"/>
    <s v="AUD"/>
    <n v="100000"/>
    <d v="2025-02-06T00:00:00"/>
    <s v="Australia"/>
    <s v="CAD Sketch"/>
    <x v="4"/>
    <n v="0.49358341559723601"/>
    <n v="49358.341559723602"/>
  </r>
  <r>
    <d v="2025-02-06T00:00:00"/>
    <s v="PRO-000002981"/>
    <s v="AVENUE RAYMOND POINCARE 34 PARIS"/>
    <s v="EUR"/>
    <n v="10000"/>
    <d v="2025-02-06T00:00:00"/>
    <s v="France"/>
    <s v="Proposal"/>
    <x v="4"/>
    <n v="0.82576383154417832"/>
    <n v="8257.6383154417836"/>
  </r>
  <r>
    <d v="2025-01-16T00:00:00"/>
    <s v="PRO-000002870"/>
    <s v="E WHITAKER MILL ROAD 1111 AUDEMARS PIGUET REFIT"/>
    <s v="GBP"/>
    <n v="221506"/>
    <d v="2025-02-07T00:00:00"/>
    <s v="USA"/>
    <s v="Shop Drawing"/>
    <x v="4"/>
    <n v="1"/>
    <n v="221506"/>
  </r>
  <r>
    <d v="2025-01-22T00:00:00"/>
    <s v="PRO-000002895"/>
    <s v="ADOBE BUCHAREST"/>
    <s v="GBP"/>
    <n v="20000"/>
    <d v="2025-02-07T00:00:00"/>
    <s v="Rest of the World"/>
    <s v="Proposal"/>
    <x v="4"/>
    <n v="1"/>
    <n v="20000"/>
  </r>
  <r>
    <d v="2025-01-28T00:00:00"/>
    <s v="PRO-000002918"/>
    <s v="PALACE STREET NO 16 LONDON"/>
    <s v="GBP"/>
    <n v="75000"/>
    <d v="2025-02-07T00:00:00"/>
    <s v="UK"/>
    <s v="CAD Sketch"/>
    <x v="4"/>
    <n v="1"/>
    <n v="75000"/>
  </r>
  <r>
    <d v="2025-01-29T00:00:00"/>
    <s v="PRO-000002937"/>
    <s v="HARVARD UNIV ERC LAB BUILDING WEST"/>
    <s v="GBP"/>
    <n v="1900"/>
    <d v="2025-02-07T00:00:00"/>
    <s v="USA"/>
    <s v="Shop Drawing"/>
    <x v="4"/>
    <n v="1"/>
    <n v="1900"/>
  </r>
  <r>
    <d v="2025-01-31T00:00:00"/>
    <s v="PRO-000002952"/>
    <s v="BRADFORD MALL SADDLERS CENTRE WALSALL"/>
    <s v="GBP"/>
    <n v="15000"/>
    <d v="2025-02-07T00:00:00"/>
    <s v="UK"/>
    <s v="Proposal"/>
    <x v="4"/>
    <n v="1"/>
    <n v="15000"/>
  </r>
  <r>
    <d v="2025-01-31T00:00:00"/>
    <s v="PRO-000002953"/>
    <s v="PARK AVENUE 270 AMENITY FLOORS 13 &amp; 14, JP MORGAN"/>
    <s v="USD"/>
    <n v="10000"/>
    <d v="2025-02-07T00:00:00"/>
    <s v="USA"/>
    <s v="Shop Drawing"/>
    <x v="4"/>
    <n v="0.79554494828957845"/>
    <n v="7955.4494828957841"/>
  </r>
  <r>
    <d v="2025-02-04T00:00:00"/>
    <s v="PRO-000002971"/>
    <s v="MIT SLOAN EXECUTIVE EDUCATION"/>
    <s v="USD"/>
    <n v="170000"/>
    <d v="2025-02-07T00:00:00"/>
    <s v="USA"/>
    <s v="Proposal"/>
    <x v="4"/>
    <n v="0.79554494828957845"/>
    <n v="135242.64120922834"/>
  </r>
  <r>
    <d v="2025-02-06T00:00:00"/>
    <s v="PRO-000002984"/>
    <s v="OCASO FUENCARRAL 107  MADRID"/>
    <s v="GBP"/>
    <n v="50000"/>
    <d v="2025-02-07T00:00:00"/>
    <s v="Rest of the World"/>
    <s v="Proposal"/>
    <x v="4"/>
    <n v="1"/>
    <n v="50000"/>
  </r>
  <r>
    <d v="2025-02-07T00:00:00"/>
    <s v="PRO-000002986"/>
    <s v="SYDNEY AIRPORT T1 PIER B EAST BUSSING PBE"/>
    <s v="AUD"/>
    <n v="100000"/>
    <d v="2025-02-07T00:00:00"/>
    <s v="Australia"/>
    <s v="CAD Sketch"/>
    <x v="4"/>
    <n v="0.49358341559723601"/>
    <n v="49358.341559723602"/>
  </r>
  <r>
    <d v="2025-02-07T00:00:00"/>
    <s v="PRO-000002989"/>
    <s v="WESTCHESTER AVE 2000 1NC MORGAN STANLEY"/>
    <s v="USD"/>
    <n v="609383.93999999994"/>
    <d v="2025-02-07T00:00:00"/>
    <s v="USA"/>
    <s v="Shop Drawing"/>
    <x v="4"/>
    <n v="0.79554494828957845"/>
    <n v="484792.31503579952"/>
  </r>
  <r>
    <d v="2025-01-13T00:00:00"/>
    <s v="PRO-000002851"/>
    <s v="MATHWORKS R&amp;D BLDG LAKESIDE NATICK"/>
    <s v="USD"/>
    <n v="100000"/>
    <d v="2025-02-10T00:00:00"/>
    <s v="USA"/>
    <s v="Proposal"/>
    <x v="5"/>
    <n v="0.79554494828957845"/>
    <n v="79554.494828957846"/>
  </r>
  <r>
    <d v="2025-01-20T00:00:00"/>
    <s v="PRO-000002885"/>
    <s v="CONGRESS AVE 301 FLR 1 &amp; 2 AUSTIN TX"/>
    <s v="USD"/>
    <n v="380000"/>
    <d v="2025-02-10T00:00:00"/>
    <s v="USA"/>
    <s v="Shop Drawing"/>
    <x v="5"/>
    <n v="0.79554494828957845"/>
    <n v="302307.08035003982"/>
  </r>
  <r>
    <d v="2025-01-22T00:00:00"/>
    <s v="PRO-000002897"/>
    <s v="ONE UTSA CIRCLE SAN ANTONIO TX 78249"/>
    <s v="GBP"/>
    <n v="425923"/>
    <d v="2025-02-10T00:00:00"/>
    <s v="USA"/>
    <s v="Shop Drawing"/>
    <x v="5"/>
    <n v="1"/>
    <n v="425923"/>
  </r>
  <r>
    <d v="2025-01-28T00:00:00"/>
    <s v="PRO-000002925"/>
    <s v="AMAZON SWANSEA"/>
    <s v="GBP"/>
    <n v="40000"/>
    <d v="2025-02-10T00:00:00"/>
    <s v="UK"/>
    <s v="Proposal"/>
    <x v="5"/>
    <n v="1"/>
    <n v="40000"/>
  </r>
  <r>
    <d v="2025-01-31T00:00:00"/>
    <s v="PRO-000002951"/>
    <s v="COLLINS STREET NO 303"/>
    <s v="AUD"/>
    <n v="50000"/>
    <d v="2025-02-10T00:00:00"/>
    <s v="Australia"/>
    <s v="CAD Sketch"/>
    <x v="5"/>
    <n v="0.49358341559723601"/>
    <n v="24679.170779861801"/>
  </r>
  <r>
    <d v="2025-02-06T00:00:00"/>
    <s v="PRO-000002985"/>
    <s v="CAIXA GERAL DE DEPOSITOS PORTUGAL"/>
    <s v="GBP"/>
    <n v="100000"/>
    <d v="2025-02-10T00:00:00"/>
    <s v="Rest of the World"/>
    <s v="Proposal"/>
    <x v="5"/>
    <n v="1"/>
    <n v="100000"/>
  </r>
  <r>
    <d v="2025-02-09T00:00:00"/>
    <s v="PRO-000002991"/>
    <s v="PERTH AIRPORT"/>
    <s v="AUD"/>
    <n v="25000"/>
    <d v="2025-02-10T00:00:00"/>
    <s v="Australia"/>
    <s v="Shop Drawing"/>
    <x v="5"/>
    <n v="0.49358341559723601"/>
    <n v="12339.5853899309"/>
  </r>
  <r>
    <d v="2025-01-16T00:00:00"/>
    <s v="PRO-000002867"/>
    <s v="PARK AVENUE 270 EXEC FLOORS, 44 to 47, JP MORGAN"/>
    <s v="USD"/>
    <n v="170000"/>
    <d v="2025-02-11T00:00:00"/>
    <s v="USA"/>
    <s v="Shop Drawing"/>
    <x v="5"/>
    <n v="0.79554494828957845"/>
    <n v="135242.64120922834"/>
  </r>
  <r>
    <d v="2025-01-30T00:00:00"/>
    <s v="PRO-000002941"/>
    <s v="GRESHAM STREET NO 30 INVESTEC LEVEL 6 LONDON"/>
    <s v="GBP"/>
    <n v="35000"/>
    <d v="2025-02-11T00:00:00"/>
    <s v="UK"/>
    <s v="Proposal"/>
    <x v="5"/>
    <n v="1"/>
    <n v="35000"/>
  </r>
  <r>
    <d v="2025-02-10T00:00:00"/>
    <s v="PRO-000002992"/>
    <s v="RESO STOCK"/>
    <s v="EUR"/>
    <n v="3000"/>
    <d v="2025-02-11T00:00:00"/>
    <s v="France"/>
    <s v="Proposal"/>
    <x v="5"/>
    <n v="0.82576383154417832"/>
    <n v="2477.291494632535"/>
  </r>
  <r>
    <d v="2024-12-12T00:00:00"/>
    <s v="PRO-000002773"/>
    <s v="EDMONDSON PARK TOWN CENTRE"/>
    <s v="AUD"/>
    <n v="100000"/>
    <d v="2025-02-12T00:00:00"/>
    <s v="Australia"/>
    <s v="Shop Drawing"/>
    <x v="5"/>
    <n v="0.49358341559723601"/>
    <n v="49358.341559723602"/>
  </r>
  <r>
    <d v="2025-01-28T00:00:00"/>
    <s v="PRO-000002927"/>
    <s v="COLORADO STREET 415 FLR 33 AUSTIN TX PHASE 2"/>
    <s v="GBP"/>
    <n v="82243"/>
    <d v="2025-02-12T00:00:00"/>
    <s v="USA"/>
    <s v="Shop Drawing"/>
    <x v="5"/>
    <n v="1"/>
    <n v="82243"/>
  </r>
  <r>
    <d v="2025-02-04T00:00:00"/>
    <s v="PRO-000002969"/>
    <s v="CANARY WHARF DS7 CANADA SQUARE NO 1 UCL SOM PHASE 1 LONDON"/>
    <s v="GBP"/>
    <n v="10000"/>
    <d v="2025-02-12T00:00:00"/>
    <s v="UK"/>
    <s v="Proposal"/>
    <x v="5"/>
    <n v="1"/>
    <n v="10000"/>
  </r>
  <r>
    <d v="2025-02-04T00:00:00"/>
    <s v="PRO-000002973"/>
    <s v="UNSW HEALTH TRANSLATION HUB RANDWICK"/>
    <s v="AUD"/>
    <n v="40000"/>
    <d v="2025-02-12T00:00:00"/>
    <s v="Australia"/>
    <s v="Proposal"/>
    <x v="5"/>
    <n v="0.49358341559723601"/>
    <n v="19743.336623889441"/>
  </r>
  <r>
    <d v="2025-02-05T00:00:00"/>
    <s v="PRO-000002974"/>
    <s v="ASX"/>
    <s v="AUD"/>
    <n v="60000"/>
    <d v="2025-02-12T00:00:00"/>
    <s v="Australia"/>
    <s v="Proposal"/>
    <x v="5"/>
    <n v="0.49358341559723601"/>
    <n v="29615.00493583416"/>
  </r>
  <r>
    <d v="2025-02-05T00:00:00"/>
    <s v="PRO-000002976"/>
    <s v="PILSBURY LAW FIRM AUSTIN"/>
    <s v="USD"/>
    <n v="60000"/>
    <d v="2025-02-12T00:00:00"/>
    <s v="USA"/>
    <s v="Shop Drawing"/>
    <x v="5"/>
    <n v="0.79554494828957845"/>
    <n v="47732.696897374706"/>
  </r>
  <r>
    <d v="2025-02-07T00:00:00"/>
    <s v="PRO-000002988"/>
    <s v="THE FAIRFAX PHASE 1 RESIDENTIAL MANCHESTER"/>
    <s v="GBP"/>
    <n v="35000"/>
    <d v="2025-02-12T00:00:00"/>
    <s v="UK"/>
    <s v="Proposal"/>
    <x v="5"/>
    <n v="1"/>
    <n v="35000"/>
  </r>
  <r>
    <d v="2025-02-10T00:00:00"/>
    <s v="PRO-000002995"/>
    <s v="DFW AIRPORT TERMINAL F DALLAS"/>
    <s v="USD"/>
    <n v="3900"/>
    <d v="2025-02-12T00:00:00"/>
    <s v="USA"/>
    <s v="Shop Drawing"/>
    <x v="5"/>
    <n v="0.79554494828957845"/>
    <n v="3102.6252983293562"/>
  </r>
  <r>
    <d v="2025-02-11T00:00:00"/>
    <s v="PRO-000003001"/>
    <s v="RATP GARE DE LYON"/>
    <s v="EUR"/>
    <n v="1000"/>
    <d v="2025-02-12T00:00:00"/>
    <s v="France"/>
    <s v="Proposal"/>
    <x v="5"/>
    <n v="0.82576383154417832"/>
    <n v="825.76383154417829"/>
  </r>
  <r>
    <d v="2025-02-11T00:00:00"/>
    <s v="PRO-000003002"/>
    <s v="OCASO FUENCARRAL 107  MADRID"/>
    <s v="GBP"/>
    <n v="30000"/>
    <d v="2025-02-12T00:00:00"/>
    <s v="Rest of the World"/>
    <s v="Proposal"/>
    <x v="5"/>
    <n v="1"/>
    <n v="30000"/>
  </r>
  <r>
    <d v="2025-02-12T00:00:00"/>
    <s v="PRO-000003005"/>
    <s v="TEE GRID FIRE RESISTANCE TESTING"/>
    <s v="GBP"/>
    <n v="0"/>
    <d v="2025-02-12T00:00:00"/>
    <s v="UK"/>
    <s v="CAD Sketch"/>
    <x v="5"/>
    <n v="1"/>
    <n v="0"/>
  </r>
  <r>
    <d v="2025-01-31T00:00:00"/>
    <s v="PRO-000002950"/>
    <s v="UNIVERSITY OF NORTH CAROLINA MCCOLL BUILDING"/>
    <s v="USD"/>
    <n v="400000"/>
    <d v="2025-02-13T00:00:00"/>
    <s v="USA"/>
    <s v="Shop Drawing"/>
    <x v="5"/>
    <n v="0.79554494828957845"/>
    <n v="318217.97931583138"/>
  </r>
  <r>
    <d v="2025-02-06T00:00:00"/>
    <s v="PRO-000002982"/>
    <s v="CANARY WHARF DS7 CANADA SQUARE NO 1 UCL SOM PHASE 1 LONDON"/>
    <s v="GBP"/>
    <n v="30000"/>
    <d v="2025-02-13T00:00:00"/>
    <s v="UK"/>
    <s v="Proposal"/>
    <x v="5"/>
    <n v="1"/>
    <n v="30000"/>
  </r>
  <r>
    <d v="2025-02-11T00:00:00"/>
    <s v="PRO-000002998"/>
    <s v="ADOBE BUCHAREST"/>
    <s v="GBP"/>
    <n v="30000"/>
    <d v="2025-02-13T00:00:00"/>
    <s v="Rest of the World"/>
    <s v="Proposal"/>
    <x v="5"/>
    <n v="1"/>
    <n v="30000"/>
  </r>
  <r>
    <d v="2025-02-11T00:00:00"/>
    <s v="PRO-000003000"/>
    <s v="WATERSHED CHEVRON HEADQUARTERS HOUSTON"/>
    <s v="USD"/>
    <n v="140000"/>
    <d v="2025-02-13T00:00:00"/>
    <s v="USA"/>
    <s v="Shop Drawing"/>
    <x v="5"/>
    <n v="0.79554494828957845"/>
    <n v="111376.29276054098"/>
  </r>
  <r>
    <d v="2025-02-12T00:00:00"/>
    <s v="PRO-000003009"/>
    <s v="BARCLAYS BANK BRANCH EAST HAM LONDON"/>
    <s v="GBP"/>
    <n v="35000"/>
    <d v="2025-02-13T00:00:00"/>
    <s v="UK"/>
    <s v="Proposal"/>
    <x v="5"/>
    <n v="1"/>
    <n v="35000"/>
  </r>
  <r>
    <d v="2025-02-10T00:00:00"/>
    <s v="PRO-000002993"/>
    <s v="ARIMA OFFICES MADRID"/>
    <s v="GBP"/>
    <n v="300000"/>
    <d v="2025-02-14T00:00:00"/>
    <s v="Rest of the World"/>
    <s v="Proposal"/>
    <x v="5"/>
    <n v="1"/>
    <n v="300000"/>
  </r>
  <r>
    <d v="2025-02-10T00:00:00"/>
    <s v="PRO-000002994"/>
    <s v="LEADENHALL STREET NO 40 BROOKS MACDONALD FLR 8 LONDON"/>
    <s v="GBP"/>
    <n v="20000"/>
    <d v="2025-02-14T00:00:00"/>
    <s v="UK"/>
    <s v="Proposal"/>
    <x v="5"/>
    <n v="1"/>
    <n v="20000"/>
  </r>
  <r>
    <d v="2025-02-12T00:00:00"/>
    <s v="PRO-000003006"/>
    <s v="ALPHA BANK ATHENS"/>
    <s v="GBP"/>
    <n v="20000"/>
    <d v="2025-02-14T00:00:00"/>
    <s v="Rest of the World"/>
    <s v="Proposal"/>
    <x v="5"/>
    <n v="1"/>
    <n v="20000"/>
  </r>
  <r>
    <d v="2025-02-12T00:00:00"/>
    <s v="PRO-000003008"/>
    <s v="AVENUE RAYMOND POINCARE 34 PARIS"/>
    <s v="EUR"/>
    <n v="0"/>
    <d v="2025-02-14T00:00:00"/>
    <s v="France"/>
    <s v="Proposal"/>
    <x v="5"/>
    <n v="0.82576383154417832"/>
    <n v="0"/>
  </r>
  <r>
    <d v="2025-02-12T00:00:00"/>
    <s v="PRO-000003010"/>
    <s v="BUNHILL ROW NO 1 SLAUGHTER &amp; MAY CAT A REFURB LONDON"/>
    <s v="GBP"/>
    <n v="100000"/>
    <d v="2025-02-14T00:00:00"/>
    <s v="UK"/>
    <s v="Proposal"/>
    <x v="5"/>
    <n v="1"/>
    <n v="100000"/>
  </r>
  <r>
    <d v="2025-02-13T00:00:00"/>
    <s v="PRO-000003015"/>
    <s v="BUNHILL ROW NO 3 CAT A REFURB LONDON"/>
    <s v="GBP"/>
    <n v="100000"/>
    <d v="2025-02-14T00:00:00"/>
    <s v="UK"/>
    <s v="CAD Sketch"/>
    <x v="5"/>
    <n v="1"/>
    <n v="100000"/>
  </r>
  <r>
    <d v="2025-02-13T00:00:00"/>
    <s v="PRO-000003018"/>
    <s v="OCASO FUENCARRAL 107  MADRID"/>
    <s v="GBP"/>
    <n v="30000"/>
    <d v="2025-02-14T00:00:00"/>
    <s v="Rest of the World"/>
    <s v="Proposal"/>
    <x v="5"/>
    <n v="1"/>
    <n v="30000"/>
  </r>
  <r>
    <d v="2025-02-13T00:00:00"/>
    <s v="PRO-000003020"/>
    <s v="CRITERION BUILDING PICCADILLY NO 225-229 LONDON"/>
    <s v="GBP"/>
    <n v="150000"/>
    <d v="2025-02-14T00:00:00"/>
    <s v="UK"/>
    <s v="Hand Sketch"/>
    <x v="5"/>
    <n v="1"/>
    <n v="150000"/>
  </r>
  <r>
    <d v="2025-02-14T00:00:00"/>
    <s v="PRO-000003021"/>
    <s v="AVENUE RAYMOND POINCARE 34 PARIS"/>
    <s v="EUR"/>
    <n v="10000"/>
    <d v="2025-02-14T00:00:00"/>
    <s v="France"/>
    <s v="Proposal"/>
    <x v="5"/>
    <n v="0.82576383154417832"/>
    <n v="8257.6383154417836"/>
  </r>
  <r>
    <d v="2025-02-14T00:00:00"/>
    <s v="PRO-000003022"/>
    <s v="UNI OF MANCHESTER FALLOWFIELD CAMPUS REDEVELOPMENT"/>
    <s v="GBP"/>
    <n v="504615"/>
    <d v="2025-02-15T00:00:00"/>
    <s v="UK"/>
    <s v="Proposal"/>
    <x v="6"/>
    <n v="1"/>
    <n v="504615"/>
  </r>
  <r>
    <d v="2025-02-04T00:00:00"/>
    <s v="PRO-000002968"/>
    <s v="NATIONAL GALLERY OF VICTORIA"/>
    <s v="AUD"/>
    <n v="2500000"/>
    <d v="2025-02-16T00:00:00"/>
    <s v="Australia"/>
    <s v="Proposal"/>
    <x v="6"/>
    <n v="0.49358341559723601"/>
    <n v="1233958.5389930899"/>
  </r>
  <r>
    <d v="2025-01-30T00:00:00"/>
    <s v="PRO-000002948"/>
    <s v="MADISON AVENUE 343 NEW YORK"/>
    <s v="USD"/>
    <n v="228000"/>
    <d v="2025-02-17T00:00:00"/>
    <s v="USA"/>
    <s v="Shop Drawing"/>
    <x v="6"/>
    <n v="0.79554494828957845"/>
    <n v="181384.24821002388"/>
  </r>
  <r>
    <d v="2025-02-04T00:00:00"/>
    <s v="PRO-000002966"/>
    <s v="AUCKLAND AIRPORT DOMESTIC PROCESSOR"/>
    <s v="AUD"/>
    <n v="3000000"/>
    <d v="2025-02-17T00:00:00"/>
    <s v="Australia"/>
    <s v="Shop Drawing"/>
    <x v="6"/>
    <n v="0.49358341559723601"/>
    <n v="1480750.2467917081"/>
  </r>
  <r>
    <d v="2025-02-11T00:00:00"/>
    <s v="PRO-000002997"/>
    <s v="UNI OF JOHN MOORES COPPERAS HILL NO 10 LIVERPOOL"/>
    <s v="GBP"/>
    <n v="14400"/>
    <d v="2025-02-17T00:00:00"/>
    <s v="UK"/>
    <s v="Proposal"/>
    <x v="6"/>
    <n v="1"/>
    <n v="14400"/>
  </r>
  <r>
    <d v="2025-01-24T00:00:00"/>
    <s v="PRO-000002908"/>
    <s v="MATHWORKS R&amp;D BLDG LAKESIDE NATICK"/>
    <s v="USD"/>
    <n v="200000"/>
    <d v="2025-02-18T00:00:00"/>
    <s v="USA"/>
    <s v="Proposal"/>
    <x v="6"/>
    <n v="0.79554494828957845"/>
    <n v="159108.98965791569"/>
  </r>
  <r>
    <d v="2025-02-17T00:00:00"/>
    <s v="PRO-000003027"/>
    <s v="OCASO FUENCARRAL 107  MADRID"/>
    <s v="GBP"/>
    <n v="30000"/>
    <d v="2025-02-18T00:00:00"/>
    <s v="Rest of the World"/>
    <s v="Proposal"/>
    <x v="6"/>
    <n v="1"/>
    <n v="30000"/>
  </r>
  <r>
    <d v="2025-02-04T00:00:00"/>
    <s v="PRO-000002972"/>
    <s v="YALE PHYSICAL SCIENCE AND ENGINEERING BUILDING (PSEB) PH II"/>
    <s v="USD"/>
    <n v="50000"/>
    <d v="2025-02-19T00:00:00"/>
    <s v="USA"/>
    <s v="Proposal"/>
    <x v="6"/>
    <n v="0.79554494828957845"/>
    <n v="39777.247414478923"/>
  </r>
  <r>
    <d v="2025-02-13T00:00:00"/>
    <s v="PRO-000003012"/>
    <s v="ELMFIELD ROAD NO 26 LOBBY AREA LIGHTING BROMLEY"/>
    <s v="GBP"/>
    <n v="20000"/>
    <d v="2025-02-19T00:00:00"/>
    <s v="UK"/>
    <s v="Proposal"/>
    <x v="6"/>
    <n v="1"/>
    <n v="20000"/>
  </r>
  <r>
    <d v="2025-02-13T00:00:00"/>
    <s v="PRO-000003013"/>
    <s v="PULSANT DATA CENTRE SE-1 MILTON KEYNES"/>
    <s v="GBP"/>
    <n v="30000"/>
    <d v="2025-02-19T00:00:00"/>
    <s v="UK"/>
    <s v="Proposal"/>
    <x v="6"/>
    <n v="1"/>
    <n v="30000"/>
  </r>
  <r>
    <d v="2025-02-13T00:00:00"/>
    <s v="PRO-000003019"/>
    <s v="BROADGATE NO 1-2 CAT B JLL FLOORS 8-11 LONDON"/>
    <s v="GBP"/>
    <n v="30000"/>
    <d v="2025-02-19T00:00:00"/>
    <s v="UK"/>
    <s v="Proposal"/>
    <x v="6"/>
    <n v="1"/>
    <n v="30000"/>
  </r>
  <r>
    <d v="2025-02-18T00:00:00"/>
    <s v="PRO-000003033"/>
    <s v="415 COLORADO STREET FLR 33 AUSTIN TX"/>
    <s v="GBP"/>
    <n v="11356.24"/>
    <d v="2025-02-19T00:00:00"/>
    <s v="USA"/>
    <s v="Shop Drawing"/>
    <x v="6"/>
    <n v="1"/>
    <n v="11356.24"/>
  </r>
  <r>
    <d v="2025-02-19T00:00:00"/>
    <s v="PRO-000003035"/>
    <s v="CALOUNDRA LIBRARY"/>
    <s v="AUD"/>
    <n v="7000"/>
    <d v="2025-02-19T00:00:00"/>
    <s v="Australia"/>
    <s v="Shop Drawing"/>
    <x v="6"/>
    <n v="0.49358341559723601"/>
    <n v="3455.083909180652"/>
  </r>
  <r>
    <d v="2025-02-19T00:00:00"/>
    <s v="PRO-000003039"/>
    <s v="ALPHA BANK ATHENS"/>
    <s v="GBP"/>
    <n v="20000"/>
    <d v="2025-02-19T00:00:00"/>
    <s v="Rest of the World"/>
    <s v="Proposal"/>
    <x v="6"/>
    <n v="1"/>
    <n v="20000"/>
  </r>
  <r>
    <d v="2025-01-23T00:00:00"/>
    <s v="PRO-000002903"/>
    <s v="5TH AVENUE NO 645 FLOOR 21 ROKOS CAPITAL NYC"/>
    <s v="USD"/>
    <n v="170000"/>
    <d v="2025-02-20T00:00:00"/>
    <s v="USA"/>
    <s v="Shop Drawing"/>
    <x v="6"/>
    <n v="0.79554494828957845"/>
    <n v="135242.64120922834"/>
  </r>
  <r>
    <d v="2025-01-27T00:00:00"/>
    <s v="PRO-000002915"/>
    <s v="HOLBORN VIADUCT NO 40  REFURB LONDON"/>
    <s v="GBP"/>
    <n v="20000"/>
    <d v="2025-02-20T00:00:00"/>
    <s v="UK"/>
    <s v="Proposal"/>
    <x v="6"/>
    <n v="1"/>
    <n v="20000"/>
  </r>
  <r>
    <d v="2025-01-29T00:00:00"/>
    <s v="PRO-000002934"/>
    <s v="ROPEMAKER STREET NO 20-22 LINKLATERS JOINERY FEATURE LONDON"/>
    <s v="GBP"/>
    <n v="40000"/>
    <d v="2025-02-20T00:00:00"/>
    <s v="UK"/>
    <s v="Proposal"/>
    <x v="6"/>
    <n v="1"/>
    <n v="40000"/>
  </r>
  <r>
    <d v="2025-02-12T00:00:00"/>
    <s v="PRO-000003004"/>
    <s v="BRITISH AIRWAYS HQ WATERSIDE PH 2 HARMONDSWORTH"/>
    <s v="GBP"/>
    <n v="1400000"/>
    <d v="2025-02-20T00:00:00"/>
    <s v="UK"/>
    <s v="Proposal"/>
    <x v="6"/>
    <n v="1"/>
    <n v="1400000"/>
  </r>
  <r>
    <d v="2025-02-14T00:00:00"/>
    <s v="PRO-000003024"/>
    <s v="OFICINAS SEGIPSA MADRID"/>
    <s v="GBP"/>
    <n v="200000"/>
    <d v="2025-02-20T00:00:00"/>
    <s v="Rest of the World"/>
    <s v="Proposal"/>
    <x v="6"/>
    <n v="1"/>
    <n v="200000"/>
  </r>
  <r>
    <d v="2025-02-17T00:00:00"/>
    <s v="PRO-000003026"/>
    <s v="KINGSWAY BUSINESS PARK PLOT R2 ROCHDALE LIGHTING"/>
    <s v="GBP"/>
    <n v="30000"/>
    <d v="2025-02-20T00:00:00"/>
    <s v="UK"/>
    <s v="Proposal"/>
    <x v="6"/>
    <n v="1"/>
    <n v="30000"/>
  </r>
  <r>
    <d v="2025-02-18T00:00:00"/>
    <s v="PRO-000003031"/>
    <s v="WATERSHED CHEVRON HEADQUARTERS HOUSTON"/>
    <s v="USD"/>
    <n v="140000"/>
    <d v="2025-02-20T00:00:00"/>
    <s v="USA"/>
    <s v="Shop Drawing"/>
    <x v="6"/>
    <n v="0.79554494828957845"/>
    <n v="111376.29276054098"/>
  </r>
  <r>
    <d v="2025-02-18T00:00:00"/>
    <s v="PRO-000003032"/>
    <s v="CITY POINT 2ND FLR HAYMARKET TERRACE NO 65 EDINBURGH"/>
    <s v="GBP"/>
    <n v="50000"/>
    <d v="2025-02-20T00:00:00"/>
    <s v="UK"/>
    <s v="Proposal"/>
    <x v="6"/>
    <n v="1"/>
    <n v="50000"/>
  </r>
  <r>
    <d v="2025-02-19T00:00:00"/>
    <s v="PRO-000003037"/>
    <s v="ABBVIE PARIS"/>
    <s v="EUR"/>
    <n v="1000"/>
    <d v="2025-02-20T00:00:00"/>
    <s v="France"/>
    <s v="Proposal"/>
    <x v="6"/>
    <n v="0.82576383154417832"/>
    <n v="825.76383154417829"/>
  </r>
  <r>
    <d v="2025-02-19T00:00:00"/>
    <s v="PRO-000003040"/>
    <s v="BISHOPSGATE NO 8 FLOOR 33 STANHOPE FITOUT LONDON"/>
    <s v="GBP"/>
    <n v="40000"/>
    <d v="2025-02-20T00:00:00"/>
    <s v="UK"/>
    <s v="Shop Drawing"/>
    <x v="6"/>
    <n v="1"/>
    <n v="40000"/>
  </r>
  <r>
    <d v="2025-02-20T00:00:00"/>
    <s v="PRO-000003053"/>
    <s v="BISHOPSGATE NO 199 CAT B FLR 9 LIGHTING LONDON"/>
    <s v="GBP"/>
    <n v="20000"/>
    <d v="2025-02-20T00:00:00"/>
    <s v="UK"/>
    <s v="Shop Drawing"/>
    <x v="6"/>
    <n v="1"/>
    <n v="20000"/>
  </r>
  <r>
    <d v="2025-02-11T00:00:00"/>
    <s v="PRO-000002999"/>
    <s v="PARK AVENUE 270 EXEC FLOORS, 44 to 47, JP MORGAN"/>
    <s v="USD"/>
    <n v="337000"/>
    <d v="2025-02-21T00:00:00"/>
    <s v="USA"/>
    <s v="Shop Drawing"/>
    <x v="6"/>
    <n v="0.79554494828957845"/>
    <n v="268098.64757358795"/>
  </r>
  <r>
    <d v="2025-02-11T00:00:00"/>
    <s v="PRO-000003003"/>
    <s v="TAILWATER CAPITAL TI DALLAS TX"/>
    <s v="USD"/>
    <n v="98000"/>
    <d v="2025-02-21T00:00:00"/>
    <s v="USA"/>
    <s v="Shop Drawing"/>
    <x v="6"/>
    <n v="0.79554494828957845"/>
    <n v="77963.404932378689"/>
  </r>
  <r>
    <d v="2025-02-13T00:00:00"/>
    <s v="PRO-000003017"/>
    <s v="MUSEO BELLAS ARTES BILBAO"/>
    <s v="GBP"/>
    <n v="300000"/>
    <d v="2025-02-21T00:00:00"/>
    <s v="Rest of the World"/>
    <s v="Proposal"/>
    <x v="6"/>
    <n v="1"/>
    <n v="300000"/>
  </r>
  <r>
    <d v="2025-02-19T00:00:00"/>
    <s v="PRO-000003038"/>
    <s v="PULSANT DATA CENTRE SE-1 MILTON KEYNES"/>
    <s v="GBP"/>
    <n v="35000"/>
    <d v="2025-02-21T00:00:00"/>
    <s v="UK"/>
    <s v="Proposal"/>
    <x v="6"/>
    <n v="1"/>
    <n v="35000"/>
  </r>
  <r>
    <d v="2025-02-19T00:00:00"/>
    <s v="PRO-000003046"/>
    <s v="BISHOPSGATE NO 199 CAT B FLR 9 CROWELL MORING LONDON"/>
    <s v="GBP"/>
    <n v="37156.639999999999"/>
    <d v="2025-02-21T00:00:00"/>
    <s v="UK"/>
    <s v="Shop Drawing"/>
    <x v="6"/>
    <n v="1"/>
    <n v="37156.639999999999"/>
  </r>
  <r>
    <d v="2025-02-20T00:00:00"/>
    <s v="PRO-000003050"/>
    <s v="OCASO FUENCARRAL 107  MADRID"/>
    <s v="GBP"/>
    <n v="30000"/>
    <d v="2025-02-21T00:00:00"/>
    <s v="Rest of the World"/>
    <s v="Proposal"/>
    <x v="6"/>
    <n v="1"/>
    <n v="30000"/>
  </r>
  <r>
    <d v="2025-02-04T00:00:00"/>
    <s v="PRO-000002970"/>
    <s v="TCU ATHLETICS HUMAN PERF CTR STADIUM DR NO 3000 FT WORTH TX"/>
    <s v="GBP"/>
    <n v="121110"/>
    <d v="2025-02-24T00:00:00"/>
    <s v="USA"/>
    <s v="Shop Drawing"/>
    <x v="7"/>
    <n v="1"/>
    <n v="121110"/>
  </r>
  <r>
    <d v="2025-02-12T00:00:00"/>
    <s v="PRO-000003011"/>
    <s v="EDMONDSON PARK TOWN CENTRE"/>
    <s v="AUD"/>
    <n v="100000"/>
    <d v="2025-02-24T00:00:00"/>
    <s v="Australia"/>
    <s v="Shop Drawing"/>
    <x v="7"/>
    <n v="0.49358341559723601"/>
    <n v="49358.341559723602"/>
  </r>
  <r>
    <d v="2025-02-19T00:00:00"/>
    <s v="PRO-000003045"/>
    <s v="7171 SOUTHWEST PKWY AUSTIN TX 78735"/>
    <s v="GBP"/>
    <n v="12835"/>
    <d v="2025-02-24T00:00:00"/>
    <s v="USA"/>
    <s v="Shop Drawing"/>
    <x v="7"/>
    <n v="1"/>
    <n v="12835"/>
  </r>
  <r>
    <d v="2025-02-20T00:00:00"/>
    <s v="PRO-000003051"/>
    <s v="ELMFIELD ROAD NO 26 LOBBY AREA LIGHTING BROMLEY"/>
    <s v="GBP"/>
    <n v="30000"/>
    <d v="2025-02-24T00:00:00"/>
    <s v="UK"/>
    <s v="Proposal"/>
    <x v="7"/>
    <n v="1"/>
    <n v="30000"/>
  </r>
  <r>
    <d v="2025-02-20T00:00:00"/>
    <s v="PRO-000003052"/>
    <s v="ELMFIELD ROAD NO 26 LOBBY AREA BROMLEY"/>
    <s v="GBP"/>
    <n v="30000"/>
    <d v="2025-02-24T00:00:00"/>
    <s v="UK"/>
    <s v="Proposal"/>
    <x v="7"/>
    <n v="1"/>
    <n v="30000"/>
  </r>
  <r>
    <d v="2025-02-07T00:00:00"/>
    <s v="PRO-000002990"/>
    <s v="M3 TOULOUSE STATIONS - SECTEUR CENTRE 1"/>
    <s v="EUR"/>
    <n v="1600000"/>
    <d v="2025-02-25T00:00:00"/>
    <s v="France"/>
    <s v="Proposal"/>
    <x v="7"/>
    <n v="0.82576383154417832"/>
    <n v="1321222.1304706852"/>
  </r>
  <r>
    <d v="2025-02-13T00:00:00"/>
    <s v="PRO-000003014"/>
    <s v="DANIEL HOUSE FLEET STREET NO 133 REFURB LONDON"/>
    <s v="GBP"/>
    <n v="50000"/>
    <d v="2025-02-25T00:00:00"/>
    <s v="UK"/>
    <s v="Proposal"/>
    <x v="7"/>
    <n v="1"/>
    <n v="50000"/>
  </r>
  <r>
    <d v="2025-02-13T00:00:00"/>
    <s v="PRO-000003016"/>
    <s v="BELGRADE NATIONAL STADIUM"/>
    <s v="GBP"/>
    <n v="500000"/>
    <d v="2025-02-25T00:00:00"/>
    <s v="Rest of the World"/>
    <s v="Proposal"/>
    <x v="7"/>
    <n v="1"/>
    <n v="500000"/>
  </r>
  <r>
    <d v="2025-02-19T00:00:00"/>
    <s v="PRO-000003042"/>
    <s v="REGENTS QUARTER LIFE SCIENCES PH 1 JAHN COURT LONDON"/>
    <s v="GBP"/>
    <n v="10000"/>
    <d v="2025-02-25T00:00:00"/>
    <s v="UK"/>
    <s v="Proposal"/>
    <x v="7"/>
    <n v="1"/>
    <n v="10000"/>
  </r>
  <r>
    <d v="2025-02-24T00:00:00"/>
    <s v="PRO-000003063"/>
    <s v="COLLINS STREET NO 55 MELBOURNE"/>
    <s v="AUD"/>
    <n v="400000"/>
    <d v="2025-02-25T00:00:00"/>
    <s v="Australia"/>
    <s v="CAD Sketch"/>
    <x v="7"/>
    <n v="0.49358341559723601"/>
    <n v="197433.36623889441"/>
  </r>
  <r>
    <d v="2025-02-24T00:00:00"/>
    <s v="PRO-000003069"/>
    <s v="TAILWATER CAPITAL TI DALLAS TX"/>
    <s v="GBP"/>
    <n v="98000"/>
    <d v="2025-02-25T00:00:00"/>
    <s v="USA"/>
    <s v="Shop Drawing"/>
    <x v="7"/>
    <n v="1"/>
    <n v="98000"/>
  </r>
  <r>
    <d v="2025-02-24T00:00:00"/>
    <s v="PRO-000003070"/>
    <s v="TAILWATER CAPITAL TI DALLAS TX"/>
    <s v="GBP"/>
    <n v="98000"/>
    <d v="2025-02-25T00:00:00"/>
    <s v="USA"/>
    <s v="Shop Drawing"/>
    <x v="7"/>
    <n v="1"/>
    <n v="98000"/>
  </r>
  <r>
    <d v="2025-01-15T00:00:00"/>
    <s v="PRO-000002862"/>
    <s v="MADISON AVE 1 FLOOR 11 FRANKLIN TEMPLETON FIT OUT"/>
    <s v="USD"/>
    <n v="96000"/>
    <d v="2025-02-26T00:00:00"/>
    <s v="USA"/>
    <s v="Shop Drawing"/>
    <x v="7"/>
    <n v="0.79554494828957845"/>
    <n v="76372.315035799533"/>
  </r>
  <r>
    <d v="2025-02-05T00:00:00"/>
    <s v="PRO-000002975"/>
    <s v="7171 SOUTHWEST PKWY AUSTIN TX 78735"/>
    <s v="GBP"/>
    <n v="12800"/>
    <d v="2025-02-26T00:00:00"/>
    <s v="USA"/>
    <s v="Shop Drawing"/>
    <x v="7"/>
    <n v="1"/>
    <n v="12800"/>
  </r>
  <r>
    <d v="2025-02-18T00:00:00"/>
    <s v="PRO-000003029"/>
    <s v="COLLINS STREET NO 367 LOBBY AND EOT UPGRADE"/>
    <s v="AUD"/>
    <n v="0"/>
    <d v="2025-02-26T00:00:00"/>
    <s v="Australia"/>
    <s v="Proposal"/>
    <x v="7"/>
    <n v="0.49358341559723601"/>
    <n v="0"/>
  </r>
  <r>
    <d v="2025-02-19T00:00:00"/>
    <s v="PRO-000003043"/>
    <s v="JAMES STREET NO 1 LONDON"/>
    <s v="GBP"/>
    <n v="60000"/>
    <d v="2025-02-26T00:00:00"/>
    <s v="UK"/>
    <s v="Shop Drawing"/>
    <x v="7"/>
    <n v="1"/>
    <n v="60000"/>
  </r>
  <r>
    <d v="2025-02-24T00:00:00"/>
    <s v="PRO-000003064"/>
    <s v="KENT ST NO 275 EOT AND LOBBY"/>
    <s v="AUD"/>
    <n v="30000"/>
    <d v="2025-02-26T00:00:00"/>
    <s v="Australia"/>
    <s v="Shop Drawing"/>
    <x v="7"/>
    <n v="0.49358341559723601"/>
    <n v="14807.50246791708"/>
  </r>
  <r>
    <d v="2025-02-25T00:00:00"/>
    <s v="PRO-000003074"/>
    <s v="SEVEN STARS MALL HERZLIYA"/>
    <s v="GBP"/>
    <n v="44000"/>
    <d v="2025-02-26T00:00:00"/>
    <s v="Rest of the World"/>
    <s v="Proposal"/>
    <x v="7"/>
    <n v="1"/>
    <n v="44000"/>
  </r>
  <r>
    <d v="2025-02-25T00:00:00"/>
    <s v="PRO-000003075"/>
    <s v="BELGRADE NATIONAL STADIUM"/>
    <s v="GBP"/>
    <n v="500000"/>
    <d v="2025-02-26T00:00:00"/>
    <s v="Rest of the World"/>
    <s v="Proposal"/>
    <x v="7"/>
    <n v="1"/>
    <n v="500000"/>
  </r>
  <r>
    <d v="2025-01-31T00:00:00"/>
    <s v="PRO-000002954"/>
    <s v="DIMAN REGIONAL VOCATIONAL TECHNICAL HIGH SCHOOL"/>
    <s v="USD"/>
    <n v="105000"/>
    <d v="2025-02-27T00:00:00"/>
    <s v="USA"/>
    <s v="Shop Drawing"/>
    <x v="7"/>
    <n v="0.79554494828957845"/>
    <n v="83532.219570405738"/>
  </r>
  <r>
    <d v="2025-02-17T00:00:00"/>
    <s v="PRO-000003028"/>
    <s v="ASX"/>
    <s v="AUD"/>
    <n v="60000"/>
    <d v="2025-02-27T00:00:00"/>
    <s v="Australia"/>
    <s v="Shop Drawing"/>
    <x v="7"/>
    <n v="0.49358341559723601"/>
    <n v="29615.00493583416"/>
  </r>
  <r>
    <d v="2025-02-20T00:00:00"/>
    <s v="PRO-000003049"/>
    <s v="JAMES STREET NO 1 LONDON"/>
    <s v="GBP"/>
    <n v="100000"/>
    <d v="2025-02-27T00:00:00"/>
    <s v="UK"/>
    <s v="Shop Drawing"/>
    <x v="7"/>
    <n v="1"/>
    <n v="100000"/>
  </r>
  <r>
    <d v="2025-02-20T00:00:00"/>
    <s v="PRO-000003055"/>
    <s v="ADOBE BUCHAREST"/>
    <s v="GBP"/>
    <n v="50000"/>
    <d v="2025-02-27T00:00:00"/>
    <s v="Rest of the World"/>
    <s v="Proposal"/>
    <x v="7"/>
    <n v="1"/>
    <n v="50000"/>
  </r>
  <r>
    <d v="2025-02-20T00:00:00"/>
    <s v="PRO-000003056"/>
    <s v="ADOBE BUCHAREST"/>
    <s v="GBP"/>
    <n v="5000"/>
    <d v="2025-02-27T00:00:00"/>
    <s v="Rest of the World"/>
    <s v="Proposal"/>
    <x v="7"/>
    <n v="1"/>
    <n v="5000"/>
  </r>
  <r>
    <d v="2025-02-05T00:00:00"/>
    <s v="PRO-000002979"/>
    <s v="SYDNEY FISH MARKET INTERNAL FIT OUT"/>
    <s v="AUD"/>
    <n v="250000"/>
    <d v="2025-02-28T00:00:00"/>
    <s v="Australia"/>
    <s v="Shop Drawing"/>
    <x v="7"/>
    <n v="0.49358341559723601"/>
    <n v="123395.853899309"/>
  </r>
  <r>
    <d v="2025-02-06T00:00:00"/>
    <s v="PRO-000002983"/>
    <s v="WESTCHESTER AVE 2000 1NC MORGAN STANLEY"/>
    <s v="USD"/>
    <n v="609383.93999999994"/>
    <d v="2025-02-28T00:00:00"/>
    <s v="USA"/>
    <s v="Shop Drawing"/>
    <x v="7"/>
    <n v="0.79554494828957845"/>
    <n v="484792.31503579952"/>
  </r>
  <r>
    <d v="2025-02-07T00:00:00"/>
    <s v="PRO-000002987"/>
    <s v="MELBOURNE AIRPORT ELEVATED ROAD AND FORECOURT PROJECT"/>
    <s v="AUD"/>
    <n v="1000000"/>
    <d v="2025-02-28T00:00:00"/>
    <s v="Australia"/>
    <s v="Shop Drawing"/>
    <x v="7"/>
    <n v="0.49358341559723601"/>
    <n v="493583.41559723602"/>
  </r>
  <r>
    <d v="2025-02-18T00:00:00"/>
    <s v="PRO-000003030"/>
    <s v="DETROIT CONFIDENTIAL HQ LEVEL 11"/>
    <s v="USD"/>
    <n v="100"/>
    <d v="2025-02-28T00:00:00"/>
    <s v="USA"/>
    <s v="Proposal"/>
    <x v="7"/>
    <n v="0.79554494828957845"/>
    <n v="79.554494828957843"/>
  </r>
  <r>
    <d v="2025-02-19T00:00:00"/>
    <s v="PRO-000003041"/>
    <s v="BISHOPSGATE NO 199 CAT B FLR 9 CROWELL MORING LONDON"/>
    <s v="GBP"/>
    <n v="23000"/>
    <d v="2025-02-28T00:00:00"/>
    <s v="UK"/>
    <s v="Shop Drawing"/>
    <x v="7"/>
    <n v="1"/>
    <n v="23000"/>
  </r>
  <r>
    <d v="2025-02-21T00:00:00"/>
    <s v="PRO-000003060"/>
    <s v="UT LOBBY BELMONT HALL-LEVEL 1 &amp; 2"/>
    <s v="GBP"/>
    <n v="83024.5"/>
    <d v="2025-02-28T00:00:00"/>
    <s v="USA"/>
    <s v="Shop Drawing"/>
    <x v="7"/>
    <n v="1"/>
    <n v="83024.5"/>
  </r>
  <r>
    <d v="2025-02-24T00:00:00"/>
    <s v="PRO-000003065"/>
    <s v="PERTH AIRPORT"/>
    <s v="AUD"/>
    <n v="25000"/>
    <d v="2025-02-28T00:00:00"/>
    <s v="Australia"/>
    <s v="Shop Drawing"/>
    <x v="7"/>
    <n v="0.49358341559723601"/>
    <n v="12339.5853899309"/>
  </r>
  <r>
    <d v="2025-02-24T00:00:00"/>
    <s v="PRO-000003067"/>
    <s v="MORE LONDON NO 6 CAT A LONDON"/>
    <s v="GBP"/>
    <n v="500000"/>
    <d v="2025-02-28T00:00:00"/>
    <s v="UK"/>
    <s v="Proposal"/>
    <x v="7"/>
    <n v="1"/>
    <n v="500000"/>
  </r>
  <r>
    <d v="2025-02-26T00:00:00"/>
    <s v="PRO-000003080"/>
    <s v="JAMES STREET NO 1 LONDON"/>
    <s v="GBP"/>
    <n v="100000"/>
    <d v="2025-02-28T00:00:00"/>
    <s v="UK"/>
    <s v="Shop Drawing"/>
    <x v="7"/>
    <n v="1"/>
    <n v="100000"/>
  </r>
  <r>
    <d v="2025-02-20T00:00:00"/>
    <s v="PRO-000003048"/>
    <s v="60 MARTIN PLACE LEVEL 3 PODIUM"/>
    <s v="AUD"/>
    <n v="50000"/>
    <d v="2025-03-03T00:00:00"/>
    <s v="Australia"/>
    <s v="Shop Drawing"/>
    <x v="8"/>
    <n v="0.48379293662312528"/>
    <n v="24189.646831156264"/>
  </r>
  <r>
    <d v="2025-02-20T00:00:00"/>
    <s v="PRO-000003057"/>
    <s v="SUBWAY STATION BERLIN"/>
    <s v="GBP"/>
    <n v="50000"/>
    <d v="2025-03-03T00:00:00"/>
    <s v="Rest of the World"/>
    <s v="Proposal"/>
    <x v="8"/>
    <n v="1"/>
    <n v="50000"/>
  </r>
  <r>
    <d v="2025-02-21T00:00:00"/>
    <s v="PRO-000003059"/>
    <s v="GOOGLE DATA CENTRE DZH1A DIETZENBACH FRANKFURT"/>
    <s v="GBP"/>
    <n v="500000"/>
    <d v="2025-03-03T00:00:00"/>
    <s v="Rest of the World"/>
    <s v="Proposal"/>
    <x v="8"/>
    <n v="1"/>
    <n v="500000"/>
  </r>
  <r>
    <d v="2025-02-28T00:00:00"/>
    <s v="PRO-000003082"/>
    <s v="BENDIGO AND ADELAIDE BANK"/>
    <s v="AUD"/>
    <n v="19000"/>
    <d v="2025-03-03T00:00:00"/>
    <s v="Australia"/>
    <s v="Shop Drawing"/>
    <x v="8"/>
    <n v="0.48379293662312528"/>
    <n v="9192.0657958393804"/>
  </r>
  <r>
    <d v="2025-02-19T00:00:00"/>
    <s v="PRO-000003044"/>
    <s v="COLORADO STREET 415 FLR 33 AUSTIN TX PHASE 2"/>
    <s v="GBP"/>
    <n v="76579.87"/>
    <d v="2025-03-04T00:00:00"/>
    <s v="USA"/>
    <s v="Shop Drawing"/>
    <x v="8"/>
    <n v="1"/>
    <n v="76579.87"/>
  </r>
  <r>
    <d v="2025-02-20T00:00:00"/>
    <s v="PRO-000003054"/>
    <s v="ADOBE BUCHAREST"/>
    <s v="GBP"/>
    <n v="5000"/>
    <d v="2025-03-04T00:00:00"/>
    <s v="Rest of the World"/>
    <s v="Proposal"/>
    <x v="8"/>
    <n v="1"/>
    <n v="5000"/>
  </r>
  <r>
    <d v="2025-02-25T00:00:00"/>
    <s v="PRO-000003073"/>
    <s v="GPE - ISSY RER STATION"/>
    <s v="EUR"/>
    <n v="1000"/>
    <d v="2025-03-04T00:00:00"/>
    <s v="France"/>
    <s v="Proposal"/>
    <x v="8"/>
    <n v="0.83752093802345062"/>
    <n v="837.52093802345064"/>
  </r>
  <r>
    <d v="2025-02-26T00:00:00"/>
    <s v="PRO-000003078"/>
    <s v="COLLINS STREET NO 367 LOBBY AND EOT UPGRADE"/>
    <s v="AUD"/>
    <n v="850000"/>
    <d v="2025-03-04T00:00:00"/>
    <s v="Australia"/>
    <s v="Shop Drawing"/>
    <x v="8"/>
    <n v="0.48379293662312528"/>
    <n v="411223.9961296565"/>
  </r>
  <r>
    <d v="2025-03-03T00:00:00"/>
    <s v="PRO-000003090"/>
    <s v="UPPER BROOK STREET KADANS PBSA MANCHESTER"/>
    <s v="GBP"/>
    <n v="15000"/>
    <d v="2025-03-04T00:00:00"/>
    <s v="UK"/>
    <s v="Proposal"/>
    <x v="8"/>
    <n v="1"/>
    <n v="15000"/>
  </r>
  <r>
    <d v="2025-02-21T00:00:00"/>
    <s v="PRO-000003061"/>
    <s v="AVENUE OF AMERICAS 1290 FLRS 13-16 KING &amp; SPALDING"/>
    <s v="GBP"/>
    <n v="153599"/>
    <d v="2025-03-05T00:00:00"/>
    <s v="USA"/>
    <s v="Shop Drawing"/>
    <x v="8"/>
    <n v="1"/>
    <n v="153599"/>
  </r>
  <r>
    <d v="2025-02-22T00:00:00"/>
    <s v="PRO-000003062"/>
    <s v="ASTOR PLACE NO 51 FLOOR 4 NEW YORK"/>
    <s v="USD"/>
    <n v="93000"/>
    <d v="2025-03-05T00:00:00"/>
    <s v="USA"/>
    <s v="Shop Drawing"/>
    <x v="8"/>
    <n v="0.77399380804953555"/>
    <n v="71981.424148606806"/>
  </r>
  <r>
    <d v="2025-02-26T00:00:00"/>
    <s v="PRO-000003079"/>
    <s v="MERCHANT SQUARE NO 5 CAT A REFURB PADDINGTON LONDON"/>
    <s v="GBP"/>
    <n v="170000"/>
    <d v="2025-03-05T00:00:00"/>
    <s v="UK"/>
    <s v="Proposal"/>
    <x v="8"/>
    <n v="1"/>
    <n v="170000"/>
  </r>
  <r>
    <d v="2025-02-28T00:00:00"/>
    <s v="PRO-000003083"/>
    <s v="DANIEL HOUSE FLEET STREET NO 133 REFURB LONDON"/>
    <s v="GBP"/>
    <n v="100000"/>
    <d v="2025-03-05T00:00:00"/>
    <s v="UK"/>
    <s v="Proposal"/>
    <x v="8"/>
    <n v="1"/>
    <n v="100000"/>
  </r>
  <r>
    <d v="2025-03-05T00:00:00"/>
    <s v="PRO-000003111"/>
    <s v="CANARY WHARF DS7 CANADA SQUARE NO 1 UCL SOM PHASE 1 LONDON"/>
    <s v="GBP"/>
    <n v="100000"/>
    <d v="2025-03-05T00:00:00"/>
    <s v="UK"/>
    <s v="Proposal"/>
    <x v="8"/>
    <n v="1"/>
    <n v="100000"/>
  </r>
  <r>
    <d v="2025-03-05T00:00:00"/>
    <s v="PRO-000003112"/>
    <s v="MORRISON STREET NO 69 PORT HAMILTON CAT A REFURB EDINBURGH"/>
    <s v="GBP"/>
    <n v="20000"/>
    <d v="2025-03-05T00:00:00"/>
    <s v="UK"/>
    <s v="CAD Sketch"/>
    <x v="8"/>
    <n v="1"/>
    <n v="20000"/>
  </r>
  <r>
    <d v="2025-02-25T00:00:00"/>
    <s v="PRO-000003077"/>
    <s v="FOLLIN LANE SE 820 NAVY FCU HQ WZ 8 AND WZ 6 AND WZ 5"/>
    <s v="GBP"/>
    <n v="36398"/>
    <d v="2025-03-06T00:00:00"/>
    <s v="USA"/>
    <s v="Shop Drawing"/>
    <x v="8"/>
    <n v="1"/>
    <n v="36398"/>
  </r>
  <r>
    <d v="2025-02-28T00:00:00"/>
    <s v="PRO-000003084"/>
    <s v="CORCEGA 331 SURE BARCELONA"/>
    <s v="GBP"/>
    <n v="50000"/>
    <d v="2025-03-06T00:00:00"/>
    <s v="Rest of the World"/>
    <s v="Proposal"/>
    <x v="8"/>
    <n v="1"/>
    <n v="50000"/>
  </r>
  <r>
    <d v="2025-03-03T00:00:00"/>
    <s v="PRO-000003089"/>
    <s v="JAMES STREET NO 1 LONDON"/>
    <s v="GBP"/>
    <n v="20000"/>
    <d v="2025-03-06T00:00:00"/>
    <s v="UK"/>
    <s v="Shop Drawing"/>
    <x v="8"/>
    <n v="1"/>
    <n v="20000"/>
  </r>
  <r>
    <d v="2025-03-03T00:00:00"/>
    <s v="PRO-000003092"/>
    <s v="ARGYLL STREET NO 40 REFURB LONDON"/>
    <s v="GBP"/>
    <n v="100000"/>
    <d v="2025-03-06T00:00:00"/>
    <s v="UK"/>
    <s v="Proposal"/>
    <x v="8"/>
    <n v="1"/>
    <n v="100000"/>
  </r>
  <r>
    <d v="2025-03-03T00:00:00"/>
    <s v="PRO-000003095"/>
    <s v="ELMFIELD ROAD NO 26 LOBBY AREA BROMLEY"/>
    <s v="GBP"/>
    <n v="30000"/>
    <d v="2025-03-06T00:00:00"/>
    <s v="UK"/>
    <s v="Proposal"/>
    <x v="8"/>
    <n v="1"/>
    <n v="30000"/>
  </r>
  <r>
    <d v="2025-03-03T00:00:00"/>
    <s v="PRO-000003096"/>
    <s v="ELMFIELD ROAD NO 26 LOBBY AREA LIGHTING BROMLEY"/>
    <s v="GBP"/>
    <n v="30000"/>
    <d v="2025-03-06T00:00:00"/>
    <s v="UK"/>
    <s v="Proposal"/>
    <x v="8"/>
    <n v="1"/>
    <n v="30000"/>
  </r>
  <r>
    <d v="2025-03-05T00:00:00"/>
    <s v="PRO-000003110"/>
    <s v="MORE LONDON NO 6 CAT A LONDON"/>
    <s v="GBP"/>
    <n v="500000"/>
    <d v="2025-03-06T00:00:00"/>
    <s v="UK"/>
    <s v="Proposal"/>
    <x v="8"/>
    <n v="1"/>
    <n v="500000"/>
  </r>
  <r>
    <d v="2024-12-19T00:00:00"/>
    <s v="PRO-000002805"/>
    <s v="MADISON AVENUE 383 LOBBY NEW YORK"/>
    <s v="USD"/>
    <n v="1000000"/>
    <d v="2025-03-07T00:00:00"/>
    <s v="USA"/>
    <s v="Proposal"/>
    <x v="8"/>
    <n v="0.77399380804953555"/>
    <n v="773993.8080495355"/>
  </r>
  <r>
    <d v="2025-02-24T00:00:00"/>
    <s v="PRO-000003066"/>
    <s v="GPE - MASSY PALAISEAU"/>
    <s v="EUR"/>
    <n v="10000"/>
    <d v="2025-03-07T00:00:00"/>
    <s v="France"/>
    <s v="Proposal"/>
    <x v="8"/>
    <n v="0.83752093802345062"/>
    <n v="8375.2093802345062"/>
  </r>
  <r>
    <d v="2025-02-24T00:00:00"/>
    <s v="PRO-000003068"/>
    <s v="METRO VALENCIA ALICANTE-XATIVA STN VALENCIA"/>
    <s v="GBP"/>
    <n v="300000"/>
    <d v="2025-03-07T00:00:00"/>
    <s v="Rest of the World"/>
    <s v="Proposal"/>
    <x v="8"/>
    <n v="1"/>
    <n v="300000"/>
  </r>
  <r>
    <d v="2025-03-03T00:00:00"/>
    <s v="PRO-000003098"/>
    <s v="MIT SLOAN EXECUTIVE EDUCATION"/>
    <s v="USD"/>
    <n v="12000"/>
    <d v="2025-03-07T00:00:00"/>
    <s v="USA"/>
    <s v="Proposal"/>
    <x v="8"/>
    <n v="0.77399380804953555"/>
    <n v="9287.925696594426"/>
  </r>
  <r>
    <d v="2025-03-06T00:00:00"/>
    <s v="PRO-000003116"/>
    <s v="CHAMARTIN PHASE 2 MADRID"/>
    <s v="GBP"/>
    <n v="30000"/>
    <d v="2025-03-07T00:00:00"/>
    <s v="Rest of the World"/>
    <s v="Proposal"/>
    <x v="8"/>
    <n v="1"/>
    <n v="30000"/>
  </r>
  <r>
    <d v="2025-02-14T00:00:00"/>
    <s v="PRO-000003023"/>
    <s v="MICHIGAN STATE FOOTBALL STADIUM RENO"/>
    <s v="USD"/>
    <n v="90000"/>
    <d v="2025-03-10T00:00:00"/>
    <s v="USA"/>
    <s v="Proposal"/>
    <x v="9"/>
    <n v="0.77399380804953555"/>
    <n v="69659.442724458204"/>
  </r>
  <r>
    <d v="2025-03-04T00:00:00"/>
    <s v="PRO-000003099"/>
    <s v="275 KENT ST THIRD AREA"/>
    <s v="AUD"/>
    <n v="40000"/>
    <d v="2025-03-10T00:00:00"/>
    <s v="Australia"/>
    <s v="CAD Sketch"/>
    <x v="9"/>
    <n v="0.48379293662312528"/>
    <n v="19351.717464925012"/>
  </r>
  <r>
    <d v="2025-03-04T00:00:00"/>
    <s v="PRO-000003103"/>
    <s v="GPE - ISSY RER STATION"/>
    <s v="EUR"/>
    <n v="1000"/>
    <d v="2025-03-10T00:00:00"/>
    <s v="France"/>
    <s v="Proposal"/>
    <x v="9"/>
    <n v="0.83752093802345062"/>
    <n v="837.52093802345064"/>
  </r>
  <r>
    <d v="2025-03-04T00:00:00"/>
    <s v="PRO-000003105"/>
    <s v="MANHATTAN WEST 2 FLOORS 13,14,15,16,17,18 KPMG"/>
    <s v="GBP"/>
    <n v="41805"/>
    <d v="2025-03-10T00:00:00"/>
    <s v="USA"/>
    <s v="Shop Drawing"/>
    <x v="9"/>
    <n v="1"/>
    <n v="41805"/>
  </r>
  <r>
    <d v="2025-03-06T00:00:00"/>
    <s v="PRO-000003115"/>
    <s v="275 KENT ST THIRD AREA"/>
    <s v="AUD"/>
    <n v="2000"/>
    <d v="2025-03-10T00:00:00"/>
    <s v="Australia"/>
    <s v="Shop Drawing"/>
    <x v="9"/>
    <n v="0.48379293662312528"/>
    <n v="967.58587324625057"/>
  </r>
  <r>
    <d v="2025-03-06T00:00:00"/>
    <s v="PRO-000003117"/>
    <s v="EVERTON FC TUNNEL CLUB &amp; TRINITY LOUNGE LIVERPOOL"/>
    <s v="GBP"/>
    <n v="1"/>
    <d v="2025-03-10T00:00:00"/>
    <s v="UK"/>
    <s v="Shop Drawing"/>
    <x v="9"/>
    <n v="1"/>
    <n v="1"/>
  </r>
  <r>
    <d v="2025-03-06T00:00:00"/>
    <s v="PRO-000003122"/>
    <s v="ASTOR PLACE NO 51 FLOOR 4 NEW YORK"/>
    <s v="GBP"/>
    <n v="93000"/>
    <d v="2025-03-10T00:00:00"/>
    <s v="USA"/>
    <s v="Shop Drawing"/>
    <x v="9"/>
    <n v="1"/>
    <n v="93000"/>
  </r>
  <r>
    <d v="2025-03-07T00:00:00"/>
    <s v="PRO-000003133"/>
    <s v="TCU ATHLETICS HUMAN PERF CTR STADIUM DR NO 3000 FT WORTH TX"/>
    <s v="GBP"/>
    <n v="121110"/>
    <d v="2025-03-10T00:00:00"/>
    <s v="USA"/>
    <s v="Shop Drawing"/>
    <x v="9"/>
    <n v="1"/>
    <n v="121110"/>
  </r>
  <r>
    <d v="2025-02-14T00:00:00"/>
    <s v="PRO-000003025"/>
    <s v="JOHN R PIERCE SCHOOL ADD/RENO BROOKLINE"/>
    <s v="GBP"/>
    <n v="115826.2"/>
    <d v="2025-03-11T00:00:00"/>
    <s v="USA"/>
    <s v="Shop Drawing"/>
    <x v="9"/>
    <n v="1"/>
    <n v="115826.2"/>
  </r>
  <r>
    <d v="2025-03-07T00:00:00"/>
    <s v="PRO-000003127"/>
    <s v="OXFORD STREET NO 334-348 S&amp;C / LOBBIES LONDON"/>
    <s v="GBP"/>
    <n v="200000"/>
    <d v="2025-03-11T00:00:00"/>
    <s v="UK"/>
    <s v="Proposal"/>
    <x v="9"/>
    <n v="1"/>
    <n v="200000"/>
  </r>
  <r>
    <d v="2025-03-07T00:00:00"/>
    <s v="PRO-000003128"/>
    <s v="ESTEL ANTIGUA TELEFONICA BARCELONA"/>
    <s v="GBP"/>
    <n v="20000"/>
    <d v="2025-03-11T00:00:00"/>
    <s v="Rest of the World"/>
    <s v="Proposal"/>
    <x v="9"/>
    <n v="1"/>
    <n v="20000"/>
  </r>
  <r>
    <d v="2025-03-07T00:00:00"/>
    <s v="PRO-000003129"/>
    <s v="HOBBY AIRPORT CENTRAL TERMINAL/ BAGGAGE CLAIM"/>
    <s v="USD"/>
    <n v="150000"/>
    <d v="2025-03-11T00:00:00"/>
    <s v="USA"/>
    <s v="Proposal"/>
    <x v="9"/>
    <n v="0.77399380804953555"/>
    <n v="116099.07120743033"/>
  </r>
  <r>
    <d v="2025-03-11T00:00:00"/>
    <s v="PRO-000003140"/>
    <s v="MORRISON STREET NO 69 PORT HAMILTON CAT A REFURB EDINBURGH"/>
    <s v="GBP"/>
    <n v="20000"/>
    <d v="2025-03-11T00:00:00"/>
    <s v="UK"/>
    <s v="Hand Sketch"/>
    <x v="9"/>
    <n v="1"/>
    <n v="20000"/>
  </r>
  <r>
    <d v="2025-02-28T00:00:00"/>
    <s v="PRO-000003085"/>
    <s v="ALFONSO XI MADRID"/>
    <s v="GBP"/>
    <n v="200000"/>
    <d v="2025-03-12T00:00:00"/>
    <s v="Rest of the World"/>
    <s v="Proposal"/>
    <x v="9"/>
    <n v="1"/>
    <n v="200000"/>
  </r>
  <r>
    <d v="2025-03-03T00:00:00"/>
    <s v="PRO-000003091"/>
    <s v="BELGRADE NATIONAL STADIUM"/>
    <s v="GBP"/>
    <n v="600000"/>
    <d v="2025-03-12T00:00:00"/>
    <s v="Rest of the World"/>
    <s v="Proposal"/>
    <x v="9"/>
    <n v="1"/>
    <n v="600000"/>
  </r>
  <r>
    <d v="2025-03-03T00:00:00"/>
    <s v="PRO-000003097"/>
    <s v="AVENUE OF AMERICAS 1290 LOWER LEVEL 01"/>
    <s v="GBP"/>
    <n v="10767"/>
    <d v="2025-03-12T00:00:00"/>
    <s v="USA"/>
    <s v="Shop Drawing"/>
    <x v="9"/>
    <n v="1"/>
    <n v="10767"/>
  </r>
  <r>
    <d v="2025-03-06T00:00:00"/>
    <s v="PRO-000003119"/>
    <s v="GENESYS BREST"/>
    <s v="EUR"/>
    <n v="8000"/>
    <d v="2025-03-12T00:00:00"/>
    <s v="France"/>
    <s v="Proposal"/>
    <x v="9"/>
    <n v="0.83752093802345062"/>
    <n v="6700.1675041876051"/>
  </r>
  <r>
    <d v="2025-03-07T00:00:00"/>
    <s v="PRO-000003130"/>
    <s v="PILSBURY LAW FIRM AUSTIN"/>
    <s v="USD"/>
    <n v="58000"/>
    <d v="2025-03-12T00:00:00"/>
    <s v="USA"/>
    <s v="Shop Drawing"/>
    <x v="9"/>
    <n v="0.77399380804953555"/>
    <n v="44891.640866873058"/>
  </r>
  <r>
    <d v="2025-03-07T00:00:00"/>
    <s v="PRO-000003131"/>
    <s v="LEADENHALL STREET NO 40 KIRKLAND &amp; ELLIS FLRS 15-34 LONDON"/>
    <s v="GBP"/>
    <n v="10000"/>
    <d v="2025-03-12T00:00:00"/>
    <s v="UK"/>
    <s v="Proposal"/>
    <x v="9"/>
    <n v="1"/>
    <n v="10000"/>
  </r>
  <r>
    <d v="2025-03-11T00:00:00"/>
    <s v="PRO-000003142"/>
    <s v="LEADENHALL STREET NO 40 KIRKLAND &amp; ELLIS FLRS 15-34 LONDON"/>
    <s v="GBP"/>
    <n v="10000"/>
    <d v="2025-03-12T00:00:00"/>
    <s v="UK"/>
    <s v="Proposal"/>
    <x v="9"/>
    <n v="1"/>
    <n v="10000"/>
  </r>
  <r>
    <d v="2025-03-11T00:00:00"/>
    <s v="PRO-000003145"/>
    <s v="AVENUE RAYMOND POINCARE 34 PARIS"/>
    <s v="EUR"/>
    <n v="65000"/>
    <d v="2025-03-12T00:00:00"/>
    <s v="France"/>
    <s v="Proposal"/>
    <x v="9"/>
    <n v="0.83752093802345062"/>
    <n v="54438.860971524293"/>
  </r>
  <r>
    <d v="2025-02-05T00:00:00"/>
    <s v="PRO-000002978"/>
    <s v="SYDNEY FISH MARKET INTERNAL FIT OUT"/>
    <s v="GBP"/>
    <n v="250000"/>
    <d v="2025-03-13T00:00:00"/>
    <s v="Australia"/>
    <s v="Shop Drawing"/>
    <x v="9"/>
    <n v="1"/>
    <n v="250000"/>
  </r>
  <r>
    <d v="2025-02-18T00:00:00"/>
    <s v="PRO-000003034"/>
    <s v="DFW AIRPORT TERMINAL F DALLAS"/>
    <s v="GBP"/>
    <n v="23785"/>
    <d v="2025-03-13T00:00:00"/>
    <s v="USA"/>
    <s v="Shop Drawing"/>
    <x v="9"/>
    <n v="1"/>
    <n v="23785"/>
  </r>
  <r>
    <d v="2025-03-04T00:00:00"/>
    <s v="PRO-000003106"/>
    <s v="AUCKLAND AIRPORT WP3"/>
    <s v="AUD"/>
    <n v="800000"/>
    <d v="2025-03-13T00:00:00"/>
    <s v="Australia"/>
    <s v="CAD Sketch"/>
    <x v="9"/>
    <n v="0.48379293662312528"/>
    <n v="387034.34929850022"/>
  </r>
  <r>
    <d v="2025-03-05T00:00:00"/>
    <s v="PRO-000003108"/>
    <s v="KENT ST NO 275 EOT AND LOBBY"/>
    <s v="AUD"/>
    <n v="10000"/>
    <d v="2025-03-13T00:00:00"/>
    <s v="Australia"/>
    <s v="Proposal"/>
    <x v="9"/>
    <n v="0.48379293662312528"/>
    <n v="4837.929366231253"/>
  </r>
  <r>
    <d v="2025-03-06T00:00:00"/>
    <s v="PRO-000003118"/>
    <s v="BASINGHALL AVENUE NO 1 GROUND &amp; 5-10 REFURB LONDON"/>
    <s v="GBP"/>
    <n v="10000"/>
    <d v="2025-03-13T00:00:00"/>
    <s v="UK"/>
    <s v="Proposal"/>
    <x v="9"/>
    <n v="1"/>
    <n v="10000"/>
  </r>
  <r>
    <d v="2025-03-06T00:00:00"/>
    <s v="PRO-000003124"/>
    <s v="PERTH AIRPORT"/>
    <s v="AUD"/>
    <n v="25000"/>
    <d v="2025-03-13T00:00:00"/>
    <s v="Australia"/>
    <s v="Shop Drawing"/>
    <x v="9"/>
    <n v="0.48379293662312528"/>
    <n v="12094.823415578132"/>
  </r>
  <r>
    <d v="2025-03-11T00:00:00"/>
    <s v="PRO-000003138"/>
    <s v="QUEEN VICTORIA STREET NO 160 FLR 2 LONDON"/>
    <s v="GBP"/>
    <n v="150000"/>
    <d v="2025-03-13T00:00:00"/>
    <s v="UK"/>
    <s v="Proposal"/>
    <x v="9"/>
    <n v="1"/>
    <n v="150000"/>
  </r>
  <r>
    <d v="2025-03-11T00:00:00"/>
    <s v="PRO-000003147"/>
    <s v="ESTEL ANTIGUA TELEFONICA BARCELONA"/>
    <s v="GBP"/>
    <n v="20000"/>
    <d v="2025-03-13T00:00:00"/>
    <s v="Rest of the World"/>
    <s v="Proposal"/>
    <x v="9"/>
    <n v="1"/>
    <n v="20000"/>
  </r>
  <r>
    <d v="2025-03-12T00:00:00"/>
    <s v="PRO-000003149"/>
    <s v="THE CURSITOR CHANCERY LANE NO 38 CAT A REFURB LONDON"/>
    <s v="GBP"/>
    <n v="1"/>
    <d v="2025-03-13T00:00:00"/>
    <s v="UK"/>
    <s v="Proposal"/>
    <x v="9"/>
    <n v="1"/>
    <n v="1"/>
  </r>
  <r>
    <d v="2025-03-12T00:00:00"/>
    <s v="PRO-000003151"/>
    <s v="DFW AIRPORT TERMINAL F DALLAS"/>
    <s v="GBP"/>
    <n v="23785"/>
    <d v="2025-03-13T00:00:00"/>
    <s v="USA"/>
    <s v="Shop Drawing"/>
    <x v="9"/>
    <n v="1"/>
    <n v="23785"/>
  </r>
  <r>
    <d v="2025-02-28T00:00:00"/>
    <s v="PRO-000003086"/>
    <s v="CONFIDENTIAL EUROPEAN PROJECT.GENSLER DC"/>
    <s v="USD"/>
    <n v="300000"/>
    <d v="2025-03-14T00:00:00"/>
    <s v="USA"/>
    <s v="Proposal"/>
    <x v="9"/>
    <n v="0.77399380804953555"/>
    <n v="232198.14241486066"/>
  </r>
  <r>
    <d v="2025-03-05T00:00:00"/>
    <s v="PRO-000003113"/>
    <s v="BOTHWELL STREET NO 120 FLS 8 &amp; 9 CAT B FITOUT GLASGOW"/>
    <s v="GBP"/>
    <n v="25000"/>
    <d v="2025-03-14T00:00:00"/>
    <s v="UK"/>
    <s v="Proposal"/>
    <x v="9"/>
    <n v="1"/>
    <n v="25000"/>
  </r>
  <r>
    <d v="2025-03-07T00:00:00"/>
    <s v="PRO-000003134"/>
    <s v="DAVIE TOWN HALL, DAVIE, FL"/>
    <s v="USD"/>
    <n v="100000"/>
    <d v="2025-03-14T00:00:00"/>
    <s v="USA"/>
    <s v="CAD Sketch"/>
    <x v="9"/>
    <n v="0.77399380804953555"/>
    <n v="77399.380804953558"/>
  </r>
  <r>
    <d v="2025-03-11T00:00:00"/>
    <s v="PRO-000003136"/>
    <s v="GPE - MASSY PALAISEAU"/>
    <s v="EUR"/>
    <n v="1000"/>
    <d v="2025-03-14T00:00:00"/>
    <s v="France"/>
    <s v="Proposal"/>
    <x v="9"/>
    <n v="0.83752093802345062"/>
    <n v="837.52093802345064"/>
  </r>
  <r>
    <d v="2025-03-11T00:00:00"/>
    <s v="PRO-000003141"/>
    <s v="E WHITAKER MILL ROAD 1111 AUDEMARS PIGUET REFIT"/>
    <s v="USD"/>
    <n v="240000"/>
    <d v="2025-03-14T00:00:00"/>
    <s v="USA"/>
    <s v="Shop Drawing"/>
    <x v="9"/>
    <n v="0.77399380804953555"/>
    <n v="185758.51393188853"/>
  </r>
  <r>
    <d v="2025-03-11T00:00:00"/>
    <s v="PRO-000003144"/>
    <s v="TAILWATER CAPITAL TI DALLAS TX"/>
    <s v="GBP"/>
    <n v="98000"/>
    <d v="2025-03-14T00:00:00"/>
    <s v="USA"/>
    <s v="Shop Drawing"/>
    <x v="9"/>
    <n v="1"/>
    <n v="98000"/>
  </r>
  <r>
    <d v="2025-03-13T00:00:00"/>
    <s v="PRO-000003154"/>
    <s v="E WHITAKER MILL ROAD 1111 AUDEMARS PIGUET REFIT"/>
    <s v="GBP"/>
    <n v="237565"/>
    <d v="2025-03-14T00:00:00"/>
    <s v="USA"/>
    <s v="Shop Drawing"/>
    <x v="9"/>
    <n v="1"/>
    <n v="237565"/>
  </r>
  <r>
    <d v="2025-03-13T00:00:00"/>
    <s v="PRO-000003156"/>
    <s v="ALPHA BANK ATHENS"/>
    <s v="GBP"/>
    <n v="10000"/>
    <d v="2025-03-14T00:00:00"/>
    <s v="Rest of the World"/>
    <s v="Proposal"/>
    <x v="9"/>
    <n v="1"/>
    <n v="10000"/>
  </r>
  <r>
    <d v="2025-03-03T00:00:00"/>
    <s v="PRO-000003093"/>
    <s v="300 E RANDOLPH HCSC CHICAGO PHASE 3 - 17 &amp; 18 FLOORS"/>
    <s v="GBP"/>
    <n v="35162"/>
    <d v="2025-03-17T00:00:00"/>
    <s v="USA"/>
    <s v="Shop Drawing"/>
    <x v="10"/>
    <n v="1"/>
    <n v="35162"/>
  </r>
  <r>
    <d v="2025-03-03T00:00:00"/>
    <s v="PRO-000003094"/>
    <s v="MULVA HALL UT BUSINESS SCHOOL WHITIS AVE NO 2005 AUSTIN"/>
    <s v="USD"/>
    <n v="200000"/>
    <d v="2025-03-17T00:00:00"/>
    <s v="USA"/>
    <s v="Proposal"/>
    <x v="10"/>
    <n v="0.77399380804953555"/>
    <n v="154798.76160990712"/>
  </r>
  <r>
    <d v="2025-03-06T00:00:00"/>
    <s v="PRO-000003120"/>
    <s v="GOOGLE DATA CENTRE DZH1A DIETZENBACH FRANKFURT"/>
    <s v="GBP"/>
    <n v="1600000"/>
    <d v="2025-03-17T00:00:00"/>
    <s v="Rest of the World"/>
    <s v="Proposal"/>
    <x v="10"/>
    <n v="1"/>
    <n v="1600000"/>
  </r>
  <r>
    <d v="2025-03-17T00:00:00"/>
    <s v="PRO-000003163"/>
    <s v="RESO POLYNODE MONACO LIGHTING"/>
    <s v="EUR"/>
    <n v="15000"/>
    <d v="2025-03-17T00:00:00"/>
    <s v="France"/>
    <s v="Proposal"/>
    <x v="10"/>
    <n v="0.83752093802345062"/>
    <n v="12562.81407035176"/>
  </r>
  <r>
    <d v="2025-03-10T00:00:00"/>
    <s v="PRO-000003135"/>
    <s v="MERCHANT SQUARE NO 5 CAT A REFURB PADDINGTON LONDON"/>
    <s v="GBP"/>
    <n v="170000"/>
    <d v="2025-03-18T00:00:00"/>
    <s v="UK"/>
    <s v="Proposal"/>
    <x v="10"/>
    <n v="1"/>
    <n v="170000"/>
  </r>
  <r>
    <d v="2025-03-11T00:00:00"/>
    <s v="PRO-000003139"/>
    <s v="GRESHAM STREET NO 10 MOODYS CORP CAT B FITOUT LIGHTING"/>
    <s v="GBP"/>
    <n v="0"/>
    <d v="2025-03-18T00:00:00"/>
    <s v="UK"/>
    <s v="Shop Drawing"/>
    <x v="10"/>
    <n v="1"/>
    <n v="0"/>
  </r>
  <r>
    <d v="2025-03-13T00:00:00"/>
    <s v="PRO-000003152"/>
    <s v="ST GEORGE STREET NO 14 CAT A FLOOR 2 LIGHTING LONDON"/>
    <s v="GBP"/>
    <n v="100000"/>
    <d v="2025-03-18T00:00:00"/>
    <s v="UK"/>
    <s v="Proposal"/>
    <x v="10"/>
    <n v="1"/>
    <n v="100000"/>
  </r>
  <r>
    <d v="2025-03-14T00:00:00"/>
    <s v="PRO-000003160"/>
    <s v="EDINBURGH AIRPORT ESCAPE LOUNGE"/>
    <s v="GBP"/>
    <n v="8000"/>
    <d v="2025-03-18T00:00:00"/>
    <s v="UK"/>
    <s v="CAD Sketch"/>
    <x v="10"/>
    <n v="1"/>
    <n v="8000"/>
  </r>
  <r>
    <d v="2025-03-17T00:00:00"/>
    <s v="PRO-000003164"/>
    <s v="ST MICHAELS TOWER FLRS 7 &amp; 8 MANCHESTER"/>
    <s v="GBP"/>
    <n v="270000"/>
    <d v="2025-03-18T00:00:00"/>
    <s v="UK"/>
    <s v="Proposal"/>
    <x v="10"/>
    <n v="1"/>
    <n v="270000"/>
  </r>
  <r>
    <d v="2025-03-17T00:00:00"/>
    <s v="PRO-000003165"/>
    <s v="MADISON AVE 1 FLOOR 11 FRANKLIN TEMPLETON FIT OUT"/>
    <s v="GBP"/>
    <n v="96000"/>
    <d v="2025-03-18T00:00:00"/>
    <s v="USA"/>
    <s v="Shop Drawing"/>
    <x v="10"/>
    <n v="1"/>
    <n v="96000"/>
  </r>
  <r>
    <d v="2025-03-18T00:00:00"/>
    <s v="PRO-000003171"/>
    <s v="REGENTS QUARTER LIFE SCIENCES PH 1 JAHN COURT LONDON"/>
    <s v="GBP"/>
    <n v="10000"/>
    <d v="2025-03-18T00:00:00"/>
    <s v="UK"/>
    <s v="Proposal"/>
    <x v="10"/>
    <n v="1"/>
    <n v="10000"/>
  </r>
  <r>
    <d v="2025-03-03T00:00:00"/>
    <s v="PRO-000003088"/>
    <s v="PERTH AIRPORT"/>
    <s v="AUD"/>
    <n v="25000"/>
    <d v="2025-03-19T00:00:00"/>
    <s v="Australia"/>
    <s v="Shop Drawing"/>
    <x v="10"/>
    <n v="0.48379293662312528"/>
    <n v="12094.823415578132"/>
  </r>
  <r>
    <d v="2025-03-07T00:00:00"/>
    <s v="PRO-000003125"/>
    <s v="SYDNEY FISH MARKET INTERNAL FIT OUT"/>
    <s v="AUD"/>
    <n v="250000"/>
    <d v="2025-03-19T00:00:00"/>
    <s v="Australia"/>
    <s v="Shop Drawing"/>
    <x v="10"/>
    <n v="0.48379293662312528"/>
    <n v="120948.23415578132"/>
  </r>
  <r>
    <d v="2025-03-11T00:00:00"/>
    <s v="PRO-000003137"/>
    <s v="5TH AVENUE NO 645 FLOOR 21 ROKOS CAPITAL NYC"/>
    <s v="GBP"/>
    <n v="168847"/>
    <d v="2025-03-19T00:00:00"/>
    <s v="USA"/>
    <s v="Shop Drawing"/>
    <x v="10"/>
    <n v="1"/>
    <n v="168847"/>
  </r>
  <r>
    <d v="2025-03-14T00:00:00"/>
    <s v="PRO-000003159"/>
    <s v="WESTCHESTER AVE 2000 1NC MORGAN STANLEY"/>
    <s v="USD"/>
    <n v="700000"/>
    <d v="2025-03-19T00:00:00"/>
    <s v="USA"/>
    <s v="Shop Drawing"/>
    <x v="10"/>
    <n v="0.77399380804953555"/>
    <n v="541795.66563467484"/>
  </r>
  <r>
    <d v="2025-03-17T00:00:00"/>
    <s v="PRO-000003166"/>
    <s v="ST MARY AXE NO 30 THE GHERKIN CAT A REDEVELOPMENT LONDON"/>
    <s v="GBP"/>
    <n v="200000"/>
    <d v="2025-03-19T00:00:00"/>
    <s v="UK"/>
    <s v="Proposal"/>
    <x v="10"/>
    <n v="1"/>
    <n v="200000"/>
  </r>
  <r>
    <d v="2025-03-18T00:00:00"/>
    <s v="PRO-000003174"/>
    <s v="ST MARY AXE NO 30 THE GHERKIN CAT A REDEVELOPMENT LONDON"/>
    <s v="GBP"/>
    <n v="200000"/>
    <d v="2025-03-19T00:00:00"/>
    <s v="UK"/>
    <s v="Proposal"/>
    <x v="10"/>
    <n v="1"/>
    <n v="200000"/>
  </r>
  <r>
    <d v="2025-03-11T00:00:00"/>
    <s v="PRO-000003143"/>
    <s v="UNIVERSITY OF NORTH CAROLINA MCCOLL BUILDING"/>
    <s v="GBP"/>
    <n v="400000"/>
    <d v="2025-03-20T00:00:00"/>
    <s v="USA"/>
    <s v="Shop Drawing"/>
    <x v="10"/>
    <n v="1"/>
    <n v="400000"/>
  </r>
  <r>
    <d v="2025-03-13T00:00:00"/>
    <s v="PRO-000003155"/>
    <s v="HOSPITAL EL CARMEN CIUDAD REAL"/>
    <s v="GBP"/>
    <n v="300000"/>
    <d v="2025-03-20T00:00:00"/>
    <s v="Rest of the World"/>
    <s v="Proposal"/>
    <x v="10"/>
    <n v="1"/>
    <n v="300000"/>
  </r>
  <r>
    <d v="2025-03-17T00:00:00"/>
    <s v="PRO-000003168"/>
    <s v="BASINGHALL AVENUE NO 1 GROUND &amp; 5-10 REFURB LONDON"/>
    <s v="GBP"/>
    <n v="10000"/>
    <d v="2025-03-20T00:00:00"/>
    <s v="UK"/>
    <s v="Proposal"/>
    <x v="10"/>
    <n v="1"/>
    <n v="10000"/>
  </r>
  <r>
    <d v="2025-03-19T00:00:00"/>
    <s v="PRO-000003182"/>
    <s v="PEEL ESTATE &amp; NWCC EAST UNDERCROFT SOUTH KILBURN LONDON"/>
    <s v="GBP"/>
    <n v="120000"/>
    <d v="2025-03-20T00:00:00"/>
    <s v="UK"/>
    <s v="Proposal"/>
    <x v="10"/>
    <n v="1"/>
    <n v="120000"/>
  </r>
  <r>
    <d v="2025-03-20T00:00:00"/>
    <s v="PRO-000003191"/>
    <s v="PLACE VALHUBERT PARIS 13"/>
    <s v="EUR"/>
    <n v="60000"/>
    <d v="2025-03-20T00:00:00"/>
    <s v="France"/>
    <s v="Proposal"/>
    <x v="10"/>
    <n v="0.83752093802345062"/>
    <n v="50251.256281407041"/>
  </r>
  <r>
    <d v="2025-02-03T00:00:00"/>
    <s v="PRO-000002965"/>
    <s v="SAMPLES MISC 2024"/>
    <s v="USD"/>
    <n v="0"/>
    <d v="2025-03-21T00:00:00"/>
    <s v="UK"/>
    <s v="CAD Sketch"/>
    <x v="10"/>
    <n v="0.77399380804953555"/>
    <n v="0"/>
  </r>
  <r>
    <d v="2025-02-27T00:00:00"/>
    <s v="PRO-000003081"/>
    <s v="PALMA AIRPORT EXTENSION"/>
    <s v="GBP"/>
    <n v="2000000"/>
    <d v="2025-03-21T00:00:00"/>
    <s v="Rest of the World"/>
    <s v="Proposal"/>
    <x v="10"/>
    <n v="1"/>
    <n v="2000000"/>
  </r>
  <r>
    <d v="2025-03-11T00:00:00"/>
    <s v="PRO-000003146"/>
    <s v="ARIMA OFFICES MADRID"/>
    <s v="GBP"/>
    <n v="150000"/>
    <d v="2025-03-21T00:00:00"/>
    <s v="Rest of the World"/>
    <s v="Proposal"/>
    <x v="10"/>
    <n v="1"/>
    <n v="150000"/>
  </r>
  <r>
    <d v="2025-03-13T00:00:00"/>
    <s v="PRO-000003153"/>
    <s v="ASTOR PLACE NO 51 FLOOR 4 NEW YORK"/>
    <s v="GBP"/>
    <n v="93000"/>
    <d v="2025-03-21T00:00:00"/>
    <s v="USA"/>
    <s v="Shop Drawing"/>
    <x v="10"/>
    <n v="1"/>
    <n v="93000"/>
  </r>
  <r>
    <d v="2025-03-18T00:00:00"/>
    <s v="PRO-000003172"/>
    <s v="MANHATTAN WEST 2 FLOORS 13,14,15,16,17,18 KPMG"/>
    <s v="GBP"/>
    <n v="45515"/>
    <d v="2025-03-21T00:00:00"/>
    <s v="USA"/>
    <s v="Shop Drawing"/>
    <x v="10"/>
    <n v="1"/>
    <n v="45515"/>
  </r>
  <r>
    <d v="2025-03-18T00:00:00"/>
    <s v="PRO-000003176"/>
    <s v="PURE DC DATA CENTRE MAD01 MADRID"/>
    <s v="GBP"/>
    <n v="30000"/>
    <d v="2025-03-21T00:00:00"/>
    <s v="Rest of the World"/>
    <s v="Proposal"/>
    <x v="10"/>
    <n v="1"/>
    <n v="30000"/>
  </r>
  <r>
    <d v="2025-03-19T00:00:00"/>
    <s v="PRO-000003183"/>
    <s v="BISHOPSGATE NO 199 CAT B FLR 9 CROWELL MORING LONDON"/>
    <s v="GBP"/>
    <n v="1"/>
    <d v="2025-03-21T00:00:00"/>
    <s v="UK"/>
    <s v="Shop Drawing"/>
    <x v="10"/>
    <n v="1"/>
    <n v="1"/>
  </r>
  <r>
    <d v="2025-03-20T00:00:00"/>
    <s v="PRO-000003192"/>
    <s v="101 COLLEGE AVENUE YALE UNIV COLLEGE OF MED"/>
    <s v="USD"/>
    <n v="1000000"/>
    <d v="2025-03-21T00:00:00"/>
    <s v="USA"/>
    <s v="Hand Sketch"/>
    <x v="10"/>
    <n v="0.77399380804953555"/>
    <n v="773993.8080495355"/>
  </r>
  <r>
    <d v="2025-03-20T00:00:00"/>
    <s v="PRO-000003193"/>
    <s v="HOSPITAL EL CARMEN CIUDAD REAL"/>
    <s v="GBP"/>
    <n v="400000"/>
    <d v="2025-03-21T00:00:00"/>
    <s v="Rest of the World"/>
    <s v="Proposal"/>
    <x v="10"/>
    <n v="1"/>
    <n v="400000"/>
  </r>
  <r>
    <d v="2025-03-20T00:00:00"/>
    <s v="PRO-000003195"/>
    <s v="1900 N ST NW WASHINGTON DC BROWN RUDNICK ESQ"/>
    <s v="USD"/>
    <n v="5000"/>
    <d v="2025-03-21T00:00:00"/>
    <s v="USA"/>
    <s v="Proposal"/>
    <x v="10"/>
    <n v="0.77399380804953555"/>
    <n v="3869.9690402476776"/>
  </r>
  <r>
    <d v="2025-03-20T00:00:00"/>
    <s v="PRO-000003196"/>
    <s v="UT BELMONT HALL FRINGE LEVEL 3 TEXAS"/>
    <s v="GBP"/>
    <n v="80278"/>
    <d v="2025-03-21T00:00:00"/>
    <s v="USA"/>
    <s v="Shop Drawing"/>
    <x v="10"/>
    <n v="1"/>
    <n v="80278"/>
  </r>
  <r>
    <d v="2025-03-20T00:00:00"/>
    <s v="PRO-000003200"/>
    <s v="CORCEGA 331 SURE BARCELONA"/>
    <s v="GBP"/>
    <n v="20000"/>
    <d v="2025-03-21T00:00:00"/>
    <s v="Rest of the World"/>
    <s v="Proposal"/>
    <x v="10"/>
    <n v="1"/>
    <n v="20000"/>
  </r>
  <r>
    <d v="2025-03-06T00:00:00"/>
    <s v="PRO-000003114"/>
    <s v="NATIONAL GALLERY OF VICTORIA"/>
    <s v="AUD"/>
    <n v="2500000"/>
    <d v="2025-03-24T00:00:00"/>
    <s v="Australia"/>
    <s v="Shop Drawing"/>
    <x v="11"/>
    <n v="0.48379293662312528"/>
    <n v="1209482.3415578131"/>
  </r>
  <r>
    <d v="2025-03-12T00:00:00"/>
    <s v="PRO-000003148"/>
    <s v="HOSPITAL EL CARMEN CIUDAD REAL"/>
    <s v="GBP"/>
    <n v="300000"/>
    <d v="2025-03-24T00:00:00"/>
    <s v="Rest of the World"/>
    <s v="Proposal"/>
    <x v="11"/>
    <n v="1"/>
    <n v="300000"/>
  </r>
  <r>
    <d v="2025-03-16T00:00:00"/>
    <s v="PRO-000003161"/>
    <s v="HOSPITAL EL CARMEN CIUDAD REAL"/>
    <s v="GBP"/>
    <n v="300000"/>
    <d v="2025-03-24T00:00:00"/>
    <s v="Rest of the World"/>
    <s v="Proposal"/>
    <x v="11"/>
    <n v="1"/>
    <n v="300000"/>
  </r>
  <r>
    <d v="2025-03-18T00:00:00"/>
    <s v="PRO-000003175"/>
    <s v="OXFORD STREET NO 334-348 BASEMENT LONDON"/>
    <s v="GBP"/>
    <n v="100000"/>
    <d v="2025-03-24T00:00:00"/>
    <s v="UK"/>
    <s v="Shop Drawing"/>
    <x v="11"/>
    <n v="1"/>
    <n v="100000"/>
  </r>
  <r>
    <d v="2025-03-18T00:00:00"/>
    <s v="PRO-000003177"/>
    <s v="UNSW BIOLINK"/>
    <s v="AUD"/>
    <n v="100000"/>
    <d v="2025-03-24T00:00:00"/>
    <s v="Australia"/>
    <s v="CAD Sketch"/>
    <x v="11"/>
    <n v="0.48379293662312528"/>
    <n v="48379.293662312528"/>
  </r>
  <r>
    <d v="2025-03-20T00:00:00"/>
    <s v="PRO-000003188"/>
    <s v="NEPEAN HOSPITAL"/>
    <s v="AUD"/>
    <n v="40000"/>
    <d v="2025-03-24T00:00:00"/>
    <s v="Australia"/>
    <s v="Proposal"/>
    <x v="11"/>
    <n v="0.48379293662312528"/>
    <n v="19351.717464925012"/>
  </r>
  <r>
    <d v="2025-03-20T00:00:00"/>
    <s v="PRO-000003198"/>
    <s v="GEORGE BUSH INT AIRPORT IAH- UNITED B N. TERMINAL EXPANSION"/>
    <s v="GBP"/>
    <n v="4364711"/>
    <d v="2025-03-24T00:00:00"/>
    <s v="USA"/>
    <s v="Shop Drawing"/>
    <x v="11"/>
    <n v="1"/>
    <n v="4364711"/>
  </r>
  <r>
    <d v="2025-02-25T00:00:00"/>
    <s v="PRO-000003072"/>
    <s v="275 KENT ST THIRD AREA"/>
    <s v="AUD"/>
    <n v="50000"/>
    <d v="2025-03-25T00:00:00"/>
    <s v="Australia"/>
    <s v="Shop Drawing"/>
    <x v="11"/>
    <n v="0.48379293662312528"/>
    <n v="24189.646831156264"/>
  </r>
  <r>
    <d v="2025-02-25T00:00:00"/>
    <s v="PRO-000003076"/>
    <s v="NEW STREET SQUARE NO 5 TAYLOR WESSING REFURB LONDON"/>
    <s v="GBP"/>
    <n v="60000"/>
    <d v="2025-03-25T00:00:00"/>
    <s v="UK"/>
    <s v="Shop Drawing"/>
    <x v="11"/>
    <n v="1"/>
    <n v="60000"/>
  </r>
  <r>
    <d v="2025-03-17T00:00:00"/>
    <s v="PRO-000003162"/>
    <s v="BARANGAROO TOWER 2 LEVEL 37"/>
    <s v="AUD"/>
    <n v="2425"/>
    <d v="2025-03-25T00:00:00"/>
    <s v="Australia"/>
    <s v="Proposal"/>
    <x v="11"/>
    <n v="0.48379293662312528"/>
    <n v="1173.1978713110789"/>
  </r>
  <r>
    <d v="2025-03-20T00:00:00"/>
    <s v="PRO-000003190"/>
    <s v="BROADGATE NO 1-2 CAT B A&amp;O SHEARMAN FLOORS 1-7"/>
    <s v="GBP"/>
    <n v="1000000"/>
    <d v="2025-03-25T00:00:00"/>
    <s v="UK"/>
    <s v="Shop Drawing"/>
    <x v="11"/>
    <n v="1"/>
    <n v="1000000"/>
  </r>
  <r>
    <d v="2025-03-12T00:00:00"/>
    <s v="PRO-000003150"/>
    <s v="KEFLAVIK INTERNATIONAL AIRPORT EXPANSION ICELAND"/>
    <s v="GBP"/>
    <n v="200000"/>
    <d v="2025-03-26T00:00:00"/>
    <s v="Rest of the World"/>
    <s v="Proposal"/>
    <x v="11"/>
    <n v="1"/>
    <n v="200000"/>
  </r>
  <r>
    <d v="2025-03-13T00:00:00"/>
    <s v="PRO-000003157"/>
    <s v="SMARALIND MATHOLL SHOPPING MALL REYKJAVIK"/>
    <s v="GBP"/>
    <n v="10000"/>
    <d v="2025-03-26T00:00:00"/>
    <s v="Rest of the World"/>
    <s v="Proposal"/>
    <x v="11"/>
    <n v="1"/>
    <n v="10000"/>
  </r>
  <r>
    <d v="2025-03-17T00:00:00"/>
    <s v="PRO-000003167"/>
    <s v="DFW AIRPORT TERMINAL F DALLAS"/>
    <s v="USD"/>
    <n v="150000"/>
    <d v="2025-03-26T00:00:00"/>
    <s v="USA"/>
    <s v="Proposal"/>
    <x v="11"/>
    <n v="0.77399380804953555"/>
    <n v="116099.07120743033"/>
  </r>
  <r>
    <d v="2025-03-19T00:00:00"/>
    <s v="PRO-000003184"/>
    <s v="OPENSKY LA DEFENSE"/>
    <s v="EUR"/>
    <n v="45000"/>
    <d v="2025-03-26T00:00:00"/>
    <s v="France"/>
    <s v="Proposal"/>
    <x v="11"/>
    <n v="0.83752093802345062"/>
    <n v="37688.442211055277"/>
  </r>
  <r>
    <d v="2025-03-19T00:00:00"/>
    <s v="PRO-000003185"/>
    <s v="IRC CAMPSFIELD HOUSE KIDLINGTON OXFORDSHIRE"/>
    <s v="GBP"/>
    <n v="50000"/>
    <d v="2025-03-26T00:00:00"/>
    <s v="UK"/>
    <s v="Proposal"/>
    <x v="11"/>
    <n v="1"/>
    <n v="50000"/>
  </r>
  <r>
    <d v="2025-03-20T00:00:00"/>
    <s v="PRO-000003194"/>
    <s v="300 E RANDOLPH HCSC CHICAGO PHASE 3 - 17 &amp; 18 FLOORS"/>
    <s v="GBP"/>
    <n v="35162"/>
    <d v="2025-03-26T00:00:00"/>
    <s v="USA"/>
    <s v="Shop Drawing"/>
    <x v="11"/>
    <n v="1"/>
    <n v="35162"/>
  </r>
  <r>
    <d v="2025-03-24T00:00:00"/>
    <s v="PRO-000003208"/>
    <s v="TOORAK VILLAGE MELBOURNE"/>
    <s v="AUD"/>
    <n v="40000"/>
    <d v="2025-03-26T00:00:00"/>
    <s v="Australia"/>
    <s v="Shop Drawing"/>
    <x v="11"/>
    <n v="0.48379293662312528"/>
    <n v="19351.717464925012"/>
  </r>
  <r>
    <d v="2025-03-24T00:00:00"/>
    <s v="PRO-000003213"/>
    <s v="VOULIAGMENIS MALL HELLINIKON  FOOD COURT MT-10 ATHENS"/>
    <s v="GBP"/>
    <n v="50000"/>
    <d v="2025-03-26T00:00:00"/>
    <s v="Rest of the World"/>
    <s v="Proposal"/>
    <x v="11"/>
    <n v="1"/>
    <n v="50000"/>
  </r>
  <r>
    <d v="2025-03-24T00:00:00"/>
    <s v="PRO-000003214"/>
    <s v="HOBBY AIRPORT CENTRAL TERMINAL/ BAGGAGE CLAIM"/>
    <s v="GBP"/>
    <n v="575353"/>
    <d v="2025-03-26T00:00:00"/>
    <s v="USA"/>
    <s v="Shop Drawing"/>
    <x v="11"/>
    <n v="1"/>
    <n v="575353"/>
  </r>
  <r>
    <d v="2025-03-25T00:00:00"/>
    <s v="PRO-000003222"/>
    <s v="EDINBURGH AIRPORT ESCAPE LOUNGE"/>
    <s v="GBP"/>
    <n v="8000"/>
    <d v="2025-03-26T00:00:00"/>
    <s v="UK"/>
    <s v="CAD Sketch"/>
    <x v="11"/>
    <n v="1"/>
    <n v="8000"/>
  </r>
  <r>
    <d v="2025-03-20T00:00:00"/>
    <s v="PRO-000003189"/>
    <s v="PARK HOUSE FINSBURY CIRCUS NO 16/18 PH 1 FLR 6 CISCO LONDON"/>
    <s v="GBP"/>
    <n v="50000"/>
    <d v="2025-03-27T00:00:00"/>
    <s v="UK"/>
    <s v="Proposal"/>
    <x v="11"/>
    <n v="1"/>
    <n v="50000"/>
  </r>
  <r>
    <d v="2025-03-24T00:00:00"/>
    <s v="PRO-000003209"/>
    <s v="MERCHANT SQUARE NO 5 CAT A REFURB PADDINGTON LONDON"/>
    <s v="GBP"/>
    <n v="200000"/>
    <d v="2025-03-27T00:00:00"/>
    <s v="UK"/>
    <s v="Proposal"/>
    <x v="11"/>
    <n v="1"/>
    <n v="200000"/>
  </r>
  <r>
    <d v="2025-03-24T00:00:00"/>
    <s v="PRO-000003211"/>
    <s v="AMAZON SWANSEA"/>
    <s v="GBP"/>
    <n v="40000"/>
    <d v="2025-03-27T00:00:00"/>
    <s v="UK"/>
    <s v="Proposal"/>
    <x v="11"/>
    <n v="1"/>
    <n v="40000"/>
  </r>
  <r>
    <d v="2025-03-26T00:00:00"/>
    <s v="PRO-000003228"/>
    <s v="BURY COLLEGE WOODBURY MANCHESTER"/>
    <s v="GBP"/>
    <n v="5000"/>
    <d v="2025-03-27T00:00:00"/>
    <s v="UK"/>
    <s v="CAD Sketch"/>
    <x v="11"/>
    <n v="1"/>
    <n v="5000"/>
  </r>
  <r>
    <d v="2025-03-18T00:00:00"/>
    <s v="PRO-000003170"/>
    <s v="EDGE SHAFTESBURY AVENUE NO 125 CHILLED RAFTS LONDON"/>
    <s v="GBP"/>
    <n v="3301000"/>
    <d v="2025-03-28T00:00:00"/>
    <s v="Special Projects"/>
    <s v="Proposal"/>
    <x v="11"/>
    <n v="1"/>
    <n v="3301000"/>
  </r>
  <r>
    <d v="2025-03-19T00:00:00"/>
    <s v="PRO-000003181"/>
    <s v="MELBOURNE AIRPORT ELEVATED ROAD AND FORECOURT PROJECT"/>
    <s v="AUD"/>
    <n v="1000000"/>
    <d v="2025-03-28T00:00:00"/>
    <s v="Australia"/>
    <s v="Shop Drawing"/>
    <x v="11"/>
    <n v="0.48379293662312528"/>
    <n v="483792.93662312528"/>
  </r>
  <r>
    <d v="2025-03-19T00:00:00"/>
    <s v="PRO-000003186"/>
    <s v="GEORGE BUSH UNITED TERM B WINGED PANEL/ WOOD CEILING MOCKUP"/>
    <s v="GBP"/>
    <n v="11985"/>
    <d v="2025-03-28T00:00:00"/>
    <s v="USA"/>
    <s v="Shop Drawing"/>
    <x v="11"/>
    <n v="1"/>
    <n v="11985"/>
  </r>
  <r>
    <d v="2025-03-20T00:00:00"/>
    <s v="PRO-000003201"/>
    <s v="NOVARTIS PHASE 2 BARCELONA"/>
    <s v="GBP"/>
    <n v="20000"/>
    <d v="2025-03-28T00:00:00"/>
    <s v="Rest of the World"/>
    <s v="Proposal"/>
    <x v="11"/>
    <n v="1"/>
    <n v="20000"/>
  </r>
  <r>
    <d v="2025-03-21T00:00:00"/>
    <s v="PRO-000003205"/>
    <s v="MUSEO BELLAS ARTES BILBAO"/>
    <s v="GBP"/>
    <n v="100000"/>
    <d v="2025-03-28T00:00:00"/>
    <s v="Rest of the World"/>
    <s v="Proposal"/>
    <x v="11"/>
    <n v="1"/>
    <n v="100000"/>
  </r>
  <r>
    <d v="2025-03-24T00:00:00"/>
    <s v="PRO-000003210"/>
    <s v="CANARY WHARF DS7 CANADA SQUARE NO 1 UCL SOM PHASE 1 LONDON"/>
    <s v="GBP"/>
    <n v="30000"/>
    <d v="2025-03-28T00:00:00"/>
    <s v="UK"/>
    <s v="Proposal"/>
    <x v="11"/>
    <n v="1"/>
    <n v="30000"/>
  </r>
  <r>
    <d v="2025-03-26T00:00:00"/>
    <s v="PRO-000003226"/>
    <s v="SMITHFIELD MARKET DEVELOPMENT MUSEUM OF LONDON CLADDING"/>
    <s v="GBP"/>
    <n v="30000"/>
    <d v="2025-03-28T00:00:00"/>
    <s v="UK"/>
    <s v="Shop Drawing"/>
    <x v="11"/>
    <n v="1"/>
    <n v="30000"/>
  </r>
  <r>
    <d v="2025-03-26T00:00:00"/>
    <s v="PRO-000003227"/>
    <s v="SMITHFIELD MARKET DEVELOPMENT MUSEUM OF LONDON CLADDING"/>
    <s v="GBP"/>
    <n v="30000"/>
    <d v="2025-03-28T00:00:00"/>
    <s v="UK"/>
    <s v="Shop Drawing"/>
    <x v="11"/>
    <n v="1"/>
    <n v="30000"/>
  </r>
  <r>
    <d v="2025-03-27T00:00:00"/>
    <s v="PRO-000003232"/>
    <s v="OCASO FUENCARRAL 107  MADRID"/>
    <s v="GBP"/>
    <n v="3000"/>
    <d v="2025-03-28T00:00:00"/>
    <s v="Rest of the World"/>
    <s v="Proposal"/>
    <x v="11"/>
    <n v="1"/>
    <n v="3000"/>
  </r>
  <r>
    <d v="2025-03-27T00:00:00"/>
    <s v="PRO-000003236"/>
    <s v="CONFIDENTIAL EUROPEAN PROJECT.GENSLER DC"/>
    <s v="USD"/>
    <n v="1200000"/>
    <d v="2025-03-28T00:00:00"/>
    <s v="USA"/>
    <s v="Shop Drawing"/>
    <x v="11"/>
    <n v="0.77399380804953555"/>
    <n v="928792.56965944264"/>
  </r>
  <r>
    <d v="2025-03-28T00:00:00"/>
    <s v="PRO-000003239"/>
    <s v="MORE LONDON NO 4 CAT A FLOOR 3 LONDON"/>
    <s v="GBP"/>
    <n v="30000"/>
    <d v="2025-03-28T00:00:00"/>
    <s v="UK"/>
    <s v="Proposal"/>
    <x v="11"/>
    <n v="1"/>
    <n v="30000"/>
  </r>
  <r>
    <d v="2025-03-24T00:00:00"/>
    <s v="PRO-000003207"/>
    <s v="SYDNEY AIRPORT - T2 LOUVRES"/>
    <s v="AUD"/>
    <n v="50000"/>
    <d v="2025-03-30T00:00:00"/>
    <s v="Australia"/>
    <s v="CAD Sketch"/>
    <x v="12"/>
    <n v="0.48379293662312528"/>
    <n v="24189.646831156264"/>
  </r>
  <r>
    <d v="2025-03-18T00:00:00"/>
    <s v="PRO-000003173"/>
    <s v="AVENUE OF AMERICAS 1290 FLRS 13-16 KING &amp; SPALDING"/>
    <s v="GBP"/>
    <n v="169924"/>
    <d v="2025-03-31T00:00:00"/>
    <s v="USA"/>
    <s v="Shop Drawing"/>
    <x v="12"/>
    <n v="1"/>
    <n v="169924"/>
  </r>
  <r>
    <d v="2025-03-21T00:00:00"/>
    <s v="PRO-000003202"/>
    <s v="ASX"/>
    <s v="AUD"/>
    <n v="70000"/>
    <d v="2025-03-31T00:00:00"/>
    <s v="Australia"/>
    <s v="Shop Drawing"/>
    <x v="12"/>
    <n v="0.48379293662312528"/>
    <n v="33865.505563618768"/>
  </r>
  <r>
    <d v="2025-03-26T00:00:00"/>
    <s v="PRO-000003224"/>
    <s v="275 KENT ST THIRD AREA"/>
    <s v="AUD"/>
    <n v="2000"/>
    <d v="2025-03-31T00:00:00"/>
    <s v="Australia"/>
    <s v="Shop Drawing"/>
    <x v="12"/>
    <n v="0.48379293662312528"/>
    <n v="967.58587324625057"/>
  </r>
  <r>
    <d v="2025-03-27T00:00:00"/>
    <s v="PRO-000003231"/>
    <s v="WITAN GATE HOUSE OFFICE REFURB PHASE 2 MILTON KEYNES"/>
    <s v="GBP"/>
    <n v="240000"/>
    <d v="2025-03-31T00:00:00"/>
    <s v="UK"/>
    <s v="Proposal"/>
    <x v="12"/>
    <n v="1"/>
    <n v="240000"/>
  </r>
  <r>
    <d v="2025-03-28T00:00:00"/>
    <s v="PRO-000003240"/>
    <s v="UNI OF MANCHESTER FALLOWFIELD CAMPUS REDEVELOPMENT"/>
    <s v="GBP"/>
    <n v="550000"/>
    <d v="2025-03-31T00:00:00"/>
    <s v="UK"/>
    <s v="Proposal"/>
    <x v="12"/>
    <n v="1"/>
    <n v="550000"/>
  </r>
  <r>
    <d v="2025-04-01T00:00:00"/>
    <s v="PRO-000003254"/>
    <s v="MONKLANDS REPLACEMENT HOSPITAL AIRDRIE"/>
    <s v="GBP"/>
    <n v="300000"/>
    <d v="2025-04-03T00:00:00"/>
    <s v="UK"/>
    <s v="CAD Sketch"/>
    <x v="12"/>
    <n v="1"/>
    <n v="300000"/>
  </r>
  <r>
    <d v="2025-03-20T00:00:00"/>
    <s v="PRO-000003197"/>
    <s v="EMBERTON HOUSE INSPIRED SCHOOLS CAT B OLYMPIA LONDON"/>
    <s v="GBP"/>
    <n v="120000"/>
    <d v="2025-04-01T00:00:00"/>
    <s v="UK"/>
    <s v="Proposal"/>
    <x v="12"/>
    <n v="1"/>
    <n v="120000"/>
  </r>
  <r>
    <d v="2025-03-28T00:00:00"/>
    <s v="PRO-000003242"/>
    <s v="BMW SHOWROOM INVERNESS ARNOLD CLARK"/>
    <s v="GBP"/>
    <n v="20000"/>
    <d v="2025-04-01T00:00:00"/>
    <s v="UK"/>
    <s v="Proposal"/>
    <x v="12"/>
    <n v="1"/>
    <n v="20000"/>
  </r>
  <r>
    <d v="2025-03-31T00:00:00"/>
    <s v="PRO-000003244"/>
    <s v="PETERBOROUGH COURT FLEET STREET CAT B MORGAN LEWIS FLRS 8-11"/>
    <s v="GBP"/>
    <n v="100000"/>
    <d v="2025-04-04T00:00:00"/>
    <s v="UK"/>
    <s v="Proposal"/>
    <x v="12"/>
    <n v="1"/>
    <n v="100000"/>
  </r>
  <r>
    <d v="2025-04-01T00:00:00"/>
    <s v="PRO-000003250"/>
    <s v="MANCHESTER AIRPORT PIER 2 PHASE 2 CELINGS"/>
    <s v="GBP"/>
    <n v="100000"/>
    <d v="2025-04-03T00:00:00"/>
    <s v="UK"/>
    <s v="Proposal"/>
    <x v="12"/>
    <n v="1"/>
    <n v="100000"/>
  </r>
  <r>
    <d v="2025-04-01T00:00:00"/>
    <s v="PRO-000003251"/>
    <s v="ADANAC PARK NORTH OPUS FIT OUT SOUTHAMPTON"/>
    <s v="GBP"/>
    <n v="130000"/>
    <d v="2025-04-04T00:00:00"/>
    <s v="UK"/>
    <s v="Proposal"/>
    <x v="12"/>
    <n v="1"/>
    <n v="130000"/>
  </r>
  <r>
    <d v="2025-04-01T00:00:00"/>
    <s v="PRO-000003252"/>
    <s v="REDCLIFFE QUAY SKELTON GROUP REFURB BRISTOL"/>
    <s v="GBP"/>
    <n v="58000"/>
    <d v="2025-04-04T00:00:00"/>
    <s v="UK"/>
    <s v="Proposal"/>
    <x v="12"/>
    <n v="1"/>
    <n v="58000"/>
  </r>
  <r>
    <d v="2025-04-01T00:00:00"/>
    <s v="PRO-000003253"/>
    <s v="BROADGATE QUARTER CAT A REFURB APPOLD STREET LONDON"/>
    <s v="GBP"/>
    <n v="450000"/>
    <d v="2025-04-02T00:00:00"/>
    <s v="UK"/>
    <s v="Proposal"/>
    <x v="12"/>
    <n v="1"/>
    <n v="450000"/>
  </r>
  <r>
    <d v="2025-04-03T00:00:00"/>
    <s v="PRO-000003265"/>
    <s v="ROCHESTER ROW NO 17-19 DEVELOPMENT LONDON"/>
    <s v="GBP"/>
    <n v="20000"/>
    <d v="2025-04-04T00:00:00"/>
    <s v="UK"/>
    <s v="Proposal"/>
    <x v="12"/>
    <n v="1"/>
    <n v="20000"/>
  </r>
  <r>
    <d v="2025-04-03T00:00:00"/>
    <s v="PRO-000003267"/>
    <s v="MORE LONDON NO 4 CAT A FLOOR 3 LONDON"/>
    <s v="GBP"/>
    <n v="30000"/>
    <d v="2025-04-03T00:00:00"/>
    <s v="UK"/>
    <s v="Proposal"/>
    <x v="12"/>
    <n v="1"/>
    <n v="30000"/>
  </r>
  <r>
    <d v="2025-03-28T00:00:00"/>
    <s v="PRO-000003241"/>
    <s v="UNKNOWN PROJECT"/>
    <s v="GBP"/>
    <n v="10000"/>
    <d v="2025-04-04T00:00:00"/>
    <s v="France"/>
    <s v="Proposal"/>
    <x v="12"/>
    <n v="1"/>
    <n v="10000"/>
  </r>
  <r>
    <d v="2025-03-28T00:00:00"/>
    <s v="PRO-000003243"/>
    <s v="TRI-COUNTY REGIONAL VOCATIONAL TECHNICAL HIGH SCHOOL"/>
    <s v="USD"/>
    <n v="250000"/>
    <d v="2025-04-01T00:00:00"/>
    <s v="USA"/>
    <s v="Hand Sketch"/>
    <x v="12"/>
    <n v="0.77399380804953555"/>
    <n v="193498.45201238387"/>
  </r>
  <r>
    <d v="2025-03-27T00:00:00"/>
    <s v="PRO-000003235"/>
    <s v="KSU KENNESAW STATE UNIVERSITY SUMMIT II HOUSING"/>
    <s v="USD"/>
    <n v="26000"/>
    <d v="2025-04-01T00:00:00"/>
    <s v="USA"/>
    <s v="Proposal"/>
    <x v="12"/>
    <n v="0.77399380804953555"/>
    <n v="20123.839009287924"/>
  </r>
  <r>
    <d v="2025-03-07T00:00:00"/>
    <s v="PRO-000003132"/>
    <s v="DETROIT CONFIDENTIAL HQ LEVEL 11"/>
    <s v="GBP"/>
    <n v="301939"/>
    <d v="2025-04-01T00:00:00"/>
    <s v="USA"/>
    <s v="Shop Drawing"/>
    <x v="12"/>
    <n v="1"/>
    <n v="301939"/>
  </r>
  <r>
    <d v="2025-03-24T00:00:00"/>
    <s v="PRO-000003215"/>
    <s v="5TH AVENUE NO 645 FLOOR 21 ROKOS CAPITAL NYC"/>
    <s v="USD"/>
    <n v="170000"/>
    <d v="2025-04-02T00:00:00"/>
    <s v="USA"/>
    <s v="Shop Drawing"/>
    <x v="12"/>
    <n v="0.77399380804953555"/>
    <n v="131578.94736842104"/>
  </r>
  <r>
    <d v="2025-03-24T00:00:00"/>
    <s v="PRO-000003217"/>
    <s v="HUDSON BLVD 66 HSBC, 29TH - 30TH EXPANSION"/>
    <s v="GBP"/>
    <n v="23025"/>
    <d v="2025-04-01T00:00:00"/>
    <s v="USA"/>
    <s v="Shop Drawing"/>
    <x v="12"/>
    <n v="1"/>
    <n v="23025"/>
  </r>
  <r>
    <d v="2025-03-26T00:00:00"/>
    <s v="PRO-000003229"/>
    <s v="MADISON AVE 1 FLOOR 11 FRANKLIN TEMPLETON ADDITIONAL ORDER"/>
    <s v="GBP"/>
    <n v="7462.9"/>
    <d v="2025-04-02T00:00:00"/>
    <s v="USA"/>
    <s v="Shop Drawing"/>
    <x v="12"/>
    <n v="1"/>
    <n v="7462.9"/>
  </r>
  <r>
    <d v="2025-03-31T00:00:00"/>
    <s v="PRO-000003245"/>
    <s v="GEORGE BUSH UNITED TERM B WINGED PANEL/ WOOD CEILING MOCKUP"/>
    <s v="USD"/>
    <n v="12000"/>
    <d v="2025-04-04T00:00:00"/>
    <s v="USA"/>
    <s v="Shop Drawing"/>
    <x v="12"/>
    <n v="0.77399380804953555"/>
    <n v="9287.925696594426"/>
  </r>
  <r>
    <d v="2025-04-04T00:00:00"/>
    <s v="PRO-000003274"/>
    <s v="CONGRESS AVE 301 FLR 1 &amp; 2 AUSTIN TX"/>
    <s v="GBP"/>
    <n v="380000"/>
    <d v="2025-04-04T00:00:00"/>
    <s v="USA"/>
    <s v="Shop Drawing"/>
    <x v="12"/>
    <n v="1"/>
    <n v="380000"/>
  </r>
  <r>
    <d v="2025-03-28T00:00:00"/>
    <s v="PRO-000003237"/>
    <s v="AUCKLAND AIRPORT DOMESTIC PROCESSOR"/>
    <s v="AUD"/>
    <n v="5000000"/>
    <d v="2025-04-03T00:00:00"/>
    <s v="Australia"/>
    <s v="CAD Sketch"/>
    <x v="12"/>
    <n v="0.48379293662312528"/>
    <n v="2418964.6831156262"/>
  </r>
  <r>
    <d v="2025-03-02T00:00:00"/>
    <s v="PRO-000003087"/>
    <s v="MELBOURNE AIRPORT ELEVATED ROAD AND FORECOURT PROJECT"/>
    <s v="AUD"/>
    <n v="1000000"/>
    <d v="2025-04-01T00:00:00"/>
    <s v="Australia"/>
    <s v="Shop Drawing"/>
    <x v="12"/>
    <n v="0.48379293662312528"/>
    <n v="483792.93662312528"/>
  </r>
  <r>
    <d v="2025-03-24T00:00:00"/>
    <s v="PRO-000003218"/>
    <s v="275 KENT ST THIRD AREA"/>
    <s v="AUD"/>
    <n v="50000"/>
    <d v="2025-04-02T00:00:00"/>
    <s v="Australia"/>
    <s v="Shop Drawing"/>
    <x v="12"/>
    <n v="0.48379293662312528"/>
    <n v="24189.646831156264"/>
  </r>
  <r>
    <d v="2025-03-31T00:00:00"/>
    <s v="PRO-000003248"/>
    <s v="ASX"/>
    <s v="AUD"/>
    <n v="60000"/>
    <d v="2025-04-01T00:00:00"/>
    <s v="Australia"/>
    <s v="Shop Drawing"/>
    <x v="12"/>
    <n v="0.48379293662312528"/>
    <n v="29027.576197387516"/>
  </r>
  <r>
    <d v="2025-04-01T00:00:00"/>
    <s v="PRO-000003255"/>
    <s v="MELBOURNE AIRPORT ELEVATED ROAD AND FORECOURT PROJECT"/>
    <s v="GBP"/>
    <n v="1000000"/>
    <d v="2025-04-04T00:00:00"/>
    <s v="Australia"/>
    <s v="Shop Drawing"/>
    <x v="12"/>
    <n v="1"/>
    <n v="1000000"/>
  </r>
  <r>
    <d v="2025-03-26T00:00:00"/>
    <s v="PRO-000003225"/>
    <s v="ADOBE BUCHAREST"/>
    <s v="GBP"/>
    <n v="20000"/>
    <d v="2025-04-03T00:00:00"/>
    <s v="Rest of the World"/>
    <s v="Proposal"/>
    <x v="12"/>
    <n v="1"/>
    <n v="20000"/>
  </r>
  <r>
    <d v="2025-03-27T00:00:00"/>
    <s v="PRO-000003233"/>
    <s v="BARCELONA AIRPORT T2 &amp; T1"/>
    <s v="GBP"/>
    <n v="100000"/>
    <d v="2025-04-01T00:00:00"/>
    <s v="Rest of the World"/>
    <s v="Proposal"/>
    <x v="12"/>
    <n v="1"/>
    <n v="100000"/>
  </r>
  <r>
    <d v="2025-03-31T00:00:00"/>
    <s v="PRO-000003246"/>
    <s v="OCASO FUENCARRAL 107  MADRID"/>
    <s v="GBP"/>
    <n v="30000"/>
    <d v="2025-04-01T00:00:00"/>
    <s v="Rest of the World"/>
    <s v="Proposal"/>
    <x v="12"/>
    <n v="1"/>
    <n v="30000"/>
  </r>
  <r>
    <d v="2025-04-01T00:00:00"/>
    <s v="PRO-000003249"/>
    <s v="WARSAW CPK NEW INTERNATIONAL AIRPORT"/>
    <s v="GBP"/>
    <n v="10000000"/>
    <d v="2025-04-01T00:00:00"/>
    <s v="Rest of the World"/>
    <s v="Proposal"/>
    <x v="12"/>
    <n v="1"/>
    <n v="10000000"/>
  </r>
  <r>
    <d v="2025-04-02T00:00:00"/>
    <s v="PRO-000003258"/>
    <s v="EDGE SHAFTESBURY AVENUE NO 125 CHILLED RAFTS LONDON"/>
    <s v="GBP"/>
    <n v="3301000"/>
    <d v="2025-04-03T00:00:00"/>
    <s v="Special Projects"/>
    <s v="Proposal"/>
    <x v="12"/>
    <n v="1"/>
    <n v="3301000"/>
  </r>
  <r>
    <d v="2025-04-07T00:00:00"/>
    <s v="PRO-000003289"/>
    <s v="BRITISH AIRWAYS CUSTOMER SERVICES NEWCASTLE"/>
    <s v="GBP"/>
    <n v="3000"/>
    <d v="2025-04-09T00:00:00"/>
    <s v="UK"/>
    <s v="CAD Sketch"/>
    <x v="13"/>
    <n v="1"/>
    <n v="3000"/>
  </r>
  <r>
    <d v="2025-03-28T00:00:00"/>
    <s v="PRO-000003238"/>
    <s v="ROCHESTER ROW NO 17-19 DEVELOPMENT LONDON"/>
    <s v="GBP"/>
    <n v="20000"/>
    <d v="2025-04-08T00:00:00"/>
    <s v="UK"/>
    <s v="Proposal"/>
    <x v="13"/>
    <n v="1"/>
    <n v="20000"/>
  </r>
  <r>
    <d v="2025-04-02T00:00:00"/>
    <s v="PRO-000003259"/>
    <s v="BRISTOL ZOO PROJECT BLACKHORSE HILL BRISTOL"/>
    <s v="GBP"/>
    <n v="4000"/>
    <d v="2025-04-08T00:00:00"/>
    <s v="UK"/>
    <s v="Proposal"/>
    <x v="13"/>
    <n v="1"/>
    <n v="4000"/>
  </r>
  <r>
    <d v="2025-04-02T00:00:00"/>
    <s v="PRO-000003260"/>
    <s v="OLD BROAD STREET NO 105-108 PINNERS HALL REFURB LONDON"/>
    <s v="GBP"/>
    <n v="40000"/>
    <d v="2025-04-11T00:00:00"/>
    <s v="UK"/>
    <s v="Proposal"/>
    <x v="13"/>
    <n v="1"/>
    <n v="40000"/>
  </r>
  <r>
    <d v="2025-04-02T00:00:00"/>
    <s v="PRO-000003263"/>
    <s v="CANARY WHARF DS7 CANADA SQUARE NO 1 UCL SOM PHASE 1 LONDON"/>
    <s v="GBP"/>
    <n v="6000"/>
    <d v="2025-04-07T00:00:00"/>
    <s v="UK"/>
    <s v="Proposal"/>
    <x v="13"/>
    <n v="1"/>
    <n v="6000"/>
  </r>
  <r>
    <d v="2025-04-03T00:00:00"/>
    <s v="PRO-000003264"/>
    <s v="SAFRAN LANDING SYSTEMS TEMPORARY RECEPTION GLOUCESTER"/>
    <s v="GBP"/>
    <n v="5000"/>
    <d v="2025-04-08T00:00:00"/>
    <s v="UK"/>
    <s v="Proposal"/>
    <x v="13"/>
    <n v="1"/>
    <n v="5000"/>
  </r>
  <r>
    <d v="2025-04-03T00:00:00"/>
    <s v="PRO-000003266"/>
    <s v="ROCHESTER ROW NO 17-19 DEVELOPMENT LONDON"/>
    <s v="GBP"/>
    <n v="20000"/>
    <d v="2025-04-10T00:00:00"/>
    <s v="UK"/>
    <s v="Proposal"/>
    <x v="13"/>
    <n v="1"/>
    <n v="20000"/>
  </r>
  <r>
    <d v="2025-04-04T00:00:00"/>
    <s v="PRO-000003271"/>
    <s v="CANARY WHARF DS7 CANADA SQUARE NO 1 UCL SOM PHASE 1 LONDON"/>
    <s v="GBP"/>
    <n v="2000"/>
    <d v="2025-04-08T00:00:00"/>
    <s v="UK"/>
    <s v="Proposal"/>
    <x v="13"/>
    <n v="1"/>
    <n v="2000"/>
  </r>
  <r>
    <d v="2025-04-04T00:00:00"/>
    <s v="PRO-000003276"/>
    <s v="PETERBOROUGH COURT FLEET STREET CAT B MORGAN LEWIS FLRS 8-11"/>
    <s v="GBP"/>
    <n v="100000"/>
    <d v="2025-04-09T00:00:00"/>
    <s v="UK"/>
    <s v="Proposal"/>
    <x v="13"/>
    <n v="1"/>
    <n v="100000"/>
  </r>
  <r>
    <d v="2025-04-06T00:00:00"/>
    <s v="PRO-000003279"/>
    <s v="CLIFFORD STREET NO 7 CAT A REFURB FLOORS 1 &amp; 5 LONDON"/>
    <s v="GBP"/>
    <n v="50000"/>
    <d v="2025-04-11T00:00:00"/>
    <s v="UK"/>
    <s v="Proposal"/>
    <x v="13"/>
    <n v="1"/>
    <n v="50000"/>
  </r>
  <r>
    <d v="2025-04-08T00:00:00"/>
    <s v="PRO-000003291"/>
    <s v="LONDON WALL NO 75 WINCHESTER HOUSE LONDON"/>
    <s v="GBP"/>
    <n v="50000"/>
    <d v="2025-04-11T00:00:00"/>
    <s v="UK"/>
    <s v="Proposal"/>
    <x v="13"/>
    <n v="1"/>
    <n v="50000"/>
  </r>
  <r>
    <d v="2025-04-08T00:00:00"/>
    <s v="PRO-000003292"/>
    <s v="MANCHESTER AIRPORT PIER 2 PHASE 2 CELINGS"/>
    <s v="GBP"/>
    <n v="10000"/>
    <d v="2025-04-08T00:00:00"/>
    <s v="UK"/>
    <s v="Proposal"/>
    <x v="13"/>
    <n v="1"/>
    <n v="10000"/>
  </r>
  <r>
    <d v="2025-04-08T00:00:00"/>
    <s v="PRO-000003294"/>
    <s v="LONDON WALL NO 75 WINCHESTER HOUSE LONDON"/>
    <s v="GBP"/>
    <n v="50000"/>
    <d v="2025-04-11T00:00:00"/>
    <s v="UK"/>
    <s v="Proposal"/>
    <x v="13"/>
    <n v="1"/>
    <n v="50000"/>
  </r>
  <r>
    <d v="2025-03-24T00:00:00"/>
    <s v="PRO-000003212"/>
    <s v="ODYSSEUM MONTPELLIER"/>
    <s v="EUR"/>
    <n v="10000"/>
    <d v="2025-04-11T00:00:00"/>
    <s v="France"/>
    <s v="Proposal"/>
    <x v="13"/>
    <n v="0.84961767204757854"/>
    <n v="8496.1767204757853"/>
  </r>
  <r>
    <d v="2025-04-04T00:00:00"/>
    <s v="PRO-000003273"/>
    <s v="COURCELLOR REFURBISHMENT"/>
    <s v="EUR"/>
    <n v="25000"/>
    <d v="2025-04-08T00:00:00"/>
    <s v="France"/>
    <s v="Proposal"/>
    <x v="13"/>
    <n v="0.84961767204757854"/>
    <n v="21240.441801189463"/>
  </r>
  <r>
    <d v="2025-04-04T00:00:00"/>
    <s v="PRO-000003275"/>
    <s v="COURCELLOR REFURBISHMENT"/>
    <s v="EUR"/>
    <n v="10000"/>
    <d v="2025-04-08T00:00:00"/>
    <s v="France"/>
    <s v="Proposal"/>
    <x v="13"/>
    <n v="0.84961767204757854"/>
    <n v="8496.1767204757853"/>
  </r>
  <r>
    <d v="2025-03-06T00:00:00"/>
    <s v="PRO-000003123"/>
    <s v="PROJECT MEADOW"/>
    <s v="USD"/>
    <n v="200000"/>
    <d v="2025-04-07T00:00:00"/>
    <s v="USA"/>
    <s v="Proposal"/>
    <x v="13"/>
    <n v="0.75018754688672173"/>
    <n v="150037.50937734434"/>
  </r>
  <r>
    <d v="2025-03-13T00:00:00"/>
    <s v="PRO-000003158"/>
    <s v="HOBBY AIRPORT CENTRAL TERMINAL/ BAGGAGE CLAIM"/>
    <s v="GBP"/>
    <n v="575353"/>
    <d v="2025-04-11T00:00:00"/>
    <s v="USA"/>
    <s v="Shop Drawing"/>
    <x v="13"/>
    <n v="1"/>
    <n v="575353"/>
  </r>
  <r>
    <d v="2025-03-18T00:00:00"/>
    <s v="PRO-000003178"/>
    <s v="GEORGE BUSH INT AIRPORT IAH- UNITED B N. TERMINAL EXPANSION"/>
    <s v="GBP"/>
    <n v="11985"/>
    <d v="2025-04-11T00:00:00"/>
    <s v="USA"/>
    <s v="Shop Drawing"/>
    <x v="13"/>
    <n v="1"/>
    <n v="11985"/>
  </r>
  <r>
    <d v="2025-03-19T00:00:00"/>
    <s v="PRO-000003187"/>
    <s v="UT BELMONT HALL FRINGE LEVEL 3 TEXAS"/>
    <s v="GBP"/>
    <n v="72724"/>
    <d v="2025-04-11T00:00:00"/>
    <s v="USA"/>
    <s v="Shop Drawing"/>
    <x v="13"/>
    <n v="1"/>
    <n v="72724"/>
  </r>
  <r>
    <d v="2025-03-26T00:00:00"/>
    <s v="PRO-000003230"/>
    <s v="HARVARD UNIV ERC LAB BUILDING WEST"/>
    <s v="GBP"/>
    <n v="1920"/>
    <d v="2025-04-11T00:00:00"/>
    <s v="USA"/>
    <s v="Shop Drawing"/>
    <x v="13"/>
    <n v="1"/>
    <n v="1920"/>
  </r>
  <r>
    <d v="2025-03-27T00:00:00"/>
    <s v="PRO-000003234"/>
    <s v="MANHATTAN WEST 2 FLOORS 13,14,15,16,17,18 KPMG"/>
    <s v="USD"/>
    <n v="50000"/>
    <d v="2025-04-10T00:00:00"/>
    <s v="USA"/>
    <s v="Shop Drawing"/>
    <x v="13"/>
    <n v="0.75018754688672173"/>
    <n v="37509.377344336084"/>
  </r>
  <r>
    <d v="2025-04-07T00:00:00"/>
    <s v="PRO-000003287"/>
    <s v="MADISON AVE 1 FLOOR 11 FRANKLIN TEMPLETON FIT OUT"/>
    <s v="GBP"/>
    <n v="96000"/>
    <d v="2025-04-08T00:00:00"/>
    <s v="USA"/>
    <s v="Shop Drawing"/>
    <x v="13"/>
    <n v="1"/>
    <n v="96000"/>
  </r>
  <r>
    <d v="2025-04-07T00:00:00"/>
    <s v="PRO-000003288"/>
    <s v="5TH AVENUE NO 645 FLOOR 21 ROKOS CAPITAL NYC"/>
    <s v="USD"/>
    <n v="160000"/>
    <d v="2025-04-13T00:00:00"/>
    <s v="USA"/>
    <s v="Shop Drawing"/>
    <x v="14"/>
    <n v="0.75018754688672173"/>
    <n v="120030.00750187547"/>
  </r>
  <r>
    <d v="2025-04-08T00:00:00"/>
    <s v="PRO-000003295"/>
    <s v="HUDSON BLVD 66 HSBC, 29TH - 30TH EXPANSION"/>
    <s v="GBP"/>
    <n v="23025"/>
    <d v="2025-04-10T00:00:00"/>
    <s v="USA"/>
    <s v="Shop Drawing"/>
    <x v="13"/>
    <n v="1"/>
    <n v="23025"/>
  </r>
  <r>
    <d v="2025-04-09T00:00:00"/>
    <s v="PRO-000003302"/>
    <s v="MADISON AVENUE 343 NEW YORK"/>
    <s v="GBP"/>
    <n v="225212"/>
    <d v="2025-04-09T00:00:00"/>
    <s v="USA"/>
    <s v="Shop Drawing"/>
    <x v="13"/>
    <n v="1"/>
    <n v="225212"/>
  </r>
  <r>
    <d v="2025-04-07T00:00:00"/>
    <s v="PRO-000003285"/>
    <s v="KENT ST NO 275 EOT AND LOBBY"/>
    <s v="AUD"/>
    <n v="50000"/>
    <d v="2025-04-08T00:00:00"/>
    <s v="Australia"/>
    <s v="CAD Sketch"/>
    <x v="13"/>
    <n v="0.48053820278712156"/>
    <n v="24026.910139356078"/>
  </r>
  <r>
    <d v="2025-01-12T00:00:00"/>
    <s v="PRO-000002847"/>
    <s v="FLINDERS LANE NO 51"/>
    <s v="AUD"/>
    <n v="250000"/>
    <d v="2025-04-07T00:00:00"/>
    <s v="Australia"/>
    <s v="Proposal"/>
    <x v="13"/>
    <n v="0.48053820278712156"/>
    <n v="120134.5506967804"/>
  </r>
  <r>
    <d v="2025-04-07T00:00:00"/>
    <s v="PRO-000003283"/>
    <s v="ASX"/>
    <s v="AUD"/>
    <n v="80000"/>
    <d v="2025-04-07T00:00:00"/>
    <s v="Australia"/>
    <s v="Shop Drawing"/>
    <x v="13"/>
    <n v="0.48053820278712156"/>
    <n v="38443.056222969724"/>
  </r>
  <r>
    <d v="2025-04-09T00:00:00"/>
    <s v="PRO-000003300"/>
    <s v="ASX"/>
    <s v="AUD"/>
    <n v="80000"/>
    <d v="2025-04-11T00:00:00"/>
    <s v="Australia"/>
    <s v="Shop Drawing"/>
    <x v="13"/>
    <n v="0.48053820278712156"/>
    <n v="38443.056222969724"/>
  </r>
  <r>
    <d v="2025-03-21T00:00:00"/>
    <s v="PRO-000003206"/>
    <s v="IGLESIA DE DIOS MINISTERIAL VALLECAS"/>
    <s v="GBP"/>
    <n v="300000"/>
    <d v="2025-04-11T00:00:00"/>
    <s v="Rest of the World"/>
    <s v="Proposal"/>
    <x v="13"/>
    <n v="1"/>
    <n v="300000"/>
  </r>
  <r>
    <d v="2025-03-25T00:00:00"/>
    <s v="PRO-000003221"/>
    <s v="HOSPITAL EL CARMEN CIUDAD REAL"/>
    <s v="GBP"/>
    <n v="20000"/>
    <d v="2025-04-07T00:00:00"/>
    <s v="Rest of the World"/>
    <s v="Proposal"/>
    <x v="13"/>
    <n v="1"/>
    <n v="20000"/>
  </r>
  <r>
    <d v="2025-04-02T00:00:00"/>
    <s v="PRO-000003262"/>
    <s v="MADRID AIRPORT REFURBISHMENT VIP T2"/>
    <s v="GBP"/>
    <n v="200000"/>
    <d v="2025-04-09T00:00:00"/>
    <s v="Rest of the World"/>
    <s v="Proposal"/>
    <x v="13"/>
    <n v="1"/>
    <n v="200000"/>
  </r>
  <r>
    <d v="2025-04-03T00:00:00"/>
    <s v="PRO-000003268"/>
    <s v="ALPHA BANK ATHENS"/>
    <s v="GBP"/>
    <n v="15000"/>
    <d v="2025-04-09T00:00:00"/>
    <s v="Rest of the World"/>
    <s v="Proposal"/>
    <x v="13"/>
    <n v="1"/>
    <n v="15000"/>
  </r>
  <r>
    <d v="2025-04-03T00:00:00"/>
    <s v="PRO-000003269"/>
    <s v="OFICINAS SEGIPSA MADRID"/>
    <s v="GBP"/>
    <n v="200000"/>
    <d v="2025-04-07T00:00:00"/>
    <s v="Rest of the World"/>
    <s v="Proposal"/>
    <x v="13"/>
    <n v="1"/>
    <n v="200000"/>
  </r>
  <r>
    <d v="2025-04-08T00:00:00"/>
    <s v="PRO-000003297"/>
    <s v="CANARY WHARF WOOD WHARF B2 APARTMENT FIT OUT LONDON"/>
    <s v="GBP"/>
    <n v="100000"/>
    <d v="2025-04-16T00:00:00"/>
    <s v="UK"/>
    <s v="CAD Sketch"/>
    <x v="14"/>
    <n v="1"/>
    <n v="100000"/>
  </r>
  <r>
    <d v="2025-04-09T00:00:00"/>
    <s v="PRO-000003301"/>
    <s v="CREASEYS DEPARTMENT STORE ST PETER PORT"/>
    <s v="GBP"/>
    <n v="8000"/>
    <d v="2025-04-16T00:00:00"/>
    <s v="UK"/>
    <s v="Proposal"/>
    <x v="14"/>
    <n v="1"/>
    <n v="8000"/>
  </r>
  <r>
    <d v="2025-04-10T00:00:00"/>
    <s v="PRO-000003303"/>
    <s v="WITAN GATE HOUSE OFFICE REFURB PHASE 2 MILTON KEYNES"/>
    <s v="GBP"/>
    <n v="240000"/>
    <d v="2025-04-15T00:00:00"/>
    <s v="UK"/>
    <s v="Proposal"/>
    <x v="14"/>
    <n v="1"/>
    <n v="240000"/>
  </r>
  <r>
    <d v="2025-04-11T00:00:00"/>
    <s v="PRO-000003308"/>
    <s v="AMAZON SWANSEA"/>
    <s v="GBP"/>
    <n v="40000"/>
    <d v="2025-04-14T00:00:00"/>
    <s v="UK"/>
    <s v="Proposal"/>
    <x v="14"/>
    <n v="1"/>
    <n v="40000"/>
  </r>
  <r>
    <d v="2025-04-11T00:00:00"/>
    <s v="PRO-000003309"/>
    <s v="WITAN GATE HOUSE OFFICE REFURB PHASE 2 MILTON KEYNES"/>
    <s v="GBP"/>
    <n v="240000"/>
    <d v="2025-04-15T00:00:00"/>
    <s v="UK"/>
    <s v="Proposal"/>
    <x v="14"/>
    <n v="1"/>
    <n v="240000"/>
  </r>
  <r>
    <d v="2025-04-13T00:00:00"/>
    <s v="PRO-000003311"/>
    <s v="OLD BROAD STREET NO 105-108 PINNERS HALL REFURB LONDON"/>
    <s v="GBP"/>
    <n v="20000"/>
    <d v="2025-04-14T00:00:00"/>
    <s v="UK"/>
    <s v="Proposal"/>
    <x v="14"/>
    <n v="1"/>
    <n v="20000"/>
  </r>
  <r>
    <d v="2025-04-14T00:00:00"/>
    <s v="PRO-000003313"/>
    <s v="SAM JAMES MISC 2025"/>
    <s v="GBP"/>
    <n v="10000"/>
    <d v="2025-04-16T00:00:00"/>
    <s v="UK"/>
    <s v="Proposal"/>
    <x v="14"/>
    <n v="1"/>
    <n v="10000"/>
  </r>
  <r>
    <d v="2025-04-15T00:00:00"/>
    <s v="PRO-000003318"/>
    <s v="AGAR STREET NO 6 CAT A REFURB FLOORS 2 &amp; 5 LONDON"/>
    <s v="GBP"/>
    <n v="10000"/>
    <d v="2025-04-16T00:00:00"/>
    <s v="UK"/>
    <s v="Proposal"/>
    <x v="14"/>
    <n v="1"/>
    <n v="10000"/>
  </r>
  <r>
    <d v="2025-04-17T00:00:00"/>
    <s v="PRO-000003330"/>
    <s v="WITAN GATE HOUSE OFFICE REFURB PHASE 2 MILTON KEYNES"/>
    <s v="GBP"/>
    <n v="240000"/>
    <d v="2025-04-17T00:00:00"/>
    <s v="UK"/>
    <s v="Proposal"/>
    <x v="14"/>
    <n v="1"/>
    <n v="240000"/>
  </r>
  <r>
    <d v="2025-04-04T00:00:00"/>
    <s v="PRO-000003272"/>
    <s v="LEADENHALL STREET NO 1 CAT B LATHAM &amp; WATKINS FLRS 1-20"/>
    <s v="GBP"/>
    <n v="500000"/>
    <d v="2025-04-14T00:00:00"/>
    <s v="UK"/>
    <s v="Shop Drawing"/>
    <x v="14"/>
    <n v="1"/>
    <n v="500000"/>
  </r>
  <r>
    <d v="2025-04-04T00:00:00"/>
    <s v="PRO-000003277"/>
    <s v="QUEEN VICTORIA STREET NO 160 FLR 2 LONDON"/>
    <s v="GBP"/>
    <n v="150000"/>
    <d v="2025-04-16T00:00:00"/>
    <s v="UK"/>
    <s v="Shop Drawing"/>
    <x v="14"/>
    <n v="1"/>
    <n v="150000"/>
  </r>
  <r>
    <d v="2025-03-20T00:00:00"/>
    <s v="PRO-000003199"/>
    <s v="MICHIGAN STATE FOOTBALL STADIUM RENO"/>
    <s v="GBP"/>
    <n v="164220"/>
    <d v="2025-04-18T00:00:00"/>
    <s v="USA"/>
    <s v="Shop Drawing"/>
    <x v="14"/>
    <n v="1"/>
    <n v="164220"/>
  </r>
  <r>
    <d v="2025-04-10T00:00:00"/>
    <s v="PRO-000003304"/>
    <s v="FIDELITY THE PIER T1 CWP COMMONWEALTH PIER MESH BOSTON"/>
    <s v="GBP"/>
    <n v="29187.08"/>
    <d v="2025-04-14T00:00:00"/>
    <s v="USA"/>
    <s v="Shop Drawing"/>
    <x v="14"/>
    <n v="1"/>
    <n v="29187.08"/>
  </r>
  <r>
    <d v="2025-04-10T00:00:00"/>
    <s v="PRO-000003306"/>
    <s v="MATHWORKS R&amp;D BLDG LAKESIDE NATICK"/>
    <s v="USD"/>
    <n v="55000"/>
    <d v="2025-04-16T00:00:00"/>
    <s v="USA"/>
    <s v="Shop Drawing"/>
    <x v="14"/>
    <n v="0.75018754688672173"/>
    <n v="41260.315078769694"/>
  </r>
  <r>
    <d v="2025-04-14T00:00:00"/>
    <s v="PRO-000003315"/>
    <s v="UNIVERSITY OF NORTH CAROLINA MCCOLL BUILDING"/>
    <s v="USD"/>
    <n v="400000"/>
    <d v="2025-04-17T00:00:00"/>
    <s v="USA"/>
    <s v="Shop Drawing"/>
    <x v="14"/>
    <n v="0.75018754688672173"/>
    <n v="300075.01875468867"/>
  </r>
  <r>
    <d v="2025-04-15T00:00:00"/>
    <s v="PRO-000003320"/>
    <s v="5TH AVENUE NO 645 FLOOR 21 ROKOS CAPITAL NYC"/>
    <s v="GBP"/>
    <n v="170000"/>
    <d v="2025-04-17T00:00:00"/>
    <s v="USA"/>
    <s v="Shop Drawing"/>
    <x v="14"/>
    <n v="1"/>
    <n v="170000"/>
  </r>
  <r>
    <d v="2025-04-17T00:00:00"/>
    <s v="PRO-000003329"/>
    <s v="GEORGE BUSH UNITED TERM B WINGED PANEL/ WOOD CEILING MOCKUP"/>
    <s v="GBP"/>
    <n v="12000"/>
    <d v="2025-04-17T00:00:00"/>
    <s v="USA"/>
    <s v="Shop Drawing"/>
    <x v="14"/>
    <n v="1"/>
    <n v="12000"/>
  </r>
  <r>
    <d v="2025-04-18T00:00:00"/>
    <s v="PRO-000003333"/>
    <s v="HOBBY AIRPORT CENTRAL TERMINAL/ BAGGAGE CLAIM"/>
    <s v="GBP"/>
    <n v="575353"/>
    <d v="2025-04-18T00:00:00"/>
    <s v="USA"/>
    <s v="Shop Drawing"/>
    <x v="14"/>
    <n v="1"/>
    <n v="575353"/>
  </r>
  <r>
    <d v="2025-04-07T00:00:00"/>
    <s v="PRO-000003284"/>
    <s v="275 KENT ST THIRD AREA"/>
    <s v="AUD"/>
    <n v="50000"/>
    <d v="2025-04-14T00:00:00"/>
    <s v="Australia"/>
    <s v="Shop Drawing"/>
    <x v="14"/>
    <n v="0.48053820278712156"/>
    <n v="24026.910139356078"/>
  </r>
  <r>
    <d v="2025-04-15T00:00:00"/>
    <s v="PRO-000003322"/>
    <s v="ARROYOFRESNO MADRID"/>
    <s v="GBP"/>
    <n v="400000"/>
    <d v="2025-04-17T00:00:00"/>
    <s v="Rest of the World"/>
    <s v="Proposal"/>
    <x v="14"/>
    <n v="1"/>
    <n v="400000"/>
  </r>
  <r>
    <d v="2025-04-17T00:00:00"/>
    <s v="PRO-000003331"/>
    <s v="MAPLE HOUSE EXTERNAL CANOPY CEILING FITZROVIA LONDON"/>
    <s v="GBP"/>
    <n v="20000"/>
    <d v="2025-04-25T00:00:00"/>
    <s v="UK"/>
    <s v="Hand Sketch"/>
    <x v="15"/>
    <n v="1"/>
    <n v="20000"/>
  </r>
  <r>
    <d v="2025-04-23T00:00:00"/>
    <s v="PRO-000003338"/>
    <s v="BRISTOL ZOO PROJECT BLACKHORSE HILL BRISTOL"/>
    <s v="GBP"/>
    <n v="4000"/>
    <d v="2025-04-25T00:00:00"/>
    <s v="UK"/>
    <s v="Hand Sketch"/>
    <x v="15"/>
    <n v="1"/>
    <n v="4000"/>
  </r>
  <r>
    <d v="2025-04-06T00:00:00"/>
    <s v="PRO-000003280"/>
    <s v="CHANCERY LANE NO 5 REDEVELOPMENT LONDON"/>
    <s v="GBP"/>
    <n v="400000"/>
    <d v="2025-04-22T00:00:00"/>
    <s v="UK"/>
    <s v="Proposal"/>
    <x v="15"/>
    <n v="1"/>
    <n v="400000"/>
  </r>
  <r>
    <d v="2025-04-06T00:00:00"/>
    <s v="PRO-000003281"/>
    <s v="HILL HOUSE REDEVELOPMENT NEW STREET SQUARE LONDON"/>
    <s v="GBP"/>
    <n v="50000"/>
    <d v="2025-04-23T00:00:00"/>
    <s v="UK"/>
    <s v="Proposal"/>
    <x v="15"/>
    <n v="1"/>
    <n v="50000"/>
  </r>
  <r>
    <d v="2025-04-14T00:00:00"/>
    <s v="PRO-000003314"/>
    <s v="ARGYLL STREET NO 40 REFURB LONDON"/>
    <s v="GBP"/>
    <n v="150000"/>
    <d v="2025-04-25T00:00:00"/>
    <s v="UK"/>
    <s v="Proposal"/>
    <x v="15"/>
    <n v="1"/>
    <n v="150000"/>
  </r>
  <r>
    <d v="2025-04-16T00:00:00"/>
    <s v="PRO-000003326"/>
    <s v="CANARY WHARF CANADA SQUARE NO 25 CITIBANK REFURB LONDON"/>
    <s v="GBP"/>
    <n v="100000"/>
    <d v="2025-04-23T00:00:00"/>
    <s v="UK"/>
    <s v="Proposal"/>
    <x v="15"/>
    <n v="1"/>
    <n v="100000"/>
  </r>
  <r>
    <d v="2025-04-22T00:00:00"/>
    <s v="PRO-000003336"/>
    <s v="CANARY WHARF WOOD WHARF B2 APARTMENT FIT OUT LONDON"/>
    <s v="GBP"/>
    <n v="150000"/>
    <d v="2025-04-25T00:00:00"/>
    <s v="UK"/>
    <s v="Proposal"/>
    <x v="15"/>
    <n v="1"/>
    <n v="150000"/>
  </r>
  <r>
    <d v="2025-04-22T00:00:00"/>
    <s v="PRO-000003337"/>
    <s v="LOWER MARSH NO 1-5 LOMA UNDERCROFT LONDON"/>
    <s v="GBP"/>
    <n v="30000"/>
    <d v="2025-04-25T00:00:00"/>
    <s v="UK"/>
    <s v="Proposal"/>
    <x v="15"/>
    <n v="1"/>
    <n v="30000"/>
  </r>
  <r>
    <d v="2025-04-24T00:00:00"/>
    <s v="PRO-000003345"/>
    <s v="LONDON WALL NO 75 WINCHESTER HOUSE LONDON"/>
    <s v="GBP"/>
    <n v="30000"/>
    <d v="2025-04-25T00:00:00"/>
    <s v="UK"/>
    <s v="Proposal"/>
    <x v="15"/>
    <n v="1"/>
    <n v="30000"/>
  </r>
  <r>
    <d v="2025-03-31T00:00:00"/>
    <s v="PRO-000003247"/>
    <s v="JOHNS HOPKINS LIFE SCIENCE BUILDING"/>
    <s v="USD"/>
    <n v="100000"/>
    <d v="2025-04-25T00:00:00"/>
    <s v="USA"/>
    <s v="Shop Drawing"/>
    <x v="15"/>
    <n v="0.75018754688672173"/>
    <n v="75018.754688672168"/>
  </r>
  <r>
    <d v="2025-04-10T00:00:00"/>
    <s v="PRO-000003305"/>
    <s v="DETROIT CONFIDENTIAL HQ LEVEL 11"/>
    <s v="GBP"/>
    <n v="364483.92"/>
    <d v="2025-04-23T00:00:00"/>
    <s v="USA"/>
    <s v="Shop Drawing"/>
    <x v="15"/>
    <n v="1"/>
    <n v="364483.92"/>
  </r>
  <r>
    <d v="2025-04-21T00:00:00"/>
    <s v="PRO-000003334"/>
    <s v="SCOVELL HALL UNIVERSITY OF KENTUCKY"/>
    <s v="GBP"/>
    <n v="60458"/>
    <d v="2025-04-25T00:00:00"/>
    <s v="USA"/>
    <s v="Shop Drawing"/>
    <x v="15"/>
    <n v="1"/>
    <n v="60458"/>
  </r>
  <r>
    <d v="2025-04-23T00:00:00"/>
    <s v="PRO-000003342"/>
    <s v="MADISON AVENUE 343 NEW YORK"/>
    <s v="GBP"/>
    <n v="228000"/>
    <d v="2025-04-25T00:00:00"/>
    <s v="USA"/>
    <s v="Shop Drawing"/>
    <x v="15"/>
    <n v="1"/>
    <n v="228000"/>
  </r>
  <r>
    <d v="2025-04-15T00:00:00"/>
    <s v="PRO-000003323"/>
    <s v="MELBOURNE AIRPORT ELEVATED ROAD AND FORECOURT PROJECT"/>
    <s v="AUD"/>
    <n v="1200000"/>
    <d v="2025-04-24T00:00:00"/>
    <s v="Australia"/>
    <s v="Shop Drawing"/>
    <x v="15"/>
    <n v="0.48053820278712156"/>
    <n v="576645.84334454592"/>
  </r>
  <r>
    <d v="2025-04-11T00:00:00"/>
    <s v="PRO-000003310"/>
    <s v="MADRID AIRPORT REFURBISHMENT VIP T2"/>
    <s v="GBP"/>
    <n v="300000"/>
    <d v="2025-04-23T00:00:00"/>
    <s v="Rest of the World"/>
    <s v="Proposal"/>
    <x v="15"/>
    <n v="1"/>
    <n v="300000"/>
  </r>
  <r>
    <d v="2025-04-16T00:00:00"/>
    <s v="PRO-000003324"/>
    <s v="ARIMA OFFICES MADRID"/>
    <s v="GBP"/>
    <n v="150000"/>
    <d v="2025-04-24T00:00:00"/>
    <s v="Rest of the World"/>
    <s v="Proposal"/>
    <x v="15"/>
    <n v="1"/>
    <n v="150000"/>
  </r>
  <r>
    <d v="2025-05-01T00:00:00"/>
    <s v="PRO-000003373"/>
    <s v="DUDLEY INTERCHANGE FISHER STREET"/>
    <s v="GBP"/>
    <n v="450000"/>
    <d v="2025-05-02T00:00:00"/>
    <s v="UK"/>
    <s v="Hand Sketch"/>
    <x v="16"/>
    <n v="1"/>
    <n v="450000"/>
  </r>
  <r>
    <d v="2025-04-06T00:00:00"/>
    <s v="PRO-000003282"/>
    <s v="NEWCASTLE AIRPORT EXTENSION AND BAGGAGE RECLAIM REFURB"/>
    <s v="GBP"/>
    <n v="100000"/>
    <d v="2025-04-29T00:00:00"/>
    <s v="UK"/>
    <s v="Proposal"/>
    <x v="16"/>
    <n v="1"/>
    <n v="100000"/>
  </r>
  <r>
    <d v="2025-04-15T00:00:00"/>
    <s v="PRO-000003319"/>
    <s v="UCB PHARMA COLLABORATION HUB WINDLESHAM CAMPUS SURREY"/>
    <s v="GBP"/>
    <n v="284000"/>
    <d v="2025-05-02T00:00:00"/>
    <s v="UK"/>
    <s v="Proposal"/>
    <x v="16"/>
    <n v="1"/>
    <n v="284000"/>
  </r>
  <r>
    <d v="2025-04-23T00:00:00"/>
    <s v="PRO-000003340"/>
    <s v="ADANAC PARK NORTH OPUS FIT OUT SOUTHAMPTON"/>
    <s v="GBP"/>
    <n v="100000"/>
    <d v="2025-04-29T00:00:00"/>
    <s v="UK"/>
    <s v="Proposal"/>
    <x v="16"/>
    <n v="1"/>
    <n v="100000"/>
  </r>
  <r>
    <d v="2025-04-25T00:00:00"/>
    <s v="PRO-000003348"/>
    <s v="THE BISHOPS AVENUE NO 56 RIVERSTONE LONDON"/>
    <s v="GBP"/>
    <n v="10000"/>
    <d v="2025-04-28T00:00:00"/>
    <s v="UK"/>
    <s v="Proposal"/>
    <x v="16"/>
    <n v="1"/>
    <n v="10000"/>
  </r>
  <r>
    <d v="2025-04-25T00:00:00"/>
    <s v="PRO-000003349"/>
    <s v="LOWER MARSH NO 1-5 LOMA UNDERCROFT LONDON"/>
    <s v="GBP"/>
    <n v="30000"/>
    <d v="2025-04-28T00:00:00"/>
    <s v="UK"/>
    <s v="Proposal"/>
    <x v="16"/>
    <n v="1"/>
    <n v="30000"/>
  </r>
  <r>
    <d v="2025-04-27T00:00:00"/>
    <s v="PRO-000003352"/>
    <s v="VINE STREET NO 1 FLOORS 3-4 CAT A+ LONDON"/>
    <s v="GBP"/>
    <n v="50000"/>
    <d v="2025-04-28T00:00:00"/>
    <s v="UK"/>
    <s v="Proposal"/>
    <x v="16"/>
    <n v="1"/>
    <n v="50000"/>
  </r>
  <r>
    <d v="2025-04-28T00:00:00"/>
    <s v="PRO-000003354"/>
    <s v="BISHOPSGATE NO 8 FLOOR 33 STANHOPE FITOUT LONDON"/>
    <s v="GBP"/>
    <n v="30000"/>
    <d v="2025-04-29T00:00:00"/>
    <s v="UK"/>
    <s v="Proposal"/>
    <x v="16"/>
    <n v="1"/>
    <n v="30000"/>
  </r>
  <r>
    <d v="2025-04-28T00:00:00"/>
    <s v="PRO-000003355"/>
    <s v="CLIFFORD STREET NO 7 CAT A REFURB FLOORS 1 &amp; 5 LONDON"/>
    <s v="GBP"/>
    <n v="50000"/>
    <d v="2025-04-29T00:00:00"/>
    <s v="UK"/>
    <s v="Proposal"/>
    <x v="16"/>
    <n v="1"/>
    <n v="50000"/>
  </r>
  <r>
    <d v="2025-04-28T00:00:00"/>
    <s v="PRO-000003357"/>
    <s v="BAKER STREET NO 25 CAT B  MOELIS FLOORS 3-4 LONDON"/>
    <s v="GBP"/>
    <n v="30000"/>
    <d v="2025-05-02T00:00:00"/>
    <s v="UK"/>
    <s v="Proposal"/>
    <x v="16"/>
    <n v="1"/>
    <n v="30000"/>
  </r>
  <r>
    <d v="2025-04-29T00:00:00"/>
    <s v="PRO-000003364"/>
    <s v="FETTER LANE NO 100 MACFARLANES FIT OUT FLOOR 3 LONDON"/>
    <s v="GBP"/>
    <n v="50000"/>
    <d v="2025-05-02T00:00:00"/>
    <s v="UK"/>
    <s v="Proposal"/>
    <x v="16"/>
    <n v="1"/>
    <n v="50000"/>
  </r>
  <r>
    <d v="2025-04-30T00:00:00"/>
    <s v="PRO-000003369"/>
    <s v="SOUTHWARK STREET NO 59.5 TP BENNETT OFFICE LONDON"/>
    <s v="GBP"/>
    <n v="100000"/>
    <d v="2025-05-02T00:00:00"/>
    <s v="UK"/>
    <s v="Proposal"/>
    <x v="16"/>
    <n v="1"/>
    <n v="100000"/>
  </r>
  <r>
    <d v="2025-05-01T00:00:00"/>
    <s v="PRO-000003379"/>
    <s v="DORKING OFFICE PARK NO 7 STONEBRIDGE HOUSE LIGHTING"/>
    <s v="GBP"/>
    <n v="50000"/>
    <d v="2025-05-02T00:00:00"/>
    <s v="UK"/>
    <s v="Shop Drawing"/>
    <x v="16"/>
    <n v="1"/>
    <n v="50000"/>
  </r>
  <r>
    <d v="2025-04-14T00:00:00"/>
    <s v="PRO-000003317"/>
    <s v="SQUANTUM ELEMENTARY SCHOOL NEW OR RENO"/>
    <s v="USD"/>
    <n v="75000"/>
    <d v="2025-04-29T00:00:00"/>
    <s v="USA"/>
    <s v="Proposal"/>
    <x v="16"/>
    <n v="0.75018754688672173"/>
    <n v="56264.066016504134"/>
  </r>
  <r>
    <d v="2025-04-23T00:00:00"/>
    <s v="PRO-000003341"/>
    <s v="HOBBY AIRPORT BAGGAGE CLAIM EXTERIOR CANOPY"/>
    <s v="USD"/>
    <n v="300000"/>
    <d v="2025-04-28T00:00:00"/>
    <s v="USA"/>
    <s v="Proposal"/>
    <x v="16"/>
    <n v="0.75018754688672173"/>
    <n v="225056.26406601653"/>
  </r>
  <r>
    <d v="2025-03-07T00:00:00"/>
    <s v="PRO-000003126"/>
    <s v="JOHN R PIERCE SCHOOL ADD/RENO BROOKLINE"/>
    <s v="GBP"/>
    <n v="115826.2"/>
    <d v="2025-04-30T00:00:00"/>
    <s v="USA"/>
    <s v="Shop Drawing"/>
    <x v="16"/>
    <n v="1"/>
    <n v="115826.2"/>
  </r>
  <r>
    <d v="2025-04-07T00:00:00"/>
    <s v="PRO-000003290"/>
    <s v="AVENUE OF AMERICAS 1290 LOWER LEVEL 01"/>
    <s v="GBP"/>
    <n v="10767.3"/>
    <d v="2025-04-29T00:00:00"/>
    <s v="USA"/>
    <s v="Shop Drawing"/>
    <x v="16"/>
    <n v="1"/>
    <n v="10767.3"/>
  </r>
  <r>
    <d v="2025-04-23T00:00:00"/>
    <s v="PRO-000003343"/>
    <s v="MADISON AVE 1 FLOOR 11 FRANKLIN TEMPLETON FIT OUT"/>
    <s v="GBP"/>
    <n v="96000"/>
    <d v="2025-04-28T00:00:00"/>
    <s v="USA"/>
    <s v="Shop Drawing"/>
    <x v="16"/>
    <n v="1"/>
    <n v="96000"/>
  </r>
  <r>
    <d v="2025-04-25T00:00:00"/>
    <s v="PRO-000003350"/>
    <s v="MANHATTAN WEST 2 FLOORS 13,14,15,16,17,18 KPMG"/>
    <s v="USD"/>
    <n v="75000"/>
    <d v="2025-05-02T00:00:00"/>
    <s v="USA"/>
    <s v="Shop Drawing"/>
    <x v="16"/>
    <n v="0.75018754688672173"/>
    <n v="56264.066016504134"/>
  </r>
  <r>
    <d v="2025-04-25T00:00:00"/>
    <s v="PRO-000003351"/>
    <s v="MICHIGAN STATE FOOTBALL STADIUM RENO"/>
    <s v="USD"/>
    <n v="164000"/>
    <d v="2025-05-02T00:00:00"/>
    <s v="USA"/>
    <s v="Shop Drawing"/>
    <x v="16"/>
    <n v="0.75018754688672173"/>
    <n v="123030.75768942236"/>
  </r>
  <r>
    <d v="2025-04-29T00:00:00"/>
    <s v="PRO-000003362"/>
    <s v="1900 N ST NW WASHINGTON DC BROWN RUDNICK ESQ"/>
    <s v="GBP"/>
    <n v="5000"/>
    <d v="2025-05-01T00:00:00"/>
    <s v="USA"/>
    <s v="Shop Drawing"/>
    <x v="16"/>
    <n v="1"/>
    <n v="5000"/>
  </r>
  <r>
    <d v="2025-04-09T00:00:00"/>
    <s v="PRO-000003299"/>
    <s v="UNSW BIOLINK"/>
    <s v="AUD"/>
    <n v="100000"/>
    <d v="2025-04-29T00:00:00"/>
    <s v="Australia"/>
    <s v="CAD Sketch"/>
    <x v="16"/>
    <n v="0.48053820278712156"/>
    <n v="48053.820278712155"/>
  </r>
  <r>
    <d v="2025-04-29T00:00:00"/>
    <s v="PRO-000003366"/>
    <s v="AUCKLAND AIRPORT WP3"/>
    <s v="AUD"/>
    <n v="800000"/>
    <d v="2025-04-30T00:00:00"/>
    <s v="Australia"/>
    <s v="CAD Sketch"/>
    <x v="16"/>
    <n v="0.48053820278712156"/>
    <n v="384430.56222969724"/>
  </r>
  <r>
    <d v="2025-02-19T00:00:00"/>
    <s v="PRO-000003036"/>
    <s v="COLLINS STREET NO 303"/>
    <s v="AUD"/>
    <n v="50000"/>
    <d v="2025-05-02T00:00:00"/>
    <s v="Australia"/>
    <s v="Shop Drawing"/>
    <x v="16"/>
    <n v="0.48053820278712156"/>
    <n v="24026.910139356078"/>
  </r>
  <r>
    <d v="2025-04-01T00:00:00"/>
    <s v="PRO-000003256"/>
    <s v="FLINDERS LANE NO 51"/>
    <s v="AUD"/>
    <n v="300000"/>
    <d v="2025-05-02T00:00:00"/>
    <s v="Australia"/>
    <s v="Shop Drawing"/>
    <x v="16"/>
    <n v="0.48053820278712156"/>
    <n v="144161.46083613648"/>
  </r>
  <r>
    <d v="2025-04-07T00:00:00"/>
    <s v="PRO-000003286"/>
    <s v="ATLASSIAN CENTRAL HAYMARKET SYDNEY"/>
    <s v="AUD"/>
    <n v="100000"/>
    <d v="2025-04-29T00:00:00"/>
    <s v="Australia"/>
    <s v="Shop Drawing"/>
    <x v="16"/>
    <n v="0.48053820278712156"/>
    <n v="48053.820278712155"/>
  </r>
  <r>
    <d v="2025-04-13T00:00:00"/>
    <s v="PRO-000003312"/>
    <s v="MELBOURNE AIRPORT ELEVATED ROAD AND FORECOURT PROJECT"/>
    <s v="GBP"/>
    <n v="1000000"/>
    <d v="2025-04-29T00:00:00"/>
    <s v="Australia"/>
    <s v="Shop Drawing"/>
    <x v="16"/>
    <n v="1"/>
    <n v="1000000"/>
  </r>
  <r>
    <d v="2025-04-16T00:00:00"/>
    <s v="PRO-000003328"/>
    <s v="SYDNEY AIRPORT - T2 LOUVRES"/>
    <s v="AUD"/>
    <n v="120000"/>
    <d v="2025-04-28T00:00:00"/>
    <s v="Australia"/>
    <s v="Shop Drawing"/>
    <x v="16"/>
    <n v="0.48053820278712156"/>
    <n v="57664.584334454586"/>
  </r>
  <r>
    <d v="2025-05-01T00:00:00"/>
    <s v="PRO-000003371"/>
    <s v="275 KENT ST THIRD AREA"/>
    <s v="AUD"/>
    <n v="57000"/>
    <d v="2025-05-01T00:00:00"/>
    <s v="Australia"/>
    <s v="Shop Drawing"/>
    <x v="16"/>
    <n v="0.48053820278712156"/>
    <n v="27390.677558865929"/>
  </r>
  <r>
    <d v="2025-04-16T00:00:00"/>
    <s v="PRO-000003327"/>
    <s v="NOVARTIS PHASE 2 BARCELONA"/>
    <s v="GBP"/>
    <n v="10000"/>
    <d v="2025-04-29T00:00:00"/>
    <s v="Rest of the World"/>
    <s v="Proposal"/>
    <x v="16"/>
    <n v="1"/>
    <n v="10000"/>
  </r>
  <r>
    <d v="2025-04-23T00:00:00"/>
    <s v="PRO-000003339"/>
    <s v="ADOBE BUCHAREST"/>
    <s v="GBP"/>
    <n v="40000"/>
    <d v="2025-04-30T00:00:00"/>
    <s v="Rest of the World"/>
    <s v="Proposal"/>
    <x v="16"/>
    <n v="1"/>
    <n v="40000"/>
  </r>
  <r>
    <d v="2025-04-24T00:00:00"/>
    <s v="PRO-000003347"/>
    <s v="ARIMA OFFICES MADRID"/>
    <s v="GBP"/>
    <n v="150000"/>
    <d v="2025-04-30T00:00:00"/>
    <s v="Rest of the World"/>
    <s v="Proposal"/>
    <x v="16"/>
    <n v="1"/>
    <n v="150000"/>
  </r>
  <r>
    <d v="2025-05-01T00:00:00"/>
    <s v="PRO-000003375"/>
    <s v="BLACKFRIARS ROAD NO 220 DEVELOPMENT LONDON"/>
    <s v="GBP"/>
    <n v="100000"/>
    <d v="2025-05-06T00:00:00"/>
    <s v="UK"/>
    <s v="CAD Sketch"/>
    <x v="17"/>
    <n v="1"/>
    <n v="100000"/>
  </r>
  <r>
    <d v="2025-05-02T00:00:00"/>
    <s v="PRO-000003382"/>
    <s v="LIVERPOOL FC EXECUTIVE BOXES ANFIELD"/>
    <s v="GBP"/>
    <n v="29562.2"/>
    <d v="2025-05-07T00:00:00"/>
    <s v="UK"/>
    <s v="CAD Sketch"/>
    <x v="17"/>
    <n v="1"/>
    <n v="29562.2"/>
  </r>
  <r>
    <d v="2025-05-08T00:00:00"/>
    <s v="PRO-000003408"/>
    <s v="BLACKFRIARS ROAD NO 220 DEVELOPMENT LONDON"/>
    <s v="GBP"/>
    <n v="100000"/>
    <d v="2025-05-08T00:00:00"/>
    <s v="UK"/>
    <s v="CAD Sketch"/>
    <x v="17"/>
    <n v="1"/>
    <n v="100000"/>
  </r>
  <r>
    <d v="2025-04-30T00:00:00"/>
    <s v="PRO-000003367"/>
    <s v="WARWICK UNIVERSITY TEXTILES MOCK UP"/>
    <s v="GBP"/>
    <n v="0"/>
    <d v="2025-05-06T00:00:00"/>
    <s v="UK"/>
    <s v="Proposal"/>
    <x v="17"/>
    <n v="1"/>
    <n v="0"/>
  </r>
  <r>
    <d v="2025-05-01T00:00:00"/>
    <s v="PRO-000003377"/>
    <s v="NEWGATE STREET NO 81 BT CENTRE HSBC FIT OUT LONDON"/>
    <s v="GBP"/>
    <n v="300000"/>
    <d v="2025-05-09T00:00:00"/>
    <s v="UK"/>
    <s v="Proposal"/>
    <x v="17"/>
    <n v="1"/>
    <n v="300000"/>
  </r>
  <r>
    <d v="2025-05-01T00:00:00"/>
    <s v="PRO-000003376"/>
    <s v="VINE STREET NO 1 FLOORS 3-4 CAT A+ LONDON"/>
    <s v="GBP"/>
    <n v="50000"/>
    <d v="2025-05-07T00:00:00"/>
    <s v="UK"/>
    <s v="Proposal"/>
    <x v="17"/>
    <n v="1"/>
    <n v="50000"/>
  </r>
  <r>
    <d v="2025-05-01T00:00:00"/>
    <s v="PRO-000003378"/>
    <s v="NEWGATE STREET NO 81 BT CENTRE HSBC FIT OUT LONDON"/>
    <s v="GBP"/>
    <n v="200000"/>
    <d v="2025-05-07T00:00:00"/>
    <s v="UK"/>
    <s v="Proposal"/>
    <x v="17"/>
    <n v="1"/>
    <n v="200000"/>
  </r>
  <r>
    <d v="2025-05-02T00:00:00"/>
    <s v="PRO-000003380"/>
    <s v="ARGYLL STREET NO 40 REFURB LONDON"/>
    <s v="GBP"/>
    <n v="100000"/>
    <d v="2025-05-08T00:00:00"/>
    <s v="UK"/>
    <s v="Proposal"/>
    <x v="17"/>
    <n v="1"/>
    <n v="100000"/>
  </r>
  <r>
    <d v="2025-05-02T00:00:00"/>
    <s v="PRO-000003381"/>
    <s v="ARGYLL STREET NO 40 REFURB LONDON"/>
    <s v="GBP"/>
    <n v="100000"/>
    <d v="2025-05-08T00:00:00"/>
    <s v="UK"/>
    <s v="Proposal"/>
    <x v="17"/>
    <n v="1"/>
    <n v="100000"/>
  </r>
  <r>
    <d v="2025-05-02T00:00:00"/>
    <s v="PRO-000003385"/>
    <s v="BISHOPSGATE NO 22 CAT B FIT OUT RIVERSTONE FLOOR 5 LONDON"/>
    <s v="GBP"/>
    <n v="75000"/>
    <d v="2025-05-09T00:00:00"/>
    <s v="UK"/>
    <s v="Proposal"/>
    <x v="17"/>
    <n v="1"/>
    <n v="75000"/>
  </r>
  <r>
    <d v="2025-05-07T00:00:00"/>
    <s v="PRO-000003398"/>
    <s v="MERCHANT SQUARE NO 5 CAT A REFURB LIGHTING LONDON"/>
    <s v="GBP"/>
    <n v="28000"/>
    <d v="2025-05-09T00:00:00"/>
    <s v="UK"/>
    <s v="Proposal"/>
    <x v="17"/>
    <n v="1"/>
    <n v="28000"/>
  </r>
  <r>
    <d v="2025-05-07T00:00:00"/>
    <s v="PRO-000003400"/>
    <s v="CANARY WHARF CANADA SQUARE NO 25 CITIBANK REFURB LONDON"/>
    <s v="GBP"/>
    <n v="20000"/>
    <d v="2025-05-08T00:00:00"/>
    <s v="UK"/>
    <s v="Proposal"/>
    <x v="17"/>
    <n v="1"/>
    <n v="20000"/>
  </r>
  <r>
    <d v="2025-05-08T00:00:00"/>
    <s v="PRO-000003414"/>
    <s v="LEADENHALL STREET NO 40 BROOKS MACDONALD FLR 8 LONDON"/>
    <s v="GBP"/>
    <n v="20000"/>
    <d v="2025-05-09T00:00:00"/>
    <s v="UK"/>
    <s v="Proposal"/>
    <x v="17"/>
    <n v="1"/>
    <n v="20000"/>
  </r>
  <r>
    <d v="2025-04-24T00:00:00"/>
    <s v="PRO-000003346"/>
    <s v="GILEAD LA DEFENSE"/>
    <s v="EUR"/>
    <n v="25000"/>
    <d v="2025-05-06T00:00:00"/>
    <s v="France"/>
    <s v="Proposal"/>
    <x v="17"/>
    <n v="0.84961767204757854"/>
    <n v="21240.441801189463"/>
  </r>
  <r>
    <d v="2024-11-25T00:00:00"/>
    <s v="PRO-000002678"/>
    <s v="HUDSON YARDS 20 WELLS FARGO, FLRS 5 &amp; 6, NEW YORK"/>
    <s v="USD"/>
    <n v="1000000"/>
    <d v="2025-05-08T00:00:00"/>
    <s v="USA"/>
    <s v="Proposal"/>
    <x v="17"/>
    <n v="0.75018754688672173"/>
    <n v="750187.54688672174"/>
  </r>
  <r>
    <d v="2025-04-30T00:00:00"/>
    <s v="PRO-000003368"/>
    <s v="HOBBY AIRPORT BAGGAGE CLAIM EXTERIOR CANOPY"/>
    <s v="USD"/>
    <n v="300000"/>
    <d v="2025-05-09T00:00:00"/>
    <s v="USA"/>
    <s v="Proposal"/>
    <x v="17"/>
    <n v="0.75018754688672173"/>
    <n v="225056.26406601653"/>
  </r>
  <r>
    <d v="2025-05-02T00:00:00"/>
    <s v="PRO-000003383"/>
    <s v="777 6TH ST NW BRENNAN CTR FOR JUSTICE WASHINGTON"/>
    <s v="USD"/>
    <n v="15000"/>
    <d v="2025-05-06T00:00:00"/>
    <s v="USA"/>
    <s v="Proposal"/>
    <x v="17"/>
    <n v="0.75018754688672173"/>
    <n v="11252.813203300826"/>
  </r>
  <r>
    <d v="2025-05-06T00:00:00"/>
    <s v="PRO-000003394"/>
    <s v="SQUANTUM ELEMENTARY SCHOOL NEW OR RENO"/>
    <s v="USD"/>
    <n v="50000"/>
    <d v="2025-05-08T00:00:00"/>
    <s v="USA"/>
    <s v="Proposal"/>
    <x v="17"/>
    <n v="0.75018754688672173"/>
    <n v="37509.377344336084"/>
  </r>
  <r>
    <d v="2025-03-24T00:00:00"/>
    <s v="PRO-000003216"/>
    <s v="DETROIT CONFIDENTIAL HQ LEVEL 9 AND 10"/>
    <s v="GBP"/>
    <n v="926774"/>
    <d v="2025-05-06T00:00:00"/>
    <s v="USA"/>
    <s v="Shop Drawing"/>
    <x v="17"/>
    <n v="1"/>
    <n v="926774"/>
  </r>
  <r>
    <d v="2025-04-23T00:00:00"/>
    <s v="PRO-000003344"/>
    <s v="GEORGE BUSH INT AIRPORT IAH- UNITED B N. TERMINAL EXPANSION"/>
    <s v="GBP"/>
    <n v="4364711"/>
    <d v="2025-05-07T00:00:00"/>
    <s v="USA"/>
    <s v="Shop Drawing"/>
    <x v="17"/>
    <n v="1"/>
    <n v="4364711"/>
  </r>
  <r>
    <d v="2025-05-06T00:00:00"/>
    <s v="PRO-000003395"/>
    <s v="HARVARD UNIV ERC LAB BUILDING WEST"/>
    <s v="GBP"/>
    <n v="1920"/>
    <d v="2025-05-07T00:00:00"/>
    <s v="USA"/>
    <s v="Shop Drawing"/>
    <x v="17"/>
    <n v="1"/>
    <n v="1920"/>
  </r>
  <r>
    <d v="2025-04-28T00:00:00"/>
    <s v="PRO-000003353"/>
    <s v="275 KENT ST THIRD AREA"/>
    <s v="AUD"/>
    <n v="50000"/>
    <d v="2025-05-07T00:00:00"/>
    <s v="Australia"/>
    <s v="CAD Sketch"/>
    <x v="17"/>
    <n v="0.48053820278712156"/>
    <n v="24026.910139356078"/>
  </r>
  <r>
    <d v="2025-04-29T00:00:00"/>
    <s v="PRO-000003359"/>
    <s v="ANZ CENTRE 833 COLLINS"/>
    <s v="AUD"/>
    <n v="170000"/>
    <d v="2025-05-09T00:00:00"/>
    <s v="Australia"/>
    <s v="CAD Sketch"/>
    <x v="17"/>
    <n v="0.48053820278712156"/>
    <n v="81691.494473810671"/>
  </r>
  <r>
    <d v="2025-04-30T00:00:00"/>
    <s v="PRO-000003370"/>
    <s v="AUCKLAND AIRPORT WP3"/>
    <s v="AUD"/>
    <n v="800000"/>
    <d v="2025-05-08T00:00:00"/>
    <s v="Australia"/>
    <s v="CAD Sketch"/>
    <x v="17"/>
    <n v="0.48053820278712156"/>
    <n v="384430.56222969724"/>
  </r>
  <r>
    <d v="2025-05-08T00:00:00"/>
    <s v="PRO-000003405"/>
    <s v="SHEPPARTON CLUB REDEVELOPMENT STAGE 2, 3 &amp; 4"/>
    <s v="AUD"/>
    <n v="20000"/>
    <d v="2025-05-09T00:00:00"/>
    <s v="Australia"/>
    <s v="CAD Sketch"/>
    <x v="17"/>
    <n v="0.48053820278712156"/>
    <n v="9610.7640557424311"/>
  </r>
  <r>
    <d v="2025-03-25T00:00:00"/>
    <s v="PRO-000003220"/>
    <s v="SOUTH ROAD NO 47 BRIGHTON EVENT SPACE"/>
    <s v="AUD"/>
    <n v="123"/>
    <d v="2025-05-08T00:00:00"/>
    <s v="Australia"/>
    <s v="Proposal"/>
    <x v="17"/>
    <n v="0.48053820278712156"/>
    <n v="59.106198942815951"/>
  </r>
  <r>
    <d v="2025-04-29T00:00:00"/>
    <s v="PRO-000003358"/>
    <s v="BARANGAROO T2 - LVL 17"/>
    <s v="AUD"/>
    <n v="10000"/>
    <d v="2025-05-08T00:00:00"/>
    <s v="Australia"/>
    <s v="Shop Drawing"/>
    <x v="17"/>
    <n v="0.48053820278712156"/>
    <n v="4805.3820278712155"/>
  </r>
  <r>
    <d v="2025-04-29T00:00:00"/>
    <s v="PRO-000003360"/>
    <s v="ATLASSIAN CENTRAL HAYMARKET SYDNEY"/>
    <s v="AUD"/>
    <n v="100000"/>
    <d v="2025-05-05T00:00:00"/>
    <s v="Australia"/>
    <s v="Shop Drawing"/>
    <x v="17"/>
    <n v="0.48053820278712156"/>
    <n v="48053.820278712155"/>
  </r>
  <r>
    <d v="2025-05-01T00:00:00"/>
    <s v="PRO-000003372"/>
    <s v="MELBOURNE AIRPORT ELEVATED ROAD AND FORECOURT PROJECT"/>
    <s v="GBP"/>
    <n v="1000000"/>
    <d v="2025-05-07T00:00:00"/>
    <s v="Australia"/>
    <s v="Shop Drawing"/>
    <x v="17"/>
    <n v="1"/>
    <n v="1000000"/>
  </r>
  <r>
    <d v="2025-05-05T00:00:00"/>
    <s v="PRO-000003388"/>
    <s v="WILLIAM CLARKE COLLEGE - BRYSON BUILDING"/>
    <s v="AUD"/>
    <n v="30000"/>
    <d v="2025-05-06T00:00:00"/>
    <s v="Australia"/>
    <s v="Shop Drawing"/>
    <x v="17"/>
    <n v="0.48053820278712156"/>
    <n v="14416.146083613647"/>
  </r>
  <r>
    <d v="2025-05-08T00:00:00"/>
    <s v="PRO-000003403"/>
    <s v="MURRAY ROSE NO 5 LEVEL 1-2"/>
    <s v="AUD"/>
    <n v="16349.34"/>
    <d v="2025-05-08T00:00:00"/>
    <s v="Australia"/>
    <s v="Shop Drawing"/>
    <x v="17"/>
    <n v="0.48053820278712156"/>
    <n v="7856.4824603555981"/>
  </r>
  <r>
    <d v="2025-04-14T00:00:00"/>
    <s v="PRO-000003316"/>
    <s v="KEFLAVIK INTERNATIONAL AIRPORT EXPANSION ICELAND"/>
    <s v="GBP"/>
    <n v="2000000"/>
    <d v="2025-05-08T00:00:00"/>
    <s v="Rest of the World"/>
    <s v="Proposal"/>
    <x v="17"/>
    <n v="1"/>
    <n v="2000000"/>
  </r>
  <r>
    <d v="2025-05-05T00:00:00"/>
    <s v="PRO-000003390"/>
    <s v="MUSEO BELLAS ARTES BILBAO"/>
    <s v="GBP"/>
    <n v="200000"/>
    <d v="2025-05-08T00:00:00"/>
    <s v="Rest of the World"/>
    <s v="Proposal"/>
    <x v="17"/>
    <n v="1"/>
    <n v="200000"/>
  </r>
  <r>
    <d v="2025-01-27T00:00:00"/>
    <s v="PRO-000002909"/>
    <s v="HONG KONG INTERNATIONAL AIRPORT T1 ANNEX BUILDING"/>
    <s v="GBP"/>
    <n v="500000"/>
    <d v="2025-05-08T00:00:00"/>
    <s v="Rest of the World"/>
    <s v="Shop Drawing"/>
    <x v="17"/>
    <n v="1"/>
    <n v="500000"/>
  </r>
  <r>
    <d v="2025-05-08T00:00:00"/>
    <s v="PRO-000003406"/>
    <s v="DERING STREET NO 20 MAYFAIR LONDON"/>
    <s v="GBP"/>
    <n v="100000"/>
    <d v="2025-05-12T00:00:00"/>
    <s v="UK"/>
    <s v="Proposal"/>
    <x v="18"/>
    <n v="1"/>
    <n v="100000"/>
  </r>
  <r>
    <d v="2025-05-08T00:00:00"/>
    <s v="PRO-000003411"/>
    <s v="NEWGATE STREET NO 81 BT CENTRE HSBC FIT OUT LONDON"/>
    <s v="GBP"/>
    <n v="200000"/>
    <d v="2025-05-13T00:00:00"/>
    <s v="UK"/>
    <s v="Proposal"/>
    <x v="18"/>
    <n v="1"/>
    <n v="200000"/>
  </r>
  <r>
    <d v="2025-05-08T00:00:00"/>
    <s v="PRO-000003409"/>
    <s v="ST GEORGE STREET NO 14 CAT A FLOOR 2 LIGHTING LONDON"/>
    <s v="GBP"/>
    <n v="50000"/>
    <d v="2025-05-14T00:00:00"/>
    <s v="UK"/>
    <s v="Proposal"/>
    <x v="18"/>
    <n v="1"/>
    <n v="50000"/>
  </r>
  <r>
    <d v="2025-05-09T00:00:00"/>
    <s v="PRO-000003419"/>
    <s v="LOWER MARSH NO 1-5 LOMA UNDERCROFT LONDON"/>
    <s v="GBP"/>
    <n v="30000"/>
    <d v="2025-05-12T00:00:00"/>
    <s v="UK"/>
    <s v="Proposal"/>
    <x v="18"/>
    <n v="1"/>
    <n v="30000"/>
  </r>
  <r>
    <d v="2025-05-09T00:00:00"/>
    <s v="PRO-000003421"/>
    <s v="CENTRAL SQUARE PWC FIT OUT 1 WOOD ST CARDIFF"/>
    <s v="GBP"/>
    <n v="75000"/>
    <d v="2025-05-16T00:00:00"/>
    <s v="UK"/>
    <s v="Proposal"/>
    <x v="18"/>
    <n v="1"/>
    <n v="75000"/>
  </r>
  <r>
    <d v="2025-05-12T00:00:00"/>
    <s v="PRO-000003424"/>
    <s v="QUEEN VICTORIA STREET NO 160 FLR 2 LONDON"/>
    <s v="GBP"/>
    <n v="150000"/>
    <d v="2025-05-15T00:00:00"/>
    <s v="UK"/>
    <s v="Proposal"/>
    <x v="18"/>
    <n v="1"/>
    <n v="150000"/>
  </r>
  <r>
    <d v="2025-05-12T00:00:00"/>
    <s v="PRO-000003425"/>
    <s v="LONDON SCHOOL OF ECONOMICS THE MARSHALL BUILDING ROOFLIGHT"/>
    <s v="GBP"/>
    <n v="25000"/>
    <d v="2025-05-15T00:00:00"/>
    <s v="UK"/>
    <s v="Proposal"/>
    <x v="18"/>
    <n v="1"/>
    <n v="25000"/>
  </r>
  <r>
    <d v="2025-05-13T00:00:00"/>
    <s v="PRO-000003431"/>
    <s v="MERCHANT SQUARE NO 5 CAT A REFURB LIGHTING LONDON"/>
    <s v="GBP"/>
    <n v="30000"/>
    <d v="2025-05-14T00:00:00"/>
    <s v="UK"/>
    <s v="Proposal"/>
    <x v="18"/>
    <n v="1"/>
    <n v="30000"/>
  </r>
  <r>
    <d v="2025-05-13T00:00:00"/>
    <s v="PRO-000003441"/>
    <s v="VINE STREET NO 1 FLOORS 3-4 CAT A+ LONDON"/>
    <s v="GBP"/>
    <n v="50000"/>
    <d v="2025-05-16T00:00:00"/>
    <s v="UK"/>
    <s v="Proposal"/>
    <x v="18"/>
    <n v="1"/>
    <n v="50000"/>
  </r>
  <r>
    <d v="2025-05-14T00:00:00"/>
    <s v="PRO-000003443"/>
    <s v="MERCHANT SQUARE NO 5 CAT A REFURB PADDINGTON LONDON"/>
    <s v="GBP"/>
    <n v="200000"/>
    <d v="2025-05-16T00:00:00"/>
    <s v="UK"/>
    <s v="Proposal"/>
    <x v="18"/>
    <n v="1"/>
    <n v="200000"/>
  </r>
  <r>
    <d v="2025-05-15T00:00:00"/>
    <s v="PRO-000003451"/>
    <s v="ADANAC PARK NORTH OPUS FIT OUT SOUTHAMPTON"/>
    <s v="GBP"/>
    <n v="2000"/>
    <d v="2025-05-16T00:00:00"/>
    <s v="UK"/>
    <s v="Proposal"/>
    <x v="18"/>
    <n v="1"/>
    <n v="2000"/>
  </r>
  <r>
    <d v="2025-05-15T00:00:00"/>
    <s v="PRO-000003452"/>
    <s v="MERCHANT SQUARE NO 5 CAT A REFURB LIGHTING LONDON"/>
    <s v="GBP"/>
    <n v="20000"/>
    <d v="2025-05-16T00:00:00"/>
    <s v="UK"/>
    <s v="Proposal"/>
    <x v="18"/>
    <n v="1"/>
    <n v="20000"/>
  </r>
  <r>
    <d v="2025-05-15T00:00:00"/>
    <s v="PRO-000003455"/>
    <s v="LIVERPOOL STREET NO 1 FOH RECEPTION &amp; EVENT SPACE LONDON"/>
    <s v="GBP"/>
    <n v="50000"/>
    <d v="2025-05-16T00:00:00"/>
    <s v="UK"/>
    <s v="Proposal"/>
    <x v="18"/>
    <n v="1"/>
    <n v="50000"/>
  </r>
  <r>
    <d v="2025-05-13T00:00:00"/>
    <s v="PRO-000003442"/>
    <s v="GPE - MASSY PALAISEAU"/>
    <s v="EUR"/>
    <n v="205000"/>
    <d v="2025-05-15T00:00:00"/>
    <s v="France"/>
    <s v="Proposal"/>
    <x v="18"/>
    <n v="0.84961767204757854"/>
    <n v="174171.62276975359"/>
  </r>
  <r>
    <d v="2025-03-25T00:00:00"/>
    <s v="PRO-000003223"/>
    <s v="MADISON AVENUE 383 LOBBY NEW YORK"/>
    <s v="USD"/>
    <n v="1000000"/>
    <d v="2025-05-16T00:00:00"/>
    <s v="USA"/>
    <s v="Shop Drawing"/>
    <x v="18"/>
    <n v="0.75018754688672173"/>
    <n v="750187.54688672174"/>
  </r>
  <r>
    <d v="2025-04-17T00:00:00"/>
    <s v="PRO-000003332"/>
    <s v="JOHN R PIERCE SCHOOL ADD/RENO BROOKLINE"/>
    <s v="GBP"/>
    <n v="115826.2"/>
    <d v="2025-05-14T00:00:00"/>
    <s v="USA"/>
    <s v="Shop Drawing"/>
    <x v="18"/>
    <n v="1"/>
    <n v="115826.2"/>
  </r>
  <r>
    <d v="2025-04-29T00:00:00"/>
    <s v="PRO-000003361"/>
    <s v="HOBBY AIRPORT CENTRAL TERMINAL/ BAGGAGE CLAIM"/>
    <s v="GBP"/>
    <n v="575353"/>
    <d v="2025-05-14T00:00:00"/>
    <s v="USA"/>
    <s v="Shop Drawing"/>
    <x v="18"/>
    <n v="1"/>
    <n v="575353"/>
  </r>
  <r>
    <d v="2025-04-29T00:00:00"/>
    <s v="PRO-000003365"/>
    <s v="DIMAN REGIONAL VOCATIONAL TECHNICAL HIGH SCHOOL"/>
    <s v="USD"/>
    <n v="105000"/>
    <d v="2025-05-16T00:00:00"/>
    <s v="USA"/>
    <s v="Shop Drawing"/>
    <x v="18"/>
    <n v="0.75018754688672173"/>
    <n v="78769.692423105778"/>
  </r>
  <r>
    <d v="2025-05-06T00:00:00"/>
    <s v="PRO-000003393"/>
    <s v="MICHIGAN STATE FOOTBALL STADIUM RENO"/>
    <s v="GBP"/>
    <n v="164220"/>
    <d v="2025-05-16T00:00:00"/>
    <s v="USA"/>
    <s v="Shop Drawing"/>
    <x v="18"/>
    <n v="1"/>
    <n v="164220"/>
  </r>
  <r>
    <d v="2025-05-07T00:00:00"/>
    <s v="PRO-000003401"/>
    <s v="UT BELMONT HALL FRINGE LEVEL 3 TEXAS"/>
    <s v="USD"/>
    <n v="82000"/>
    <d v="2025-05-13T00:00:00"/>
    <s v="USA"/>
    <s v="Shop Drawing"/>
    <x v="18"/>
    <n v="0.75018754688672173"/>
    <n v="61515.37884471118"/>
  </r>
  <r>
    <d v="2025-05-08T00:00:00"/>
    <s v="PRO-000003412"/>
    <s v="CONGRESS AVE 301 FLR 1 &amp; 2 AUSTIN TX"/>
    <s v="GBP"/>
    <n v="380000"/>
    <d v="2025-05-12T00:00:00"/>
    <s v="USA"/>
    <s v="Shop Drawing"/>
    <x v="18"/>
    <n v="1"/>
    <n v="380000"/>
  </r>
  <r>
    <d v="2025-05-15T00:00:00"/>
    <s v="PRO-000003454"/>
    <s v="PARK AVENUE 270 EXEC FLOORS, 44 to 47, JP MORGAN"/>
    <s v="GBP"/>
    <n v="337000"/>
    <d v="2025-05-15T00:00:00"/>
    <s v="USA"/>
    <s v="Shop Drawing"/>
    <x v="18"/>
    <n v="1"/>
    <n v="337000"/>
  </r>
  <r>
    <d v="2025-05-14T00:00:00"/>
    <s v="PRO-000003449"/>
    <s v="UNSW BIOLINK"/>
    <s v="AUD"/>
    <n v="100000"/>
    <d v="2025-05-15T00:00:00"/>
    <s v="Australia"/>
    <s v="CAD Sketch"/>
    <x v="18"/>
    <n v="0.48053820278712156"/>
    <n v="48053.820278712155"/>
  </r>
  <r>
    <d v="2025-05-15T00:00:00"/>
    <s v="PRO-000003450"/>
    <s v="THE PAVILION MELBOURNE"/>
    <s v="AUD"/>
    <n v="35000"/>
    <d v="2025-05-15T00:00:00"/>
    <s v="Australia"/>
    <s v="CAD Sketch"/>
    <x v="18"/>
    <n v="0.48053820278712156"/>
    <n v="16818.837097549254"/>
  </r>
  <r>
    <d v="2025-05-09T00:00:00"/>
    <s v="PRO-000003416"/>
    <s v="POLICE PRECINCT HQ HOTEL"/>
    <s v="AUD"/>
    <n v="10000"/>
    <d v="2025-05-12T00:00:00"/>
    <s v="Australia"/>
    <s v="Proposal"/>
    <x v="18"/>
    <n v="0.48053820278712156"/>
    <n v="4805.3820278712155"/>
  </r>
  <r>
    <d v="2025-05-05T00:00:00"/>
    <s v="PRO-000003389"/>
    <s v="MELBOURNE AIRPORT ELEVATED ROAD AND FORECOURT PROJECT"/>
    <s v="GBP"/>
    <n v="1000000"/>
    <d v="2025-05-12T00:00:00"/>
    <s v="Australia"/>
    <s v="Shop Drawing"/>
    <x v="18"/>
    <n v="1"/>
    <n v="1000000"/>
  </r>
  <r>
    <d v="2025-05-08T00:00:00"/>
    <s v="PRO-000003404"/>
    <s v="MELBOURNE AIRPORT T2 INTERNATIONAL CHECK IN"/>
    <s v="AUD"/>
    <n v="35000"/>
    <d v="2025-05-14T00:00:00"/>
    <s v="Australia"/>
    <s v="Shop Drawing"/>
    <x v="18"/>
    <n v="0.48053820278712156"/>
    <n v="16818.837097549254"/>
  </r>
  <r>
    <d v="2025-05-09T00:00:00"/>
    <s v="PRO-000003415"/>
    <s v="VICTORIA UNIVERSITY HIC ASSOCIATED WORKS STAGE 2"/>
    <s v="AUD"/>
    <n v="160000"/>
    <d v="2025-05-16T00:00:00"/>
    <s v="Australia"/>
    <s v="Shop Drawing"/>
    <x v="18"/>
    <n v="0.48053820278712156"/>
    <n v="76886.112445939449"/>
  </r>
  <r>
    <d v="2025-05-13T00:00:00"/>
    <s v="PRO-000003432"/>
    <s v="THE PAVILION MELBOURNE"/>
    <s v="AUD"/>
    <n v="39509"/>
    <d v="2025-05-14T00:00:00"/>
    <s v="Australia"/>
    <s v="Shop Drawing"/>
    <x v="18"/>
    <n v="0.48053820278712156"/>
    <n v="18985.583853916385"/>
  </r>
  <r>
    <d v="2025-04-08T00:00:00"/>
    <s v="PRO-000003298"/>
    <s v="PRADO MUSEUM EXTENSION MADRID"/>
    <s v="GBP"/>
    <n v="1500000"/>
    <d v="2025-05-12T00:00:00"/>
    <s v="Rest of the World"/>
    <s v="Proposal"/>
    <x v="18"/>
    <n v="1"/>
    <n v="1500000"/>
  </r>
  <r>
    <d v="2025-04-29T00:00:00"/>
    <s v="PRO-000003363"/>
    <s v="CASTELLANA 106 MADRID"/>
    <s v="GBP"/>
    <n v="200000"/>
    <d v="2025-05-16T00:00:00"/>
    <s v="Rest of the World"/>
    <s v="Proposal"/>
    <x v="18"/>
    <n v="1"/>
    <n v="200000"/>
  </r>
  <r>
    <d v="2025-05-07T00:00:00"/>
    <s v="PRO-000003402"/>
    <s v="MUPAC SANTANDER"/>
    <s v="GBP"/>
    <n v="300000"/>
    <d v="2025-05-13T00:00:00"/>
    <s v="Rest of the World"/>
    <s v="Proposal"/>
    <x v="18"/>
    <n v="1"/>
    <n v="300000"/>
  </r>
  <r>
    <d v="2025-05-08T00:00:00"/>
    <s v="PRO-000003407"/>
    <s v="KITCHEN REVAMPING BOURI DP4 LIBYA OFFSHORE"/>
    <s v="GBP"/>
    <n v="59674"/>
    <d v="2025-05-15T00:00:00"/>
    <s v="Rest of the World"/>
    <s v="Proposal"/>
    <x v="18"/>
    <n v="1"/>
    <n v="59674"/>
  </r>
  <r>
    <d v="2025-05-09T00:00:00"/>
    <s v="PRO-000003420"/>
    <s v="CUBO DE ALTADIS SEVILLA"/>
    <s v="GBP"/>
    <n v="300000"/>
    <d v="2025-05-15T00:00:00"/>
    <s v="Rest of the World"/>
    <s v="Proposal"/>
    <x v="18"/>
    <n v="1"/>
    <n v="300000"/>
  </r>
  <r>
    <d v="2025-05-12T00:00:00"/>
    <s v="PRO-000003428"/>
    <s v="MUSEO BELLAS ARTES BILBAO"/>
    <s v="GBP"/>
    <n v="100000"/>
    <d v="2025-05-15T00:00:00"/>
    <s v="Rest of the World"/>
    <s v="Proposal"/>
    <x v="18"/>
    <n v="1"/>
    <n v="100000"/>
  </r>
  <r>
    <d v="2025-05-08T00:00:00"/>
    <s v="PRO-000003410"/>
    <s v="PARK AVENUE BMW QUEBEC"/>
    <s v="GBP"/>
    <n v="32000"/>
    <d v="2025-05-15T00:00:00"/>
    <s v="Rest of the World"/>
    <s v="Shop Drawing"/>
    <x v="18"/>
    <n v="1"/>
    <n v="32000"/>
  </r>
  <r>
    <d v="2025-05-09T00:00:00"/>
    <s v="PRO-000003418"/>
    <s v="MARRIOTT HOTEL ABASTUMANI"/>
    <s v="GBP"/>
    <n v="55000"/>
    <d v="2025-05-14T00:00:00"/>
    <s v="Rest of the World"/>
    <s v="Shop Drawing"/>
    <x v="18"/>
    <n v="1"/>
    <n v="55000"/>
  </r>
  <r>
    <d v="2025-05-19T00:00:00"/>
    <s v="PRO-000003475"/>
    <s v="2 CHAWLEY PARK OXFORD"/>
    <s v="GBP"/>
    <n v="10000"/>
    <d v="2025-05-22T00:00:00"/>
    <s v="UK"/>
    <s v="Hand Sketch"/>
    <x v="19"/>
    <n v="1"/>
    <n v="10000"/>
  </r>
  <r>
    <d v="2025-05-23T00:00:00"/>
    <s v="PRO-000003495"/>
    <s v="UNI OF CAMBRIDGE CHEMISTRY LECTURE ROOM CEILINGS FLRS 2&amp;3"/>
    <s v="GBP"/>
    <n v="30000"/>
    <d v="2025-05-23T00:00:00"/>
    <s v="UK"/>
    <s v="Hand Sketch"/>
    <x v="19"/>
    <n v="1"/>
    <n v="30000"/>
  </r>
  <r>
    <d v="2025-05-13T00:00:00"/>
    <s v="PRO-000003433"/>
    <s v="ARGYLL STREET NO 40 REFURB LONDON"/>
    <s v="GBP"/>
    <n v="100000"/>
    <d v="2025-05-20T00:00:00"/>
    <s v="UK"/>
    <s v="Proposal"/>
    <x v="19"/>
    <n v="1"/>
    <n v="100000"/>
  </r>
  <r>
    <d v="2025-05-13T00:00:00"/>
    <s v="PRO-000003434"/>
    <s v="DERING STREET NO 20 MAYFAIR LONDON"/>
    <s v="GBP"/>
    <n v="100000"/>
    <d v="2025-05-22T00:00:00"/>
    <s v="UK"/>
    <s v="Proposal"/>
    <x v="19"/>
    <n v="1"/>
    <n v="100000"/>
  </r>
  <r>
    <d v="2025-05-13T00:00:00"/>
    <s v="PRO-000003435"/>
    <s v="BLACKFRIARS ROAD NO 220 DEVELOPMENT LONDON"/>
    <s v="GBP"/>
    <n v="100000"/>
    <d v="2025-05-23T00:00:00"/>
    <s v="UK"/>
    <s v="Proposal"/>
    <x v="19"/>
    <n v="1"/>
    <n v="100000"/>
  </r>
  <r>
    <d v="2025-05-13T00:00:00"/>
    <s v="PRO-000003440"/>
    <s v="BASINGHALL STREET NO 25 WOOLGATE EXCHANGE SUSQUEHANNA"/>
    <s v="GBP"/>
    <n v="50000"/>
    <d v="2025-05-20T00:00:00"/>
    <s v="UK"/>
    <s v="Proposal"/>
    <x v="19"/>
    <n v="1"/>
    <n v="50000"/>
  </r>
  <r>
    <d v="2025-05-15T00:00:00"/>
    <s v="PRO-000003453"/>
    <s v="GOSWELL ROAD NO 348-350 EXTERNAL CANOPY LONDON"/>
    <s v="GBP"/>
    <n v="20000"/>
    <d v="2025-05-22T00:00:00"/>
    <s v="UK"/>
    <s v="Proposal"/>
    <x v="19"/>
    <n v="1"/>
    <n v="20000"/>
  </r>
  <r>
    <d v="2025-05-16T00:00:00"/>
    <s v="PRO-000003462"/>
    <s v="MORE LONDON NO 6 CAT A LONDON"/>
    <s v="GBP"/>
    <n v="100000"/>
    <d v="2025-05-20T00:00:00"/>
    <s v="UK"/>
    <s v="Proposal"/>
    <x v="19"/>
    <n v="1"/>
    <n v="100000"/>
  </r>
  <r>
    <d v="2025-05-16T00:00:00"/>
    <s v="PRO-000003463"/>
    <s v="UNI OF OXFORD INSTITUTE FOR GLOBAL HEALTH BLDG"/>
    <s v="GBP"/>
    <n v="140000"/>
    <d v="2025-05-19T00:00:00"/>
    <s v="UK"/>
    <s v="Proposal"/>
    <x v="19"/>
    <n v="1"/>
    <n v="140000"/>
  </r>
  <r>
    <d v="2025-05-19T00:00:00"/>
    <s v="PRO-000003471"/>
    <s v="BLUEWATER SHOPPING CENTRE"/>
    <s v="GBP"/>
    <n v="25000"/>
    <d v="2025-05-20T00:00:00"/>
    <s v="UK"/>
    <s v="Proposal"/>
    <x v="19"/>
    <n v="1"/>
    <n v="25000"/>
  </r>
  <r>
    <d v="2025-05-19T00:00:00"/>
    <s v="PRO-000003472"/>
    <s v="STEPHEN STREET NO 1-2 FLOOR 7 LONDON"/>
    <s v="GBP"/>
    <n v="100000"/>
    <d v="2025-05-22T00:00:00"/>
    <s v="UK"/>
    <s v="Proposal"/>
    <x v="19"/>
    <n v="1"/>
    <n v="100000"/>
  </r>
  <r>
    <d v="2025-05-20T00:00:00"/>
    <s v="PRO-000003478"/>
    <s v="LEADENHALL STREET NO 40 BROOKS MACDONALD FLR 8 LONDON"/>
    <s v="GBP"/>
    <n v="50000"/>
    <d v="2025-05-23T00:00:00"/>
    <s v="UK"/>
    <s v="Proposal"/>
    <x v="19"/>
    <n v="1"/>
    <n v="50000"/>
  </r>
  <r>
    <d v="2025-05-20T00:00:00"/>
    <s v="PRO-000003479"/>
    <s v="VINE STREET NO 1 FLOORS 3-4 CAT A+ LONDON"/>
    <s v="GBP"/>
    <n v="50000"/>
    <d v="2025-05-23T00:00:00"/>
    <s v="UK"/>
    <s v="Proposal"/>
    <x v="19"/>
    <n v="1"/>
    <n v="50000"/>
  </r>
  <r>
    <d v="2025-05-22T00:00:00"/>
    <s v="PRO-000003487"/>
    <s v="MERCHANT SQUARE NO 5 CAT A REFURB LIGHTING LONDON"/>
    <s v="GBP"/>
    <n v="20000"/>
    <d v="2025-05-22T00:00:00"/>
    <s v="UK"/>
    <s v="Proposal"/>
    <x v="19"/>
    <n v="1"/>
    <n v="20000"/>
  </r>
  <r>
    <d v="2025-05-22T00:00:00"/>
    <s v="PRO-000003489"/>
    <s v="KEBLE COLLEGE KITCHENS OXFORD"/>
    <s v="GBP"/>
    <n v="30000"/>
    <d v="2025-05-23T00:00:00"/>
    <s v="UK"/>
    <s v="Proposal"/>
    <x v="19"/>
    <n v="1"/>
    <n v="30000"/>
  </r>
  <r>
    <d v="2025-05-23T00:00:00"/>
    <s v="PRO-000003493"/>
    <s v="BAKER STREET NO 25 CAT B  MOELIS FLOORS 3-4 LONDON"/>
    <s v="GBP"/>
    <n v="25000"/>
    <d v="2025-05-23T00:00:00"/>
    <s v="UK"/>
    <s v="Proposal"/>
    <x v="19"/>
    <n v="1"/>
    <n v="25000"/>
  </r>
  <r>
    <d v="2025-05-19T00:00:00"/>
    <s v="PRO-000003470"/>
    <s v="GRESHAM STREET NO 20 CAT A REFURB LONDON"/>
    <s v="GBP"/>
    <n v="300000"/>
    <d v="2025-05-23T00:00:00"/>
    <s v="UK"/>
    <s v="Shop Drawing"/>
    <x v="19"/>
    <n v="1"/>
    <n v="300000"/>
  </r>
  <r>
    <d v="2025-05-06T00:00:00"/>
    <s v="PRO-000003396"/>
    <s v="GEORGE W BUSH INTL AIRPORT IAH- UA TBT NORTH BRIDGE"/>
    <s v="USD"/>
    <n v="700000"/>
    <d v="2025-05-22T00:00:00"/>
    <s v="USA"/>
    <s v="Proposal"/>
    <x v="19"/>
    <n v="0.75018754688672173"/>
    <n v="525131.28282070521"/>
  </r>
  <r>
    <d v="2025-05-13T00:00:00"/>
    <s v="PRO-000003437"/>
    <s v="PLUNGE BEACH RESORT FORT LAUDERDALE"/>
    <s v="USD"/>
    <n v="100000"/>
    <d v="2025-05-23T00:00:00"/>
    <s v="USA"/>
    <s v="Proposal"/>
    <x v="19"/>
    <n v="0.75018754688672173"/>
    <n v="75018.754688672168"/>
  </r>
  <r>
    <d v="2025-04-15T00:00:00"/>
    <s v="PRO-000003321"/>
    <s v="MIT SLOAN EXECUTIVE EDUCATION"/>
    <s v="GBP"/>
    <n v="184086"/>
    <d v="2025-05-22T00:00:00"/>
    <s v="USA"/>
    <s v="Shop Drawing"/>
    <x v="19"/>
    <n v="1"/>
    <n v="184086"/>
  </r>
  <r>
    <d v="2025-04-21T00:00:00"/>
    <s v="PRO-000003335"/>
    <s v="MATHWORKS R&amp;D BLDG LAKESIDE NATICK"/>
    <s v="GBP"/>
    <n v="101242"/>
    <d v="2025-05-23T00:00:00"/>
    <s v="USA"/>
    <s v="Shop Drawing"/>
    <x v="19"/>
    <n v="1"/>
    <n v="101242"/>
  </r>
  <r>
    <d v="2025-05-02T00:00:00"/>
    <s v="PRO-000003386"/>
    <s v="BRICKELL PLAZA 830 KIRKLAND ELLIS FIT OUT MIAMI"/>
    <s v="GBP"/>
    <n v="46000"/>
    <d v="2025-05-22T00:00:00"/>
    <s v="USA"/>
    <s v="Shop Drawing"/>
    <x v="19"/>
    <n v="1"/>
    <n v="46000"/>
  </r>
  <r>
    <d v="2025-05-12T00:00:00"/>
    <s v="PRO-000003427"/>
    <s v="PARK AVE NO 99 CELLAR LEVEL NEW YORK"/>
    <s v="GBP"/>
    <n v="17877"/>
    <d v="2025-05-21T00:00:00"/>
    <s v="USA"/>
    <s v="Shop Drawing"/>
    <x v="19"/>
    <n v="1"/>
    <n v="17877"/>
  </r>
  <r>
    <d v="2025-05-21T00:00:00"/>
    <s v="PRO-000003484"/>
    <s v="PARK AVENUE 270 EXEC FLOORS, 44 to 47, JP MORGAN"/>
    <s v="GBP"/>
    <n v="337000"/>
    <d v="2025-05-22T00:00:00"/>
    <s v="USA"/>
    <s v="Shop Drawing"/>
    <x v="19"/>
    <n v="1"/>
    <n v="337000"/>
  </r>
  <r>
    <d v="2025-05-01T00:00:00"/>
    <s v="PRO-000003374"/>
    <s v="MELBOURNE AIRPORT ELEVATED ROAD AND FORECOURT PROJECT"/>
    <s v="AUD"/>
    <n v="1000000"/>
    <d v="2025-05-23T00:00:00"/>
    <s v="Australia"/>
    <s v="Shop Drawing"/>
    <x v="19"/>
    <n v="0.48053820278712156"/>
    <n v="480538.20278712158"/>
  </r>
  <r>
    <d v="2025-05-07T00:00:00"/>
    <s v="PRO-000003397"/>
    <s v="ATLASSIAN CENTRAL HAYMARKET SYDNEY"/>
    <s v="AUD"/>
    <n v="150000"/>
    <d v="2025-05-20T00:00:00"/>
    <s v="Australia"/>
    <s v="Shop Drawing"/>
    <x v="19"/>
    <n v="0.48053820278712156"/>
    <n v="72080.73041806824"/>
  </r>
  <r>
    <d v="2025-05-13T00:00:00"/>
    <s v="PRO-000003429"/>
    <s v="FLINDERS LANE NO 51"/>
    <s v="AUD"/>
    <n v="300000"/>
    <d v="2025-05-23T00:00:00"/>
    <s v="Australia"/>
    <s v="Shop Drawing"/>
    <x v="19"/>
    <n v="0.48053820278712156"/>
    <n v="144161.46083613648"/>
  </r>
  <r>
    <d v="2025-05-18T00:00:00"/>
    <s v="PRO-000003465"/>
    <s v="BARANGAROO T2 - LVL 17"/>
    <s v="AUD"/>
    <n v="10000"/>
    <d v="2025-05-19T00:00:00"/>
    <s v="Australia"/>
    <s v="Shop Drawing"/>
    <x v="19"/>
    <n v="0.48053820278712156"/>
    <n v="4805.3820278712155"/>
  </r>
  <r>
    <d v="2025-05-19T00:00:00"/>
    <s v="PRO-000003466"/>
    <s v="IAPMO ENERGY EFFICIENCY AND APPLIANCE SAFETY LABRATORY"/>
    <s v="AUD"/>
    <n v="13000"/>
    <d v="2025-05-20T00:00:00"/>
    <s v="Australia"/>
    <s v="Shop Drawing"/>
    <x v="19"/>
    <n v="0.48053820278712156"/>
    <n v="6246.9966362325804"/>
  </r>
  <r>
    <d v="2025-05-19T00:00:00"/>
    <s v="PRO-000003467"/>
    <s v="THE PAVILION MELBOURNE"/>
    <s v="AUD"/>
    <n v="38530"/>
    <d v="2025-05-20T00:00:00"/>
    <s v="Australia"/>
    <s v="Shop Drawing"/>
    <x v="19"/>
    <n v="0.48053820278712156"/>
    <n v="18515.136953387795"/>
  </r>
  <r>
    <d v="2025-05-19T00:00:00"/>
    <s v="PRO-000003468"/>
    <s v="THE PAVILION MELBOURNE"/>
    <s v="AUD"/>
    <n v="38530"/>
    <d v="2025-05-19T00:00:00"/>
    <s v="Australia"/>
    <s v="Shop Drawing"/>
    <x v="19"/>
    <n v="0.48053820278712156"/>
    <n v="18515.136953387795"/>
  </r>
  <r>
    <d v="2025-05-20T00:00:00"/>
    <s v="PRO-000003476"/>
    <s v="SYDNEY AIRPORT - T2 LOUVRES"/>
    <s v="AUD"/>
    <n v="150000"/>
    <d v="2025-05-22T00:00:00"/>
    <s v="Australia"/>
    <s v="Shop Drawing"/>
    <x v="19"/>
    <n v="0.48053820278712156"/>
    <n v="72080.73041806824"/>
  </r>
  <r>
    <d v="2025-05-20T00:00:00"/>
    <s v="PRO-000003477"/>
    <s v="60 MARTIN PLACE LEVEL 3 PODIUM"/>
    <s v="AUD"/>
    <n v="50000"/>
    <d v="2025-05-20T00:00:00"/>
    <s v="Australia"/>
    <s v="Shop Drawing"/>
    <x v="19"/>
    <n v="0.48053820278712156"/>
    <n v="24026.910139356078"/>
  </r>
  <r>
    <d v="2025-05-21T00:00:00"/>
    <s v="PRO-000003480"/>
    <s v="THE PAVILION MELBOURNE"/>
    <s v="AUD"/>
    <n v="38000"/>
    <d v="2025-05-21T00:00:00"/>
    <s v="Australia"/>
    <s v="Shop Drawing"/>
    <x v="19"/>
    <n v="0.48053820278712156"/>
    <n v="18260.451705910618"/>
  </r>
  <r>
    <d v="2025-05-13T00:00:00"/>
    <s v="PRO-000003439"/>
    <s v="PRADO MUSEUM EXTENSION MADRID"/>
    <s v="GBP"/>
    <n v="900000"/>
    <d v="2025-05-23T00:00:00"/>
    <s v="Rest of the World"/>
    <s v="Proposal"/>
    <x v="19"/>
    <n v="1"/>
    <n v="900000"/>
  </r>
  <r>
    <d v="2025-05-14T00:00:00"/>
    <s v="PRO-000003447"/>
    <s v="MUSEO BELLAS ARTES BILBAO"/>
    <s v="GBP"/>
    <n v="100000"/>
    <d v="2025-05-23T00:00:00"/>
    <s v="Rest of the World"/>
    <s v="Proposal"/>
    <x v="19"/>
    <n v="1"/>
    <n v="100000"/>
  </r>
  <r>
    <d v="2025-05-13T00:00:00"/>
    <s v="PRO-000003436"/>
    <s v="TURING HOUSE BARCLAYS TECHNOLOGY CENTRE KNUTSFORD"/>
    <s v="GBP"/>
    <n v="600000"/>
    <d v="2025-05-30T00:00:00"/>
    <s v="UK"/>
    <s v="Proposal"/>
    <x v="20"/>
    <n v="1"/>
    <n v="600000"/>
  </r>
  <r>
    <d v="2025-05-19T00:00:00"/>
    <s v="PRO-000003469"/>
    <s v="GRESHAM STREET NO 20 CAT A REFURB LONDON"/>
    <s v="GBP"/>
    <n v="300000"/>
    <d v="2025-05-27T00:00:00"/>
    <s v="UK"/>
    <s v="Proposal"/>
    <x v="20"/>
    <n v="1"/>
    <n v="300000"/>
  </r>
  <r>
    <d v="2025-05-21T00:00:00"/>
    <s v="PRO-000003482"/>
    <s v="WELLINGBOROUGH SCHOOL LONDON RD WELLINGBOROUGH"/>
    <s v="GBP"/>
    <n v="30000"/>
    <d v="2025-05-27T00:00:00"/>
    <s v="UK"/>
    <s v="Proposal"/>
    <x v="20"/>
    <n v="1"/>
    <n v="30000"/>
  </r>
  <r>
    <d v="2025-05-21T00:00:00"/>
    <s v="PRO-000003486"/>
    <s v="OLD BROAD STREET NO 105-108 PINNERS HALL REFURB LONDON"/>
    <s v="GBP"/>
    <n v="10000"/>
    <d v="2025-05-30T00:00:00"/>
    <s v="UK"/>
    <s v="Proposal"/>
    <x v="20"/>
    <n v="1"/>
    <n v="10000"/>
  </r>
  <r>
    <d v="2025-05-27T00:00:00"/>
    <s v="PRO-000003507"/>
    <s v="CHANCERY LANE NO 5 REDEVELOPMENT LONDON"/>
    <s v="GBP"/>
    <n v="500000"/>
    <d v="2025-05-30T00:00:00"/>
    <s v="UK"/>
    <s v="Proposal"/>
    <x v="20"/>
    <n v="1"/>
    <n v="500000"/>
  </r>
  <r>
    <d v="2025-05-27T00:00:00"/>
    <s v="PRO-000003506"/>
    <s v="WEST ONE DEVELOPMENT OXFORD STREET LONDON"/>
    <s v="GBP"/>
    <n v="200000"/>
    <d v="2025-05-30T00:00:00"/>
    <s v="UK"/>
    <s v="Proposal"/>
    <x v="20"/>
    <n v="1"/>
    <n v="200000"/>
  </r>
  <r>
    <d v="2025-05-06T00:00:00"/>
    <s v="PRO-000003391"/>
    <s v="DUDLEY INTERCHANGE FISHER STREET"/>
    <s v="GBP"/>
    <n v="450000"/>
    <d v="2025-05-30T00:00:00"/>
    <s v="UK"/>
    <s v="Shop Drawing"/>
    <x v="20"/>
    <n v="1"/>
    <n v="450000"/>
  </r>
  <r>
    <d v="2025-05-08T00:00:00"/>
    <s v="PRO-000003413"/>
    <s v="DUDLEY INTERCHANGE FISHER STREET"/>
    <s v="GBP"/>
    <n v="450000"/>
    <d v="2025-05-30T00:00:00"/>
    <s v="UK"/>
    <s v="Shop Drawing"/>
    <x v="20"/>
    <n v="1"/>
    <n v="450000"/>
  </r>
  <r>
    <d v="2025-05-29T00:00:00"/>
    <s v="PRO-000003521"/>
    <s v="MELBOURNE AIRPORT T1 NORTHERN BRIDGE LINK"/>
    <s v="AUD"/>
    <n v="600000"/>
    <d v="2025-05-30T00:00:00"/>
    <s v="Australia"/>
    <s v="CAD Sketch"/>
    <x v="20"/>
    <n v="0.48053820278712156"/>
    <n v="288322.92167227296"/>
  </r>
  <r>
    <d v="2025-05-14T00:00:00"/>
    <s v="PRO-000003448"/>
    <s v="PROGRESSIVE OFFICE"/>
    <s v="AUD"/>
    <n v="40000"/>
    <d v="2025-05-27T00:00:00"/>
    <s v="Australia"/>
    <s v="Proposal"/>
    <x v="20"/>
    <n v="0.48053820278712156"/>
    <n v="19221.528111484862"/>
  </r>
  <r>
    <d v="2025-05-09T00:00:00"/>
    <s v="PRO-000003417"/>
    <s v="SYDNEY AIRPORT - T2 LOUVRES"/>
    <s v="AUD"/>
    <n v="150000"/>
    <d v="2025-05-27T00:00:00"/>
    <s v="Australia"/>
    <s v="Shop Drawing"/>
    <x v="20"/>
    <n v="0.48053820278712156"/>
    <n v="72080.73041806824"/>
  </r>
  <r>
    <d v="2025-05-26T00:00:00"/>
    <s v="PRO-000003502"/>
    <s v="AUCKLAND AIRPORT DOMESTIC PROCESSOR"/>
    <s v="AUD"/>
    <n v="5000000"/>
    <d v="2025-05-28T00:00:00"/>
    <s v="Australia"/>
    <s v="Shop Drawing"/>
    <x v="20"/>
    <n v="0.48053820278712156"/>
    <n v="2402691.0139356079"/>
  </r>
  <r>
    <d v="2025-05-27T00:00:00"/>
    <s v="PRO-000003503"/>
    <s v="60 MARTIN PLACE LEVEL 3 PODIUM"/>
    <s v="AUD"/>
    <n v="60000"/>
    <d v="2025-05-28T00:00:00"/>
    <s v="Australia"/>
    <s v="Shop Drawing"/>
    <x v="20"/>
    <n v="0.48053820278712156"/>
    <n v="28832.292167227293"/>
  </r>
  <r>
    <d v="2025-05-27T00:00:00"/>
    <s v="PRO-000003504"/>
    <s v="WILLIAM CLARKE COLLEGE - BRYSON BUILDING"/>
    <s v="AUD"/>
    <n v="150000"/>
    <d v="2025-05-27T00:00:00"/>
    <s v="Australia"/>
    <s v="Shop Drawing"/>
    <x v="20"/>
    <n v="0.48053820278712156"/>
    <n v="72080.73041806824"/>
  </r>
  <r>
    <d v="2025-05-27T00:00:00"/>
    <s v="PRO-000003505"/>
    <s v="275 KENT ST THIRD AREA"/>
    <s v="AUD"/>
    <n v="57000"/>
    <d v="2025-05-28T00:00:00"/>
    <s v="Australia"/>
    <s v="Shop Drawing"/>
    <x v="20"/>
    <n v="0.48053820278712156"/>
    <n v="27390.677558865929"/>
  </r>
  <r>
    <d v="2025-05-27T00:00:00"/>
    <s v="PRO-000003513"/>
    <s v="FLINDERS LANE NO 51"/>
    <s v="AUD"/>
    <n v="300000"/>
    <d v="2025-05-30T00:00:00"/>
    <s v="Australia"/>
    <s v="Shop Drawing"/>
    <x v="20"/>
    <n v="0.48053820278712156"/>
    <n v="144161.46083613648"/>
  </r>
  <r>
    <d v="2025-05-28T00:00:00"/>
    <s v="PRO-000003514"/>
    <s v="POLICE PRECINCT HQ HOTEL"/>
    <s v="AUD"/>
    <n v="10000"/>
    <d v="2025-05-29T00:00:00"/>
    <s v="Australia"/>
    <s v="Shop Drawing"/>
    <x v="20"/>
    <n v="0.48053820278712156"/>
    <n v="4805.3820278712155"/>
  </r>
  <r>
    <d v="2025-05-22T00:00:00"/>
    <s v="PRO-000003488"/>
    <s v="REPSOL 2026 PLAN MADRID"/>
    <s v="GBP"/>
    <n v="5000"/>
    <d v="2025-05-28T00:00:00"/>
    <s v="Rest of the World"/>
    <s v="Proposal"/>
    <x v="20"/>
    <n v="1"/>
    <n v="5000"/>
  </r>
  <r>
    <d v="2025-05-23T00:00:00"/>
    <s v="PRO-000003498"/>
    <s v="ADOBE BUCHAREST"/>
    <s v="GBP"/>
    <n v="50000"/>
    <d v="2025-05-27T00:00:00"/>
    <s v="Rest of the World"/>
    <s v="Proposal"/>
    <x v="20"/>
    <n v="1"/>
    <n v="50000"/>
  </r>
  <r>
    <d v="2025-05-28T00:00:00"/>
    <s v="PRO-000003520"/>
    <s v="PARK AVENUE BMW QUEBEC"/>
    <s v="GBP"/>
    <n v="20000"/>
    <d v="2025-05-30T00:00:00"/>
    <s v="Rest of the World"/>
    <s v="Proposal"/>
    <x v="20"/>
    <n v="1"/>
    <n v="20000"/>
  </r>
  <r>
    <d v="2025-05-21T00:00:00"/>
    <s v="PRO-000003485"/>
    <s v="KING WILLIAM STREET NO 10 BANK OVERSITE OSD LOADING BAY"/>
    <s v="GBP"/>
    <n v="15000"/>
    <d v="2025-06-05T00:00:00"/>
    <s v="UK"/>
    <s v="Proposal"/>
    <x v="21"/>
    <n v="1"/>
    <n v="15000"/>
  </r>
  <r>
    <d v="2025-05-22T00:00:00"/>
    <s v="PRO-000003490"/>
    <s v="CANARY WHARF DS7 CANADA SQUARE NO 1 UCL SOM PHASE 2 LONDON"/>
    <s v="GBP"/>
    <n v="100000"/>
    <d v="2025-06-02T00:00:00"/>
    <s v="UK"/>
    <s v="Proposal"/>
    <x v="21"/>
    <n v="1"/>
    <n v="100000"/>
  </r>
  <r>
    <d v="2025-05-28T00:00:00"/>
    <s v="PRO-000003515"/>
    <s v="LIVERPOOL STREET NO 1 FOH RECEPTION &amp; EVENT SPACE LONDON"/>
    <s v="GBP"/>
    <n v="46000"/>
    <d v="2025-06-02T00:00:00"/>
    <s v="UK"/>
    <s v="Proposal"/>
    <x v="21"/>
    <n v="1"/>
    <n v="46000"/>
  </r>
  <r>
    <d v="2025-05-29T00:00:00"/>
    <s v="PRO-000003522"/>
    <s v="MERCHANT SQUARE NO 5 CAT A REFURB LIGHTING LONDON"/>
    <s v="GBP"/>
    <n v="30000"/>
    <d v="2025-06-02T00:00:00"/>
    <s v="UK"/>
    <s v="Proposal"/>
    <x v="21"/>
    <n v="1"/>
    <n v="30000"/>
  </r>
  <r>
    <d v="2025-05-30T00:00:00"/>
    <s v="PRO-000003526"/>
    <s v="CANARY WHARF WOOD WHARF WATER STREET NO 20 LONDON"/>
    <s v="GBP"/>
    <n v="20000"/>
    <d v="2025-06-04T00:00:00"/>
    <s v="UK"/>
    <s v="Proposal"/>
    <x v="21"/>
    <n v="1"/>
    <n v="20000"/>
  </r>
  <r>
    <d v="2025-05-30T00:00:00"/>
    <s v="PRO-000003527"/>
    <s v="STEPHEN STREET NO 1-2 FLOOR 7 LONDON"/>
    <s v="GBP"/>
    <n v="100000"/>
    <d v="2025-06-04T00:00:00"/>
    <s v="UK"/>
    <s v="Proposal"/>
    <x v="21"/>
    <n v="1"/>
    <n v="100000"/>
  </r>
  <r>
    <d v="2025-06-02T00:00:00"/>
    <s v="PRO-000003535"/>
    <s v="COLEMAN STREET NO 4 REFURB LONDON"/>
    <s v="GBP"/>
    <n v="120000"/>
    <d v="2025-06-04T00:00:00"/>
    <s v="UK"/>
    <s v="Proposal"/>
    <x v="21"/>
    <n v="1"/>
    <n v="120000"/>
  </r>
  <r>
    <d v="2025-06-03T00:00:00"/>
    <s v="PRO-000003541"/>
    <s v="ST GEORGE STREET NO 14 CAT A FLOOR 2 LIGHTING LONDON"/>
    <s v="GBP"/>
    <n v="65000"/>
    <d v="2025-06-05T00:00:00"/>
    <s v="UK"/>
    <s v="Proposal"/>
    <x v="21"/>
    <n v="1"/>
    <n v="65000"/>
  </r>
  <r>
    <d v="2025-06-04T00:00:00"/>
    <s v="PRO-000003547"/>
    <s v="MORE LONDON NO 6 CAT A LONDON"/>
    <s v="GBP"/>
    <n v="100000"/>
    <d v="2025-06-06T00:00:00"/>
    <s v="UK"/>
    <s v="Proposal"/>
    <x v="21"/>
    <n v="1"/>
    <n v="100000"/>
  </r>
  <r>
    <d v="2025-05-07T00:00:00"/>
    <s v="PRO-000003399"/>
    <s v="333 W CAMDEN ST ORIOLE PARK PRESS CLUB"/>
    <s v="USD"/>
    <n v="200000"/>
    <d v="2025-06-04T00:00:00"/>
    <s v="USA"/>
    <s v="Proposal"/>
    <x v="21"/>
    <n v="0.75018754688672173"/>
    <n v="150037.50937734434"/>
  </r>
  <r>
    <d v="2025-05-12T00:00:00"/>
    <s v="PRO-000003426"/>
    <s v="STT ST CYRIL AIRPORT REDEVELOPMENT ST THOMAS USVI"/>
    <s v="USD"/>
    <n v="1300000"/>
    <d v="2025-06-05T00:00:00"/>
    <s v="USA"/>
    <s v="Proposal"/>
    <x v="21"/>
    <n v="0.75018754688672173"/>
    <n v="975243.81095273828"/>
  </r>
  <r>
    <d v="2025-05-27T00:00:00"/>
    <s v="PRO-000003512"/>
    <s v="JFK TERMINAL ONE DUTY FREE (C220 WALLS)"/>
    <s v="USD"/>
    <n v="50000"/>
    <d v="2025-06-03T00:00:00"/>
    <s v="USA"/>
    <s v="Proposal"/>
    <x v="21"/>
    <n v="0.75018754688672173"/>
    <n v="37509.377344336084"/>
  </r>
  <r>
    <d v="2025-05-29T00:00:00"/>
    <s v="PRO-000003524"/>
    <s v="INTERNATIONAL DR. 1676 - MCLEAN VA"/>
    <s v="USD"/>
    <n v="60000"/>
    <d v="2025-06-05T00:00:00"/>
    <s v="USA"/>
    <s v="Proposal"/>
    <x v="21"/>
    <n v="0.75018754688672173"/>
    <n v="45011.252813203304"/>
  </r>
  <r>
    <d v="2025-05-09T00:00:00"/>
    <s v="PRO-000003423"/>
    <s v="SAMPLE ROOM USA - NYC"/>
    <s v="USD"/>
    <n v="0"/>
    <d v="2025-06-05T00:00:00"/>
    <s v="USA"/>
    <s v="Shop Drawing"/>
    <x v="21"/>
    <n v="0.75018754688672173"/>
    <n v="0"/>
  </r>
  <r>
    <d v="2025-05-27T00:00:00"/>
    <s v="PRO-000003509"/>
    <s v="DETROIT CONFIDENTIAL HQ LEVEL 11"/>
    <s v="GBP"/>
    <n v="301939"/>
    <d v="2025-06-04T00:00:00"/>
    <s v="USA"/>
    <s v="Shop Drawing"/>
    <x v="21"/>
    <n v="1"/>
    <n v="301939"/>
  </r>
  <r>
    <d v="2025-05-27T00:00:00"/>
    <s v="PRO-000003510"/>
    <s v="DETROIT CONFIDENTIAL HQ LEVEL 9 AND 10"/>
    <s v="GBP"/>
    <n v="926774"/>
    <d v="2025-06-04T00:00:00"/>
    <s v="USA"/>
    <s v="Shop Drawing"/>
    <x v="21"/>
    <n v="1"/>
    <n v="926774"/>
  </r>
  <r>
    <d v="2025-06-01T00:00:00"/>
    <s v="PRO-000003529"/>
    <s v="PARK AVENUE 270 EXEC FLOORS, 44 to 47, JP MORGAN"/>
    <s v="GBP"/>
    <n v="337000"/>
    <d v="2025-06-02T00:00:00"/>
    <s v="USA"/>
    <s v="Shop Drawing"/>
    <x v="21"/>
    <n v="1"/>
    <n v="337000"/>
  </r>
  <r>
    <d v="2025-06-02T00:00:00"/>
    <s v="PRO-000003536"/>
    <s v="MADISON AVENUE 343 NEW YORK"/>
    <s v="GBP"/>
    <n v="228000"/>
    <d v="2025-06-02T00:00:00"/>
    <s v="USA"/>
    <s v="Shop Drawing"/>
    <x v="21"/>
    <n v="1"/>
    <n v="228000"/>
  </r>
  <r>
    <d v="2025-06-04T00:00:00"/>
    <s v="PRO-000003550"/>
    <s v="GEORGE BUSH INT AIRPORT IAH- UNITED B N. TERMINAL EXPANSION"/>
    <s v="GBP"/>
    <n v="4364711"/>
    <d v="2025-06-06T00:00:00"/>
    <s v="USA"/>
    <s v="Shop Drawing"/>
    <x v="21"/>
    <n v="1"/>
    <n v="4364711"/>
  </r>
  <r>
    <d v="2025-06-04T00:00:00"/>
    <s v="PRO-000003545"/>
    <s v="BUREAU OF METEOROLOGY"/>
    <s v="AUD"/>
    <n v="25000"/>
    <d v="2025-06-04T00:00:00"/>
    <s v="Australia"/>
    <s v="CAD Sketch"/>
    <x v="21"/>
    <n v="0.48053820278712156"/>
    <n v="12013.455069678039"/>
  </r>
  <r>
    <d v="2025-06-04T00:00:00"/>
    <s v="PRO-000003546"/>
    <s v="PROGRESSIVE OFFICE"/>
    <s v="AUD"/>
    <n v="40000"/>
    <d v="2025-06-05T00:00:00"/>
    <s v="Australia"/>
    <s v="Proposal"/>
    <x v="21"/>
    <n v="0.48053820278712156"/>
    <n v="19221.528111484862"/>
  </r>
  <r>
    <d v="2025-05-23T00:00:00"/>
    <s v="PRO-000003492"/>
    <s v="MELBOURNE AIRPORT ELEVATED ROAD AND FORECOURT PROJECT"/>
    <s v="AUD"/>
    <n v="1000000"/>
    <d v="2025-06-03T00:00:00"/>
    <s v="Australia"/>
    <s v="Shop Drawing"/>
    <x v="21"/>
    <n v="0.48053820278712156"/>
    <n v="480538.20278712158"/>
  </r>
  <r>
    <d v="2025-05-26T00:00:00"/>
    <s v="PRO-000003501"/>
    <s v="VICTORIA UNIVERSITY HIC ASSOCIATED WORKS STAGE 2"/>
    <s v="AUD"/>
    <n v="150000"/>
    <d v="2025-06-03T00:00:00"/>
    <s v="Australia"/>
    <s v="Shop Drawing"/>
    <x v="21"/>
    <n v="0.48053820278712156"/>
    <n v="72080.73041806824"/>
  </r>
  <r>
    <d v="2025-06-02T00:00:00"/>
    <s v="PRO-000003538"/>
    <s v="SYDNEY AIRPORT - T2 LOUVRES"/>
    <s v="AUD"/>
    <n v="180000"/>
    <d v="2025-06-06T00:00:00"/>
    <s v="Australia"/>
    <s v="Shop Drawing"/>
    <x v="21"/>
    <n v="0.48053820278712156"/>
    <n v="86496.87650168188"/>
  </r>
  <r>
    <d v="2025-06-03T00:00:00"/>
    <s v="PRO-000003539"/>
    <s v="POLICE PRECINCT HQ HOTEL"/>
    <s v="AUD"/>
    <n v="15000"/>
    <d v="2025-06-04T00:00:00"/>
    <s v="Australia"/>
    <s v="Shop Drawing"/>
    <x v="21"/>
    <n v="0.48053820278712156"/>
    <n v="7208.0730418068233"/>
  </r>
  <r>
    <d v="2025-05-23T00:00:00"/>
    <s v="PRO-000003497"/>
    <s v="NDA - PWC LAYSEN VALLEY RIYADH OFFICE FIT OUT WALL PANELS"/>
    <s v="GBP"/>
    <n v="1"/>
    <d v="2025-06-04T00:00:00"/>
    <s v="Middle East"/>
    <s v="Shop Drawing"/>
    <x v="21"/>
    <n v="1"/>
    <n v="1"/>
  </r>
  <r>
    <d v="2025-05-23T00:00:00"/>
    <s v="PRO-000003494"/>
    <s v="VIA AUGUSTA BARCELONA"/>
    <s v="GBP"/>
    <n v="200000"/>
    <d v="2025-06-03T00:00:00"/>
    <s v="Rest of the World"/>
    <s v="Proposal"/>
    <x v="21"/>
    <n v="1"/>
    <n v="200000"/>
  </r>
  <r>
    <d v="2025-05-23T00:00:00"/>
    <s v="PRO-000003499"/>
    <s v="MUSEO BELLAS ARTES BILBAO"/>
    <s v="GBP"/>
    <n v="300000"/>
    <d v="2025-06-02T00:00:00"/>
    <s v="Rest of the World"/>
    <s v="Proposal"/>
    <x v="21"/>
    <n v="1"/>
    <n v="300000"/>
  </r>
  <r>
    <d v="2025-05-28T00:00:00"/>
    <s v="PRO-000003516"/>
    <s v="ALPHA BANK VE ALTERNATIVES FABRIC ATHENS"/>
    <s v="GBP"/>
    <n v="100000"/>
    <d v="2025-06-04T00:00:00"/>
    <s v="Rest of the World"/>
    <s v="Proposal"/>
    <x v="21"/>
    <n v="1"/>
    <n v="100000"/>
  </r>
  <r>
    <d v="2025-05-28T00:00:00"/>
    <s v="PRO-000003517"/>
    <s v="ALPHA BANK ATHENS"/>
    <s v="GBP"/>
    <n v="10000"/>
    <d v="2025-06-02T00:00:00"/>
    <s v="Rest of the World"/>
    <s v="Proposal"/>
    <x v="21"/>
    <n v="1"/>
    <n v="10000"/>
  </r>
  <r>
    <d v="2025-05-30T00:00:00"/>
    <s v="PRO-000003528"/>
    <s v="BARCELONA AIRPORT T2 &amp; T1"/>
    <s v="GBP"/>
    <n v="30000"/>
    <d v="2025-06-05T00:00:00"/>
    <s v="Rest of the World"/>
    <s v="Proposal"/>
    <x v="21"/>
    <n v="1"/>
    <n v="30000"/>
  </r>
  <r>
    <d v="2025-06-02T00:00:00"/>
    <s v="PRO-000003533"/>
    <s v="MUSEO BELLAS ARTES BILBAO"/>
    <s v="GBP"/>
    <n v="300000"/>
    <d v="2025-06-06T00:00:00"/>
    <s v="Rest of the World"/>
    <s v="Proposal"/>
    <x v="21"/>
    <n v="1"/>
    <n v="300000"/>
  </r>
  <r>
    <d v="2025-06-05T00:00:00"/>
    <s v="PRO-000003556"/>
    <s v="ALPHA BANK VE ALTERNATIVES FABRIC ATHENS"/>
    <s v="GBP"/>
    <n v="80000"/>
    <d v="2025-06-06T00:00:00"/>
    <s v="Rest of the World"/>
    <s v="Proposal"/>
    <x v="21"/>
    <n v="1"/>
    <n v="80000"/>
  </r>
  <r>
    <d v="2025-05-25T00:00:00"/>
    <s v="PRO-000003500"/>
    <s v="AWE THE HUB OFFICE AND TEACHING FACILITY MHS ALDERMASTON"/>
    <s v="GBP"/>
    <n v="50000"/>
    <d v="2025-06-13T00:00:00"/>
    <s v="UK"/>
    <s v="Hand Sketch"/>
    <x v="22"/>
    <n v="1"/>
    <n v="50000"/>
  </r>
  <r>
    <d v="2025-06-04T00:00:00"/>
    <s v="PRO-000003548"/>
    <s v="BISHOPSGATE NO 201 BROADGATE TOWER FLRS 12-13,17,19 &amp; 29-33"/>
    <s v="GBP"/>
    <n v="200000"/>
    <d v="2025-06-12T00:00:00"/>
    <s v="UK"/>
    <s v="Proposal"/>
    <x v="22"/>
    <n v="1"/>
    <n v="200000"/>
  </r>
  <r>
    <d v="2025-06-05T00:00:00"/>
    <s v="PRO-000003557"/>
    <s v="UCB PHARMA COLLABORATION HUB WINDLESHAM CAMPUS SURREY"/>
    <s v="GBP"/>
    <n v="280000"/>
    <d v="2025-06-13T00:00:00"/>
    <s v="UK"/>
    <s v="Proposal"/>
    <x v="22"/>
    <n v="1"/>
    <n v="280000"/>
  </r>
  <r>
    <d v="2025-06-05T00:00:00"/>
    <s v="PRO-000003558"/>
    <s v="FINSBURY SQUARE NO 38 LONDON"/>
    <s v="GBP"/>
    <n v="100000"/>
    <d v="2025-06-12T00:00:00"/>
    <s v="UK"/>
    <s v="Proposal"/>
    <x v="22"/>
    <n v="1"/>
    <n v="100000"/>
  </r>
  <r>
    <d v="2025-06-12T00:00:00"/>
    <s v="PRO-000003577"/>
    <s v="DERING STREET NO 20 MAYFAIR LONDON"/>
    <s v="GBP"/>
    <n v="100000"/>
    <d v="2025-06-13T00:00:00"/>
    <s v="UK"/>
    <s v="Proposal"/>
    <x v="22"/>
    <n v="1"/>
    <n v="100000"/>
  </r>
  <r>
    <d v="2025-05-27T00:00:00"/>
    <s v="PRO-000003511"/>
    <s v="JACKSON PROJECT MISSISSIPPI"/>
    <s v="USD"/>
    <n v="15000"/>
    <d v="2025-06-13T00:00:00"/>
    <s v="USA"/>
    <s v="Proposal"/>
    <x v="22"/>
    <n v="0.74239049740163332"/>
    <n v="11135.8574610245"/>
  </r>
  <r>
    <d v="2025-05-29T00:00:00"/>
    <s v="PRO-000003525"/>
    <s v="CONFIDENTIAL LAW FIRM WASH DC OTJ"/>
    <s v="USD"/>
    <n v="100000"/>
    <d v="2025-06-10T00:00:00"/>
    <s v="USA"/>
    <s v="Proposal"/>
    <x v="22"/>
    <n v="0.74239049740163332"/>
    <n v="74239.049740163333"/>
  </r>
  <r>
    <d v="2025-05-06T00:00:00"/>
    <s v="PRO-000003392"/>
    <s v="9TH AVENUE 375, DE SHAW DAY 2 FITOUT, FLR 55, NYC"/>
    <s v="GBP"/>
    <n v="31000"/>
    <d v="2025-06-13T00:00:00"/>
    <s v="USA"/>
    <s v="Shop Drawing"/>
    <x v="22"/>
    <n v="1"/>
    <n v="31000"/>
  </r>
  <r>
    <d v="2025-05-28T00:00:00"/>
    <s v="PRO-000003518"/>
    <s v="YALE UNIVERSITY WHITNEY AVE NO 272 WRIGHT LAB ADDITION"/>
    <s v="GBP"/>
    <n v="167941"/>
    <d v="2025-06-13T00:00:00"/>
    <s v="USA"/>
    <s v="Shop Drawing"/>
    <x v="22"/>
    <n v="1"/>
    <n v="167941"/>
  </r>
  <r>
    <d v="2025-06-03T00:00:00"/>
    <s v="PRO-000003543"/>
    <s v="AVENUE OF AMERICAS 1290 LOWER LEVEL 01"/>
    <s v="USD"/>
    <n v="10700"/>
    <d v="2025-06-09T00:00:00"/>
    <s v="USA"/>
    <s v="Shop Drawing"/>
    <x v="22"/>
    <n v="0.74239049740163332"/>
    <n v="7943.5783221974762"/>
  </r>
  <r>
    <d v="2025-06-09T00:00:00"/>
    <s v="PRO-000003566"/>
    <s v="AVENUE OF AMERICAS 1290 FLRS 13-16 KING &amp; SPALDING"/>
    <s v="USD"/>
    <n v="200000"/>
    <d v="2025-06-13T00:00:00"/>
    <s v="USA"/>
    <s v="Shop Drawing"/>
    <x v="22"/>
    <n v="0.74239049740163332"/>
    <n v="148478.09948032667"/>
  </r>
  <r>
    <d v="2025-06-10T00:00:00"/>
    <s v="PRO-000003568"/>
    <s v="ATLASSIAN CENTRAL HAYMARKET SYDNEY"/>
    <s v="AUD"/>
    <n v="150000"/>
    <d v="2025-06-10T00:00:00"/>
    <s v="Australia"/>
    <s v="CAD Sketch"/>
    <x v="22"/>
    <n v="0.47755491881566381"/>
    <n v="71633.237822349576"/>
  </r>
  <r>
    <d v="2025-06-05T00:00:00"/>
    <s v="PRO-000003551"/>
    <s v="CURTIN UNIVERSITY B316 SCIENCES PROJECT"/>
    <s v="AUD"/>
    <n v="450000"/>
    <d v="2025-06-15T00:00:00"/>
    <s v="Australia"/>
    <s v="Proposal"/>
    <x v="23"/>
    <n v="0.47755491881566381"/>
    <n v="214899.71346704871"/>
  </r>
  <r>
    <d v="2025-05-23T00:00:00"/>
    <s v="PRO-000003491"/>
    <s v="MELBOURNE AIRPORT ELEVATED ROAD AND FORECOURT PROJECT"/>
    <s v="AUD"/>
    <n v="1000000"/>
    <d v="2025-06-13T00:00:00"/>
    <s v="Australia"/>
    <s v="Shop Drawing"/>
    <x v="22"/>
    <n v="0.47755491881566381"/>
    <n v="477554.91881566378"/>
  </r>
  <r>
    <d v="2025-06-03T00:00:00"/>
    <s v="PRO-000003544"/>
    <s v="FLINDERS LANE NO 51"/>
    <s v="AUD"/>
    <n v="300000"/>
    <d v="2025-06-13T00:00:00"/>
    <s v="Australia"/>
    <s v="Shop Drawing"/>
    <x v="22"/>
    <n v="0.47755491881566381"/>
    <n v="143266.47564469915"/>
  </r>
  <r>
    <d v="2025-06-09T00:00:00"/>
    <s v="PRO-000003567"/>
    <s v="SYDNEY AIRPORT - T2 LOUVRES"/>
    <s v="AUD"/>
    <n v="180000"/>
    <d v="2025-06-11T00:00:00"/>
    <s v="Australia"/>
    <s v="Shop Drawing"/>
    <x v="22"/>
    <n v="0.47755491881566381"/>
    <n v="85959.885386819486"/>
  </r>
  <r>
    <d v="2025-06-10T00:00:00"/>
    <s v="PRO-000003572"/>
    <s v="POLICE PRECINCT HQ HOTEL"/>
    <s v="AUD"/>
    <n v="15000"/>
    <d v="2025-06-12T00:00:00"/>
    <s v="Australia"/>
    <s v="Shop Drawing"/>
    <x v="22"/>
    <n v="0.47755491881566381"/>
    <n v="7163.3237822349574"/>
  </r>
  <r>
    <d v="2025-06-11T00:00:00"/>
    <s v="PRO-000003575"/>
    <s v="ONE SCHOOL GLOBAL OATLANDS CAMPUS REDEVELOPMENT"/>
    <s v="AUD"/>
    <n v="50000"/>
    <d v="2025-06-13T00:00:00"/>
    <s v="Australia"/>
    <s v="Shop Drawing"/>
    <x v="22"/>
    <n v="0.47755491881566381"/>
    <n v="23877.745940783192"/>
  </r>
  <r>
    <d v="2025-06-02T00:00:00"/>
    <s v="PRO-000003531"/>
    <s v="CPD ALCALA  DATA CENTRE 1"/>
    <s v="GBP"/>
    <n v="300000"/>
    <d v="2025-06-13T00:00:00"/>
    <s v="Rest of the World"/>
    <s v="Proposal"/>
    <x v="22"/>
    <n v="1"/>
    <n v="300000"/>
  </r>
  <r>
    <d v="2025-06-02T00:00:00"/>
    <s v="PRO-000003537"/>
    <s v="ROYAL CARIBBEAN CRUISE TERMINAL G BARCELONA"/>
    <s v="GBP"/>
    <n v="100000"/>
    <d v="2025-06-09T00:00:00"/>
    <s v="Rest of the World"/>
    <s v="Proposal"/>
    <x v="22"/>
    <n v="1"/>
    <n v="100000"/>
  </r>
  <r>
    <d v="2025-06-06T00:00:00"/>
    <s v="PRO-000003563"/>
    <s v="MUSEO BELLAS ARTES BILBAO"/>
    <s v="GBP"/>
    <n v="300000"/>
    <d v="2025-06-13T00:00:00"/>
    <s v="Rest of the World"/>
    <s v="Proposal"/>
    <x v="22"/>
    <n v="1"/>
    <n v="300000"/>
  </r>
  <r>
    <d v="2025-06-06T00:00:00"/>
    <s v="PRO-000003560"/>
    <s v="MUPAC SANTANDER"/>
    <s v="GBP"/>
    <n v="200000"/>
    <d v="2025-06-12T00:00:00"/>
    <s v="Rest of the World"/>
    <s v="Proposal"/>
    <x v="22"/>
    <n v="1"/>
    <n v="200000"/>
  </r>
  <r>
    <d v="2025-06-06T00:00:00"/>
    <s v="PRO-000003561"/>
    <s v="SMARALIND MATHOLL SHOPPING MALL REYKJAVIK"/>
    <s v="GBP"/>
    <n v="50000"/>
    <d v="2025-06-13T00:00:00"/>
    <s v="Rest of the World"/>
    <s v="Proposal"/>
    <x v="22"/>
    <n v="1"/>
    <n v="50000"/>
  </r>
  <r>
    <d v="2025-06-06T00:00:00"/>
    <s v="PRO-000003564"/>
    <s v="MUSEO BELLAS ARTES BILBAO"/>
    <s v="GBP"/>
    <n v="300000"/>
    <d v="2025-06-10T00:00:00"/>
    <s v="Rest of the World"/>
    <s v="Proposal"/>
    <x v="22"/>
    <n v="1"/>
    <n v="300000"/>
  </r>
  <r>
    <d v="2025-06-10T00:00:00"/>
    <s v="PRO-000003570"/>
    <s v="ALPHA BANK VE ALTERNATIVES FABRIC ATHENS"/>
    <s v="GBP"/>
    <n v="820000"/>
    <d v="2025-06-10T00:00:00"/>
    <s v="Rest of the World"/>
    <s v="Proposal"/>
    <x v="22"/>
    <n v="1"/>
    <n v="820000"/>
  </r>
  <r>
    <d v="2025-05-23T00:00:00"/>
    <s v="PRO-000003496"/>
    <s v="BASINGHALL STREET NO 25 WOOLGATE EXCHANGE L&amp;G FITOUT LONDON"/>
    <s v="GBP"/>
    <n v="40000"/>
    <d v="2025-06-18T00:00:00"/>
    <s v="UK"/>
    <s v="Proposal"/>
    <x v="23"/>
    <n v="1"/>
    <n v="40000"/>
  </r>
  <r>
    <d v="2025-05-29T00:00:00"/>
    <s v="PRO-000003523"/>
    <s v="UNI OF OXFORD CAESR BUILDING"/>
    <s v="GBP"/>
    <n v="30000"/>
    <d v="2025-06-16T00:00:00"/>
    <s v="UK"/>
    <s v="Proposal"/>
    <x v="23"/>
    <n v="1"/>
    <n v="30000"/>
  </r>
  <r>
    <d v="2025-06-03T00:00:00"/>
    <s v="PRO-000003542"/>
    <s v="MAPLE HOUSE EXTERNAL CANOPY CEILING FITZROVIA LONDON"/>
    <s v="GBP"/>
    <n v="50000"/>
    <d v="2025-06-19T00:00:00"/>
    <s v="UK"/>
    <s v="Proposal"/>
    <x v="23"/>
    <n v="1"/>
    <n v="50000"/>
  </r>
  <r>
    <d v="2025-06-05T00:00:00"/>
    <s v="PRO-000003552"/>
    <s v="FINSBURY AVENUE NO 2 DEVELOPMENT LONDON"/>
    <s v="GBP"/>
    <n v="160000"/>
    <d v="2025-06-19T00:00:00"/>
    <s v="UK"/>
    <s v="Proposal"/>
    <x v="23"/>
    <n v="1"/>
    <n v="160000"/>
  </r>
  <r>
    <d v="2025-06-09T00:00:00"/>
    <s v="PRO-000003565"/>
    <s v="MINSTER COURT NO 3 CAT B TOWER RESEARCH FLR 4 LONDON"/>
    <s v="GBP"/>
    <n v="100000"/>
    <d v="2025-06-20T00:00:00"/>
    <s v="UK"/>
    <s v="Proposal"/>
    <x v="23"/>
    <n v="1"/>
    <n v="100000"/>
  </r>
  <r>
    <d v="2025-06-11T00:00:00"/>
    <s v="PRO-000003573"/>
    <s v="TURING HOUSE BARCLAYS TECHNOLOGY CENTRE KNUTSFORD"/>
    <s v="GBP"/>
    <n v="600000"/>
    <d v="2025-06-18T00:00:00"/>
    <s v="UK"/>
    <s v="Proposal"/>
    <x v="23"/>
    <n v="1"/>
    <n v="600000"/>
  </r>
  <r>
    <d v="2025-06-13T00:00:00"/>
    <s v="PRO-000003581"/>
    <s v="BISHOPSGATE NO 8 FLOOR 33 STANHOPE FITOUT LONDON"/>
    <s v="GBP"/>
    <n v="50000"/>
    <d v="2025-06-16T00:00:00"/>
    <s v="UK"/>
    <s v="Proposal"/>
    <x v="23"/>
    <n v="1"/>
    <n v="50000"/>
  </r>
  <r>
    <d v="2025-06-13T00:00:00"/>
    <s v="PRO-000003583"/>
    <s v="PARK HOUSE APARTMENTS REFURB NORTH ROW LONDON"/>
    <s v="GBP"/>
    <n v="50000"/>
    <d v="2025-06-20T00:00:00"/>
    <s v="UK"/>
    <s v="Proposal"/>
    <x v="23"/>
    <n v="1"/>
    <n v="50000"/>
  </r>
  <r>
    <d v="2025-06-17T00:00:00"/>
    <s v="PRO-000003599"/>
    <s v="FINSBURY SQUARE NO 38 LONDON"/>
    <s v="GBP"/>
    <n v="50000"/>
    <d v="2025-06-20T00:00:00"/>
    <s v="UK"/>
    <s v="Proposal"/>
    <x v="23"/>
    <n v="1"/>
    <n v="50000"/>
  </r>
  <r>
    <d v="2025-06-18T00:00:00"/>
    <s v="PRO-000003612"/>
    <s v="AURIOL DRIVE UNIT 3 GREENFORD LONDON"/>
    <s v="GBP"/>
    <n v="30000"/>
    <d v="2025-06-20T00:00:00"/>
    <s v="UK"/>
    <s v="Proposal"/>
    <x v="23"/>
    <n v="1"/>
    <n v="30000"/>
  </r>
  <r>
    <d v="2025-06-20T00:00:00"/>
    <s v="PRO-000003620"/>
    <s v="NEWGATE STREET NO 81 BT CENTRE HSBC FIT OUT LONDON"/>
    <s v="GBP"/>
    <n v="400000"/>
    <d v="2025-06-20T00:00:00"/>
    <s v="UK"/>
    <s v="Proposal"/>
    <x v="23"/>
    <n v="1"/>
    <n v="400000"/>
  </r>
  <r>
    <d v="2025-06-02T00:00:00"/>
    <s v="PRO-000003534"/>
    <s v="AVENUE OF THE AMERICAS 1345 PAUL WEISS"/>
    <s v="USD"/>
    <n v="2000000"/>
    <d v="2025-06-19T00:00:00"/>
    <s v="USA"/>
    <s v="Proposal"/>
    <x v="23"/>
    <n v="0.74239049740163332"/>
    <n v="1484780.9948032666"/>
  </r>
  <r>
    <d v="2025-06-05T00:00:00"/>
    <s v="PRO-000003554"/>
    <s v="JOHN R PIERCE SCHOOL ADD/RENO BROOKLINE"/>
    <s v="USD"/>
    <n v="116000"/>
    <d v="2025-06-19T00:00:00"/>
    <s v="USA"/>
    <s v="Shop Drawing"/>
    <x v="23"/>
    <n v="0.74239049740163332"/>
    <n v="86117.297698589464"/>
  </r>
  <r>
    <d v="2025-06-11T00:00:00"/>
    <s v="PRO-000003576"/>
    <s v="IGLU MASCOT 2"/>
    <s v="AUD"/>
    <n v="20000"/>
    <d v="2025-06-16T00:00:00"/>
    <s v="Australia"/>
    <s v="CAD Sketch"/>
    <x v="23"/>
    <n v="0.47755491881566381"/>
    <n v="9551.0983763132754"/>
  </r>
  <r>
    <d v="2025-06-17T00:00:00"/>
    <s v="PRO-000003596"/>
    <s v="RLB OFFICE FITOUT MELBOURNE"/>
    <s v="AUD"/>
    <n v="60000"/>
    <d v="2025-06-20T00:00:00"/>
    <s v="Australia"/>
    <s v="CAD Sketch"/>
    <x v="23"/>
    <n v="0.47755491881566381"/>
    <n v="28653.29512893983"/>
  </r>
  <r>
    <d v="2025-06-02T00:00:00"/>
    <s v="PRO-000003530"/>
    <s v="MELBOURNE AIRPORT T1 NORTHERN BRIDGE LINK"/>
    <s v="AUD"/>
    <n v="600000"/>
    <d v="2025-06-18T00:00:00"/>
    <s v="Australia"/>
    <s v="Proposal"/>
    <x v="23"/>
    <n v="0.47755491881566381"/>
    <n v="286532.9512893983"/>
  </r>
  <r>
    <d v="2025-06-16T00:00:00"/>
    <s v="PRO-000003594"/>
    <s v="CURTIN UNIVERSITY B316 SCIENCES PROJECT"/>
    <s v="AUD"/>
    <n v="450000"/>
    <d v="2025-06-22T00:00:00"/>
    <s v="Australia"/>
    <s v="Proposal"/>
    <x v="24"/>
    <n v="0.47755491881566381"/>
    <n v="214899.71346704871"/>
  </r>
  <r>
    <d v="2025-06-20T00:00:00"/>
    <s v="PRO-000003618"/>
    <s v="CURTIN UNIVERSITY B316 SCIENCES PROJECT"/>
    <s v="AUD"/>
    <n v="450000"/>
    <d v="2025-06-20T00:00:00"/>
    <s v="Australia"/>
    <s v="Proposal"/>
    <x v="23"/>
    <n v="0.47755491881566381"/>
    <n v="214899.71346704871"/>
  </r>
  <r>
    <d v="2025-06-10T00:00:00"/>
    <s v="PRO-000003571"/>
    <s v="SAMPLE ROOM SYDNEY - 2025"/>
    <s v="AUD"/>
    <n v="1"/>
    <d v="2025-06-17T00:00:00"/>
    <s v="Australia"/>
    <s v="Shop Drawing"/>
    <x v="23"/>
    <n v="0.47755491881566381"/>
    <n v="0.47755491881566381"/>
  </r>
  <r>
    <d v="2025-01-07T00:00:00"/>
    <s v="PRO-000002828"/>
    <s v="WARSAW CPK BAGGAGE HALL"/>
    <s v="GBP"/>
    <n v="0"/>
    <d v="2025-06-18T00:00:00"/>
    <s v="Rest of the World"/>
    <s v="Proposal"/>
    <x v="23"/>
    <n v="1"/>
    <n v="0"/>
  </r>
  <r>
    <d v="2025-06-14T00:00:00"/>
    <s v="PRO-000003585"/>
    <s v="CPD ALCALA  DATA CENTRE 1"/>
    <s v="GBP"/>
    <n v="300000"/>
    <d v="2025-06-17T00:00:00"/>
    <s v="Rest of the World"/>
    <s v="Proposal"/>
    <x v="23"/>
    <n v="1"/>
    <n v="300000"/>
  </r>
  <r>
    <d v="2025-06-16T00:00:00"/>
    <s v="PRO-000003590"/>
    <s v="SMARALIND MATHOLL SHOPPING MALL REYKJAVIK"/>
    <s v="GBP"/>
    <n v="45000"/>
    <d v="2025-06-20T00:00:00"/>
    <s v="Rest of the World"/>
    <s v="Proposal"/>
    <x v="23"/>
    <n v="1"/>
    <n v="45000"/>
  </r>
  <r>
    <d v="2025-06-19T00:00:00"/>
    <s v="PRO-000003614"/>
    <s v="MEADOWHALL SHOPPING CENTRE WCS SHEFFIELD"/>
    <s v="GBP"/>
    <n v="8000"/>
    <d v="2025-06-27T00:00:00"/>
    <s v="UK"/>
    <s v="CAD Sketch"/>
    <x v="24"/>
    <n v="1"/>
    <n v="8000"/>
  </r>
  <r>
    <d v="2025-06-02T00:00:00"/>
    <s v="PRO-000003532"/>
    <s v="UNIVERSITY OF HERTFORDSHIRE TODD BUILDING"/>
    <s v="GBP"/>
    <n v="50000"/>
    <d v="2025-06-26T00:00:00"/>
    <s v="UK"/>
    <s v="Proposal"/>
    <x v="24"/>
    <n v="1"/>
    <n v="50000"/>
  </r>
  <r>
    <d v="2025-06-05T00:00:00"/>
    <s v="PRO-000003553"/>
    <s v="CHARLOTTE STREET NO 80 AURUM FIT OUT FLOOR 2 LONDON"/>
    <s v="GBP"/>
    <n v="8000"/>
    <d v="2025-06-24T00:00:00"/>
    <s v="UK"/>
    <s v="Proposal"/>
    <x v="24"/>
    <n v="1"/>
    <n v="8000"/>
  </r>
  <r>
    <d v="2025-06-12T00:00:00"/>
    <s v="PRO-000003578"/>
    <s v="DUDLEY INTERCHANGE FISHER STREET"/>
    <s v="GBP"/>
    <n v="450000"/>
    <d v="2025-06-25T00:00:00"/>
    <s v="UK"/>
    <s v="Proposal"/>
    <x v="24"/>
    <n v="1"/>
    <n v="450000"/>
  </r>
  <r>
    <d v="2025-06-12T00:00:00"/>
    <s v="PRO-000003579"/>
    <s v="SKILLS HUB &amp; STORAGE BUILDINGS CRADLEY HEATH"/>
    <s v="GBP"/>
    <n v="30000"/>
    <d v="2025-06-26T00:00:00"/>
    <s v="UK"/>
    <s v="Proposal"/>
    <x v="24"/>
    <n v="1"/>
    <n v="30000"/>
  </r>
  <r>
    <d v="2025-06-15T00:00:00"/>
    <s v="PRO-000003586"/>
    <s v="HEATHROW T5 WATCHES OF SWITZERLAND STORE"/>
    <s v="GBP"/>
    <n v="50000"/>
    <d v="2025-06-24T00:00:00"/>
    <s v="UK"/>
    <s v="Proposal"/>
    <x v="24"/>
    <n v="1"/>
    <n v="50000"/>
  </r>
  <r>
    <d v="2025-06-16T00:00:00"/>
    <s v="PRO-000003591"/>
    <s v="VICTORIA STREET NO 1 LONDON"/>
    <s v="GBP"/>
    <n v="250000"/>
    <d v="2025-06-27T00:00:00"/>
    <s v="UK"/>
    <s v="Proposal"/>
    <x v="24"/>
    <n v="1"/>
    <n v="250000"/>
  </r>
  <r>
    <d v="2025-06-16T00:00:00"/>
    <s v="PRO-000003592"/>
    <s v="VICTORIA STREET NO 1 LONDON"/>
    <s v="GBP"/>
    <n v="200000"/>
    <d v="2025-06-27T00:00:00"/>
    <s v="UK"/>
    <s v="Proposal"/>
    <x v="24"/>
    <n v="1"/>
    <n v="200000"/>
  </r>
  <r>
    <d v="2025-06-17T00:00:00"/>
    <s v="PRO-000003600"/>
    <s v="LONDON WALL PLACE NO 2 LEVEL 4 LOGITECH FIT OUT LONDON"/>
    <s v="GBP"/>
    <n v="20000"/>
    <d v="2025-06-25T00:00:00"/>
    <s v="UK"/>
    <s v="Proposal"/>
    <x v="24"/>
    <n v="1"/>
    <n v="20000"/>
  </r>
  <r>
    <d v="2025-06-17T00:00:00"/>
    <s v="PRO-000003603"/>
    <s v="TOOLEY STREET NO 155 REFURB LONDON"/>
    <s v="GBP"/>
    <n v="20000"/>
    <d v="2025-06-25T00:00:00"/>
    <s v="UK"/>
    <s v="Proposal"/>
    <x v="24"/>
    <n v="1"/>
    <n v="20000"/>
  </r>
  <r>
    <d v="2025-06-18T00:00:00"/>
    <s v="PRO-000003605"/>
    <s v="SOUTHWARK STREET NO 59.5 TP BENNETT OFFICE LONDON"/>
    <s v="GBP"/>
    <n v="100000"/>
    <d v="2025-06-23T00:00:00"/>
    <s v="UK"/>
    <s v="Proposal"/>
    <x v="24"/>
    <n v="1"/>
    <n v="100000"/>
  </r>
  <r>
    <d v="2025-06-20T00:00:00"/>
    <s v="PRO-000003619"/>
    <s v="UNI OF OXFORD INSTITUTE FOR GLOBAL HEALTH BLDG"/>
    <s v="GBP"/>
    <n v="150000"/>
    <d v="2025-06-26T00:00:00"/>
    <s v="UK"/>
    <s v="Proposal"/>
    <x v="24"/>
    <n v="1"/>
    <n v="150000"/>
  </r>
  <r>
    <d v="2025-06-20T00:00:00"/>
    <s v="PRO-000003621"/>
    <s v="NEWGATE STREET NO 81 BT CENTRE HSBC FIT OUT LONDON"/>
    <s v="GBP"/>
    <n v="200000"/>
    <d v="2025-06-23T00:00:00"/>
    <s v="UK"/>
    <s v="Proposal"/>
    <x v="24"/>
    <n v="1"/>
    <n v="200000"/>
  </r>
  <r>
    <d v="2025-06-20T00:00:00"/>
    <s v="PRO-000003622"/>
    <s v="LEADENHALL STREET NO 40 CHUBB FITOUT PH2 FLOOR 12 LONDON"/>
    <s v="GBP"/>
    <n v="1000"/>
    <d v="2025-06-27T00:00:00"/>
    <s v="UK"/>
    <s v="Proposal"/>
    <x v="24"/>
    <n v="1"/>
    <n v="1000"/>
  </r>
  <r>
    <d v="2025-06-23T00:00:00"/>
    <s v="PRO-000003629"/>
    <s v="CRAYFIELDS BUSINESS PARK UNIT 4.01 ORPINGTON"/>
    <s v="GBP"/>
    <n v="10000"/>
    <d v="2025-06-27T00:00:00"/>
    <s v="UK"/>
    <s v="Proposal"/>
    <x v="24"/>
    <n v="1"/>
    <n v="10000"/>
  </r>
  <r>
    <d v="2025-06-05T00:00:00"/>
    <s v="PRO-000003559"/>
    <s v="923-927 5TH ST NW 5TH &amp; K HOTEL ALOFT WASHINGTON DC"/>
    <s v="USD"/>
    <n v="45000"/>
    <d v="2025-06-24T00:00:00"/>
    <s v="USA"/>
    <s v="Proposal"/>
    <x v="24"/>
    <n v="0.74239049740163332"/>
    <n v="33407.572383073501"/>
  </r>
  <r>
    <d v="2025-06-17T00:00:00"/>
    <s v="PRO-000003597"/>
    <s v="1306 MAIN STREET  REDWOOD CITY CA"/>
    <s v="USD"/>
    <n v="100000"/>
    <d v="2025-06-25T00:00:00"/>
    <s v="USA"/>
    <s v="Proposal"/>
    <x v="24"/>
    <n v="0.74239049740163332"/>
    <n v="74239.049740163333"/>
  </r>
  <r>
    <d v="2025-06-10T00:00:00"/>
    <s v="PRO-000003569"/>
    <s v="AMERICAN TOWER 222 BERKELEY ST FLOORS 6 &amp; 7"/>
    <s v="USD"/>
    <n v="118000"/>
    <d v="2025-06-24T00:00:00"/>
    <s v="USA"/>
    <s v="Shop Drawing"/>
    <x v="24"/>
    <n v="0.74239049740163332"/>
    <n v="87602.07869339273"/>
  </r>
  <r>
    <d v="2025-06-13T00:00:00"/>
    <s v="PRO-000003584"/>
    <s v="GEORGE BUSH INT AIRPORT IAH- UNITED B N. TERMINAL EXPANSION"/>
    <s v="GBP"/>
    <n v="4364711"/>
    <d v="2025-06-24T00:00:00"/>
    <s v="USA"/>
    <s v="Shop Drawing"/>
    <x v="24"/>
    <n v="1"/>
    <n v="4364711"/>
  </r>
  <r>
    <d v="2025-06-17T00:00:00"/>
    <s v="PRO-000003598"/>
    <s v="UMC BOARDROOM EL PASO"/>
    <s v="GBP"/>
    <n v="44173"/>
    <d v="2025-06-24T00:00:00"/>
    <s v="USA"/>
    <s v="Shop Drawing"/>
    <x v="24"/>
    <n v="1"/>
    <n v="44173"/>
  </r>
  <r>
    <d v="2025-06-18T00:00:00"/>
    <s v="PRO-000003607"/>
    <s v="9TH AVENUE 375, DE SHAW DAY 2 FITOUT, FLR 55, NYC"/>
    <s v="GBP"/>
    <n v="31000"/>
    <d v="2025-06-25T00:00:00"/>
    <s v="USA"/>
    <s v="Shop Drawing"/>
    <x v="24"/>
    <n v="1"/>
    <n v="31000"/>
  </r>
  <r>
    <d v="2025-06-19T00:00:00"/>
    <s v="PRO-000003615"/>
    <s v="AVENUE OF AMERICAS 1290 LOWER LEVEL 01"/>
    <s v="GBP"/>
    <n v="10767"/>
    <d v="2025-06-27T00:00:00"/>
    <s v="USA"/>
    <s v="Shop Drawing"/>
    <x v="24"/>
    <n v="1"/>
    <n v="10767"/>
  </r>
  <r>
    <d v="2025-06-19T00:00:00"/>
    <s v="PRO-000003613"/>
    <s v="ANAM PERFORMANCE STUDIO"/>
    <s v="AUD"/>
    <n v="50000"/>
    <d v="2025-06-24T00:00:00"/>
    <s v="Australia"/>
    <s v="CAD Sketch"/>
    <x v="24"/>
    <n v="0.47755491881566381"/>
    <n v="23877.745940783192"/>
  </r>
  <r>
    <d v="2025-06-23T00:00:00"/>
    <s v="PRO-000003626"/>
    <s v="BABY BUNTING STORES AUSTRALIA"/>
    <s v="AUD"/>
    <n v="142999.6"/>
    <d v="2025-06-23T00:00:00"/>
    <s v="Australia"/>
    <s v="CAD Sketch"/>
    <x v="24"/>
    <n v="0.47755491881566381"/>
    <n v="68290.162368672405"/>
  </r>
  <r>
    <d v="2025-06-25T00:00:00"/>
    <s v="PRO-000003641"/>
    <s v="EDMONDSON PARK TOWN CENTRE"/>
    <s v="AUD"/>
    <n v="100000"/>
    <d v="2025-06-25T00:00:00"/>
    <s v="Australia"/>
    <s v="CAD Sketch"/>
    <x v="24"/>
    <n v="0.47755491881566381"/>
    <n v="47755.491881566384"/>
  </r>
  <r>
    <d v="2025-05-13T00:00:00"/>
    <s v="PRO-000003430"/>
    <s v="SOUTH ROAD NO 47 BRIGHTON EVENT SPACE"/>
    <s v="AUD"/>
    <n v="30000"/>
    <d v="2025-06-26T00:00:00"/>
    <s v="Australia"/>
    <s v="Shop Drawing"/>
    <x v="24"/>
    <n v="0.47755491881566381"/>
    <n v="14326.647564469915"/>
  </r>
  <r>
    <d v="2025-06-16T00:00:00"/>
    <s v="PRO-000003595"/>
    <s v="ATLASSIAN CENTRAL HAYMARKET SYDNEY"/>
    <s v="AUD"/>
    <n v="150000"/>
    <d v="2025-06-23T00:00:00"/>
    <s v="Australia"/>
    <s v="Shop Drawing"/>
    <x v="24"/>
    <n v="0.47755491881566381"/>
    <n v="71633.237822349576"/>
  </r>
  <r>
    <d v="2025-06-22T00:00:00"/>
    <s v="PRO-000003624"/>
    <s v="MELBOURNE AIRPORT ELEVATED ROAD AND FORECOURT PROJECT"/>
    <s v="AUD"/>
    <n v="1000000"/>
    <d v="2025-06-23T00:00:00"/>
    <s v="Australia"/>
    <s v="Shop Drawing"/>
    <x v="24"/>
    <n v="0.47755491881566381"/>
    <n v="477554.91881566378"/>
  </r>
  <r>
    <d v="2025-06-23T00:00:00"/>
    <s v="PRO-000003625"/>
    <s v="ATLASSIAN CENTRAL HAYMARKET SYDNEY"/>
    <s v="AUD"/>
    <n v="150000"/>
    <d v="2025-06-25T00:00:00"/>
    <s v="Australia"/>
    <s v="Shop Drawing"/>
    <x v="24"/>
    <n v="0.47755491881566381"/>
    <n v="71633.237822349576"/>
  </r>
  <r>
    <d v="2025-06-23T00:00:00"/>
    <s v="PRO-000003627"/>
    <s v="MELBOURNE AIRPORT ELEVATED ROAD AND FORECOURT PROJECT"/>
    <s v="AUD"/>
    <n v="1000000"/>
    <d v="2025-06-26T00:00:00"/>
    <s v="Australia"/>
    <s v="Shop Drawing"/>
    <x v="24"/>
    <n v="0.47755491881566381"/>
    <n v="477554.91881566378"/>
  </r>
  <r>
    <d v="2025-06-25T00:00:00"/>
    <s v="PRO-000003640"/>
    <s v="SYDNEY AIRPORT - T2 LOUVRES"/>
    <s v="AUD"/>
    <n v="180000"/>
    <d v="2025-06-25T00:00:00"/>
    <s v="Australia"/>
    <s v="Shop Drawing"/>
    <x v="24"/>
    <n v="0.47755491881566381"/>
    <n v="85959.885386819486"/>
  </r>
  <r>
    <d v="2025-06-27T00:00:00"/>
    <s v="PRO-000003649"/>
    <s v="ANGEL PLACE - LEVEL 9"/>
    <s v="AUD"/>
    <n v="27000"/>
    <d v="2025-06-29T00:00:00"/>
    <s v="Australia"/>
    <s v="Shop Drawing"/>
    <x v="25"/>
    <n v="0.47755491881566381"/>
    <n v="12893.982808022924"/>
  </r>
  <r>
    <d v="2025-06-18T00:00:00"/>
    <s v="PRO-000003606"/>
    <s v="ARIMA OFFICES MADRID"/>
    <s v="GBP"/>
    <n v="100000"/>
    <d v="2025-06-25T00:00:00"/>
    <s v="Rest of the World"/>
    <s v="Proposal"/>
    <x v="24"/>
    <n v="1"/>
    <n v="100000"/>
  </r>
  <r>
    <d v="2025-06-18T00:00:00"/>
    <s v="PRO-000003610"/>
    <s v="WARSAW CPK NEW INTERNATIONAL AIRPORT"/>
    <s v="GBP"/>
    <n v="2000000"/>
    <d v="2025-06-23T00:00:00"/>
    <s v="Rest of the World"/>
    <s v="Proposal"/>
    <x v="24"/>
    <n v="1"/>
    <n v="2000000"/>
  </r>
  <r>
    <d v="2025-06-18T00:00:00"/>
    <s v="PRO-000003611"/>
    <s v="WARSAW CPK BAGGAGE HALL"/>
    <s v="GBP"/>
    <n v="19000000"/>
    <d v="2025-06-23T00:00:00"/>
    <s v="Rest of the World"/>
    <s v="Proposal"/>
    <x v="24"/>
    <n v="1"/>
    <n v="19000000"/>
  </r>
  <r>
    <d v="2025-06-20T00:00:00"/>
    <s v="PRO-000003623"/>
    <s v="LUANDA MEMORIAL"/>
    <s v="GBP"/>
    <n v="10000"/>
    <d v="2025-06-27T00:00:00"/>
    <s v="Rest of the World"/>
    <s v="Proposal"/>
    <x v="24"/>
    <n v="1"/>
    <n v="10000"/>
  </r>
  <r>
    <d v="2025-06-25T00:00:00"/>
    <s v="PRO-000003636"/>
    <s v="GROSVENOR HOUSE SUITES PARK LANE NO 86 LONDON"/>
    <s v="GBP"/>
    <n v="65000"/>
    <d v="2025-07-02T00:00:00"/>
    <s v="UK"/>
    <s v="CAD Sketch"/>
    <x v="25"/>
    <n v="1"/>
    <n v="65000"/>
  </r>
  <r>
    <d v="2025-07-03T00:00:00"/>
    <s v="PRO-000003681"/>
    <s v="GROSVENOR HOUSE SUITES PARK LANE NO 86 LONDON"/>
    <s v="GBP"/>
    <n v="65000"/>
    <d v="2025-07-03T00:00:00"/>
    <s v="UK"/>
    <s v="CAD Sketch"/>
    <x v="25"/>
    <n v="1"/>
    <n v="65000"/>
  </r>
  <r>
    <d v="2025-06-17T00:00:00"/>
    <s v="PRO-000003602"/>
    <s v="LONDON WALL NO 75 WINCHESTER HOUSE LONDON"/>
    <s v="GBP"/>
    <n v="50000"/>
    <d v="2025-07-01T00:00:00"/>
    <s v="UK"/>
    <s v="Proposal"/>
    <x v="25"/>
    <n v="1"/>
    <n v="50000"/>
  </r>
  <r>
    <d v="2025-06-25T00:00:00"/>
    <s v="PRO-000003637"/>
    <s v="COLUMBUS COURTYARD NO 17 CAT A LONDON"/>
    <s v="GBP"/>
    <n v="150000"/>
    <d v="2025-07-03T00:00:00"/>
    <s v="UK"/>
    <s v="Proposal"/>
    <x v="25"/>
    <n v="1"/>
    <n v="150000"/>
  </r>
  <r>
    <d v="2025-06-26T00:00:00"/>
    <s v="PRO-000003643"/>
    <s v="DEVONSHIRE SQUARE NO 7 FLOOR 5 TWO SIGMA LONDON"/>
    <s v="GBP"/>
    <n v="45000"/>
    <d v="2025-07-04T00:00:00"/>
    <s v="UK"/>
    <s v="Proposal"/>
    <x v="25"/>
    <n v="1"/>
    <n v="45000"/>
  </r>
  <r>
    <d v="2025-06-27T00:00:00"/>
    <s v="PRO-000003652"/>
    <s v="BASINGHALL STREET NO 25 WOOLGATE EXCHANGE L&amp;G FITOUT LONDON"/>
    <s v="GBP"/>
    <n v="50000"/>
    <d v="2025-07-02T00:00:00"/>
    <s v="UK"/>
    <s v="Proposal"/>
    <x v="25"/>
    <n v="1"/>
    <n v="50000"/>
  </r>
  <r>
    <d v="2025-06-27T00:00:00"/>
    <s v="PRO-000003654"/>
    <s v="UNI OF SOUTHAMPTON NORTH EAST QUADRANT B142"/>
    <s v="GBP"/>
    <n v="240000"/>
    <d v="2025-07-04T00:00:00"/>
    <s v="UK"/>
    <s v="Proposal"/>
    <x v="25"/>
    <n v="1"/>
    <n v="240000"/>
  </r>
  <r>
    <d v="2025-07-01T00:00:00"/>
    <s v="PRO-000003665"/>
    <s v="BRABAZON OFFICE AND STATION BRISTOL"/>
    <s v="GBP"/>
    <n v="300000"/>
    <d v="2025-07-03T00:00:00"/>
    <s v="UK"/>
    <s v="Proposal"/>
    <x v="25"/>
    <n v="1"/>
    <n v="300000"/>
  </r>
  <r>
    <d v="2025-07-01T00:00:00"/>
    <s v="PRO-000003666"/>
    <s v="VICTORIA STREET NO 171 REFURBISHMENT LONDON"/>
    <s v="GBP"/>
    <n v="500000"/>
    <d v="2025-07-04T00:00:00"/>
    <s v="UK"/>
    <s v="Proposal"/>
    <x v="25"/>
    <n v="1"/>
    <n v="500000"/>
  </r>
  <r>
    <d v="2025-07-01T00:00:00"/>
    <s v="PRO-000003667"/>
    <s v="MORE LONDON RIVERSIDE NO 7 FLOOR 10 PWC LONDON"/>
    <s v="GBP"/>
    <n v="20000"/>
    <d v="2025-07-04T00:00:00"/>
    <s v="UK"/>
    <s v="Proposal"/>
    <x v="25"/>
    <n v="1"/>
    <n v="20000"/>
  </r>
  <r>
    <d v="2025-07-02T00:00:00"/>
    <s v="PRO-000003671"/>
    <s v="AMAZON SWANSEA"/>
    <s v="GBP"/>
    <n v="40000"/>
    <d v="2025-07-03T00:00:00"/>
    <s v="UK"/>
    <s v="Proposal"/>
    <x v="25"/>
    <n v="1"/>
    <n v="40000"/>
  </r>
  <r>
    <d v="2025-06-26T00:00:00"/>
    <s v="PRO-000003645"/>
    <s v="UCB PHARMA COLLABORATION HUB WINDLESHAM CAMPUS SURREY"/>
    <s v="GBP"/>
    <n v="240000"/>
    <d v="2025-07-03T00:00:00"/>
    <s v="UK"/>
    <s v="Shop Drawing"/>
    <x v="25"/>
    <n v="1"/>
    <n v="240000"/>
  </r>
  <r>
    <d v="2025-07-02T00:00:00"/>
    <s v="PRO-000003672"/>
    <s v="WITAN GATE HOUSE REFURB PHASE 2 LIFT LOBBY MILTON KEYNES"/>
    <s v="GBP"/>
    <n v="15000"/>
    <d v="2025-07-03T00:00:00"/>
    <s v="UK"/>
    <s v="Shop Drawing"/>
    <x v="25"/>
    <n v="1"/>
    <n v="15000"/>
  </r>
  <r>
    <d v="2025-06-26T00:00:00"/>
    <s v="PRO-000003644"/>
    <s v="GPE LIGNE 15 - LA DEFENSE"/>
    <s v="EUR"/>
    <n v="150000"/>
    <d v="2025-07-01T00:00:00"/>
    <s v="France"/>
    <s v="Proposal"/>
    <x v="25"/>
    <n v="0.84245998315080028"/>
    <n v="126368.99747262005"/>
  </r>
  <r>
    <d v="2025-06-26T00:00:00"/>
    <s v="PRO-000003647"/>
    <s v="ORACLE- NORTH RIVER NASHVILLE, TN"/>
    <s v="GBP"/>
    <n v="5000000"/>
    <d v="2025-07-02T00:00:00"/>
    <s v="USA"/>
    <s v="Proposal"/>
    <x v="25"/>
    <n v="1"/>
    <n v="5000000"/>
  </r>
  <r>
    <d v="2025-07-01T00:00:00"/>
    <s v="PRO-000003662"/>
    <s v="PHMS NEW PEDIATRIC CAMPUS DALLAS"/>
    <s v="USD"/>
    <n v="3000000"/>
    <d v="2025-07-02T00:00:00"/>
    <s v="USA"/>
    <s v="Proposal"/>
    <x v="25"/>
    <n v="0.74239049740163332"/>
    <n v="2227171.4922048999"/>
  </r>
  <r>
    <d v="2025-01-24T00:00:00"/>
    <s v="PRO-000002906"/>
    <s v="GEORGE W BUSH INTL AIRPORT IAH-PROCESSOR MOCK-UPS"/>
    <s v="USD"/>
    <n v="80000"/>
    <d v="2025-07-01T00:00:00"/>
    <s v="USA"/>
    <s v="Shop Drawing"/>
    <x v="25"/>
    <n v="0.74239049740163332"/>
    <n v="59391.239792130669"/>
  </r>
  <r>
    <d v="2025-06-19T00:00:00"/>
    <s v="PRO-000003617"/>
    <s v="777 6TH ST NW BRENNAN CTR FOR JUSTICE WASHINGTON"/>
    <s v="GBP"/>
    <n v="20815.22"/>
    <d v="2025-07-04T00:00:00"/>
    <s v="USA"/>
    <s v="Shop Drawing"/>
    <x v="25"/>
    <n v="1"/>
    <n v="20815.22"/>
  </r>
  <r>
    <d v="2025-06-23T00:00:00"/>
    <s v="PRO-000003630"/>
    <s v="NYU GOULD PLAZA"/>
    <s v="GBP"/>
    <n v="31547"/>
    <d v="2025-07-04T00:00:00"/>
    <s v="USA"/>
    <s v="Shop Drawing"/>
    <x v="25"/>
    <n v="1"/>
    <n v="31547"/>
  </r>
  <r>
    <d v="2025-06-24T00:00:00"/>
    <s v="PRO-000003634"/>
    <s v="MIT SLOAN EXECUTIVE EDUCATION"/>
    <s v="USD"/>
    <n v="185000"/>
    <d v="2025-07-02T00:00:00"/>
    <s v="USA"/>
    <s v="Shop Drawing"/>
    <x v="25"/>
    <n v="0.74239049740163332"/>
    <n v="137342.24201930215"/>
  </r>
  <r>
    <d v="2025-07-01T00:00:00"/>
    <s v="PRO-000003661"/>
    <s v="CLARENCE STREET NO 155 L2"/>
    <s v="AUD"/>
    <n v="3000"/>
    <d v="2025-07-01T00:00:00"/>
    <s v="Australia"/>
    <s v="CAD Sketch"/>
    <x v="25"/>
    <n v="0.47755491881566381"/>
    <n v="1432.6647564469915"/>
  </r>
  <r>
    <d v="2025-06-27T00:00:00"/>
    <s v="PRO-000003650"/>
    <s v="BDO MELBOURNE"/>
    <s v="AUD"/>
    <n v="288600"/>
    <d v="2025-07-01T00:00:00"/>
    <s v="Australia"/>
    <s v="Proposal"/>
    <x v="25"/>
    <n v="0.47755491881566381"/>
    <n v="137822.34957020057"/>
  </r>
  <r>
    <d v="2025-07-02T00:00:00"/>
    <s v="PRO-000003669"/>
    <s v="ROUSE HILL TOWN CENTRE NORTH RETAIL EXPANSION STAGE 1"/>
    <s v="AUD"/>
    <n v="40000"/>
    <d v="2025-07-03T00:00:00"/>
    <s v="Australia"/>
    <s v="Proposal"/>
    <x v="25"/>
    <n v="0.47755491881566381"/>
    <n v="19102.196752626551"/>
  </r>
  <r>
    <d v="2025-06-24T00:00:00"/>
    <s v="PRO-000003632"/>
    <s v="MELBOURNE AIRPORT ELEVATED ROAD AND FORECOURT PROJECT"/>
    <s v="GBP"/>
    <n v="1000000"/>
    <d v="2025-07-02T00:00:00"/>
    <s v="Australia"/>
    <s v="Shop Drawing"/>
    <x v="25"/>
    <n v="1"/>
    <n v="1000000"/>
  </r>
  <r>
    <d v="2025-06-29T00:00:00"/>
    <s v="PRO-000003658"/>
    <s v="NEPEAN HOSPITAL"/>
    <s v="AUD"/>
    <n v="30000"/>
    <d v="2025-07-03T00:00:00"/>
    <s v="Australia"/>
    <s v="Shop Drawing"/>
    <x v="25"/>
    <n v="0.47755491881566381"/>
    <n v="14326.647564469915"/>
  </r>
  <r>
    <d v="2025-07-03T00:00:00"/>
    <s v="PRO-000003677"/>
    <s v="SYDNEY FISH MARKET INTERNAL FIT OUT"/>
    <s v="GBP"/>
    <n v="250000"/>
    <d v="2025-07-04T00:00:00"/>
    <s v="Australia"/>
    <s v="Shop Drawing"/>
    <x v="25"/>
    <n v="1"/>
    <n v="250000"/>
  </r>
  <r>
    <d v="2025-06-03T00:00:00"/>
    <s v="PRO-000003540"/>
    <s v="PASO INFERIOR INFANTA LEONOR"/>
    <s v="GBP"/>
    <n v="300000"/>
    <d v="2025-07-02T00:00:00"/>
    <s v="Rest of the World"/>
    <s v="Proposal"/>
    <x v="25"/>
    <n v="1"/>
    <n v="300000"/>
  </r>
  <r>
    <d v="2025-06-19T00:00:00"/>
    <s v="PRO-000003616"/>
    <s v="MUSEO BELLAS ARTES BILBAO"/>
    <s v="GBP"/>
    <n v="300000"/>
    <d v="2025-07-01T00:00:00"/>
    <s v="Rest of the World"/>
    <s v="Proposal"/>
    <x v="25"/>
    <n v="1"/>
    <n v="300000"/>
  </r>
  <r>
    <d v="2025-06-25T00:00:00"/>
    <s v="PRO-000003635"/>
    <s v="MUSEO BELLAS ARTES BILBAO"/>
    <s v="GBP"/>
    <n v="300000"/>
    <d v="2025-07-01T00:00:00"/>
    <s v="Rest of the World"/>
    <s v="Proposal"/>
    <x v="25"/>
    <n v="1"/>
    <n v="300000"/>
  </r>
  <r>
    <d v="2025-06-25T00:00:00"/>
    <s v="PRO-000003639"/>
    <s v="REPSOL 2026 PLAN MADRID"/>
    <s v="GBP"/>
    <n v="5000"/>
    <d v="2025-07-02T00:00:00"/>
    <s v="Rest of the World"/>
    <s v="Proposal"/>
    <x v="25"/>
    <n v="1"/>
    <n v="5000"/>
  </r>
  <r>
    <d v="2025-06-26T00:00:00"/>
    <s v="PRO-000003646"/>
    <s v="VIVIENDAS ALTO ARENAL MADRID"/>
    <s v="GBP"/>
    <n v="5000"/>
    <d v="2025-07-04T00:00:00"/>
    <s v="Rest of the World"/>
    <s v="Proposal"/>
    <x v="25"/>
    <n v="1"/>
    <n v="5000"/>
  </r>
  <r>
    <d v="2025-06-30T00:00:00"/>
    <s v="PRO-000003659"/>
    <s v="MUSEO BELLAS ARTES BILBAO"/>
    <s v="GBP"/>
    <n v="300000"/>
    <d v="2025-07-03T00:00:00"/>
    <s v="Rest of the World"/>
    <s v="Proposal"/>
    <x v="25"/>
    <n v="1"/>
    <n v="300000"/>
  </r>
  <r>
    <d v="2025-06-05T00:00:00"/>
    <s v="PRO-000003555"/>
    <s v="MAKE ARCHITECTS FABRIC RAFTS 32 CLEVELAND ST STUDIO LONDON"/>
    <s v="GBP"/>
    <n v="0"/>
    <d v="2025-07-01T00:00:00"/>
    <s v="Special Projects"/>
    <s v="Proposal"/>
    <x v="25"/>
    <n v="1"/>
    <n v="0"/>
  </r>
  <r>
    <d v="2025-07-03T00:00:00"/>
    <s v="PRO-000003680"/>
    <s v="COOPER HOUSE COVENTRY"/>
    <s v="GBP"/>
    <n v="25000"/>
    <d v="2025-07-08T00:00:00"/>
    <s v="UK"/>
    <s v="Hand Sketch"/>
    <x v="26"/>
    <n v="1"/>
    <n v="25000"/>
  </r>
  <r>
    <d v="2025-06-27T00:00:00"/>
    <s v="PRO-000003655"/>
    <s v="GRESHAM STREET NO 20 CAT A REFURB LONDON"/>
    <s v="GBP"/>
    <n v="300000"/>
    <d v="2025-07-10T00:00:00"/>
    <s v="UK"/>
    <s v="Proposal"/>
    <x v="26"/>
    <n v="1"/>
    <n v="300000"/>
  </r>
  <r>
    <d v="2025-06-30T00:00:00"/>
    <s v="PRO-000003660"/>
    <s v="ONE EASTSIDE TOWER A SKYLOUNGE BIRMINGHAM"/>
    <s v="GBP"/>
    <n v="10000"/>
    <d v="2025-07-11T00:00:00"/>
    <s v="UK"/>
    <s v="Proposal"/>
    <x v="26"/>
    <n v="1"/>
    <n v="10000"/>
  </r>
  <r>
    <d v="2025-07-01T00:00:00"/>
    <s v="PRO-000003664"/>
    <s v="NDA PROJECT CADILLAC F1 SILVERSTONE"/>
    <s v="GBP"/>
    <n v="500000"/>
    <d v="2025-07-07T00:00:00"/>
    <s v="UK"/>
    <s v="Proposal"/>
    <x v="26"/>
    <n v="1"/>
    <n v="500000"/>
  </r>
  <r>
    <d v="2025-07-02T00:00:00"/>
    <s v="PRO-000003670"/>
    <s v="SKILLS HUB &amp; STORAGE BUILDINGS CRADLEY HEATH"/>
    <s v="GBP"/>
    <n v="30000"/>
    <d v="2025-07-08T00:00:00"/>
    <s v="UK"/>
    <s v="Proposal"/>
    <x v="26"/>
    <n v="1"/>
    <n v="30000"/>
  </r>
  <r>
    <d v="2025-07-03T00:00:00"/>
    <s v="PRO-000003678"/>
    <s v="TOOLEY STREET NO 155 REFURB LONDON"/>
    <s v="GBP"/>
    <n v="20000"/>
    <d v="2025-07-08T00:00:00"/>
    <s v="UK"/>
    <s v="Proposal"/>
    <x v="26"/>
    <n v="1"/>
    <n v="20000"/>
  </r>
  <r>
    <d v="2025-07-03T00:00:00"/>
    <s v="PRO-000003682"/>
    <s v="PETERBOROUGH COURT FLEET STREET CAT B DAIWA LONDON"/>
    <s v="GBP"/>
    <n v="50000"/>
    <d v="2025-07-09T00:00:00"/>
    <s v="UK"/>
    <s v="Proposal"/>
    <x v="26"/>
    <n v="1"/>
    <n v="50000"/>
  </r>
  <r>
    <d v="2025-07-04T00:00:00"/>
    <s v="PRO-000003684"/>
    <s v="BROADGATE QUARTER CAT A REFURB APPOLD STREET LONDON"/>
    <s v="GBP"/>
    <n v="600000"/>
    <d v="2025-07-09T00:00:00"/>
    <s v="UK"/>
    <s v="Proposal"/>
    <x v="26"/>
    <n v="1"/>
    <n v="600000"/>
  </r>
  <r>
    <d v="2025-07-08T00:00:00"/>
    <s v="PRO-000003697"/>
    <s v="BASINGHALL STREET NO 25 WOOLGATE EXCHANGE SUSQUEHANNA"/>
    <s v="GBP"/>
    <n v="200000"/>
    <d v="2025-07-11T00:00:00"/>
    <s v="UK"/>
    <s v="Proposal"/>
    <x v="26"/>
    <n v="1"/>
    <n v="200000"/>
  </r>
  <r>
    <d v="2025-07-09T00:00:00"/>
    <s v="PRO-000003699"/>
    <s v="CRAYFIELDS BUSINESS PARK UNIT 4.01 ORPINGTON"/>
    <s v="GBP"/>
    <n v="10000"/>
    <d v="2025-07-09T00:00:00"/>
    <s v="UK"/>
    <s v="Proposal"/>
    <x v="26"/>
    <n v="1"/>
    <n v="10000"/>
  </r>
  <r>
    <d v="2025-07-03T00:00:00"/>
    <s v="PRO-000003683"/>
    <s v="GPE - SAINT MAUR CRETEIL STATION"/>
    <s v="GBP"/>
    <n v="10000"/>
    <d v="2025-07-10T00:00:00"/>
    <s v="France"/>
    <s v="Proposal"/>
    <x v="26"/>
    <n v="1"/>
    <n v="10000"/>
  </r>
  <r>
    <d v="2025-07-04T00:00:00"/>
    <s v="PRO-000003685"/>
    <s v="TRAM OBSERVATOIRE"/>
    <s v="EUR"/>
    <n v="75000"/>
    <d v="2025-07-10T00:00:00"/>
    <s v="France"/>
    <s v="Proposal"/>
    <x v="26"/>
    <n v="0.86655112651646449"/>
    <n v="64991.334488734836"/>
  </r>
  <r>
    <d v="2025-06-16T00:00:00"/>
    <s v="PRO-000003593"/>
    <s v="HOBBY AIRPORT WEST CONCOURSE HOUSTON TX"/>
    <s v="USD"/>
    <n v="1300000"/>
    <d v="2025-07-11T00:00:00"/>
    <s v="USA"/>
    <s v="Proposal"/>
    <x v="26"/>
    <n v="0.75757575757575757"/>
    <n v="984848.48484848486"/>
  </r>
  <r>
    <d v="2025-06-18T00:00:00"/>
    <s v="PRO-000003609"/>
    <s v="JACKSON PROJECT MISSISSIPPI"/>
    <s v="USD"/>
    <n v="30000"/>
    <d v="2025-07-09T00:00:00"/>
    <s v="USA"/>
    <s v="Proposal"/>
    <x v="26"/>
    <n v="0.75757575757575757"/>
    <n v="22727.272727272728"/>
  </r>
  <r>
    <d v="2024-08-28T00:00:00"/>
    <s v="PRO-000002263"/>
    <s v="5TH AVENUE NO 665 ROLEX HQ NEW YORK"/>
    <s v="USD"/>
    <n v="32000000"/>
    <d v="2025-07-10T00:00:00"/>
    <s v="USA"/>
    <s v="Shop Drawing"/>
    <x v="26"/>
    <n v="0.75757575757575757"/>
    <n v="24242424.242424242"/>
  </r>
  <r>
    <d v="2025-05-27T00:00:00"/>
    <s v="PRO-000003508"/>
    <s v="OHARE AIRPORT TERMINAL 3 L CONCOURSE UPGRADE"/>
    <s v="GBP"/>
    <n v="970477.24"/>
    <d v="2025-07-11T00:00:00"/>
    <s v="USA"/>
    <s v="Shop Drawing"/>
    <x v="26"/>
    <n v="1"/>
    <n v="970477.24"/>
  </r>
  <r>
    <d v="2025-06-23T00:00:00"/>
    <s v="PRO-000003631"/>
    <s v="DETROIT CONFIDENTIAL FINANCIAL HQ PROJECT-LEVEL 8"/>
    <s v="GBP"/>
    <n v="229667"/>
    <d v="2025-07-09T00:00:00"/>
    <s v="USA"/>
    <s v="Shop Drawing"/>
    <x v="26"/>
    <n v="1"/>
    <n v="229667"/>
  </r>
  <r>
    <d v="2025-06-25T00:00:00"/>
    <s v="PRO-000003638"/>
    <s v="KSU KENNESAW STATE UNIVERSITY SUMMIT II HOUSING"/>
    <s v="GBP"/>
    <n v="28212.55"/>
    <d v="2025-07-11T00:00:00"/>
    <s v="USA"/>
    <s v="Shop Drawing"/>
    <x v="26"/>
    <n v="1"/>
    <n v="28212.55"/>
  </r>
  <r>
    <d v="2025-07-02T00:00:00"/>
    <s v="PRO-000003676"/>
    <s v="MIT SLOAN EXECUTIVE EDUCATION"/>
    <s v="GBP"/>
    <n v="184086.19"/>
    <d v="2025-07-13T00:00:00"/>
    <s v="USA"/>
    <s v="Shop Drawing"/>
    <x v="27"/>
    <n v="1"/>
    <n v="184086.19"/>
  </r>
  <r>
    <d v="2025-07-09T00:00:00"/>
    <s v="PRO-000003702"/>
    <s v="5TH AVENUE NO 645 FLOOR 21 ROKOS CAPITAL NYC"/>
    <s v="USD"/>
    <n v="173000"/>
    <d v="2025-07-10T00:00:00"/>
    <s v="USA"/>
    <s v="Shop Drawing"/>
    <x v="26"/>
    <n v="0.75757575757575757"/>
    <n v="131060.60606060606"/>
  </r>
  <r>
    <d v="2025-07-10T00:00:00"/>
    <s v="PRO-000003709"/>
    <s v="OHARE AIRPORT TERMINAL 3 L CONCOURSE UPGRADE"/>
    <s v="USD"/>
    <n v="900000"/>
    <d v="2025-07-10T00:00:00"/>
    <s v="USA"/>
    <s v="Shop Drawing"/>
    <x v="26"/>
    <n v="0.75757575757575757"/>
    <n v="681818.18181818177"/>
  </r>
  <r>
    <d v="2025-07-09T00:00:00"/>
    <s v="PRO-000003698"/>
    <s v="ALLENS"/>
    <s v="AUD"/>
    <n v="40000"/>
    <d v="2025-07-10T00:00:00"/>
    <s v="Australia"/>
    <s v="CAD Sketch"/>
    <x v="26"/>
    <n v="0.48732943469785572"/>
    <n v="19493.177387914227"/>
  </r>
  <r>
    <d v="2025-06-26T00:00:00"/>
    <s v="PRO-000003648"/>
    <s v="SYDNEY FISH MARKET INTERNAL FIT OUT"/>
    <s v="GBP"/>
    <n v="250000"/>
    <d v="2025-07-11T00:00:00"/>
    <s v="Australia"/>
    <s v="Shop Drawing"/>
    <x v="26"/>
    <n v="1"/>
    <n v="250000"/>
  </r>
  <r>
    <d v="2025-07-07T00:00:00"/>
    <s v="PRO-000003689"/>
    <s v="MELBOURNE AIRPORT ELEVATED ROAD AND FORECOURT PROJECT"/>
    <s v="GBP"/>
    <n v="1000000"/>
    <d v="2025-07-08T00:00:00"/>
    <s v="Australia"/>
    <s v="Shop Drawing"/>
    <x v="26"/>
    <n v="1"/>
    <n v="1000000"/>
  </r>
  <r>
    <d v="2025-06-27T00:00:00"/>
    <s v="PRO-000003651"/>
    <s v="ALPHA BANK VE ALTERNATIVES FABRIC ATHENS"/>
    <s v="GBP"/>
    <n v="100000"/>
    <d v="2025-07-10T00:00:00"/>
    <s v="Rest of the World"/>
    <s v="Proposal"/>
    <x v="26"/>
    <n v="1"/>
    <n v="100000"/>
  </r>
  <r>
    <d v="2025-07-01T00:00:00"/>
    <s v="PRO-000003663"/>
    <s v="MUSEO BELLAS ARTES BILBAO"/>
    <s v="GBP"/>
    <n v="300000"/>
    <d v="2025-07-10T00:00:00"/>
    <s v="Rest of the World"/>
    <s v="Proposal"/>
    <x v="26"/>
    <n v="1"/>
    <n v="300000"/>
  </r>
  <r>
    <d v="2025-07-02T00:00:00"/>
    <s v="PRO-000003673"/>
    <s v="BARCELONA AIRPORT T2 &amp; T1"/>
    <s v="GBP"/>
    <n v="60000"/>
    <d v="2025-07-10T00:00:00"/>
    <s v="Rest of the World"/>
    <s v="Proposal"/>
    <x v="26"/>
    <n v="1"/>
    <n v="60000"/>
  </r>
  <r>
    <d v="2025-07-02T00:00:00"/>
    <s v="PRO-000003674"/>
    <s v="CASTELLANA 106 MADRID"/>
    <s v="GBP"/>
    <n v="200000"/>
    <d v="2025-07-10T00:00:00"/>
    <s v="Rest of the World"/>
    <s v="Proposal"/>
    <x v="26"/>
    <n v="1"/>
    <n v="200000"/>
  </r>
  <r>
    <d v="2025-07-08T00:00:00"/>
    <s v="PRO-000003694"/>
    <s v="VIVIENDAS ALTO ARENAL MADRID"/>
    <s v="GBP"/>
    <n v="80000"/>
    <d v="2025-07-11T00:00:00"/>
    <s v="Rest of the World"/>
    <s v="Proposal"/>
    <x v="26"/>
    <n v="1"/>
    <n v="80000"/>
  </r>
  <r>
    <d v="2025-07-09T00:00:00"/>
    <s v="PRO-000003701"/>
    <s v="VIVIENDAS ALTO ARENAL MADRID"/>
    <s v="GBP"/>
    <n v="100000"/>
    <d v="2025-07-11T00:00:00"/>
    <s v="Rest of the World"/>
    <s v="Proposal"/>
    <x v="26"/>
    <n v="1"/>
    <n v="100000"/>
  </r>
  <r>
    <d v="2025-07-10T00:00:00"/>
    <s v="PRO-000003707"/>
    <s v="BERKELEY STREET NO 12 REFURB LONDON"/>
    <s v="GBP"/>
    <n v="15000"/>
    <d v="2025-07-15T00:00:00"/>
    <s v="UK"/>
    <s v="CAD Sketch"/>
    <x v="27"/>
    <n v="1"/>
    <n v="15000"/>
  </r>
  <r>
    <d v="2025-05-21T00:00:00"/>
    <s v="PRO-000003481"/>
    <s v="ST GEORGE STREET NO 14 CAT A FLOOR 2 LIGHTING LONDON"/>
    <s v="GBP"/>
    <n v="65000"/>
    <d v="2025-07-18T00:00:00"/>
    <s v="UK"/>
    <s v="Proposal"/>
    <x v="27"/>
    <n v="1"/>
    <n v="65000"/>
  </r>
  <r>
    <d v="2025-06-27T00:00:00"/>
    <s v="PRO-000003653"/>
    <s v="MBDA BUILDING 4500 STEVENAGE"/>
    <s v="GBP"/>
    <n v="20000"/>
    <d v="2025-07-17T00:00:00"/>
    <s v="UK"/>
    <s v="Proposal"/>
    <x v="27"/>
    <n v="1"/>
    <n v="20000"/>
  </r>
  <r>
    <d v="2025-07-07T00:00:00"/>
    <s v="PRO-000003691"/>
    <s v="EXCHANGE SQUARE NO 1 CAT A REFURB LONDON"/>
    <s v="GBP"/>
    <n v="10000"/>
    <d v="2025-07-18T00:00:00"/>
    <s v="UK"/>
    <s v="Proposal"/>
    <x v="27"/>
    <n v="1"/>
    <n v="10000"/>
  </r>
  <r>
    <d v="2025-07-08T00:00:00"/>
    <s v="PRO-000003696"/>
    <s v="VICTORIA STREET NO 171 REFURBISHMENT LONDON"/>
    <s v="GBP"/>
    <n v="200000"/>
    <d v="2025-07-17T00:00:00"/>
    <s v="UK"/>
    <s v="Proposal"/>
    <x v="27"/>
    <n v="1"/>
    <n v="200000"/>
  </r>
  <r>
    <d v="2025-07-10T00:00:00"/>
    <s v="PRO-000003705"/>
    <s v="WHITEHALL RIVERSIDE NO 2 LEEDS"/>
    <s v="GBP"/>
    <n v="121886.72"/>
    <d v="2025-07-15T00:00:00"/>
    <s v="UK"/>
    <s v="Proposal"/>
    <x v="27"/>
    <n v="1"/>
    <n v="121886.72"/>
  </r>
  <r>
    <d v="2025-07-11T00:00:00"/>
    <s v="PRO-000003714"/>
    <s v="SKILLS HUB &amp; STORAGE BUILDINGS CRADLEY HEATH"/>
    <s v="GBP"/>
    <n v="50000"/>
    <d v="2025-07-17T00:00:00"/>
    <s v="UK"/>
    <s v="Proposal"/>
    <x v="27"/>
    <n v="1"/>
    <n v="50000"/>
  </r>
  <r>
    <d v="2025-07-15T00:00:00"/>
    <s v="PRO-000003727"/>
    <s v="BISHOPSGATE NO 22 CAT B FIT OUT RIVERSTONE FLOOR 5 LONDON"/>
    <s v="GBP"/>
    <n v="50000"/>
    <d v="2025-07-17T00:00:00"/>
    <s v="UK"/>
    <s v="Shop Drawing"/>
    <x v="27"/>
    <n v="1"/>
    <n v="50000"/>
  </r>
  <r>
    <d v="2025-07-15T00:00:00"/>
    <s v="PRO-000003726"/>
    <s v="BLOOMBERG RUE SCRIBE REFURBISHMENT PARIS 2025"/>
    <s v="EUR"/>
    <n v="30000"/>
    <d v="2025-07-18T00:00:00"/>
    <s v="France"/>
    <s v="Proposal"/>
    <x v="27"/>
    <n v="0.86655112651646449"/>
    <n v="25996.533795493935"/>
  </r>
  <r>
    <d v="2025-07-08T00:00:00"/>
    <s v="PRO-000003695"/>
    <s v="HUDSON YARDS 30 WELLS FARGO, 64TH FLOOR CAFE, NEW YORK"/>
    <s v="USD"/>
    <n v="160000"/>
    <d v="2025-07-17T00:00:00"/>
    <s v="USA"/>
    <s v="Proposal"/>
    <x v="27"/>
    <n v="0.75757575757575757"/>
    <n v="121212.12121212122"/>
  </r>
  <r>
    <d v="2025-07-11T00:00:00"/>
    <s v="PRO-000003717"/>
    <s v="PROJECT CUCUMBER (CONFIDENTIAL)"/>
    <s v="USD"/>
    <n v="300000"/>
    <d v="2025-07-15T00:00:00"/>
    <s v="USA"/>
    <s v="Proposal"/>
    <x v="27"/>
    <n v="0.75757575757575757"/>
    <n v="227272.72727272726"/>
  </r>
  <r>
    <d v="2025-07-17T00:00:00"/>
    <s v="PRO-000003737"/>
    <s v="1306 MAIN STREET  REDWOOD CITY CA"/>
    <s v="USD"/>
    <n v="100000"/>
    <d v="2025-07-17T00:00:00"/>
    <s v="USA"/>
    <s v="Proposal"/>
    <x v="27"/>
    <n v="0.75757575757575757"/>
    <n v="75757.57575757576"/>
  </r>
  <r>
    <d v="2024-11-17T00:00:00"/>
    <s v="PRO-000002638"/>
    <s v="BROADWAY 1585 MORGAN STANLEY AMENITY FLRS NEW YORK"/>
    <s v="USD"/>
    <n v="750000"/>
    <d v="2025-07-14T00:00:00"/>
    <s v="USA"/>
    <s v="Shop Drawing"/>
    <x v="27"/>
    <n v="0.75757575757575757"/>
    <n v="568181.81818181823"/>
  </r>
  <r>
    <d v="2025-06-13T00:00:00"/>
    <s v="PRO-000003580"/>
    <s v="BROADWAY 1585 MORGAN STANLEY AMENITY FLRS NEW YORK"/>
    <s v="USD"/>
    <n v="750000"/>
    <d v="2025-07-14T00:00:00"/>
    <s v="USA"/>
    <s v="Shop Drawing"/>
    <x v="27"/>
    <n v="0.75757575757575757"/>
    <n v="568181.81818181823"/>
  </r>
  <r>
    <d v="2025-07-10T00:00:00"/>
    <s v="PRO-000003706"/>
    <s v="AVENUE OF AMERICAS 1290 LOWER LEVEL 01"/>
    <s v="USD"/>
    <n v="11000"/>
    <d v="2025-07-17T00:00:00"/>
    <s v="USA"/>
    <s v="Shop Drawing"/>
    <x v="27"/>
    <n v="0.75757575757575757"/>
    <n v="8333.3333333333339"/>
  </r>
  <r>
    <d v="2025-07-10T00:00:00"/>
    <s v="PRO-000003708"/>
    <s v="PARK AVE NO 99 CELLAR LEVEL NEW YORK"/>
    <s v="GBP"/>
    <n v="19464.39"/>
    <d v="2025-07-18T00:00:00"/>
    <s v="USA"/>
    <s v="Shop Drawing"/>
    <x v="27"/>
    <n v="1"/>
    <n v="19464.39"/>
  </r>
  <r>
    <d v="2025-07-16T00:00:00"/>
    <s v="PRO-000003735"/>
    <s v="RLB OFFICE FITOUT MELBOURNE"/>
    <s v="AUD"/>
    <n v="60000"/>
    <d v="2025-07-17T00:00:00"/>
    <s v="Australia"/>
    <s v="CAD Sketch"/>
    <x v="27"/>
    <n v="0.48732943469785572"/>
    <n v="29239.766081871345"/>
  </r>
  <r>
    <d v="2025-07-07T00:00:00"/>
    <s v="PRO-000003688"/>
    <s v="ATLASSIAN CENTRAL HAYMARKET SYDNEY"/>
    <s v="AUD"/>
    <n v="50000"/>
    <d v="2025-07-16T00:00:00"/>
    <s v="Australia"/>
    <s v="Shop Drawing"/>
    <x v="27"/>
    <n v="0.48732943469785572"/>
    <n v="24366.471734892788"/>
  </r>
  <r>
    <d v="2025-07-11T00:00:00"/>
    <s v="PRO-000003713"/>
    <s v="275 KENT ST THIRD AREA"/>
    <s v="AUD"/>
    <n v="10000"/>
    <d v="2025-07-16T00:00:00"/>
    <s v="Australia"/>
    <s v="Shop Drawing"/>
    <x v="27"/>
    <n v="0.48732943469785572"/>
    <n v="4873.2943469785569"/>
  </r>
  <r>
    <d v="2025-06-23T00:00:00"/>
    <s v="PRO-000003628"/>
    <s v="TRENT UNIVERSITY STUDENT RESIDENCE AND COLLEGE PETERBOROUGH"/>
    <s v="GBP"/>
    <n v="50000"/>
    <d v="2025-07-17T00:00:00"/>
    <s v="Rest of the World"/>
    <s v="Proposal"/>
    <x v="27"/>
    <n v="1"/>
    <n v="50000"/>
  </r>
  <r>
    <d v="2025-07-01T00:00:00"/>
    <s v="PRO-000003668"/>
    <s v="ARIMA OFFICES MADRID"/>
    <s v="GBP"/>
    <n v="200000"/>
    <d v="2025-07-17T00:00:00"/>
    <s v="Rest of the World"/>
    <s v="Proposal"/>
    <x v="27"/>
    <n v="1"/>
    <n v="200000"/>
  </r>
  <r>
    <d v="2025-07-04T00:00:00"/>
    <s v="PRO-000003687"/>
    <s v="SIKLA ARROYOMOLINOS"/>
    <s v="GBP"/>
    <n v="200000"/>
    <d v="2025-07-16T00:00:00"/>
    <s v="Rest of the World"/>
    <s v="Proposal"/>
    <x v="27"/>
    <n v="1"/>
    <n v="200000"/>
  </r>
  <r>
    <d v="2025-07-10T00:00:00"/>
    <s v="PRO-000003710"/>
    <s v="VIA AUGUSTA BARCELONA"/>
    <s v="GBP"/>
    <n v="200000"/>
    <d v="2025-07-17T00:00:00"/>
    <s v="Rest of the World"/>
    <s v="Proposal"/>
    <x v="27"/>
    <n v="1"/>
    <n v="200000"/>
  </r>
  <r>
    <d v="2025-07-17T00:00:00"/>
    <s v="PRO-000003741"/>
    <s v="VIA AUGUSTA BARCELONA"/>
    <s v="GBP"/>
    <n v="200000"/>
    <d v="2025-07-18T00:00:00"/>
    <s v="Rest of the World"/>
    <s v="Proposal"/>
    <x v="27"/>
    <n v="1"/>
    <n v="200000"/>
  </r>
  <r>
    <d v="2025-07-11T00:00:00"/>
    <s v="PRO-000003715"/>
    <s v="AWE THE HUB OFFICE AND TEACHING FACILITY MHS ALDERMASTON"/>
    <s v="GBP"/>
    <n v="30000"/>
    <d v="2025-07-24T00:00:00"/>
    <s v="UK"/>
    <s v="CAD Sketch"/>
    <x v="28"/>
    <n v="1"/>
    <n v="30000"/>
  </r>
  <r>
    <d v="2025-07-16T00:00:00"/>
    <s v="PRO-000003731"/>
    <s v="BERKELEY STREET NO 12 REFURB LONDON"/>
    <s v="GBP"/>
    <n v="15000"/>
    <d v="2025-07-23T00:00:00"/>
    <s v="UK"/>
    <s v="CAD Sketch"/>
    <x v="28"/>
    <n v="1"/>
    <n v="15000"/>
  </r>
  <r>
    <d v="2025-07-21T00:00:00"/>
    <s v="PRO-000003751"/>
    <s v="RIVERBANK HOUSE SWAN LANE FLOOR 9 FIELDFISHER LONDON"/>
    <s v="GBP"/>
    <n v="15000"/>
    <d v="2025-07-24T00:00:00"/>
    <s v="UK"/>
    <s v="CAD Sketch"/>
    <x v="28"/>
    <n v="1"/>
    <n v="15000"/>
  </r>
  <r>
    <d v="2025-06-18T00:00:00"/>
    <s v="PRO-000003608"/>
    <s v="ARGYLL STREET NO 40 REFURB LONDON"/>
    <s v="GBP"/>
    <n v="200000"/>
    <d v="2025-07-25T00:00:00"/>
    <s v="UK"/>
    <s v="Proposal"/>
    <x v="28"/>
    <n v="1"/>
    <n v="200000"/>
  </r>
  <r>
    <d v="2025-07-03T00:00:00"/>
    <s v="PRO-000003679"/>
    <s v="OPTIMA AMR DEVELOPMENT PROJECT"/>
    <s v="GBP"/>
    <n v="100000"/>
    <d v="2025-07-22T00:00:00"/>
    <s v="UK"/>
    <s v="Proposal"/>
    <x v="28"/>
    <n v="1"/>
    <n v="100000"/>
  </r>
  <r>
    <d v="2025-07-07T00:00:00"/>
    <s v="PRO-000003690"/>
    <s v="UCB PHARMA COLLABORATION HUB WINDLESHAM CAMPUS SURREY"/>
    <s v="GBP"/>
    <n v="240000"/>
    <d v="2025-07-24T00:00:00"/>
    <s v="UK"/>
    <s v="Proposal"/>
    <x v="28"/>
    <n v="1"/>
    <n v="240000"/>
  </r>
  <r>
    <d v="2025-07-11T00:00:00"/>
    <s v="PRO-000003716"/>
    <s v="AWE THE HUB OFFICE AND TEACHING FACILITY MHS ALDERMASTON"/>
    <s v="GBP"/>
    <n v="20000"/>
    <d v="2025-07-21T00:00:00"/>
    <s v="UK"/>
    <s v="Proposal"/>
    <x v="28"/>
    <n v="1"/>
    <n v="20000"/>
  </r>
  <r>
    <d v="2025-07-16T00:00:00"/>
    <s v="PRO-000003732"/>
    <s v="THE FAIRFAX PHASE 1 RESIDENTIAL MANCHESTER"/>
    <s v="GBP"/>
    <n v="50000"/>
    <d v="2025-07-24T00:00:00"/>
    <s v="UK"/>
    <s v="Proposal"/>
    <x v="28"/>
    <n v="1"/>
    <n v="50000"/>
  </r>
  <r>
    <d v="2025-07-17T00:00:00"/>
    <s v="PRO-000003740"/>
    <s v="HEATHROW T5 WATCHES OF SWITZERLAND STORE"/>
    <s v="GBP"/>
    <n v="50000"/>
    <d v="2025-07-24T00:00:00"/>
    <s v="UK"/>
    <s v="Proposal"/>
    <x v="28"/>
    <n v="1"/>
    <n v="50000"/>
  </r>
  <r>
    <d v="2025-07-21T00:00:00"/>
    <s v="PRO-000003754"/>
    <s v="ONE EASTSIDE TOWER A SKYLOUNGE BIRMINGHAM"/>
    <s v="GBP"/>
    <n v="3500"/>
    <d v="2025-07-24T00:00:00"/>
    <s v="UK"/>
    <s v="Proposal"/>
    <x v="28"/>
    <n v="1"/>
    <n v="3500"/>
  </r>
  <r>
    <d v="2025-07-22T00:00:00"/>
    <s v="PRO-000003757"/>
    <s v="ARGYLL STREET NO 40 REFURB LONDON"/>
    <s v="GBP"/>
    <n v="200000"/>
    <d v="2025-07-25T00:00:00"/>
    <s v="UK"/>
    <s v="Proposal"/>
    <x v="28"/>
    <n v="1"/>
    <n v="200000"/>
  </r>
  <r>
    <d v="2025-07-21T00:00:00"/>
    <s v="PRO-000003753"/>
    <s v="BISHOPSGATE NO 22 CAT B FIT OUT RIVERSTONE FLOOR 5 LONDON"/>
    <s v="GBP"/>
    <n v="50000"/>
    <d v="2025-07-24T00:00:00"/>
    <s v="UK"/>
    <s v="Shop Drawing"/>
    <x v="28"/>
    <n v="1"/>
    <n v="50000"/>
  </r>
  <r>
    <d v="2025-07-24T00:00:00"/>
    <s v="PRO-000003771"/>
    <s v="HEATHROW T5 LEVEL 10 UK BORDER FORCE HOLDING ROOM"/>
    <s v="GBP"/>
    <n v="5000"/>
    <d v="2025-07-25T00:00:00"/>
    <s v="UK"/>
    <s v="Shop Drawing"/>
    <x v="28"/>
    <n v="1"/>
    <n v="5000"/>
  </r>
  <r>
    <d v="2025-07-17T00:00:00"/>
    <s v="PRO-000003739"/>
    <s v="GPE - ISSY RER STATION"/>
    <s v="EUR"/>
    <n v="55000"/>
    <d v="2025-07-24T00:00:00"/>
    <s v="France"/>
    <s v="Proposal"/>
    <x v="28"/>
    <n v="0.86655112651646449"/>
    <n v="47660.311958405546"/>
  </r>
  <r>
    <d v="2025-06-11T00:00:00"/>
    <s v="PRO-000003574"/>
    <s v="MADISON AVENUE 383 LOBBY NEW YORK"/>
    <s v="USD"/>
    <n v="1500000"/>
    <d v="2025-07-25T00:00:00"/>
    <s v="USA"/>
    <s v="Proposal"/>
    <x v="28"/>
    <n v="0.75757575757575757"/>
    <n v="1136363.6363636365"/>
  </r>
  <r>
    <d v="2025-07-17T00:00:00"/>
    <s v="PRO-000003743"/>
    <s v="333 W CAMDEN ST ORIOLE PARK PRESS CLUB"/>
    <s v="USD"/>
    <n v="67000"/>
    <d v="2025-07-21T00:00:00"/>
    <s v="USA"/>
    <s v="Proposal"/>
    <x v="28"/>
    <n v="0.75757575757575757"/>
    <n v="50757.57575757576"/>
  </r>
  <r>
    <d v="2025-07-17T00:00:00"/>
    <s v="PRO-000003744"/>
    <s v="PASSAGE OF TIME ART GALLERY FLORIDA"/>
    <s v="USD"/>
    <n v="600000"/>
    <d v="2025-07-21T00:00:00"/>
    <s v="USA"/>
    <s v="Proposal"/>
    <x v="28"/>
    <n v="0.75757575757575757"/>
    <n v="454545.45454545453"/>
  </r>
  <r>
    <d v="2025-07-21T00:00:00"/>
    <s v="PRO-000003755"/>
    <s v="1325 AVE OF THE AMERICAS, FLR 11"/>
    <s v="USD"/>
    <n v="25000"/>
    <d v="2025-07-21T00:00:00"/>
    <s v="USA"/>
    <s v="Proposal"/>
    <x v="28"/>
    <n v="0.75757575757575757"/>
    <n v="18939.39393939394"/>
  </r>
  <r>
    <d v="2025-07-23T00:00:00"/>
    <s v="PRO-000003762"/>
    <s v="PASSAGE OF TIME ART GALLERY FLORIDA"/>
    <s v="USD"/>
    <n v="600000"/>
    <d v="2025-07-23T00:00:00"/>
    <s v="USA"/>
    <s v="Proposal"/>
    <x v="28"/>
    <n v="0.75757575757575757"/>
    <n v="454545.45454545453"/>
  </r>
  <r>
    <d v="2025-05-02T00:00:00"/>
    <s v="PRO-000003387"/>
    <s v="UMASS SUSTAINABLE  ENGINEERING  LABORATORIES"/>
    <s v="GBP"/>
    <n v="16000"/>
    <d v="2025-07-25T00:00:00"/>
    <s v="USA"/>
    <s v="Shop Drawing"/>
    <x v="28"/>
    <n v="1"/>
    <n v="16000"/>
  </r>
  <r>
    <d v="2025-05-21T00:00:00"/>
    <s v="PRO-000003483"/>
    <s v="HUDSON YARDS 20 WELLS FARGO, FLRS 5 &amp; 6, NEW YORK"/>
    <s v="GBP"/>
    <n v="63000"/>
    <d v="2025-07-23T00:00:00"/>
    <s v="USA"/>
    <s v="Shop Drawing"/>
    <x v="28"/>
    <n v="1"/>
    <n v="63000"/>
  </r>
  <r>
    <d v="2025-07-02T00:00:00"/>
    <s v="PRO-000003675"/>
    <s v="AMERICAN TOWER 222 BERKELEY ST FLOORS 6 &amp; 7"/>
    <s v="GBP"/>
    <n v="112741.06"/>
    <d v="2025-07-25T00:00:00"/>
    <s v="USA"/>
    <s v="Shop Drawing"/>
    <x v="28"/>
    <n v="1"/>
    <n v="112741.06"/>
  </r>
  <r>
    <d v="2025-07-18T00:00:00"/>
    <s v="PRO-000003747"/>
    <s v="PARK AVE NO 99 CELLAR LEVEL NEW YORK"/>
    <s v="GBP"/>
    <n v="19464.39"/>
    <d v="2025-07-23T00:00:00"/>
    <s v="USA"/>
    <s v="Shop Drawing"/>
    <x v="28"/>
    <n v="1"/>
    <n v="19464.39"/>
  </r>
  <r>
    <d v="2025-07-24T00:00:00"/>
    <s v="PRO-000003775"/>
    <s v="777 6TH ST NW BRENNAN CTR FOR JUSTICE WASHINGTON"/>
    <s v="GBP"/>
    <n v="20815.22"/>
    <d v="2025-07-25T00:00:00"/>
    <s v="USA"/>
    <s v="Shop Drawing"/>
    <x v="28"/>
    <n v="1"/>
    <n v="20815.22"/>
  </r>
  <r>
    <d v="2025-07-21T00:00:00"/>
    <s v="PRO-000003756"/>
    <s v="KMART GROUP MELBOURNE HEAD OFFICE FITOUT"/>
    <s v="AUD"/>
    <n v="40000"/>
    <d v="2025-07-22T00:00:00"/>
    <s v="Australia"/>
    <s v="CAD Sketch"/>
    <x v="28"/>
    <n v="0.48732943469785572"/>
    <n v="19493.177387914227"/>
  </r>
  <r>
    <d v="2025-07-24T00:00:00"/>
    <s v="PRO-000003765"/>
    <s v="CHARLES GARDINER HOSPITAL STAGE ONE"/>
    <s v="AUD"/>
    <n v="12000"/>
    <d v="2025-07-25T00:00:00"/>
    <s v="Australia"/>
    <s v="CAD Sketch"/>
    <x v="28"/>
    <n v="0.48732943469785572"/>
    <n v="5847.9532163742688"/>
  </r>
  <r>
    <d v="2025-07-24T00:00:00"/>
    <s v="PRO-000003767"/>
    <s v="COLLINS STREET NO 260 LEVEL 2"/>
    <s v="AUD"/>
    <n v="10000"/>
    <d v="2025-07-24T00:00:00"/>
    <s v="Australia"/>
    <s v="CAD Sketch"/>
    <x v="28"/>
    <n v="0.48732943469785572"/>
    <n v="4873.2943469785569"/>
  </r>
  <r>
    <d v="2025-07-25T00:00:00"/>
    <s v="PRO-000003779"/>
    <s v="TECHTRONIC INDUSTRIES TTI"/>
    <s v="AUD"/>
    <n v="12000"/>
    <d v="2025-07-25T00:00:00"/>
    <s v="Australia"/>
    <s v="CAD Sketch"/>
    <x v="28"/>
    <n v="0.48732943469785572"/>
    <n v="5847.9532163742688"/>
  </r>
  <r>
    <d v="2025-07-27T00:00:00"/>
    <s v="PRO-000003783"/>
    <s v="ASX"/>
    <s v="AUD"/>
    <n v="100000"/>
    <d v="2025-07-27T00:00:00"/>
    <s v="Australia"/>
    <s v="CAD Sketch"/>
    <x v="29"/>
    <n v="0.48732943469785572"/>
    <n v="48732.943469785576"/>
  </r>
  <r>
    <d v="2025-07-10T00:00:00"/>
    <s v="PRO-000003712"/>
    <s v="AGL FITOUT"/>
    <s v="AUD"/>
    <n v="30000"/>
    <d v="2025-07-21T00:00:00"/>
    <s v="Australia"/>
    <s v="Proposal"/>
    <x v="28"/>
    <n v="0.48732943469785572"/>
    <n v="14619.883040935672"/>
  </r>
  <r>
    <d v="2025-07-20T00:00:00"/>
    <s v="PRO-000003749"/>
    <s v="COLLINS STREET NO 367 LOBBY AND EOT UPGRADE"/>
    <s v="AUD"/>
    <n v="900000"/>
    <d v="2025-07-24T00:00:00"/>
    <s v="Australia"/>
    <s v="Proposal"/>
    <x v="28"/>
    <n v="0.48732943469785572"/>
    <n v="438596.49122807017"/>
  </r>
  <r>
    <d v="2025-07-16T00:00:00"/>
    <s v="PRO-000003729"/>
    <s v="MELBOURNE AIRPORT T2 SCREENING"/>
    <s v="AUD"/>
    <n v="10000"/>
    <d v="2025-07-23T00:00:00"/>
    <s v="Australia"/>
    <s v="Shop Drawing"/>
    <x v="28"/>
    <n v="0.48732943469785572"/>
    <n v="4873.2943469785569"/>
  </r>
  <r>
    <d v="2025-07-16T00:00:00"/>
    <s v="PRO-000003730"/>
    <s v="COLLINS STREET NO 260 LEVEL 2"/>
    <s v="AUD"/>
    <n v="22000"/>
    <d v="2025-07-23T00:00:00"/>
    <s v="Australia"/>
    <s v="Shop Drawing"/>
    <x v="28"/>
    <n v="0.48732943469785572"/>
    <n v="10721.247563352827"/>
  </r>
  <r>
    <d v="2025-07-16T00:00:00"/>
    <s v="PRO-000003736"/>
    <s v="SYDNEY FISH MARKET INTERNAL FIT OUT"/>
    <s v="GBP"/>
    <n v="250000"/>
    <d v="2025-07-21T00:00:00"/>
    <s v="Australia"/>
    <s v="Shop Drawing"/>
    <x v="28"/>
    <n v="1"/>
    <n v="250000"/>
  </r>
  <r>
    <d v="2025-07-24T00:00:00"/>
    <s v="PRO-000003766"/>
    <s v="NEPEAN HOSPITAL"/>
    <s v="AUD"/>
    <n v="300000"/>
    <d v="2025-07-24T00:00:00"/>
    <s v="Australia"/>
    <s v="Shop Drawing"/>
    <x v="28"/>
    <n v="0.48732943469785572"/>
    <n v="146198.83040935671"/>
  </r>
  <r>
    <d v="2025-07-07T00:00:00"/>
    <s v="PRO-000003692"/>
    <s v="REPSOL 2026 PLAN MADRID"/>
    <s v="GBP"/>
    <n v="200000"/>
    <d v="2025-07-24T00:00:00"/>
    <s v="Rest of the World"/>
    <s v="Proposal"/>
    <x v="28"/>
    <n v="1"/>
    <n v="200000"/>
  </r>
  <r>
    <d v="2025-07-09T00:00:00"/>
    <s v="PRO-000003700"/>
    <s v="HEART OF PORTO PORTUGAL"/>
    <s v="GBP"/>
    <n v="150000"/>
    <d v="2025-07-24T00:00:00"/>
    <s v="Rest of the World"/>
    <s v="Proposal"/>
    <x v="28"/>
    <n v="1"/>
    <n v="150000"/>
  </r>
  <r>
    <d v="2025-07-09T00:00:00"/>
    <s v="PRO-000003703"/>
    <s v="ALPHA BANK ATHENS"/>
    <s v="GBP"/>
    <n v="15000"/>
    <d v="2025-07-22T00:00:00"/>
    <s v="Rest of the World"/>
    <s v="Proposal"/>
    <x v="28"/>
    <n v="1"/>
    <n v="15000"/>
  </r>
  <r>
    <d v="2025-07-10T00:00:00"/>
    <s v="PRO-000003704"/>
    <s v="MUSEO BELLAS ARTES BILBAO"/>
    <s v="GBP"/>
    <n v="300000"/>
    <d v="2025-07-24T00:00:00"/>
    <s v="Rest of the World"/>
    <s v="Proposal"/>
    <x v="28"/>
    <n v="1"/>
    <n v="300000"/>
  </r>
  <r>
    <d v="2025-07-14T00:00:00"/>
    <s v="PRO-000003722"/>
    <s v="PALMA AIRPORT EXTENSION LIGHTING"/>
    <s v="GBP"/>
    <n v="3000000"/>
    <d v="2025-07-24T00:00:00"/>
    <s v="Rest of the World"/>
    <s v="Proposal"/>
    <x v="28"/>
    <n v="1"/>
    <n v="3000000"/>
  </r>
  <r>
    <d v="2025-07-14T00:00:00"/>
    <s v="PRO-000003723"/>
    <s v="HOSPITAL EL CARMEN CIUDAD REAL"/>
    <s v="GBP"/>
    <n v="200000"/>
    <d v="2025-07-22T00:00:00"/>
    <s v="Rest of the World"/>
    <s v="Proposal"/>
    <x v="28"/>
    <n v="1"/>
    <n v="200000"/>
  </r>
  <r>
    <d v="2025-07-11T00:00:00"/>
    <s v="PRO-000003718"/>
    <s v="MAKE ARCHITECTS FABRIC RAFTS 32 CLEVELAND ST STUDIO LONDON"/>
    <s v="GBP"/>
    <n v="0"/>
    <d v="2025-07-21T00:00:00"/>
    <s v="Special Projects"/>
    <s v="Proposal"/>
    <x v="28"/>
    <n v="1"/>
    <n v="0"/>
  </r>
  <r>
    <d v="2025-07-26T00:00:00"/>
    <s v="PRO-000003781"/>
    <s v="MANCHESTER AIRPORT T2 EAST WING NEW DEVELOPMENT"/>
    <s v="GBP"/>
    <n v="5000"/>
    <d v="2025-07-28T00:00:00"/>
    <s v="UK"/>
    <s v="CAD Sketch"/>
    <x v="29"/>
    <n v="1"/>
    <n v="5000"/>
  </r>
  <r>
    <d v="2025-07-14T00:00:00"/>
    <s v="PRO-000003721"/>
    <s v="CITY POINT L1 AND LGF HAYMARKET TERRACE NO 65 EDINBURGH"/>
    <s v="GBP"/>
    <n v="45000"/>
    <d v="2025-07-30T00:00:00"/>
    <s v="UK"/>
    <s v="Proposal"/>
    <x v="29"/>
    <n v="1"/>
    <n v="45000"/>
  </r>
  <r>
    <d v="2025-07-17T00:00:00"/>
    <s v="PRO-000003738"/>
    <s v="SPRING GARDENS NO 40 FLR 2 MANCHESTER"/>
    <s v="GBP"/>
    <n v="6000"/>
    <d v="2025-08-01T00:00:00"/>
    <s v="UK"/>
    <s v="Proposal"/>
    <x v="29"/>
    <n v="1"/>
    <n v="6000"/>
  </r>
  <r>
    <d v="2025-07-17T00:00:00"/>
    <s v="PRO-000003742"/>
    <s v="ABBEY ROAD STUDIOS REFURB LONDON"/>
    <s v="GBP"/>
    <n v="10000"/>
    <d v="2025-07-28T00:00:00"/>
    <s v="UK"/>
    <s v="Proposal"/>
    <x v="29"/>
    <n v="1"/>
    <n v="10000"/>
  </r>
  <r>
    <d v="2025-07-18T00:00:00"/>
    <s v="PRO-000003745"/>
    <s v="LEXINGTON STREET NO 28-32 LONDON"/>
    <s v="GBP"/>
    <n v="50000"/>
    <d v="2025-07-29T00:00:00"/>
    <s v="UK"/>
    <s v="Proposal"/>
    <x v="29"/>
    <n v="1"/>
    <n v="50000"/>
  </r>
  <r>
    <d v="2025-07-22T00:00:00"/>
    <s v="PRO-000003761"/>
    <s v="BRABAZON OFFICE AND STATION BRISTOL"/>
    <s v="GBP"/>
    <n v="300000"/>
    <d v="2025-07-31T00:00:00"/>
    <s v="UK"/>
    <s v="Proposal"/>
    <x v="29"/>
    <n v="1"/>
    <n v="300000"/>
  </r>
  <r>
    <d v="2025-07-24T00:00:00"/>
    <s v="PRO-000003772"/>
    <s v="BISHOPSGATE NO 155 FLRS 9-12 AKIN FIT OUT LONDON"/>
    <s v="GBP"/>
    <n v="500000"/>
    <d v="2025-08-01T00:00:00"/>
    <s v="UK"/>
    <s v="Proposal"/>
    <x v="29"/>
    <n v="1"/>
    <n v="500000"/>
  </r>
  <r>
    <d v="2025-07-24T00:00:00"/>
    <s v="PRO-000003774"/>
    <s v="VICTORIA STREET NO 1 LONDON"/>
    <s v="GBP"/>
    <n v="250000"/>
    <d v="2025-07-28T00:00:00"/>
    <s v="UK"/>
    <s v="Proposal"/>
    <x v="29"/>
    <n v="1"/>
    <n v="250000"/>
  </r>
  <r>
    <d v="2025-07-28T00:00:00"/>
    <s v="PRO-000003789"/>
    <s v="GRESHAM STREET NO 20 CAT A REFURB LONDON"/>
    <s v="GBP"/>
    <n v="20000"/>
    <d v="2025-07-29T00:00:00"/>
    <s v="UK"/>
    <s v="Proposal"/>
    <x v="29"/>
    <n v="1"/>
    <n v="20000"/>
  </r>
  <r>
    <d v="2025-07-28T00:00:00"/>
    <s v="PRO-000003788"/>
    <s v="OXFORD SCIENCE PARK PLOTS NO 23-25 OXFORD LIGHTING"/>
    <s v="GBP"/>
    <n v="50000"/>
    <d v="2025-08-01T00:00:00"/>
    <s v="UK"/>
    <s v="Proposal"/>
    <x v="29"/>
    <n v="1"/>
    <n v="50000"/>
  </r>
  <r>
    <d v="2025-07-29T00:00:00"/>
    <s v="PRO-000003799"/>
    <s v="GATWICK NORTH TERMINAL PIER 6 EXTENSION"/>
    <s v="GBP"/>
    <n v="100000"/>
    <d v="2025-07-29T00:00:00"/>
    <s v="UK"/>
    <s v="Proposal"/>
    <x v="29"/>
    <n v="1"/>
    <n v="100000"/>
  </r>
  <r>
    <d v="2025-07-29T00:00:00"/>
    <s v="PRO-000003801"/>
    <s v="ELLISON INSTITUTE TRANSFORMATIVE MEDICINE RESEARCH CAMPUS"/>
    <s v="GBP"/>
    <n v="40000"/>
    <d v="2025-08-01T00:00:00"/>
    <s v="UK"/>
    <s v="Proposal"/>
    <x v="29"/>
    <n v="1"/>
    <n v="40000"/>
  </r>
  <r>
    <d v="2025-07-30T00:00:00"/>
    <s v="PRO-000003806"/>
    <s v="PORTMAN SQUARE NO 40 LEVEL 1-3 CPPIB FIT OUT LONDON"/>
    <s v="GBP"/>
    <n v="120000"/>
    <d v="2025-07-31T00:00:00"/>
    <s v="UK"/>
    <s v="Proposal"/>
    <x v="29"/>
    <n v="1"/>
    <n v="120000"/>
  </r>
  <r>
    <d v="2025-07-30T00:00:00"/>
    <s v="PRO-000003807"/>
    <s v="PORTMAN SQUARE NO 40 LEVEL 1-3 CPPIB FIT OUT LONDON"/>
    <s v="GBP"/>
    <n v="120000"/>
    <d v="2025-07-31T00:00:00"/>
    <s v="UK"/>
    <s v="Proposal"/>
    <x v="29"/>
    <n v="1"/>
    <n v="120000"/>
  </r>
  <r>
    <d v="2025-07-14T00:00:00"/>
    <s v="PRO-000003724"/>
    <s v="ORCHARD RIDGE DRIVE NO 200 GAITHERSBURG"/>
    <s v="USD"/>
    <n v="5000"/>
    <d v="2025-07-31T00:00:00"/>
    <s v="USA"/>
    <s v="Proposal"/>
    <x v="29"/>
    <n v="0.75757575757575757"/>
    <n v="3787.878787878788"/>
  </r>
  <r>
    <d v="2025-07-15T00:00:00"/>
    <s v="PRO-000003728"/>
    <s v="6100 MAIN STREET STE 480, HOUSTON, TX 77005- PHASE 1"/>
    <s v="USD"/>
    <n v="200000"/>
    <d v="2025-07-30T00:00:00"/>
    <s v="USA"/>
    <s v="Proposal"/>
    <x v="29"/>
    <n v="0.75757575757575757"/>
    <n v="151515.15151515152"/>
  </r>
  <r>
    <d v="2025-07-16T00:00:00"/>
    <s v="PRO-000003734"/>
    <s v="1306 MAIN STREET  REDWOOD CITY CA"/>
    <s v="USD"/>
    <n v="450000"/>
    <d v="2025-07-29T00:00:00"/>
    <s v="USA"/>
    <s v="Proposal"/>
    <x v="29"/>
    <n v="0.75757575757575757"/>
    <n v="340909.09090909088"/>
  </r>
  <r>
    <d v="2025-07-25T00:00:00"/>
    <s v="PRO-000003780"/>
    <s v="ONE UTSA CIRCLE SAN ANTONIO TX 78249"/>
    <s v="GBP"/>
    <n v="425923"/>
    <d v="2025-07-30T00:00:00"/>
    <s v="USA"/>
    <s v="Shop Drawing"/>
    <x v="29"/>
    <n v="1"/>
    <n v="425923"/>
  </r>
  <r>
    <d v="2025-07-28T00:00:00"/>
    <s v="PRO-000003790"/>
    <s v="UMC BOARDROOM EL PASO"/>
    <s v="GBP"/>
    <n v="44173.26"/>
    <d v="2025-07-30T00:00:00"/>
    <s v="USA"/>
    <s v="Shop Drawing"/>
    <x v="29"/>
    <n v="1"/>
    <n v="44173.26"/>
  </r>
  <r>
    <d v="2025-07-29T00:00:00"/>
    <s v="PRO-000003794"/>
    <s v="ONE SCHOOL GLOBAL OATLANDS CAMPUS REDEVELOPMENT"/>
    <s v="AUD"/>
    <n v="10000"/>
    <d v="2025-07-31T00:00:00"/>
    <s v="Australia"/>
    <s v="CAD Sketch"/>
    <x v="29"/>
    <n v="0.48732943469785572"/>
    <n v="4873.2943469785569"/>
  </r>
  <r>
    <d v="2025-08-01T00:00:00"/>
    <s v="PRO-000003823"/>
    <s v="NEXT DC S4"/>
    <s v="AUD"/>
    <n v="10000"/>
    <d v="2025-08-01T00:00:00"/>
    <s v="Australia"/>
    <s v="CAD Sketch"/>
    <x v="29"/>
    <n v="0.48732943469785572"/>
    <n v="4873.2943469785569"/>
  </r>
  <r>
    <d v="2025-07-24T00:00:00"/>
    <s v="PRO-000003768"/>
    <s v="SYDNEY FISH MARKET INTERNAL FIT OUT"/>
    <s v="GBP"/>
    <n v="250000"/>
    <d v="2025-07-29T00:00:00"/>
    <s v="Australia"/>
    <s v="Shop Drawing"/>
    <x v="29"/>
    <n v="1"/>
    <n v="250000"/>
  </r>
  <r>
    <d v="2025-07-28T00:00:00"/>
    <s v="PRO-000003784"/>
    <s v="BDO MELBOURNE"/>
    <s v="AUD"/>
    <n v="23000"/>
    <d v="2025-07-31T00:00:00"/>
    <s v="Australia"/>
    <s v="Shop Drawing"/>
    <x v="29"/>
    <n v="0.48732943469785572"/>
    <n v="11208.576998050681"/>
  </r>
  <r>
    <d v="2025-07-28T00:00:00"/>
    <s v="PRO-000003785"/>
    <s v="MELBOURNE AIRPORT T2 SCREENING"/>
    <s v="AUD"/>
    <n v="15000"/>
    <d v="2025-07-28T00:00:00"/>
    <s v="Australia"/>
    <s v="Shop Drawing"/>
    <x v="29"/>
    <n v="0.48732943469785572"/>
    <n v="7309.9415204678362"/>
  </r>
  <r>
    <d v="2025-07-28T00:00:00"/>
    <s v="PRO-000003786"/>
    <s v="RLB OFFICE FITOUT MELBOURNE"/>
    <s v="AUD"/>
    <n v="60000"/>
    <d v="2025-08-01T00:00:00"/>
    <s v="Australia"/>
    <s v="Shop Drawing"/>
    <x v="29"/>
    <n v="0.48732943469785572"/>
    <n v="29239.766081871345"/>
  </r>
  <r>
    <d v="2025-07-30T00:00:00"/>
    <s v="PRO-000003811"/>
    <s v="AGL FITOUT"/>
    <s v="AUD"/>
    <n v="60000"/>
    <d v="2025-07-31T00:00:00"/>
    <s v="Australia"/>
    <s v="Shop Drawing"/>
    <x v="29"/>
    <n v="0.48732943469785572"/>
    <n v="29239.766081871345"/>
  </r>
  <r>
    <d v="2025-07-30T00:00:00"/>
    <s v="PRO-000003812"/>
    <s v="RLB OFFICE FITOUT MELBOURNE"/>
    <s v="AUD"/>
    <n v="60000"/>
    <d v="2025-08-01T00:00:00"/>
    <s v="Australia"/>
    <s v="Shop Drawing"/>
    <x v="29"/>
    <n v="0.48732943469785572"/>
    <n v="29239.766081871345"/>
  </r>
  <r>
    <d v="2025-07-28T00:00:00"/>
    <s v="PRO-000003791"/>
    <s v="LAGOS BOUTIQUE HOTEL"/>
    <s v="GBP"/>
    <n v="60000"/>
    <d v="2025-07-31T00:00:00"/>
    <s v="Rest of the World"/>
    <s v="CAD Sketch"/>
    <x v="29"/>
    <n v="1"/>
    <n v="60000"/>
  </r>
  <r>
    <d v="2025-07-04T00:00:00"/>
    <s v="PRO-000003686"/>
    <s v="02034 CADDELL"/>
    <s v="GBP"/>
    <n v="250000"/>
    <d v="2025-07-30T00:00:00"/>
    <s v="Rest of the World"/>
    <s v="Proposal"/>
    <x v="29"/>
    <n v="1"/>
    <n v="250000"/>
  </r>
  <r>
    <d v="2025-07-18T00:00:00"/>
    <s v="PRO-000003748"/>
    <s v="VIA AUGUSTA BARCELONA"/>
    <s v="GBP"/>
    <n v="200000"/>
    <d v="2025-07-28T00:00:00"/>
    <s v="Rest of the World"/>
    <s v="Proposal"/>
    <x v="29"/>
    <n v="1"/>
    <n v="200000"/>
  </r>
  <r>
    <d v="2025-07-29T00:00:00"/>
    <s v="PRO-000003795"/>
    <s v="DEGROOTE SCHOOL OF BUSINESS HAMILTON LEVELS 6 &amp; 9"/>
    <s v="GBP"/>
    <n v="30000"/>
    <d v="2025-07-31T00:00:00"/>
    <s v="Rest of the World"/>
    <s v="Shop Drawing"/>
    <x v="29"/>
    <n v="1"/>
    <n v="30000"/>
  </r>
  <r>
    <d v="2025-07-21T00:00:00"/>
    <s v="PRO-000003752"/>
    <s v="PETERBOROUGH COURT FLEET STREET CAT B DAIWA FABRIC LONDON"/>
    <s v="GBP"/>
    <n v="50000"/>
    <d v="2025-08-08T00:00:00"/>
    <s v="UK"/>
    <s v="Proposal"/>
    <x v="30"/>
    <n v="1"/>
    <n v="50000"/>
  </r>
  <r>
    <d v="2025-07-22T00:00:00"/>
    <s v="PRO-000003758"/>
    <s v="OLD BROAD STREET NO 55 DEVELOPMENT LONDON"/>
    <s v="GBP"/>
    <n v="50000"/>
    <d v="2025-08-07T00:00:00"/>
    <s v="UK"/>
    <s v="Proposal"/>
    <x v="30"/>
    <n v="1"/>
    <n v="50000"/>
  </r>
  <r>
    <d v="2025-07-24T00:00:00"/>
    <s v="PRO-000003776"/>
    <s v="VINE STREET NO 1 FLOORS 3-4 CAT A+ LONDON"/>
    <s v="GBP"/>
    <n v="50000"/>
    <d v="2025-08-06T00:00:00"/>
    <s v="UK"/>
    <s v="Proposal"/>
    <x v="30"/>
    <n v="1"/>
    <n v="50000"/>
  </r>
  <r>
    <d v="2025-07-26T00:00:00"/>
    <s v="PRO-000003782"/>
    <s v="PROJECT CAVE BROADWAY WESTMINSTER SW1 LONDON"/>
    <s v="GBP"/>
    <n v="15000"/>
    <d v="2025-08-04T00:00:00"/>
    <s v="UK"/>
    <s v="Proposal"/>
    <x v="30"/>
    <n v="1"/>
    <n v="15000"/>
  </r>
  <r>
    <d v="2025-07-28T00:00:00"/>
    <s v="PRO-000003787"/>
    <s v="PALMER STREET NO 21 ASTICUS BUILDING NESO LONDON"/>
    <s v="GBP"/>
    <n v="20000"/>
    <d v="2025-08-08T00:00:00"/>
    <s v="UK"/>
    <s v="Proposal"/>
    <x v="30"/>
    <n v="1"/>
    <n v="20000"/>
  </r>
  <r>
    <d v="2025-07-28T00:00:00"/>
    <s v="PRO-000003792"/>
    <s v="VICTORIA STREET NO 1 LONDON"/>
    <s v="GBP"/>
    <n v="20000"/>
    <d v="2025-08-07T00:00:00"/>
    <s v="UK"/>
    <s v="Proposal"/>
    <x v="30"/>
    <n v="1"/>
    <n v="20000"/>
  </r>
  <r>
    <d v="2025-07-29T00:00:00"/>
    <s v="PRO-000003798"/>
    <s v="OXFORD STREET NO 334-348 CAT B BDO LONDON"/>
    <s v="GBP"/>
    <n v="10000"/>
    <d v="2025-08-05T00:00:00"/>
    <s v="UK"/>
    <s v="Proposal"/>
    <x v="30"/>
    <n v="1"/>
    <n v="10000"/>
  </r>
  <r>
    <d v="2025-07-29T00:00:00"/>
    <s v="PRO-000003802"/>
    <s v="DUDLEY INTERCHANGE FISHER STREET"/>
    <s v="GBP"/>
    <n v="450000"/>
    <d v="2025-08-06T00:00:00"/>
    <s v="UK"/>
    <s v="Proposal"/>
    <x v="30"/>
    <n v="1"/>
    <n v="450000"/>
  </r>
  <r>
    <d v="2025-07-30T00:00:00"/>
    <s v="PRO-000003803"/>
    <s v="CRESCENT HOUSE GOLDEN LANE ESTATE REFURB LONDON"/>
    <s v="GBP"/>
    <n v="50000"/>
    <d v="2025-08-06T00:00:00"/>
    <s v="UK"/>
    <s v="Proposal"/>
    <x v="30"/>
    <n v="1"/>
    <n v="50000"/>
  </r>
  <r>
    <d v="2025-07-30T00:00:00"/>
    <s v="PRO-000003804"/>
    <s v="CANARY WHARF WOOD WHARF WATER STREET NO 20 LONDON"/>
    <s v="GBP"/>
    <n v="15000"/>
    <d v="2025-08-06T00:00:00"/>
    <s v="UK"/>
    <s v="Proposal"/>
    <x v="30"/>
    <n v="1"/>
    <n v="15000"/>
  </r>
  <r>
    <d v="2025-07-30T00:00:00"/>
    <s v="PRO-000003808"/>
    <s v="URBANEST TRAFALGAR WAY NO 2 LONDON"/>
    <s v="GBP"/>
    <n v="20000"/>
    <d v="2025-08-06T00:00:00"/>
    <s v="UK"/>
    <s v="Proposal"/>
    <x v="30"/>
    <n v="1"/>
    <n v="20000"/>
  </r>
  <r>
    <d v="2025-07-31T00:00:00"/>
    <s v="PRO-000003815"/>
    <s v="OPTIMA AMR DEVELOPMENT PROJECT"/>
    <s v="GBP"/>
    <n v="30000"/>
    <d v="2025-08-04T00:00:00"/>
    <s v="UK"/>
    <s v="Proposal"/>
    <x v="30"/>
    <n v="1"/>
    <n v="30000"/>
  </r>
  <r>
    <d v="2025-07-31T00:00:00"/>
    <s v="PRO-000003814"/>
    <s v="GATWICK AIRPORT NORTH TERMINAL SKYBRIDGE PIER 6 REFURB"/>
    <s v="GBP"/>
    <n v="100000"/>
    <d v="2025-08-06T00:00:00"/>
    <s v="UK"/>
    <s v="Proposal"/>
    <x v="30"/>
    <n v="1"/>
    <n v="100000"/>
  </r>
  <r>
    <d v="2025-07-31T00:00:00"/>
    <s v="PRO-000003818"/>
    <s v="THAVIES INN HOUSE HOLBORN CIRCUS NO 1 LONDON"/>
    <s v="GBP"/>
    <n v="700000"/>
    <d v="2025-08-06T00:00:00"/>
    <s v="UK"/>
    <s v="Proposal"/>
    <x v="30"/>
    <n v="1"/>
    <n v="700000"/>
  </r>
  <r>
    <d v="2025-08-06T00:00:00"/>
    <s v="PRO-000003837"/>
    <s v="BISHOPSGATE NO 22 CAT B FIT OUT RIVERSTONE FLOOR 5 LONDON"/>
    <s v="GBP"/>
    <n v="50000"/>
    <d v="2025-08-06T00:00:00"/>
    <s v="UK"/>
    <s v="Proposal"/>
    <x v="30"/>
    <n v="1"/>
    <n v="50000"/>
  </r>
  <r>
    <d v="2025-08-06T00:00:00"/>
    <s v="PRO-000003838"/>
    <s v="NEWGATE STREET NO 81 BT CENTRE HSBC FIT OUT LONDON"/>
    <s v="GBP"/>
    <n v="100000"/>
    <d v="2025-08-07T00:00:00"/>
    <s v="UK"/>
    <s v="Proposal"/>
    <x v="30"/>
    <n v="1"/>
    <n v="100000"/>
  </r>
  <r>
    <d v="2025-07-30T00:00:00"/>
    <s v="PRO-000003809"/>
    <s v="RATP GARE DE LYON"/>
    <s v="EUR"/>
    <n v="20000"/>
    <d v="2025-08-05T00:00:00"/>
    <s v="France"/>
    <s v="Proposal"/>
    <x v="30"/>
    <n v="0.86655112651646449"/>
    <n v="17331.02253032929"/>
  </r>
  <r>
    <d v="2025-07-16T00:00:00"/>
    <s v="PRO-000003733"/>
    <s v="SCIENCE DR. 100.DURHAM.NC DUKE HUDSON"/>
    <s v="USD"/>
    <n v="1000000"/>
    <d v="2025-08-06T00:00:00"/>
    <s v="USA"/>
    <s v="Proposal"/>
    <x v="30"/>
    <n v="0.75757575757575757"/>
    <n v="757575.75757575757"/>
  </r>
  <r>
    <d v="2025-07-31T00:00:00"/>
    <s v="PRO-000003816"/>
    <s v="HUDSON YARDS 30 WELLS FARGO, 64TH FLOOR CAFE, NEW YORK"/>
    <s v="USD"/>
    <n v="160000"/>
    <d v="2025-08-05T00:00:00"/>
    <s v="USA"/>
    <s v="Proposal"/>
    <x v="30"/>
    <n v="0.75757575757575757"/>
    <n v="121212.12121212122"/>
  </r>
  <r>
    <d v="2025-08-05T00:00:00"/>
    <s v="PRO-000003833"/>
    <s v="1306 MAIN STREET  REDWOOD CITY CA"/>
    <s v="USD"/>
    <n v="300000"/>
    <d v="2025-08-07T00:00:00"/>
    <s v="USA"/>
    <s v="Proposal"/>
    <x v="30"/>
    <n v="0.75757575757575757"/>
    <n v="227272.72727272726"/>
  </r>
  <r>
    <d v="2025-07-29T00:00:00"/>
    <s v="PRO-000003797"/>
    <s v="PARK AVE NO 99 CELLAR LEVEL NEW YORK"/>
    <s v="GBP"/>
    <n v="19464.39"/>
    <d v="2025-08-04T00:00:00"/>
    <s v="USA"/>
    <s v="Shop Drawing"/>
    <x v="30"/>
    <n v="1"/>
    <n v="19464.39"/>
  </r>
  <r>
    <d v="2025-07-29T00:00:00"/>
    <s v="PRO-000003800"/>
    <s v="HIGHWAY 225 NO 5900 DEER PARK 77536 PHASE 2"/>
    <s v="GBP"/>
    <n v="34001.800000000003"/>
    <d v="2025-08-05T00:00:00"/>
    <s v="USA"/>
    <s v="Shop Drawing"/>
    <x v="30"/>
    <n v="1"/>
    <n v="34001.800000000003"/>
  </r>
  <r>
    <d v="2025-08-05T00:00:00"/>
    <s v="PRO-000003829"/>
    <s v="BRICKELL PLAZA 830 KIRKLAND ELLIS FIT OUT MIAMI"/>
    <s v="GBP"/>
    <n v="46000"/>
    <d v="2025-08-06T00:00:00"/>
    <s v="USA"/>
    <s v="Shop Drawing"/>
    <x v="30"/>
    <n v="1"/>
    <n v="46000"/>
  </r>
  <r>
    <d v="2025-08-06T00:00:00"/>
    <s v="PRO-000003840"/>
    <s v="MADISON AVE 1 FLOOR 11 FRANKLIN TEMPLETON FIT OUT"/>
    <s v="GBP"/>
    <n v="96000"/>
    <d v="2025-08-07T00:00:00"/>
    <s v="USA"/>
    <s v="Shop Drawing"/>
    <x v="30"/>
    <n v="1"/>
    <n v="96000"/>
  </r>
  <r>
    <d v="2025-08-01T00:00:00"/>
    <s v="PRO-000003820"/>
    <s v="COLLINS STREET NO 260 LEVEL 2"/>
    <s v="AUD"/>
    <n v="20000"/>
    <d v="2025-08-04T00:00:00"/>
    <s v="Australia"/>
    <s v="CAD Sketch"/>
    <x v="30"/>
    <n v="0.48732943469785572"/>
    <n v="9746.5886939571137"/>
  </r>
  <r>
    <d v="2025-08-01T00:00:00"/>
    <s v="PRO-000003822"/>
    <s v="AGL FITOUT"/>
    <s v="AUD"/>
    <n v="25000"/>
    <d v="2025-08-06T00:00:00"/>
    <s v="Australia"/>
    <s v="Shop Drawing"/>
    <x v="30"/>
    <n v="0.48732943469785572"/>
    <n v="12183.235867446394"/>
  </r>
  <r>
    <d v="2025-08-04T00:00:00"/>
    <s v="PRO-000003825"/>
    <s v="NEPEAN HOSPITAL"/>
    <s v="AUD"/>
    <n v="30000"/>
    <d v="2025-08-08T00:00:00"/>
    <s v="Australia"/>
    <s v="Shop Drawing"/>
    <x v="30"/>
    <n v="0.48732943469785572"/>
    <n v="14619.883040935672"/>
  </r>
  <r>
    <d v="2025-08-05T00:00:00"/>
    <s v="PRO-000003828"/>
    <s v="WESTERN SYDNEY AIRPORT NANCY BIRD WALTON"/>
    <s v="AUD"/>
    <n v="40000"/>
    <d v="2025-08-06T00:00:00"/>
    <s v="Australia"/>
    <s v="Shop Drawing"/>
    <x v="30"/>
    <n v="0.48732943469785572"/>
    <n v="19493.177387914227"/>
  </r>
  <r>
    <d v="2025-08-07T00:00:00"/>
    <s v="PRO-000003846"/>
    <s v="SYDNEY FISH MARKET INTERNAL FIT OUT"/>
    <s v="AUD"/>
    <n v="100000"/>
    <d v="2025-08-08T00:00:00"/>
    <s v="Australia"/>
    <s v="Shop Drawing"/>
    <x v="30"/>
    <n v="0.48732943469785572"/>
    <n v="48732.943469785576"/>
  </r>
  <r>
    <d v="2025-06-13T00:00:00"/>
    <s v="PRO-000003582"/>
    <s v="CENTRO COMERCIAL BREOGAN CORUÑA"/>
    <s v="GBP"/>
    <n v="200000"/>
    <d v="2025-08-08T00:00:00"/>
    <s v="Rest of the World"/>
    <s v="Proposal"/>
    <x v="30"/>
    <n v="1"/>
    <n v="200000"/>
  </r>
  <r>
    <d v="2025-07-10T00:00:00"/>
    <s v="PRO-000003711"/>
    <s v="HACIENDA AUDITORIO BARCELONA"/>
    <s v="GBP"/>
    <n v="100000"/>
    <d v="2025-08-05T00:00:00"/>
    <s v="Rest of the World"/>
    <s v="Proposal"/>
    <x v="30"/>
    <n v="1"/>
    <n v="100000"/>
  </r>
  <r>
    <d v="2025-07-23T00:00:00"/>
    <s v="PRO-000003764"/>
    <s v="02036 PROJECT CADDELL"/>
    <s v="GBP"/>
    <n v="30000"/>
    <d v="2025-08-05T00:00:00"/>
    <s v="Rest of the World"/>
    <s v="Shop Drawing"/>
    <x v="30"/>
    <n v="1"/>
    <n v="30000"/>
  </r>
  <r>
    <d v="2025-08-06T00:00:00"/>
    <s v="PRO-000003841"/>
    <s v="MAKE ARCHITECTS FABRIC RAFTS 32 CLEVELAND ST STUDIO LONDON"/>
    <s v="GBP"/>
    <n v="0"/>
    <d v="2025-08-08T00:00:00"/>
    <s v="Special Projects"/>
    <s v="Proposal"/>
    <x v="30"/>
    <n v="1"/>
    <n v="0"/>
  </r>
  <r>
    <d v="2025-08-06T00:00:00"/>
    <s v="PRO-000003845"/>
    <s v="UMASS SUSTAINABLE  ENGINEERING  LABORATORIES"/>
    <s v="GBP"/>
    <n v="16000"/>
    <d v="2025-08-11T00:00:00"/>
    <s v="USA"/>
    <s v="Shop Drawing"/>
    <x v="31"/>
    <n v="1"/>
    <n v="16000"/>
  </r>
  <r>
    <d v="2025-08-13T00:00:00"/>
    <s v="PRO-000003876"/>
    <s v="BRICKELL PLAZA 830 KIRKLAND ELLIS FIT OUT MIAMI"/>
    <s v="GBP"/>
    <n v="46000"/>
    <d v="2025-08-15T00:00:00"/>
    <s v="USA"/>
    <s v="Shop Drawing"/>
    <x v="31"/>
    <n v="1"/>
    <n v="46000"/>
  </r>
  <r>
    <d v="2025-08-11T00:00:00"/>
    <s v="PRO-000003862"/>
    <s v="BELLEVUE RAIL DEPOT"/>
    <s v="AUD"/>
    <n v="2400"/>
    <d v="2025-08-11T00:00:00"/>
    <s v="Australia"/>
    <s v="CAD Sketch"/>
    <x v="31"/>
    <n v="0.48732943469785572"/>
    <n v="1169.5906432748538"/>
  </r>
  <r>
    <d v="2025-08-13T00:00:00"/>
    <s v="PRO-000003871"/>
    <s v="BARANGAROO T1 L27"/>
    <s v="AUD"/>
    <n v="300"/>
    <d v="2025-08-14T00:00:00"/>
    <s v="Australia"/>
    <s v="CAD Sketch"/>
    <x v="31"/>
    <n v="0.48732943469785572"/>
    <n v="146.19883040935673"/>
  </r>
  <r>
    <d v="2025-08-14T00:00:00"/>
    <s v="PRO-000003877"/>
    <s v="ST JOHN OF GOD SUBIACO"/>
    <s v="AUD"/>
    <n v="40000"/>
    <d v="2025-08-14T00:00:00"/>
    <s v="Australia"/>
    <s v="CAD Sketch"/>
    <x v="31"/>
    <n v="0.48732943469785572"/>
    <n v="19493.177387914227"/>
  </r>
  <r>
    <d v="2025-07-25T00:00:00"/>
    <s v="PRO-000003777"/>
    <s v="EDMONDSON PARK TOWN CENTRE"/>
    <s v="AUD"/>
    <n v="140000"/>
    <d v="2025-08-13T00:00:00"/>
    <s v="Australia"/>
    <s v="Shop Drawing"/>
    <x v="31"/>
    <n v="0.48732943469785572"/>
    <n v="68226.120857699803"/>
  </r>
  <r>
    <d v="2025-08-07T00:00:00"/>
    <s v="PRO-000003855"/>
    <s v="AGL FITOUT"/>
    <s v="AUD"/>
    <n v="30000"/>
    <d v="2025-08-15T00:00:00"/>
    <s v="Australia"/>
    <s v="Shop Drawing"/>
    <x v="31"/>
    <n v="0.48732943469785572"/>
    <n v="14619.883040935672"/>
  </r>
  <r>
    <d v="2025-08-11T00:00:00"/>
    <s v="PRO-000003863"/>
    <s v="MELBOURNE AIRPORT T2 SCREENING"/>
    <s v="AUD"/>
    <n v="11000"/>
    <d v="2025-08-12T00:00:00"/>
    <s v="Australia"/>
    <s v="Shop Drawing"/>
    <x v="31"/>
    <n v="0.48732943469785572"/>
    <n v="5360.6237816764133"/>
  </r>
  <r>
    <d v="2025-08-11T00:00:00"/>
    <s v="PRO-000003865"/>
    <s v="ATLASSIAN CENTRAL HAYMARKET SYDNEY"/>
    <s v="AUD"/>
    <n v="50000"/>
    <d v="2025-08-12T00:00:00"/>
    <s v="Australia"/>
    <s v="Shop Drawing"/>
    <x v="31"/>
    <n v="0.48732943469785572"/>
    <n v="24366.471734892788"/>
  </r>
  <r>
    <d v="2025-08-04T00:00:00"/>
    <s v="PRO-000003827"/>
    <s v="APPOLD STREET NO 1 RECEPTION CLADDING LONDON"/>
    <s v="GBP"/>
    <n v="300000"/>
    <d v="2025-08-15T00:00:00"/>
    <s v="Special Projects"/>
    <s v="Proposal"/>
    <x v="31"/>
    <n v="1"/>
    <n v="300000"/>
  </r>
  <r>
    <d v="2025-08-08T00:00:00"/>
    <s v="PRO-000003859"/>
    <s v="TREEHOUSE HOTEL BLACKFRIARS STREET MANCHESTER"/>
    <s v="GBP"/>
    <n v="25000"/>
    <d v="2025-08-20T00:00:00"/>
    <s v="UK"/>
    <s v="Proposal"/>
    <x v="32"/>
    <n v="1"/>
    <n v="25000"/>
  </r>
  <r>
    <d v="2025-08-21T00:00:00"/>
    <s v="PRO-000003898"/>
    <s v="ATLANTIC AVENUE 640-750 BOSTON"/>
    <s v="USD"/>
    <n v="100"/>
    <d v="2025-08-22T00:00:00"/>
    <s v="USA"/>
    <s v="CAD Sketch"/>
    <x v="32"/>
    <n v="0.75757575757575757"/>
    <n v="75.757575757575751"/>
  </r>
  <r>
    <d v="2025-08-08T00:00:00"/>
    <s v="PRO-000003861"/>
    <s v="COSM DETROIT"/>
    <s v="USD"/>
    <n v="100000"/>
    <d v="2025-08-19T00:00:00"/>
    <s v="USA"/>
    <s v="Proposal"/>
    <x v="32"/>
    <n v="0.75757575757575757"/>
    <n v="75757.57575757576"/>
  </r>
  <r>
    <d v="2025-08-12T00:00:00"/>
    <s v="PRO-000003866"/>
    <s v="ASX"/>
    <s v="AUD"/>
    <n v="10000"/>
    <d v="2025-08-24T00:00:00"/>
    <s v="Australia"/>
    <s v="Shop Drawing"/>
    <x v="33"/>
    <n v="0.48732943469785572"/>
    <n v="4873.2943469785569"/>
  </r>
  <r>
    <d v="2025-08-12T00:00:00"/>
    <s v="PRO-000003867"/>
    <s v="ATLASSIAN CENTRAL HAYMARKET SYDNEY"/>
    <s v="AUD"/>
    <n v="20000"/>
    <d v="2025-08-22T00:00:00"/>
    <s v="Australia"/>
    <s v="Shop Drawing"/>
    <x v="32"/>
    <n v="0.48732943469785572"/>
    <n v="9746.5886939571137"/>
  </r>
  <r>
    <d v="2025-08-18T00:00:00"/>
    <s v="PRO-000003886"/>
    <s v="ST GEORGE ILLAWARRA DRAGONS CHPC WOLLONGONG"/>
    <s v="AUD"/>
    <n v="70000"/>
    <d v="2025-08-18T00:00:00"/>
    <s v="Australia"/>
    <s v="Shop Drawing"/>
    <x v="32"/>
    <n v="0.48732943469785572"/>
    <n v="34113.060428849902"/>
  </r>
  <r>
    <d v="2025-08-18T00:00:00"/>
    <s v="PRO-000003887"/>
    <s v="60 MARTIN PLACE LEVEL 3 PODIUM"/>
    <s v="AUD"/>
    <n v="80000"/>
    <d v="2025-08-20T00:00:00"/>
    <s v="Australia"/>
    <s v="Shop Drawing"/>
    <x v="32"/>
    <n v="0.48732943469785572"/>
    <n v="38986.354775828455"/>
  </r>
  <r>
    <d v="2025-08-21T00:00:00"/>
    <s v="PRO-000003895"/>
    <s v="NEPEAN HOSPITAL"/>
    <s v="AUD"/>
    <n v="30000"/>
    <d v="2025-08-22T00:00:00"/>
    <s v="Australia"/>
    <s v="Shop Drawing"/>
    <x v="32"/>
    <n v="0.48732943469785572"/>
    <n v="14619.883040935672"/>
  </r>
  <r>
    <d v="2025-08-20T00:00:00"/>
    <s v="PRO-000003892"/>
    <s v="MADDOX STREET NO 31 - 33 CAT A LONDON"/>
    <s v="GBP"/>
    <n v="20000"/>
    <d v="2025-08-29T00:00:00"/>
    <s v="UK"/>
    <s v="CAD Sketch"/>
    <x v="33"/>
    <n v="1"/>
    <n v="20000"/>
  </r>
  <r>
    <d v="2025-08-23T00:00:00"/>
    <s v="PRO-000003905"/>
    <s v="EDINBURGH QUAYSIDE 1 L0A FCA FITOUT EDINBURGH"/>
    <s v="GBP"/>
    <n v="5000"/>
    <d v="2025-08-28T00:00:00"/>
    <s v="UK"/>
    <s v="CAD Sketch"/>
    <x v="33"/>
    <n v="1"/>
    <n v="5000"/>
  </r>
  <r>
    <d v="2025-08-14T00:00:00"/>
    <s v="PRO-000003880"/>
    <s v="UNI OF CAMBRIDGE RPU FLOOR 1"/>
    <s v="GBP"/>
    <n v="10000"/>
    <d v="2025-08-26T00:00:00"/>
    <s v="UK"/>
    <s v="Hand Sketch"/>
    <x v="33"/>
    <n v="1"/>
    <n v="10000"/>
  </r>
  <r>
    <d v="2025-08-19T00:00:00"/>
    <s v="PRO-000003891"/>
    <s v="BISHOPSGATE NO 155 FLRS 9-12 AKIN FIT OUT LONDON"/>
    <s v="GBP"/>
    <n v="442857.58"/>
    <d v="2025-08-26T00:00:00"/>
    <s v="UK"/>
    <s v="Hand Sketch"/>
    <x v="33"/>
    <n v="1"/>
    <n v="442857.58"/>
  </r>
  <r>
    <d v="2025-08-26T00:00:00"/>
    <s v="PRO-000003913"/>
    <s v="SHEFFIELD ARENA PHASE 1"/>
    <s v="GBP"/>
    <n v="6000"/>
    <d v="2025-08-27T00:00:00"/>
    <s v="UK"/>
    <s v="Hand Sketch"/>
    <x v="33"/>
    <n v="1"/>
    <n v="6000"/>
  </r>
  <r>
    <d v="2025-07-29T00:00:00"/>
    <s v="PRO-000003796"/>
    <s v="OVERDALE HOSPITAL JERSEY NDA LIGHTING"/>
    <s v="GBP"/>
    <n v="200000"/>
    <d v="2025-08-26T00:00:00"/>
    <s v="UK"/>
    <s v="Proposal"/>
    <x v="33"/>
    <n v="1"/>
    <n v="200000"/>
  </r>
  <r>
    <d v="2025-07-30T00:00:00"/>
    <s v="PRO-000003805"/>
    <s v="COTTONS CENTRE CAT A FLOOR 4 LONDON"/>
    <s v="GBP"/>
    <n v="100000"/>
    <d v="2025-08-26T00:00:00"/>
    <s v="UK"/>
    <s v="Proposal"/>
    <x v="33"/>
    <n v="1"/>
    <n v="100000"/>
  </r>
  <r>
    <d v="2025-07-30T00:00:00"/>
    <s v="PRO-000003810"/>
    <s v="UNI OF LIVERPOOL SCHOOL OF ARCHITECTURE EXTENSION"/>
    <s v="GBP"/>
    <n v="4300"/>
    <d v="2025-08-26T00:00:00"/>
    <s v="UK"/>
    <s v="Proposal"/>
    <x v="33"/>
    <n v="1"/>
    <n v="4300"/>
  </r>
  <r>
    <d v="2025-07-31T00:00:00"/>
    <s v="PRO-000003817"/>
    <s v="BASINGHALL STREET NO 25 WOOLGATE EXCHANGE L&amp;G FITOUT LONDON"/>
    <s v="GBP"/>
    <n v="30000"/>
    <d v="2025-08-26T00:00:00"/>
    <s v="UK"/>
    <s v="Proposal"/>
    <x v="33"/>
    <n v="1"/>
    <n v="30000"/>
  </r>
  <r>
    <d v="2025-07-31T00:00:00"/>
    <s v="PRO-000003819"/>
    <s v="GOSWELL ROAD NO 348-350 EXTERNAL CANOPY LONDON"/>
    <s v="GBP"/>
    <n v="20000"/>
    <d v="2025-08-26T00:00:00"/>
    <s v="UK"/>
    <s v="Proposal"/>
    <x v="33"/>
    <n v="1"/>
    <n v="20000"/>
  </r>
  <r>
    <d v="2025-08-04T00:00:00"/>
    <s v="PRO-000003826"/>
    <s v="MORE LONDON NO 4 CAT B FLOOR 4 RYAN LONDON"/>
    <s v="GBP"/>
    <n v="16000"/>
    <d v="2025-08-26T00:00:00"/>
    <s v="UK"/>
    <s v="Proposal"/>
    <x v="33"/>
    <n v="1"/>
    <n v="16000"/>
  </r>
  <r>
    <d v="2025-08-05T00:00:00"/>
    <s v="PRO-000003830"/>
    <s v="WEST ONE DEVELOPMENT OXFORD STREET LONDON"/>
    <s v="GBP"/>
    <n v="200000"/>
    <d v="2025-08-26T00:00:00"/>
    <s v="UK"/>
    <s v="Proposal"/>
    <x v="33"/>
    <n v="1"/>
    <n v="200000"/>
  </r>
  <r>
    <d v="2025-08-05T00:00:00"/>
    <s v="PRO-000003832"/>
    <s v="BISHOPSGATE NO 8 FLOOR 41 KING &amp; SPALDING LONDON"/>
    <s v="GBP"/>
    <n v="20000"/>
    <d v="2025-08-26T00:00:00"/>
    <s v="UK"/>
    <s v="Proposal"/>
    <x v="33"/>
    <n v="1"/>
    <n v="20000"/>
  </r>
  <r>
    <d v="2025-08-06T00:00:00"/>
    <s v="PRO-000003839"/>
    <s v="TYPHOO WHARF REDEVELOPMENT DIGBETH BIRMINGHAM CAT A"/>
    <s v="GBP"/>
    <n v="200000"/>
    <d v="2025-08-27T00:00:00"/>
    <s v="UK"/>
    <s v="Proposal"/>
    <x v="33"/>
    <n v="1"/>
    <n v="200000"/>
  </r>
  <r>
    <d v="2025-08-06T00:00:00"/>
    <s v="PRO-000003842"/>
    <s v="NEW HERTFORDSHIRE POLICE HQ WELWYN GARDEN CITY"/>
    <s v="GBP"/>
    <n v="33000"/>
    <d v="2025-08-26T00:00:00"/>
    <s v="UK"/>
    <s v="Proposal"/>
    <x v="33"/>
    <n v="1"/>
    <n v="33000"/>
  </r>
  <r>
    <d v="2025-08-06T00:00:00"/>
    <s v="PRO-000003843"/>
    <s v="OXFORD SCIENCE PARK PLOTS NO 23-25 OXFORD LIGHTING"/>
    <s v="GBP"/>
    <n v="50000"/>
    <d v="2025-08-26T00:00:00"/>
    <s v="UK"/>
    <s v="Proposal"/>
    <x v="33"/>
    <n v="1"/>
    <n v="50000"/>
  </r>
  <r>
    <d v="2025-08-06T00:00:00"/>
    <s v="PRO-000003844"/>
    <s v="BAKER STREET NO 25 CAT B  MOELIS FLOORS 3-4 LONDON"/>
    <s v="GBP"/>
    <n v="125000"/>
    <d v="2025-08-26T00:00:00"/>
    <s v="UK"/>
    <s v="Proposal"/>
    <x v="33"/>
    <n v="1"/>
    <n v="125000"/>
  </r>
  <r>
    <d v="2025-08-07T00:00:00"/>
    <s v="PRO-000003849"/>
    <s v="FARNBOROUGH AIRPORT PROJECT VARSITY"/>
    <s v="GBP"/>
    <n v="50000"/>
    <d v="2025-08-26T00:00:00"/>
    <s v="UK"/>
    <s v="Proposal"/>
    <x v="33"/>
    <n v="1"/>
    <n v="50000"/>
  </r>
  <r>
    <d v="2025-08-07T00:00:00"/>
    <s v="PRO-000003850"/>
    <s v="OLD BROAD STREET NO 55 DEVELOPMENT LONDON"/>
    <s v="GBP"/>
    <n v="50000"/>
    <d v="2025-08-26T00:00:00"/>
    <s v="UK"/>
    <s v="Proposal"/>
    <x v="33"/>
    <n v="1"/>
    <n v="50000"/>
  </r>
  <r>
    <d v="2025-08-08T00:00:00"/>
    <s v="PRO-000003857"/>
    <s v="TOOLEY STREET NO 155 REFURB LONDON"/>
    <s v="GBP"/>
    <n v="20000"/>
    <d v="2025-08-26T00:00:00"/>
    <s v="UK"/>
    <s v="Proposal"/>
    <x v="33"/>
    <n v="1"/>
    <n v="20000"/>
  </r>
  <r>
    <d v="2025-08-08T00:00:00"/>
    <s v="PRO-000003858"/>
    <s v="CITY POINT 2ND FLR HAYMARKET TERRACE NO 65 EDINBURGH"/>
    <s v="GBP"/>
    <n v="0"/>
    <d v="2025-08-26T00:00:00"/>
    <s v="UK"/>
    <s v="Proposal"/>
    <x v="33"/>
    <n v="1"/>
    <n v="0"/>
  </r>
  <r>
    <d v="2025-08-12T00:00:00"/>
    <s v="PRO-000003869"/>
    <s v="ARGYLL STREET NO 40 REFURB LONDON"/>
    <s v="GBP"/>
    <n v="200000"/>
    <d v="2025-08-26T00:00:00"/>
    <s v="UK"/>
    <s v="Proposal"/>
    <x v="33"/>
    <n v="1"/>
    <n v="200000"/>
  </r>
  <r>
    <d v="2025-08-12T00:00:00"/>
    <s v="PRO-000003868"/>
    <s v="SOUTH MOLTON TRIANGLE DEVELOPMENT NORTH BLOCK LONDON"/>
    <s v="GBP"/>
    <n v="500000"/>
    <d v="2025-08-26T00:00:00"/>
    <s v="UK"/>
    <s v="Proposal"/>
    <x v="33"/>
    <n v="1"/>
    <n v="500000"/>
  </r>
  <r>
    <d v="2025-08-14T00:00:00"/>
    <s v="PRO-000003878"/>
    <s v="ONE EASTSIDE TOWER A SKYLOUNGE BIRMINGHAM"/>
    <s v="GBP"/>
    <n v="25000"/>
    <d v="2025-08-26T00:00:00"/>
    <s v="UK"/>
    <s v="Proposal"/>
    <x v="33"/>
    <n v="1"/>
    <n v="25000"/>
  </r>
  <r>
    <d v="2025-08-14T00:00:00"/>
    <s v="PRO-000003879"/>
    <s v="VICTORIA STREET NO 171 REFURBISHMENT LONDON"/>
    <s v="GBP"/>
    <n v="150000"/>
    <d v="2025-08-26T00:00:00"/>
    <s v="UK"/>
    <s v="Proposal"/>
    <x v="33"/>
    <n v="1"/>
    <n v="150000"/>
  </r>
  <r>
    <d v="2025-08-14T00:00:00"/>
    <s v="PRO-000003882"/>
    <s v="ARGYLL STREET NO 40 REFURB LONDON"/>
    <s v="GBP"/>
    <n v="200000"/>
    <d v="2025-08-28T00:00:00"/>
    <s v="UK"/>
    <s v="Proposal"/>
    <x v="33"/>
    <n v="1"/>
    <n v="200000"/>
  </r>
  <r>
    <d v="2025-08-14T00:00:00"/>
    <s v="PRO-000003883"/>
    <s v="ARGYLL STREET NO 40 REFURB LONDON"/>
    <s v="GBP"/>
    <n v="200000"/>
    <d v="2025-08-28T00:00:00"/>
    <s v="UK"/>
    <s v="Proposal"/>
    <x v="33"/>
    <n v="1"/>
    <n v="200000"/>
  </r>
  <r>
    <d v="2025-08-15T00:00:00"/>
    <s v="PRO-000003885"/>
    <s v="MANCHESTER AIRPORT T1 STAFF CHANNEL"/>
    <s v="GBP"/>
    <n v="30000"/>
    <d v="2025-08-28T00:00:00"/>
    <s v="UK"/>
    <s v="Proposal"/>
    <x v="33"/>
    <n v="1"/>
    <n v="30000"/>
  </r>
  <r>
    <d v="2025-08-18T00:00:00"/>
    <s v="PRO-000003888"/>
    <s v="KINGS ROAD NO 81-103 DEVELOPMENT LONDON"/>
    <s v="GBP"/>
    <n v="100000"/>
    <d v="2025-08-26T00:00:00"/>
    <s v="UK"/>
    <s v="Proposal"/>
    <x v="33"/>
    <n v="1"/>
    <n v="100000"/>
  </r>
  <r>
    <d v="2025-08-19T00:00:00"/>
    <s v="PRO-000003890"/>
    <s v="SAM JAMES MISC 2025"/>
    <s v="GBP"/>
    <n v="3000"/>
    <d v="2025-08-26T00:00:00"/>
    <s v="UK"/>
    <s v="Proposal"/>
    <x v="33"/>
    <n v="1"/>
    <n v="3000"/>
  </r>
  <r>
    <d v="2025-08-26T00:00:00"/>
    <s v="PRO-000003914"/>
    <s v="ELLISON INSTITUTE TRANSFORMATIVE MEDICINE RESEARCH CAMPUS"/>
    <s v="GBP"/>
    <n v="40000"/>
    <d v="2025-08-29T00:00:00"/>
    <s v="UK"/>
    <s v="Proposal"/>
    <x v="33"/>
    <n v="1"/>
    <n v="40000"/>
  </r>
  <r>
    <d v="2025-05-02T00:00:00"/>
    <s v="PRO-000003384"/>
    <s v="GEORGE W BUSH INTL AIRPORT IAH- UA TBT NORTH BRIDGE"/>
    <s v="GBP"/>
    <n v="700000"/>
    <d v="2025-08-29T00:00:00"/>
    <s v="USA"/>
    <s v="Shop Drawing"/>
    <x v="33"/>
    <n v="1"/>
    <n v="700000"/>
  </r>
  <r>
    <d v="2025-07-22T00:00:00"/>
    <s v="PRO-000003759"/>
    <s v="516 MEMPHIS BROOKS ART MUSEUM"/>
    <s v="GBP"/>
    <n v="261476.49"/>
    <d v="2025-08-27T00:00:00"/>
    <s v="USA"/>
    <s v="Shop Drawing"/>
    <x v="33"/>
    <n v="1"/>
    <n v="261476.49"/>
  </r>
  <r>
    <d v="2025-08-07T00:00:00"/>
    <s v="PRO-000003847"/>
    <s v="PARK AVENUE 270 EXEC FLOORS, 44 to 47, JP MORGAN"/>
    <s v="GBP"/>
    <n v="337000"/>
    <d v="2025-08-26T00:00:00"/>
    <s v="USA"/>
    <s v="Shop Drawing"/>
    <x v="33"/>
    <n v="1"/>
    <n v="337000"/>
  </r>
  <r>
    <d v="2025-08-07T00:00:00"/>
    <s v="PRO-000003851"/>
    <s v="ONE UTSA CIRCLE SAN ANTONIO TX 78249"/>
    <s v="GBP"/>
    <n v="425923"/>
    <d v="2025-08-26T00:00:00"/>
    <s v="USA"/>
    <s v="Shop Drawing"/>
    <x v="33"/>
    <n v="1"/>
    <n v="425923"/>
  </r>
  <r>
    <d v="2025-08-07T00:00:00"/>
    <s v="PRO-000003853"/>
    <s v="CONGRESS AVE 301 FLR 1 &amp; 2 AUSTIN TX"/>
    <s v="GBP"/>
    <n v="380000"/>
    <d v="2025-08-26T00:00:00"/>
    <s v="USA"/>
    <s v="Shop Drawing"/>
    <x v="33"/>
    <n v="1"/>
    <n v="380000"/>
  </r>
  <r>
    <d v="2025-08-07T00:00:00"/>
    <s v="PRO-000003854"/>
    <s v="MIT SLOAN EXECUTIVE EDUCATION"/>
    <s v="GBP"/>
    <n v="184086.19"/>
    <d v="2025-08-26T00:00:00"/>
    <s v="USA"/>
    <s v="Shop Drawing"/>
    <x v="33"/>
    <n v="1"/>
    <n v="184086.19"/>
  </r>
  <r>
    <d v="2025-08-08T00:00:00"/>
    <s v="PRO-000003860"/>
    <s v="TAILWATER CAPITAL TI DALLAS TX"/>
    <s v="GBP"/>
    <n v="98000"/>
    <d v="2025-08-27T00:00:00"/>
    <s v="USA"/>
    <s v="Shop Drawing"/>
    <x v="33"/>
    <n v="1"/>
    <n v="98000"/>
  </r>
  <r>
    <d v="2025-08-12T00:00:00"/>
    <s v="PRO-000003870"/>
    <s v="UMC BOARDROOM EL PASO"/>
    <s v="GBP"/>
    <n v="44173.26"/>
    <d v="2025-08-26T00:00:00"/>
    <s v="USA"/>
    <s v="Shop Drawing"/>
    <x v="33"/>
    <n v="1"/>
    <n v="44173.26"/>
  </r>
  <r>
    <d v="2025-08-13T00:00:00"/>
    <s v="PRO-000003874"/>
    <s v="516 MEMPHIS BROOKS ART MUSEUM"/>
    <s v="GBP"/>
    <n v="261476.49"/>
    <d v="2025-08-27T00:00:00"/>
    <s v="USA"/>
    <s v="Shop Drawing"/>
    <x v="33"/>
    <n v="1"/>
    <n v="261476.49"/>
  </r>
  <r>
    <d v="2025-08-14T00:00:00"/>
    <s v="PRO-000003884"/>
    <s v="AMERICAN TOWER 222 BERKELEY ST FLOORS 6 &amp; 7"/>
    <s v="GBP"/>
    <n v="112741.06"/>
    <d v="2025-08-26T00:00:00"/>
    <s v="USA"/>
    <s v="Shop Drawing"/>
    <x v="33"/>
    <n v="1"/>
    <n v="112741.06"/>
  </r>
  <r>
    <d v="2025-08-22T00:00:00"/>
    <s v="PRO-000003903"/>
    <s v="DETROIT CONFIDENTIAL FINANCIAL HQ PROJECT-LEVEL 8"/>
    <s v="GBP"/>
    <n v="229667"/>
    <d v="2025-08-26T00:00:00"/>
    <s v="USA"/>
    <s v="Shop Drawing"/>
    <x v="33"/>
    <n v="1"/>
    <n v="229667"/>
  </r>
  <r>
    <d v="2025-08-25T00:00:00"/>
    <s v="PRO-000003907"/>
    <s v="UMC BOARDROOM EL PASO"/>
    <s v="GBP"/>
    <n v="44173.26"/>
    <d v="2025-08-26T00:00:00"/>
    <s v="USA"/>
    <s v="Shop Drawing"/>
    <x v="33"/>
    <n v="1"/>
    <n v="44173.26"/>
  </r>
  <r>
    <d v="2025-08-26T00:00:00"/>
    <s v="PRO-000003912"/>
    <s v="HOBBY AIRPORT CENTRAL TERMINAL/ BAGGAGE CLAIM"/>
    <s v="GBP"/>
    <n v="575353"/>
    <d v="2025-08-29T00:00:00"/>
    <s v="USA"/>
    <s v="Shop Drawing"/>
    <x v="33"/>
    <n v="1"/>
    <n v="575353"/>
  </r>
  <r>
    <d v="2025-08-27T00:00:00"/>
    <s v="PRO-000003917"/>
    <s v="BDO MELBOURNE"/>
    <s v="AUD"/>
    <n v="40000"/>
    <d v="2025-08-29T00:00:00"/>
    <s v="Australia"/>
    <s v="CAD Sketch"/>
    <x v="33"/>
    <n v="0.48732943469785572"/>
    <n v="19493.177387914227"/>
  </r>
  <r>
    <d v="2025-07-24T00:00:00"/>
    <s v="PRO-000003770"/>
    <s v="MELBOURNE AIRPORT ELEVATED ROAD AND FORECOURT PROJECT"/>
    <s v="AUD"/>
    <n v="1000000"/>
    <d v="2025-08-29T00:00:00"/>
    <s v="Australia"/>
    <s v="Shop Drawing"/>
    <x v="33"/>
    <n v="0.48732943469785572"/>
    <n v="487329.43469785573"/>
  </r>
  <r>
    <d v="2025-08-21T00:00:00"/>
    <s v="PRO-000003896"/>
    <s v="ST GEORGE ILLAWARRA DRAGONS CHPC WOLLONGONG"/>
    <s v="AUD"/>
    <n v="60000"/>
    <d v="2025-08-28T00:00:00"/>
    <s v="Australia"/>
    <s v="Shop Drawing"/>
    <x v="33"/>
    <n v="0.48732943469785572"/>
    <n v="29239.766081871345"/>
  </r>
  <r>
    <d v="2025-08-22T00:00:00"/>
    <s v="PRO-000003901"/>
    <s v="BDO MELBOURNE"/>
    <s v="AUD"/>
    <n v="23000"/>
    <d v="2025-08-25T00:00:00"/>
    <s v="Australia"/>
    <s v="Shop Drawing"/>
    <x v="33"/>
    <n v="0.48732943469785572"/>
    <n v="11208.576998050681"/>
  </r>
  <r>
    <d v="2025-08-24T00:00:00"/>
    <s v="PRO-000003906"/>
    <s v="EDMONDSON PARK TOWN CENTRE"/>
    <s v="AUD"/>
    <n v="140000"/>
    <d v="2025-08-26T00:00:00"/>
    <s v="Australia"/>
    <s v="Shop Drawing"/>
    <x v="33"/>
    <n v="0.48732943469785572"/>
    <n v="68226.120857699803"/>
  </r>
  <r>
    <d v="2025-08-25T00:00:00"/>
    <s v="PRO-000003908"/>
    <s v="ASX"/>
    <s v="AUD"/>
    <n v="10000"/>
    <d v="2025-08-26T00:00:00"/>
    <s v="Australia"/>
    <s v="Shop Drawing"/>
    <x v="33"/>
    <n v="0.48732943469785572"/>
    <n v="4873.2943469785569"/>
  </r>
  <r>
    <d v="2025-08-28T00:00:00"/>
    <s v="PRO-000003921"/>
    <s v="PITTWATER RSL CLUB"/>
    <s v="AUD"/>
    <n v="30000"/>
    <d v="2025-08-31T00:00:00"/>
    <s v="Australia"/>
    <s v="Shop Drawing"/>
    <x v="34"/>
    <n v="0.48732943469785572"/>
    <n v="14619.883040935672"/>
  </r>
  <r>
    <d v="2025-08-05T00:00:00"/>
    <s v="PRO-000003831"/>
    <s v="BASILICA DA MUXIMA ANGOLA"/>
    <s v="GBP"/>
    <n v="90000"/>
    <d v="2025-08-26T00:00:00"/>
    <s v="Rest of the World"/>
    <s v="Proposal"/>
    <x v="33"/>
    <n v="1"/>
    <n v="90000"/>
  </r>
  <r>
    <d v="2025-08-06T00:00:00"/>
    <s v="PRO-000003836"/>
    <s v="ESCOLA SOPHIA MELLO PORTUGAL"/>
    <s v="GBP"/>
    <n v="40000"/>
    <d v="2025-08-26T00:00:00"/>
    <s v="Rest of the World"/>
    <s v="Proposal"/>
    <x v="33"/>
    <n v="1"/>
    <n v="40000"/>
  </r>
  <r>
    <d v="2025-08-08T00:00:00"/>
    <s v="PRO-000003856"/>
    <s v="VIA AUGUSTA BARCELONA"/>
    <s v="GBP"/>
    <n v="100000"/>
    <d v="2025-08-26T00:00:00"/>
    <s v="Rest of the World"/>
    <s v="Proposal"/>
    <x v="33"/>
    <n v="1"/>
    <n v="100000"/>
  </r>
  <r>
    <d v="2025-08-14T00:00:00"/>
    <s v="PRO-000003881"/>
    <s v="L.-ILLA BY RENTAMAR BARCELONA"/>
    <s v="GBP"/>
    <n v="30000"/>
    <d v="2025-08-26T00:00:00"/>
    <s v="Rest of the World"/>
    <s v="Proposal"/>
    <x v="33"/>
    <n v="1"/>
    <n v="30000"/>
  </r>
  <r>
    <d v="2025-08-21T00:00:00"/>
    <s v="PRO-000003897"/>
    <s v="HOSPITAL EL CARMEN CIUDAD REAL"/>
    <s v="GBP"/>
    <n v="120000"/>
    <d v="2025-08-26T00:00:00"/>
    <s v="Rest of the World"/>
    <s v="Proposal"/>
    <x v="33"/>
    <n v="1"/>
    <n v="120000"/>
  </r>
  <r>
    <d v="2025-08-26T00:00:00"/>
    <s v="PRO-000003910"/>
    <s v="CANOPIA BORDEAUX SAINT-JEAN HOTEL"/>
    <s v="GBP"/>
    <n v="20000"/>
    <d v="2025-08-27T00:00:00"/>
    <s v="Rest of the World"/>
    <s v="Proposal"/>
    <x v="33"/>
    <n v="1"/>
    <n v="20000"/>
  </r>
  <r>
    <d v="2025-07-15T00:00:00"/>
    <s v="PRO-000003725"/>
    <s v="HOSPITAL EL CARMEN CIUDAD REAL"/>
    <s v="GBP"/>
    <n v="200000"/>
    <d v="2025-08-26T00:00:00"/>
    <s v="Rest of the World"/>
    <s v="Shop Drawing"/>
    <x v="33"/>
    <n v="1"/>
    <n v="200000"/>
  </r>
  <r>
    <d v="2025-07-23T00:00:00"/>
    <s v="PRO-000003763"/>
    <s v="GENEVA AIRPORT - FRENCH SECTOR"/>
    <s v="GBP"/>
    <n v="150000"/>
    <d v="2025-08-26T00:00:00"/>
    <s v="Rest of the World"/>
    <s v="Shop Drawing"/>
    <x v="33"/>
    <n v="1"/>
    <n v="150000"/>
  </r>
  <r>
    <d v="2025-08-21T00:00:00"/>
    <s v="PRO-000003899"/>
    <s v="DEGROOTE SCHOOL OF BUSINESS HAMILTON LEVELS 6 &amp; 9"/>
    <s v="GBP"/>
    <n v="35000"/>
    <d v="2025-08-28T00:00:00"/>
    <s v="Rest of the World"/>
    <s v="Shop Drawing"/>
    <x v="33"/>
    <n v="1"/>
    <n v="35000"/>
  </r>
  <r>
    <d v="2025-08-26T00:00:00"/>
    <s v="PRO-000003911"/>
    <s v="MAKE ARCHITECTS FABRIC RAFTS 32 CLEVELAND ST STUDIO LONDON"/>
    <s v="GBP"/>
    <n v="0"/>
    <d v="2025-08-27T00:00:00"/>
    <s v="Special Projects"/>
    <s v="Proposal"/>
    <x v="33"/>
    <n v="1"/>
    <n v="0"/>
  </r>
  <r>
    <d v="2025-09-01T00:00:00"/>
    <s v="PRO-000003935"/>
    <s v="FENCHURCH STREET NO 20 CAT A FLOOR 4 LONDON"/>
    <s v="GBP"/>
    <n v="90000"/>
    <d v="2025-09-03T00:00:00"/>
    <s v="UK"/>
    <s v="CAD Sketch"/>
    <x v="34"/>
    <n v="1"/>
    <n v="90000"/>
  </r>
  <r>
    <d v="2025-07-14T00:00:00"/>
    <s v="PRO-000003720"/>
    <s v="OVERDALE HOSPITAL JERSEY NDA LIGHTING"/>
    <s v="GBP"/>
    <n v="200000"/>
    <d v="2025-09-05T00:00:00"/>
    <s v="UK"/>
    <s v="Proposal"/>
    <x v="34"/>
    <n v="1"/>
    <n v="200000"/>
  </r>
  <r>
    <d v="2025-08-21T00:00:00"/>
    <s v="PRO-000003900"/>
    <s v="OVERDALE HOSPITAL JERSEY NDA LIGHTING"/>
    <s v="GBP"/>
    <n v="500000"/>
    <d v="2025-09-05T00:00:00"/>
    <s v="UK"/>
    <s v="Proposal"/>
    <x v="34"/>
    <n v="1"/>
    <n v="500000"/>
  </r>
  <r>
    <d v="2025-08-27T00:00:00"/>
    <s v="PRO-000003919"/>
    <s v="COTTONS CENTRE CAT A FLOOR 4 LONDON"/>
    <s v="GBP"/>
    <n v="100000"/>
    <d v="2025-09-05T00:00:00"/>
    <s v="UK"/>
    <s v="Proposal"/>
    <x v="34"/>
    <n v="1"/>
    <n v="100000"/>
  </r>
  <r>
    <d v="2025-08-29T00:00:00"/>
    <s v="PRO-000003929"/>
    <s v="SALISBURY SQUARE DEVELOPMENT COMMERCIAL BUILDING LONDON"/>
    <s v="GBP"/>
    <n v="70000"/>
    <d v="2025-09-05T00:00:00"/>
    <s v="UK"/>
    <s v="Proposal"/>
    <x v="34"/>
    <n v="1"/>
    <n v="70000"/>
  </r>
  <r>
    <d v="2025-09-01T00:00:00"/>
    <s v="PRO-000003936"/>
    <s v="ARGYLL STREET NO 40 REFURB LONDON"/>
    <s v="GBP"/>
    <n v="200000"/>
    <d v="2025-09-02T00:00:00"/>
    <s v="UK"/>
    <s v="Proposal"/>
    <x v="34"/>
    <n v="1"/>
    <n v="200000"/>
  </r>
  <r>
    <d v="2025-09-03T00:00:00"/>
    <s v="PRO-000003942"/>
    <s v="GRESHAM STREET NO 20 CAT A REFURB LONDON"/>
    <s v="GBP"/>
    <n v="250000"/>
    <d v="2025-09-05T00:00:00"/>
    <s v="UK"/>
    <s v="Proposal"/>
    <x v="34"/>
    <n v="1"/>
    <n v="250000"/>
  </r>
  <r>
    <d v="2025-08-13T00:00:00"/>
    <s v="PRO-000003873"/>
    <s v="WHITFIELD STREET NO 90 FLOORS 4-5 LONDON"/>
    <s v="GBP"/>
    <n v="150000"/>
    <d v="2025-09-05T00:00:00"/>
    <s v="UK"/>
    <s v="Shop Drawing"/>
    <x v="34"/>
    <n v="1"/>
    <n v="150000"/>
  </r>
  <r>
    <d v="2025-07-28T00:00:00"/>
    <s v="PRO-000003793"/>
    <s v="333 W CAMDEN ST ORIOLE PARK PRESS CLUB"/>
    <s v="GBP"/>
    <n v="63838.79"/>
    <d v="2025-09-05T00:00:00"/>
    <s v="USA"/>
    <s v="Shop Drawing"/>
    <x v="34"/>
    <n v="1"/>
    <n v="63838.79"/>
  </r>
  <r>
    <d v="2025-08-26T00:00:00"/>
    <s v="PRO-000003915"/>
    <s v="AMERICAN TOWER 222 BERKELEY ST FLOORS 6 &amp; 7"/>
    <s v="GBP"/>
    <n v="112741.06"/>
    <d v="2025-09-05T00:00:00"/>
    <s v="USA"/>
    <s v="Shop Drawing"/>
    <x v="34"/>
    <n v="1"/>
    <n v="112741.06"/>
  </r>
  <r>
    <d v="2025-08-29T00:00:00"/>
    <s v="PRO-000003930"/>
    <s v="CONGRESS AVE 301 FLR 1 &amp; 2 AUSTIN TX"/>
    <s v="GBP"/>
    <n v="380000"/>
    <d v="2025-09-05T00:00:00"/>
    <s v="USA"/>
    <s v="Shop Drawing"/>
    <x v="34"/>
    <n v="1"/>
    <n v="380000"/>
  </r>
  <r>
    <d v="2025-09-01T00:00:00"/>
    <s v="PRO-000003933"/>
    <s v="ST GEORGE ILLAWARRA DRAGONS CHPC WOLLONGONG"/>
    <s v="AUD"/>
    <n v="20000"/>
    <d v="2025-09-02T00:00:00"/>
    <s v="Australia"/>
    <s v="Shop Drawing"/>
    <x v="34"/>
    <n v="0.48732943469785572"/>
    <n v="9746.5886939571137"/>
  </r>
  <r>
    <d v="2025-09-04T00:00:00"/>
    <s v="PRO-000003944"/>
    <s v="PITTWATER RSL CLUB"/>
    <s v="AUD"/>
    <n v="8000"/>
    <d v="2025-09-07T00:00:00"/>
    <s v="Australia"/>
    <s v="Shop Drawing"/>
    <x v="35"/>
    <n v="0.48355899419729204"/>
    <n v="3868.4719535783361"/>
  </r>
  <r>
    <d v="2025-08-28T00:00:00"/>
    <s v="PRO-000003922"/>
    <s v="MUSEO BELLAS ARTES BILBAO"/>
    <s v="GBP"/>
    <n v="300000"/>
    <d v="2025-09-04T00:00:00"/>
    <s v="Rest of the World"/>
    <s v="Proposal"/>
    <x v="34"/>
    <n v="1"/>
    <n v="300000"/>
  </r>
  <r>
    <d v="2025-09-04T00:00:00"/>
    <s v="PRO-000003945"/>
    <s v="ELLISON INSTITUTE TRANSFORMATIVE MEDICINE RESEARCH CAMPUS"/>
    <s v="GBP"/>
    <n v="50000"/>
    <d v="2025-09-11T00:00:00"/>
    <s v="UK"/>
    <s v="CAD Sketch"/>
    <x v="35"/>
    <n v="1"/>
    <n v="50000"/>
  </r>
  <r>
    <d v="2025-05-19T00:00:00"/>
    <s v="PRO-000003473"/>
    <s v="NEWGATE STREET NO 81 BT CENTRE HSBC FIT OUT LONDON"/>
    <s v="GBP"/>
    <n v="500000"/>
    <d v="2025-09-10T00:00:00"/>
    <s v="UK"/>
    <s v="Proposal"/>
    <x v="35"/>
    <n v="1"/>
    <n v="500000"/>
  </r>
  <r>
    <d v="2025-06-16T00:00:00"/>
    <s v="PRO-000003588"/>
    <s v="ALDERMANBURY SQUARE NO 2 CLIFFORD CHANCE FIT-OUT LONDON"/>
    <s v="GBP"/>
    <n v="100000"/>
    <d v="2025-09-08T00:00:00"/>
    <s v="UK"/>
    <s v="Proposal"/>
    <x v="35"/>
    <n v="1"/>
    <n v="100000"/>
  </r>
  <r>
    <d v="2025-08-22T00:00:00"/>
    <s v="PRO-000003902"/>
    <s v="GRESHAM STREET NO 10 MOODYS CORP CAT B FITOUT LONDON"/>
    <s v="GBP"/>
    <n v="325000"/>
    <d v="2025-09-10T00:00:00"/>
    <s v="UK"/>
    <s v="Proposal"/>
    <x v="35"/>
    <n v="1"/>
    <n v="325000"/>
  </r>
  <r>
    <d v="2025-08-29T00:00:00"/>
    <s v="PRO-000003927"/>
    <s v="BASINGHALL STREET NO 25 WOOLGATE EXCHANGE L&amp;G FITOUT LONDON"/>
    <s v="GBP"/>
    <n v="30000"/>
    <d v="2025-09-09T00:00:00"/>
    <s v="UK"/>
    <s v="Proposal"/>
    <x v="35"/>
    <n v="1"/>
    <n v="30000"/>
  </r>
  <r>
    <d v="2025-09-01T00:00:00"/>
    <s v="PRO-000003934"/>
    <s v="THE FAIRFAX PHASE 1 WALL PANELS MANCHESTER"/>
    <s v="GBP"/>
    <n v="20000"/>
    <d v="2025-09-11T00:00:00"/>
    <s v="UK"/>
    <s v="Proposal"/>
    <x v="35"/>
    <n v="1"/>
    <n v="20000"/>
  </r>
  <r>
    <d v="2025-09-01T00:00:00"/>
    <s v="PRO-000003937"/>
    <s v="WEST ONE DEVELOPMENT OXFORD STREET LONDON"/>
    <s v="GBP"/>
    <n v="200000"/>
    <d v="2025-09-12T00:00:00"/>
    <s v="UK"/>
    <s v="Proposal"/>
    <x v="35"/>
    <n v="1"/>
    <n v="200000"/>
  </r>
  <r>
    <d v="2025-09-05T00:00:00"/>
    <s v="PRO-000003948"/>
    <s v="JPMC ARGYLE STREET GLASGOW"/>
    <s v="GBP"/>
    <n v="10000"/>
    <d v="2025-09-10T00:00:00"/>
    <s v="UK"/>
    <s v="Proposal"/>
    <x v="35"/>
    <n v="1"/>
    <n v="10000"/>
  </r>
  <r>
    <d v="2025-09-09T00:00:00"/>
    <s v="PRO-000003956"/>
    <s v="NEWGATE STREET NO 81 BT CENTRE HSBC FIT OUT LONDON"/>
    <s v="GBP"/>
    <n v="100000"/>
    <d v="2025-09-12T00:00:00"/>
    <s v="UK"/>
    <s v="Proposal"/>
    <x v="35"/>
    <n v="1"/>
    <n v="100000"/>
  </r>
  <r>
    <d v="2025-08-05T00:00:00"/>
    <s v="PRO-000003834"/>
    <s v="ABERDEEN MARKET REDEVELOPMENT"/>
    <s v="GBP"/>
    <n v="700000"/>
    <d v="2025-09-12T00:00:00"/>
    <s v="UK"/>
    <s v="Shop Drawing"/>
    <x v="35"/>
    <n v="1"/>
    <n v="700000"/>
  </r>
  <r>
    <d v="2025-02-04T00:00:00"/>
    <s v="PRO-000002972"/>
    <s v="YALE PHYSICAL SCIENCE AND ENGINEERING BUILDING (PSEB) PH II"/>
    <s v="USD"/>
    <n v="50000"/>
    <d v="2025-09-10T00:00:00"/>
    <s v="USA"/>
    <s v="Proposal"/>
    <x v="35"/>
    <n v="0.73909830007390986"/>
    <n v="36954.915003695496"/>
  </r>
  <r>
    <d v="2025-08-29T00:00:00"/>
    <s v="PRO-000003931"/>
    <s v="1165 NORWOOD FM GLOBAL"/>
    <s v="USD"/>
    <n v="150000"/>
    <d v="2025-09-08T00:00:00"/>
    <s v="USA"/>
    <s v="Proposal"/>
    <x v="35"/>
    <n v="0.73909830007390986"/>
    <n v="110864.74501108647"/>
  </r>
  <r>
    <d v="2025-08-20T00:00:00"/>
    <s v="PRO-000003893"/>
    <s v="900 N MICHIGAN TOWER - OFFICE LOBBY"/>
    <s v="GBP"/>
    <n v="22860.26"/>
    <d v="2025-09-08T00:00:00"/>
    <s v="USA"/>
    <s v="Shop Drawing"/>
    <x v="35"/>
    <n v="1"/>
    <n v="22860.26"/>
  </r>
  <r>
    <d v="2025-08-20T00:00:00"/>
    <s v="PRO-000003894"/>
    <s v="DFW AIRPORT TERMINAL F DALLAS"/>
    <s v="GBP"/>
    <n v="11692.07"/>
    <d v="2025-09-13T00:00:00"/>
    <s v="USA"/>
    <s v="Shop Drawing"/>
    <x v="36"/>
    <n v="1"/>
    <n v="11692.07"/>
  </r>
  <r>
    <d v="2025-09-03T00:00:00"/>
    <s v="PRO-000003940"/>
    <s v="KSU KENNESAW STATE UNIVERSITY SUMMIT II HOUSING"/>
    <s v="GBP"/>
    <n v="24806.15"/>
    <d v="2025-09-08T00:00:00"/>
    <s v="USA"/>
    <s v="Shop Drawing"/>
    <x v="35"/>
    <n v="1"/>
    <n v="24806.15"/>
  </r>
  <r>
    <d v="2025-09-03T00:00:00"/>
    <s v="PRO-000003941"/>
    <s v="INTERNATIONAL DR. 1676 - MCLEAN VA"/>
    <s v="GBP"/>
    <n v="91820.800000000003"/>
    <d v="2025-09-09T00:00:00"/>
    <s v="USA"/>
    <s v="Shop Drawing"/>
    <x v="35"/>
    <n v="1"/>
    <n v="91820.800000000003"/>
  </r>
  <r>
    <d v="2025-09-02T00:00:00"/>
    <s v="PRO-000003938"/>
    <s v="AUCKLAND AIRPORT WP3"/>
    <s v="AUD"/>
    <n v="1000000"/>
    <d v="2025-09-09T00:00:00"/>
    <s v="Australia"/>
    <s v="CAD Sketch"/>
    <x v="35"/>
    <n v="0.48355899419729204"/>
    <n v="483558.99419729202"/>
  </r>
  <r>
    <d v="2025-09-08T00:00:00"/>
    <s v="PRO-000003953"/>
    <s v="ATSIAGA ALICE SPRINGS"/>
    <s v="AUD"/>
    <n v="150000"/>
    <d v="2025-09-11T00:00:00"/>
    <s v="Australia"/>
    <s v="CAD Sketch"/>
    <x v="35"/>
    <n v="0.48355899419729204"/>
    <n v="72533.8491295938"/>
  </r>
  <r>
    <d v="2025-07-30T00:00:00"/>
    <s v="PRO-000003813"/>
    <s v="COLLINS STREET NO 367 LOBBY AND EOT UPGRADE"/>
    <s v="GBP"/>
    <n v="900000"/>
    <d v="2025-09-10T00:00:00"/>
    <s v="Australia"/>
    <s v="Proposal"/>
    <x v="35"/>
    <n v="1"/>
    <n v="900000"/>
  </r>
  <r>
    <d v="2025-09-01T00:00:00"/>
    <s v="PRO-000003932"/>
    <s v="SYDNEY FISH MARKET"/>
    <s v="GBP"/>
    <n v="1000000"/>
    <d v="2025-09-10T00:00:00"/>
    <s v="Australia"/>
    <s v="Shop Drawing"/>
    <x v="35"/>
    <n v="1"/>
    <n v="1000000"/>
  </r>
  <r>
    <d v="2025-09-05T00:00:00"/>
    <s v="PRO-000003946"/>
    <s v="CURTIN UNIVERSITY B316 SCIENCES PROJECT"/>
    <s v="AUD"/>
    <n v="200000"/>
    <d v="2025-09-09T00:00:00"/>
    <s v="Australia"/>
    <s v="Shop Drawing"/>
    <x v="35"/>
    <n v="0.48355899419729204"/>
    <n v="96711.79883945841"/>
  </r>
  <r>
    <d v="2025-09-08T00:00:00"/>
    <s v="PRO-000003954"/>
    <s v="BDO MELBOURNE"/>
    <s v="AUD"/>
    <n v="25000"/>
    <d v="2025-09-09T00:00:00"/>
    <s v="Australia"/>
    <s v="Shop Drawing"/>
    <x v="35"/>
    <n v="0.48355899419729204"/>
    <n v="12088.974854932301"/>
  </r>
  <r>
    <d v="2025-08-28T00:00:00"/>
    <s v="PRO-000003923"/>
    <s v="QUINTA CRAVEL PORTO"/>
    <s v="GBP"/>
    <n v="50000"/>
    <d v="2025-09-11T00:00:00"/>
    <s v="Rest of the World"/>
    <s v="Proposal"/>
    <x v="35"/>
    <n v="1"/>
    <n v="50000"/>
  </r>
  <r>
    <d v="2025-09-03T00:00:00"/>
    <s v="PRO-000003939"/>
    <s v="EUROPEAN INVESTMENT BANK LUXEMBOURG"/>
    <s v="GBP"/>
    <n v="100000"/>
    <d v="2025-09-10T00:00:00"/>
    <s v="Rest of the World"/>
    <s v="Proposal"/>
    <x v="35"/>
    <n v="1"/>
    <n v="100000"/>
  </r>
  <r>
    <d v="2025-09-05T00:00:00"/>
    <s v="PRO-000003947"/>
    <s v="BARCELONA CAMP NOU VIP ROOMS"/>
    <s v="GBP"/>
    <n v="300000"/>
    <d v="2025-09-10T00:00:00"/>
    <s v="Rest of the World"/>
    <s v="Proposal"/>
    <x v="35"/>
    <n v="1"/>
    <n v="300000"/>
  </r>
  <r>
    <d v="2025-09-09T00:00:00"/>
    <s v="PRO-000003957"/>
    <s v="ALPHA BANK VE ALTERNATIVES FABRIC ATHENS"/>
    <s v="GBP"/>
    <n v="15000"/>
    <d v="2025-09-10T00:00:00"/>
    <s v="Rest of the World"/>
    <s v="Proposal"/>
    <x v="35"/>
    <n v="1"/>
    <n v="15000"/>
  </r>
  <r>
    <d v="2025-09-08T00:00:00"/>
    <s v="PRO-000003951"/>
    <s v="BMW RENOVATION MISSISSAUGA ONTARIO"/>
    <s v="GBP"/>
    <n v="30000"/>
    <d v="2025-09-12T00:00:00"/>
    <s v="Rest of the World"/>
    <s v="Shop Drawing"/>
    <x v="35"/>
    <n v="1"/>
    <n v="30000"/>
  </r>
  <r>
    <d v="2025-09-08T00:00:00"/>
    <s v="PRO-000003950"/>
    <s v="BEDFONT LAKES BUILDING 11 CISCO CHILLED RAFTS &amp; CEILINGS"/>
    <s v="GBP"/>
    <n v="500000"/>
    <d v="2025-09-10T00:00:00"/>
    <s v="Special Projects"/>
    <s v="Proposal"/>
    <x v="35"/>
    <n v="1"/>
    <n v="500000"/>
  </r>
  <r>
    <d v="2025-08-22T00:00:00"/>
    <s v="PRO-000003904"/>
    <s v="SKILLS HUB &amp; STORAGE BUILDINGS CRADLEY HEATH"/>
    <s v="GBP"/>
    <n v="50000"/>
    <d v="2025-09-17T00:00:00"/>
    <s v="UK"/>
    <s v="Proposal"/>
    <x v="36"/>
    <n v="1"/>
    <n v="50000"/>
  </r>
  <r>
    <d v="2025-09-09T00:00:00"/>
    <s v="PRO-000003959"/>
    <s v="BOW BELLS HOUSE BREAD STREET CAT B BRISTOWS LONDON"/>
    <s v="GBP"/>
    <n v="100000"/>
    <d v="2025-09-16T00:00:00"/>
    <s v="UK"/>
    <s v="Proposal"/>
    <x v="36"/>
    <n v="1"/>
    <n v="100000"/>
  </r>
  <r>
    <d v="2025-09-11T00:00:00"/>
    <s v="PRO-000003969"/>
    <s v="FINSBURY SQUARE NO 38 LONDON"/>
    <s v="GBP"/>
    <n v="200000"/>
    <d v="2025-09-16T00:00:00"/>
    <s v="UK"/>
    <s v="Proposal"/>
    <x v="36"/>
    <n v="1"/>
    <n v="200000"/>
  </r>
  <r>
    <d v="2025-09-11T00:00:00"/>
    <s v="PRO-000003970"/>
    <s v="HARROW SCHOOL SPORTS CENTRE LONDON"/>
    <s v="GBP"/>
    <n v="70000"/>
    <d v="2025-09-19T00:00:00"/>
    <s v="UK"/>
    <s v="Proposal"/>
    <x v="36"/>
    <n v="1"/>
    <n v="70000"/>
  </r>
  <r>
    <d v="2025-09-11T00:00:00"/>
    <s v="PRO-000003971"/>
    <s v="UPPER GROUND NO 76-78 CAT B PAYPAL LONDON"/>
    <s v="GBP"/>
    <n v="50000"/>
    <d v="2025-09-18T00:00:00"/>
    <s v="UK"/>
    <s v="Proposal"/>
    <x v="36"/>
    <n v="1"/>
    <n v="50000"/>
  </r>
  <r>
    <d v="2025-09-16T00:00:00"/>
    <s v="PRO-000003987"/>
    <s v="1306 MAIN STREET  REDWOOD CITY CA"/>
    <s v="USD"/>
    <n v="300000"/>
    <d v="2025-09-18T00:00:00"/>
    <s v="USA"/>
    <s v="Proposal"/>
    <x v="36"/>
    <n v="0.73909830007390986"/>
    <n v="221729.49002217295"/>
  </r>
  <r>
    <d v="2025-08-13T00:00:00"/>
    <s v="PRO-000003875"/>
    <s v="900 N MICHIGAN TOWER - OFFICE LOBBY"/>
    <s v="GBP"/>
    <n v="22860.26"/>
    <d v="2025-09-16T00:00:00"/>
    <s v="USA"/>
    <s v="Shop Drawing"/>
    <x v="36"/>
    <n v="1"/>
    <n v="22860.26"/>
  </r>
  <r>
    <d v="2025-08-18T00:00:00"/>
    <s v="PRO-000003889"/>
    <s v="900 N MICHIGAN TOWER - OFFICE LOBBY"/>
    <s v="GBP"/>
    <n v="22860.26"/>
    <d v="2025-09-16T00:00:00"/>
    <s v="USA"/>
    <s v="Shop Drawing"/>
    <x v="36"/>
    <n v="1"/>
    <n v="22860.26"/>
  </r>
  <r>
    <d v="2025-08-28T00:00:00"/>
    <s v="PRO-000003924"/>
    <s v="PARK AVENUE 270 EXEC FLOORS, 44 to 47, JP MORGAN"/>
    <s v="USD"/>
    <n v="10"/>
    <d v="2025-09-16T00:00:00"/>
    <s v="USA"/>
    <s v="Shop Drawing"/>
    <x v="36"/>
    <n v="0.73909830007390986"/>
    <n v="7.3909830007390989"/>
  </r>
  <r>
    <d v="2025-09-05T00:00:00"/>
    <s v="PRO-000003949"/>
    <s v="UT BELMONT HALL FRINGE LEVEL 3 TEXAS"/>
    <s v="GBP"/>
    <n v="80278.11"/>
    <d v="2025-09-15T00:00:00"/>
    <s v="USA"/>
    <s v="Shop Drawing"/>
    <x v="36"/>
    <n v="1"/>
    <n v="80278.11"/>
  </r>
  <r>
    <d v="2025-09-09T00:00:00"/>
    <s v="PRO-000003960"/>
    <s v="18TH STREET 1000 COLORADO SCHOOL OF MINES EMRF"/>
    <s v="USD"/>
    <n v="103633.44"/>
    <d v="2025-09-18T00:00:00"/>
    <s v="USA"/>
    <s v="Shop Drawing"/>
    <x v="36"/>
    <n v="0.73909830007390986"/>
    <n v="76595.299334811541"/>
  </r>
  <r>
    <d v="2025-09-10T00:00:00"/>
    <s v="PRO-000003965"/>
    <s v="MADISON AVE 1 FLOOR 11 FRANKLIN TEMPLETON ADDITIONAL ORDER"/>
    <s v="USD"/>
    <n v="15000"/>
    <d v="2025-09-16T00:00:00"/>
    <s v="USA"/>
    <s v="Shop Drawing"/>
    <x v="36"/>
    <n v="0.73909830007390986"/>
    <n v="11086.474501108649"/>
  </r>
  <r>
    <d v="2025-09-15T00:00:00"/>
    <s v="PRO-000003982"/>
    <s v="DFW AIRPORT TERMINAL F DALLAS"/>
    <s v="GBP"/>
    <n v="11692.07"/>
    <d v="2025-09-16T00:00:00"/>
    <s v="USA"/>
    <s v="Shop Drawing"/>
    <x v="36"/>
    <n v="1"/>
    <n v="11692.07"/>
  </r>
  <r>
    <d v="2025-09-15T00:00:00"/>
    <s v="PRO-000003981"/>
    <s v="UT BELMONT HALL FRINGE LEVEL 3 TEXAS"/>
    <s v="GBP"/>
    <n v="80278.11"/>
    <d v="2025-09-18T00:00:00"/>
    <s v="USA"/>
    <s v="Shop Drawing"/>
    <x v="36"/>
    <n v="1"/>
    <n v="80278.11"/>
  </r>
  <r>
    <d v="2025-08-29T00:00:00"/>
    <s v="PRO-000003926"/>
    <s v="NEPEAN HOSPITAL"/>
    <s v="AUD"/>
    <n v="30000"/>
    <d v="2025-09-15T00:00:00"/>
    <s v="Australia"/>
    <s v="Shop Drawing"/>
    <x v="36"/>
    <n v="0.48355899419729204"/>
    <n v="14506.769825918762"/>
  </r>
  <r>
    <d v="2025-09-08T00:00:00"/>
    <s v="PRO-000003955"/>
    <s v="CURTIN UNIVERSITY B316 SCIENCES PROJECT"/>
    <s v="AUD"/>
    <n v="700000"/>
    <d v="2025-09-15T00:00:00"/>
    <s v="Australia"/>
    <s v="Shop Drawing"/>
    <x v="36"/>
    <n v="0.48355899419729204"/>
    <n v="338491.29593810445"/>
  </r>
  <r>
    <d v="2025-09-10T00:00:00"/>
    <s v="PRO-000003962"/>
    <s v="MELBOURNE AIRPORT ELEVATED ROAD AND FORECOURT PROJECT"/>
    <s v="AUD"/>
    <n v="1000000"/>
    <d v="2025-09-16T00:00:00"/>
    <s v="Australia"/>
    <s v="Shop Drawing"/>
    <x v="36"/>
    <n v="0.48355899419729204"/>
    <n v="483558.99419729202"/>
  </r>
  <r>
    <d v="2025-09-11T00:00:00"/>
    <s v="PRO-000003967"/>
    <s v="PITTWATER RSL CLUB"/>
    <s v="AUD"/>
    <n v="30000"/>
    <d v="2025-09-15T00:00:00"/>
    <s v="Australia"/>
    <s v="Shop Drawing"/>
    <x v="36"/>
    <n v="0.48355899419729204"/>
    <n v="14506.769825918762"/>
  </r>
  <r>
    <d v="2025-09-16T00:00:00"/>
    <s v="PRO-000003989"/>
    <s v="MELBOURNE AIRPORT ELEVATED ROAD AND FORECOURT PROJECT"/>
    <s v="AUD"/>
    <n v="1000000"/>
    <d v="2025-09-17T00:00:00"/>
    <s v="Australia"/>
    <s v="Shop Drawing"/>
    <x v="36"/>
    <n v="0.48355899419729204"/>
    <n v="483558.99419729202"/>
  </r>
  <r>
    <d v="2025-09-15T00:00:00"/>
    <s v="PRO-000003974"/>
    <s v="VERDE BY SOBHA MIXED DEVT PLOT 3935816 JLT DUBAI"/>
    <s v="GBP"/>
    <n v="33000"/>
    <d v="2025-09-18T00:00:00"/>
    <s v="Middle East"/>
    <s v="Proposal"/>
    <x v="36"/>
    <n v="1"/>
    <n v="33000"/>
  </r>
  <r>
    <d v="2025-09-17T00:00:00"/>
    <s v="PRO-000003991"/>
    <s v="CITY CENTER MIRDIF CCMI CITY KITCHEN WALL PANEL DUBAI"/>
    <s v="GBP"/>
    <n v="100000"/>
    <d v="2025-09-18T00:00:00"/>
    <s v="Middle East"/>
    <s v="Proposal"/>
    <x v="36"/>
    <n v="1"/>
    <n v="100000"/>
  </r>
  <r>
    <d v="2025-09-08T00:00:00"/>
    <s v="PRO-000003952"/>
    <s v="VIA AUGUSTA BARCELONA"/>
    <s v="GBP"/>
    <n v="100000"/>
    <d v="2025-09-15T00:00:00"/>
    <s v="Rest of the World"/>
    <s v="Proposal"/>
    <x v="36"/>
    <n v="1"/>
    <n v="100000"/>
  </r>
  <r>
    <d v="2025-09-15T00:00:00"/>
    <s v="PRO-000003977"/>
    <s v="SANCHINARRO OFICINAS MADRID"/>
    <s v="GBP"/>
    <n v="500000"/>
    <d v="2025-09-17T00:00:00"/>
    <s v="Rest of the World"/>
    <s v="Proposal"/>
    <x v="36"/>
    <n v="1"/>
    <n v="500000"/>
  </r>
  <r>
    <d v="2025-09-10T00:00:00"/>
    <s v="PRO-000003964"/>
    <s v="ESTEL ANTIGUA TELEFONICA BARCELONA"/>
    <s v="GBP"/>
    <n v="30000"/>
    <d v="2025-09-15T00:00:00"/>
    <s v="Rest of the World"/>
    <s v="Shop Drawing"/>
    <x v="36"/>
    <n v="1"/>
    <n v="30000"/>
  </r>
  <r>
    <d v="2025-09-12T00:00:00"/>
    <s v="PRO-000003973"/>
    <s v="OSNEY POWER STATION SAID BUSINESS SCHOOL OXFORD"/>
    <s v="GBP"/>
    <n v="100000"/>
    <d v="2025-09-22T00:00:00"/>
    <s v="UK"/>
    <s v="Hand Sketch"/>
    <x v="37"/>
    <n v="1"/>
    <n v="100000"/>
  </r>
  <r>
    <d v="2025-08-26T00:00:00"/>
    <s v="PRO-000003909"/>
    <s v="OLYMPIA DEVELOPMENT ONE OLYMPIA PREMIER LEAGUE LONDON"/>
    <s v="GBP"/>
    <n v="100000"/>
    <d v="2025-09-22T00:00:00"/>
    <s v="UK"/>
    <s v="Proposal"/>
    <x v="37"/>
    <n v="1"/>
    <n v="100000"/>
  </r>
  <r>
    <d v="2025-08-29T00:00:00"/>
    <s v="PRO-000003928"/>
    <s v="BISHOPSGATE NO 201 BROADGATE TOWER FLRS 12-13,17,19 &amp; 29-33"/>
    <s v="GBP"/>
    <n v="220000"/>
    <d v="2025-09-22T00:00:00"/>
    <s v="UK"/>
    <s v="Proposal"/>
    <x v="37"/>
    <n v="1"/>
    <n v="220000"/>
  </r>
  <r>
    <d v="2025-09-10T00:00:00"/>
    <s v="PRO-000003963"/>
    <s v="ONE STATION HILL CENTRICA HQ FITOUT READING"/>
    <s v="GBP"/>
    <n v="0"/>
    <d v="2025-09-23T00:00:00"/>
    <s v="UK"/>
    <s v="Proposal"/>
    <x v="37"/>
    <n v="1"/>
    <n v="0"/>
  </r>
  <r>
    <d v="2025-09-10T00:00:00"/>
    <s v="PRO-000003966"/>
    <s v="BISHOPSGATE NO 155 FLRS 9-12 AKIN FIT OUT LONDON"/>
    <s v="GBP"/>
    <n v="442857.58"/>
    <d v="2025-09-26T00:00:00"/>
    <s v="UK"/>
    <s v="Proposal"/>
    <x v="37"/>
    <n v="1"/>
    <n v="442857.58"/>
  </r>
  <r>
    <d v="2025-09-16T00:00:00"/>
    <s v="PRO-000003985"/>
    <s v="BISHOPSGATE NO 8 FLOOR 41 KING &amp; SPALDING LONDON"/>
    <s v="GBP"/>
    <n v="10000"/>
    <d v="2025-09-26T00:00:00"/>
    <s v="UK"/>
    <s v="Proposal"/>
    <x v="37"/>
    <n v="1"/>
    <n v="10000"/>
  </r>
  <r>
    <d v="2025-09-18T00:00:00"/>
    <s v="PRO-000003997"/>
    <s v="FINSBURY AVENUE NO 2 DEVELOPMENT LONDON"/>
    <s v="GBP"/>
    <n v="764000"/>
    <d v="2025-09-23T00:00:00"/>
    <s v="UK"/>
    <s v="Proposal"/>
    <x v="37"/>
    <n v="1"/>
    <n v="764000"/>
  </r>
  <r>
    <d v="2025-09-18T00:00:00"/>
    <s v="PRO-000003998"/>
    <s v="BRITISH AIRWAYS CUSTOMER SERVICES NEWCASTLE"/>
    <s v="GBP"/>
    <n v="150000"/>
    <d v="2025-09-26T00:00:00"/>
    <s v="UK"/>
    <s v="Proposal"/>
    <x v="37"/>
    <n v="1"/>
    <n v="150000"/>
  </r>
  <r>
    <d v="2025-09-19T00:00:00"/>
    <s v="PRO-000004002"/>
    <s v="CASTLE WHARF NOTTINGHAM"/>
    <s v="GBP"/>
    <n v="250000"/>
    <d v="2025-09-25T00:00:00"/>
    <s v="UK"/>
    <s v="Proposal"/>
    <x v="37"/>
    <n v="1"/>
    <n v="250000"/>
  </r>
  <r>
    <d v="2025-09-19T00:00:00"/>
    <s v="PRO-000004000"/>
    <s v="RATP GARE DE LYON"/>
    <s v="GBP"/>
    <n v="150000"/>
    <d v="2025-09-26T00:00:00"/>
    <s v="France"/>
    <s v="Shop Drawing"/>
    <x v="37"/>
    <n v="1"/>
    <n v="150000"/>
  </r>
  <r>
    <d v="2025-09-16T00:00:00"/>
    <s v="PRO-000003988"/>
    <s v="WHITE STREET 124-125"/>
    <s v="USD"/>
    <n v="100000"/>
    <d v="2025-09-26T00:00:00"/>
    <s v="USA"/>
    <s v="Proposal"/>
    <x v="37"/>
    <n v="0.73909830007390986"/>
    <n v="73909.830007390992"/>
  </r>
  <r>
    <d v="2025-08-27T00:00:00"/>
    <s v="PRO-000003920"/>
    <s v="333 W CAMDEN ST ORIOLE PARK PRESS CLUB"/>
    <s v="GBP"/>
    <n v="63838.79"/>
    <d v="2025-09-27T00:00:00"/>
    <s v="USA"/>
    <s v="Shop Drawing"/>
    <x v="38"/>
    <n v="1"/>
    <n v="63838.79"/>
  </r>
  <r>
    <d v="2025-09-09T00:00:00"/>
    <s v="PRO-000003958"/>
    <s v="BRICKELL PLAZA 830 KIRKLAND ELLIS FIT OUT MIAMI"/>
    <s v="GBP"/>
    <n v="46000"/>
    <d v="2025-09-22T00:00:00"/>
    <s v="USA"/>
    <s v="Shop Drawing"/>
    <x v="37"/>
    <n v="1"/>
    <n v="46000"/>
  </r>
  <r>
    <d v="2025-09-11T00:00:00"/>
    <s v="PRO-000003972"/>
    <s v="UT BELMONT HALL FRINGE LEVEL 3 TEXAS"/>
    <s v="GBP"/>
    <n v="80278.11"/>
    <d v="2025-09-23T00:00:00"/>
    <s v="USA"/>
    <s v="Shop Drawing"/>
    <x v="37"/>
    <n v="1"/>
    <n v="80278.11"/>
  </r>
  <r>
    <d v="2025-09-17T00:00:00"/>
    <s v="PRO-000003993"/>
    <s v="INTERNATIONAL DR. 1676 - MCLEAN VA"/>
    <s v="GBP"/>
    <n v="91820.800000000003"/>
    <d v="2025-09-24T00:00:00"/>
    <s v="USA"/>
    <s v="Shop Drawing"/>
    <x v="37"/>
    <n v="1"/>
    <n v="91820.800000000003"/>
  </r>
  <r>
    <d v="2025-09-17T00:00:00"/>
    <s v="PRO-000003994"/>
    <s v="MIT SLOAN EXECUTIVE EDUCATION"/>
    <s v="GBP"/>
    <n v="184086.19"/>
    <d v="2025-09-23T00:00:00"/>
    <s v="USA"/>
    <s v="Shop Drawing"/>
    <x v="37"/>
    <n v="1"/>
    <n v="184086.19"/>
  </r>
  <r>
    <d v="2025-09-22T00:00:00"/>
    <s v="PRO-000004007"/>
    <s v="KSU KENNESAW STATE UNIVERSITY SUMMIT II HOUSING"/>
    <s v="GBP"/>
    <n v="24806.15"/>
    <d v="2025-09-25T00:00:00"/>
    <s v="USA"/>
    <s v="Shop Drawing"/>
    <x v="37"/>
    <n v="1"/>
    <n v="24806.15"/>
  </r>
  <r>
    <d v="2025-09-22T00:00:00"/>
    <s v="PRO-000004008"/>
    <s v="INTERNATIONAL DR. 1676 - MCLEAN VA"/>
    <s v="GBP"/>
    <n v="91820.800000000003"/>
    <d v="2025-09-28T00:00:00"/>
    <s v="USA"/>
    <s v="Shop Drawing"/>
    <x v="38"/>
    <n v="1"/>
    <n v="91820.800000000003"/>
  </r>
  <r>
    <d v="2025-09-16T00:00:00"/>
    <s v="PRO-000003983"/>
    <s v="PITTWATER RSL CLUB"/>
    <s v="AUD"/>
    <n v="30000"/>
    <d v="2025-09-24T00:00:00"/>
    <s v="Australia"/>
    <s v="Shop Drawing"/>
    <x v="37"/>
    <n v="0.48355899419729204"/>
    <n v="14506.769825918762"/>
  </r>
  <r>
    <d v="2025-09-17T00:00:00"/>
    <s v="PRO-000003995"/>
    <s v="EDMONDSON PARK TOWN CENTRE"/>
    <s v="AUD"/>
    <n v="140000"/>
    <d v="2025-09-28T00:00:00"/>
    <s v="Australia"/>
    <s v="Shop Drawing"/>
    <x v="38"/>
    <n v="0.48355899419729204"/>
    <n v="67698.25918762089"/>
  </r>
  <r>
    <d v="2025-09-18T00:00:00"/>
    <s v="PRO-000003996"/>
    <s v="ST GEORGE ILLAWARRA DRAGONS CHPC WOLLONGONG"/>
    <s v="AUD"/>
    <n v="50000"/>
    <d v="2025-09-24T00:00:00"/>
    <s v="Australia"/>
    <s v="Shop Drawing"/>
    <x v="37"/>
    <n v="0.48355899419729204"/>
    <n v="24177.949709864602"/>
  </r>
  <r>
    <d v="2025-09-15T00:00:00"/>
    <s v="PRO-000003979"/>
    <s v="MADRID AIRPORT REFURBISHMENT VIP T2"/>
    <s v="GBP"/>
    <n v="100000"/>
    <d v="2025-09-26T00:00:00"/>
    <s v="Rest of the World"/>
    <s v="Proposal"/>
    <x v="37"/>
    <n v="1"/>
    <n v="100000"/>
  </r>
  <r>
    <d v="2025-09-16T00:00:00"/>
    <s v="PRO-000003984"/>
    <s v="RESIDENTIAL PROJECT THAILAND"/>
    <s v="GBP"/>
    <n v="30000"/>
    <d v="2025-09-22T00:00:00"/>
    <s v="Rest of the World"/>
    <s v="Proposal"/>
    <x v="37"/>
    <n v="1"/>
    <n v="30000"/>
  </r>
  <r>
    <d v="2025-09-23T00:00:00"/>
    <s v="PRO-000004009"/>
    <s v="SANCHINARRO OFICINAS MADRID"/>
    <s v="GBP"/>
    <n v="500000"/>
    <d v="2025-09-26T00:00:00"/>
    <s v="Rest of the World"/>
    <s v="Proposal"/>
    <x v="37"/>
    <n v="1"/>
    <n v="500000"/>
  </r>
  <r>
    <d v="2025-09-23T00:00:00"/>
    <s v="PRO-000004010"/>
    <s v="02034 CADDELL"/>
    <s v="GBP"/>
    <n v="30000"/>
    <d v="2025-09-26T00:00:00"/>
    <s v="Rest of the World"/>
    <s v="Proposal"/>
    <x v="37"/>
    <n v="1"/>
    <n v="30000"/>
  </r>
  <r>
    <d v="2025-09-16T00:00:00"/>
    <s v="PRO-000003986"/>
    <s v="UNI OF ST ANDREWS NEW COLLEGE ST ANDREWS"/>
    <s v="GBP"/>
    <n v="20000"/>
    <d v="2025-10-01T00:00:00"/>
    <s v="UK"/>
    <s v="Proposal"/>
    <x v="38"/>
    <n v="1"/>
    <n v="20000"/>
  </r>
  <r>
    <d v="2025-09-19T00:00:00"/>
    <s v="PRO-000004001"/>
    <s v="PEEL ESTATE &amp; NWCC EAST UNDERCROFT SOUTH KILBURN LONDON"/>
    <s v="GBP"/>
    <n v="100000"/>
    <d v="2025-10-03T00:00:00"/>
    <s v="UK"/>
    <s v="Proposal"/>
    <x v="38"/>
    <n v="1"/>
    <n v="100000"/>
  </r>
  <r>
    <d v="2025-09-24T00:00:00"/>
    <s v="PRO-000004016"/>
    <s v="AELTC MILLENNIUM BUILDING PHASE 2 WIMBLEDON LONDON"/>
    <s v="GBP"/>
    <n v="50000"/>
    <d v="2025-09-29T00:00:00"/>
    <s v="UK"/>
    <s v="Proposal"/>
    <x v="38"/>
    <n v="1"/>
    <n v="50000"/>
  </r>
  <r>
    <d v="2025-09-24T00:00:00"/>
    <s v="PRO-000004018"/>
    <s v="BAKER STREET NO 25 CAT B PIMCO FLOORS 5-9 LONDON"/>
    <s v="GBP"/>
    <n v="150000"/>
    <d v="2025-09-30T00:00:00"/>
    <s v="UK"/>
    <s v="Proposal"/>
    <x v="38"/>
    <n v="1"/>
    <n v="150000"/>
  </r>
  <r>
    <d v="2025-09-26T00:00:00"/>
    <s v="PRO-000004030"/>
    <s v="COTTONS CENTRE CAT A FLOOR 4 LONDON"/>
    <s v="GBP"/>
    <n v="100000"/>
    <d v="2025-10-02T00:00:00"/>
    <s v="UK"/>
    <s v="Proposal"/>
    <x v="38"/>
    <n v="1"/>
    <n v="100000"/>
  </r>
  <r>
    <d v="2025-09-26T00:00:00"/>
    <s v="PRO-000004031"/>
    <s v="BASINGHALL STREET NO 25 WOOLGATE EXCHANGE SUSQUEHANNA"/>
    <s v="GBP"/>
    <n v="80000"/>
    <d v="2025-10-02T00:00:00"/>
    <s v="UK"/>
    <s v="Proposal"/>
    <x v="38"/>
    <n v="1"/>
    <n v="80000"/>
  </r>
  <r>
    <d v="2025-09-26T00:00:00"/>
    <s v="PRO-000004033"/>
    <s v="MOORGATE NO 25 CAT B WATSON FARLEY LONDON"/>
    <s v="GBP"/>
    <n v="250000"/>
    <d v="2025-09-29T00:00:00"/>
    <s v="UK"/>
    <s v="Proposal"/>
    <x v="38"/>
    <n v="1"/>
    <n v="250000"/>
  </r>
  <r>
    <d v="2025-09-26T00:00:00"/>
    <s v="PRO-000004035"/>
    <s v="BISHOPSGATE NO 22 CAT B FIT OUT RIVERSTONE FLOOR 5 LONDON"/>
    <s v="GBP"/>
    <n v="50000"/>
    <d v="2025-09-29T00:00:00"/>
    <s v="UK"/>
    <s v="Proposal"/>
    <x v="38"/>
    <n v="1"/>
    <n v="50000"/>
  </r>
  <r>
    <d v="2025-10-02T00:00:00"/>
    <s v="PRO-000004051"/>
    <s v="LUMINOUS OAK SEMH SCHOOL SOUTHAMPTON"/>
    <s v="GBP"/>
    <n v="0"/>
    <d v="2025-10-03T00:00:00"/>
    <s v="UK"/>
    <s v="Proposal"/>
    <x v="38"/>
    <n v="1"/>
    <n v="0"/>
  </r>
  <r>
    <d v="2025-09-24T00:00:00"/>
    <s v="PRO-000004014"/>
    <s v="SOUTH LAS VEGAS BOULVEARD 3771 HARD ROCK LAS VEGAS"/>
    <s v="USD"/>
    <n v="10000"/>
    <d v="2025-10-01T00:00:00"/>
    <s v="USA"/>
    <s v="Proposal"/>
    <x v="38"/>
    <n v="0.73909830007390986"/>
    <n v="7390.9830007390983"/>
  </r>
  <r>
    <d v="2025-09-17T00:00:00"/>
    <s v="PRO-000003992"/>
    <s v="ONE UTSA CIRCLE SAN ANTONIO TX 78249"/>
    <s v="GBP"/>
    <n v="425923"/>
    <d v="2025-09-30T00:00:00"/>
    <s v="USA"/>
    <s v="Shop Drawing"/>
    <x v="38"/>
    <n v="1"/>
    <n v="425923"/>
  </r>
  <r>
    <d v="2025-09-24T00:00:00"/>
    <s v="PRO-000004019"/>
    <s v="MIT SLOAN EXECUTIVE EDUCATION"/>
    <s v="GBP"/>
    <n v="184086.19"/>
    <d v="2025-10-01T00:00:00"/>
    <s v="USA"/>
    <s v="Shop Drawing"/>
    <x v="38"/>
    <n v="1"/>
    <n v="184086.19"/>
  </r>
  <r>
    <d v="2025-09-25T00:00:00"/>
    <s v="PRO-000004027"/>
    <s v="BRICKELL PLAZA 830 KIRKLAND ELLIS FIT OUT MIAMI"/>
    <s v="GBP"/>
    <n v="46000"/>
    <d v="2025-09-30T00:00:00"/>
    <s v="USA"/>
    <s v="Shop Drawing"/>
    <x v="38"/>
    <n v="1"/>
    <n v="46000"/>
  </r>
  <r>
    <d v="2025-10-01T00:00:00"/>
    <s v="PRO-000004044"/>
    <s v="ANZ CENTRE 833 COLLINS"/>
    <s v="AUD"/>
    <n v="600000"/>
    <d v="2025-10-01T00:00:00"/>
    <s v="Australia"/>
    <s v="CAD Sketch"/>
    <x v="38"/>
    <n v="0.48355899419729204"/>
    <n v="290135.3965183752"/>
  </r>
  <r>
    <d v="2025-09-30T00:00:00"/>
    <s v="PRO-000004043"/>
    <s v="LA CAISSE WORKPLACE"/>
    <s v="AUD"/>
    <n v="100000"/>
    <d v="2025-10-01T00:00:00"/>
    <s v="Australia"/>
    <s v="Proposal"/>
    <x v="38"/>
    <n v="0.48355899419729204"/>
    <n v="48355.899419729205"/>
  </r>
  <r>
    <d v="2025-09-22T00:00:00"/>
    <s v="PRO-000004006"/>
    <s v="ST GEORGE ILLAWARRA DRAGONS CHPC WOLLONGONG"/>
    <s v="AUD"/>
    <n v="90000"/>
    <d v="2025-09-30T00:00:00"/>
    <s v="Australia"/>
    <s v="Shop Drawing"/>
    <x v="38"/>
    <n v="0.48355899419729204"/>
    <n v="43520.30947775628"/>
  </r>
  <r>
    <d v="2025-09-25T00:00:00"/>
    <s v="PRO-000004024"/>
    <s v="SYDNEY FISH MARKET"/>
    <s v="GBP"/>
    <n v="1000000"/>
    <d v="2025-10-01T00:00:00"/>
    <s v="Australia"/>
    <s v="Shop Drawing"/>
    <x v="38"/>
    <n v="1"/>
    <n v="1000000"/>
  </r>
  <r>
    <d v="2025-09-28T00:00:00"/>
    <s v="PRO-000004038"/>
    <s v="EDMONDSON PARK TOWN CENTRE"/>
    <s v="AUD"/>
    <n v="140000"/>
    <d v="2025-09-30T00:00:00"/>
    <s v="Australia"/>
    <s v="Shop Drawing"/>
    <x v="38"/>
    <n v="0.48355899419729204"/>
    <n v="67698.25918762089"/>
  </r>
  <r>
    <d v="2025-09-30T00:00:00"/>
    <s v="PRO-000004042"/>
    <s v="ST GEORGE ILLAWARRA DRAGONS CHPC WOLLONGONG"/>
    <s v="AUD"/>
    <n v="90000"/>
    <d v="2025-09-30T00:00:00"/>
    <s v="Australia"/>
    <s v="Shop Drawing"/>
    <x v="38"/>
    <n v="0.48355899419729204"/>
    <n v="43520.30947775628"/>
  </r>
  <r>
    <d v="2025-10-01T00:00:00"/>
    <s v="PRO-000004045"/>
    <s v="SYDNEY FISH MARKET"/>
    <s v="GBP"/>
    <n v="1000000"/>
    <d v="2025-10-03T00:00:00"/>
    <s v="Australia"/>
    <s v="Shop Drawing"/>
    <x v="38"/>
    <n v="1"/>
    <n v="1000000"/>
  </r>
  <r>
    <d v="2025-10-02T00:00:00"/>
    <s v="PRO-000004048"/>
    <s v="NOVARTIS"/>
    <s v="AUD"/>
    <n v="30000"/>
    <d v="2025-10-03T00:00:00"/>
    <s v="Australia"/>
    <s v="Shop Drawing"/>
    <x v="38"/>
    <n v="0.48355899419729204"/>
    <n v="14506.769825918762"/>
  </r>
  <r>
    <d v="2025-09-25T00:00:00"/>
    <s v="PRO-000004026"/>
    <s v="ALPHA BANK VE ALTERNATIVES FABRIC ATHENS"/>
    <s v="GBP"/>
    <n v="20000"/>
    <d v="2025-09-29T00:00:00"/>
    <s v="Rest of the World"/>
    <s v="Proposal"/>
    <x v="38"/>
    <n v="1"/>
    <n v="20000"/>
  </r>
  <r>
    <d v="2025-09-29T00:00:00"/>
    <s v="PRO-000004040"/>
    <s v="SANCHINARRO OFICINAS MADRID"/>
    <s v="GBP"/>
    <n v="500000"/>
    <d v="2025-10-02T00:00:00"/>
    <s v="Rest of the World"/>
    <s v="Proposal"/>
    <x v="38"/>
    <n v="1"/>
    <n v="500000"/>
  </r>
  <r>
    <d v="2025-10-06T00:00:00"/>
    <s v="PRO-000004057"/>
    <s v="QUEENSBERRY HOUSE OLD BURLINGTON STREET NO 3 CAT B LONDON"/>
    <s v="GBP"/>
    <n v="10000"/>
    <d v="2025-10-09T00:00:00"/>
    <s v="UK"/>
    <s v="Hand Sketch"/>
    <x v="39"/>
    <n v="1"/>
    <n v="10000"/>
  </r>
  <r>
    <d v="2025-09-23T00:00:00"/>
    <s v="PRO-000004012"/>
    <s v="BASINGHALL STREET NO 25 WOOLGATE EXCHANGE L&amp;G FITOUT LONDON"/>
    <s v="GBP"/>
    <n v="30000"/>
    <d v="2025-10-07T00:00:00"/>
    <s v="UK"/>
    <s v="Proposal"/>
    <x v="39"/>
    <n v="1"/>
    <n v="30000"/>
  </r>
  <r>
    <d v="2025-09-24T00:00:00"/>
    <s v="PRO-000004015"/>
    <s v="NR DARLINGTON RAILWAY STATION UPGRADE"/>
    <s v="GBP"/>
    <n v="200000"/>
    <d v="2025-10-07T00:00:00"/>
    <s v="UK"/>
    <s v="Proposal"/>
    <x v="39"/>
    <n v="1"/>
    <n v="200000"/>
  </r>
  <r>
    <d v="2025-09-26T00:00:00"/>
    <s v="PRO-000004029"/>
    <s v="AIR STREET NO 7 CAT A REFURB LONDON"/>
    <s v="GBP"/>
    <n v="25000"/>
    <d v="2025-10-09T00:00:00"/>
    <s v="UK"/>
    <s v="Proposal"/>
    <x v="39"/>
    <n v="1"/>
    <n v="25000"/>
  </r>
  <r>
    <d v="2025-09-26T00:00:00"/>
    <s v="PRO-000004034"/>
    <s v="JERSEY AIRPORT DEPARTURES REFURBISHMENT"/>
    <s v="GBP"/>
    <n v="50000"/>
    <d v="2025-10-08T00:00:00"/>
    <s v="UK"/>
    <s v="Proposal"/>
    <x v="39"/>
    <n v="1"/>
    <n v="50000"/>
  </r>
  <r>
    <d v="2025-10-01T00:00:00"/>
    <s v="PRO-000004046"/>
    <s v="ANGEL SQUARE NO 4 BNY FIT OUT MANCHESTER"/>
    <s v="GBP"/>
    <n v="600000"/>
    <d v="2025-10-07T00:00:00"/>
    <s v="UK"/>
    <s v="Proposal"/>
    <x v="39"/>
    <n v="1"/>
    <n v="600000"/>
  </r>
  <r>
    <d v="2025-10-02T00:00:00"/>
    <s v="PRO-000004052"/>
    <s v="EASTBOURNE TERRACE NO 10 FLOOR 4 LONDON"/>
    <s v="GBP"/>
    <n v="75000"/>
    <d v="2025-10-07T00:00:00"/>
    <s v="UK"/>
    <s v="Proposal"/>
    <x v="39"/>
    <n v="1"/>
    <n v="75000"/>
  </r>
  <r>
    <d v="2025-10-03T00:00:00"/>
    <s v="PRO-000004055"/>
    <s v="COTTONS CENTRE CAT A FLOOR 4 LONDON"/>
    <s v="GBP"/>
    <n v="100000"/>
    <d v="2025-10-06T00:00:00"/>
    <s v="UK"/>
    <s v="Proposal"/>
    <x v="39"/>
    <n v="1"/>
    <n v="100000"/>
  </r>
  <r>
    <d v="2025-10-07T00:00:00"/>
    <s v="PRO-000004061"/>
    <s v="GRIMSHAW PARK SERVICE STATION KAY GROUP LIGHTING BLACKBURN"/>
    <s v="GBP"/>
    <n v="50000"/>
    <d v="2025-10-10T00:00:00"/>
    <s v="UK"/>
    <s v="Proposal"/>
    <x v="39"/>
    <n v="1"/>
    <n v="50000"/>
  </r>
  <r>
    <d v="2025-10-08T00:00:00"/>
    <s v="PRO-000004064"/>
    <s v="OXFORD STREET NO 334-348 CAT B BDO LONDON"/>
    <s v="GBP"/>
    <n v="40000"/>
    <d v="2025-10-09T00:00:00"/>
    <s v="UK"/>
    <s v="Proposal"/>
    <x v="39"/>
    <n v="1"/>
    <n v="40000"/>
  </r>
  <r>
    <d v="2025-10-08T00:00:00"/>
    <s v="PRO-000004066"/>
    <s v="EASTBOURNE TERRACE NO 10 FLOOR 4 LONDON"/>
    <s v="GBP"/>
    <n v="75000"/>
    <d v="2025-10-09T00:00:00"/>
    <s v="UK"/>
    <s v="Proposal"/>
    <x v="39"/>
    <n v="1"/>
    <n v="75000"/>
  </r>
  <r>
    <d v="2025-10-08T00:00:00"/>
    <s v="PRO-000004065"/>
    <s v="BASINGHALL STREET NO 25 WOOLGATE EXCHANGE SUSQUEHANNA"/>
    <s v="GBP"/>
    <n v="20000"/>
    <d v="2025-10-09T00:00:00"/>
    <s v="UK"/>
    <s v="Proposal"/>
    <x v="39"/>
    <n v="1"/>
    <n v="20000"/>
  </r>
  <r>
    <d v="2025-10-09T00:00:00"/>
    <s v="PRO-000004071"/>
    <s v="DUDLEY INTERCHANGE FISHER STREET"/>
    <s v="GBP"/>
    <n v="400000"/>
    <d v="2025-10-09T00:00:00"/>
    <s v="UK"/>
    <s v="Proposal"/>
    <x v="39"/>
    <n v="1"/>
    <n v="400000"/>
  </r>
  <r>
    <d v="2025-10-09T00:00:00"/>
    <s v="PRO-000004073"/>
    <s v="ABBEY ROAD STUDIOS REFURB LONDON"/>
    <s v="GBP"/>
    <n v="10000"/>
    <d v="2025-10-10T00:00:00"/>
    <s v="UK"/>
    <s v="Proposal"/>
    <x v="39"/>
    <n v="1"/>
    <n v="10000"/>
  </r>
  <r>
    <d v="2025-09-24T00:00:00"/>
    <s v="PRO-000004020"/>
    <s v="FORT LAUDERDALE AIRPORT TERMINAL CONNECTORS, FT, FL"/>
    <s v="USD"/>
    <n v="500000"/>
    <d v="2025-10-09T00:00:00"/>
    <s v="USA"/>
    <s v="Proposal"/>
    <x v="39"/>
    <n v="0.73909830007390986"/>
    <n v="369549.1500369549"/>
  </r>
  <r>
    <d v="2025-09-26T00:00:00"/>
    <s v="PRO-000004036"/>
    <s v="LOGAN TERMINAL E MODERNIZATION GATES 17 TO 19 EXPANSION"/>
    <s v="USD"/>
    <n v="150000"/>
    <d v="2025-10-10T00:00:00"/>
    <s v="USA"/>
    <s v="Proposal"/>
    <x v="39"/>
    <n v="0.73909830007390986"/>
    <n v="110864.74501108647"/>
  </r>
  <r>
    <d v="2025-09-09T00:00:00"/>
    <s v="PRO-000003961"/>
    <s v="OHARE AIRPORT TERMINAL 3 L CONCOURSE UPGRADE"/>
    <s v="USD"/>
    <n v="900000"/>
    <d v="2025-10-06T00:00:00"/>
    <s v="USA"/>
    <s v="Shop Drawing"/>
    <x v="39"/>
    <n v="0.73909830007390986"/>
    <n v="665188.47006651887"/>
  </r>
  <r>
    <d v="2025-09-26T00:00:00"/>
    <s v="PRO-000004032"/>
    <s v="HUDSON YARDS 20 WELLS FARGO, FLRS 5 &amp; 6, NEW YORK"/>
    <s v="USD"/>
    <n v="90000"/>
    <d v="2025-10-06T00:00:00"/>
    <s v="USA"/>
    <s v="Shop Drawing"/>
    <x v="39"/>
    <n v="0.73909830007390986"/>
    <n v="66518.847006651893"/>
  </r>
  <r>
    <d v="2025-09-29T00:00:00"/>
    <s v="PRO-000004041"/>
    <s v="RHODE ISLAND ENERGY JOHNSTON"/>
    <s v="GBP"/>
    <n v="44937.760000000002"/>
    <d v="2025-10-12T00:00:00"/>
    <s v="USA"/>
    <s v="Shop Drawing"/>
    <x v="40"/>
    <n v="1"/>
    <n v="44937.760000000002"/>
  </r>
  <r>
    <d v="2025-10-07T00:00:00"/>
    <s v="PRO-000004063"/>
    <s v="KSU KENNESAW STATE UNIVERSITY SUMMIT II HOUSING"/>
    <s v="GBP"/>
    <n v="24806.15"/>
    <d v="2025-10-09T00:00:00"/>
    <s v="USA"/>
    <s v="Shop Drawing"/>
    <x v="39"/>
    <n v="1"/>
    <n v="24806.15"/>
  </r>
  <r>
    <d v="2025-09-16T00:00:00"/>
    <s v="PRO-000003990"/>
    <s v="COLLINS STREET NO 367 LOBBY AND EOT UPGRADE"/>
    <s v="GBP"/>
    <n v="900000"/>
    <d v="2025-10-09T00:00:00"/>
    <s v="Australia"/>
    <s v="Proposal"/>
    <x v="39"/>
    <n v="1"/>
    <n v="900000"/>
  </r>
  <r>
    <d v="2025-10-02T00:00:00"/>
    <s v="PRO-000004049"/>
    <s v="ST GEORGE ILLAWARRA DRAGONS CHPC WOLLONGONG"/>
    <s v="AUD"/>
    <n v="100000"/>
    <d v="2025-10-09T00:00:00"/>
    <s v="Australia"/>
    <s v="Shop Drawing"/>
    <x v="39"/>
    <n v="0.48355899419729204"/>
    <n v="48355.899419729205"/>
  </r>
  <r>
    <d v="2025-10-07T00:00:00"/>
    <s v="PRO-000004060"/>
    <s v="MELBOURNE AIRPORT ELEVATED ROAD AND FORECOURT PROJECT"/>
    <s v="GBP"/>
    <n v="1000000"/>
    <d v="2025-10-09T00:00:00"/>
    <s v="Australia"/>
    <s v="Shop Drawing"/>
    <x v="39"/>
    <n v="1"/>
    <n v="1000000"/>
  </r>
  <r>
    <d v="2025-09-23T00:00:00"/>
    <s v="PRO-000004011"/>
    <s v="RESIDENTIAL PROJECT LAGOS"/>
    <s v="GBP"/>
    <n v="10000"/>
    <d v="2025-10-09T00:00:00"/>
    <s v="Rest of the World"/>
    <s v="Proposal"/>
    <x v="39"/>
    <n v="1"/>
    <n v="10000"/>
  </r>
  <r>
    <d v="2025-10-02T00:00:00"/>
    <s v="PRO-000004054"/>
    <s v="BARCELONA CAMP NOU VIP ROOMS"/>
    <s v="GBP"/>
    <n v="500000"/>
    <d v="2025-10-10T00:00:00"/>
    <s v="Rest of the World"/>
    <s v="Proposal"/>
    <x v="39"/>
    <n v="1"/>
    <n v="500000"/>
  </r>
  <r>
    <d v="2025-10-03T00:00:00"/>
    <s v="PRO-000004056"/>
    <s v="02034 CADDELL"/>
    <s v="GBP"/>
    <n v="20000"/>
    <d v="2025-10-06T00:00:00"/>
    <s v="Rest of the World"/>
    <s v="Proposal"/>
    <x v="39"/>
    <n v="1"/>
    <n v="20000"/>
  </r>
  <r>
    <d v="2025-10-09T00:00:00"/>
    <s v="PRO-000004075"/>
    <s v="RESIDENTIAL PROJECT LAGOS"/>
    <s v="GBP"/>
    <n v="10000"/>
    <d v="2025-10-10T00:00:00"/>
    <s v="Rest of the World"/>
    <s v="Proposal"/>
    <x v="39"/>
    <n v="1"/>
    <n v="10000"/>
  </r>
  <r>
    <d v="2025-10-09T00:00:00"/>
    <s v="PRO-000004077"/>
    <s v="VIA AUGUSTA BARCELONA"/>
    <s v="GBP"/>
    <n v="300000"/>
    <d v="2025-10-09T00:00:00"/>
    <s v="Rest of the World"/>
    <s v="Proposal"/>
    <x v="39"/>
    <n v="1"/>
    <n v="300000"/>
  </r>
  <r>
    <d v="2025-10-14T00:00:00"/>
    <s v="PRO-000004093"/>
    <s v="BRITISH AIRWAYS CUSTOMER SERVICES NEWCASTLE"/>
    <s v="GBP"/>
    <n v="70000"/>
    <d v="2025-10-14T00:00:00"/>
    <s v="UK"/>
    <s v="CAD Sketch"/>
    <x v="40"/>
    <n v="1"/>
    <n v="70000"/>
  </r>
  <r>
    <d v="2025-10-14T00:00:00"/>
    <s v="PRO-000004095"/>
    <s v="TOLWORTH HOSPITAL MENTAL HEALTH BUILDING"/>
    <s v="GBP"/>
    <n v="0"/>
    <d v="2025-10-17T00:00:00"/>
    <s v="UK"/>
    <s v="CAD Sketch"/>
    <x v="40"/>
    <n v="1"/>
    <n v="0"/>
  </r>
  <r>
    <d v="2025-09-25T00:00:00"/>
    <s v="PRO-000004025"/>
    <s v="OXFORD STREET NO 334-348 CAT B BDO LONDON"/>
    <s v="GBP"/>
    <n v="100000"/>
    <d v="2025-10-16T00:00:00"/>
    <s v="UK"/>
    <s v="Proposal"/>
    <x v="40"/>
    <n v="1"/>
    <n v="100000"/>
  </r>
  <r>
    <d v="2025-10-09T00:00:00"/>
    <s v="PRO-000004070"/>
    <s v="WARWICK COURT CAT B EGYM LONDON"/>
    <s v="GBP"/>
    <n v="25000"/>
    <d v="2025-10-17T00:00:00"/>
    <s v="UK"/>
    <s v="Proposal"/>
    <x v="40"/>
    <n v="1"/>
    <n v="25000"/>
  </r>
  <r>
    <d v="2025-10-09T00:00:00"/>
    <s v="PRO-000004074"/>
    <s v="JERSEY AIRPORT DEPARTURES REFURBISHMENT"/>
    <s v="GBP"/>
    <n v="100000"/>
    <d v="2025-10-13T00:00:00"/>
    <s v="UK"/>
    <s v="Proposal"/>
    <x v="40"/>
    <n v="1"/>
    <n v="100000"/>
  </r>
  <r>
    <d v="2025-10-09T00:00:00"/>
    <s v="PRO-000004076"/>
    <s v="THAVIES INN HOUSE HOLBORN CIRCUS NO 1 LONDON"/>
    <s v="GBP"/>
    <n v="1000000"/>
    <d v="2025-10-15T00:00:00"/>
    <s v="UK"/>
    <s v="Proposal"/>
    <x v="40"/>
    <n v="1"/>
    <n v="1000000"/>
  </r>
  <r>
    <d v="2025-10-11T00:00:00"/>
    <s v="PRO-000004082"/>
    <s v="OLYMPIA DEVELOPMENT ONE OLYMPIA PREMIER LEAGUE LONDON"/>
    <s v="GBP"/>
    <n v="50000"/>
    <d v="2025-10-17T00:00:00"/>
    <s v="UK"/>
    <s v="Proposal"/>
    <x v="40"/>
    <n v="1"/>
    <n v="50000"/>
  </r>
  <r>
    <d v="2025-10-13T00:00:00"/>
    <s v="PRO-000004086"/>
    <s v="BISHOPSGATE NO 8 FLOOR 41 KING &amp; SPALDING LONDON"/>
    <s v="GBP"/>
    <n v="8082.76"/>
    <d v="2025-10-13T00:00:00"/>
    <s v="UK"/>
    <s v="Proposal"/>
    <x v="40"/>
    <n v="1"/>
    <n v="8082.76"/>
  </r>
  <r>
    <d v="2025-10-13T00:00:00"/>
    <s v="PRO-000004087"/>
    <s v="MOORGATE NO 25 CAT B WATSON FARLEY LONDON"/>
    <s v="GBP"/>
    <n v="10000"/>
    <d v="2025-10-14T00:00:00"/>
    <s v="UK"/>
    <s v="Proposal"/>
    <x v="40"/>
    <n v="1"/>
    <n v="10000"/>
  </r>
  <r>
    <d v="2025-10-15T00:00:00"/>
    <s v="PRO-000004101"/>
    <s v="THAVIES INN HOUSE HOLBORN CIRCUS NO 1 LONDON"/>
    <s v="GBP"/>
    <n v="1000000"/>
    <d v="2025-10-17T00:00:00"/>
    <s v="UK"/>
    <s v="Proposal"/>
    <x v="40"/>
    <n v="1"/>
    <n v="1000000"/>
  </r>
  <r>
    <d v="2025-10-16T00:00:00"/>
    <s v="PRO-000004103"/>
    <s v="GOLDSWORTH PLACE FORGE END NO 1 WOKING"/>
    <s v="GBP"/>
    <n v="0"/>
    <d v="2025-10-16T00:00:00"/>
    <s v="UK"/>
    <s v="Proposal"/>
    <x v="40"/>
    <n v="1"/>
    <n v="0"/>
  </r>
  <r>
    <d v="2025-09-15T00:00:00"/>
    <s v="PRO-000003978"/>
    <s v="HOBBY AIRPORT WEST CONCOURSE HOUSTON TX"/>
    <s v="GBP"/>
    <n v="1300000"/>
    <d v="2025-10-17T00:00:00"/>
    <s v="USA"/>
    <s v="Shop Drawing"/>
    <x v="40"/>
    <n v="1"/>
    <n v="1300000"/>
  </r>
  <r>
    <d v="2025-10-06T00:00:00"/>
    <s v="PRO-000004059"/>
    <s v="UT BELMONT HALL FRINGE LEVEL 3 TEXAS"/>
    <s v="GBP"/>
    <n v="80278.11"/>
    <d v="2025-10-13T00:00:00"/>
    <s v="USA"/>
    <s v="Shop Drawing"/>
    <x v="40"/>
    <n v="1"/>
    <n v="80278.11"/>
  </r>
  <r>
    <d v="2025-10-13T00:00:00"/>
    <s v="PRO-000004083"/>
    <s v="AUSTRALIAN INSTITUTE FOR INFECTIOUS DISEASE"/>
    <s v="AUD"/>
    <n v="200000"/>
    <d v="2025-10-15T00:00:00"/>
    <s v="Australia"/>
    <s v="Proposal"/>
    <x v="40"/>
    <n v="0.48355899419729204"/>
    <n v="96711.79883945841"/>
  </r>
  <r>
    <d v="2025-10-15T00:00:00"/>
    <s v="PRO-000004099"/>
    <s v="ST GEORGE ILLAWARRA DRAGONS CHPC WOLLONGONG"/>
    <s v="AUD"/>
    <n v="100000"/>
    <d v="2025-10-15T00:00:00"/>
    <s v="Australia"/>
    <s v="Shop Drawing"/>
    <x v="40"/>
    <n v="0.48355899419729204"/>
    <n v="48355.899419729205"/>
  </r>
  <r>
    <d v="2025-10-07T00:00:00"/>
    <s v="PRO-000004062"/>
    <s v="EDIFICIO EN REPUBLICA DOMINICANA"/>
    <s v="GBP"/>
    <n v="1000000"/>
    <d v="2025-10-13T00:00:00"/>
    <s v="Rest of the World"/>
    <s v="Proposal"/>
    <x v="40"/>
    <n v="1"/>
    <n v="1000000"/>
  </r>
  <r>
    <d v="2025-10-08T00:00:00"/>
    <s v="PRO-000004068"/>
    <s v="02036 PROJECT CADDELL"/>
    <s v="GBP"/>
    <n v="600000"/>
    <d v="2025-10-15T00:00:00"/>
    <s v="Rest of the World"/>
    <s v="Proposal"/>
    <x v="40"/>
    <n v="1"/>
    <n v="600000"/>
  </r>
  <r>
    <d v="2025-10-09T00:00:00"/>
    <s v="PRO-000004072"/>
    <s v="MUSEO BELLAS ARTES BILBAO"/>
    <s v="GBP"/>
    <n v="300000"/>
    <d v="2025-10-14T00:00:00"/>
    <s v="Rest of the World"/>
    <s v="Proposal"/>
    <x v="40"/>
    <n v="1"/>
    <n v="300000"/>
  </r>
  <r>
    <d v="2025-10-10T00:00:00"/>
    <s v="PRO-000004081"/>
    <s v="BARCELONA CAMP NOU VIP ROOMS"/>
    <s v="GBP"/>
    <n v="500000"/>
    <d v="2025-10-16T00:00:00"/>
    <s v="Rest of the World"/>
    <s v="Proposal"/>
    <x v="40"/>
    <n v="1"/>
    <n v="500000"/>
  </r>
  <r>
    <d v="2025-10-13T00:00:00"/>
    <s v="PRO-000004088"/>
    <s v="02034 CADDELL ADDITIONAL SCOPE"/>
    <s v="GBP"/>
    <n v="10000"/>
    <d v="2025-10-13T00:00:00"/>
    <s v="Rest of the World"/>
    <s v="Proposal"/>
    <x v="40"/>
    <n v="1"/>
    <n v="10000"/>
  </r>
  <r>
    <d v="2025-10-13T00:00:00"/>
    <s v="PRO-000004089"/>
    <s v="RESIDENTIAL PROJECT LAGOS"/>
    <s v="GBP"/>
    <n v="20000"/>
    <d v="2025-10-13T00:00:00"/>
    <s v="Rest of the World"/>
    <s v="Proposal"/>
    <x v="40"/>
    <n v="1"/>
    <n v="20000"/>
  </r>
  <r>
    <d v="2025-10-14T00:00:00"/>
    <s v="PRO-000004096"/>
    <s v="EDIFICIO EN REPUBLICA DOMINICANA"/>
    <s v="GBP"/>
    <n v="500000"/>
    <d v="2025-10-17T00:00:00"/>
    <s v="Rest of the World"/>
    <s v="Proposal"/>
    <x v="40"/>
    <n v="1"/>
    <n v="500000"/>
  </r>
  <r>
    <d v="2025-10-13T00:00:00"/>
    <s v="PRO-000004091"/>
    <s v="BMW RENOVATION MISSISSAUGA ONTARIO"/>
    <s v="GBP"/>
    <n v="20000"/>
    <d v="2025-10-15T00:00:00"/>
    <s v="Rest of the World"/>
    <s v="Shop Drawing"/>
    <x v="40"/>
    <n v="1"/>
    <n v="20000"/>
  </r>
  <r>
    <m/>
    <m/>
    <m/>
    <m/>
    <m/>
    <m/>
    <m/>
    <m/>
    <x v="4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EDCA6-38FC-413F-94FB-F5BCA569C33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47" firstHeaderRow="0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3"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dataField="1" showAll="0"/>
  </pivotFields>
  <rowFields count="1">
    <field x="8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posal Request No." fld="1" subtotal="count" baseField="0" baseItem="0"/>
    <dataField name="Sum of estimate £" fld="10" baseField="0" baseItem="0" numFmtId="4"/>
  </dataFields>
  <formats count="7">
    <format dxfId="19">
      <pivotArea field="8" type="button" dataOnly="0" labelOnly="1" outline="0" axis="axisRow" fieldPosition="0"/>
    </format>
    <format dxfId="18">
      <pivotArea type="origin" dataOnly="0" labelOnly="1" outline="0" fieldPosition="0"/>
    </format>
    <format dxfId="17">
      <pivotArea dataOnly="0" labelOnly="1" grandCol="1" outline="0" fieldPosition="0"/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1667D-FE52-4C6F-8947-E09B210C4E0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49" firstHeaderRow="0" firstDataRow="1" firstDataCol="1" rowPageCount="1" colPageCount="1"/>
  <pivotFields count="7">
    <pivotField dataField="1" showAll="0"/>
    <pivotField showAll="0"/>
    <pivotField dataField="1" showAll="0"/>
    <pivotField axis="axisPage" multipleItemSelectionAllowed="1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axis="axisRow" showAll="0">
      <items count="43"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 count="1">
    <field x="6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Average of On Time?" fld="2" subtotal="average" baseField="6" baseItem="8" numFmtId="4"/>
    <dataField name="Count of Proposal Request No." fld="0" subtotal="count" baseField="0" baseItem="0"/>
  </dataFields>
  <formats count="3"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outline="0" fieldPosition="0">
        <references count="1">
          <reference field="4294967294" count="1">
            <x v="0"/>
          </reference>
        </references>
      </pivotArea>
    </format>
    <format dxfId="10">
      <pivotArea collapsedLevelsAreSubtotals="1" fieldPosition="0">
        <references count="2">
          <reference field="4294967294" count="1">
            <x v="1"/>
          </reference>
          <reference field="6" count="24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2EB0-28E3-4947-8C09-B6AC714B216D}">
  <dimension ref="B1:I27"/>
  <sheetViews>
    <sheetView workbookViewId="0">
      <selection activeCell="N20" sqref="N20"/>
    </sheetView>
  </sheetViews>
  <sheetFormatPr defaultRowHeight="15" x14ac:dyDescent="0.25"/>
  <cols>
    <col min="2" max="2" width="4.7109375" customWidth="1"/>
  </cols>
  <sheetData>
    <row r="1" spans="2:9" ht="21" x14ac:dyDescent="0.35">
      <c r="B1" s="61" t="s">
        <v>1024</v>
      </c>
    </row>
    <row r="2" spans="2:9" x14ac:dyDescent="0.25">
      <c r="E2" t="s">
        <v>908</v>
      </c>
      <c r="I2" s="13">
        <v>21</v>
      </c>
    </row>
    <row r="4" spans="2:9" x14ac:dyDescent="0.25">
      <c r="C4" t="s">
        <v>1012</v>
      </c>
    </row>
    <row r="5" spans="2:9" x14ac:dyDescent="0.25">
      <c r="C5" t="s">
        <v>1013</v>
      </c>
    </row>
    <row r="6" spans="2:9" x14ac:dyDescent="0.25">
      <c r="C6" t="s">
        <v>1014</v>
      </c>
    </row>
    <row r="7" spans="2:9" x14ac:dyDescent="0.25">
      <c r="C7" t="s">
        <v>1015</v>
      </c>
    </row>
    <row r="8" spans="2:9" x14ac:dyDescent="0.25">
      <c r="C8" t="s">
        <v>1016</v>
      </c>
    </row>
    <row r="11" spans="2:9" x14ac:dyDescent="0.25">
      <c r="B11" s="10" t="s">
        <v>901</v>
      </c>
    </row>
    <row r="12" spans="2:9" x14ac:dyDescent="0.25">
      <c r="C12" t="s">
        <v>900</v>
      </c>
    </row>
    <row r="13" spans="2:9" x14ac:dyDescent="0.25">
      <c r="C13" t="s">
        <v>1020</v>
      </c>
    </row>
    <row r="14" spans="2:9" x14ac:dyDescent="0.25">
      <c r="C14" t="s">
        <v>1086</v>
      </c>
    </row>
    <row r="16" spans="2:9" x14ac:dyDescent="0.25">
      <c r="B16" s="10" t="s">
        <v>909</v>
      </c>
    </row>
    <row r="17" spans="2:3" x14ac:dyDescent="0.25">
      <c r="C17" t="s">
        <v>910</v>
      </c>
    </row>
    <row r="18" spans="2:3" x14ac:dyDescent="0.25">
      <c r="C18" t="s">
        <v>1021</v>
      </c>
    </row>
    <row r="21" spans="2:3" x14ac:dyDescent="0.25">
      <c r="B21" t="s">
        <v>1022</v>
      </c>
    </row>
    <row r="23" spans="2:3" x14ac:dyDescent="0.25">
      <c r="B23" t="s">
        <v>1023</v>
      </c>
    </row>
    <row r="25" spans="2:3" x14ac:dyDescent="0.25">
      <c r="B25" t="s">
        <v>1017</v>
      </c>
    </row>
    <row r="26" spans="2:3" x14ac:dyDescent="0.25">
      <c r="C26" t="s">
        <v>1018</v>
      </c>
    </row>
    <row r="27" spans="2:3" x14ac:dyDescent="0.25">
      <c r="C27" t="s">
        <v>1019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DA04-7836-4060-AB18-D4E3E9B7FBF5}">
  <sheetPr>
    <tabColor rgb="FFFFC000"/>
  </sheetPr>
  <dimension ref="B1:BJ42"/>
  <sheetViews>
    <sheetView tabSelected="1" zoomScaleNormal="100" workbookViewId="0">
      <pane xSplit="7" ySplit="7" topLeftCell="AM8" activePane="bottomRight" state="frozen"/>
      <selection pane="topRight" activeCell="H1" sqref="H1"/>
      <selection pane="bottomLeft" activeCell="A8" sqref="A8"/>
      <selection pane="bottomRight" activeCell="E20" sqref="E20"/>
    </sheetView>
  </sheetViews>
  <sheetFormatPr defaultColWidth="9.28515625" defaultRowHeight="15" outlineLevelRow="1" outlineLevelCol="1" x14ac:dyDescent="0.25"/>
  <cols>
    <col min="1" max="1" width="3" style="17" customWidth="1"/>
    <col min="2" max="2" width="18" style="17" customWidth="1"/>
    <col min="3" max="3" width="16.5703125" style="18" bestFit="1" customWidth="1"/>
    <col min="4" max="4" width="25.28515625" style="17" customWidth="1"/>
    <col min="5" max="6" width="12.85546875" style="17" customWidth="1"/>
    <col min="7" max="7" width="31.28515625" style="17" customWidth="1"/>
    <col min="8" max="8" width="9.42578125" style="17" bestFit="1" customWidth="1"/>
    <col min="9" max="9" width="8.85546875" style="17" customWidth="1" outlineLevel="1"/>
    <col min="10" max="23" width="8.85546875" style="51" customWidth="1" outlineLevel="1"/>
    <col min="24" max="35" width="8.85546875" style="51" customWidth="1"/>
    <col min="36" max="36" width="9.5703125" style="51" bestFit="1" customWidth="1"/>
    <col min="37" max="39" width="8.85546875" style="51" customWidth="1"/>
    <col min="40" max="40" width="9.5703125" style="51" bestFit="1" customWidth="1"/>
    <col min="41" max="41" width="11.7109375" style="51" customWidth="1"/>
    <col min="42" max="46" width="9.5703125" style="51" bestFit="1" customWidth="1"/>
    <col min="47" max="47" width="9.5703125" style="51" customWidth="1"/>
    <col min="48" max="61" width="8.85546875" style="51" customWidth="1"/>
    <col min="62" max="62" width="7.7109375" style="17" hidden="1" customWidth="1"/>
    <col min="63" max="63" width="14.28515625" style="17" bestFit="1" customWidth="1"/>
    <col min="64" max="64" width="14.7109375" style="17" bestFit="1" customWidth="1"/>
    <col min="65" max="65" width="14.28515625" style="17" bestFit="1" customWidth="1"/>
    <col min="66" max="66" width="12.28515625" style="17" bestFit="1" customWidth="1"/>
    <col min="67" max="67" width="24.28515625" style="17" bestFit="1" customWidth="1"/>
    <col min="68" max="68" width="14.7109375" style="17" bestFit="1" customWidth="1"/>
    <col min="69" max="16384" width="9.28515625" style="17"/>
  </cols>
  <sheetData>
    <row r="1" spans="2:62" ht="19.5" thickBot="1" x14ac:dyDescent="0.3">
      <c r="B1" s="15" t="s">
        <v>955</v>
      </c>
      <c r="C1" s="16" t="s">
        <v>956</v>
      </c>
      <c r="Y1" s="18" t="s">
        <v>1223</v>
      </c>
    </row>
    <row r="2" spans="2:62" ht="15.75" thickBot="1" x14ac:dyDescent="0.3">
      <c r="D2" s="19" t="s">
        <v>957</v>
      </c>
      <c r="E2" s="20">
        <v>42</v>
      </c>
      <c r="F2" s="17" t="s">
        <v>958</v>
      </c>
      <c r="Y2" s="18" t="s">
        <v>1224</v>
      </c>
    </row>
    <row r="3" spans="2:62" ht="15.75" thickBot="1" x14ac:dyDescent="0.3">
      <c r="B3" s="17" t="s">
        <v>959</v>
      </c>
      <c r="D3" s="21" t="s">
        <v>960</v>
      </c>
      <c r="E3"/>
    </row>
    <row r="4" spans="2:62" ht="15.6" customHeight="1" thickBot="1" x14ac:dyDescent="0.3">
      <c r="B4" s="20" t="str">
        <f>IF(E2&lt;(E3),"Overdue","Current")</f>
        <v>Current</v>
      </c>
      <c r="C4" s="17"/>
      <c r="D4" s="21" t="s">
        <v>961</v>
      </c>
      <c r="E4" s="22" t="s">
        <v>962</v>
      </c>
      <c r="F4"/>
      <c r="G4"/>
      <c r="I4" s="23" t="str">
        <f t="shared" ref="I4:AN4" si="0">IF(I6&gt;$E$3,"Future",IF(I6&gt;$E$2,"OD",IF($E$2&gt;=I6,"Calc")))</f>
        <v>Future</v>
      </c>
      <c r="J4" s="52" t="str">
        <f t="shared" si="0"/>
        <v>Future</v>
      </c>
      <c r="K4" s="52" t="str">
        <f t="shared" si="0"/>
        <v>Future</v>
      </c>
      <c r="L4" s="52" t="str">
        <f t="shared" si="0"/>
        <v>Future</v>
      </c>
      <c r="M4" s="52" t="str">
        <f t="shared" si="0"/>
        <v>Future</v>
      </c>
      <c r="N4" s="52" t="str">
        <f t="shared" si="0"/>
        <v>Future</v>
      </c>
      <c r="O4" s="52" t="str">
        <f t="shared" si="0"/>
        <v>Future</v>
      </c>
      <c r="P4" s="52" t="str">
        <f t="shared" si="0"/>
        <v>Future</v>
      </c>
      <c r="Q4" s="52" t="str">
        <f t="shared" si="0"/>
        <v>Future</v>
      </c>
      <c r="R4" s="52" t="str">
        <f t="shared" si="0"/>
        <v>Future</v>
      </c>
      <c r="S4" s="52" t="str">
        <f t="shared" si="0"/>
        <v>Future</v>
      </c>
      <c r="T4" s="52" t="str">
        <f t="shared" si="0"/>
        <v>Future</v>
      </c>
      <c r="U4" s="52" t="str">
        <f t="shared" si="0"/>
        <v>Future</v>
      </c>
      <c r="V4" s="52" t="str">
        <f t="shared" si="0"/>
        <v>Future</v>
      </c>
      <c r="W4" s="52" t="str">
        <f t="shared" si="0"/>
        <v>Future</v>
      </c>
      <c r="X4" s="52" t="str">
        <f t="shared" si="0"/>
        <v>Future</v>
      </c>
      <c r="Y4" s="52" t="str">
        <f t="shared" si="0"/>
        <v>Future</v>
      </c>
      <c r="Z4" s="52" t="str">
        <f t="shared" si="0"/>
        <v>Future</v>
      </c>
      <c r="AA4" s="52" t="str">
        <f t="shared" si="0"/>
        <v>Future</v>
      </c>
      <c r="AB4" s="52" t="str">
        <f t="shared" si="0"/>
        <v>Future</v>
      </c>
      <c r="AC4" s="52" t="str">
        <f t="shared" si="0"/>
        <v>Future</v>
      </c>
      <c r="AD4" s="52" t="str">
        <f t="shared" si="0"/>
        <v>Future</v>
      </c>
      <c r="AE4" s="52" t="str">
        <f t="shared" si="0"/>
        <v>Future</v>
      </c>
      <c r="AF4" s="52" t="str">
        <f t="shared" si="0"/>
        <v>Future</v>
      </c>
      <c r="AG4" s="52" t="str">
        <f t="shared" si="0"/>
        <v>Future</v>
      </c>
      <c r="AH4" s="52" t="str">
        <f t="shared" si="0"/>
        <v>Future</v>
      </c>
      <c r="AI4" s="52" t="str">
        <f t="shared" si="0"/>
        <v>Future</v>
      </c>
      <c r="AJ4" s="52" t="str">
        <f t="shared" si="0"/>
        <v>Future</v>
      </c>
      <c r="AK4" s="52" t="str">
        <f t="shared" si="0"/>
        <v>Future</v>
      </c>
      <c r="AL4" s="52" t="str">
        <f t="shared" si="0"/>
        <v>Future</v>
      </c>
      <c r="AM4" s="52" t="str">
        <f t="shared" si="0"/>
        <v>Future</v>
      </c>
      <c r="AN4" s="52" t="str">
        <f t="shared" si="0"/>
        <v>Future</v>
      </c>
      <c r="AO4" s="52" t="str">
        <f t="shared" ref="AO4:BI4" si="1">IF(AO6&gt;$E$3,"Future",IF(AO6&gt;$E$2,"OD",IF($E$2&gt;=AO6,"Calc")))</f>
        <v>Future</v>
      </c>
      <c r="AP4" s="52" t="str">
        <f t="shared" si="1"/>
        <v>Future</v>
      </c>
      <c r="AQ4" s="52" t="str">
        <f t="shared" si="1"/>
        <v>Future</v>
      </c>
      <c r="AR4" s="52" t="str">
        <f t="shared" si="1"/>
        <v>Future</v>
      </c>
      <c r="AS4" s="52" t="str">
        <f t="shared" si="1"/>
        <v>Future</v>
      </c>
      <c r="AT4" s="52" t="str">
        <f t="shared" si="1"/>
        <v>Future</v>
      </c>
      <c r="AU4" s="52" t="str">
        <f t="shared" si="1"/>
        <v>Future</v>
      </c>
      <c r="AV4" s="52" t="str">
        <f t="shared" si="1"/>
        <v>Future</v>
      </c>
      <c r="AW4" s="52" t="str">
        <f t="shared" si="1"/>
        <v>Future</v>
      </c>
      <c r="AX4" s="52" t="str">
        <f t="shared" si="1"/>
        <v>Future</v>
      </c>
      <c r="AY4" s="52" t="str">
        <f t="shared" si="1"/>
        <v>Future</v>
      </c>
      <c r="AZ4" s="52" t="str">
        <f t="shared" si="1"/>
        <v>Future</v>
      </c>
      <c r="BA4" s="52" t="str">
        <f t="shared" si="1"/>
        <v>Future</v>
      </c>
      <c r="BB4" s="52" t="str">
        <f t="shared" si="1"/>
        <v>Future</v>
      </c>
      <c r="BC4" s="52" t="str">
        <f t="shared" si="1"/>
        <v>Future</v>
      </c>
      <c r="BD4" s="52" t="str">
        <f t="shared" si="1"/>
        <v>Future</v>
      </c>
      <c r="BE4" s="52" t="str">
        <f t="shared" si="1"/>
        <v>Future</v>
      </c>
      <c r="BF4" s="52" t="str">
        <f t="shared" si="1"/>
        <v>Future</v>
      </c>
      <c r="BG4" s="52" t="str">
        <f t="shared" si="1"/>
        <v>Future</v>
      </c>
      <c r="BH4" s="52" t="str">
        <f t="shared" si="1"/>
        <v>Future</v>
      </c>
      <c r="BI4" s="52" t="str">
        <f t="shared" si="1"/>
        <v>Future</v>
      </c>
      <c r="BJ4" s="24" t="str">
        <f>IF($E$2&gt;=BJ6,"Calc",IF(BJ6&gt;$E$2,IF(BJ12&gt;0,"Not Calc yet","Future")))</f>
        <v>Not Calc yet</v>
      </c>
    </row>
    <row r="5" spans="2:62" ht="15.75" thickBot="1" x14ac:dyDescent="0.3">
      <c r="AA5" s="65">
        <v>35</v>
      </c>
      <c r="AB5" s="65">
        <v>40</v>
      </c>
      <c r="AE5" s="65">
        <v>34</v>
      </c>
    </row>
    <row r="6" spans="2:62" ht="18.75" x14ac:dyDescent="0.25">
      <c r="B6" s="15" t="s">
        <v>963</v>
      </c>
      <c r="C6" s="73" t="s">
        <v>964</v>
      </c>
      <c r="D6" s="74"/>
      <c r="E6" s="25"/>
      <c r="F6" s="25"/>
      <c r="G6" s="75" t="s">
        <v>965</v>
      </c>
      <c r="H6" s="26" t="s">
        <v>908</v>
      </c>
      <c r="I6" s="5">
        <v>1</v>
      </c>
      <c r="J6" s="6">
        <f t="shared" ref="J6:BI6" si="2">I6+1</f>
        <v>2</v>
      </c>
      <c r="K6" s="6">
        <f t="shared" si="2"/>
        <v>3</v>
      </c>
      <c r="L6" s="6">
        <f t="shared" si="2"/>
        <v>4</v>
      </c>
      <c r="M6" s="6">
        <f t="shared" si="2"/>
        <v>5</v>
      </c>
      <c r="N6" s="6">
        <f t="shared" si="2"/>
        <v>6</v>
      </c>
      <c r="O6" s="6">
        <f t="shared" si="2"/>
        <v>7</v>
      </c>
      <c r="P6" s="6">
        <f t="shared" si="2"/>
        <v>8</v>
      </c>
      <c r="Q6" s="6">
        <f t="shared" si="2"/>
        <v>9</v>
      </c>
      <c r="R6" s="6">
        <f t="shared" si="2"/>
        <v>10</v>
      </c>
      <c r="S6" s="6">
        <f t="shared" si="2"/>
        <v>11</v>
      </c>
      <c r="T6" s="6">
        <f t="shared" si="2"/>
        <v>12</v>
      </c>
      <c r="U6" s="6">
        <f t="shared" si="2"/>
        <v>13</v>
      </c>
      <c r="V6" s="6">
        <f t="shared" si="2"/>
        <v>14</v>
      </c>
      <c r="W6" s="6">
        <f t="shared" si="2"/>
        <v>15</v>
      </c>
      <c r="X6" s="6">
        <f t="shared" si="2"/>
        <v>16</v>
      </c>
      <c r="Y6" s="6">
        <f t="shared" si="2"/>
        <v>17</v>
      </c>
      <c r="Z6" s="6">
        <f t="shared" si="2"/>
        <v>18</v>
      </c>
      <c r="AA6" s="6">
        <f t="shared" si="2"/>
        <v>19</v>
      </c>
      <c r="AB6" s="6">
        <f t="shared" si="2"/>
        <v>20</v>
      </c>
      <c r="AC6" s="6">
        <f t="shared" si="2"/>
        <v>21</v>
      </c>
      <c r="AD6" s="6">
        <f t="shared" si="2"/>
        <v>22</v>
      </c>
      <c r="AE6" s="6">
        <f t="shared" si="2"/>
        <v>23</v>
      </c>
      <c r="AF6" s="6">
        <f t="shared" si="2"/>
        <v>24</v>
      </c>
      <c r="AG6" s="6">
        <f t="shared" si="2"/>
        <v>25</v>
      </c>
      <c r="AH6" s="6">
        <f t="shared" si="2"/>
        <v>26</v>
      </c>
      <c r="AI6" s="6">
        <f t="shared" si="2"/>
        <v>27</v>
      </c>
      <c r="AJ6" s="6">
        <f t="shared" si="2"/>
        <v>28</v>
      </c>
      <c r="AK6" s="6">
        <f t="shared" si="2"/>
        <v>29</v>
      </c>
      <c r="AL6" s="6">
        <f t="shared" si="2"/>
        <v>30</v>
      </c>
      <c r="AM6" s="6">
        <f t="shared" si="2"/>
        <v>31</v>
      </c>
      <c r="AN6" s="6">
        <f t="shared" si="2"/>
        <v>32</v>
      </c>
      <c r="AO6" s="6">
        <f t="shared" si="2"/>
        <v>33</v>
      </c>
      <c r="AP6" s="6">
        <f t="shared" si="2"/>
        <v>34</v>
      </c>
      <c r="AQ6" s="6">
        <f t="shared" si="2"/>
        <v>35</v>
      </c>
      <c r="AR6" s="6">
        <f t="shared" si="2"/>
        <v>36</v>
      </c>
      <c r="AS6" s="6">
        <f t="shared" si="2"/>
        <v>37</v>
      </c>
      <c r="AT6" s="6">
        <f t="shared" si="2"/>
        <v>38</v>
      </c>
      <c r="AU6" s="6">
        <f t="shared" si="2"/>
        <v>39</v>
      </c>
      <c r="AV6" s="6">
        <f t="shared" si="2"/>
        <v>40</v>
      </c>
      <c r="AW6" s="6">
        <f t="shared" si="2"/>
        <v>41</v>
      </c>
      <c r="AX6" s="6">
        <f t="shared" si="2"/>
        <v>42</v>
      </c>
      <c r="AY6" s="6">
        <f t="shared" si="2"/>
        <v>43</v>
      </c>
      <c r="AZ6" s="6">
        <f t="shared" si="2"/>
        <v>44</v>
      </c>
      <c r="BA6" s="6">
        <f t="shared" si="2"/>
        <v>45</v>
      </c>
      <c r="BB6" s="6">
        <f t="shared" si="2"/>
        <v>46</v>
      </c>
      <c r="BC6" s="6">
        <f t="shared" si="2"/>
        <v>47</v>
      </c>
      <c r="BD6" s="6">
        <f t="shared" si="2"/>
        <v>48</v>
      </c>
      <c r="BE6" s="6">
        <f t="shared" si="2"/>
        <v>49</v>
      </c>
      <c r="BF6" s="6">
        <f t="shared" si="2"/>
        <v>50</v>
      </c>
      <c r="BG6" s="6">
        <f t="shared" si="2"/>
        <v>51</v>
      </c>
      <c r="BH6" s="6">
        <f t="shared" si="2"/>
        <v>52</v>
      </c>
      <c r="BI6" s="6">
        <f t="shared" si="2"/>
        <v>53</v>
      </c>
      <c r="BJ6" s="27" t="s">
        <v>966</v>
      </c>
    </row>
    <row r="7" spans="2:62" ht="40.15" customHeight="1" x14ac:dyDescent="0.25">
      <c r="B7" s="15" t="s">
        <v>967</v>
      </c>
      <c r="C7" s="28" t="s">
        <v>968</v>
      </c>
      <c r="D7" s="28" t="s">
        <v>969</v>
      </c>
      <c r="E7" s="28" t="s">
        <v>970</v>
      </c>
      <c r="F7" s="28" t="s">
        <v>971</v>
      </c>
      <c r="G7" s="76"/>
      <c r="H7" s="26" t="s">
        <v>972</v>
      </c>
      <c r="I7" s="29">
        <v>45660</v>
      </c>
      <c r="J7" s="12">
        <f t="shared" ref="J7:BI7" si="3">I7+7</f>
        <v>45667</v>
      </c>
      <c r="K7" s="12">
        <f t="shared" si="3"/>
        <v>45674</v>
      </c>
      <c r="L7" s="12">
        <f t="shared" si="3"/>
        <v>45681</v>
      </c>
      <c r="M7" s="12">
        <f t="shared" si="3"/>
        <v>45688</v>
      </c>
      <c r="N7" s="12">
        <f t="shared" si="3"/>
        <v>45695</v>
      </c>
      <c r="O7" s="12">
        <f t="shared" si="3"/>
        <v>45702</v>
      </c>
      <c r="P7" s="12">
        <f t="shared" si="3"/>
        <v>45709</v>
      </c>
      <c r="Q7" s="12">
        <f t="shared" si="3"/>
        <v>45716</v>
      </c>
      <c r="R7" s="12">
        <f t="shared" si="3"/>
        <v>45723</v>
      </c>
      <c r="S7" s="12">
        <f t="shared" si="3"/>
        <v>45730</v>
      </c>
      <c r="T7" s="12">
        <f t="shared" si="3"/>
        <v>45737</v>
      </c>
      <c r="U7" s="12">
        <f t="shared" si="3"/>
        <v>45744</v>
      </c>
      <c r="V7" s="12">
        <f t="shared" si="3"/>
        <v>45751</v>
      </c>
      <c r="W7" s="12">
        <f t="shared" si="3"/>
        <v>45758</v>
      </c>
      <c r="X7" s="12">
        <f t="shared" si="3"/>
        <v>45765</v>
      </c>
      <c r="Y7" s="12">
        <f t="shared" si="3"/>
        <v>45772</v>
      </c>
      <c r="Z7" s="12">
        <f t="shared" si="3"/>
        <v>45779</v>
      </c>
      <c r="AA7" s="12">
        <f t="shared" si="3"/>
        <v>45786</v>
      </c>
      <c r="AB7" s="12">
        <f t="shared" si="3"/>
        <v>45793</v>
      </c>
      <c r="AC7" s="12">
        <f t="shared" si="3"/>
        <v>45800</v>
      </c>
      <c r="AD7" s="12">
        <f t="shared" si="3"/>
        <v>45807</v>
      </c>
      <c r="AE7" s="12">
        <f t="shared" si="3"/>
        <v>45814</v>
      </c>
      <c r="AF7" s="12">
        <f t="shared" si="3"/>
        <v>45821</v>
      </c>
      <c r="AG7" s="12">
        <f t="shared" si="3"/>
        <v>45828</v>
      </c>
      <c r="AH7" s="12">
        <f t="shared" si="3"/>
        <v>45835</v>
      </c>
      <c r="AI7" s="12">
        <f t="shared" si="3"/>
        <v>45842</v>
      </c>
      <c r="AJ7" s="12">
        <f t="shared" si="3"/>
        <v>45849</v>
      </c>
      <c r="AK7" s="12">
        <f t="shared" si="3"/>
        <v>45856</v>
      </c>
      <c r="AL7" s="12">
        <f t="shared" si="3"/>
        <v>45863</v>
      </c>
      <c r="AM7" s="12">
        <f t="shared" si="3"/>
        <v>45870</v>
      </c>
      <c r="AN7" s="12">
        <f t="shared" si="3"/>
        <v>45877</v>
      </c>
      <c r="AO7" s="12">
        <f t="shared" si="3"/>
        <v>45884</v>
      </c>
      <c r="AP7" s="12">
        <f t="shared" si="3"/>
        <v>45891</v>
      </c>
      <c r="AQ7" s="12">
        <f t="shared" si="3"/>
        <v>45898</v>
      </c>
      <c r="AR7" s="12">
        <f t="shared" si="3"/>
        <v>45905</v>
      </c>
      <c r="AS7" s="12">
        <f t="shared" si="3"/>
        <v>45912</v>
      </c>
      <c r="AT7" s="12">
        <f t="shared" si="3"/>
        <v>45919</v>
      </c>
      <c r="AU7" s="12">
        <f t="shared" si="3"/>
        <v>45926</v>
      </c>
      <c r="AV7" s="12">
        <f t="shared" si="3"/>
        <v>45933</v>
      </c>
      <c r="AW7" s="12">
        <f t="shared" si="3"/>
        <v>45940</v>
      </c>
      <c r="AX7" s="12">
        <f t="shared" si="3"/>
        <v>45947</v>
      </c>
      <c r="AY7" s="12">
        <f t="shared" si="3"/>
        <v>45954</v>
      </c>
      <c r="AZ7" s="12">
        <f t="shared" si="3"/>
        <v>45961</v>
      </c>
      <c r="BA7" s="12">
        <f t="shared" si="3"/>
        <v>45968</v>
      </c>
      <c r="BB7" s="12">
        <f t="shared" si="3"/>
        <v>45975</v>
      </c>
      <c r="BC7" s="12">
        <f t="shared" si="3"/>
        <v>45982</v>
      </c>
      <c r="BD7" s="12">
        <f t="shared" si="3"/>
        <v>45989</v>
      </c>
      <c r="BE7" s="12">
        <f t="shared" si="3"/>
        <v>45996</v>
      </c>
      <c r="BF7" s="12">
        <f t="shared" si="3"/>
        <v>46003</v>
      </c>
      <c r="BG7" s="12">
        <f t="shared" si="3"/>
        <v>46010</v>
      </c>
      <c r="BH7" s="12">
        <f t="shared" si="3"/>
        <v>46017</v>
      </c>
      <c r="BI7" s="12">
        <f t="shared" si="3"/>
        <v>46024</v>
      </c>
      <c r="BJ7" s="30"/>
    </row>
    <row r="8" spans="2:62" ht="24" customHeight="1" x14ac:dyDescent="0.25">
      <c r="B8" s="77" t="s">
        <v>973</v>
      </c>
      <c r="C8" s="78" t="s">
        <v>974</v>
      </c>
      <c r="D8" s="78" t="s">
        <v>975</v>
      </c>
      <c r="E8" s="78" t="s">
        <v>976</v>
      </c>
      <c r="F8" s="78" t="s">
        <v>977</v>
      </c>
      <c r="G8" s="80" t="s">
        <v>978</v>
      </c>
      <c r="H8" s="31" t="s">
        <v>979</v>
      </c>
      <c r="I8" s="32"/>
      <c r="J8" s="53">
        <f t="shared" ref="J8:AB8" si="4">IF(J$6&lt;=$E$2,35,"")</f>
        <v>35</v>
      </c>
      <c r="K8" s="53">
        <f t="shared" si="4"/>
        <v>35</v>
      </c>
      <c r="L8" s="53">
        <f t="shared" si="4"/>
        <v>35</v>
      </c>
      <c r="M8" s="53">
        <f t="shared" si="4"/>
        <v>35</v>
      </c>
      <c r="N8" s="53">
        <f t="shared" si="4"/>
        <v>35</v>
      </c>
      <c r="O8" s="53">
        <f t="shared" si="4"/>
        <v>35</v>
      </c>
      <c r="P8" s="53">
        <f t="shared" si="4"/>
        <v>35</v>
      </c>
      <c r="Q8" s="53">
        <f t="shared" si="4"/>
        <v>35</v>
      </c>
      <c r="R8" s="53">
        <f t="shared" si="4"/>
        <v>35</v>
      </c>
      <c r="S8" s="53">
        <f t="shared" si="4"/>
        <v>35</v>
      </c>
      <c r="T8" s="53">
        <f t="shared" si="4"/>
        <v>35</v>
      </c>
      <c r="U8" s="53">
        <f t="shared" si="4"/>
        <v>35</v>
      </c>
      <c r="V8" s="53">
        <f t="shared" si="4"/>
        <v>35</v>
      </c>
      <c r="W8" s="53">
        <f t="shared" si="4"/>
        <v>35</v>
      </c>
      <c r="X8" s="53">
        <f t="shared" si="4"/>
        <v>35</v>
      </c>
      <c r="Y8" s="53">
        <f t="shared" si="4"/>
        <v>35</v>
      </c>
      <c r="Z8" s="53">
        <f t="shared" si="4"/>
        <v>35</v>
      </c>
      <c r="AA8" s="53">
        <f t="shared" si="4"/>
        <v>35</v>
      </c>
      <c r="AB8" s="53">
        <f t="shared" si="4"/>
        <v>35</v>
      </c>
      <c r="AC8" s="53">
        <f>IF(AC$6&lt;=$E$2,35,"")</f>
        <v>35</v>
      </c>
      <c r="AD8" s="53">
        <f t="shared" ref="AD8:BJ8" si="5">IF(AD$6&lt;=$E$2,35,"")</f>
        <v>35</v>
      </c>
      <c r="AE8" s="53">
        <f t="shared" si="5"/>
        <v>35</v>
      </c>
      <c r="AF8" s="53">
        <f t="shared" si="5"/>
        <v>35</v>
      </c>
      <c r="AG8" s="53">
        <f t="shared" si="5"/>
        <v>35</v>
      </c>
      <c r="AH8" s="53">
        <f t="shared" si="5"/>
        <v>35</v>
      </c>
      <c r="AI8" s="53">
        <f t="shared" si="5"/>
        <v>35</v>
      </c>
      <c r="AJ8" s="53">
        <f t="shared" si="5"/>
        <v>35</v>
      </c>
      <c r="AK8" s="53">
        <f t="shared" si="5"/>
        <v>35</v>
      </c>
      <c r="AL8" s="53">
        <f t="shared" si="5"/>
        <v>35</v>
      </c>
      <c r="AM8" s="53">
        <f t="shared" si="5"/>
        <v>35</v>
      </c>
      <c r="AN8" s="53">
        <f t="shared" si="5"/>
        <v>35</v>
      </c>
      <c r="AO8" s="53">
        <f t="shared" si="5"/>
        <v>35</v>
      </c>
      <c r="AP8" s="53">
        <f t="shared" si="5"/>
        <v>35</v>
      </c>
      <c r="AQ8" s="53">
        <f t="shared" si="5"/>
        <v>35</v>
      </c>
      <c r="AR8" s="53">
        <f t="shared" si="5"/>
        <v>35</v>
      </c>
      <c r="AS8" s="53">
        <f t="shared" si="5"/>
        <v>35</v>
      </c>
      <c r="AT8" s="53">
        <f t="shared" si="5"/>
        <v>35</v>
      </c>
      <c r="AU8" s="53">
        <f t="shared" si="5"/>
        <v>35</v>
      </c>
      <c r="AV8" s="53">
        <f t="shared" si="5"/>
        <v>35</v>
      </c>
      <c r="AW8" s="53">
        <f t="shared" si="5"/>
        <v>35</v>
      </c>
      <c r="AX8" s="53">
        <f t="shared" si="5"/>
        <v>35</v>
      </c>
      <c r="AY8" s="53" t="str">
        <f t="shared" si="5"/>
        <v/>
      </c>
      <c r="AZ8" s="53" t="str">
        <f t="shared" si="5"/>
        <v/>
      </c>
      <c r="BA8" s="53" t="str">
        <f t="shared" si="5"/>
        <v/>
      </c>
      <c r="BB8" s="53" t="str">
        <f t="shared" si="5"/>
        <v/>
      </c>
      <c r="BC8" s="53" t="str">
        <f t="shared" si="5"/>
        <v/>
      </c>
      <c r="BD8" s="53" t="str">
        <f t="shared" si="5"/>
        <v/>
      </c>
      <c r="BE8" s="53" t="str">
        <f t="shared" si="5"/>
        <v/>
      </c>
      <c r="BF8" s="53" t="str">
        <f t="shared" si="5"/>
        <v/>
      </c>
      <c r="BG8" s="53" t="str">
        <f t="shared" si="5"/>
        <v/>
      </c>
      <c r="BH8" s="53" t="str">
        <f t="shared" si="5"/>
        <v/>
      </c>
      <c r="BI8" s="53" t="str">
        <f t="shared" si="5"/>
        <v/>
      </c>
      <c r="BJ8" s="43" t="str">
        <f t="shared" si="5"/>
        <v/>
      </c>
    </row>
    <row r="9" spans="2:62" ht="24" customHeight="1" x14ac:dyDescent="0.25">
      <c r="B9" s="77"/>
      <c r="C9" s="79"/>
      <c r="D9" s="79"/>
      <c r="E9" s="79"/>
      <c r="F9" s="79"/>
      <c r="G9" s="81"/>
      <c r="H9" s="33" t="s">
        <v>980</v>
      </c>
      <c r="I9" s="34" t="s">
        <v>905</v>
      </c>
      <c r="J9" s="54">
        <f>IF(J$6&gt;$E$2,"",IFERROR(+GETPIVOTDATA("Count of Proposal Request No.",'Pivot Weekly close'!$A$4,"week No",J6),"no Data"))</f>
        <v>33</v>
      </c>
      <c r="K9" s="54">
        <f>IF(K$6&gt;$E$2,"",IFERROR(+GETPIVOTDATA("Count of Proposal Request No.",'Pivot Weekly close'!$A$4,"week No",K6),"no Data"))</f>
        <v>30</v>
      </c>
      <c r="L9" s="54">
        <f>IF(L$6&gt;$E$2,"",IFERROR(+GETPIVOTDATA("Count of Proposal Request No.",'Pivot Weekly close'!$A$4,"week No",L6),"no Data"))</f>
        <v>34</v>
      </c>
      <c r="M9" s="54">
        <f>IF(M$6&gt;$E$2,"",IFERROR(+GETPIVOTDATA("Count of Proposal Request No.",'Pivot Weekly close'!$A$4,"week No",M6),"no Data"))</f>
        <v>32</v>
      </c>
      <c r="N9" s="54">
        <f>IF(N$6&gt;$E$2,"",IFERROR(+GETPIVOTDATA("Count of Proposal Request No.",'Pivot Weekly close'!$A$4,"week No",N6),"no Data"))</f>
        <v>35</v>
      </c>
      <c r="O9" s="54">
        <f>IF(O$6&gt;$E$2,"",IFERROR(+GETPIVOTDATA("Count of Proposal Request No.",'Pivot Weekly close'!$A$4,"week No",O6),"no Data"))</f>
        <v>35</v>
      </c>
      <c r="P9" s="54">
        <f>IF(P$6&gt;$E$2,"",IFERROR(+GETPIVOTDATA("Count of Proposal Request No.",'Pivot Weekly close'!$A$4,"week No",P6),"no Data"))</f>
        <v>31</v>
      </c>
      <c r="Q9" s="54">
        <f>IF(Q$6&gt;$E$2,"",IFERROR(+GETPIVOTDATA("Count of Proposal Request No.",'Pivot Weekly close'!$A$4,"week No",Q6),"no Data"))</f>
        <v>33</v>
      </c>
      <c r="R9" s="54">
        <f>IF(R$6&gt;$E$2,"",IFERROR(+GETPIVOTDATA("Count of Proposal Request No.",'Pivot Weekly close'!$A$4,"week No",R6),"no Data"))</f>
        <v>27</v>
      </c>
      <c r="S9" s="54">
        <f>IF(S$6&gt;$E$2,"",IFERROR(+GETPIVOTDATA("Count of Proposal Request No.",'Pivot Weekly close'!$A$4,"week No",S6),"no Data"))</f>
        <v>39</v>
      </c>
      <c r="T9" s="54">
        <f>IF(T$6&gt;$E$2,"",IFERROR(+GETPIVOTDATA("Count of Proposal Request No.",'Pivot Weekly close'!$A$4,"week No",T6),"no Data"))</f>
        <v>34</v>
      </c>
      <c r="U9" s="54">
        <f>IF(U$6&gt;$E$2,"",IFERROR(+GETPIVOTDATA("Count of Proposal Request No.",'Pivot Weekly close'!$A$4,"week No",U6),"no Data"))</f>
        <v>36</v>
      </c>
      <c r="V9" s="54">
        <f>IF(V$6&gt;$E$2,"",IFERROR(+GETPIVOTDATA("Count of Proposal Request No.",'Pivot Weekly close'!$A$4,"week No",V6),"no Data"))</f>
        <v>35</v>
      </c>
      <c r="W9" s="54">
        <f>IF(W$6&gt;$E$2,"",IFERROR(+GETPIVOTDATA("Count of Proposal Request No.",'Pivot Weekly close'!$A$4,"week No",W6),"no Data"))</f>
        <v>34</v>
      </c>
      <c r="X9" s="54">
        <f>IF(X$6&gt;$E$2,"",IFERROR(+GETPIVOTDATA("Count of Proposal Request No.",'Pivot Weekly close'!$A$4,"week No",X6),"no Data"))</f>
        <v>21</v>
      </c>
      <c r="Y9" s="54">
        <f>IF(Y$6&gt;$E$2,"",IFERROR(+GETPIVOTDATA("Count of Proposal Request No.",'Pivot Weekly close'!$A$4,"week No",Y6),"no Data"))</f>
        <v>16</v>
      </c>
      <c r="Z9" s="54">
        <f>IF(Z$6&gt;$E$2,"",IFERROR(+GETPIVOTDATA("Count of Proposal Request No.",'Pivot Weekly close'!$A$4,"week No",Z6),"no Data"))</f>
        <v>32</v>
      </c>
      <c r="AA9" s="54">
        <f>IF(AA$6&gt;$E$2,"",IFERROR(+GETPIVOTDATA("Count of Proposal Request No.",'Pivot Weekly close'!$A$4,"week No",AA6),"no Data"))</f>
        <v>34</v>
      </c>
      <c r="AB9" s="54">
        <f>IF(AB$6&gt;$E$2,"",IFERROR(+GETPIVOTDATA("Count of Proposal Request No.",'Pivot Weekly close'!$A$4,"week No",AB6),"no Data"))</f>
        <v>37</v>
      </c>
      <c r="AC9" s="54">
        <f>IF(AC$6&gt;$E$2,"",IFERROR(+GETPIVOTDATA("Count of Proposal Request No.",'Pivot Weekly close'!$A$4,"week No",AC6),"no Data"))</f>
        <v>36</v>
      </c>
      <c r="AD9" s="54">
        <f>IF(AD$6&gt;$E$2,"",IFERROR(+GETPIVOTDATA("Count of Proposal Request No.",'Pivot Weekly close'!$A$4,"week No",AD6),"no Data"))</f>
        <v>20</v>
      </c>
      <c r="AE9" s="54">
        <f>IF(AE$6&gt;$E$2,"",IFERROR(+GETPIVOTDATA("Count of Proposal Request No.",'Pivot Weekly close'!$A$4,"week No",AE6),"no Data"))</f>
        <v>33</v>
      </c>
      <c r="AF9" s="54">
        <f>IF(AF$6&gt;$E$2,"",IFERROR(+GETPIVOTDATA("Count of Proposal Request No.",'Pivot Weekly close'!$A$4,"week No",AF6),"no Data"))</f>
        <v>24</v>
      </c>
      <c r="AG9" s="54">
        <f>IF(AG$6&gt;$E$2,"",IFERROR(+GETPIVOTDATA("Count of Proposal Request No.",'Pivot Weekly close'!$A$4,"week No",AG6),"no Data"))</f>
        <v>22</v>
      </c>
      <c r="AH9" s="54">
        <f>IF(AH$6&gt;$E$2,"",IFERROR(+GETPIVOTDATA("Count of Proposal Request No.",'Pivot Weekly close'!$A$4,"week No",AH6),"no Data"))</f>
        <v>36</v>
      </c>
      <c r="AI9" s="54">
        <f>IF(AI$6&gt;$E$2,"",IFERROR(+GETPIVOTDATA("Count of Proposal Request No.",'Pivot Weekly close'!$A$4,"week No",AI6),"no Data"))</f>
        <v>34</v>
      </c>
      <c r="AJ9" s="54">
        <f>IF(AJ$6&gt;$E$2,"",IFERROR(+GETPIVOTDATA("Count of Proposal Request No.",'Pivot Weekly close'!$A$4,"week No",AJ6),"no Data"))</f>
        <v>29</v>
      </c>
      <c r="AK9" s="54">
        <f>IF(AK$6&gt;$E$2,"",IFERROR(+GETPIVOTDATA("Count of Proposal Request No.",'Pivot Weekly close'!$A$4,"week No",AK6),"no Data"))</f>
        <v>25</v>
      </c>
      <c r="AL9" s="54">
        <f>IF(AL$6&gt;$E$2,"",IFERROR(+GETPIVOTDATA("Count of Proposal Request No.",'Pivot Weekly close'!$A$4,"week No",AL6),"no Data"))</f>
        <v>41</v>
      </c>
      <c r="AM9" s="54">
        <f>IF(AM$6&gt;$E$2,"",IFERROR(+GETPIVOTDATA("Count of Proposal Request No.",'Pivot Weekly close'!$A$4,"week No",AM6),"no Data"))</f>
        <v>32</v>
      </c>
      <c r="AN9" s="54">
        <f>IF(AN$6&gt;$E$2,"",IFERROR(+GETPIVOTDATA("Count of Proposal Request No.",'Pivot Weekly close'!$A$4,"week No",AN6),"no Data"))</f>
        <v>33</v>
      </c>
      <c r="AO9" s="54">
        <f>IF(AO$6&gt;$E$2,"",IFERROR(+GETPIVOTDATA("Count of Proposal Request No.",'Pivot Weekly close'!$A$4,"week No",AO6),"no Data"))</f>
        <v>10</v>
      </c>
      <c r="AP9" s="54">
        <f>IF(AP$6&gt;$E$2,"",IFERROR(+GETPIVOTDATA("Count of Proposal Request No.",'Pivot Weekly close'!$A$4,"week No",AP6),"no Data"))</f>
        <v>7</v>
      </c>
      <c r="AQ9" s="54">
        <f>IF(AQ$6&gt;$E$2,"",IFERROR(+GETPIVOTDATA("Count of Proposal Request No.",'Pivot Weekly close'!$A$4,"week No",AQ6),"no Data"))</f>
        <v>61</v>
      </c>
      <c r="AR9" s="54">
        <f>IF(AR$6&gt;$E$2,"",IFERROR(+GETPIVOTDATA("Count of Proposal Request No.",'Pivot Weekly close'!$A$4,"week No",AR6),"no Data"))</f>
        <v>14</v>
      </c>
      <c r="AS9" s="54">
        <f>IF(AS$6&gt;$E$2,"",IFERROR(+GETPIVOTDATA("Count of Proposal Request No.",'Pivot Weekly close'!$A$4,"week No",AS6),"no Data"))</f>
        <v>28</v>
      </c>
      <c r="AT9" s="54">
        <f>IF(AT$6&gt;$E$2,"",IFERROR(+GETPIVOTDATA("Count of Proposal Request No.",'Pivot Weekly close'!$A$4,"week No",AT6),"no Data"))</f>
        <v>25</v>
      </c>
      <c r="AU9" s="54">
        <f>IF(AU$6&gt;$E$2,"",IFERROR(+GETPIVOTDATA("Count of Proposal Request No.",'Pivot Weekly close'!$A$4,"week No",AU6),"no Data"))</f>
        <v>22</v>
      </c>
      <c r="AV9" s="54">
        <f>IF(AV$6&gt;$E$2,"",IFERROR(+GETPIVOTDATA("Count of Proposal Request No.",'Pivot Weekly close'!$A$4,"week No",AV6),"no Data"))</f>
        <v>26</v>
      </c>
      <c r="AW9" s="54">
        <f>IF(AW$6&gt;$E$2,"",IFERROR(+GETPIVOTDATA("Count of Proposal Request No.",'Pivot Weekly close'!$A$4,"week No",AW6),"no Data"))</f>
        <v>27</v>
      </c>
      <c r="AX9" s="54">
        <f>IF(AX$6&gt;$E$2,"",IFERROR(+GETPIVOTDATA("Count of Proposal Request No.",'Pivot Weekly close'!$A$4,"week No",AX6),"no Data"))</f>
        <v>24</v>
      </c>
      <c r="AY9" s="54" t="str">
        <f>IF(AY$6&gt;$E$2,"",IFERROR(+GETPIVOTDATA("Count of Proposal Request No.",'Pivot Weekly close'!$A$4,"week No",AY6),"no Data"))</f>
        <v/>
      </c>
      <c r="AZ9" s="54" t="str">
        <f>IF(AZ$6&gt;$E$2,"",IFERROR(+GETPIVOTDATA("Count of Proposal Request No.",'Pivot Weekly close'!$A$4,"week No",AZ6),"no Data"))</f>
        <v/>
      </c>
      <c r="BA9" s="54" t="str">
        <f>IF(BA$6&gt;$E$2,"",IFERROR(+GETPIVOTDATA("Count of Proposal Request No.",'Pivot Weekly close'!$A$4,"week No",BA6),"no Data"))</f>
        <v/>
      </c>
      <c r="BB9" s="54" t="str">
        <f>IF(BB$6&gt;$E$2,"",IFERROR(+GETPIVOTDATA("Count of Proposal Request No.",'Pivot Weekly close'!$A$4,"week No",BB6),"no Data"))</f>
        <v/>
      </c>
      <c r="BC9" s="54" t="str">
        <f>IF(BC$6&gt;$E$2,"",IFERROR(+GETPIVOTDATA("Count of Proposal Request No.",'Pivot Weekly close'!$A$4,"week No",BC6),"no Data"))</f>
        <v/>
      </c>
      <c r="BD9" s="54" t="str">
        <f>IF(BD$6&gt;$E$2,"",IFERROR(+GETPIVOTDATA("Count of Proposal Request No.",'Pivot Weekly close'!$A$4,"week No",BD6),"no Data"))</f>
        <v/>
      </c>
      <c r="BE9" s="54" t="str">
        <f>IF(BE$6&gt;$E$2,"",IFERROR(+GETPIVOTDATA("Count of Proposal Request No.",'Pivot Weekly close'!$A$4,"week No",BE6),"no Data"))</f>
        <v/>
      </c>
      <c r="BF9" s="54" t="str">
        <f>IF(BF$6&gt;$E$2,"",IFERROR(+GETPIVOTDATA("Count of Proposal Request No.",'Pivot Weekly close'!$A$4,"week No",BF6),"no Data"))</f>
        <v/>
      </c>
      <c r="BG9" s="54" t="str">
        <f>IF(BG$6&gt;$E$2,"",IFERROR(+GETPIVOTDATA("Count of Proposal Request No.",'Pivot Weekly close'!$A$4,"week No",BG6),"no Data"))</f>
        <v/>
      </c>
      <c r="BH9" s="54" t="str">
        <f>IF(BH$6&gt;$E$2,"",IFERROR(+GETPIVOTDATA("Count of Proposal Request No.",'Pivot Weekly close'!$A$4,"week No",BH6),"no Data"))</f>
        <v/>
      </c>
      <c r="BI9" s="54" t="str">
        <f>IF(BI$6&gt;$E$2,"",IFERROR(+GETPIVOTDATA("Count of Proposal Request No.",'Pivot Weekly close'!$A$4,"week No",BI6),"no Data"))</f>
        <v/>
      </c>
      <c r="BJ9" s="35" t="str">
        <f>IF(BJ$6&gt;$E$2,"",IFERROR(+GETPIVOTDATA("Count of Proposal Request No.",'Pivot Weekly close'!$A$4,"week No",BJ6),"no Data"))</f>
        <v/>
      </c>
    </row>
    <row r="10" spans="2:62" ht="40.5" customHeight="1" x14ac:dyDescent="0.25">
      <c r="B10" s="77"/>
      <c r="C10" s="79"/>
      <c r="D10" s="79"/>
      <c r="E10" s="79"/>
      <c r="F10" s="79"/>
      <c r="G10" s="82"/>
      <c r="H10" s="36" t="s">
        <v>981</v>
      </c>
      <c r="I10" s="38" t="str">
        <f>IF(I$6&gt;$E$2,"",IF(I9="Blank","Blank",IF(I9="TBC","TBC",IF((I9-I8)&gt;=0,"G",IF((I9-(I8*0.95))&gt;=0,"A","R")))))</f>
        <v>Blank</v>
      </c>
      <c r="J10" s="55" t="str">
        <f t="shared" ref="J10:AA10" si="6">IF(J4="OD","OD",IF(J$6&gt;$E$2,"",IF(J9="Blank","Blank",IF(J9="TBC","TBC",IF(J9="","OD",IF((J9-J8)&gt;=0,"G",IF((J9-(J8*0.95))&gt;=0,"A","R")))))))</f>
        <v>R</v>
      </c>
      <c r="K10" s="55" t="str">
        <f t="shared" si="6"/>
        <v>R</v>
      </c>
      <c r="L10" s="55" t="str">
        <f t="shared" si="6"/>
        <v>A</v>
      </c>
      <c r="M10" s="55" t="str">
        <f t="shared" si="6"/>
        <v>R</v>
      </c>
      <c r="N10" s="55" t="str">
        <f t="shared" si="6"/>
        <v>G</v>
      </c>
      <c r="O10" s="55" t="str">
        <f t="shared" si="6"/>
        <v>G</v>
      </c>
      <c r="P10" s="55" t="str">
        <f t="shared" si="6"/>
        <v>R</v>
      </c>
      <c r="Q10" s="55" t="str">
        <f t="shared" si="6"/>
        <v>R</v>
      </c>
      <c r="R10" s="55" t="str">
        <f t="shared" si="6"/>
        <v>R</v>
      </c>
      <c r="S10" s="55" t="str">
        <f t="shared" si="6"/>
        <v>G</v>
      </c>
      <c r="T10" s="55" t="str">
        <f t="shared" si="6"/>
        <v>A</v>
      </c>
      <c r="U10" s="55" t="str">
        <f t="shared" si="6"/>
        <v>G</v>
      </c>
      <c r="V10" s="55" t="str">
        <f t="shared" si="6"/>
        <v>G</v>
      </c>
      <c r="W10" s="55" t="str">
        <f t="shared" si="6"/>
        <v>A</v>
      </c>
      <c r="X10" s="55" t="str">
        <f t="shared" si="6"/>
        <v>R</v>
      </c>
      <c r="Y10" s="55" t="str">
        <f t="shared" si="6"/>
        <v>R</v>
      </c>
      <c r="Z10" s="55" t="str">
        <f t="shared" si="6"/>
        <v>R</v>
      </c>
      <c r="AA10" s="55" t="str">
        <f t="shared" si="6"/>
        <v>A</v>
      </c>
      <c r="AB10" s="55" t="str">
        <f>IF(AB4="OD","OD",IF(AB$6&gt;$E$2,"",IF(AB9="Blank","Blank",IF(AB9="TBC","TBC",IF(AB9="","OD",IF((AB9-AB8)&gt;=0,"G",IF((AB9-(AB8*0.95))&gt;=0,"A","R")))))))</f>
        <v>G</v>
      </c>
      <c r="AC10" s="55" t="str">
        <f>IF(AC4="OD","OD",IF(AC$6&gt;$E$2,"",IF(AC9="Blank","Blank",IF(AC9="No Data","No Data",IF(AC9="TBC","TBC",IF(AC9="","OD",IF((AC9-AC8)&gt;=0,"G",IF((AC9-(AC8*0.95))&gt;=0,"A","R"))))))))</f>
        <v>G</v>
      </c>
      <c r="AD10" s="55" t="str">
        <f t="shared" ref="AD10:AE10" si="7">IF(AD4="OD","OD",IF(AD$6&gt;$E$2,"",IF(AD9="Blank","Blank",IF(AD9="No Data","No Data",IF(AD9="TBC","TBC",IF(AD9="","OD",IF((AD9-AD8)&gt;=0,"G",IF((AD9-(AD8*0.95))&gt;=0,"A","R"))))))))</f>
        <v>R</v>
      </c>
      <c r="AE10" s="55" t="str">
        <f t="shared" si="7"/>
        <v>R</v>
      </c>
      <c r="AF10" s="55" t="str">
        <f t="shared" ref="AF10:AG10" si="8">IF(AF4="OD","OD",IF(AF$6&gt;$E$2,"",IF(AF9="Blank","Blank",IF(AF9="No Data","No Data",IF(AF9="TBC","TBC",IF(AF9="","OD",IF((AF9-AF8)&gt;=0,"G",IF((AF9-(AF8*0.95))&gt;=0,"A","R"))))))))</f>
        <v>R</v>
      </c>
      <c r="AG10" s="55" t="str">
        <f t="shared" si="8"/>
        <v>R</v>
      </c>
      <c r="AH10" s="55" t="str">
        <f t="shared" ref="AH10:AI10" si="9">IF(AH4="OD","OD",IF(AH$6&gt;$E$2,"",IF(AH9="Blank","Blank",IF(AH9="No Data","No Data",IF(AH9="TBC","TBC",IF(AH9="","OD",IF((AH9-AH8)&gt;=0,"G",IF((AH9-(AH8*0.95))&gt;=0,"A","R"))))))))</f>
        <v>G</v>
      </c>
      <c r="AI10" s="55" t="str">
        <f t="shared" si="9"/>
        <v>A</v>
      </c>
      <c r="AJ10" s="55" t="str">
        <f t="shared" ref="AJ10:AK10" si="10">IF(AJ4="OD","OD",IF(AJ$6&gt;$E$2,"",IF(AJ9="Blank","Blank",IF(AJ9="No Data","No Data",IF(AJ9="TBC","TBC",IF(AJ9="","OD",IF((AJ9-AJ8)&gt;=0,"G",IF((AJ9-(AJ8*0.95))&gt;=0,"A","R"))))))))</f>
        <v>R</v>
      </c>
      <c r="AK10" s="55" t="str">
        <f t="shared" si="10"/>
        <v>R</v>
      </c>
      <c r="AL10" s="55" t="str">
        <f t="shared" ref="AL10:AM10" si="11">IF(AL4="OD","OD",IF(AL$6&gt;$E$2,"",IF(AL9="Blank","Blank",IF(AL9="No Data","No Data",IF(AL9="TBC","TBC",IF(AL9="","OD",IF((AL9-AL8)&gt;=0,"G",IF((AL9-(AL8*0.95))&gt;=0,"A","R"))))))))</f>
        <v>G</v>
      </c>
      <c r="AM10" s="55" t="str">
        <f t="shared" si="11"/>
        <v>R</v>
      </c>
      <c r="AN10" s="55" t="str">
        <f t="shared" ref="AN10:AO10" si="12">IF(AN4="OD","OD",IF(AN$6&gt;$E$2,"",IF(AN9="Blank","Blank",IF(AN9="No Data","No Data",IF(AN9="TBC","TBC",IF(AN9="","OD",IF((AN9-AN8)&gt;=0,"G",IF((AN9-(AN8*0.95))&gt;=0,"A","R"))))))))</f>
        <v>R</v>
      </c>
      <c r="AO10" s="55" t="str">
        <f t="shared" si="12"/>
        <v>R</v>
      </c>
      <c r="AP10" s="55" t="str">
        <f t="shared" ref="AP10:AQ10" si="13">IF(AP4="OD","OD",IF(AP$6&gt;$E$2,"",IF(AP9="Blank","Blank",IF(AP9="No Data","No Data",IF(AP9="TBC","TBC",IF(AP9="","OD",IF((AP9-AP8)&gt;=0,"G",IF((AP9-(AP8*0.95))&gt;=0,"A","R"))))))))</f>
        <v>R</v>
      </c>
      <c r="AQ10" s="55" t="str">
        <f t="shared" si="13"/>
        <v>G</v>
      </c>
      <c r="AR10" s="55" t="str">
        <f t="shared" ref="AR10:AS10" si="14">IF(AR4="OD","OD",IF(AR$6&gt;$E$2,"",IF(AR9="Blank","Blank",IF(AR9="No Data","No Data",IF(AR9="TBC","TBC",IF(AR9="","OD",IF((AR9-AR8)&gt;=0,"G",IF((AR9-(AR8*0.95))&gt;=0,"A","R"))))))))</f>
        <v>R</v>
      </c>
      <c r="AS10" s="55" t="str">
        <f t="shared" si="14"/>
        <v>R</v>
      </c>
      <c r="AT10" s="55" t="str">
        <f t="shared" ref="AT10:AU10" si="15">IF(AT4="OD","OD",IF(AT$6&gt;$E$2,"",IF(AT9="Blank","Blank",IF(AT9="No Data","No Data",IF(AT9="TBC","TBC",IF(AT9="","OD",IF((AT9-AT8)&gt;=0,"G",IF((AT9-(AT8*0.95))&gt;=0,"A","R"))))))))</f>
        <v>R</v>
      </c>
      <c r="AU10" s="55" t="str">
        <f t="shared" si="15"/>
        <v>R</v>
      </c>
      <c r="AV10" s="55" t="str">
        <f t="shared" ref="AV10:AW10" si="16">IF(AV4="OD","OD",IF(AV$6&gt;$E$2,"",IF(AV9="Blank","Blank",IF(AV9="No Data","No Data",IF(AV9="TBC","TBC",IF(AV9="","OD",IF((AV9-AV8)&gt;=0,"G",IF((AV9-(AV8*0.95))&gt;=0,"A","R"))))))))</f>
        <v>R</v>
      </c>
      <c r="AW10" s="55" t="str">
        <f t="shared" si="16"/>
        <v>R</v>
      </c>
      <c r="AX10" s="55" t="str">
        <f t="shared" ref="AX10:AY10" si="17">IF(AX4="OD","OD",IF(AX$6&gt;$E$2,"",IF(AX9="Blank","Blank",IF(AX9="No Data","No Data",IF(AX9="TBC","TBC",IF(AX9="","OD",IF((AX9-AX8)&gt;=0,"G",IF((AX9-(AX8*0.95))&gt;=0,"A","R"))))))))</f>
        <v>R</v>
      </c>
      <c r="AY10" s="55" t="str">
        <f t="shared" si="17"/>
        <v/>
      </c>
      <c r="AZ10" s="55" t="str">
        <f t="shared" ref="AZ10:BA10" si="18">IF(AZ4="OD","OD",IF(AZ$6&gt;$E$2,"",IF(AZ9="Blank","Blank",IF(AZ9="No Data","No Data",IF(AZ9="TBC","TBC",IF(AZ9="","OD",IF((AZ9-AZ8)&gt;=0,"G",IF((AZ9-(AZ8*0.95))&gt;=0,"A","R"))))))))</f>
        <v/>
      </c>
      <c r="BA10" s="55" t="str">
        <f t="shared" si="18"/>
        <v/>
      </c>
      <c r="BB10" s="55" t="str">
        <f t="shared" ref="BB10:BC10" si="19">IF(BB4="OD","OD",IF(BB$6&gt;$E$2,"",IF(BB9="Blank","Blank",IF(BB9="No Data","No Data",IF(BB9="TBC","TBC",IF(BB9="","OD",IF((BB9-BB8)&gt;=0,"G",IF((BB9-(BB8*0.95))&gt;=0,"A","R"))))))))</f>
        <v/>
      </c>
      <c r="BC10" s="55" t="str">
        <f t="shared" si="19"/>
        <v/>
      </c>
      <c r="BD10" s="55" t="str">
        <f t="shared" ref="BD10:BE10" si="20">IF(BD4="OD","OD",IF(BD$6&gt;$E$2,"",IF(BD9="Blank","Blank",IF(BD9="No Data","No Data",IF(BD9="TBC","TBC",IF(BD9="","OD",IF((BD9-BD8)&gt;=0,"G",IF((BD9-(BD8*0.95))&gt;=0,"A","R"))))))))</f>
        <v/>
      </c>
      <c r="BE10" s="55" t="str">
        <f t="shared" si="20"/>
        <v/>
      </c>
      <c r="BF10" s="55" t="str">
        <f t="shared" ref="BF10:BG10" si="21">IF(BF4="OD","OD",IF(BF$6&gt;$E$2,"",IF(BF9="Blank","Blank",IF(BF9="No Data","No Data",IF(BF9="TBC","TBC",IF(BF9="","OD",IF((BF9-BF8)&gt;=0,"G",IF((BF9-(BF8*0.95))&gt;=0,"A","R"))))))))</f>
        <v/>
      </c>
      <c r="BG10" s="55" t="str">
        <f t="shared" si="21"/>
        <v/>
      </c>
      <c r="BH10" s="55" t="str">
        <f t="shared" ref="BH10:BI10" si="22">IF(BH4="OD","OD",IF(BH$6&gt;$E$2,"",IF(BH9="Blank","Blank",IF(BH9="No Data","No Data",IF(BH9="TBC","TBC",IF(BH9="","OD",IF((BH9-BH8)&gt;=0,"G",IF((BH9-(BH8*0.95))&gt;=0,"A","R"))))))))</f>
        <v/>
      </c>
      <c r="BI10" s="55" t="str">
        <f t="shared" si="22"/>
        <v/>
      </c>
      <c r="BJ10" s="39" t="str">
        <f t="shared" ref="BJ10" si="23">IF(BJ4="OD","OD",IF(BJ$6&gt;$E$2,"",IF(BJ9="Blank","Blank",IF(BJ9="No Data","No Data",IF(BJ9="TBC","TBC",IF(BJ9="","OD",IF((BJ9-BJ8)&gt;=0,"G",IF((BJ9-(BJ8*0.95))&gt;=0,"A","R"))))))))</f>
        <v/>
      </c>
    </row>
    <row r="11" spans="2:62" ht="24" customHeight="1" x14ac:dyDescent="0.25">
      <c r="B11" s="77" t="s">
        <v>982</v>
      </c>
      <c r="C11" s="79" t="s">
        <v>983</v>
      </c>
      <c r="D11" s="79" t="s">
        <v>984</v>
      </c>
      <c r="E11" s="79" t="s">
        <v>985</v>
      </c>
      <c r="F11" s="79" t="s">
        <v>977</v>
      </c>
      <c r="G11" s="72" t="s">
        <v>986</v>
      </c>
      <c r="H11" s="40" t="s">
        <v>979</v>
      </c>
      <c r="I11" s="41"/>
      <c r="J11" s="53">
        <f t="shared" ref="J11:AB11" si="24">IF(J$6&lt;=$E$2,100,"")</f>
        <v>100</v>
      </c>
      <c r="K11" s="53">
        <f t="shared" si="24"/>
        <v>100</v>
      </c>
      <c r="L11" s="53">
        <f t="shared" si="24"/>
        <v>100</v>
      </c>
      <c r="M11" s="53">
        <f t="shared" si="24"/>
        <v>100</v>
      </c>
      <c r="N11" s="53">
        <f t="shared" si="24"/>
        <v>100</v>
      </c>
      <c r="O11" s="53">
        <f t="shared" si="24"/>
        <v>100</v>
      </c>
      <c r="P11" s="53">
        <f t="shared" si="24"/>
        <v>100</v>
      </c>
      <c r="Q11" s="53">
        <f t="shared" si="24"/>
        <v>100</v>
      </c>
      <c r="R11" s="53">
        <f t="shared" si="24"/>
        <v>100</v>
      </c>
      <c r="S11" s="53">
        <f t="shared" si="24"/>
        <v>100</v>
      </c>
      <c r="T11" s="53">
        <f t="shared" si="24"/>
        <v>100</v>
      </c>
      <c r="U11" s="53">
        <f t="shared" si="24"/>
        <v>100</v>
      </c>
      <c r="V11" s="53">
        <f t="shared" si="24"/>
        <v>100</v>
      </c>
      <c r="W11" s="53">
        <f t="shared" si="24"/>
        <v>100</v>
      </c>
      <c r="X11" s="53">
        <f t="shared" si="24"/>
        <v>100</v>
      </c>
      <c r="Y11" s="53">
        <f t="shared" si="24"/>
        <v>100</v>
      </c>
      <c r="Z11" s="53">
        <f t="shared" si="24"/>
        <v>100</v>
      </c>
      <c r="AA11" s="53">
        <f t="shared" si="24"/>
        <v>100</v>
      </c>
      <c r="AB11" s="53">
        <f t="shared" si="24"/>
        <v>100</v>
      </c>
      <c r="AC11" s="53">
        <f>IF(AC$6&lt;=$E$2,100,"")</f>
        <v>100</v>
      </c>
      <c r="AD11" s="53">
        <f t="shared" ref="AD11:BJ11" si="25">IF(AD$6&lt;=$E$2,100,"")</f>
        <v>100</v>
      </c>
      <c r="AE11" s="53">
        <f t="shared" si="25"/>
        <v>100</v>
      </c>
      <c r="AF11" s="53">
        <f t="shared" si="25"/>
        <v>100</v>
      </c>
      <c r="AG11" s="53">
        <f t="shared" si="25"/>
        <v>100</v>
      </c>
      <c r="AH11" s="53">
        <f t="shared" si="25"/>
        <v>100</v>
      </c>
      <c r="AI11" s="53">
        <f t="shared" si="25"/>
        <v>100</v>
      </c>
      <c r="AJ11" s="53">
        <f t="shared" si="25"/>
        <v>100</v>
      </c>
      <c r="AK11" s="53">
        <f t="shared" si="25"/>
        <v>100</v>
      </c>
      <c r="AL11" s="53">
        <f t="shared" si="25"/>
        <v>100</v>
      </c>
      <c r="AM11" s="53">
        <f t="shared" si="25"/>
        <v>100</v>
      </c>
      <c r="AN11" s="53">
        <f t="shared" si="25"/>
        <v>100</v>
      </c>
      <c r="AO11" s="53">
        <f t="shared" si="25"/>
        <v>100</v>
      </c>
      <c r="AP11" s="53">
        <f t="shared" si="25"/>
        <v>100</v>
      </c>
      <c r="AQ11" s="53">
        <f t="shared" si="25"/>
        <v>100</v>
      </c>
      <c r="AR11" s="53">
        <f t="shared" si="25"/>
        <v>100</v>
      </c>
      <c r="AS11" s="53">
        <f t="shared" si="25"/>
        <v>100</v>
      </c>
      <c r="AT11" s="53">
        <f t="shared" si="25"/>
        <v>100</v>
      </c>
      <c r="AU11" s="53">
        <f t="shared" si="25"/>
        <v>100</v>
      </c>
      <c r="AV11" s="53">
        <f t="shared" si="25"/>
        <v>100</v>
      </c>
      <c r="AW11" s="53">
        <f t="shared" si="25"/>
        <v>100</v>
      </c>
      <c r="AX11" s="53">
        <f t="shared" si="25"/>
        <v>100</v>
      </c>
      <c r="AY11" s="53" t="str">
        <f t="shared" si="25"/>
        <v/>
      </c>
      <c r="AZ11" s="53" t="str">
        <f t="shared" si="25"/>
        <v/>
      </c>
      <c r="BA11" s="53" t="str">
        <f t="shared" si="25"/>
        <v/>
      </c>
      <c r="BB11" s="53" t="str">
        <f t="shared" si="25"/>
        <v/>
      </c>
      <c r="BC11" s="53" t="str">
        <f t="shared" si="25"/>
        <v/>
      </c>
      <c r="BD11" s="53" t="str">
        <f t="shared" si="25"/>
        <v/>
      </c>
      <c r="BE11" s="53" t="str">
        <f t="shared" si="25"/>
        <v/>
      </c>
      <c r="BF11" s="53" t="str">
        <f t="shared" si="25"/>
        <v/>
      </c>
      <c r="BG11" s="53" t="str">
        <f t="shared" si="25"/>
        <v/>
      </c>
      <c r="BH11" s="53" t="str">
        <f t="shared" si="25"/>
        <v/>
      </c>
      <c r="BI11" s="53" t="str">
        <f t="shared" si="25"/>
        <v/>
      </c>
      <c r="BJ11" s="43" t="str">
        <f t="shared" si="25"/>
        <v/>
      </c>
    </row>
    <row r="12" spans="2:62" ht="24" customHeight="1" x14ac:dyDescent="0.25">
      <c r="B12" s="77"/>
      <c r="C12" s="79"/>
      <c r="D12" s="79"/>
      <c r="E12" s="79"/>
      <c r="F12" s="79"/>
      <c r="G12" s="72"/>
      <c r="H12" s="33" t="s">
        <v>980</v>
      </c>
      <c r="I12" s="34" t="s">
        <v>905</v>
      </c>
      <c r="J12" s="56">
        <f>IF(J$6&gt;$E$2,"",IFERROR(+GETPIVOTDATA("Average of On Time?",'Pivot Of Design Days'!$A$6,"week No",J6),"no Data"))</f>
        <v>87.878787878787875</v>
      </c>
      <c r="K12" s="56">
        <f>IF(K$6&gt;$E$2,"",IFERROR(+GETPIVOTDATA("Average of On Time?",'Pivot Of Design Days'!$A$6,"week No",K6),"no Data"))</f>
        <v>100</v>
      </c>
      <c r="L12" s="56">
        <f>IF(L$6&gt;$E$2,"",IFERROR(+GETPIVOTDATA("Average of On Time?",'Pivot Of Design Days'!$A$6,"week No",L6),"no Data"))</f>
        <v>88.235294117647058</v>
      </c>
      <c r="M12" s="56">
        <f>IF(M$6&gt;$E$2,"",IFERROR(+GETPIVOTDATA("Average of On Time?",'Pivot Of Design Days'!$A$6,"week No",M6),"no Data"))</f>
        <v>96.875</v>
      </c>
      <c r="N12" s="56">
        <f>IF(N$6&gt;$E$2,"",IFERROR(+GETPIVOTDATA("Average of On Time?",'Pivot Of Design Days'!$A$6,"week No",N6),"no Data"))</f>
        <v>88.571428571428569</v>
      </c>
      <c r="O12" s="56">
        <f>IF(O$6&gt;$E$2,"",IFERROR(+GETPIVOTDATA("Average of On Time?",'Pivot Of Design Days'!$A$6,"week No",O6),"no Data"))</f>
        <v>88.571428571428569</v>
      </c>
      <c r="P12" s="56">
        <f>IF(P$6&gt;$E$2,"",IFERROR(+GETPIVOTDATA("Average of On Time?",'Pivot Of Design Days'!$A$6,"week No",P6),"no Data"))</f>
        <v>93.548387096774192</v>
      </c>
      <c r="Q12" s="56">
        <f>IF(Q$6&gt;$E$2,"",IFERROR(+GETPIVOTDATA("Average of On Time?",'Pivot Of Design Days'!$A$6,"week No",Q6),"no Data"))</f>
        <v>84.848484848484844</v>
      </c>
      <c r="R12" s="56">
        <f>IF(R$6&gt;$E$2,"",IFERROR(+GETPIVOTDATA("Average of On Time?",'Pivot Of Design Days'!$A$6,"week No",R6),"no Data"))</f>
        <v>88.888888888888886</v>
      </c>
      <c r="S12" s="56">
        <f>IF(S$6&gt;$E$2,"",IFERROR(+GETPIVOTDATA("Average of On Time?",'Pivot Of Design Days'!$A$6,"week No",S6),"no Data"))</f>
        <v>89.743589743589737</v>
      </c>
      <c r="T12" s="56">
        <f>IF(T$6&gt;$E$2,"",IFERROR(+GETPIVOTDATA("Average of On Time?",'Pivot Of Design Days'!$A$6,"week No",T6),"no Data"))</f>
        <v>82.352941176470594</v>
      </c>
      <c r="U12" s="56">
        <f>IF(U$6&gt;$E$2,"",IFERROR(+GETPIVOTDATA("Average of On Time?",'Pivot Of Design Days'!$A$6,"week No",U6),"no Data"))</f>
        <v>94.444444444444443</v>
      </c>
      <c r="V12" s="56">
        <f>IF(V$6&gt;$E$2,"",IFERROR(+GETPIVOTDATA("Average of On Time?",'Pivot Of Design Days'!$A$6,"week No",V6),"no Data"))</f>
        <v>91.428571428571431</v>
      </c>
      <c r="W12" s="56">
        <f>IF(W$6&gt;$E$2,"",IFERROR(+GETPIVOTDATA("Average of On Time?",'Pivot Of Design Days'!$A$6,"week No",W6),"no Data"))</f>
        <v>85.294117647058826</v>
      </c>
      <c r="X12" s="56">
        <f>IF(X$6&gt;$E$2,"",IFERROR(+GETPIVOTDATA("Average of On Time?",'Pivot Of Design Days'!$A$6,"week No",X6),"no Data"))</f>
        <v>80.952380952380949</v>
      </c>
      <c r="Y12" s="56">
        <f>IF(Y$6&gt;$E$2,"",IFERROR(+GETPIVOTDATA("Average of On Time?",'Pivot Of Design Days'!$A$6,"week No",Y6),"no Data"))</f>
        <v>81.25</v>
      </c>
      <c r="Z12" s="56">
        <f>IF(Z$6&gt;$E$2,"",IFERROR(+GETPIVOTDATA("Average of On Time?",'Pivot Of Design Days'!$A$6,"week No",Z6),"no Data"))</f>
        <v>90.625</v>
      </c>
      <c r="AA12" s="56">
        <f>IF(AA$6&gt;$E$2,"",IFERROR(+GETPIVOTDATA("Average of On Time?",'Pivot Of Design Days'!$A$6,"week No",AA6),"no Data"))</f>
        <v>70.588235294117652</v>
      </c>
      <c r="AB12" s="56">
        <f>IF(AB$6&gt;$E$2,"",IFERROR(+GETPIVOTDATA("Average of On Time?",'Pivot Of Design Days'!$A$6,"week No",AB6),"no Data"))</f>
        <v>81.081081081081081</v>
      </c>
      <c r="AC12" s="56">
        <f>IF(AC$6&gt;$E$2,"",IFERROR(+GETPIVOTDATA("Average of On Time?",'Pivot Of Design Days'!$A$6,"week No",AC6),"no Data"))</f>
        <v>80.555555555555557</v>
      </c>
      <c r="AD12" s="56">
        <f>IF(AD$6&gt;$E$2,"",IFERROR(+GETPIVOTDATA("Average of On Time?",'Pivot Of Design Days'!$A$6,"week No",AD6),"no Data"))</f>
        <v>85</v>
      </c>
      <c r="AE12" s="56">
        <f>IF(AE$6&gt;$E$2,"",IFERROR(+GETPIVOTDATA("Average of On Time?",'Pivot Of Design Days'!$A$6,"week No",AE6),"no Data"))</f>
        <v>75.757575757575751</v>
      </c>
      <c r="AF12" s="56">
        <f>IF(AF$6&gt;$E$2,"",IFERROR(+GETPIVOTDATA("Average of On Time?",'Pivot Of Design Days'!$A$6,"week No",AF6),"no Data"))</f>
        <v>79.166666666666671</v>
      </c>
      <c r="AG12" s="56">
        <f>IF(AG$6&gt;$E$2,"",IFERROR(+GETPIVOTDATA("Average of On Time?",'Pivot Of Design Days'!$A$6,"week No",AG6),"no Data"))</f>
        <v>63.636363636363633</v>
      </c>
      <c r="AH12" s="56">
        <f>IF(AH$6&gt;$E$2,"",IFERROR(+GETPIVOTDATA("Average of On Time?",'Pivot Of Design Days'!$A$6,"week No",AH6),"no Data"))</f>
        <v>75</v>
      </c>
      <c r="AI12" s="56">
        <f>IF(AI$6&gt;$E$2,"",IFERROR(+GETPIVOTDATA("Average of On Time?",'Pivot Of Design Days'!$A$6,"week No",AI6),"no Data"))</f>
        <v>82.352941176470594</v>
      </c>
      <c r="AJ12" s="56">
        <f>IF(AJ$6&gt;$E$2,"",IFERROR(+GETPIVOTDATA("Average of On Time?",'Pivot Of Design Days'!$A$6,"week No",AJ6),"no Data"))</f>
        <v>72.41379310344827</v>
      </c>
      <c r="AK12" s="56">
        <f>IF(AK$6&gt;$E$2,"",IFERROR(+GETPIVOTDATA("Average of On Time?",'Pivot Of Design Days'!$A$6,"week No",AK6),"no Data"))</f>
        <v>76</v>
      </c>
      <c r="AL12" s="56">
        <f>IF(AL$6&gt;$E$2,"",IFERROR(+GETPIVOTDATA("Average of On Time?",'Pivot Of Design Days'!$A$6,"week No",AL6),"no Data"))</f>
        <v>65.853658536585371</v>
      </c>
      <c r="AM12" s="56">
        <f>IF(AM$6&gt;$E$2,"",IFERROR(+GETPIVOTDATA("Average of On Time?",'Pivot Of Design Days'!$A$6,"week No",AM6),"no Data"))</f>
        <v>81.25</v>
      </c>
      <c r="AN12" s="56">
        <f>IF(AN$6&gt;$E$2,"",IFERROR(+GETPIVOTDATA("Average of On Time?",'Pivot Of Design Days'!$A$6,"week No",AN6),"no Data"))</f>
        <v>75.757575757575751</v>
      </c>
      <c r="AO12" s="56">
        <f>IF(AO$6&gt;$E$2,"",IFERROR(+GETPIVOTDATA("Average of On Time?",'Pivot Of Design Days'!$A$6,"week No",AO6),"no Data"))</f>
        <v>90</v>
      </c>
      <c r="AP12" s="56">
        <f>IF(AP$6&gt;$E$2,"",IFERROR(+GETPIVOTDATA("Average of On Time?",'Pivot Of Design Days'!$A$6,"week No",AP6),"no Data"))</f>
        <v>100</v>
      </c>
      <c r="AQ12" s="56">
        <f>IF(AQ$6&gt;$E$2,"",IFERROR(+GETPIVOTDATA("Average of On Time?",'Pivot Of Design Days'!$A$6,"week No",AQ6),"no Data"))</f>
        <v>63.934426229508198</v>
      </c>
      <c r="AR12" s="56">
        <f>IF(AR$6&gt;$E$2,"",IFERROR(+GETPIVOTDATA("Average of On Time?",'Pivot Of Design Days'!$A$6,"week No",AR6),"no Data"))</f>
        <v>57.142857142857146</v>
      </c>
      <c r="AS12" s="56">
        <f>IF(AS$6&gt;$E$2,"",IFERROR(+GETPIVOTDATA("Average of On Time?",'Pivot Of Design Days'!$A$6,"week No",AS6),"no Data"))</f>
        <v>67.857142857142861</v>
      </c>
      <c r="AT12" s="56">
        <f>IF(AT$6&gt;$E$2,"",IFERROR(+GETPIVOTDATA("Average of On Time?",'Pivot Of Design Days'!$A$6,"week No",AT6),"no Data"))</f>
        <v>68</v>
      </c>
      <c r="AU12" s="56">
        <f>IF(AU$6&gt;$E$2,"",IFERROR(+GETPIVOTDATA("Average of On Time?",'Pivot Of Design Days'!$A$6,"week No",AU6),"no Data"))</f>
        <v>77.272727272727266</v>
      </c>
      <c r="AV12" s="56">
        <f>IF(AV$6&gt;$E$2,"",IFERROR(+GETPIVOTDATA("Average of On Time?",'Pivot Of Design Days'!$A$6,"week No",AV6),"no Data"))</f>
        <v>76.92307692307692</v>
      </c>
      <c r="AW12" s="56">
        <f>IF(AW$6&gt;$E$2,"",IFERROR(+GETPIVOTDATA("Average of On Time?",'Pivot Of Design Days'!$A$6,"week No",AW6),"no Data"))</f>
        <v>81.481481481481481</v>
      </c>
      <c r="AX12" s="56">
        <f>IF(AX$6&gt;$E$2,"",IFERROR(+GETPIVOTDATA("Average of On Time?",'Pivot Of Design Days'!$A$6,"week No",AX6),"no Data"))</f>
        <v>76.19047619047619</v>
      </c>
      <c r="AY12" s="56" t="str">
        <f>IF(AY$6&gt;$E$2,"",IFERROR(+GETPIVOTDATA("Average of On Time?",'Pivot Of Design Days'!$A$6,"week No",AY6),"no Data"))</f>
        <v/>
      </c>
      <c r="AZ12" s="56" t="str">
        <f>IF(AZ$6&gt;$E$2,"",IFERROR(+GETPIVOTDATA("Average of On Time?",'Pivot Of Design Days'!$A$6,"week No",AZ6),"no Data"))</f>
        <v/>
      </c>
      <c r="BA12" s="56" t="str">
        <f>IF(BA$6&gt;$E$2,"",IFERROR(+GETPIVOTDATA("Average of On Time?",'Pivot Of Design Days'!$A$6,"week No",BA6),"no Data"))</f>
        <v/>
      </c>
      <c r="BB12" s="56" t="str">
        <f>IF(BB$6&gt;$E$2,"",IFERROR(+GETPIVOTDATA("Average of On Time?",'Pivot Of Design Days'!$A$6,"week No",BB6),"no Data"))</f>
        <v/>
      </c>
      <c r="BC12" s="56" t="str">
        <f>IF(BC$6&gt;$E$2,"",IFERROR(+GETPIVOTDATA("Average of On Time?",'Pivot Of Design Days'!$A$6,"week No",BC6),"no Data"))</f>
        <v/>
      </c>
      <c r="BD12" s="56" t="str">
        <f>IF(BD$6&gt;$E$2,"",IFERROR(+GETPIVOTDATA("Average of On Time?",'Pivot Of Design Days'!$A$6,"week No",BD6),"no Data"))</f>
        <v/>
      </c>
      <c r="BE12" s="56" t="str">
        <f>IF(BE$6&gt;$E$2,"",IFERROR(+GETPIVOTDATA("Average of On Time?",'Pivot Of Design Days'!$A$6,"week No",BE6),"no Data"))</f>
        <v/>
      </c>
      <c r="BF12" s="56" t="str">
        <f>IF(BF$6&gt;$E$2,"",IFERROR(+GETPIVOTDATA("Average of On Time?",'Pivot Of Design Days'!$A$6,"week No",BF6),"no Data"))</f>
        <v/>
      </c>
      <c r="BG12" s="56" t="str">
        <f>IF(BG$6&gt;$E$2,"",IFERROR(+GETPIVOTDATA("Average of On Time?",'Pivot Of Design Days'!$A$6,"week No",BG6),"no Data"))</f>
        <v/>
      </c>
      <c r="BH12" s="56" t="str">
        <f>IF(BH$6&gt;$E$2,"",IFERROR(+GETPIVOTDATA("Average of On Time?",'Pivot Of Design Days'!$A$6,"week No",BH6),"no Data"))</f>
        <v/>
      </c>
      <c r="BI12" s="56" t="str">
        <f>IF(BI$6&gt;$E$2,"",IFERROR(+GETPIVOTDATA("Average of On Time?",'Pivot Of Design Days'!$A$6,"week No",BI6),"no Data"))</f>
        <v/>
      </c>
      <c r="BJ12" s="50" t="str">
        <f>IF(BJ$6&gt;$E$2,"",IFERROR(+GETPIVOTDATA("Average of On Time?",'Pivot Of Design Days'!$A$6,"week No",BJ6),"no Data"))</f>
        <v/>
      </c>
    </row>
    <row r="13" spans="2:62" ht="34.5" customHeight="1" x14ac:dyDescent="0.25">
      <c r="B13" s="77"/>
      <c r="C13" s="79"/>
      <c r="D13" s="79"/>
      <c r="E13" s="79"/>
      <c r="F13" s="79"/>
      <c r="G13" s="72"/>
      <c r="H13" s="36" t="s">
        <v>981</v>
      </c>
      <c r="I13" s="38" t="str">
        <f>IF(I$6&gt;$E$2,"",IF(I9="Blank","Blank",IF(I9="TBC","TBC",IF((I12-I11)&gt;=0,"G",IF((I12-(I11*0.95))&gt;=0,"A","R")))))</f>
        <v>Blank</v>
      </c>
      <c r="J13" s="55" t="str">
        <f t="shared" ref="J13:AA13" si="26">IF(J4="OD","OD",IF(J$6&gt;$E$2,"",IF(J12="Blank","Blank",IF(J12="TBC","TBC",IF(J4="OD","OD",IF(J12="","OD",IF((J12-J11)&gt;=0,"G",IF((J12-(J11*0.95))&gt;=0,"A","R"))))))))</f>
        <v>R</v>
      </c>
      <c r="K13" s="55" t="str">
        <f t="shared" si="26"/>
        <v>G</v>
      </c>
      <c r="L13" s="55" t="str">
        <f t="shared" si="26"/>
        <v>R</v>
      </c>
      <c r="M13" s="55" t="str">
        <f t="shared" si="26"/>
        <v>A</v>
      </c>
      <c r="N13" s="55" t="str">
        <f t="shared" si="26"/>
        <v>R</v>
      </c>
      <c r="O13" s="55" t="str">
        <f t="shared" si="26"/>
        <v>R</v>
      </c>
      <c r="P13" s="55" t="str">
        <f t="shared" si="26"/>
        <v>R</v>
      </c>
      <c r="Q13" s="55" t="str">
        <f t="shared" si="26"/>
        <v>R</v>
      </c>
      <c r="R13" s="55" t="str">
        <f t="shared" si="26"/>
        <v>R</v>
      </c>
      <c r="S13" s="55" t="str">
        <f t="shared" si="26"/>
        <v>R</v>
      </c>
      <c r="T13" s="55" t="str">
        <f t="shared" si="26"/>
        <v>R</v>
      </c>
      <c r="U13" s="55" t="str">
        <f t="shared" si="26"/>
        <v>R</v>
      </c>
      <c r="V13" s="55" t="str">
        <f t="shared" si="26"/>
        <v>R</v>
      </c>
      <c r="W13" s="55" t="str">
        <f t="shared" si="26"/>
        <v>R</v>
      </c>
      <c r="X13" s="55" t="str">
        <f t="shared" si="26"/>
        <v>R</v>
      </c>
      <c r="Y13" s="55" t="str">
        <f t="shared" si="26"/>
        <v>R</v>
      </c>
      <c r="Z13" s="55" t="str">
        <f t="shared" si="26"/>
        <v>R</v>
      </c>
      <c r="AA13" s="55" t="str">
        <f t="shared" si="26"/>
        <v>R</v>
      </c>
      <c r="AB13" s="55" t="str">
        <f>IF(AB4="OD","OD",IF(AB$6&gt;$E$2,"",IF(AB12="Blank","Blank",IF(AB12="TBC","TBC",IF(AB4="OD","OD",IF(AB12="","OD",IF((AB12-AB11)&gt;=0,"G",IF((AB12-(AB11*0.95))&gt;=0,"A","R"))))))))</f>
        <v>R</v>
      </c>
      <c r="AC13" s="55" t="str">
        <f>IF(AC4="OD","OD",IF(AC$6&gt;$E$2,"",IF(AC12="Blank","Blank",IF(AC12="TBC","TBC",IF(AC4="OD","OD",IF(AC12="No Data","No Data",IF(AC12="","OD",IF((AC12-AC11)&gt;=0,"G",IF((AC12-(AC11*0.95))&gt;=0,"A","R")))))))))</f>
        <v>R</v>
      </c>
      <c r="AD13" s="55" t="str">
        <f t="shared" ref="AD13:AE13" si="27">IF(AD4="OD","OD",IF(AD$6&gt;$E$2,"",IF(AD12="Blank","Blank",IF(AD12="TBC","TBC",IF(AD4="OD","OD",IF(AD12="No Data","No Data",IF(AD12="","OD",IF((AD12-AD11)&gt;=0,"G",IF((AD12-(AD11*0.95))&gt;=0,"A","R")))))))))</f>
        <v>R</v>
      </c>
      <c r="AE13" s="55" t="str">
        <f t="shared" si="27"/>
        <v>R</v>
      </c>
      <c r="AF13" s="55" t="str">
        <f t="shared" ref="AF13:AG13" si="28">IF(AF4="OD","OD",IF(AF$6&gt;$E$2,"",IF(AF12="Blank","Blank",IF(AF12="TBC","TBC",IF(AF4="OD","OD",IF(AF12="No Data","No Data",IF(AF12="","OD",IF((AF12-AF11)&gt;=0,"G",IF((AF12-(AF11*0.95))&gt;=0,"A","R")))))))))</f>
        <v>R</v>
      </c>
      <c r="AG13" s="55" t="str">
        <f t="shared" si="28"/>
        <v>R</v>
      </c>
      <c r="AH13" s="55" t="str">
        <f t="shared" ref="AH13:AI13" si="29">IF(AH4="OD","OD",IF(AH$6&gt;$E$2,"",IF(AH12="Blank","Blank",IF(AH12="TBC","TBC",IF(AH4="OD","OD",IF(AH12="No Data","No Data",IF(AH12="","OD",IF((AH12-AH11)&gt;=0,"G",IF((AH12-(AH11*0.95))&gt;=0,"A","R")))))))))</f>
        <v>R</v>
      </c>
      <c r="AI13" s="55" t="str">
        <f t="shared" si="29"/>
        <v>R</v>
      </c>
      <c r="AJ13" s="55" t="str">
        <f t="shared" ref="AJ13:AK13" si="30">IF(AJ4="OD","OD",IF(AJ$6&gt;$E$2,"",IF(AJ12="Blank","Blank",IF(AJ12="TBC","TBC",IF(AJ4="OD","OD",IF(AJ12="No Data","No Data",IF(AJ12="","OD",IF((AJ12-AJ11)&gt;=0,"G",IF((AJ12-(AJ11*0.95))&gt;=0,"A","R")))))))))</f>
        <v>R</v>
      </c>
      <c r="AK13" s="55" t="str">
        <f t="shared" si="30"/>
        <v>R</v>
      </c>
      <c r="AL13" s="55" t="str">
        <f t="shared" ref="AL13:AM13" si="31">IF(AL4="OD","OD",IF(AL$6&gt;$E$2,"",IF(AL12="Blank","Blank",IF(AL12="TBC","TBC",IF(AL4="OD","OD",IF(AL12="No Data","No Data",IF(AL12="","OD",IF((AL12-AL11)&gt;=0,"G",IF((AL12-(AL11*0.95))&gt;=0,"A","R")))))))))</f>
        <v>R</v>
      </c>
      <c r="AM13" s="55" t="str">
        <f t="shared" si="31"/>
        <v>R</v>
      </c>
      <c r="AN13" s="55" t="str">
        <f t="shared" ref="AN13:AO13" si="32">IF(AN4="OD","OD",IF(AN$6&gt;$E$2,"",IF(AN12="Blank","Blank",IF(AN12="TBC","TBC",IF(AN4="OD","OD",IF(AN12="No Data","No Data",IF(AN12="","OD",IF((AN12-AN11)&gt;=0,"G",IF((AN12-(AN11*0.95))&gt;=0,"A","R")))))))))</f>
        <v>R</v>
      </c>
      <c r="AO13" s="55" t="str">
        <f t="shared" si="32"/>
        <v>R</v>
      </c>
      <c r="AP13" s="55" t="str">
        <f t="shared" ref="AP13:AQ13" si="33">IF(AP4="OD","OD",IF(AP$6&gt;$E$2,"",IF(AP12="Blank","Blank",IF(AP12="TBC","TBC",IF(AP4="OD","OD",IF(AP12="No Data","No Data",IF(AP12="","OD",IF((AP12-AP11)&gt;=0,"G",IF((AP12-(AP11*0.95))&gt;=0,"A","R")))))))))</f>
        <v>G</v>
      </c>
      <c r="AQ13" s="55" t="str">
        <f t="shared" si="33"/>
        <v>R</v>
      </c>
      <c r="AR13" s="55" t="str">
        <f t="shared" ref="AR13:AS13" si="34">IF(AR4="OD","OD",IF(AR$6&gt;$E$2,"",IF(AR12="Blank","Blank",IF(AR12="TBC","TBC",IF(AR4="OD","OD",IF(AR12="No Data","No Data",IF(AR12="","OD",IF((AR12-AR11)&gt;=0,"G",IF((AR12-(AR11*0.95))&gt;=0,"A","R")))))))))</f>
        <v>R</v>
      </c>
      <c r="AS13" s="55" t="str">
        <f t="shared" si="34"/>
        <v>R</v>
      </c>
      <c r="AT13" s="55" t="str">
        <f t="shared" ref="AT13:AU13" si="35">IF(AT4="OD","OD",IF(AT$6&gt;$E$2,"",IF(AT12="Blank","Blank",IF(AT12="TBC","TBC",IF(AT4="OD","OD",IF(AT12="No Data","No Data",IF(AT12="","OD",IF((AT12-AT11)&gt;=0,"G",IF((AT12-(AT11*0.95))&gt;=0,"A","R")))))))))</f>
        <v>R</v>
      </c>
      <c r="AU13" s="55" t="str">
        <f t="shared" si="35"/>
        <v>R</v>
      </c>
      <c r="AV13" s="55" t="str">
        <f t="shared" ref="AV13:AW13" si="36">IF(AV4="OD","OD",IF(AV$6&gt;$E$2,"",IF(AV12="Blank","Blank",IF(AV12="TBC","TBC",IF(AV4="OD","OD",IF(AV12="No Data","No Data",IF(AV12="","OD",IF((AV12-AV11)&gt;=0,"G",IF((AV12-(AV11*0.95))&gt;=0,"A","R")))))))))</f>
        <v>R</v>
      </c>
      <c r="AW13" s="55" t="str">
        <f t="shared" si="36"/>
        <v>R</v>
      </c>
      <c r="AX13" s="55" t="str">
        <f t="shared" ref="AX13:AY13" si="37">IF(AX4="OD","OD",IF(AX$6&gt;$E$2,"",IF(AX12="Blank","Blank",IF(AX12="TBC","TBC",IF(AX4="OD","OD",IF(AX12="No Data","No Data",IF(AX12="","OD",IF((AX12-AX11)&gt;=0,"G",IF((AX12-(AX11*0.95))&gt;=0,"A","R")))))))))</f>
        <v>R</v>
      </c>
      <c r="AY13" s="55" t="str">
        <f t="shared" si="37"/>
        <v/>
      </c>
      <c r="AZ13" s="55" t="str">
        <f t="shared" ref="AZ13:BA13" si="38">IF(AZ4="OD","OD",IF(AZ$6&gt;$E$2,"",IF(AZ12="Blank","Blank",IF(AZ12="TBC","TBC",IF(AZ4="OD","OD",IF(AZ12="No Data","No Data",IF(AZ12="","OD",IF((AZ12-AZ11)&gt;=0,"G",IF((AZ12-(AZ11*0.95))&gt;=0,"A","R")))))))))</f>
        <v/>
      </c>
      <c r="BA13" s="55" t="str">
        <f t="shared" si="38"/>
        <v/>
      </c>
      <c r="BB13" s="55" t="str">
        <f t="shared" ref="BB13:BC13" si="39">IF(BB4="OD","OD",IF(BB$6&gt;$E$2,"",IF(BB12="Blank","Blank",IF(BB12="TBC","TBC",IF(BB4="OD","OD",IF(BB12="No Data","No Data",IF(BB12="","OD",IF((BB12-BB11)&gt;=0,"G",IF((BB12-(BB11*0.95))&gt;=0,"A","R")))))))))</f>
        <v/>
      </c>
      <c r="BC13" s="55" t="str">
        <f t="shared" si="39"/>
        <v/>
      </c>
      <c r="BD13" s="55" t="str">
        <f t="shared" ref="BD13:BE13" si="40">IF(BD4="OD","OD",IF(BD$6&gt;$E$2,"",IF(BD12="Blank","Blank",IF(BD12="TBC","TBC",IF(BD4="OD","OD",IF(BD12="No Data","No Data",IF(BD12="","OD",IF((BD12-BD11)&gt;=0,"G",IF((BD12-(BD11*0.95))&gt;=0,"A","R")))))))))</f>
        <v/>
      </c>
      <c r="BE13" s="55" t="str">
        <f t="shared" si="40"/>
        <v/>
      </c>
      <c r="BF13" s="55" t="str">
        <f t="shared" ref="BF13:BG13" si="41">IF(BF4="OD","OD",IF(BF$6&gt;$E$2,"",IF(BF12="Blank","Blank",IF(BF12="TBC","TBC",IF(BF4="OD","OD",IF(BF12="No Data","No Data",IF(BF12="","OD",IF((BF12-BF11)&gt;=0,"G",IF((BF12-(BF11*0.95))&gt;=0,"A","R")))))))))</f>
        <v/>
      </c>
      <c r="BG13" s="55" t="str">
        <f t="shared" si="41"/>
        <v/>
      </c>
      <c r="BH13" s="55" t="str">
        <f t="shared" ref="BH13:BI13" si="42">IF(BH4="OD","OD",IF(BH$6&gt;$E$2,"",IF(BH12="Blank","Blank",IF(BH12="TBC","TBC",IF(BH4="OD","OD",IF(BH12="No Data","No Data",IF(BH12="","OD",IF((BH12-BH11)&gt;=0,"G",IF((BH12-(BH11*0.95))&gt;=0,"A","R")))))))))</f>
        <v/>
      </c>
      <c r="BI13" s="55" t="str">
        <f t="shared" si="42"/>
        <v/>
      </c>
      <c r="BJ13" s="39" t="str">
        <f t="shared" ref="BJ13" si="43">IF(BJ4="OD","OD",IF(BJ$6&gt;$E$2,"",IF(BJ12="Blank","Blank",IF(BJ12="TBC","TBC",IF(BJ4="OD","OD",IF(BJ12="No Data","No Data",IF(BJ12="","OD",IF((BJ12-BJ11)&gt;=0,"G",IF((BJ12-(BJ11*0.95))&gt;=0,"A","R")))))))))</f>
        <v/>
      </c>
    </row>
    <row r="14" spans="2:62" ht="24" customHeight="1" x14ac:dyDescent="0.25">
      <c r="B14" s="77" t="s">
        <v>906</v>
      </c>
      <c r="C14" s="79" t="s">
        <v>987</v>
      </c>
      <c r="D14" s="79" t="s">
        <v>988</v>
      </c>
      <c r="E14" s="79" t="s">
        <v>976</v>
      </c>
      <c r="F14" s="79" t="s">
        <v>989</v>
      </c>
      <c r="G14" s="84" t="s">
        <v>1009</v>
      </c>
      <c r="H14" s="40" t="s">
        <v>979</v>
      </c>
      <c r="I14" s="41"/>
      <c r="J14" s="57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57">
        <v>0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57">
        <v>0</v>
      </c>
      <c r="W14" s="57">
        <v>0</v>
      </c>
      <c r="X14" s="57">
        <v>0</v>
      </c>
      <c r="Y14" s="57">
        <v>0</v>
      </c>
      <c r="Z14" s="57">
        <v>0</v>
      </c>
      <c r="AA14" s="57">
        <v>0</v>
      </c>
      <c r="AB14" s="57">
        <v>0</v>
      </c>
      <c r="AC14" s="57">
        <f>IF(AC$6&lt;=$E$2,0,"")</f>
        <v>0</v>
      </c>
      <c r="AD14" s="57">
        <f t="shared" ref="AD14:BJ14" si="44">IF(AD$6&lt;=$E$2,0,"")</f>
        <v>0</v>
      </c>
      <c r="AE14" s="57">
        <f t="shared" si="44"/>
        <v>0</v>
      </c>
      <c r="AF14" s="57">
        <f t="shared" si="44"/>
        <v>0</v>
      </c>
      <c r="AG14" s="57">
        <f t="shared" si="44"/>
        <v>0</v>
      </c>
      <c r="AH14" s="57">
        <f t="shared" si="44"/>
        <v>0</v>
      </c>
      <c r="AI14" s="57">
        <f t="shared" si="44"/>
        <v>0</v>
      </c>
      <c r="AJ14" s="57">
        <f t="shared" si="44"/>
        <v>0</v>
      </c>
      <c r="AK14" s="57">
        <f t="shared" si="44"/>
        <v>0</v>
      </c>
      <c r="AL14" s="57">
        <f t="shared" si="44"/>
        <v>0</v>
      </c>
      <c r="AM14" s="57">
        <f t="shared" si="44"/>
        <v>0</v>
      </c>
      <c r="AN14" s="57">
        <f t="shared" si="44"/>
        <v>0</v>
      </c>
      <c r="AO14" s="57">
        <f t="shared" si="44"/>
        <v>0</v>
      </c>
      <c r="AP14" s="57">
        <f t="shared" si="44"/>
        <v>0</v>
      </c>
      <c r="AQ14" s="57">
        <f t="shared" si="44"/>
        <v>0</v>
      </c>
      <c r="AR14" s="57">
        <f t="shared" si="44"/>
        <v>0</v>
      </c>
      <c r="AS14" s="57">
        <f t="shared" si="44"/>
        <v>0</v>
      </c>
      <c r="AT14" s="57">
        <f t="shared" si="44"/>
        <v>0</v>
      </c>
      <c r="AU14" s="57">
        <f t="shared" si="44"/>
        <v>0</v>
      </c>
      <c r="AV14" s="57">
        <f t="shared" si="44"/>
        <v>0</v>
      </c>
      <c r="AW14" s="57">
        <f t="shared" si="44"/>
        <v>0</v>
      </c>
      <c r="AX14" s="57">
        <f t="shared" si="44"/>
        <v>0</v>
      </c>
      <c r="AY14" s="57" t="str">
        <f t="shared" si="44"/>
        <v/>
      </c>
      <c r="AZ14" s="57" t="str">
        <f t="shared" si="44"/>
        <v/>
      </c>
      <c r="BA14" s="57" t="str">
        <f t="shared" si="44"/>
        <v/>
      </c>
      <c r="BB14" s="57" t="str">
        <f t="shared" si="44"/>
        <v/>
      </c>
      <c r="BC14" s="57" t="str">
        <f t="shared" si="44"/>
        <v/>
      </c>
      <c r="BD14" s="57" t="str">
        <f t="shared" si="44"/>
        <v/>
      </c>
      <c r="BE14" s="57" t="str">
        <f t="shared" si="44"/>
        <v/>
      </c>
      <c r="BF14" s="57" t="str">
        <f t="shared" si="44"/>
        <v/>
      </c>
      <c r="BG14" s="57" t="str">
        <f t="shared" si="44"/>
        <v/>
      </c>
      <c r="BH14" s="57" t="str">
        <f t="shared" si="44"/>
        <v/>
      </c>
      <c r="BI14" s="57" t="str">
        <f t="shared" si="44"/>
        <v/>
      </c>
      <c r="BJ14" s="42" t="str">
        <f t="shared" si="44"/>
        <v/>
      </c>
    </row>
    <row r="15" spans="2:62" ht="24" customHeight="1" x14ac:dyDescent="0.25">
      <c r="B15" s="77"/>
      <c r="C15" s="79"/>
      <c r="D15" s="79"/>
      <c r="E15" s="79"/>
      <c r="F15" s="79"/>
      <c r="G15" s="84"/>
      <c r="H15" s="33" t="s">
        <v>980</v>
      </c>
      <c r="I15" s="34" t="s">
        <v>905</v>
      </c>
      <c r="J15" s="54">
        <v>0</v>
      </c>
      <c r="K15" s="54">
        <v>0</v>
      </c>
      <c r="L15" s="54">
        <v>0</v>
      </c>
      <c r="M15" s="54">
        <v>0</v>
      </c>
      <c r="N15" s="54">
        <v>0</v>
      </c>
      <c r="O15" s="54">
        <v>0</v>
      </c>
      <c r="P15" s="54">
        <v>0</v>
      </c>
      <c r="Q15" s="54">
        <v>0</v>
      </c>
      <c r="R15" s="54">
        <v>0</v>
      </c>
      <c r="S15" s="54">
        <v>0</v>
      </c>
      <c r="T15" s="54">
        <v>0</v>
      </c>
      <c r="U15" s="54">
        <v>0</v>
      </c>
      <c r="V15" s="54">
        <v>0</v>
      </c>
      <c r="W15" s="54">
        <v>0</v>
      </c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2</v>
      </c>
      <c r="AD15" s="54">
        <v>1</v>
      </c>
      <c r="AE15" s="54">
        <v>0</v>
      </c>
      <c r="AF15" s="54">
        <v>3</v>
      </c>
      <c r="AG15" s="54">
        <v>2</v>
      </c>
      <c r="AH15" s="54">
        <v>4</v>
      </c>
      <c r="AI15" s="54">
        <v>4</v>
      </c>
      <c r="AJ15" s="54">
        <v>2</v>
      </c>
      <c r="AK15" s="54">
        <v>4</v>
      </c>
      <c r="AL15" s="54">
        <v>1</v>
      </c>
      <c r="AM15" s="54">
        <v>3</v>
      </c>
      <c r="AN15" s="54">
        <v>0</v>
      </c>
      <c r="AO15" s="35">
        <v>2</v>
      </c>
      <c r="AP15" s="35">
        <v>3</v>
      </c>
      <c r="AQ15" s="35">
        <v>0</v>
      </c>
      <c r="AR15" s="35">
        <v>4</v>
      </c>
      <c r="AS15" s="35">
        <v>2</v>
      </c>
      <c r="AT15" s="35">
        <v>3</v>
      </c>
      <c r="AU15" s="35" t="s">
        <v>1814</v>
      </c>
      <c r="AV15" s="54" t="s">
        <v>1814</v>
      </c>
      <c r="AW15" s="54" t="s">
        <v>1814</v>
      </c>
      <c r="AX15" s="54" t="str">
        <f>IF(AX$6&gt;$E$2,"",IFERROR(+GETPIVOTDATA("Count of Proposal Request No.",'Pivot Weekly close'!$A$4,"week No",AX12),"no Data"))</f>
        <v>no Data</v>
      </c>
      <c r="AY15" s="54" t="str">
        <f>IF(AY$6&gt;$E$2,"",IFERROR(+GETPIVOTDATA("Count of Proposal Request No.",'Pivot Weekly close'!$A$4,"week No",AY12),"no Data"))</f>
        <v/>
      </c>
      <c r="AZ15" s="54" t="str">
        <f>IF(AZ$6&gt;$E$2,"",IFERROR(+GETPIVOTDATA("Count of Proposal Request No.",'Pivot Weekly close'!$A$4,"week No",AZ12),"no Data"))</f>
        <v/>
      </c>
      <c r="BA15" s="54" t="str">
        <f>IF(BA$6&gt;$E$2,"",IFERROR(+GETPIVOTDATA("Count of Proposal Request No.",'Pivot Weekly close'!$A$4,"week No",BA12),"no Data"))</f>
        <v/>
      </c>
      <c r="BB15" s="54" t="str">
        <f>IF(BB$6&gt;$E$2,"",IFERROR(+GETPIVOTDATA("Count of Proposal Request No.",'Pivot Weekly close'!$A$4,"week No",BB12),"no Data"))</f>
        <v/>
      </c>
      <c r="BC15" s="54" t="str">
        <f>IF(BC$6&gt;$E$2,"",IFERROR(+GETPIVOTDATA("Count of Proposal Request No.",'Pivot Weekly close'!$A$4,"week No",BC12),"no Data"))</f>
        <v/>
      </c>
      <c r="BD15" s="54" t="str">
        <f>IF(BD$6&gt;$E$2,"",IFERROR(+GETPIVOTDATA("Count of Proposal Request No.",'Pivot Weekly close'!$A$4,"week No",BD12),"no Data"))</f>
        <v/>
      </c>
      <c r="BE15" s="54" t="str">
        <f>IF(BE$6&gt;$E$2,"",IFERROR(+GETPIVOTDATA("Count of Proposal Request No.",'Pivot Weekly close'!$A$4,"week No",BE12),"no Data"))</f>
        <v/>
      </c>
      <c r="BF15" s="54" t="str">
        <f>IF(BF$6&gt;$E$2,"",IFERROR(+GETPIVOTDATA("Count of Proposal Request No.",'Pivot Weekly close'!$A$4,"week No",BF12),"no Data"))</f>
        <v/>
      </c>
      <c r="BG15" s="54" t="str">
        <f>IF(BG$6&gt;$E$2,"",IFERROR(+GETPIVOTDATA("Count of Proposal Request No.",'Pivot Weekly close'!$A$4,"week No",BG12),"no Data"))</f>
        <v/>
      </c>
      <c r="BH15" s="54" t="str">
        <f>IF(BH$6&gt;$E$2,"",IFERROR(+GETPIVOTDATA("Count of Proposal Request No.",'Pivot Weekly close'!$A$4,"week No",BH12),"no Data"))</f>
        <v/>
      </c>
      <c r="BI15" s="54" t="str">
        <f>IF(BI$6&gt;$E$2,"",IFERROR(+GETPIVOTDATA("Count of Proposal Request No.",'Pivot Weekly close'!$A$4,"week No",BI12),"no Data"))</f>
        <v/>
      </c>
      <c r="BJ15" s="35" t="str">
        <f>IF(BJ$6&gt;$E$2,"",IFERROR(+GETPIVOTDATA("Count of Proposal Request No.",'Pivot Weekly close'!$A$4,"week No",BJ12),"no Data"))</f>
        <v/>
      </c>
    </row>
    <row r="16" spans="2:62" ht="24" customHeight="1" x14ac:dyDescent="0.25">
      <c r="B16" s="77"/>
      <c r="C16" s="79"/>
      <c r="D16" s="79"/>
      <c r="E16" s="79"/>
      <c r="F16" s="79"/>
      <c r="G16" s="84"/>
      <c r="H16" s="36" t="s">
        <v>981</v>
      </c>
      <c r="I16" s="38" t="str">
        <f>IF(I$6&gt;$E$2,"",IF(I15="Blank","Blank",IF(I15="TBC","TBC",IF((I15-I14)&lt;=0,"G",IF((I15-(I14*0.95))&lt;=0,"A","R")))))</f>
        <v>Blank</v>
      </c>
      <c r="J16" s="58" t="str">
        <f t="shared" ref="J16:AA16" si="45">IF(J4="OD","OD",IF(J$6&gt;$E$2,"",IF(J15="Blank","Blank",IF(J15="TBC","TBC",IF(J4="OD","OD",IF(J15="","OD",IF((J15-J14)&lt;=0,"G",IF((J15-(J14*0.95))&lt;=0,"A","R"))))))))</f>
        <v>G</v>
      </c>
      <c r="K16" s="58" t="str">
        <f t="shared" si="45"/>
        <v>G</v>
      </c>
      <c r="L16" s="58" t="str">
        <f t="shared" si="45"/>
        <v>G</v>
      </c>
      <c r="M16" s="58" t="str">
        <f t="shared" si="45"/>
        <v>G</v>
      </c>
      <c r="N16" s="58" t="str">
        <f t="shared" si="45"/>
        <v>G</v>
      </c>
      <c r="O16" s="58" t="str">
        <f t="shared" si="45"/>
        <v>G</v>
      </c>
      <c r="P16" s="58" t="str">
        <f t="shared" si="45"/>
        <v>G</v>
      </c>
      <c r="Q16" s="58" t="str">
        <f t="shared" si="45"/>
        <v>G</v>
      </c>
      <c r="R16" s="58" t="str">
        <f t="shared" si="45"/>
        <v>G</v>
      </c>
      <c r="S16" s="58" t="str">
        <f t="shared" si="45"/>
        <v>G</v>
      </c>
      <c r="T16" s="58" t="str">
        <f t="shared" si="45"/>
        <v>G</v>
      </c>
      <c r="U16" s="58" t="str">
        <f t="shared" si="45"/>
        <v>G</v>
      </c>
      <c r="V16" s="58" t="str">
        <f t="shared" si="45"/>
        <v>G</v>
      </c>
      <c r="W16" s="58" t="str">
        <f t="shared" si="45"/>
        <v>G</v>
      </c>
      <c r="X16" s="58" t="str">
        <f t="shared" si="45"/>
        <v>G</v>
      </c>
      <c r="Y16" s="58" t="str">
        <f t="shared" si="45"/>
        <v>G</v>
      </c>
      <c r="Z16" s="58" t="str">
        <f t="shared" si="45"/>
        <v>G</v>
      </c>
      <c r="AA16" s="58" t="str">
        <f t="shared" si="45"/>
        <v>G</v>
      </c>
      <c r="AB16" s="58" t="str">
        <f>IF(AB4="OD","OD",IF(AB$6&gt;$E$2,"",IF(AB15="Blank","Blank",IF(AB15="TBC","TBC",IF(AB4="OD","OD",IF(AB15="","OD",IF((AB15-AB14)&lt;=0,"G",IF((AB15-(AB14*0.95))&lt;=0,"A","R"))))))))</f>
        <v>G</v>
      </c>
      <c r="AC16" s="58" t="str">
        <f>IF(AC4="OD","OD",IF(AC$6&gt;$E$2,"",IF(AC15="Blank","Blank",IF(AC15="TBC","TBC",IF(AC15="No Data","No Data",IF(AC4="OD","OD",IF(AC15="","OD",IF((AC15-AC14)&lt;=0,"G",IF((AC15-(AC14*0.95))&lt;=0,"A","R")))))))))</f>
        <v>R</v>
      </c>
      <c r="AD16" s="58" t="str">
        <f t="shared" ref="AD16:AE16" si="46">IF(AD4="OD","OD",IF(AD$6&gt;$E$2,"",IF(AD15="Blank","Blank",IF(AD15="TBC","TBC",IF(AD15="No Data","No Data",IF(AD4="OD","OD",IF(AD15="","OD",IF((AD15-AD14)&lt;=0,"G",IF((AD15-(AD14*0.95))&lt;=0,"A","R")))))))))</f>
        <v>R</v>
      </c>
      <c r="AE16" s="58" t="str">
        <f t="shared" si="46"/>
        <v>G</v>
      </c>
      <c r="AF16" s="58" t="str">
        <f t="shared" ref="AF16:AG16" si="47">IF(AF4="OD","OD",IF(AF$6&gt;$E$2,"",IF(AF15="Blank","Blank",IF(AF15="TBC","TBC",IF(AF15="No Data","No Data",IF(AF4="OD","OD",IF(AF15="","OD",IF((AF15-AF14)&lt;=0,"G",IF((AF15-(AF14*0.95))&lt;=0,"A","R")))))))))</f>
        <v>R</v>
      </c>
      <c r="AG16" s="58" t="str">
        <f t="shared" si="47"/>
        <v>R</v>
      </c>
      <c r="AH16" s="58" t="str">
        <f t="shared" ref="AH16:AI16" si="48">IF(AH4="OD","OD",IF(AH$6&gt;$E$2,"",IF(AH15="Blank","Blank",IF(AH15="TBC","TBC",IF(AH15="No Data","No Data",IF(AH4="OD","OD",IF(AH15="","OD",IF((AH15-AH14)&lt;=0,"G",IF((AH15-(AH14*0.95))&lt;=0,"A","R")))))))))</f>
        <v>R</v>
      </c>
      <c r="AI16" s="58" t="str">
        <f t="shared" si="48"/>
        <v>R</v>
      </c>
      <c r="AJ16" s="58" t="str">
        <f t="shared" ref="AJ16:AK16" si="49">IF(AJ4="OD","OD",IF(AJ$6&gt;$E$2,"",IF(AJ15="Blank","Blank",IF(AJ15="TBC","TBC",IF(AJ15="No Data","No Data",IF(AJ4="OD","OD",IF(AJ15="","OD",IF((AJ15-AJ14)&lt;=0,"G",IF((AJ15-(AJ14*0.95))&lt;=0,"A","R")))))))))</f>
        <v>R</v>
      </c>
      <c r="AK16" s="58" t="str">
        <f t="shared" si="49"/>
        <v>R</v>
      </c>
      <c r="AL16" s="58" t="str">
        <f t="shared" ref="AL16:AM16" si="50">IF(AL4="OD","OD",IF(AL$6&gt;$E$2,"",IF(AL15="Blank","Blank",IF(AL15="TBC","TBC",IF(AL15="No Data","No Data",IF(AL4="OD","OD",IF(AL15="","OD",IF((AL15-AL14)&lt;=0,"G",IF((AL15-(AL14*0.95))&lt;=0,"A","R")))))))))</f>
        <v>R</v>
      </c>
      <c r="AM16" s="58" t="str">
        <f t="shared" si="50"/>
        <v>R</v>
      </c>
      <c r="AN16" s="58" t="str">
        <f t="shared" ref="AN16:AO16" si="51">IF(AN4="OD","OD",IF(AN$6&gt;$E$2,"",IF(AN15="Blank","Blank",IF(AN15="TBC","TBC",IF(AN15="No Data","No Data",IF(AN4="OD","OD",IF(AN15="","OD",IF((AN15-AN14)&lt;=0,"G",IF((AN15-(AN14*0.95))&lt;=0,"A","R")))))))))</f>
        <v>G</v>
      </c>
      <c r="AO16" s="58" t="str">
        <f t="shared" si="51"/>
        <v>R</v>
      </c>
      <c r="AP16" s="58" t="str">
        <f t="shared" ref="AP16:AQ16" si="52">IF(AP4="OD","OD",IF(AP$6&gt;$E$2,"",IF(AP15="Blank","Blank",IF(AP15="TBC","TBC",IF(AP15="No Data","No Data",IF(AP4="OD","OD",IF(AP15="","OD",IF((AP15-AP14)&lt;=0,"G",IF((AP15-(AP14*0.95))&lt;=0,"A","R")))))))))</f>
        <v>R</v>
      </c>
      <c r="AQ16" s="58" t="str">
        <f t="shared" si="52"/>
        <v>G</v>
      </c>
      <c r="AR16" s="58" t="str">
        <f t="shared" ref="AR16:AS16" si="53">IF(AR4="OD","OD",IF(AR$6&gt;$E$2,"",IF(AR15="Blank","Blank",IF(AR15="TBC","TBC",IF(AR15="No Data","No Data",IF(AR4="OD","OD",IF(AR15="","OD",IF((AR15-AR14)&lt;=0,"G",IF((AR15-(AR14*0.95))&lt;=0,"A","R")))))))))</f>
        <v>R</v>
      </c>
      <c r="AS16" s="58" t="str">
        <f t="shared" si="53"/>
        <v>R</v>
      </c>
      <c r="AT16" s="58" t="str">
        <f>IF(AT15="OD","OD",IF(AT$6&gt;$E$2,"",IF(AT15="Blank","Blank",IF(AT15="TBC","TBC",IF(AT15="No Data","No Data",IF(AT4="OD","OD",IF(AT15="","OD",IF((AT15-AT14)&lt;=0,"G",IF((AT15-(AT14*0.95))&lt;=0,"A","R")))))))))</f>
        <v>R</v>
      </c>
      <c r="AU16" s="58" t="str">
        <f t="shared" ref="AU16:AW16" si="54">IF(AU15="OD","OD",IF(AU$6&gt;$E$2,"",IF(AU15="Blank","Blank",IF(AU15="TBC","TBC",IF(AU15="No Data","No Data",IF(AU4="OD","OD",IF(AU15="","OD",IF((AU15-AU14)&lt;=0,"G",IF((AU15-(AU14*0.95))&lt;=0,"A","R")))))))))</f>
        <v>OD</v>
      </c>
      <c r="AV16" s="58" t="str">
        <f t="shared" si="54"/>
        <v>OD</v>
      </c>
      <c r="AW16" s="58" t="str">
        <f t="shared" si="54"/>
        <v>OD</v>
      </c>
      <c r="AX16" s="58" t="str">
        <f t="shared" ref="AX16:AY16" si="55">IF(AX4="OD","OD",IF(AX$6&gt;$E$2,"",IF(AX15="Blank","Blank",IF(AX15="TBC","TBC",IF(AX15="No Data","No Data",IF(AX4="OD","OD",IF(AX15="","OD",IF((AX15-AX14)&lt;=0,"G",IF((AX15-(AX14*0.95))&lt;=0,"A","R")))))))))</f>
        <v>No Data</v>
      </c>
      <c r="AY16" s="58" t="str">
        <f t="shared" si="55"/>
        <v/>
      </c>
      <c r="AZ16" s="58" t="str">
        <f t="shared" ref="AZ16:BA16" si="56">IF(AZ4="OD","OD",IF(AZ$6&gt;$E$2,"",IF(AZ15="Blank","Blank",IF(AZ15="TBC","TBC",IF(AZ15="No Data","No Data",IF(AZ4="OD","OD",IF(AZ15="","OD",IF((AZ15-AZ14)&lt;=0,"G",IF((AZ15-(AZ14*0.95))&lt;=0,"A","R")))))))))</f>
        <v/>
      </c>
      <c r="BA16" s="58" t="str">
        <f t="shared" si="56"/>
        <v/>
      </c>
      <c r="BB16" s="58" t="str">
        <f t="shared" ref="BB16:BC16" si="57">IF(BB4="OD","OD",IF(BB$6&gt;$E$2,"",IF(BB15="Blank","Blank",IF(BB15="TBC","TBC",IF(BB15="No Data","No Data",IF(BB4="OD","OD",IF(BB15="","OD",IF((BB15-BB14)&lt;=0,"G",IF((BB15-(BB14*0.95))&lt;=0,"A","R")))))))))</f>
        <v/>
      </c>
      <c r="BC16" s="58" t="str">
        <f t="shared" si="57"/>
        <v/>
      </c>
      <c r="BD16" s="58" t="str">
        <f t="shared" ref="BD16:BE16" si="58">IF(BD4="OD","OD",IF(BD$6&gt;$E$2,"",IF(BD15="Blank","Blank",IF(BD15="TBC","TBC",IF(BD15="No Data","No Data",IF(BD4="OD","OD",IF(BD15="","OD",IF((BD15-BD14)&lt;=0,"G",IF((BD15-(BD14*0.95))&lt;=0,"A","R")))))))))</f>
        <v/>
      </c>
      <c r="BE16" s="58" t="str">
        <f t="shared" si="58"/>
        <v/>
      </c>
      <c r="BF16" s="58" t="str">
        <f t="shared" ref="BF16:BG16" si="59">IF(BF4="OD","OD",IF(BF$6&gt;$E$2,"",IF(BF15="Blank","Blank",IF(BF15="TBC","TBC",IF(BF15="No Data","No Data",IF(BF4="OD","OD",IF(BF15="","OD",IF((BF15-BF14)&lt;=0,"G",IF((BF15-(BF14*0.95))&lt;=0,"A","R")))))))))</f>
        <v/>
      </c>
      <c r="BG16" s="58" t="str">
        <f t="shared" si="59"/>
        <v/>
      </c>
      <c r="BH16" s="58" t="str">
        <f t="shared" ref="BH16:BI16" si="60">IF(BH4="OD","OD",IF(BH$6&gt;$E$2,"",IF(BH15="Blank","Blank",IF(BH15="TBC","TBC",IF(BH15="No Data","No Data",IF(BH4="OD","OD",IF(BH15="","OD",IF((BH15-BH14)&lt;=0,"G",IF((BH15-(BH14*0.95))&lt;=0,"A","R")))))))))</f>
        <v/>
      </c>
      <c r="BI16" s="58" t="str">
        <f t="shared" si="60"/>
        <v/>
      </c>
      <c r="BJ16" s="37" t="str">
        <f t="shared" ref="BJ16" si="61">IF(BJ4="OD","OD",IF(BJ$6&gt;$E$2,"",IF(BJ15="Blank","Blank",IF(BJ15="TBC","TBC",IF(BJ15="No Data","No Data",IF(BJ4="OD","OD",IF(BJ15="","OD",IF((BJ15-BJ14)&lt;=0,"G",IF((BJ15-(BJ14*0.95))&lt;=0,"A","R")))))))))</f>
        <v/>
      </c>
    </row>
    <row r="17" spans="2:62" ht="24" customHeight="1" x14ac:dyDescent="0.25">
      <c r="B17" s="77" t="s">
        <v>991</v>
      </c>
      <c r="C17" s="79" t="s">
        <v>992</v>
      </c>
      <c r="D17" s="79" t="s">
        <v>993</v>
      </c>
      <c r="E17" s="79" t="s">
        <v>994</v>
      </c>
      <c r="F17" s="79" t="s">
        <v>977</v>
      </c>
      <c r="G17" s="83" t="s">
        <v>1008</v>
      </c>
      <c r="H17" s="40" t="s">
        <v>979</v>
      </c>
      <c r="I17" s="41"/>
      <c r="J17" s="53">
        <f>IF(J$6&lt;=$E$2,171000,"")</f>
        <v>171000</v>
      </c>
      <c r="K17" s="53">
        <f t="shared" ref="K17:BI17" si="62">IF(K$6&lt;=$E$2,171000,"")</f>
        <v>171000</v>
      </c>
      <c r="L17" s="53">
        <f t="shared" si="62"/>
        <v>171000</v>
      </c>
      <c r="M17" s="53">
        <f t="shared" si="62"/>
        <v>171000</v>
      </c>
      <c r="N17" s="53">
        <f t="shared" si="62"/>
        <v>171000</v>
      </c>
      <c r="O17" s="53">
        <f t="shared" si="62"/>
        <v>171000</v>
      </c>
      <c r="P17" s="53">
        <f t="shared" si="62"/>
        <v>171000</v>
      </c>
      <c r="Q17" s="53">
        <f t="shared" si="62"/>
        <v>171000</v>
      </c>
      <c r="R17" s="53">
        <f t="shared" si="62"/>
        <v>171000</v>
      </c>
      <c r="S17" s="53">
        <f t="shared" si="62"/>
        <v>171000</v>
      </c>
      <c r="T17" s="53">
        <f t="shared" si="62"/>
        <v>171000</v>
      </c>
      <c r="U17" s="53">
        <f t="shared" si="62"/>
        <v>171000</v>
      </c>
      <c r="V17" s="53">
        <f t="shared" si="62"/>
        <v>171000</v>
      </c>
      <c r="W17" s="53">
        <f t="shared" si="62"/>
        <v>171000</v>
      </c>
      <c r="X17" s="53">
        <f t="shared" si="62"/>
        <v>171000</v>
      </c>
      <c r="Y17" s="53">
        <f t="shared" si="62"/>
        <v>171000</v>
      </c>
      <c r="Z17" s="53">
        <f t="shared" si="62"/>
        <v>171000</v>
      </c>
      <c r="AA17" s="53">
        <f t="shared" si="62"/>
        <v>171000</v>
      </c>
      <c r="AB17" s="53">
        <f t="shared" si="62"/>
        <v>171000</v>
      </c>
      <c r="AC17" s="53">
        <f t="shared" si="62"/>
        <v>171000</v>
      </c>
      <c r="AD17" s="53">
        <f t="shared" si="62"/>
        <v>171000</v>
      </c>
      <c r="AE17" s="53">
        <f t="shared" si="62"/>
        <v>171000</v>
      </c>
      <c r="AF17" s="53">
        <f t="shared" si="62"/>
        <v>171000</v>
      </c>
      <c r="AG17" s="53">
        <f t="shared" si="62"/>
        <v>171000</v>
      </c>
      <c r="AH17" s="53">
        <f t="shared" si="62"/>
        <v>171000</v>
      </c>
      <c r="AI17" s="53">
        <f t="shared" si="62"/>
        <v>171000</v>
      </c>
      <c r="AJ17" s="53">
        <f t="shared" si="62"/>
        <v>171000</v>
      </c>
      <c r="AK17" s="53">
        <f t="shared" si="62"/>
        <v>171000</v>
      </c>
      <c r="AL17" s="53">
        <f t="shared" si="62"/>
        <v>171000</v>
      </c>
      <c r="AM17" s="53">
        <f t="shared" si="62"/>
        <v>171000</v>
      </c>
      <c r="AN17" s="53">
        <f t="shared" si="62"/>
        <v>171000</v>
      </c>
      <c r="AO17" s="53">
        <f t="shared" si="62"/>
        <v>171000</v>
      </c>
      <c r="AP17" s="53">
        <f t="shared" si="62"/>
        <v>171000</v>
      </c>
      <c r="AQ17" s="53">
        <f t="shared" si="62"/>
        <v>171000</v>
      </c>
      <c r="AR17" s="53">
        <f t="shared" si="62"/>
        <v>171000</v>
      </c>
      <c r="AS17" s="53">
        <f t="shared" si="62"/>
        <v>171000</v>
      </c>
      <c r="AT17" s="53">
        <f t="shared" si="62"/>
        <v>171000</v>
      </c>
      <c r="AU17" s="53">
        <f t="shared" si="62"/>
        <v>171000</v>
      </c>
      <c r="AV17" s="53">
        <f t="shared" si="62"/>
        <v>171000</v>
      </c>
      <c r="AW17" s="53">
        <f t="shared" si="62"/>
        <v>171000</v>
      </c>
      <c r="AX17" s="53">
        <f t="shared" si="62"/>
        <v>171000</v>
      </c>
      <c r="AY17" s="53" t="str">
        <f t="shared" si="62"/>
        <v/>
      </c>
      <c r="AZ17" s="53" t="str">
        <f t="shared" si="62"/>
        <v/>
      </c>
      <c r="BA17" s="53" t="str">
        <f t="shared" si="62"/>
        <v/>
      </c>
      <c r="BB17" s="53" t="str">
        <f t="shared" si="62"/>
        <v/>
      </c>
      <c r="BC17" s="53" t="str">
        <f t="shared" si="62"/>
        <v/>
      </c>
      <c r="BD17" s="53" t="str">
        <f t="shared" si="62"/>
        <v/>
      </c>
      <c r="BE17" s="53" t="str">
        <f t="shared" si="62"/>
        <v/>
      </c>
      <c r="BF17" s="53" t="str">
        <f t="shared" si="62"/>
        <v/>
      </c>
      <c r="BG17" s="53" t="str">
        <f t="shared" si="62"/>
        <v/>
      </c>
      <c r="BH17" s="53" t="str">
        <f t="shared" si="62"/>
        <v/>
      </c>
      <c r="BI17" s="53" t="str">
        <f t="shared" si="62"/>
        <v/>
      </c>
      <c r="BJ17" s="43" t="str">
        <f t="shared" ref="BJ17" si="63">IF(BJ$6&lt;=$E$2,205000,"")</f>
        <v/>
      </c>
    </row>
    <row r="18" spans="2:62" ht="24" customHeight="1" x14ac:dyDescent="0.25">
      <c r="B18" s="77"/>
      <c r="C18" s="79"/>
      <c r="D18" s="79"/>
      <c r="E18" s="79"/>
      <c r="F18" s="79"/>
      <c r="G18" s="83"/>
      <c r="H18" s="33" t="s">
        <v>980</v>
      </c>
      <c r="I18" s="34" t="s">
        <v>905</v>
      </c>
      <c r="J18" s="59">
        <f>IF(J$6&gt;$E$2,"",IFERROR(+GETPIVOTDATA("Sum of Estimate £",'Pivot Weekly close'!$A$4,"week No",J6)/GETPIVOTDATA("Count of Proposal Request No.",'Pivot Weekly close'!$A$4,"week No",J6),"no Data"))</f>
        <v>131542.7059387677</v>
      </c>
      <c r="K18" s="59">
        <f>IF(K$6&gt;$E$2,"",IFERROR(+GETPIVOTDATA("Sum of Estimate £",'Pivot Weekly close'!$A$4,"week No",K6)/GETPIVOTDATA("Count of Proposal Request No.",'Pivot Weekly close'!$A$4,"week No",K6),"no Data"))</f>
        <v>95420.927213453659</v>
      </c>
      <c r="L18" s="59">
        <f>IF(L$6&gt;$E$2,"",IFERROR(+GETPIVOTDATA("Sum of Estimate £",'Pivot Weekly close'!$A$4,"week No",L6)/GETPIVOTDATA("Count of Proposal Request No.",'Pivot Weekly close'!$A$4,"week No",L6),"no Data"))</f>
        <v>252447.13386231897</v>
      </c>
      <c r="M18" s="59">
        <f>IF(M$6&gt;$E$2,"",IFERROR(+GETPIVOTDATA("Sum of Estimate £",'Pivot Weekly close'!$A$4,"week No",M6)/GETPIVOTDATA("Count of Proposal Request No.",'Pivot Weekly close'!$A$4,"week No",M6),"no Data"))</f>
        <v>143566.15328988226</v>
      </c>
      <c r="N18" s="59">
        <f>IF(N$6&gt;$E$2,"",IFERROR(+GETPIVOTDATA("Sum of Estimate £",'Pivot Weekly close'!$A$4,"week No",N6)/GETPIVOTDATA("Count of Proposal Request No.",'Pivot Weekly close'!$A$4,"week No",N6),"no Data"))</f>
        <v>135645.70986576605</v>
      </c>
      <c r="O18" s="59">
        <f>IF(O$6&gt;$E$2,"",IFERROR(+GETPIVOTDATA("Sum of Estimate £",'Pivot Weekly close'!$A$4,"week No",O6)/GETPIVOTDATA("Count of Proposal Request No.",'Pivot Weekly close'!$A$4,"week No",O6),"no Data"))</f>
        <v>77657.02695974744</v>
      </c>
      <c r="P18" s="59">
        <f>IF(P$6&gt;$E$2,"",IFERROR(+GETPIVOTDATA("Sum of Estimate £",'Pivot Weekly close'!$A$4,"week No",P6)/GETPIVOTDATA("Count of Proposal Request No.",'Pivot Weekly close'!$A$4,"week No",P6),"no Data"))</f>
        <v>211434.48339624764</v>
      </c>
      <c r="Q18" s="59">
        <f>IF(Q$6&gt;$E$2,"",IFERROR(+GETPIVOTDATA("Sum of Estimate £",'Pivot Weekly close'!$A$4,"week No",Q6)/GETPIVOTDATA("Count of Proposal Request No.",'Pivot Weekly close'!$A$4,"week No",Q6),"no Data"))</f>
        <v>161039.42741504134</v>
      </c>
      <c r="R18" s="59">
        <f>IF(R$6&gt;$E$2,"",IFERROR(+GETPIVOTDATA("Sum of Estimate £",'Pivot Weekly close'!$A$4,"week No",R6)/GETPIVOTDATA("Count of Proposal Request No.",'Pivot Weekly close'!$A$4,"week No",R6),"no Data"))</f>
        <v>133172.53581369063</v>
      </c>
      <c r="S18" s="59">
        <f>IF(S$6&gt;$E$2,"",IFERROR(+GETPIVOTDATA("Sum of Estimate £",'Pivot Weekly close'!$A$4,"week No",S6)/GETPIVOTDATA("Count of Proposal Request No.",'Pivot Weekly close'!$A$4,"week No",S6),"no Data"))</f>
        <v>89839.791480018073</v>
      </c>
      <c r="T18" s="59">
        <f>IF(T$6&gt;$E$2,"",IFERROR(+GETPIVOTDATA("Sum of Estimate £",'Pivot Weekly close'!$A$4,"week No",T6)/GETPIVOTDATA("Count of Proposal Request No.",'Pivot Weekly close'!$A$4,"week No",T6),"no Data"))</f>
        <v>240503.48036051422</v>
      </c>
      <c r="U18" s="59">
        <f>IF(U$6&gt;$E$2,"",IFERROR(+GETPIVOTDATA("Sum of Estimate £",'Pivot Weekly close'!$A$4,"week No",U6)/GETPIVOTDATA("Count of Proposal Request No.",'Pivot Weekly close'!$A$4,"week No",U6),"no Data"))</f>
        <v>383125.33151537488</v>
      </c>
      <c r="V18" s="59">
        <f>IF(V$6&gt;$E$2,"",IFERROR(+GETPIVOTDATA("Sum of Estimate £",'Pivot Weekly close'!$A$4,"week No",V6)/GETPIVOTDATA("Count of Proposal Request No.",'Pivot Weekly close'!$A$4,"week No",V6),"no Data"))</f>
        <v>595166.78986062878</v>
      </c>
      <c r="W18" s="59">
        <f>IF(W$6&gt;$E$2,"",IFERROR(+GETPIVOTDATA("Sum of Estimate £",'Pivot Weekly close'!$A$4,"week No",W6)/GETPIVOTDATA("Count of Proposal Request No.",'Pivot Weekly close'!$A$4,"week No",W6),"no Data"))</f>
        <v>74942.536918996964</v>
      </c>
      <c r="X18" s="59">
        <f>IF(X$6&gt;$E$2,"",IFERROR(+GETPIVOTDATA("Sum of Estimate £",'Pivot Weekly close'!$A$4,"week No",X6)/GETPIVOTDATA("Count of Proposal Request No.",'Pivot Weekly close'!$A$4,"week No",X6),"no Data"))</f>
        <v>161626.30149879478</v>
      </c>
      <c r="Y18" s="59">
        <f>IF(Y$6&gt;$E$2,"",IFERROR(+GETPIVOTDATA("Sum of Estimate £",'Pivot Weekly close'!$A$4,"week No",Y6)/GETPIVOTDATA("Count of Proposal Request No.",'Pivot Weekly close'!$A$4,"week No",Y6),"no Data"))</f>
        <v>168037.90737707613</v>
      </c>
      <c r="Z18" s="59">
        <f>IF(Z$6&gt;$E$2,"",IFERROR(+GETPIVOTDATA("Sum of Estimate £",'Pivot Weekly close'!$A$4,"week No",Z6)/GETPIVOTDATA("Count of Proposal Request No.",'Pivot Weekly close'!$A$4,"week No",Z6),"no Data"))</f>
        <v>123624.70279513692</v>
      </c>
      <c r="AA18" s="59">
        <f>IF(AA$6&gt;$E$2,"",IFERROR(+GETPIVOTDATA("Sum of Estimate £",'Pivot Weekly close'!$A$4,"week No",AA6)/GETPIVOTDATA("Count of Proposal Request No.",'Pivot Weekly close'!$A$4,"week No",AA6),"no Data"))</f>
        <v>345181.303272049</v>
      </c>
      <c r="AB18" s="59">
        <f>IF(AB$6&gt;$E$2,"",IFERROR(+GETPIVOTDATA("Sum of Estimate £",'Pivot Weekly close'!$A$4,"week No",AB6)/GETPIVOTDATA("Count of Proposal Request No.",'Pivot Weekly close'!$A$4,"week No",AB6),"no Data"))</f>
        <v>198596.91928988727</v>
      </c>
      <c r="AC18" s="59">
        <f>IF(AC$6&gt;$E$2,"",IFERROR(+GETPIVOTDATA("Sum of Estimate £",'Pivot Weekly close'!$A$4,"week No",AC6)/GETPIVOTDATA("Count of Proposal Request No.",'Pivot Weekly close'!$A$4,"week No",AC6),"no Data"))</f>
        <v>122099.61601069217</v>
      </c>
      <c r="AD18" s="59">
        <f>IF(AD$6&gt;$E$2,"",IFERROR(+GETPIVOTDATA("Sum of Estimate £",'Pivot Weekly close'!$A$4,"week No",AD6)/GETPIVOTDATA("Count of Proposal Request No.",'Pivot Weekly close'!$A$4,"week No",AD6),"no Data"))</f>
        <v>283729.33685728017</v>
      </c>
      <c r="AE18" s="59">
        <f>IF(AE$6&gt;$E$2,"",IFERROR(+GETPIVOTDATA("Sum of Estimate £",'Pivot Weekly close'!$A$4,"week No",AE6)/GETPIVOTDATA("Count of Proposal Request No.",'Pivot Weekly close'!$A$4,"week No",AE6),"no Data"))</f>
        <v>292720.78231568064</v>
      </c>
      <c r="AF18" s="59">
        <f>IF(AF$6&gt;$E$2,"",IFERROR(+GETPIVOTDATA("Sum of Estimate £",'Pivot Weekly close'!$A$4,"week No",AF6)/GETPIVOTDATA("Count of Proposal Request No.",'Pivot Weekly close'!$A$4,"week No",AF6),"no Data"))</f>
        <v>168758.04884984426</v>
      </c>
      <c r="AG18" s="59">
        <f>IF(AG$6&gt;$E$2,"",IFERROR(+GETPIVOTDATA("Sum of Estimate £",'Pivot Weekly close'!$A$4,"week No",AG6)/GETPIVOTDATA("Count of Proposal Request No.",'Pivot Weekly close'!$A$4,"week No",AG6),"no Data"))</f>
        <v>192292.5246266147</v>
      </c>
      <c r="AH18" s="59">
        <f>IF(AH$6&gt;$E$2,"",IFERROR(+GETPIVOTDATA("Sum of Estimate £",'Pivot Weekly close'!$A$4,"week No",AH6)/GETPIVOTDATA("Count of Proposal Request No.",'Pivot Weekly close'!$A$4,"week No",AH6),"no Data"))</f>
        <v>801566.26835283369</v>
      </c>
      <c r="AI18" s="59">
        <f>IF(AI$6&gt;$E$2,"",IFERROR(+GETPIVOTDATA("Sum of Estimate £",'Pivot Weekly close'!$A$4,"week No",AI6)/GETPIVOTDATA("Count of Proposal Request No.",'Pivot Weekly close'!$A$4,"week No",AI6),"no Data"))</f>
        <v>353771.00096884469</v>
      </c>
      <c r="AJ18" s="59">
        <f>IF(AJ$6&gt;$E$2,"",IFERROR(+GETPIVOTDATA("Sum of Estimate £",'Pivot Weekly close'!$A$4,"week No",AJ6)/GETPIVOTDATA("Count of Proposal Request No.",'Pivot Weekly close'!$A$4,"week No",AJ6),"no Data"))</f>
        <v>1076576.5548191532</v>
      </c>
      <c r="AK18" s="59">
        <f>IF(AK$6&gt;$E$2,"",IFERROR(+GETPIVOTDATA("Sum of Estimate £",'Pivot Weekly close'!$A$4,"week No",AK6)/GETPIVOTDATA("Count of Proposal Request No.",'Pivot Weekly close'!$A$4,"week No",AK6),"no Data"))</f>
        <v>129554.11039594523</v>
      </c>
      <c r="AL18" s="59">
        <f>IF(AL$6&gt;$E$2,"",IFERROR(+GETPIVOTDATA("Sum of Estimate £",'Pivot Weekly close'!$A$4,"week No",AL6)/GETPIVOTDATA("Count of Proposal Request No.",'Pivot Weekly close'!$A$4,"week No",AL6),"no Data"))</f>
        <v>198522.06394795747</v>
      </c>
      <c r="AM18" s="59">
        <f>IF(AM$6&gt;$E$2,"",IFERROR(+GETPIVOTDATA("Sum of Estimate £",'Pivot Weekly close'!$A$4,"week No",AM6)/GETPIVOTDATA("Count of Proposal Request No.",'Pivot Weekly close'!$A$4,"week No",AM6),"no Data"))</f>
        <v>110532.0540668749</v>
      </c>
      <c r="AN18" s="59">
        <f>IF(AN$6&gt;$E$2,"",IFERROR(+GETPIVOTDATA("Sum of Estimate £",'Pivot Weekly close'!$A$4,"week No",AN6)/GETPIVOTDATA("Count of Proposal Request No.",'Pivot Weekly close'!$A$4,"week No",AN6),"no Data"))</f>
        <v>105564.65597124163</v>
      </c>
      <c r="AO18" s="59">
        <f>IF(AO$6&gt;$E$2,"",IFERROR(+GETPIVOTDATA("Sum of Estimate £",'Pivot Weekly close'!$A$4,"week No",AO6)/GETPIVOTDATA("Count of Proposal Request No.",'Pivot Weekly close'!$A$4,"week No",AO6),"no Data"))</f>
        <v>49538.206627680309</v>
      </c>
      <c r="AP18" s="59">
        <f>IF(AP$6&gt;$E$2,"",IFERROR(+GETPIVOTDATA("Sum of Estimate £",'Pivot Weekly close'!$A$4,"week No",AP6)/GETPIVOTDATA("Count of Proposal Request No.",'Pivot Weekly close'!$A$4,"week No",AP6),"no Data"))</f>
        <v>28328.460038986352</v>
      </c>
      <c r="AQ18" s="59">
        <f>IF(AQ$6&gt;$E$2,"",IFERROR(+GETPIVOTDATA("Sum of Estimate £",'Pivot Weekly close'!$A$4,"week No",AQ6)/GETPIVOTDATA("Count of Proposal Request No.",'Pivot Weekly close'!$A$4,"week No",AQ6),"no Data"))</f>
        <v>133024.11466749752</v>
      </c>
      <c r="AR18" s="59">
        <f>IF(AR$6&gt;$E$2,"",IFERROR(+GETPIVOTDATA("Sum of Estimate £",'Pivot Weekly close'!$A$4,"week No",AR6)/GETPIVOTDATA("Count of Proposal Request No.",'Pivot Weekly close'!$A$4,"week No",AR6),"no Data"))</f>
        <v>174353.30869534952</v>
      </c>
      <c r="AS18" s="59">
        <f>IF(AS$6&gt;$E$2,"",IFERROR(+GETPIVOTDATA("Sum of Estimate £",'Pivot Weekly close'!$A$4,"week No",AS6)/GETPIVOTDATA("Count of Proposal Request No.",'Pivot Weekly close'!$A$4,"week No",AS6),"no Data"))</f>
        <v>210216.74853534414</v>
      </c>
      <c r="AT18" s="59">
        <f>IF(AT$6&gt;$E$2,"",IFERROR(+GETPIVOTDATA("Sum of Estimate £",'Pivot Weekly close'!$A$4,"week No",AT6)/GETPIVOTDATA("Count of Proposal Request No.",'Pivot Weekly close'!$A$4,"week No",AT6),"no Data"))</f>
        <v>124268.09435302479</v>
      </c>
      <c r="AU18" s="59">
        <f>IF(AU$6&gt;$E$2,"",IFERROR(+GETPIVOTDATA("Sum of Estimate £",'Pivot Weekly close'!$A$4,"week No",AU6)/GETPIVOTDATA("Count of Proposal Request No.",'Pivot Weekly close'!$A$4,"week No",AU6),"no Data"))</f>
        <v>153929.24452468974</v>
      </c>
      <c r="AV18" s="59">
        <f>IF(AV$6&gt;$E$2,"",IFERROR(+GETPIVOTDATA("Sum of Estimate £",'Pivot Weekly close'!$A$4,"week No",AV6)/GETPIVOTDATA("Count of Proposal Request No.",'Pivot Weekly close'!$A$4,"week No",AV6),"no Data"))</f>
        <v>181326.72946521218</v>
      </c>
      <c r="AW18" s="59">
        <f>IF(AW$6&gt;$E$2,"",IFERROR(+GETPIVOTDATA("Sum of Estimate £",'Pivot Weekly close'!$A$4,"week No",AW6)/GETPIVOTDATA("Count of Proposal Request No.",'Pivot Weekly close'!$A$4,"week No",AW6),"no Data"))</f>
        <v>211491.9726496645</v>
      </c>
      <c r="AX18" s="59">
        <f>IF(AX$6&gt;$E$2,"",IFERROR(+GETPIVOTDATA("Sum of Estimate £",'Pivot Weekly close'!$A$4,"week No",AX6)/GETPIVOTDATA("Count of Proposal Request No.",'Pivot Weekly close'!$A$4,"week No",AX6),"no Data"))</f>
        <v>286806.93034413276</v>
      </c>
      <c r="AY18" s="59" t="str">
        <f>IF(AY$6&gt;$E$2,"",IFERROR(+GETPIVOTDATA("Sum of Estimate £",'Pivot Weekly close'!$A$4,"week No",AY6)/GETPIVOTDATA("Count of Proposal Request No.",'Pivot Weekly close'!$A$4,"week No",AY6),"no Data"))</f>
        <v/>
      </c>
      <c r="AZ18" s="59" t="str">
        <f>IF(AZ$6&gt;$E$2,"",IFERROR(+GETPIVOTDATA("Sum of Estimate £",'Pivot Weekly close'!$A$4,"week No",AZ6)/GETPIVOTDATA("Count of Proposal Request No.",'Pivot Weekly close'!$A$4,"week No",AZ6),"no Data"))</f>
        <v/>
      </c>
      <c r="BA18" s="59" t="str">
        <f>IF(BA$6&gt;$E$2,"",IFERROR(+GETPIVOTDATA("Sum of Estimate £",'Pivot Weekly close'!$A$4,"week No",BA6)/GETPIVOTDATA("Count of Proposal Request No.",'Pivot Weekly close'!$A$4,"week No",BA6),"no Data"))</f>
        <v/>
      </c>
      <c r="BB18" s="59" t="str">
        <f>IF(BB$6&gt;$E$2,"",IFERROR(+GETPIVOTDATA("Sum of Estimate £",'Pivot Weekly close'!$A$4,"week No",BB6)/GETPIVOTDATA("Count of Proposal Request No.",'Pivot Weekly close'!$A$4,"week No",BB6),"no Data"))</f>
        <v/>
      </c>
      <c r="BC18" s="59" t="str">
        <f>IF(BC$6&gt;$E$2,"",IFERROR(+GETPIVOTDATA("Sum of Estimate £",'Pivot Weekly close'!$A$4,"week No",BC6)/GETPIVOTDATA("Count of Proposal Request No.",'Pivot Weekly close'!$A$4,"week No",BC6),"no Data"))</f>
        <v/>
      </c>
      <c r="BD18" s="59" t="str">
        <f>IF(BD$6&gt;$E$2,"",IFERROR(+GETPIVOTDATA("Sum of Estimate £",'Pivot Weekly close'!$A$4,"week No",BD6)/GETPIVOTDATA("Count of Proposal Request No.",'Pivot Weekly close'!$A$4,"week No",BD6),"no Data"))</f>
        <v/>
      </c>
      <c r="BE18" s="59" t="str">
        <f>IF(BE$6&gt;$E$2,"",IFERROR(+GETPIVOTDATA("Sum of Estimate £",'Pivot Weekly close'!$A$4,"week No",BE6)/GETPIVOTDATA("Count of Proposal Request No.",'Pivot Weekly close'!$A$4,"week No",BE6),"no Data"))</f>
        <v/>
      </c>
      <c r="BF18" s="59" t="str">
        <f>IF(BF$6&gt;$E$2,"",IFERROR(+GETPIVOTDATA("Sum of Estimate £",'Pivot Weekly close'!$A$4,"week No",BF6)/GETPIVOTDATA("Count of Proposal Request No.",'Pivot Weekly close'!$A$4,"week No",BF6),"no Data"))</f>
        <v/>
      </c>
      <c r="BG18" s="59" t="str">
        <f>IF(BG$6&gt;$E$2,"",IFERROR(+GETPIVOTDATA("Sum of Estimate £",'Pivot Weekly close'!$A$4,"week No",BG6)/GETPIVOTDATA("Count of Proposal Request No.",'Pivot Weekly close'!$A$4,"week No",BG6),"no Data"))</f>
        <v/>
      </c>
      <c r="BH18" s="59" t="str">
        <f>IF(BH$6&gt;$E$2,"",IFERROR(+GETPIVOTDATA("Sum of Estimate £",'Pivot Weekly close'!$A$4,"week No",BH6)/GETPIVOTDATA("Count of Proposal Request No.",'Pivot Weekly close'!$A$4,"week No",BH6),"no Data"))</f>
        <v/>
      </c>
      <c r="BI18" s="59" t="str">
        <f>IF(BI$6&gt;$E$2,"",IFERROR(+GETPIVOTDATA("Sum of Estimate £",'Pivot Weekly close'!$A$4,"week No",BI6)/GETPIVOTDATA("Count of Proposal Request No.",'Pivot Weekly close'!$A$4,"week No",BI6),"no Data"))</f>
        <v/>
      </c>
      <c r="BJ18" s="35" t="str">
        <f>IF(BJ$6&gt;$E$2,"",IFERROR(+GETPIVOTDATA("Count of Proposal Request No.",'Pivot Weekly close'!$A$4,"week No",BJ15),"no Data"))</f>
        <v/>
      </c>
    </row>
    <row r="19" spans="2:62" ht="24" customHeight="1" x14ac:dyDescent="0.25">
      <c r="B19" s="77"/>
      <c r="C19" s="79"/>
      <c r="D19" s="79"/>
      <c r="E19" s="79"/>
      <c r="F19" s="79"/>
      <c r="G19" s="83"/>
      <c r="H19" s="36" t="s">
        <v>981</v>
      </c>
      <c r="I19" s="38" t="str">
        <f>IF(I$6&gt;$E$2,"",IF(I18="Blank","Blank",IF(I18="TBC","TBC",IF((I18-I17)&gt;=0,"G",IF((I18-(I17*0.95))&gt;=0,"A","R")))))</f>
        <v>Blank</v>
      </c>
      <c r="J19" s="55" t="str">
        <f t="shared" ref="J19:AA19" si="64">IF(J4="OD","OD",IF(J$6&gt;$E$2,"",IF(J18="Blank","Blank",IF(J18="TBC","TBC",IF(J18="Missed","Missed",IF(J18="","OD",IF((J18-J17)&gt;=0,"G",IF((J18-(J17*0.95))&gt;=0,"A","R"))))))))</f>
        <v>R</v>
      </c>
      <c r="K19" s="55" t="str">
        <f t="shared" si="64"/>
        <v>R</v>
      </c>
      <c r="L19" s="55" t="str">
        <f t="shared" si="64"/>
        <v>G</v>
      </c>
      <c r="M19" s="55" t="str">
        <f t="shared" si="64"/>
        <v>R</v>
      </c>
      <c r="N19" s="55" t="str">
        <f t="shared" si="64"/>
        <v>R</v>
      </c>
      <c r="O19" s="55" t="str">
        <f t="shared" si="64"/>
        <v>R</v>
      </c>
      <c r="P19" s="55" t="str">
        <f t="shared" si="64"/>
        <v>G</v>
      </c>
      <c r="Q19" s="55" t="str">
        <f t="shared" si="64"/>
        <v>R</v>
      </c>
      <c r="R19" s="55" t="str">
        <f t="shared" si="64"/>
        <v>R</v>
      </c>
      <c r="S19" s="55" t="str">
        <f t="shared" si="64"/>
        <v>R</v>
      </c>
      <c r="T19" s="55" t="str">
        <f t="shared" si="64"/>
        <v>G</v>
      </c>
      <c r="U19" s="55" t="str">
        <f t="shared" si="64"/>
        <v>G</v>
      </c>
      <c r="V19" s="55" t="str">
        <f t="shared" si="64"/>
        <v>G</v>
      </c>
      <c r="W19" s="55" t="str">
        <f t="shared" si="64"/>
        <v>R</v>
      </c>
      <c r="X19" s="55" t="str">
        <f t="shared" si="64"/>
        <v>R</v>
      </c>
      <c r="Y19" s="55" t="str">
        <f t="shared" si="64"/>
        <v>A</v>
      </c>
      <c r="Z19" s="55" t="str">
        <f t="shared" si="64"/>
        <v>R</v>
      </c>
      <c r="AA19" s="55" t="str">
        <f t="shared" si="64"/>
        <v>G</v>
      </c>
      <c r="AB19" s="55" t="str">
        <f>IF(AB4="OD","OD",IF(AB$6&gt;$E$2,"",IF(AB18="Blank","Blank",IF(AB18="TBC","TBC",IF(AB18="Missed","Missed",IF(AB18="","OD",IF((AB18-AB17)&gt;=0,"G",IF((AB18-(AB17*0.95))&gt;=0,"A","R"))))))))</f>
        <v>G</v>
      </c>
      <c r="AC19" s="55" t="str">
        <f>IF(AC4="OD","OD",IF(AC$6&gt;$E$2,"",IF(AC18="Blank","Blank",IF(AC18="TBC","TBC",IF(AC18="No Data","No Data",IF(AC18="Missed","Missed",IF(AC18="","OD",IF((AC18-AC17)&gt;=0,"G",IF((AC18-(AC17*0.95))&gt;=0,"A","R")))))))))</f>
        <v>R</v>
      </c>
      <c r="AD19" s="55" t="str">
        <f>IF(AD4="OD","OD",IF(AD$6&gt;$E$2,"",IF(AD18="Blank","Blank",IF(AD18="TBC","TBC",IF(AD18="Missed","Missed",IF(AD18="No Data","No Data",IF(AD18="","OD",IF((AD18-AD17)&gt;=0,"G",IF((AD18-(AD17*0.95))&gt;=0,"A","R")))))))))</f>
        <v>G</v>
      </c>
      <c r="AE19" s="55" t="str">
        <f t="shared" ref="AE19" si="65">IF(AE4="OD","OD",IF(AE$6&gt;$E$2,"",IF(AE18="Blank","Blank",IF(AE18="TBC","TBC",IF(AE18="No Data","No Data",IF(AE18="Missed","Missed",IF(AE18="","OD",IF((AE18-AE17)&gt;=0,"G",IF((AE18-(AE17*0.95))&gt;=0,"A","R")))))))))</f>
        <v>G</v>
      </c>
      <c r="AF19" s="55" t="str">
        <f t="shared" ref="AF19" si="66">IF(AF4="OD","OD",IF(AF$6&gt;$E$2,"",IF(AF18="Blank","Blank",IF(AF18="TBC","TBC",IF(AF18="Missed","Missed",IF(AF18="No Data","No Data",IF(AF18="","OD",IF((AF18-AF17)&gt;=0,"G",IF((AF18-(AF17*0.95))&gt;=0,"A","R")))))))))</f>
        <v>A</v>
      </c>
      <c r="AG19" s="55" t="str">
        <f t="shared" ref="AG19" si="67">IF(AG4="OD","OD",IF(AG$6&gt;$E$2,"",IF(AG18="Blank","Blank",IF(AG18="TBC","TBC",IF(AG18="No Data","No Data",IF(AG18="Missed","Missed",IF(AG18="","OD",IF((AG18-AG17)&gt;=0,"G",IF((AG18-(AG17*0.95))&gt;=0,"A","R")))))))))</f>
        <v>G</v>
      </c>
      <c r="AH19" s="55" t="str">
        <f t="shared" ref="AH19" si="68">IF(AH4="OD","OD",IF(AH$6&gt;$E$2,"",IF(AH18="Blank","Blank",IF(AH18="TBC","TBC",IF(AH18="Missed","Missed",IF(AH18="No Data","No Data",IF(AH18="","OD",IF((AH18-AH17)&gt;=0,"G",IF((AH18-(AH17*0.95))&gt;=0,"A","R")))))))))</f>
        <v>G</v>
      </c>
      <c r="AI19" s="55" t="str">
        <f t="shared" ref="AI19" si="69">IF(AI4="OD","OD",IF(AI$6&gt;$E$2,"",IF(AI18="Blank","Blank",IF(AI18="TBC","TBC",IF(AI18="No Data","No Data",IF(AI18="Missed","Missed",IF(AI18="","OD",IF((AI18-AI17)&gt;=0,"G",IF((AI18-(AI17*0.95))&gt;=0,"A","R")))))))))</f>
        <v>G</v>
      </c>
      <c r="AJ19" s="55" t="str">
        <f t="shared" ref="AJ19" si="70">IF(AJ4="OD","OD",IF(AJ$6&gt;$E$2,"",IF(AJ18="Blank","Blank",IF(AJ18="TBC","TBC",IF(AJ18="Missed","Missed",IF(AJ18="No Data","No Data",IF(AJ18="","OD",IF((AJ18-AJ17)&gt;=0,"G",IF((AJ18-(AJ17*0.95))&gt;=0,"A","R")))))))))</f>
        <v>G</v>
      </c>
      <c r="AK19" s="55" t="str">
        <f t="shared" ref="AK19" si="71">IF(AK4="OD","OD",IF(AK$6&gt;$E$2,"",IF(AK18="Blank","Blank",IF(AK18="TBC","TBC",IF(AK18="No Data","No Data",IF(AK18="Missed","Missed",IF(AK18="","OD",IF((AK18-AK17)&gt;=0,"G",IF((AK18-(AK17*0.95))&gt;=0,"A","R")))))))))</f>
        <v>R</v>
      </c>
      <c r="AL19" s="55" t="str">
        <f t="shared" ref="AL19" si="72">IF(AL4="OD","OD",IF(AL$6&gt;$E$2,"",IF(AL18="Blank","Blank",IF(AL18="TBC","TBC",IF(AL18="Missed","Missed",IF(AL18="No Data","No Data",IF(AL18="","OD",IF((AL18-AL17)&gt;=0,"G",IF((AL18-(AL17*0.95))&gt;=0,"A","R")))))))))</f>
        <v>G</v>
      </c>
      <c r="AM19" s="55" t="str">
        <f t="shared" ref="AM19" si="73">IF(AM4="OD","OD",IF(AM$6&gt;$E$2,"",IF(AM18="Blank","Blank",IF(AM18="TBC","TBC",IF(AM18="No Data","No Data",IF(AM18="Missed","Missed",IF(AM18="","OD",IF((AM18-AM17)&gt;=0,"G",IF((AM18-(AM17*0.95))&gt;=0,"A","R")))))))))</f>
        <v>R</v>
      </c>
      <c r="AN19" s="55" t="str">
        <f t="shared" ref="AN19" si="74">IF(AN4="OD","OD",IF(AN$6&gt;$E$2,"",IF(AN18="Blank","Blank",IF(AN18="TBC","TBC",IF(AN18="Missed","Missed",IF(AN18="No Data","No Data",IF(AN18="","OD",IF((AN18-AN17)&gt;=0,"G",IF((AN18-(AN17*0.95))&gt;=0,"A","R")))))))))</f>
        <v>R</v>
      </c>
      <c r="AO19" s="55" t="str">
        <f t="shared" ref="AO19" si="75">IF(AO4="OD","OD",IF(AO$6&gt;$E$2,"",IF(AO18="Blank","Blank",IF(AO18="TBC","TBC",IF(AO18="No Data","No Data",IF(AO18="Missed","Missed",IF(AO18="","OD",IF((AO18-AO17)&gt;=0,"G",IF((AO18-(AO17*0.95))&gt;=0,"A","R")))))))))</f>
        <v>R</v>
      </c>
      <c r="AP19" s="55" t="str">
        <f t="shared" ref="AP19" si="76">IF(AP4="OD","OD",IF(AP$6&gt;$E$2,"",IF(AP18="Blank","Blank",IF(AP18="TBC","TBC",IF(AP18="Missed","Missed",IF(AP18="No Data","No Data",IF(AP18="","OD",IF((AP18-AP17)&gt;=0,"G",IF((AP18-(AP17*0.95))&gt;=0,"A","R")))))))))</f>
        <v>R</v>
      </c>
      <c r="AQ19" s="55" t="str">
        <f t="shared" ref="AQ19" si="77">IF(AQ4="OD","OD",IF(AQ$6&gt;$E$2,"",IF(AQ18="Blank","Blank",IF(AQ18="TBC","TBC",IF(AQ18="No Data","No Data",IF(AQ18="Missed","Missed",IF(AQ18="","OD",IF((AQ18-AQ17)&gt;=0,"G",IF((AQ18-(AQ17*0.95))&gt;=0,"A","R")))))))))</f>
        <v>R</v>
      </c>
      <c r="AR19" s="55" t="str">
        <f t="shared" ref="AR19" si="78">IF(AR4="OD","OD",IF(AR$6&gt;$E$2,"",IF(AR18="Blank","Blank",IF(AR18="TBC","TBC",IF(AR18="Missed","Missed",IF(AR18="No Data","No Data",IF(AR18="","OD",IF((AR18-AR17)&gt;=0,"G",IF((AR18-(AR17*0.95))&gt;=0,"A","R")))))))))</f>
        <v>G</v>
      </c>
      <c r="AS19" s="55" t="str">
        <f t="shared" ref="AS19" si="79">IF(AS4="OD","OD",IF(AS$6&gt;$E$2,"",IF(AS18="Blank","Blank",IF(AS18="TBC","TBC",IF(AS18="No Data","No Data",IF(AS18="Missed","Missed",IF(AS18="","OD",IF((AS18-AS17)&gt;=0,"G",IF((AS18-(AS17*0.95))&gt;=0,"A","R")))))))))</f>
        <v>G</v>
      </c>
      <c r="AT19" s="55" t="str">
        <f t="shared" ref="AT19" si="80">IF(AT4="OD","OD",IF(AT$6&gt;$E$2,"",IF(AT18="Blank","Blank",IF(AT18="TBC","TBC",IF(AT18="Missed","Missed",IF(AT18="No Data","No Data",IF(AT18="","OD",IF((AT18-AT17)&gt;=0,"G",IF((AT18-(AT17*0.95))&gt;=0,"A","R")))))))))</f>
        <v>R</v>
      </c>
      <c r="AU19" s="55" t="str">
        <f t="shared" ref="AU19" si="81">IF(AU4="OD","OD",IF(AU$6&gt;$E$2,"",IF(AU18="Blank","Blank",IF(AU18="TBC","TBC",IF(AU18="No Data","No Data",IF(AU18="Missed","Missed",IF(AU18="","OD",IF((AU18-AU17)&gt;=0,"G",IF((AU18-(AU17*0.95))&gt;=0,"A","R")))))))))</f>
        <v>R</v>
      </c>
      <c r="AV19" s="55" t="str">
        <f t="shared" ref="AV19" si="82">IF(AV4="OD","OD",IF(AV$6&gt;$E$2,"",IF(AV18="Blank","Blank",IF(AV18="TBC","TBC",IF(AV18="Missed","Missed",IF(AV18="No Data","No Data",IF(AV18="","OD",IF((AV18-AV17)&gt;=0,"G",IF((AV18-(AV17*0.95))&gt;=0,"A","R")))))))))</f>
        <v>G</v>
      </c>
      <c r="AW19" s="55" t="str">
        <f t="shared" ref="AW19" si="83">IF(AW4="OD","OD",IF(AW$6&gt;$E$2,"",IF(AW18="Blank","Blank",IF(AW18="TBC","TBC",IF(AW18="No Data","No Data",IF(AW18="Missed","Missed",IF(AW18="","OD",IF((AW18-AW17)&gt;=0,"G",IF((AW18-(AW17*0.95))&gt;=0,"A","R")))))))))</f>
        <v>G</v>
      </c>
      <c r="AX19" s="55" t="str">
        <f t="shared" ref="AX19" si="84">IF(AX4="OD","OD",IF(AX$6&gt;$E$2,"",IF(AX18="Blank","Blank",IF(AX18="TBC","TBC",IF(AX18="Missed","Missed",IF(AX18="No Data","No Data",IF(AX18="","OD",IF((AX18-AX17)&gt;=0,"G",IF((AX18-(AX17*0.95))&gt;=0,"A","R")))))))))</f>
        <v>G</v>
      </c>
      <c r="AY19" s="55" t="str">
        <f t="shared" ref="AY19" si="85">IF(AY4="OD","OD",IF(AY$6&gt;$E$2,"",IF(AY18="Blank","Blank",IF(AY18="TBC","TBC",IF(AY18="No Data","No Data",IF(AY18="Missed","Missed",IF(AY18="","OD",IF((AY18-AY17)&gt;=0,"G",IF((AY18-(AY17*0.95))&gt;=0,"A","R")))))))))</f>
        <v/>
      </c>
      <c r="AZ19" s="55" t="str">
        <f t="shared" ref="AZ19" si="86">IF(AZ4="OD","OD",IF(AZ$6&gt;$E$2,"",IF(AZ18="Blank","Blank",IF(AZ18="TBC","TBC",IF(AZ18="Missed","Missed",IF(AZ18="No Data","No Data",IF(AZ18="","OD",IF((AZ18-AZ17)&gt;=0,"G",IF((AZ18-(AZ17*0.95))&gt;=0,"A","R")))))))))</f>
        <v/>
      </c>
      <c r="BA19" s="55" t="str">
        <f t="shared" ref="BA19" si="87">IF(BA4="OD","OD",IF(BA$6&gt;$E$2,"",IF(BA18="Blank","Blank",IF(BA18="TBC","TBC",IF(BA18="No Data","No Data",IF(BA18="Missed","Missed",IF(BA18="","OD",IF((BA18-BA17)&gt;=0,"G",IF((BA18-(BA17*0.95))&gt;=0,"A","R")))))))))</f>
        <v/>
      </c>
      <c r="BB19" s="55" t="str">
        <f t="shared" ref="BB19" si="88">IF(BB4="OD","OD",IF(BB$6&gt;$E$2,"",IF(BB18="Blank","Blank",IF(BB18="TBC","TBC",IF(BB18="Missed","Missed",IF(BB18="No Data","No Data",IF(BB18="","OD",IF((BB18-BB17)&gt;=0,"G",IF((BB18-(BB17*0.95))&gt;=0,"A","R")))))))))</f>
        <v/>
      </c>
      <c r="BC19" s="55" t="str">
        <f t="shared" ref="BC19" si="89">IF(BC4="OD","OD",IF(BC$6&gt;$E$2,"",IF(BC18="Blank","Blank",IF(BC18="TBC","TBC",IF(BC18="No Data","No Data",IF(BC18="Missed","Missed",IF(BC18="","OD",IF((BC18-BC17)&gt;=0,"G",IF((BC18-(BC17*0.95))&gt;=0,"A","R")))))))))</f>
        <v/>
      </c>
      <c r="BD19" s="55" t="str">
        <f t="shared" ref="BD19" si="90">IF(BD4="OD","OD",IF(BD$6&gt;$E$2,"",IF(BD18="Blank","Blank",IF(BD18="TBC","TBC",IF(BD18="Missed","Missed",IF(BD18="No Data","No Data",IF(BD18="","OD",IF((BD18-BD17)&gt;=0,"G",IF((BD18-(BD17*0.95))&gt;=0,"A","R")))))))))</f>
        <v/>
      </c>
      <c r="BE19" s="55" t="str">
        <f t="shared" ref="BE19" si="91">IF(BE4="OD","OD",IF(BE$6&gt;$E$2,"",IF(BE18="Blank","Blank",IF(BE18="TBC","TBC",IF(BE18="No Data","No Data",IF(BE18="Missed","Missed",IF(BE18="","OD",IF((BE18-BE17)&gt;=0,"G",IF((BE18-(BE17*0.95))&gt;=0,"A","R")))))))))</f>
        <v/>
      </c>
      <c r="BF19" s="55" t="str">
        <f t="shared" ref="BF19" si="92">IF(BF4="OD","OD",IF(BF$6&gt;$E$2,"",IF(BF18="Blank","Blank",IF(BF18="TBC","TBC",IF(BF18="Missed","Missed",IF(BF18="No Data","No Data",IF(BF18="","OD",IF((BF18-BF17)&gt;=0,"G",IF((BF18-(BF17*0.95))&gt;=0,"A","R")))))))))</f>
        <v/>
      </c>
      <c r="BG19" s="55" t="str">
        <f t="shared" ref="BG19" si="93">IF(BG4="OD","OD",IF(BG$6&gt;$E$2,"",IF(BG18="Blank","Blank",IF(BG18="TBC","TBC",IF(BG18="No Data","No Data",IF(BG18="Missed","Missed",IF(BG18="","OD",IF((BG18-BG17)&gt;=0,"G",IF((BG18-(BG17*0.95))&gt;=0,"A","R")))))))))</f>
        <v/>
      </c>
      <c r="BH19" s="55" t="str">
        <f t="shared" ref="BH19" si="94">IF(BH4="OD","OD",IF(BH$6&gt;$E$2,"",IF(BH18="Blank","Blank",IF(BH18="TBC","TBC",IF(BH18="Missed","Missed",IF(BH18="No Data","No Data",IF(BH18="","OD",IF((BH18-BH17)&gt;=0,"G",IF((BH18-(BH17*0.95))&gt;=0,"A","R")))))))))</f>
        <v/>
      </c>
      <c r="BI19" s="55" t="str">
        <f t="shared" ref="BI19" si="95">IF(BI4="OD","OD",IF(BI$6&gt;$E$2,"",IF(BI18="Blank","Blank",IF(BI18="TBC","TBC",IF(BI18="No Data","No Data",IF(BI18="Missed","Missed",IF(BI18="","OD",IF((BI18-BI17)&gt;=0,"G",IF((BI18-(BI17*0.95))&gt;=0,"A","R")))))))))</f>
        <v/>
      </c>
      <c r="BJ19" s="39" t="str">
        <f t="shared" ref="BJ19" si="96">IF(BJ4="OD","OD",IF(BJ$6&gt;$E$2,"",IF(BJ18="Blank","Blank",IF(BJ18="TBC","TBC",IF(BJ18="Missed","Missed",IF(BJ18="No Data","No Data",IF(BJ18="","OD",IF((BJ18-BJ17)&gt;=0,"G",IF((BJ18-(BJ17*0.95))&gt;=0,"A","R")))))))))</f>
        <v/>
      </c>
    </row>
    <row r="21" spans="2:62" x14ac:dyDescent="0.25">
      <c r="B21" s="17" t="s">
        <v>1078</v>
      </c>
      <c r="C21" s="17"/>
    </row>
    <row r="22" spans="2:62" ht="24" hidden="1" customHeight="1" outlineLevel="1" x14ac:dyDescent="0.25">
      <c r="B22" s="77" t="s">
        <v>973</v>
      </c>
      <c r="C22" s="78" t="s">
        <v>974</v>
      </c>
      <c r="D22" s="78" t="s">
        <v>975</v>
      </c>
      <c r="E22" s="17" t="s">
        <v>1006</v>
      </c>
      <c r="G22" s="17" t="s">
        <v>1004</v>
      </c>
      <c r="H22" s="33" t="s">
        <v>980</v>
      </c>
      <c r="I22" s="34" t="s">
        <v>905</v>
      </c>
      <c r="J22" s="54">
        <f>+J9</f>
        <v>33</v>
      </c>
      <c r="K22" s="54">
        <f t="shared" ref="K22:BJ22" si="97">+K9</f>
        <v>30</v>
      </c>
      <c r="L22" s="54">
        <f t="shared" si="97"/>
        <v>34</v>
      </c>
      <c r="M22" s="54">
        <f t="shared" si="97"/>
        <v>32</v>
      </c>
      <c r="N22" s="54">
        <f t="shared" si="97"/>
        <v>35</v>
      </c>
      <c r="O22" s="54">
        <f t="shared" si="97"/>
        <v>35</v>
      </c>
      <c r="P22" s="54">
        <f t="shared" si="97"/>
        <v>31</v>
      </c>
      <c r="Q22" s="54">
        <f t="shared" si="97"/>
        <v>33</v>
      </c>
      <c r="R22" s="54">
        <f t="shared" si="97"/>
        <v>27</v>
      </c>
      <c r="S22" s="54">
        <f t="shared" si="97"/>
        <v>39</v>
      </c>
      <c r="T22" s="54">
        <f t="shared" si="97"/>
        <v>34</v>
      </c>
      <c r="U22" s="54">
        <f t="shared" si="97"/>
        <v>36</v>
      </c>
      <c r="V22" s="54">
        <f t="shared" si="97"/>
        <v>35</v>
      </c>
      <c r="W22" s="54">
        <f t="shared" si="97"/>
        <v>34</v>
      </c>
      <c r="X22" s="54">
        <f t="shared" si="97"/>
        <v>21</v>
      </c>
      <c r="Y22" s="54">
        <f t="shared" si="97"/>
        <v>16</v>
      </c>
      <c r="Z22" s="54">
        <f t="shared" si="97"/>
        <v>32</v>
      </c>
      <c r="AA22" s="54">
        <f t="shared" si="97"/>
        <v>34</v>
      </c>
      <c r="AB22" s="54">
        <f t="shared" si="97"/>
        <v>37</v>
      </c>
      <c r="AC22" s="54">
        <f t="shared" si="97"/>
        <v>36</v>
      </c>
      <c r="AD22" s="54">
        <f t="shared" si="97"/>
        <v>20</v>
      </c>
      <c r="AE22" s="54">
        <f t="shared" si="97"/>
        <v>33</v>
      </c>
      <c r="AF22" s="54">
        <f t="shared" si="97"/>
        <v>24</v>
      </c>
      <c r="AG22" s="54">
        <f t="shared" si="97"/>
        <v>22</v>
      </c>
      <c r="AH22" s="54">
        <f t="shared" si="97"/>
        <v>36</v>
      </c>
      <c r="AI22" s="54">
        <f t="shared" si="97"/>
        <v>34</v>
      </c>
      <c r="AJ22" s="54">
        <f t="shared" si="97"/>
        <v>29</v>
      </c>
      <c r="AK22" s="54">
        <f t="shared" si="97"/>
        <v>25</v>
      </c>
      <c r="AL22" s="54">
        <f t="shared" si="97"/>
        <v>41</v>
      </c>
      <c r="AM22" s="54">
        <f t="shared" si="97"/>
        <v>32</v>
      </c>
      <c r="AN22" s="54">
        <f t="shared" si="97"/>
        <v>33</v>
      </c>
      <c r="AO22" s="54">
        <f t="shared" si="97"/>
        <v>10</v>
      </c>
      <c r="AP22" s="54">
        <f t="shared" si="97"/>
        <v>7</v>
      </c>
      <c r="AQ22" s="54">
        <f t="shared" si="97"/>
        <v>61</v>
      </c>
      <c r="AR22" s="54">
        <f t="shared" si="97"/>
        <v>14</v>
      </c>
      <c r="AS22" s="54">
        <f t="shared" si="97"/>
        <v>28</v>
      </c>
      <c r="AT22" s="54">
        <f t="shared" si="97"/>
        <v>25</v>
      </c>
      <c r="AU22" s="54">
        <f t="shared" si="97"/>
        <v>22</v>
      </c>
      <c r="AV22" s="54">
        <f t="shared" si="97"/>
        <v>26</v>
      </c>
      <c r="AW22" s="54">
        <f t="shared" si="97"/>
        <v>27</v>
      </c>
      <c r="AX22" s="54">
        <f t="shared" si="97"/>
        <v>24</v>
      </c>
      <c r="AY22" s="54" t="str">
        <f t="shared" si="97"/>
        <v/>
      </c>
      <c r="AZ22" s="54" t="str">
        <f t="shared" si="97"/>
        <v/>
      </c>
      <c r="BA22" s="54" t="str">
        <f t="shared" si="97"/>
        <v/>
      </c>
      <c r="BB22" s="54" t="str">
        <f t="shared" si="97"/>
        <v/>
      </c>
      <c r="BC22" s="54" t="str">
        <f t="shared" si="97"/>
        <v/>
      </c>
      <c r="BD22" s="54" t="str">
        <f t="shared" si="97"/>
        <v/>
      </c>
      <c r="BE22" s="54" t="str">
        <f t="shared" si="97"/>
        <v/>
      </c>
      <c r="BF22" s="54" t="str">
        <f t="shared" si="97"/>
        <v/>
      </c>
      <c r="BG22" s="54" t="str">
        <f t="shared" si="97"/>
        <v/>
      </c>
      <c r="BH22" s="54" t="str">
        <f t="shared" si="97"/>
        <v/>
      </c>
      <c r="BI22" s="54" t="str">
        <f t="shared" si="97"/>
        <v/>
      </c>
      <c r="BJ22" s="54" t="str">
        <f t="shared" si="97"/>
        <v/>
      </c>
    </row>
    <row r="23" spans="2:62" ht="24" hidden="1" customHeight="1" outlineLevel="1" x14ac:dyDescent="0.25">
      <c r="B23" s="77"/>
      <c r="C23" s="79"/>
      <c r="D23" s="79"/>
      <c r="E23" s="17" t="s">
        <v>1007</v>
      </c>
      <c r="G23" s="17" t="s">
        <v>1005</v>
      </c>
      <c r="H23" s="33" t="s">
        <v>980</v>
      </c>
      <c r="I23" s="34" t="s">
        <v>905</v>
      </c>
      <c r="J23" s="54">
        <v>33</v>
      </c>
      <c r="K23" s="54">
        <v>30</v>
      </c>
      <c r="L23" s="54">
        <v>33</v>
      </c>
      <c r="M23" s="54">
        <v>36</v>
      </c>
      <c r="N23" s="54">
        <v>36</v>
      </c>
      <c r="O23" s="54">
        <v>38</v>
      </c>
      <c r="P23" s="54">
        <v>32</v>
      </c>
      <c r="Q23" s="54">
        <v>31</v>
      </c>
      <c r="R23" s="54">
        <v>25</v>
      </c>
      <c r="S23" s="54">
        <v>38</v>
      </c>
      <c r="T23" s="54">
        <v>33</v>
      </c>
      <c r="U23" s="54">
        <v>37</v>
      </c>
      <c r="V23" s="54">
        <v>36</v>
      </c>
      <c r="W23" s="54">
        <v>39</v>
      </c>
      <c r="X23" s="54">
        <v>20</v>
      </c>
      <c r="Y23" s="54">
        <v>16</v>
      </c>
      <c r="Z23" s="54">
        <v>33</v>
      </c>
      <c r="AA23" s="54">
        <v>35</v>
      </c>
      <c r="AB23" s="54">
        <v>40</v>
      </c>
      <c r="AC23" s="54" t="str">
        <f>IF(AC$6&gt;$E$2,"",IFERROR(+GETPIVOTDATA("Count of Proposal Request No.",'Pivot Weekly close'!$A$4,"week No",AC20),"no Data"))</f>
        <v>no Data</v>
      </c>
      <c r="AD23" s="54" t="str">
        <f>IF(AD$6&gt;$E$2,"",IFERROR(+GETPIVOTDATA("Count of Proposal Request No.",'Pivot Weekly close'!$A$4,"week No",AD20),"no Data"))</f>
        <v>no Data</v>
      </c>
      <c r="AE23" s="54" t="str">
        <f>IF(AE$6&gt;$E$2,"",IFERROR(+GETPIVOTDATA("Count of Proposal Request No.",'Pivot Weekly close'!$A$4,"week No",AE20),"no Data"))</f>
        <v>no Data</v>
      </c>
      <c r="AF23" s="54" t="str">
        <f>IF(AF$6&gt;$E$2,"",IFERROR(+GETPIVOTDATA("Count of Proposal Request No.",'Pivot Weekly close'!$A$4,"week No",AF20),"no Data"))</f>
        <v>no Data</v>
      </c>
      <c r="AG23" s="54" t="str">
        <f>IF(AG$6&gt;$E$2,"",IFERROR(+GETPIVOTDATA("Count of Proposal Request No.",'Pivot Weekly close'!$A$4,"week No",AG20),"no Data"))</f>
        <v>no Data</v>
      </c>
      <c r="AH23" s="54" t="str">
        <f>IF(AH$6&gt;$E$2,"",IFERROR(+GETPIVOTDATA("Count of Proposal Request No.",'Pivot Weekly close'!$A$4,"week No",AH20),"no Data"))</f>
        <v>no Data</v>
      </c>
      <c r="AI23" s="54" t="str">
        <f>IF(AI$6&gt;$E$2,"",IFERROR(+GETPIVOTDATA("Count of Proposal Request No.",'Pivot Weekly close'!$A$4,"week No",AI20),"no Data"))</f>
        <v>no Data</v>
      </c>
      <c r="AJ23" s="54" t="str">
        <f>IF(AJ$6&gt;$E$2,"",IFERROR(+GETPIVOTDATA("Count of Proposal Request No.",'Pivot Weekly close'!$A$4,"week No",AJ20),"no Data"))</f>
        <v>no Data</v>
      </c>
      <c r="AK23" s="54" t="str">
        <f>IF(AK$6&gt;$E$2,"",IFERROR(+GETPIVOTDATA("Count of Proposal Request No.",'Pivot Weekly close'!$A$4,"week No",AK20),"no Data"))</f>
        <v>no Data</v>
      </c>
      <c r="AL23" s="54" t="str">
        <f>IF(AL$6&gt;$E$2,"",IFERROR(+GETPIVOTDATA("Count of Proposal Request No.",'Pivot Weekly close'!$A$4,"week No",AL20),"no Data"))</f>
        <v>no Data</v>
      </c>
      <c r="AM23" s="54" t="str">
        <f>IF(AM$6&gt;$E$2,"",IFERROR(+GETPIVOTDATA("Count of Proposal Request No.",'Pivot Weekly close'!$A$4,"week No",AM20),"no Data"))</f>
        <v>no Data</v>
      </c>
      <c r="AN23" s="54" t="str">
        <f>IF(AN$6&gt;$E$2,"",IFERROR(+GETPIVOTDATA("Count of Proposal Request No.",'Pivot Weekly close'!$A$4,"week No",AN20),"no Data"))</f>
        <v>no Data</v>
      </c>
      <c r="AO23" s="54" t="str">
        <f>IF(AO$6&gt;$E$2,"",IFERROR(+GETPIVOTDATA("Count of Proposal Request No.",'Pivot Weekly close'!$A$4,"week No",AO20),"no Data"))</f>
        <v>no Data</v>
      </c>
      <c r="AP23" s="54" t="str">
        <f>IF(AP$6&gt;$E$2,"",IFERROR(+GETPIVOTDATA("Count of Proposal Request No.",'Pivot Weekly close'!$A$4,"week No",AP20),"no Data"))</f>
        <v>no Data</v>
      </c>
      <c r="AQ23" s="54" t="str">
        <f>IF(AQ$6&gt;$E$2,"",IFERROR(+GETPIVOTDATA("Count of Proposal Request No.",'Pivot Weekly close'!$A$4,"week No",AQ20),"no Data"))</f>
        <v>no Data</v>
      </c>
      <c r="AR23" s="54" t="str">
        <f>IF(AR$6&gt;$E$2,"",IFERROR(+GETPIVOTDATA("Count of Proposal Request No.",'Pivot Weekly close'!$A$4,"week No",AR20),"no Data"))</f>
        <v>no Data</v>
      </c>
      <c r="AS23" s="54" t="str">
        <f>IF(AS$6&gt;$E$2,"",IFERROR(+GETPIVOTDATA("Count of Proposal Request No.",'Pivot Weekly close'!$A$4,"week No",AS20),"no Data"))</f>
        <v>no Data</v>
      </c>
      <c r="AT23" s="54" t="str">
        <f>IF(AT$6&gt;$E$2,"",IFERROR(+GETPIVOTDATA("Count of Proposal Request No.",'Pivot Weekly close'!$A$4,"week No",AT20),"no Data"))</f>
        <v>no Data</v>
      </c>
      <c r="AU23" s="54" t="str">
        <f>IF(AU$6&gt;$E$2,"",IFERROR(+GETPIVOTDATA("Count of Proposal Request No.",'Pivot Weekly close'!$A$4,"week No",AU20),"no Data"))</f>
        <v>no Data</v>
      </c>
      <c r="AV23" s="54" t="str">
        <f>IF(AV$6&gt;$E$2,"",IFERROR(+GETPIVOTDATA("Count of Proposal Request No.",'Pivot Weekly close'!$A$4,"week No",AV20),"no Data"))</f>
        <v>no Data</v>
      </c>
      <c r="AW23" s="54" t="str">
        <f>IF(AW$6&gt;$E$2,"",IFERROR(+GETPIVOTDATA("Count of Proposal Request No.",'Pivot Weekly close'!$A$4,"week No",AW20),"no Data"))</f>
        <v>no Data</v>
      </c>
      <c r="AX23" s="54" t="str">
        <f>IF(AX$6&gt;$E$2,"",IFERROR(+GETPIVOTDATA("Count of Proposal Request No.",'Pivot Weekly close'!$A$4,"week No",AX20),"no Data"))</f>
        <v>no Data</v>
      </c>
      <c r="AY23" s="54" t="str">
        <f>IF(AY$6&gt;$E$2,"",IFERROR(+GETPIVOTDATA("Count of Proposal Request No.",'Pivot Weekly close'!$A$4,"week No",AY20),"no Data"))</f>
        <v/>
      </c>
      <c r="AZ23" s="54" t="str">
        <f>IF(AZ$6&gt;$E$2,"",IFERROR(+GETPIVOTDATA("Count of Proposal Request No.",'Pivot Weekly close'!$A$4,"week No",AZ20),"no Data"))</f>
        <v/>
      </c>
      <c r="BA23" s="54" t="str">
        <f>IF(BA$6&gt;$E$2,"",IFERROR(+GETPIVOTDATA("Count of Proposal Request No.",'Pivot Weekly close'!$A$4,"week No",BA20),"no Data"))</f>
        <v/>
      </c>
      <c r="BB23" s="54" t="str">
        <f>IF(BB$6&gt;$E$2,"",IFERROR(+GETPIVOTDATA("Count of Proposal Request No.",'Pivot Weekly close'!$A$4,"week No",BB20),"no Data"))</f>
        <v/>
      </c>
      <c r="BC23" s="54" t="str">
        <f>IF(BC$6&gt;$E$2,"",IFERROR(+GETPIVOTDATA("Count of Proposal Request No.",'Pivot Weekly close'!$A$4,"week No",BC20),"no Data"))</f>
        <v/>
      </c>
      <c r="BD23" s="54" t="str">
        <f>IF(BD$6&gt;$E$2,"",IFERROR(+GETPIVOTDATA("Count of Proposal Request No.",'Pivot Weekly close'!$A$4,"week No",BD20),"no Data"))</f>
        <v/>
      </c>
      <c r="BE23" s="54" t="str">
        <f>IF(BE$6&gt;$E$2,"",IFERROR(+GETPIVOTDATA("Count of Proposal Request No.",'Pivot Weekly close'!$A$4,"week No",BE20),"no Data"))</f>
        <v/>
      </c>
      <c r="BF23" s="54" t="str">
        <f>IF(BF$6&gt;$E$2,"",IFERROR(+GETPIVOTDATA("Count of Proposal Request No.",'Pivot Weekly close'!$A$4,"week No",BF20),"no Data"))</f>
        <v/>
      </c>
      <c r="BG23" s="54" t="str">
        <f>IF(BG$6&gt;$E$2,"",IFERROR(+GETPIVOTDATA("Count of Proposal Request No.",'Pivot Weekly close'!$A$4,"week No",BG20),"no Data"))</f>
        <v/>
      </c>
      <c r="BH23" s="54" t="str">
        <f>IF(BH$6&gt;$E$2,"",IFERROR(+GETPIVOTDATA("Count of Proposal Request No.",'Pivot Weekly close'!$A$4,"week No",BH20),"no Data"))</f>
        <v/>
      </c>
      <c r="BI23" s="54" t="str">
        <f>IF(BI$6&gt;$E$2,"",IFERROR(+GETPIVOTDATA("Count of Proposal Request No.",'Pivot Weekly close'!$A$4,"week No",BI20),"no Data"))</f>
        <v/>
      </c>
      <c r="BJ23" s="35" t="str">
        <f>IF(BJ$6&gt;$E$2,"",IFERROR(+GETPIVOTDATA("Count of Proposal Request No.",'Pivot Weekly close'!$A$4,"week No",BJ20),"no Data"))</f>
        <v/>
      </c>
    </row>
    <row r="24" spans="2:62" ht="24" hidden="1" customHeight="1" outlineLevel="1" x14ac:dyDescent="0.25">
      <c r="B24" s="77"/>
      <c r="C24" s="79"/>
      <c r="D24" s="79"/>
      <c r="E24" s="13" t="s">
        <v>1011</v>
      </c>
      <c r="F24" s="13"/>
      <c r="G24" s="13" t="s">
        <v>1010</v>
      </c>
      <c r="H24" s="33" t="s">
        <v>980</v>
      </c>
      <c r="I24" s="34" t="s">
        <v>905</v>
      </c>
      <c r="J24" s="54">
        <f>IF(J6&gt;$E$2,"",IFERROR(+J22-J23,0))</f>
        <v>0</v>
      </c>
      <c r="K24" s="54">
        <f t="shared" ref="K24:BJ24" si="98">IF(K6&gt;$E$2,"",IFERROR(+K22-K23,0))</f>
        <v>0</v>
      </c>
      <c r="L24" s="54">
        <f t="shared" si="98"/>
        <v>1</v>
      </c>
      <c r="M24" s="54">
        <f t="shared" si="98"/>
        <v>-4</v>
      </c>
      <c r="N24" s="54">
        <f t="shared" si="98"/>
        <v>-1</v>
      </c>
      <c r="O24" s="54">
        <f t="shared" si="98"/>
        <v>-3</v>
      </c>
      <c r="P24" s="54">
        <f t="shared" si="98"/>
        <v>-1</v>
      </c>
      <c r="Q24" s="54">
        <f t="shared" si="98"/>
        <v>2</v>
      </c>
      <c r="R24" s="54">
        <f t="shared" si="98"/>
        <v>2</v>
      </c>
      <c r="S24" s="54">
        <f t="shared" si="98"/>
        <v>1</v>
      </c>
      <c r="T24" s="54">
        <f t="shared" si="98"/>
        <v>1</v>
      </c>
      <c r="U24" s="54">
        <f t="shared" si="98"/>
        <v>-1</v>
      </c>
      <c r="V24" s="54">
        <f t="shared" si="98"/>
        <v>-1</v>
      </c>
      <c r="W24" s="54">
        <f t="shared" si="98"/>
        <v>-5</v>
      </c>
      <c r="X24" s="54">
        <f t="shared" si="98"/>
        <v>1</v>
      </c>
      <c r="Y24" s="54">
        <f t="shared" si="98"/>
        <v>0</v>
      </c>
      <c r="Z24" s="54">
        <f t="shared" si="98"/>
        <v>-1</v>
      </c>
      <c r="AA24" s="54">
        <f t="shared" si="98"/>
        <v>-1</v>
      </c>
      <c r="AB24" s="54">
        <f t="shared" si="98"/>
        <v>-3</v>
      </c>
      <c r="AC24" s="54">
        <f t="shared" si="98"/>
        <v>0</v>
      </c>
      <c r="AD24" s="54">
        <f t="shared" si="98"/>
        <v>0</v>
      </c>
      <c r="AE24" s="54">
        <f t="shared" si="98"/>
        <v>0</v>
      </c>
      <c r="AF24" s="54">
        <f t="shared" si="98"/>
        <v>0</v>
      </c>
      <c r="AG24" s="54">
        <f t="shared" si="98"/>
        <v>0</v>
      </c>
      <c r="AH24" s="54">
        <f t="shared" si="98"/>
        <v>0</v>
      </c>
      <c r="AI24" s="54">
        <f t="shared" si="98"/>
        <v>0</v>
      </c>
      <c r="AJ24" s="54">
        <f t="shared" si="98"/>
        <v>0</v>
      </c>
      <c r="AK24" s="54">
        <f t="shared" si="98"/>
        <v>0</v>
      </c>
      <c r="AL24" s="54">
        <f t="shared" si="98"/>
        <v>0</v>
      </c>
      <c r="AM24" s="54">
        <f t="shared" si="98"/>
        <v>0</v>
      </c>
      <c r="AN24" s="54">
        <f t="shared" si="98"/>
        <v>0</v>
      </c>
      <c r="AO24" s="54">
        <f t="shared" si="98"/>
        <v>0</v>
      </c>
      <c r="AP24" s="54">
        <f t="shared" si="98"/>
        <v>0</v>
      </c>
      <c r="AQ24" s="54">
        <f t="shared" si="98"/>
        <v>0</v>
      </c>
      <c r="AR24" s="54">
        <f t="shared" si="98"/>
        <v>0</v>
      </c>
      <c r="AS24" s="54">
        <f t="shared" si="98"/>
        <v>0</v>
      </c>
      <c r="AT24" s="54">
        <f t="shared" si="98"/>
        <v>0</v>
      </c>
      <c r="AU24" s="54">
        <f t="shared" si="98"/>
        <v>0</v>
      </c>
      <c r="AV24" s="54">
        <f t="shared" si="98"/>
        <v>0</v>
      </c>
      <c r="AW24" s="54">
        <f t="shared" si="98"/>
        <v>0</v>
      </c>
      <c r="AX24" s="54">
        <f t="shared" si="98"/>
        <v>0</v>
      </c>
      <c r="AY24" s="54" t="str">
        <f t="shared" si="98"/>
        <v/>
      </c>
      <c r="AZ24" s="54" t="str">
        <f t="shared" si="98"/>
        <v/>
      </c>
      <c r="BA24" s="54" t="str">
        <f t="shared" si="98"/>
        <v/>
      </c>
      <c r="BB24" s="54" t="str">
        <f t="shared" si="98"/>
        <v/>
      </c>
      <c r="BC24" s="54" t="str">
        <f t="shared" si="98"/>
        <v/>
      </c>
      <c r="BD24" s="54" t="str">
        <f t="shared" si="98"/>
        <v/>
      </c>
      <c r="BE24" s="54" t="str">
        <f t="shared" si="98"/>
        <v/>
      </c>
      <c r="BF24" s="54" t="str">
        <f t="shared" si="98"/>
        <v/>
      </c>
      <c r="BG24" s="54" t="str">
        <f t="shared" si="98"/>
        <v/>
      </c>
      <c r="BH24" s="54" t="str">
        <f t="shared" si="98"/>
        <v/>
      </c>
      <c r="BI24" s="54" t="str">
        <f t="shared" si="98"/>
        <v/>
      </c>
      <c r="BJ24" s="54" t="str">
        <f t="shared" si="98"/>
        <v/>
      </c>
    </row>
    <row r="25" spans="2:62" customFormat="1" ht="12.6" hidden="1" customHeight="1" outlineLevel="1" x14ac:dyDescent="0.25"/>
    <row r="26" spans="2:62" ht="24" hidden="1" customHeight="1" outlineLevel="1" x14ac:dyDescent="0.25">
      <c r="B26" s="77" t="s">
        <v>982</v>
      </c>
      <c r="C26" s="79" t="s">
        <v>983</v>
      </c>
      <c r="D26" s="79" t="s">
        <v>984</v>
      </c>
      <c r="G26" s="17" t="s">
        <v>1004</v>
      </c>
      <c r="H26" s="33" t="s">
        <v>980</v>
      </c>
      <c r="I26" s="34" t="s">
        <v>905</v>
      </c>
      <c r="J26" s="56">
        <f>+J12</f>
        <v>87.878787878787875</v>
      </c>
      <c r="K26" s="56">
        <f t="shared" ref="K26:BI26" si="99">+K12</f>
        <v>100</v>
      </c>
      <c r="L26" s="56">
        <f t="shared" si="99"/>
        <v>88.235294117647058</v>
      </c>
      <c r="M26" s="56">
        <f t="shared" si="99"/>
        <v>96.875</v>
      </c>
      <c r="N26" s="56">
        <f t="shared" si="99"/>
        <v>88.571428571428569</v>
      </c>
      <c r="O26" s="56">
        <f t="shared" si="99"/>
        <v>88.571428571428569</v>
      </c>
      <c r="P26" s="56">
        <f t="shared" si="99"/>
        <v>93.548387096774192</v>
      </c>
      <c r="Q26" s="56">
        <f t="shared" si="99"/>
        <v>84.848484848484844</v>
      </c>
      <c r="R26" s="56">
        <f t="shared" si="99"/>
        <v>88.888888888888886</v>
      </c>
      <c r="S26" s="56">
        <f t="shared" si="99"/>
        <v>89.743589743589737</v>
      </c>
      <c r="T26" s="56">
        <f t="shared" si="99"/>
        <v>82.352941176470594</v>
      </c>
      <c r="U26" s="56">
        <f t="shared" si="99"/>
        <v>94.444444444444443</v>
      </c>
      <c r="V26" s="56">
        <f t="shared" si="99"/>
        <v>91.428571428571431</v>
      </c>
      <c r="W26" s="56">
        <f t="shared" si="99"/>
        <v>85.294117647058826</v>
      </c>
      <c r="X26" s="56">
        <f t="shared" si="99"/>
        <v>80.952380952380949</v>
      </c>
      <c r="Y26" s="56">
        <f t="shared" si="99"/>
        <v>81.25</v>
      </c>
      <c r="Z26" s="56">
        <f t="shared" si="99"/>
        <v>90.625</v>
      </c>
      <c r="AA26" s="56">
        <f t="shared" si="99"/>
        <v>70.588235294117652</v>
      </c>
      <c r="AB26" s="56">
        <f t="shared" si="99"/>
        <v>81.081081081081081</v>
      </c>
      <c r="AC26" s="56">
        <f t="shared" si="99"/>
        <v>80.555555555555557</v>
      </c>
      <c r="AD26" s="56">
        <f t="shared" si="99"/>
        <v>85</v>
      </c>
      <c r="AE26" s="56">
        <f t="shared" si="99"/>
        <v>75.757575757575751</v>
      </c>
      <c r="AF26" s="56">
        <f t="shared" si="99"/>
        <v>79.166666666666671</v>
      </c>
      <c r="AG26" s="56">
        <f t="shared" si="99"/>
        <v>63.636363636363633</v>
      </c>
      <c r="AH26" s="56">
        <f t="shared" si="99"/>
        <v>75</v>
      </c>
      <c r="AI26" s="56">
        <f t="shared" si="99"/>
        <v>82.352941176470594</v>
      </c>
      <c r="AJ26" s="56">
        <f t="shared" si="99"/>
        <v>72.41379310344827</v>
      </c>
      <c r="AK26" s="56">
        <f t="shared" si="99"/>
        <v>76</v>
      </c>
      <c r="AL26" s="56">
        <f t="shared" si="99"/>
        <v>65.853658536585371</v>
      </c>
      <c r="AM26" s="56">
        <f t="shared" si="99"/>
        <v>81.25</v>
      </c>
      <c r="AN26" s="56">
        <f t="shared" si="99"/>
        <v>75.757575757575751</v>
      </c>
      <c r="AO26" s="56">
        <f t="shared" si="99"/>
        <v>90</v>
      </c>
      <c r="AP26" s="56">
        <f t="shared" si="99"/>
        <v>100</v>
      </c>
      <c r="AQ26" s="56">
        <f t="shared" si="99"/>
        <v>63.934426229508198</v>
      </c>
      <c r="AR26" s="56">
        <f t="shared" si="99"/>
        <v>57.142857142857146</v>
      </c>
      <c r="AS26" s="56">
        <f t="shared" si="99"/>
        <v>67.857142857142861</v>
      </c>
      <c r="AT26" s="56">
        <f t="shared" si="99"/>
        <v>68</v>
      </c>
      <c r="AU26" s="56">
        <f t="shared" si="99"/>
        <v>77.272727272727266</v>
      </c>
      <c r="AV26" s="56">
        <f t="shared" si="99"/>
        <v>76.92307692307692</v>
      </c>
      <c r="AW26" s="56">
        <f t="shared" si="99"/>
        <v>81.481481481481481</v>
      </c>
      <c r="AX26" s="56">
        <f t="shared" si="99"/>
        <v>76.19047619047619</v>
      </c>
      <c r="AY26" s="56" t="str">
        <f t="shared" si="99"/>
        <v/>
      </c>
      <c r="AZ26" s="56" t="str">
        <f t="shared" si="99"/>
        <v/>
      </c>
      <c r="BA26" s="56" t="str">
        <f t="shared" si="99"/>
        <v/>
      </c>
      <c r="BB26" s="56" t="str">
        <f t="shared" si="99"/>
        <v/>
      </c>
      <c r="BC26" s="56" t="str">
        <f t="shared" si="99"/>
        <v/>
      </c>
      <c r="BD26" s="56" t="str">
        <f t="shared" si="99"/>
        <v/>
      </c>
      <c r="BE26" s="56" t="str">
        <f t="shared" si="99"/>
        <v/>
      </c>
      <c r="BF26" s="56" t="str">
        <f t="shared" si="99"/>
        <v/>
      </c>
      <c r="BG26" s="56" t="str">
        <f t="shared" si="99"/>
        <v/>
      </c>
      <c r="BH26" s="56" t="str">
        <f t="shared" si="99"/>
        <v/>
      </c>
      <c r="BI26" s="56" t="str">
        <f t="shared" si="99"/>
        <v/>
      </c>
      <c r="BJ26" s="35" t="str">
        <f>IF(BJ$6&gt;$E$2,"",IFERROR(+GETPIVOTDATA("Count of Proposal Request No.",'Pivot Weekly close'!$A$4,"week No",BJ22),"no Data"))</f>
        <v/>
      </c>
    </row>
    <row r="27" spans="2:62" ht="24" hidden="1" customHeight="1" outlineLevel="1" x14ac:dyDescent="0.25">
      <c r="B27" s="77"/>
      <c r="C27" s="79"/>
      <c r="D27" s="79"/>
      <c r="G27" s="17" t="s">
        <v>1005</v>
      </c>
      <c r="H27" s="33" t="s">
        <v>980</v>
      </c>
      <c r="I27" s="34" t="s">
        <v>905</v>
      </c>
      <c r="J27" s="54">
        <v>87</v>
      </c>
      <c r="K27" s="54">
        <v>77</v>
      </c>
      <c r="L27" s="54">
        <v>94</v>
      </c>
      <c r="M27" s="54">
        <v>89</v>
      </c>
      <c r="N27" s="54">
        <v>89</v>
      </c>
      <c r="O27" s="54">
        <v>87</v>
      </c>
      <c r="P27" s="54">
        <v>90</v>
      </c>
      <c r="Q27" s="54">
        <v>86</v>
      </c>
      <c r="R27" s="54">
        <v>84</v>
      </c>
      <c r="S27" s="54">
        <v>90</v>
      </c>
      <c r="T27" s="54">
        <v>82</v>
      </c>
      <c r="U27" s="54">
        <v>92</v>
      </c>
      <c r="V27" s="54">
        <v>86</v>
      </c>
      <c r="W27" s="54">
        <v>86</v>
      </c>
      <c r="X27" s="54">
        <v>80</v>
      </c>
      <c r="Y27" s="54">
        <v>81</v>
      </c>
      <c r="Z27" s="54">
        <v>91</v>
      </c>
      <c r="AA27" s="54">
        <v>71</v>
      </c>
      <c r="AB27" s="54">
        <v>81</v>
      </c>
      <c r="AC27" s="54" t="str">
        <f>IF(AC$6&gt;$E$2,"",IFERROR(+GETPIVOTDATA("Count of Proposal Request No.",'Pivot Weekly close'!$A$4,"week No",AC23),"no Data"))</f>
        <v>no Data</v>
      </c>
      <c r="AD27" s="54" t="str">
        <f>IF(AD$6&gt;$E$2,"",IFERROR(+GETPIVOTDATA("Count of Proposal Request No.",'Pivot Weekly close'!$A$4,"week No",AD23),"no Data"))</f>
        <v>no Data</v>
      </c>
      <c r="AE27" s="54" t="str">
        <f>IF(AE$6&gt;$E$2,"",IFERROR(+GETPIVOTDATA("Count of Proposal Request No.",'Pivot Weekly close'!$A$4,"week No",AE23),"no Data"))</f>
        <v>no Data</v>
      </c>
      <c r="AF27" s="54" t="str">
        <f>IF(AF$6&gt;$E$2,"",IFERROR(+GETPIVOTDATA("Count of Proposal Request No.",'Pivot Weekly close'!$A$4,"week No",AF23),"no Data"))</f>
        <v>no Data</v>
      </c>
      <c r="AG27" s="54" t="str">
        <f>IF(AG$6&gt;$E$2,"",IFERROR(+GETPIVOTDATA("Count of Proposal Request No.",'Pivot Weekly close'!$A$4,"week No",AG23),"no Data"))</f>
        <v>no Data</v>
      </c>
      <c r="AH27" s="54" t="str">
        <f>IF(AH$6&gt;$E$2,"",IFERROR(+GETPIVOTDATA("Count of Proposal Request No.",'Pivot Weekly close'!$A$4,"week No",AH23),"no Data"))</f>
        <v>no Data</v>
      </c>
      <c r="AI27" s="54" t="str">
        <f>IF(AI$6&gt;$E$2,"",IFERROR(+GETPIVOTDATA("Count of Proposal Request No.",'Pivot Weekly close'!$A$4,"week No",AI23),"no Data"))</f>
        <v>no Data</v>
      </c>
      <c r="AJ27" s="54" t="str">
        <f>IF(AJ$6&gt;$E$2,"",IFERROR(+GETPIVOTDATA("Count of Proposal Request No.",'Pivot Weekly close'!$A$4,"week No",AJ23),"no Data"))</f>
        <v>no Data</v>
      </c>
      <c r="AK27" s="54" t="str">
        <f>IF(AK$6&gt;$E$2,"",IFERROR(+GETPIVOTDATA("Count of Proposal Request No.",'Pivot Weekly close'!$A$4,"week No",AK23),"no Data"))</f>
        <v>no Data</v>
      </c>
      <c r="AL27" s="54" t="str">
        <f>IF(AL$6&gt;$E$2,"",IFERROR(+GETPIVOTDATA("Count of Proposal Request No.",'Pivot Weekly close'!$A$4,"week No",AL23),"no Data"))</f>
        <v>no Data</v>
      </c>
      <c r="AM27" s="54" t="str">
        <f>IF(AM$6&gt;$E$2,"",IFERROR(+GETPIVOTDATA("Count of Proposal Request No.",'Pivot Weekly close'!$A$4,"week No",AM23),"no Data"))</f>
        <v>no Data</v>
      </c>
      <c r="AN27" s="54" t="str">
        <f>IF(AN$6&gt;$E$2,"",IFERROR(+GETPIVOTDATA("Count of Proposal Request No.",'Pivot Weekly close'!$A$4,"week No",AN23),"no Data"))</f>
        <v>no Data</v>
      </c>
      <c r="AO27" s="54" t="str">
        <f>IF(AO$6&gt;$E$2,"",IFERROR(+GETPIVOTDATA("Count of Proposal Request No.",'Pivot Weekly close'!$A$4,"week No",AO23),"no Data"))</f>
        <v>no Data</v>
      </c>
      <c r="AP27" s="54" t="str">
        <f>IF(AP$6&gt;$E$2,"",IFERROR(+GETPIVOTDATA("Count of Proposal Request No.",'Pivot Weekly close'!$A$4,"week No",AP23),"no Data"))</f>
        <v>no Data</v>
      </c>
      <c r="AQ27" s="54" t="str">
        <f>IF(AQ$6&gt;$E$2,"",IFERROR(+GETPIVOTDATA("Count of Proposal Request No.",'Pivot Weekly close'!$A$4,"week No",AQ23),"no Data"))</f>
        <v>no Data</v>
      </c>
      <c r="AR27" s="54" t="str">
        <f>IF(AR$6&gt;$E$2,"",IFERROR(+GETPIVOTDATA("Count of Proposal Request No.",'Pivot Weekly close'!$A$4,"week No",AR23),"no Data"))</f>
        <v>no Data</v>
      </c>
      <c r="AS27" s="54" t="str">
        <f>IF(AS$6&gt;$E$2,"",IFERROR(+GETPIVOTDATA("Count of Proposal Request No.",'Pivot Weekly close'!$A$4,"week No",AS23),"no Data"))</f>
        <v>no Data</v>
      </c>
      <c r="AT27" s="54" t="str">
        <f>IF(AT$6&gt;$E$2,"",IFERROR(+GETPIVOTDATA("Count of Proposal Request No.",'Pivot Weekly close'!$A$4,"week No",AT23),"no Data"))</f>
        <v>no Data</v>
      </c>
      <c r="AU27" s="54" t="str">
        <f>IF(AU$6&gt;$E$2,"",IFERROR(+GETPIVOTDATA("Count of Proposal Request No.",'Pivot Weekly close'!$A$4,"week No",AU23),"no Data"))</f>
        <v>no Data</v>
      </c>
      <c r="AV27" s="54" t="str">
        <f>IF(AV$6&gt;$E$2,"",IFERROR(+GETPIVOTDATA("Count of Proposal Request No.",'Pivot Weekly close'!$A$4,"week No",AV23),"no Data"))</f>
        <v>no Data</v>
      </c>
      <c r="AW27" s="54" t="str">
        <f>IF(AW$6&gt;$E$2,"",IFERROR(+GETPIVOTDATA("Count of Proposal Request No.",'Pivot Weekly close'!$A$4,"week No",AW23),"no Data"))</f>
        <v>no Data</v>
      </c>
      <c r="AX27" s="54" t="str">
        <f>IF(AX$6&gt;$E$2,"",IFERROR(+GETPIVOTDATA("Count of Proposal Request No.",'Pivot Weekly close'!$A$4,"week No",AX23),"no Data"))</f>
        <v>no Data</v>
      </c>
      <c r="AY27" s="54" t="str">
        <f>IF(AY$6&gt;$E$2,"",IFERROR(+GETPIVOTDATA("Count of Proposal Request No.",'Pivot Weekly close'!$A$4,"week No",AY23),"no Data"))</f>
        <v/>
      </c>
      <c r="AZ27" s="54" t="str">
        <f>IF(AZ$6&gt;$E$2,"",IFERROR(+GETPIVOTDATA("Count of Proposal Request No.",'Pivot Weekly close'!$A$4,"week No",AZ23),"no Data"))</f>
        <v/>
      </c>
      <c r="BA27" s="54" t="str">
        <f>IF(BA$6&gt;$E$2,"",IFERROR(+GETPIVOTDATA("Count of Proposal Request No.",'Pivot Weekly close'!$A$4,"week No",BA23),"no Data"))</f>
        <v/>
      </c>
      <c r="BB27" s="54" t="str">
        <f>IF(BB$6&gt;$E$2,"",IFERROR(+GETPIVOTDATA("Count of Proposal Request No.",'Pivot Weekly close'!$A$4,"week No",BB23),"no Data"))</f>
        <v/>
      </c>
      <c r="BC27" s="54" t="str">
        <f>IF(BC$6&gt;$E$2,"",IFERROR(+GETPIVOTDATA("Count of Proposal Request No.",'Pivot Weekly close'!$A$4,"week No",BC23),"no Data"))</f>
        <v/>
      </c>
      <c r="BD27" s="54" t="str">
        <f>IF(BD$6&gt;$E$2,"",IFERROR(+GETPIVOTDATA("Count of Proposal Request No.",'Pivot Weekly close'!$A$4,"week No",BD23),"no Data"))</f>
        <v/>
      </c>
      <c r="BE27" s="54" t="str">
        <f>IF(BE$6&gt;$E$2,"",IFERROR(+GETPIVOTDATA("Count of Proposal Request No.",'Pivot Weekly close'!$A$4,"week No",BE23),"no Data"))</f>
        <v/>
      </c>
      <c r="BF27" s="54" t="str">
        <f>IF(BF$6&gt;$E$2,"",IFERROR(+GETPIVOTDATA("Count of Proposal Request No.",'Pivot Weekly close'!$A$4,"week No",BF23),"no Data"))</f>
        <v/>
      </c>
      <c r="BG27" s="54" t="str">
        <f>IF(BG$6&gt;$E$2,"",IFERROR(+GETPIVOTDATA("Count of Proposal Request No.",'Pivot Weekly close'!$A$4,"week No",BG23),"no Data"))</f>
        <v/>
      </c>
      <c r="BH27" s="54" t="str">
        <f>IF(BH$6&gt;$E$2,"",IFERROR(+GETPIVOTDATA("Count of Proposal Request No.",'Pivot Weekly close'!$A$4,"week No",BH23),"no Data"))</f>
        <v/>
      </c>
      <c r="BI27" s="54" t="str">
        <f>IF(BI$6&gt;$E$2,"",IFERROR(+GETPIVOTDATA("Count of Proposal Request No.",'Pivot Weekly close'!$A$4,"week No",BI23),"no Data"))</f>
        <v/>
      </c>
      <c r="BJ27" s="35" t="str">
        <f>IF(BJ$6&gt;$E$2,"",IFERROR(+GETPIVOTDATA("Count of Proposal Request No.",'Pivot Weekly close'!$A$4,"week No",BJ23),"no Data"))</f>
        <v/>
      </c>
    </row>
    <row r="28" spans="2:62" ht="24" hidden="1" customHeight="1" outlineLevel="1" x14ac:dyDescent="0.25">
      <c r="B28" s="77"/>
      <c r="C28" s="79"/>
      <c r="D28" s="79"/>
      <c r="E28" s="13" t="s">
        <v>1011</v>
      </c>
      <c r="F28" s="13"/>
      <c r="G28" s="13" t="s">
        <v>1010</v>
      </c>
      <c r="H28" s="33" t="s">
        <v>980</v>
      </c>
      <c r="I28" s="34" t="s">
        <v>905</v>
      </c>
      <c r="J28" s="60">
        <f>IF(J6&gt;$E$2,"",IFERROR(+J26-J27,0))</f>
        <v>0.87878787878787534</v>
      </c>
      <c r="K28" s="60">
        <f t="shared" ref="K28:BJ28" si="100">IF(K6&gt;$E$2,"",IFERROR(+K26-K27,0))</f>
        <v>23</v>
      </c>
      <c r="L28" s="60">
        <f t="shared" si="100"/>
        <v>-5.764705882352942</v>
      </c>
      <c r="M28" s="60">
        <f t="shared" si="100"/>
        <v>7.875</v>
      </c>
      <c r="N28" s="60">
        <f t="shared" si="100"/>
        <v>-0.4285714285714306</v>
      </c>
      <c r="O28" s="60">
        <f t="shared" si="100"/>
        <v>1.5714285714285694</v>
      </c>
      <c r="P28" s="60">
        <f t="shared" si="100"/>
        <v>3.5483870967741922</v>
      </c>
      <c r="Q28" s="60">
        <f t="shared" si="100"/>
        <v>-1.1515151515151558</v>
      </c>
      <c r="R28" s="60">
        <f t="shared" si="100"/>
        <v>4.8888888888888857</v>
      </c>
      <c r="S28" s="60">
        <f t="shared" si="100"/>
        <v>-0.2564102564102626</v>
      </c>
      <c r="T28" s="60">
        <f t="shared" si="100"/>
        <v>0.35294117647059409</v>
      </c>
      <c r="U28" s="60">
        <f t="shared" si="100"/>
        <v>2.4444444444444429</v>
      </c>
      <c r="V28" s="60">
        <f t="shared" si="100"/>
        <v>5.4285714285714306</v>
      </c>
      <c r="W28" s="60">
        <f t="shared" si="100"/>
        <v>-0.70588235294117396</v>
      </c>
      <c r="X28" s="60">
        <f t="shared" si="100"/>
        <v>0.952380952380949</v>
      </c>
      <c r="Y28" s="60">
        <f t="shared" si="100"/>
        <v>0.25</v>
      </c>
      <c r="Z28" s="60">
        <f t="shared" si="100"/>
        <v>-0.375</v>
      </c>
      <c r="AA28" s="60">
        <f t="shared" si="100"/>
        <v>-0.41176470588234793</v>
      </c>
      <c r="AB28" s="60">
        <f t="shared" si="100"/>
        <v>8.1081081081080697E-2</v>
      </c>
      <c r="AC28" s="60">
        <f t="shared" si="100"/>
        <v>0</v>
      </c>
      <c r="AD28" s="60">
        <f t="shared" si="100"/>
        <v>0</v>
      </c>
      <c r="AE28" s="60">
        <f t="shared" si="100"/>
        <v>0</v>
      </c>
      <c r="AF28" s="60">
        <f t="shared" si="100"/>
        <v>0</v>
      </c>
      <c r="AG28" s="60">
        <f t="shared" si="100"/>
        <v>0</v>
      </c>
      <c r="AH28" s="60">
        <f t="shared" si="100"/>
        <v>0</v>
      </c>
      <c r="AI28" s="60">
        <f t="shared" si="100"/>
        <v>0</v>
      </c>
      <c r="AJ28" s="60">
        <f t="shared" si="100"/>
        <v>0</v>
      </c>
      <c r="AK28" s="60">
        <f t="shared" si="100"/>
        <v>0</v>
      </c>
      <c r="AL28" s="60">
        <f t="shared" si="100"/>
        <v>0</v>
      </c>
      <c r="AM28" s="60">
        <f t="shared" si="100"/>
        <v>0</v>
      </c>
      <c r="AN28" s="60">
        <f t="shared" si="100"/>
        <v>0</v>
      </c>
      <c r="AO28" s="60">
        <f t="shared" si="100"/>
        <v>0</v>
      </c>
      <c r="AP28" s="60">
        <f t="shared" si="100"/>
        <v>0</v>
      </c>
      <c r="AQ28" s="60">
        <f t="shared" si="100"/>
        <v>0</v>
      </c>
      <c r="AR28" s="60">
        <f t="shared" si="100"/>
        <v>0</v>
      </c>
      <c r="AS28" s="60">
        <f t="shared" si="100"/>
        <v>0</v>
      </c>
      <c r="AT28" s="60">
        <f t="shared" si="100"/>
        <v>0</v>
      </c>
      <c r="AU28" s="60">
        <f t="shared" si="100"/>
        <v>0</v>
      </c>
      <c r="AV28" s="60">
        <f t="shared" si="100"/>
        <v>0</v>
      </c>
      <c r="AW28" s="60">
        <f t="shared" si="100"/>
        <v>0</v>
      </c>
      <c r="AX28" s="60">
        <f t="shared" si="100"/>
        <v>0</v>
      </c>
      <c r="AY28" s="60" t="str">
        <f t="shared" si="100"/>
        <v/>
      </c>
      <c r="AZ28" s="60" t="str">
        <f t="shared" si="100"/>
        <v/>
      </c>
      <c r="BA28" s="60" t="str">
        <f t="shared" si="100"/>
        <v/>
      </c>
      <c r="BB28" s="60" t="str">
        <f t="shared" si="100"/>
        <v/>
      </c>
      <c r="BC28" s="60" t="str">
        <f t="shared" si="100"/>
        <v/>
      </c>
      <c r="BD28" s="60" t="str">
        <f t="shared" si="100"/>
        <v/>
      </c>
      <c r="BE28" s="60" t="str">
        <f t="shared" si="100"/>
        <v/>
      </c>
      <c r="BF28" s="60" t="str">
        <f t="shared" si="100"/>
        <v/>
      </c>
      <c r="BG28" s="60" t="str">
        <f t="shared" si="100"/>
        <v/>
      </c>
      <c r="BH28" s="60" t="str">
        <f t="shared" si="100"/>
        <v/>
      </c>
      <c r="BI28" s="60" t="str">
        <f t="shared" si="100"/>
        <v/>
      </c>
      <c r="BJ28" s="60" t="str">
        <f t="shared" si="100"/>
        <v/>
      </c>
    </row>
    <row r="29" spans="2:62" customFormat="1" ht="12.6" hidden="1" customHeight="1" outlineLevel="1" x14ac:dyDescent="0.25"/>
    <row r="30" spans="2:62" hidden="1" outlineLevel="1" x14ac:dyDescent="0.25">
      <c r="C30" s="17"/>
    </row>
    <row r="31" spans="2:62" collapsed="1" x14ac:dyDescent="0.25">
      <c r="C31" s="17"/>
    </row>
    <row r="32" spans="2:62" x14ac:dyDescent="0.25">
      <c r="C32" s="17"/>
    </row>
    <row r="33" spans="2:7" ht="15.75" x14ac:dyDescent="0.25">
      <c r="B33" s="44" t="s">
        <v>995</v>
      </c>
      <c r="C33" s="45" t="s">
        <v>996</v>
      </c>
    </row>
    <row r="34" spans="2:7" ht="15.75" x14ac:dyDescent="0.25">
      <c r="B34" s="46" t="s">
        <v>997</v>
      </c>
      <c r="C34" s="45" t="s">
        <v>998</v>
      </c>
      <c r="G34" s="17" t="s">
        <v>978</v>
      </c>
    </row>
    <row r="35" spans="2:7" ht="15.75" x14ac:dyDescent="0.25">
      <c r="B35" s="47" t="s">
        <v>999</v>
      </c>
      <c r="C35" s="45" t="s">
        <v>1000</v>
      </c>
      <c r="G35" s="17" t="s">
        <v>986</v>
      </c>
    </row>
    <row r="36" spans="2:7" x14ac:dyDescent="0.25">
      <c r="B36" s="48" t="s">
        <v>1001</v>
      </c>
      <c r="C36" s="18" t="s">
        <v>1002</v>
      </c>
      <c r="G36" s="17" t="s">
        <v>990</v>
      </c>
    </row>
    <row r="37" spans="2:7" x14ac:dyDescent="0.25">
      <c r="B37" s="49" t="s">
        <v>905</v>
      </c>
      <c r="C37" s="18" t="s">
        <v>1003</v>
      </c>
    </row>
    <row r="42" spans="2:7" x14ac:dyDescent="0.25">
      <c r="F42" s="17">
        <f>39/5</f>
        <v>7.8</v>
      </c>
    </row>
  </sheetData>
  <mergeCells count="32">
    <mergeCell ref="B26:B28"/>
    <mergeCell ref="C26:C28"/>
    <mergeCell ref="D26:D28"/>
    <mergeCell ref="B22:B24"/>
    <mergeCell ref="C22:C24"/>
    <mergeCell ref="D22:D24"/>
    <mergeCell ref="G17:G19"/>
    <mergeCell ref="B14:B16"/>
    <mergeCell ref="C14:C16"/>
    <mergeCell ref="D14:D16"/>
    <mergeCell ref="E14:E16"/>
    <mergeCell ref="F14:F16"/>
    <mergeCell ref="G14:G16"/>
    <mergeCell ref="B17:B19"/>
    <mergeCell ref="C17:C19"/>
    <mergeCell ref="D17:D19"/>
    <mergeCell ref="E17:E19"/>
    <mergeCell ref="F17:F19"/>
    <mergeCell ref="G11:G13"/>
    <mergeCell ref="C6:D6"/>
    <mergeCell ref="G6:G7"/>
    <mergeCell ref="B8:B10"/>
    <mergeCell ref="C8:C10"/>
    <mergeCell ref="D8:D10"/>
    <mergeCell ref="E8:E10"/>
    <mergeCell ref="F8:F10"/>
    <mergeCell ref="G8:G10"/>
    <mergeCell ref="B11:B13"/>
    <mergeCell ref="C11:C13"/>
    <mergeCell ref="D11:D13"/>
    <mergeCell ref="E11:E13"/>
    <mergeCell ref="F11:F13"/>
  </mergeCells>
  <conditionalFormatting sqref="B37">
    <cfRule type="cellIs" dxfId="9" priority="1" operator="equal">
      <formula>"TBC"</formula>
    </cfRule>
    <cfRule type="cellIs" dxfId="8" priority="2" operator="equal">
      <formula>"OD"</formula>
    </cfRule>
    <cfRule type="cellIs" dxfId="7" priority="3" operator="equal">
      <formula>"G"</formula>
    </cfRule>
    <cfRule type="cellIs" dxfId="6" priority="4" operator="equal">
      <formula>"A"</formula>
    </cfRule>
    <cfRule type="cellIs" dxfId="5" priority="5" operator="equal">
      <formula>"R"</formula>
    </cfRule>
  </conditionalFormatting>
  <conditionalFormatting sqref="I10:BJ10 H13:BJ13 I16:BJ16 I19:BJ19">
    <cfRule type="cellIs" dxfId="4" priority="9" operator="equal">
      <formula>"A"</formula>
    </cfRule>
  </conditionalFormatting>
  <conditionalFormatting sqref="I10:BJ10 I13:BJ13 I16:BJ16 I19:BJ19">
    <cfRule type="cellIs" dxfId="3" priority="6" operator="equal">
      <formula>"TBC"</formula>
    </cfRule>
    <cfRule type="cellIs" dxfId="2" priority="7" operator="equal">
      <formula>"od"</formula>
    </cfRule>
    <cfRule type="cellIs" dxfId="1" priority="8" operator="equal">
      <formula>"G"</formula>
    </cfRule>
    <cfRule type="cellIs" dxfId="0" priority="10" operator="equal">
      <formula>"R"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C193-B752-4D94-A370-B3D9767E79E3}">
  <sheetPr>
    <tabColor theme="8" tint="0.39997558519241921"/>
  </sheetPr>
  <dimension ref="A3:AB47"/>
  <sheetViews>
    <sheetView topLeftCell="A27" workbookViewId="0">
      <selection activeCell="B45" sqref="B45"/>
    </sheetView>
  </sheetViews>
  <sheetFormatPr defaultRowHeight="15" x14ac:dyDescent="0.25"/>
  <cols>
    <col min="1" max="1" width="13" bestFit="1" customWidth="1"/>
    <col min="2" max="2" width="8.5703125" bestFit="1" customWidth="1"/>
    <col min="3" max="3" width="13.7109375" style="14" bestFit="1" customWidth="1"/>
    <col min="4" max="28" width="12" bestFit="1" customWidth="1"/>
    <col min="29" max="29" width="11" bestFit="1" customWidth="1"/>
    <col min="30" max="30" width="12" bestFit="1" customWidth="1"/>
    <col min="31" max="40" width="26.28515625" bestFit="1" customWidth="1"/>
    <col min="41" max="41" width="12" bestFit="1" customWidth="1"/>
    <col min="42" max="42" width="11" bestFit="1" customWidth="1"/>
  </cols>
  <sheetData>
    <row r="3" spans="1:10" x14ac:dyDescent="0.25">
      <c r="J3" t="s">
        <v>891</v>
      </c>
    </row>
    <row r="4" spans="1:10" ht="66.599999999999994" customHeight="1" thickBot="1" x14ac:dyDescent="0.3">
      <c r="A4" s="8" t="s">
        <v>1369</v>
      </c>
      <c r="B4" s="7" t="s">
        <v>889</v>
      </c>
      <c r="C4" s="68" t="s">
        <v>1077</v>
      </c>
    </row>
    <row r="5" spans="1:10" ht="43.9" customHeight="1" thickBot="1" x14ac:dyDescent="0.3">
      <c r="A5" s="3" t="s">
        <v>887</v>
      </c>
    </row>
    <row r="6" spans="1:10" ht="15.75" thickBot="1" x14ac:dyDescent="0.3">
      <c r="A6" s="3">
        <v>2</v>
      </c>
      <c r="B6">
        <v>33</v>
      </c>
      <c r="C6" s="14">
        <v>4340909.295979334</v>
      </c>
    </row>
    <row r="7" spans="1:10" ht="15.75" thickBot="1" x14ac:dyDescent="0.3">
      <c r="A7" s="3">
        <v>3</v>
      </c>
      <c r="B7">
        <v>30</v>
      </c>
      <c r="C7" s="14">
        <v>2862627.8164036097</v>
      </c>
    </row>
    <row r="8" spans="1:10" x14ac:dyDescent="0.25">
      <c r="A8" s="3">
        <v>4</v>
      </c>
      <c r="B8">
        <v>34</v>
      </c>
      <c r="C8" s="14">
        <v>8583202.5513188448</v>
      </c>
    </row>
    <row r="9" spans="1:10" x14ac:dyDescent="0.25">
      <c r="A9" s="3">
        <v>5</v>
      </c>
      <c r="B9">
        <v>32</v>
      </c>
      <c r="C9" s="14">
        <v>4594116.9052762324</v>
      </c>
    </row>
    <row r="10" spans="1:10" x14ac:dyDescent="0.25">
      <c r="A10" s="3">
        <v>6</v>
      </c>
      <c r="B10">
        <v>35</v>
      </c>
      <c r="C10" s="14">
        <v>4747599.8453018116</v>
      </c>
    </row>
    <row r="11" spans="1:10" x14ac:dyDescent="0.25">
      <c r="A11" s="3">
        <v>7</v>
      </c>
      <c r="B11">
        <v>35</v>
      </c>
      <c r="C11" s="14">
        <v>2717995.9435911602</v>
      </c>
    </row>
    <row r="12" spans="1:10" x14ac:dyDescent="0.25">
      <c r="A12" s="3">
        <v>8</v>
      </c>
      <c r="B12">
        <v>31</v>
      </c>
      <c r="C12" s="14">
        <v>6554468.9852836765</v>
      </c>
    </row>
    <row r="13" spans="1:10" x14ac:dyDescent="0.25">
      <c r="A13" s="3">
        <v>9</v>
      </c>
      <c r="B13">
        <v>33</v>
      </c>
      <c r="C13" s="14">
        <v>5314301.1046963641</v>
      </c>
    </row>
    <row r="14" spans="1:10" x14ac:dyDescent="0.25">
      <c r="A14" s="3">
        <v>10</v>
      </c>
      <c r="B14">
        <v>27</v>
      </c>
      <c r="C14" s="14">
        <v>3595658.466969647</v>
      </c>
    </row>
    <row r="15" spans="1:10" x14ac:dyDescent="0.25">
      <c r="A15" s="3">
        <v>11</v>
      </c>
      <c r="B15">
        <v>39</v>
      </c>
      <c r="C15" s="14">
        <v>3503751.867720705</v>
      </c>
    </row>
    <row r="16" spans="1:10" x14ac:dyDescent="0.25">
      <c r="A16" s="3">
        <v>12</v>
      </c>
      <c r="B16">
        <v>34</v>
      </c>
      <c r="C16" s="14">
        <v>8177118.3322574832</v>
      </c>
    </row>
    <row r="17" spans="1:28" x14ac:dyDescent="0.25">
      <c r="A17" s="3">
        <v>13</v>
      </c>
      <c r="B17">
        <v>36</v>
      </c>
      <c r="C17" s="14">
        <v>13792511.934553497</v>
      </c>
    </row>
    <row r="18" spans="1:28" x14ac:dyDescent="0.25">
      <c r="A18" s="3">
        <v>14</v>
      </c>
      <c r="B18">
        <v>35</v>
      </c>
      <c r="C18" s="14">
        <v>20830837.645122007</v>
      </c>
    </row>
    <row r="19" spans="1:28" x14ac:dyDescent="0.25">
      <c r="A19" s="3">
        <v>15</v>
      </c>
      <c r="B19">
        <v>34</v>
      </c>
      <c r="C19" s="14">
        <v>2548046.255245897</v>
      </c>
    </row>
    <row r="20" spans="1:28" x14ac:dyDescent="0.25">
      <c r="A20" s="3">
        <v>16</v>
      </c>
      <c r="B20">
        <v>21</v>
      </c>
      <c r="C20" s="14">
        <v>3394152.3314746902</v>
      </c>
    </row>
    <row r="21" spans="1:28" x14ac:dyDescent="0.25">
      <c r="A21" s="3">
        <v>17</v>
      </c>
      <c r="B21">
        <v>16</v>
      </c>
      <c r="C21" s="14">
        <v>2688606.5180332181</v>
      </c>
    </row>
    <row r="22" spans="1:28" x14ac:dyDescent="0.25">
      <c r="A22" s="3">
        <v>18</v>
      </c>
      <c r="B22">
        <v>32</v>
      </c>
      <c r="C22" s="14">
        <v>3955990.4894443816</v>
      </c>
    </row>
    <row r="23" spans="1:28" x14ac:dyDescent="0.25">
      <c r="A23" s="3">
        <v>19</v>
      </c>
      <c r="B23">
        <v>34</v>
      </c>
      <c r="C23" s="14">
        <v>11736164.311249666</v>
      </c>
    </row>
    <row r="24" spans="1:28" x14ac:dyDescent="0.25">
      <c r="A24" s="3">
        <v>20</v>
      </c>
      <c r="B24">
        <v>37</v>
      </c>
      <c r="C24" s="14">
        <v>7348086.0137258293</v>
      </c>
    </row>
    <row r="25" spans="1:28" x14ac:dyDescent="0.25">
      <c r="A25" s="3">
        <v>21</v>
      </c>
      <c r="B25">
        <v>36</v>
      </c>
      <c r="C25" s="14">
        <v>4395586.1763849184</v>
      </c>
    </row>
    <row r="26" spans="1:28" x14ac:dyDescent="0.25">
      <c r="A26" s="3">
        <v>22</v>
      </c>
      <c r="B26">
        <v>20</v>
      </c>
      <c r="C26" s="14">
        <v>5674586.7371456036</v>
      </c>
    </row>
    <row r="27" spans="1:28" x14ac:dyDescent="0.25">
      <c r="A27" s="3">
        <v>23</v>
      </c>
      <c r="B27">
        <v>33</v>
      </c>
      <c r="C27" s="14">
        <v>9659785.8164174613</v>
      </c>
    </row>
    <row r="28" spans="1:28" x14ac:dyDescent="0.25">
      <c r="A28" s="3">
        <v>24</v>
      </c>
      <c r="B28">
        <v>24</v>
      </c>
      <c r="C28" s="14">
        <v>4050193.1723962622</v>
      </c>
    </row>
    <row r="29" spans="1:28" x14ac:dyDescent="0.25">
      <c r="A29" s="3">
        <v>25</v>
      </c>
      <c r="B29">
        <v>22</v>
      </c>
      <c r="C29" s="14">
        <v>4230435.5417855233</v>
      </c>
    </row>
    <row r="30" spans="1:28" x14ac:dyDescent="0.25">
      <c r="A30" s="3">
        <v>26</v>
      </c>
      <c r="B30">
        <v>36</v>
      </c>
      <c r="C30" s="14">
        <v>28856385.660702012</v>
      </c>
    </row>
    <row r="31" spans="1:28" x14ac:dyDescent="0.25">
      <c r="A31" s="3">
        <v>27</v>
      </c>
      <c r="B31">
        <v>34</v>
      </c>
      <c r="C31" s="14">
        <v>12028214.032940719</v>
      </c>
      <c r="W31">
        <v>84463.4</v>
      </c>
      <c r="X31">
        <v>170179.05142857143</v>
      </c>
      <c r="Y31">
        <v>208558.87</v>
      </c>
      <c r="Z31">
        <v>169775.56060606061</v>
      </c>
      <c r="AA31">
        <v>373601.16294117644</v>
      </c>
      <c r="AB31">
        <v>212772.4918918919</v>
      </c>
    </row>
    <row r="32" spans="1:28" x14ac:dyDescent="0.25">
      <c r="A32" s="3">
        <v>28</v>
      </c>
      <c r="B32">
        <v>29</v>
      </c>
      <c r="C32" s="14">
        <v>31220720.089755438</v>
      </c>
    </row>
    <row r="33" spans="1:3" x14ac:dyDescent="0.25">
      <c r="A33" s="3">
        <v>29</v>
      </c>
      <c r="B33">
        <v>25</v>
      </c>
      <c r="C33" s="14">
        <v>3238852.7598986309</v>
      </c>
    </row>
    <row r="34" spans="1:3" x14ac:dyDescent="0.25">
      <c r="A34" s="3">
        <v>30</v>
      </c>
      <c r="B34">
        <v>41</v>
      </c>
      <c r="C34" s="14">
        <v>8139404.621866256</v>
      </c>
    </row>
    <row r="35" spans="1:3" x14ac:dyDescent="0.25">
      <c r="A35" s="3">
        <v>31</v>
      </c>
      <c r="B35">
        <v>32</v>
      </c>
      <c r="C35" s="14">
        <v>3537025.7301399969</v>
      </c>
    </row>
    <row r="36" spans="1:3" x14ac:dyDescent="0.25">
      <c r="A36" s="3">
        <v>32</v>
      </c>
      <c r="B36">
        <v>33</v>
      </c>
      <c r="C36" s="14">
        <v>3483633.647050974</v>
      </c>
    </row>
    <row r="37" spans="1:3" x14ac:dyDescent="0.25">
      <c r="A37" s="3">
        <v>33</v>
      </c>
      <c r="B37">
        <v>10</v>
      </c>
      <c r="C37" s="14">
        <v>495382.06627680309</v>
      </c>
    </row>
    <row r="38" spans="1:3" x14ac:dyDescent="0.25">
      <c r="A38" s="3">
        <v>34</v>
      </c>
      <c r="B38">
        <v>7</v>
      </c>
      <c r="C38" s="14">
        <v>198299.22027290447</v>
      </c>
    </row>
    <row r="39" spans="1:3" x14ac:dyDescent="0.25">
      <c r="A39" s="3">
        <v>35</v>
      </c>
      <c r="B39">
        <v>61</v>
      </c>
      <c r="C39" s="14">
        <v>8114470.9947173484</v>
      </c>
    </row>
    <row r="40" spans="1:3" x14ac:dyDescent="0.25">
      <c r="A40" s="3">
        <v>36</v>
      </c>
      <c r="B40">
        <v>14</v>
      </c>
      <c r="C40" s="14">
        <v>2440946.3217348931</v>
      </c>
    </row>
    <row r="41" spans="1:3" x14ac:dyDescent="0.25">
      <c r="A41" s="3">
        <v>37</v>
      </c>
      <c r="B41">
        <v>28</v>
      </c>
      <c r="C41" s="14">
        <v>5886068.958989636</v>
      </c>
    </row>
    <row r="42" spans="1:3" x14ac:dyDescent="0.25">
      <c r="A42" s="3">
        <v>38</v>
      </c>
      <c r="B42">
        <v>25</v>
      </c>
      <c r="C42" s="14">
        <v>3106702.3588256198</v>
      </c>
    </row>
    <row r="43" spans="1:3" x14ac:dyDescent="0.25">
      <c r="A43" s="3">
        <v>39</v>
      </c>
      <c r="B43">
        <v>22</v>
      </c>
      <c r="C43" s="14">
        <v>3386443.3795431741</v>
      </c>
    </row>
    <row r="44" spans="1:3" x14ac:dyDescent="0.25">
      <c r="A44" s="3">
        <v>40</v>
      </c>
      <c r="B44">
        <v>26</v>
      </c>
      <c r="C44" s="14">
        <v>4714494.9660955165</v>
      </c>
    </row>
    <row r="45" spans="1:3" x14ac:dyDescent="0.25">
      <c r="A45" s="3">
        <v>41</v>
      </c>
      <c r="B45">
        <v>27</v>
      </c>
      <c r="C45" s="14">
        <v>5710283.2615409419</v>
      </c>
    </row>
    <row r="46" spans="1:3" x14ac:dyDescent="0.25">
      <c r="A46" s="3">
        <v>42</v>
      </c>
      <c r="B46">
        <v>24</v>
      </c>
      <c r="C46" s="14">
        <v>6883366.3282591868</v>
      </c>
    </row>
    <row r="47" spans="1:3" x14ac:dyDescent="0.25">
      <c r="A47" s="3" t="s">
        <v>888</v>
      </c>
      <c r="B47">
        <v>1217</v>
      </c>
      <c r="C47" s="14">
        <v>280737428.456388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481E-20C0-46A9-9C08-B3516817601E}">
  <sheetPr>
    <tabColor theme="8" tint="0.39997558519241921"/>
  </sheetPr>
  <dimension ref="A4:C49"/>
  <sheetViews>
    <sheetView topLeftCell="A29" workbookViewId="0">
      <selection activeCell="B43" sqref="B43"/>
    </sheetView>
  </sheetViews>
  <sheetFormatPr defaultRowHeight="15" x14ac:dyDescent="0.25"/>
  <cols>
    <col min="1" max="1" width="13" bestFit="1" customWidth="1"/>
    <col min="2" max="2" width="10.140625" bestFit="1" customWidth="1"/>
    <col min="3" max="3" width="11.7109375" bestFit="1" customWidth="1"/>
    <col min="4" max="56" width="28.42578125" bestFit="1" customWidth="1"/>
    <col min="57" max="57" width="23.85546875" bestFit="1" customWidth="1"/>
    <col min="58" max="58" width="33.42578125" bestFit="1" customWidth="1"/>
  </cols>
  <sheetData>
    <row r="4" spans="1:3" x14ac:dyDescent="0.25">
      <c r="A4" s="2" t="s">
        <v>7</v>
      </c>
      <c r="B4" t="s">
        <v>894</v>
      </c>
    </row>
    <row r="6" spans="1:3" ht="49.15" customHeight="1" x14ac:dyDescent="0.25">
      <c r="A6" s="2" t="s">
        <v>1369</v>
      </c>
      <c r="B6" s="7" t="s">
        <v>907</v>
      </c>
      <c r="C6" s="7" t="s">
        <v>889</v>
      </c>
    </row>
    <row r="7" spans="1:3" x14ac:dyDescent="0.25">
      <c r="A7" s="3" t="s">
        <v>887</v>
      </c>
      <c r="B7" s="14"/>
    </row>
    <row r="8" spans="1:3" x14ac:dyDescent="0.25">
      <c r="A8" s="3">
        <v>2</v>
      </c>
      <c r="B8" s="14">
        <v>87.878787878787875</v>
      </c>
      <c r="C8" s="64">
        <v>33</v>
      </c>
    </row>
    <row r="9" spans="1:3" x14ac:dyDescent="0.25">
      <c r="A9" s="3">
        <v>3</v>
      </c>
      <c r="B9" s="14">
        <v>100</v>
      </c>
      <c r="C9" s="64">
        <v>30</v>
      </c>
    </row>
    <row r="10" spans="1:3" x14ac:dyDescent="0.25">
      <c r="A10" s="3">
        <v>4</v>
      </c>
      <c r="B10" s="14">
        <v>88.235294117647058</v>
      </c>
      <c r="C10" s="64">
        <v>34</v>
      </c>
    </row>
    <row r="11" spans="1:3" x14ac:dyDescent="0.25">
      <c r="A11" s="3">
        <v>5</v>
      </c>
      <c r="B11" s="14">
        <v>96.875</v>
      </c>
      <c r="C11" s="64">
        <v>32</v>
      </c>
    </row>
    <row r="12" spans="1:3" x14ac:dyDescent="0.25">
      <c r="A12" s="3">
        <v>6</v>
      </c>
      <c r="B12" s="14">
        <v>88.571428571428569</v>
      </c>
      <c r="C12" s="64">
        <v>35</v>
      </c>
    </row>
    <row r="13" spans="1:3" x14ac:dyDescent="0.25">
      <c r="A13" s="3">
        <v>7</v>
      </c>
      <c r="B13" s="14">
        <v>88.571428571428569</v>
      </c>
      <c r="C13" s="64">
        <v>35</v>
      </c>
    </row>
    <row r="14" spans="1:3" x14ac:dyDescent="0.25">
      <c r="A14" s="3">
        <v>8</v>
      </c>
      <c r="B14" s="14">
        <v>93.548387096774192</v>
      </c>
      <c r="C14" s="64">
        <v>31</v>
      </c>
    </row>
    <row r="15" spans="1:3" x14ac:dyDescent="0.25">
      <c r="A15" s="3">
        <v>9</v>
      </c>
      <c r="B15" s="14">
        <v>84.848484848484844</v>
      </c>
      <c r="C15" s="64">
        <v>33</v>
      </c>
    </row>
    <row r="16" spans="1:3" x14ac:dyDescent="0.25">
      <c r="A16" s="3">
        <v>10</v>
      </c>
      <c r="B16" s="14">
        <v>88.888888888888886</v>
      </c>
      <c r="C16" s="64">
        <v>27</v>
      </c>
    </row>
    <row r="17" spans="1:3" x14ac:dyDescent="0.25">
      <c r="A17" s="3">
        <v>11</v>
      </c>
      <c r="B17" s="14">
        <v>89.743589743589737</v>
      </c>
      <c r="C17" s="64">
        <v>39</v>
      </c>
    </row>
    <row r="18" spans="1:3" x14ac:dyDescent="0.25">
      <c r="A18" s="3">
        <v>12</v>
      </c>
      <c r="B18" s="14">
        <v>82.352941176470594</v>
      </c>
      <c r="C18" s="64">
        <v>34</v>
      </c>
    </row>
    <row r="19" spans="1:3" x14ac:dyDescent="0.25">
      <c r="A19" s="3">
        <v>13</v>
      </c>
      <c r="B19" s="14">
        <v>94.444444444444443</v>
      </c>
      <c r="C19" s="64">
        <v>36</v>
      </c>
    </row>
    <row r="20" spans="1:3" x14ac:dyDescent="0.25">
      <c r="A20" s="3">
        <v>14</v>
      </c>
      <c r="B20" s="14">
        <v>91.428571428571431</v>
      </c>
      <c r="C20" s="64">
        <v>35</v>
      </c>
    </row>
    <row r="21" spans="1:3" x14ac:dyDescent="0.25">
      <c r="A21" s="3">
        <v>15</v>
      </c>
      <c r="B21" s="14">
        <v>85.294117647058826</v>
      </c>
      <c r="C21" s="64">
        <v>34</v>
      </c>
    </row>
    <row r="22" spans="1:3" x14ac:dyDescent="0.25">
      <c r="A22" s="3">
        <v>16</v>
      </c>
      <c r="B22" s="14">
        <v>80.952380952380949</v>
      </c>
      <c r="C22" s="64">
        <v>21</v>
      </c>
    </row>
    <row r="23" spans="1:3" x14ac:dyDescent="0.25">
      <c r="A23" s="3">
        <v>17</v>
      </c>
      <c r="B23" s="14">
        <v>81.25</v>
      </c>
      <c r="C23" s="64">
        <v>16</v>
      </c>
    </row>
    <row r="24" spans="1:3" x14ac:dyDescent="0.25">
      <c r="A24" s="3">
        <v>18</v>
      </c>
      <c r="B24" s="14">
        <v>90.625</v>
      </c>
      <c r="C24" s="64">
        <v>32</v>
      </c>
    </row>
    <row r="25" spans="1:3" x14ac:dyDescent="0.25">
      <c r="A25" s="3">
        <v>19</v>
      </c>
      <c r="B25" s="14">
        <v>70.588235294117652</v>
      </c>
      <c r="C25" s="64">
        <v>34</v>
      </c>
    </row>
    <row r="26" spans="1:3" x14ac:dyDescent="0.25">
      <c r="A26" s="3">
        <v>20</v>
      </c>
      <c r="B26" s="14">
        <v>81.081081081081081</v>
      </c>
      <c r="C26" s="64">
        <v>37</v>
      </c>
    </row>
    <row r="27" spans="1:3" x14ac:dyDescent="0.25">
      <c r="A27" s="3">
        <v>21</v>
      </c>
      <c r="B27" s="14">
        <v>80.555555555555557</v>
      </c>
      <c r="C27" s="64">
        <v>36</v>
      </c>
    </row>
    <row r="28" spans="1:3" x14ac:dyDescent="0.25">
      <c r="A28" s="3">
        <v>22</v>
      </c>
      <c r="B28" s="14">
        <v>85</v>
      </c>
      <c r="C28" s="64">
        <v>20</v>
      </c>
    </row>
    <row r="29" spans="1:3" x14ac:dyDescent="0.25">
      <c r="A29" s="3">
        <v>23</v>
      </c>
      <c r="B29" s="14">
        <v>75.757575757575751</v>
      </c>
      <c r="C29" s="64">
        <v>33</v>
      </c>
    </row>
    <row r="30" spans="1:3" x14ac:dyDescent="0.25">
      <c r="A30" s="3">
        <v>24</v>
      </c>
      <c r="B30" s="14">
        <v>79.166666666666671</v>
      </c>
      <c r="C30" s="64">
        <v>24</v>
      </c>
    </row>
    <row r="31" spans="1:3" x14ac:dyDescent="0.25">
      <c r="A31" s="3">
        <v>25</v>
      </c>
      <c r="B31" s="14">
        <v>63.636363636363633</v>
      </c>
      <c r="C31" s="64">
        <v>22</v>
      </c>
    </row>
    <row r="32" spans="1:3" x14ac:dyDescent="0.25">
      <c r="A32" s="3">
        <v>26</v>
      </c>
      <c r="B32" s="14">
        <v>75</v>
      </c>
      <c r="C32">
        <v>36</v>
      </c>
    </row>
    <row r="33" spans="1:3" x14ac:dyDescent="0.25">
      <c r="A33" s="3">
        <v>27</v>
      </c>
      <c r="B33" s="14">
        <v>82.352941176470594</v>
      </c>
      <c r="C33">
        <v>34</v>
      </c>
    </row>
    <row r="34" spans="1:3" x14ac:dyDescent="0.25">
      <c r="A34" s="3">
        <v>28</v>
      </c>
      <c r="B34" s="14">
        <v>72.41379310344827</v>
      </c>
      <c r="C34">
        <v>29</v>
      </c>
    </row>
    <row r="35" spans="1:3" x14ac:dyDescent="0.25">
      <c r="A35" s="3">
        <v>29</v>
      </c>
      <c r="B35" s="14">
        <v>76</v>
      </c>
      <c r="C35">
        <v>25</v>
      </c>
    </row>
    <row r="36" spans="1:3" x14ac:dyDescent="0.25">
      <c r="A36" s="3">
        <v>30</v>
      </c>
      <c r="B36" s="14">
        <v>65.853658536585371</v>
      </c>
      <c r="C36">
        <v>41</v>
      </c>
    </row>
    <row r="37" spans="1:3" x14ac:dyDescent="0.25">
      <c r="A37" s="3">
        <v>31</v>
      </c>
      <c r="B37" s="14">
        <v>81.25</v>
      </c>
      <c r="C37">
        <v>32</v>
      </c>
    </row>
    <row r="38" spans="1:3" x14ac:dyDescent="0.25">
      <c r="A38" s="3">
        <v>32</v>
      </c>
      <c r="B38" s="14">
        <v>75.757575757575751</v>
      </c>
      <c r="C38">
        <v>33</v>
      </c>
    </row>
    <row r="39" spans="1:3" x14ac:dyDescent="0.25">
      <c r="A39" s="3">
        <v>33</v>
      </c>
      <c r="B39" s="14">
        <v>90</v>
      </c>
      <c r="C39">
        <v>10</v>
      </c>
    </row>
    <row r="40" spans="1:3" x14ac:dyDescent="0.25">
      <c r="A40" s="3">
        <v>34</v>
      </c>
      <c r="B40" s="14">
        <v>100</v>
      </c>
      <c r="C40">
        <v>7</v>
      </c>
    </row>
    <row r="41" spans="1:3" x14ac:dyDescent="0.25">
      <c r="A41" s="3">
        <v>35</v>
      </c>
      <c r="B41" s="14">
        <v>63.934426229508198</v>
      </c>
      <c r="C41">
        <v>61</v>
      </c>
    </row>
    <row r="42" spans="1:3" x14ac:dyDescent="0.25">
      <c r="A42" s="3">
        <v>36</v>
      </c>
      <c r="B42" s="14">
        <v>57.142857142857146</v>
      </c>
      <c r="C42">
        <v>14</v>
      </c>
    </row>
    <row r="43" spans="1:3" x14ac:dyDescent="0.25">
      <c r="A43" s="3">
        <v>37</v>
      </c>
      <c r="B43" s="14">
        <v>67.857142857142861</v>
      </c>
      <c r="C43">
        <v>28</v>
      </c>
    </row>
    <row r="44" spans="1:3" x14ac:dyDescent="0.25">
      <c r="A44" s="3">
        <v>38</v>
      </c>
      <c r="B44" s="14">
        <v>68</v>
      </c>
      <c r="C44">
        <v>25</v>
      </c>
    </row>
    <row r="45" spans="1:3" x14ac:dyDescent="0.25">
      <c r="A45" s="3">
        <v>39</v>
      </c>
      <c r="B45" s="14">
        <v>77.272727272727266</v>
      </c>
      <c r="C45">
        <v>22</v>
      </c>
    </row>
    <row r="46" spans="1:3" x14ac:dyDescent="0.25">
      <c r="A46" s="3">
        <v>40</v>
      </c>
      <c r="B46" s="14">
        <v>76.92307692307692</v>
      </c>
      <c r="C46">
        <v>26</v>
      </c>
    </row>
    <row r="47" spans="1:3" x14ac:dyDescent="0.25">
      <c r="A47" s="3">
        <v>41</v>
      </c>
      <c r="B47" s="14">
        <v>81.481481481481481</v>
      </c>
      <c r="C47">
        <v>27</v>
      </c>
    </row>
    <row r="48" spans="1:3" x14ac:dyDescent="0.25">
      <c r="A48" s="3">
        <v>42</v>
      </c>
      <c r="B48" s="14">
        <v>76.19047619047619</v>
      </c>
      <c r="C48">
        <v>21</v>
      </c>
    </row>
    <row r="49" spans="1:3" x14ac:dyDescent="0.25">
      <c r="A49" s="3" t="s">
        <v>888</v>
      </c>
      <c r="B49" s="14">
        <v>81.136738056013186</v>
      </c>
      <c r="C49">
        <v>1214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9FBD-7238-43B5-A3FB-BC012C73F7AE}">
  <sheetPr>
    <tabColor rgb="FF00B050"/>
  </sheetPr>
  <dimension ref="A1:L1218"/>
  <sheetViews>
    <sheetView topLeftCell="A1177" zoomScale="90" zoomScaleNormal="90" workbookViewId="0">
      <selection activeCell="I1194" sqref="I1191:L1218"/>
    </sheetView>
  </sheetViews>
  <sheetFormatPr defaultRowHeight="15" x14ac:dyDescent="0.25"/>
  <cols>
    <col min="1" max="1" width="14.140625" bestFit="1" customWidth="1"/>
    <col min="2" max="2" width="21.85546875" bestFit="1" customWidth="1"/>
    <col min="3" max="3" width="63.42578125" bestFit="1" customWidth="1"/>
    <col min="4" max="4" width="25.28515625" bestFit="1" customWidth="1"/>
    <col min="5" max="5" width="17.140625" bestFit="1" customWidth="1"/>
    <col min="6" max="6" width="13.28515625" bestFit="1" customWidth="1"/>
    <col min="7" max="7" width="15.42578125" bestFit="1" customWidth="1"/>
    <col min="8" max="8" width="13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890</v>
      </c>
      <c r="J1" s="4" t="s">
        <v>1076</v>
      </c>
      <c r="K1" t="s">
        <v>1075</v>
      </c>
      <c r="L1" t="s">
        <v>1085</v>
      </c>
    </row>
    <row r="2" spans="1:12" x14ac:dyDescent="0.25">
      <c r="A2" s="67">
        <v>45645</v>
      </c>
      <c r="B2" s="13" t="s">
        <v>8</v>
      </c>
      <c r="C2" s="13" t="s">
        <v>9</v>
      </c>
      <c r="D2" s="13" t="s">
        <v>10</v>
      </c>
      <c r="E2" s="13">
        <v>5000</v>
      </c>
      <c r="F2" s="67">
        <v>45662</v>
      </c>
      <c r="G2" s="13" t="s">
        <v>11</v>
      </c>
      <c r="H2" s="13" t="s">
        <v>12</v>
      </c>
      <c r="I2" s="13">
        <f>_xlfn.XLOOKUP(F2,'Wk no''s'!B:B,'Wk no''s'!C:C,FALSE)</f>
        <v>2</v>
      </c>
      <c r="J2" s="13">
        <f>IF(D2="GBP",1,SUMIFS('Ex Rates'!I:I,'Ex Rates'!K:K,'Weekly Closed Proposal Requests'!L2,'Ex Rates'!G:G,'Weekly Closed Proposal Requests'!D2))</f>
        <v>0.50125313283208017</v>
      </c>
      <c r="K2" s="13">
        <f t="shared" ref="K2:K65" si="0">+E2*J2</f>
        <v>2506.2656641604008</v>
      </c>
      <c r="L2" s="13" t="str">
        <f>_xlfn.XLOOKUP(I2,'Wk no''s'!C:C,'Wk no''s'!E:E,0)</f>
        <v>Jan</v>
      </c>
    </row>
    <row r="3" spans="1:12" x14ac:dyDescent="0.25">
      <c r="A3" s="67">
        <v>45506</v>
      </c>
      <c r="B3" s="13" t="s">
        <v>61</v>
      </c>
      <c r="C3" s="13" t="s">
        <v>62</v>
      </c>
      <c r="D3" s="13" t="s">
        <v>15</v>
      </c>
      <c r="E3" s="13">
        <v>250000</v>
      </c>
      <c r="F3" s="67">
        <v>45663</v>
      </c>
      <c r="G3" s="13" t="s">
        <v>11</v>
      </c>
      <c r="H3" s="13" t="s">
        <v>50</v>
      </c>
      <c r="I3" s="13">
        <f>_xlfn.XLOOKUP(F3,'Wk no''s'!B:B,'Wk no''s'!C:C,FALSE)</f>
        <v>2</v>
      </c>
      <c r="J3" s="13">
        <f>IF(D3="GBP",1,SUMIFS('Ex Rates'!I:I,'Ex Rates'!K:K,'Weekly Closed Proposal Requests'!L3,'Ex Rates'!G:G,'Weekly Closed Proposal Requests'!D3))</f>
        <v>1</v>
      </c>
      <c r="K3" s="13">
        <f t="shared" si="0"/>
        <v>250000</v>
      </c>
      <c r="L3" s="13" t="str">
        <f>_xlfn.XLOOKUP(I3,'Wk no''s'!C:C,'Wk no''s'!E:E,0)</f>
        <v>Jan</v>
      </c>
    </row>
    <row r="4" spans="1:12" x14ac:dyDescent="0.25">
      <c r="A4" s="67">
        <v>45636</v>
      </c>
      <c r="B4" s="13" t="s">
        <v>65</v>
      </c>
      <c r="C4" s="13" t="s">
        <v>66</v>
      </c>
      <c r="D4" s="13" t="s">
        <v>10</v>
      </c>
      <c r="E4" s="13">
        <v>250000</v>
      </c>
      <c r="F4" s="67">
        <v>45663</v>
      </c>
      <c r="G4" s="13" t="s">
        <v>11</v>
      </c>
      <c r="H4" s="13" t="s">
        <v>50</v>
      </c>
      <c r="I4" s="13">
        <f>_xlfn.XLOOKUP(F4,'Wk no''s'!B:B,'Wk no''s'!C:C,FALSE)</f>
        <v>2</v>
      </c>
      <c r="J4" s="13">
        <f>IF(D4="GBP",1,SUMIFS('Ex Rates'!I:I,'Ex Rates'!K:K,'Weekly Closed Proposal Requests'!L4,'Ex Rates'!G:G,'Weekly Closed Proposal Requests'!D4))</f>
        <v>0.50125313283208017</v>
      </c>
      <c r="K4" s="13">
        <f t="shared" si="0"/>
        <v>125313.28320802005</v>
      </c>
      <c r="L4" s="13" t="str">
        <f>_xlfn.XLOOKUP(I4,'Wk no''s'!C:C,'Wk no''s'!E:E,0)</f>
        <v>Jan</v>
      </c>
    </row>
    <row r="5" spans="1:12" x14ac:dyDescent="0.25">
      <c r="A5" s="67">
        <v>45638</v>
      </c>
      <c r="B5" s="13" t="s">
        <v>51</v>
      </c>
      <c r="C5" s="13" t="s">
        <v>52</v>
      </c>
      <c r="D5" s="13" t="s">
        <v>15</v>
      </c>
      <c r="E5" s="13">
        <v>0</v>
      </c>
      <c r="F5" s="67">
        <v>45663</v>
      </c>
      <c r="G5" s="13" t="s">
        <v>47</v>
      </c>
      <c r="H5" s="13" t="s">
        <v>50</v>
      </c>
      <c r="I5" s="13">
        <f>_xlfn.XLOOKUP(F5,'Wk no''s'!B:B,'Wk no''s'!C:C,FALSE)</f>
        <v>2</v>
      </c>
      <c r="J5" s="13">
        <f>IF(D5="GBP",1,SUMIFS('Ex Rates'!I:I,'Ex Rates'!K:K,'Weekly Closed Proposal Requests'!L5,'Ex Rates'!G:G,'Weekly Closed Proposal Requests'!D5))</f>
        <v>1</v>
      </c>
      <c r="K5" s="13">
        <f t="shared" si="0"/>
        <v>0</v>
      </c>
      <c r="L5" s="13" t="str">
        <f>_xlfn.XLOOKUP(I5,'Wk no''s'!C:C,'Wk no''s'!E:E,0)</f>
        <v>Jan</v>
      </c>
    </row>
    <row r="6" spans="1:12" x14ac:dyDescent="0.25">
      <c r="A6" s="67">
        <v>45643</v>
      </c>
      <c r="B6" s="13" t="s">
        <v>67</v>
      </c>
      <c r="C6" s="13" t="s">
        <v>66</v>
      </c>
      <c r="D6" s="13" t="s">
        <v>10</v>
      </c>
      <c r="E6" s="13">
        <v>250000</v>
      </c>
      <c r="F6" s="67">
        <v>45663</v>
      </c>
      <c r="G6" s="13" t="s">
        <v>11</v>
      </c>
      <c r="H6" s="13" t="s">
        <v>50</v>
      </c>
      <c r="I6" s="13">
        <f>_xlfn.XLOOKUP(F6,'Wk no''s'!B:B,'Wk no''s'!C:C,FALSE)</f>
        <v>2</v>
      </c>
      <c r="J6" s="13">
        <f>IF(D6="GBP",1,SUMIFS('Ex Rates'!I:I,'Ex Rates'!K:K,'Weekly Closed Proposal Requests'!L6,'Ex Rates'!G:G,'Weekly Closed Proposal Requests'!D6))</f>
        <v>0.50125313283208017</v>
      </c>
      <c r="K6" s="13">
        <f t="shared" si="0"/>
        <v>125313.28320802005</v>
      </c>
      <c r="L6" s="13" t="str">
        <f>_xlfn.XLOOKUP(I6,'Wk no''s'!C:C,'Wk no''s'!E:E,0)</f>
        <v>Jan</v>
      </c>
    </row>
    <row r="7" spans="1:12" x14ac:dyDescent="0.25">
      <c r="A7" s="67">
        <v>45643</v>
      </c>
      <c r="B7" s="13" t="s">
        <v>20</v>
      </c>
      <c r="C7" s="13" t="s">
        <v>21</v>
      </c>
      <c r="D7" s="13" t="s">
        <v>15</v>
      </c>
      <c r="E7" s="13">
        <v>100000</v>
      </c>
      <c r="F7" s="67">
        <v>45663</v>
      </c>
      <c r="G7" s="13" t="s">
        <v>16</v>
      </c>
      <c r="H7" s="13" t="s">
        <v>19</v>
      </c>
      <c r="I7" s="13">
        <f>_xlfn.XLOOKUP(F7,'Wk no''s'!B:B,'Wk no''s'!C:C,FALSE)</f>
        <v>2</v>
      </c>
      <c r="J7" s="13">
        <f>IF(D7="GBP",1,SUMIFS('Ex Rates'!I:I,'Ex Rates'!K:K,'Weekly Closed Proposal Requests'!L7,'Ex Rates'!G:G,'Weekly Closed Proposal Requests'!D7))</f>
        <v>1</v>
      </c>
      <c r="K7" s="13">
        <f t="shared" si="0"/>
        <v>100000</v>
      </c>
      <c r="L7" s="13" t="str">
        <f>_xlfn.XLOOKUP(I7,'Wk no''s'!C:C,'Wk no''s'!E:E,0)</f>
        <v>Jan</v>
      </c>
    </row>
    <row r="8" spans="1:12" x14ac:dyDescent="0.25">
      <c r="A8" s="67">
        <v>45644</v>
      </c>
      <c r="B8" s="13" t="s">
        <v>38</v>
      </c>
      <c r="C8" s="13" t="s">
        <v>39</v>
      </c>
      <c r="D8" s="13" t="s">
        <v>40</v>
      </c>
      <c r="E8" s="13">
        <v>50000</v>
      </c>
      <c r="F8" s="67">
        <v>45663</v>
      </c>
      <c r="G8" s="13" t="s">
        <v>41</v>
      </c>
      <c r="H8" s="13" t="s">
        <v>19</v>
      </c>
      <c r="I8" s="13">
        <f>_xlfn.XLOOKUP(F8,'Wk no''s'!B:B,'Wk no''s'!C:C,FALSE)</f>
        <v>2</v>
      </c>
      <c r="J8" s="13">
        <f>IF(D8="GBP",1,SUMIFS('Ex Rates'!I:I,'Ex Rates'!K:K,'Weekly Closed Proposal Requests'!L8,'Ex Rates'!G:G,'Weekly Closed Proposal Requests'!D8))</f>
        <v>0.83682008368200833</v>
      </c>
      <c r="K8" s="13">
        <f t="shared" si="0"/>
        <v>41841.004184100413</v>
      </c>
      <c r="L8" s="13" t="str">
        <f>_xlfn.XLOOKUP(I8,'Wk no''s'!C:C,'Wk no''s'!E:E,0)</f>
        <v>Jan</v>
      </c>
    </row>
    <row r="9" spans="1:12" x14ac:dyDescent="0.25">
      <c r="A9" s="67">
        <v>45645</v>
      </c>
      <c r="B9" s="13" t="s">
        <v>75</v>
      </c>
      <c r="C9" s="13" t="s">
        <v>76</v>
      </c>
      <c r="D9" s="13" t="s">
        <v>15</v>
      </c>
      <c r="E9" s="13">
        <v>50000</v>
      </c>
      <c r="F9" s="67">
        <v>45663</v>
      </c>
      <c r="G9" s="13" t="s">
        <v>72</v>
      </c>
      <c r="H9" s="13" t="s">
        <v>19</v>
      </c>
      <c r="I9" s="13">
        <f>_xlfn.XLOOKUP(F9,'Wk no''s'!B:B,'Wk no''s'!C:C,FALSE)</f>
        <v>2</v>
      </c>
      <c r="J9" s="13">
        <f>IF(D9="GBP",1,SUMIFS('Ex Rates'!I:I,'Ex Rates'!K:K,'Weekly Closed Proposal Requests'!L9,'Ex Rates'!G:G,'Weekly Closed Proposal Requests'!D9))</f>
        <v>1</v>
      </c>
      <c r="K9" s="13">
        <f t="shared" si="0"/>
        <v>50000</v>
      </c>
      <c r="L9" s="13" t="str">
        <f>_xlfn.XLOOKUP(I9,'Wk no''s'!C:C,'Wk no''s'!E:E,0)</f>
        <v>Jan</v>
      </c>
    </row>
    <row r="10" spans="1:12" x14ac:dyDescent="0.25">
      <c r="A10" s="67">
        <v>45646</v>
      </c>
      <c r="B10" s="13" t="s">
        <v>30</v>
      </c>
      <c r="C10" s="13" t="s">
        <v>29</v>
      </c>
      <c r="D10" s="13" t="s">
        <v>15</v>
      </c>
      <c r="E10" s="13">
        <v>250000</v>
      </c>
      <c r="F10" s="67">
        <v>45663</v>
      </c>
      <c r="G10" s="13" t="s">
        <v>16</v>
      </c>
      <c r="H10" s="13" t="s">
        <v>19</v>
      </c>
      <c r="I10" s="13">
        <f>_xlfn.XLOOKUP(F10,'Wk no''s'!B:B,'Wk no''s'!C:C,FALSE)</f>
        <v>2</v>
      </c>
      <c r="J10" s="13">
        <f>IF(D10="GBP",1,SUMIFS('Ex Rates'!I:I,'Ex Rates'!K:K,'Weekly Closed Proposal Requests'!L10,'Ex Rates'!G:G,'Weekly Closed Proposal Requests'!D10))</f>
        <v>1</v>
      </c>
      <c r="K10" s="13">
        <f t="shared" si="0"/>
        <v>250000</v>
      </c>
      <c r="L10" s="13" t="str">
        <f>_xlfn.XLOOKUP(I10,'Wk no''s'!C:C,'Wk no''s'!E:E,0)</f>
        <v>Jan</v>
      </c>
    </row>
    <row r="11" spans="1:12" x14ac:dyDescent="0.25">
      <c r="A11" s="67">
        <v>45646</v>
      </c>
      <c r="B11" s="13" t="s">
        <v>77</v>
      </c>
      <c r="C11" s="13" t="s">
        <v>78</v>
      </c>
      <c r="D11" s="13" t="s">
        <v>15</v>
      </c>
      <c r="E11" s="13">
        <v>180000</v>
      </c>
      <c r="F11" s="67">
        <v>45663</v>
      </c>
      <c r="G11" s="13" t="s">
        <v>72</v>
      </c>
      <c r="H11" s="13" t="s">
        <v>19</v>
      </c>
      <c r="I11" s="13">
        <f>_xlfn.XLOOKUP(F11,'Wk no''s'!B:B,'Wk no''s'!C:C,FALSE)</f>
        <v>2</v>
      </c>
      <c r="J11" s="13">
        <f>IF(D11="GBP",1,SUMIFS('Ex Rates'!I:I,'Ex Rates'!K:K,'Weekly Closed Proposal Requests'!L11,'Ex Rates'!G:G,'Weekly Closed Proposal Requests'!D11))</f>
        <v>1</v>
      </c>
      <c r="K11" s="13">
        <f t="shared" si="0"/>
        <v>180000</v>
      </c>
      <c r="L11" s="13" t="str">
        <f>_xlfn.XLOOKUP(I11,'Wk no''s'!C:C,'Wk no''s'!E:E,0)</f>
        <v>Jan</v>
      </c>
    </row>
    <row r="12" spans="1:12" x14ac:dyDescent="0.25">
      <c r="A12" s="67">
        <v>45636</v>
      </c>
      <c r="B12" s="13" t="s">
        <v>73</v>
      </c>
      <c r="C12" s="13" t="s">
        <v>74</v>
      </c>
      <c r="D12" s="13" t="s">
        <v>15</v>
      </c>
      <c r="E12" s="13">
        <v>300000</v>
      </c>
      <c r="F12" s="67">
        <v>45664</v>
      </c>
      <c r="G12" s="13" t="s">
        <v>72</v>
      </c>
      <c r="H12" s="13" t="s">
        <v>19</v>
      </c>
      <c r="I12" s="13">
        <f>_xlfn.XLOOKUP(F12,'Wk no''s'!B:B,'Wk no''s'!C:C,FALSE)</f>
        <v>2</v>
      </c>
      <c r="J12" s="13">
        <f>IF(D12="GBP",1,SUMIFS('Ex Rates'!I:I,'Ex Rates'!K:K,'Weekly Closed Proposal Requests'!L12,'Ex Rates'!G:G,'Weekly Closed Proposal Requests'!D12))</f>
        <v>1</v>
      </c>
      <c r="K12" s="13">
        <f t="shared" si="0"/>
        <v>300000</v>
      </c>
      <c r="L12" s="13" t="str">
        <f>_xlfn.XLOOKUP(I12,'Wk no''s'!C:C,'Wk no''s'!E:E,0)</f>
        <v>Jan</v>
      </c>
    </row>
    <row r="13" spans="1:12" x14ac:dyDescent="0.25">
      <c r="A13" s="67">
        <v>45642</v>
      </c>
      <c r="B13" s="13" t="s">
        <v>17</v>
      </c>
      <c r="C13" s="13" t="s">
        <v>18</v>
      </c>
      <c r="D13" s="13" t="s">
        <v>15</v>
      </c>
      <c r="E13" s="13">
        <v>15000</v>
      </c>
      <c r="F13" s="67">
        <v>45664</v>
      </c>
      <c r="G13" s="13" t="s">
        <v>16</v>
      </c>
      <c r="H13" s="13" t="s">
        <v>19</v>
      </c>
      <c r="I13" s="13">
        <f>_xlfn.XLOOKUP(F13,'Wk no''s'!B:B,'Wk no''s'!C:C,FALSE)</f>
        <v>2</v>
      </c>
      <c r="J13" s="13">
        <f>IF(D13="GBP",1,SUMIFS('Ex Rates'!I:I,'Ex Rates'!K:K,'Weekly Closed Proposal Requests'!L13,'Ex Rates'!G:G,'Weekly Closed Proposal Requests'!D13))</f>
        <v>1</v>
      </c>
      <c r="K13" s="13">
        <f t="shared" si="0"/>
        <v>15000</v>
      </c>
      <c r="L13" s="13" t="str">
        <f>_xlfn.XLOOKUP(I13,'Wk no''s'!C:C,'Wk no''s'!E:E,0)</f>
        <v>Jan</v>
      </c>
    </row>
    <row r="14" spans="1:12" x14ac:dyDescent="0.25">
      <c r="A14" s="67">
        <v>45646</v>
      </c>
      <c r="B14" s="13" t="s">
        <v>28</v>
      </c>
      <c r="C14" s="13" t="s">
        <v>29</v>
      </c>
      <c r="D14" s="13" t="s">
        <v>15</v>
      </c>
      <c r="E14" s="13">
        <v>250000</v>
      </c>
      <c r="F14" s="67">
        <v>45664</v>
      </c>
      <c r="G14" s="13" t="s">
        <v>16</v>
      </c>
      <c r="H14" s="13" t="s">
        <v>19</v>
      </c>
      <c r="I14" s="13">
        <f>_xlfn.XLOOKUP(F14,'Wk no''s'!B:B,'Wk no''s'!C:C,FALSE)</f>
        <v>2</v>
      </c>
      <c r="J14" s="13">
        <f>IF(D14="GBP",1,SUMIFS('Ex Rates'!I:I,'Ex Rates'!K:K,'Weekly Closed Proposal Requests'!L14,'Ex Rates'!G:G,'Weekly Closed Proposal Requests'!D14))</f>
        <v>1</v>
      </c>
      <c r="K14" s="13">
        <f t="shared" si="0"/>
        <v>250000</v>
      </c>
      <c r="L14" s="13" t="str">
        <f>_xlfn.XLOOKUP(I14,'Wk no''s'!C:C,'Wk no''s'!E:E,0)</f>
        <v>Jan</v>
      </c>
    </row>
    <row r="15" spans="1:12" x14ac:dyDescent="0.25">
      <c r="A15" s="67">
        <v>45649</v>
      </c>
      <c r="B15" s="13" t="s">
        <v>81</v>
      </c>
      <c r="C15" s="13" t="s">
        <v>82</v>
      </c>
      <c r="D15" s="13" t="s">
        <v>15</v>
      </c>
      <c r="E15" s="13">
        <v>60000</v>
      </c>
      <c r="F15" s="67">
        <v>45664</v>
      </c>
      <c r="G15" s="13" t="s">
        <v>72</v>
      </c>
      <c r="H15" s="13" t="s">
        <v>19</v>
      </c>
      <c r="I15" s="13">
        <f>_xlfn.XLOOKUP(F15,'Wk no''s'!B:B,'Wk no''s'!C:C,FALSE)</f>
        <v>2</v>
      </c>
      <c r="J15" s="13">
        <f>IF(D15="GBP",1,SUMIFS('Ex Rates'!I:I,'Ex Rates'!K:K,'Weekly Closed Proposal Requests'!L15,'Ex Rates'!G:G,'Weekly Closed Proposal Requests'!D15))</f>
        <v>1</v>
      </c>
      <c r="K15" s="13">
        <f t="shared" si="0"/>
        <v>60000</v>
      </c>
      <c r="L15" s="13" t="str">
        <f>_xlfn.XLOOKUP(I15,'Wk no''s'!C:C,'Wk no''s'!E:E,0)</f>
        <v>Jan</v>
      </c>
    </row>
    <row r="16" spans="1:12" x14ac:dyDescent="0.25">
      <c r="A16" s="67">
        <v>45663</v>
      </c>
      <c r="B16" s="13" t="s">
        <v>68</v>
      </c>
      <c r="C16" s="13" t="s">
        <v>69</v>
      </c>
      <c r="D16" s="13" t="s">
        <v>10</v>
      </c>
      <c r="E16" s="13">
        <v>30000</v>
      </c>
      <c r="F16" s="67">
        <v>45664</v>
      </c>
      <c r="G16" s="13" t="s">
        <v>11</v>
      </c>
      <c r="H16" s="13" t="s">
        <v>50</v>
      </c>
      <c r="I16" s="13">
        <f>_xlfn.XLOOKUP(F16,'Wk no''s'!B:B,'Wk no''s'!C:C,FALSE)</f>
        <v>2</v>
      </c>
      <c r="J16" s="13">
        <f>IF(D16="GBP",1,SUMIFS('Ex Rates'!I:I,'Ex Rates'!K:K,'Weekly Closed Proposal Requests'!L16,'Ex Rates'!G:G,'Weekly Closed Proposal Requests'!D16))</f>
        <v>0.50125313283208017</v>
      </c>
      <c r="K16" s="13">
        <f t="shared" si="0"/>
        <v>15037.593984962405</v>
      </c>
      <c r="L16" s="13" t="str">
        <f>_xlfn.XLOOKUP(I16,'Wk no''s'!C:C,'Wk no''s'!E:E,0)</f>
        <v>Jan</v>
      </c>
    </row>
    <row r="17" spans="1:12" x14ac:dyDescent="0.25">
      <c r="A17" s="67">
        <v>45645</v>
      </c>
      <c r="B17" s="13" t="s">
        <v>26</v>
      </c>
      <c r="C17" s="13" t="s">
        <v>27</v>
      </c>
      <c r="D17" s="13" t="s">
        <v>15</v>
      </c>
      <c r="E17" s="13">
        <v>20000</v>
      </c>
      <c r="F17" s="67">
        <v>45665</v>
      </c>
      <c r="G17" s="13" t="s">
        <v>16</v>
      </c>
      <c r="H17" s="13" t="s">
        <v>19</v>
      </c>
      <c r="I17" s="13">
        <f>_xlfn.XLOOKUP(F17,'Wk no''s'!B:B,'Wk no''s'!C:C,FALSE)</f>
        <v>2</v>
      </c>
      <c r="J17" s="13">
        <f>IF(D17="GBP",1,SUMIFS('Ex Rates'!I:I,'Ex Rates'!K:K,'Weekly Closed Proposal Requests'!L17,'Ex Rates'!G:G,'Weekly Closed Proposal Requests'!D17))</f>
        <v>1</v>
      </c>
      <c r="K17" s="13">
        <f t="shared" si="0"/>
        <v>20000</v>
      </c>
      <c r="L17" s="13" t="str">
        <f>_xlfn.XLOOKUP(I17,'Wk no''s'!C:C,'Wk no''s'!E:E,0)</f>
        <v>Jan</v>
      </c>
    </row>
    <row r="18" spans="1:12" x14ac:dyDescent="0.25">
      <c r="A18" s="67">
        <v>45646</v>
      </c>
      <c r="B18" s="13" t="s">
        <v>31</v>
      </c>
      <c r="C18" s="13" t="s">
        <v>29</v>
      </c>
      <c r="D18" s="13" t="s">
        <v>15</v>
      </c>
      <c r="E18" s="13">
        <v>250000</v>
      </c>
      <c r="F18" s="67">
        <v>45665</v>
      </c>
      <c r="G18" s="13" t="s">
        <v>16</v>
      </c>
      <c r="H18" s="13" t="s">
        <v>19</v>
      </c>
      <c r="I18" s="13">
        <f>_xlfn.XLOOKUP(F18,'Wk no''s'!B:B,'Wk no''s'!C:C,FALSE)</f>
        <v>2</v>
      </c>
      <c r="J18" s="13">
        <f>IF(D18="GBP",1,SUMIFS('Ex Rates'!I:I,'Ex Rates'!K:K,'Weekly Closed Proposal Requests'!L18,'Ex Rates'!G:G,'Weekly Closed Proposal Requests'!D18))</f>
        <v>1</v>
      </c>
      <c r="K18" s="13">
        <f t="shared" si="0"/>
        <v>250000</v>
      </c>
      <c r="L18" s="13" t="str">
        <f>_xlfn.XLOOKUP(I18,'Wk no''s'!C:C,'Wk no''s'!E:E,0)</f>
        <v>Jan</v>
      </c>
    </row>
    <row r="19" spans="1:12" x14ac:dyDescent="0.25">
      <c r="A19" s="67">
        <v>45663</v>
      </c>
      <c r="B19" s="13" t="s">
        <v>42</v>
      </c>
      <c r="C19" s="13" t="s">
        <v>43</v>
      </c>
      <c r="D19" s="13" t="s">
        <v>40</v>
      </c>
      <c r="E19" s="13">
        <v>10000</v>
      </c>
      <c r="F19" s="67">
        <v>45665</v>
      </c>
      <c r="G19" s="13" t="s">
        <v>41</v>
      </c>
      <c r="H19" s="13" t="s">
        <v>19</v>
      </c>
      <c r="I19" s="13">
        <f>_xlfn.XLOOKUP(F19,'Wk no''s'!B:B,'Wk no''s'!C:C,FALSE)</f>
        <v>2</v>
      </c>
      <c r="J19" s="13">
        <f>IF(D19="GBP",1,SUMIFS('Ex Rates'!I:I,'Ex Rates'!K:K,'Weekly Closed Proposal Requests'!L19,'Ex Rates'!G:G,'Weekly Closed Proposal Requests'!D19))</f>
        <v>0.83682008368200833</v>
      </c>
      <c r="K19" s="13">
        <f t="shared" si="0"/>
        <v>8368.2008368200841</v>
      </c>
      <c r="L19" s="13" t="str">
        <f>_xlfn.XLOOKUP(I19,'Wk no''s'!C:C,'Wk no''s'!E:E,0)</f>
        <v>Jan</v>
      </c>
    </row>
    <row r="20" spans="1:12" x14ac:dyDescent="0.25">
      <c r="A20" s="67">
        <v>45664</v>
      </c>
      <c r="B20" s="13" t="s">
        <v>13</v>
      </c>
      <c r="C20" s="13" t="s">
        <v>14</v>
      </c>
      <c r="D20" s="13" t="s">
        <v>15</v>
      </c>
      <c r="E20" s="13">
        <v>1000</v>
      </c>
      <c r="F20" s="67">
        <v>45665</v>
      </c>
      <c r="G20" s="13" t="s">
        <v>16</v>
      </c>
      <c r="H20" s="13" t="s">
        <v>12</v>
      </c>
      <c r="I20" s="13">
        <f>_xlfn.XLOOKUP(F20,'Wk no''s'!B:B,'Wk no''s'!C:C,FALSE)</f>
        <v>2</v>
      </c>
      <c r="J20" s="13">
        <f>IF(D20="GBP",1,SUMIFS('Ex Rates'!I:I,'Ex Rates'!K:K,'Weekly Closed Proposal Requests'!L20,'Ex Rates'!G:G,'Weekly Closed Proposal Requests'!D20))</f>
        <v>1</v>
      </c>
      <c r="K20" s="13">
        <f t="shared" si="0"/>
        <v>1000</v>
      </c>
      <c r="L20" s="13" t="str">
        <f>_xlfn.XLOOKUP(I20,'Wk no''s'!C:C,'Wk no''s'!E:E,0)</f>
        <v>Jan</v>
      </c>
    </row>
    <row r="21" spans="1:12" x14ac:dyDescent="0.25">
      <c r="A21" s="67">
        <v>45665</v>
      </c>
      <c r="B21" s="13" t="s">
        <v>85</v>
      </c>
      <c r="C21" s="13" t="s">
        <v>86</v>
      </c>
      <c r="D21" s="13" t="s">
        <v>15</v>
      </c>
      <c r="E21" s="13">
        <v>50000</v>
      </c>
      <c r="F21" s="67">
        <v>45665</v>
      </c>
      <c r="G21" s="13" t="s">
        <v>72</v>
      </c>
      <c r="H21" s="13" t="s">
        <v>19</v>
      </c>
      <c r="I21" s="13">
        <f>_xlfn.XLOOKUP(F21,'Wk no''s'!B:B,'Wk no''s'!C:C,FALSE)</f>
        <v>2</v>
      </c>
      <c r="J21" s="13">
        <f>IF(D21="GBP",1,SUMIFS('Ex Rates'!I:I,'Ex Rates'!K:K,'Weekly Closed Proposal Requests'!L21,'Ex Rates'!G:G,'Weekly Closed Proposal Requests'!D21))</f>
        <v>1</v>
      </c>
      <c r="K21" s="13">
        <f t="shared" si="0"/>
        <v>50000</v>
      </c>
      <c r="L21" s="13" t="str">
        <f>_xlfn.XLOOKUP(I21,'Wk no''s'!C:C,'Wk no''s'!E:E,0)</f>
        <v>Jan</v>
      </c>
    </row>
    <row r="22" spans="1:12" x14ac:dyDescent="0.25">
      <c r="A22" s="67">
        <v>45621</v>
      </c>
      <c r="B22" s="13" t="s">
        <v>70</v>
      </c>
      <c r="C22" s="13" t="s">
        <v>71</v>
      </c>
      <c r="D22" s="13" t="s">
        <v>15</v>
      </c>
      <c r="E22" s="13">
        <v>1000000</v>
      </c>
      <c r="F22" s="67">
        <v>45666</v>
      </c>
      <c r="G22" s="13" t="s">
        <v>72</v>
      </c>
      <c r="H22" s="13" t="s">
        <v>19</v>
      </c>
      <c r="I22" s="13">
        <f>_xlfn.XLOOKUP(F22,'Wk no''s'!B:B,'Wk no''s'!C:C,FALSE)</f>
        <v>2</v>
      </c>
      <c r="J22" s="13">
        <f>IF(D22="GBP",1,SUMIFS('Ex Rates'!I:I,'Ex Rates'!K:K,'Weekly Closed Proposal Requests'!L22,'Ex Rates'!G:G,'Weekly Closed Proposal Requests'!D22))</f>
        <v>1</v>
      </c>
      <c r="K22" s="13">
        <f t="shared" si="0"/>
        <v>1000000</v>
      </c>
      <c r="L22" s="13" t="str">
        <f>_xlfn.XLOOKUP(I22,'Wk no''s'!C:C,'Wk no''s'!E:E,0)</f>
        <v>Jan</v>
      </c>
    </row>
    <row r="23" spans="1:12" x14ac:dyDescent="0.25">
      <c r="A23" s="67">
        <v>45643</v>
      </c>
      <c r="B23" s="13" t="s">
        <v>44</v>
      </c>
      <c r="C23" s="13" t="s">
        <v>45</v>
      </c>
      <c r="D23" s="13" t="s">
        <v>46</v>
      </c>
      <c r="E23" s="13">
        <v>300000</v>
      </c>
      <c r="F23" s="67">
        <v>45666</v>
      </c>
      <c r="G23" s="13" t="s">
        <v>47</v>
      </c>
      <c r="H23" s="13" t="s">
        <v>19</v>
      </c>
      <c r="I23" s="13">
        <f>_xlfn.XLOOKUP(F23,'Wk no''s'!B:B,'Wk no''s'!C:C,FALSE)</f>
        <v>2</v>
      </c>
      <c r="J23" s="13">
        <f>IF(D23="GBP",1,SUMIFS('Ex Rates'!I:I,'Ex Rates'!K:K,'Weekly Closed Proposal Requests'!L23,'Ex Rates'!G:G,'Weekly Closed Proposal Requests'!D23))</f>
        <v>0.80775444264943463</v>
      </c>
      <c r="K23" s="13">
        <f t="shared" si="0"/>
        <v>242326.33279483038</v>
      </c>
      <c r="L23" s="13" t="str">
        <f>_xlfn.XLOOKUP(I23,'Wk no''s'!C:C,'Wk no''s'!E:E,0)</f>
        <v>Jan</v>
      </c>
    </row>
    <row r="24" spans="1:12" x14ac:dyDescent="0.25">
      <c r="A24" s="67">
        <v>45644</v>
      </c>
      <c r="B24" s="13" t="s">
        <v>24</v>
      </c>
      <c r="C24" s="13" t="s">
        <v>25</v>
      </c>
      <c r="D24" s="13" t="s">
        <v>15</v>
      </c>
      <c r="E24" s="13">
        <v>71000</v>
      </c>
      <c r="F24" s="67">
        <v>45666</v>
      </c>
      <c r="G24" s="13" t="s">
        <v>16</v>
      </c>
      <c r="H24" s="13" t="s">
        <v>19</v>
      </c>
      <c r="I24" s="13">
        <f>_xlfn.XLOOKUP(F24,'Wk no''s'!B:B,'Wk no''s'!C:C,FALSE)</f>
        <v>2</v>
      </c>
      <c r="J24" s="13">
        <f>IF(D24="GBP",1,SUMIFS('Ex Rates'!I:I,'Ex Rates'!K:K,'Weekly Closed Proposal Requests'!L24,'Ex Rates'!G:G,'Weekly Closed Proposal Requests'!D24))</f>
        <v>1</v>
      </c>
      <c r="K24" s="13">
        <f t="shared" si="0"/>
        <v>71000</v>
      </c>
      <c r="L24" s="13" t="str">
        <f>_xlfn.XLOOKUP(I24,'Wk no''s'!C:C,'Wk no''s'!E:E,0)</f>
        <v>Jan</v>
      </c>
    </row>
    <row r="25" spans="1:12" x14ac:dyDescent="0.25">
      <c r="A25" s="67">
        <v>45644</v>
      </c>
      <c r="B25" s="13" t="s">
        <v>22</v>
      </c>
      <c r="C25" s="13" t="s">
        <v>23</v>
      </c>
      <c r="D25" s="13" t="s">
        <v>15</v>
      </c>
      <c r="E25" s="13">
        <v>10000</v>
      </c>
      <c r="F25" s="67">
        <v>45666</v>
      </c>
      <c r="G25" s="13" t="s">
        <v>16</v>
      </c>
      <c r="H25" s="13" t="s">
        <v>19</v>
      </c>
      <c r="I25" s="13">
        <f>_xlfn.XLOOKUP(F25,'Wk no''s'!B:B,'Wk no''s'!C:C,FALSE)</f>
        <v>2</v>
      </c>
      <c r="J25" s="13">
        <f>IF(D25="GBP",1,SUMIFS('Ex Rates'!I:I,'Ex Rates'!K:K,'Weekly Closed Proposal Requests'!L25,'Ex Rates'!G:G,'Weekly Closed Proposal Requests'!D25))</f>
        <v>1</v>
      </c>
      <c r="K25" s="13">
        <f t="shared" si="0"/>
        <v>10000</v>
      </c>
      <c r="L25" s="13" t="str">
        <f>_xlfn.XLOOKUP(I25,'Wk no''s'!C:C,'Wk no''s'!E:E,0)</f>
        <v>Jan</v>
      </c>
    </row>
    <row r="26" spans="1:12" x14ac:dyDescent="0.25">
      <c r="A26" s="67">
        <v>45645</v>
      </c>
      <c r="B26" s="13" t="s">
        <v>55</v>
      </c>
      <c r="C26" s="13" t="s">
        <v>56</v>
      </c>
      <c r="D26" s="13" t="s">
        <v>15</v>
      </c>
      <c r="E26" s="13">
        <v>12835</v>
      </c>
      <c r="F26" s="67">
        <v>45666</v>
      </c>
      <c r="G26" s="13" t="s">
        <v>47</v>
      </c>
      <c r="H26" s="13" t="s">
        <v>50</v>
      </c>
      <c r="I26" s="13">
        <f>_xlfn.XLOOKUP(F26,'Wk no''s'!B:B,'Wk no''s'!C:C,FALSE)</f>
        <v>2</v>
      </c>
      <c r="J26" s="13">
        <f>IF(D26="GBP",1,SUMIFS('Ex Rates'!I:I,'Ex Rates'!K:K,'Weekly Closed Proposal Requests'!L26,'Ex Rates'!G:G,'Weekly Closed Proposal Requests'!D26))</f>
        <v>1</v>
      </c>
      <c r="K26" s="13">
        <f t="shared" si="0"/>
        <v>12835</v>
      </c>
      <c r="L26" s="13" t="str">
        <f>_xlfn.XLOOKUP(I26,'Wk no''s'!C:C,'Wk no''s'!E:E,0)</f>
        <v>Jan</v>
      </c>
    </row>
    <row r="27" spans="1:12" x14ac:dyDescent="0.25">
      <c r="A27" s="67">
        <v>45663</v>
      </c>
      <c r="B27" s="13" t="s">
        <v>57</v>
      </c>
      <c r="C27" s="13" t="s">
        <v>58</v>
      </c>
      <c r="D27" s="13" t="s">
        <v>46</v>
      </c>
      <c r="E27" s="13">
        <v>140000</v>
      </c>
      <c r="F27" s="67">
        <v>45666</v>
      </c>
      <c r="G27" s="13" t="s">
        <v>47</v>
      </c>
      <c r="H27" s="13" t="s">
        <v>50</v>
      </c>
      <c r="I27" s="13">
        <f>_xlfn.XLOOKUP(F27,'Wk no''s'!B:B,'Wk no''s'!C:C,FALSE)</f>
        <v>2</v>
      </c>
      <c r="J27" s="13">
        <f>IF(D27="GBP",1,SUMIFS('Ex Rates'!I:I,'Ex Rates'!K:K,'Weekly Closed Proposal Requests'!L27,'Ex Rates'!G:G,'Weekly Closed Proposal Requests'!D27))</f>
        <v>0.80775444264943463</v>
      </c>
      <c r="K27" s="13">
        <f t="shared" si="0"/>
        <v>113085.62197092085</v>
      </c>
      <c r="L27" s="13" t="str">
        <f>_xlfn.XLOOKUP(I27,'Wk no''s'!C:C,'Wk no''s'!E:E,0)</f>
        <v>Jan</v>
      </c>
    </row>
    <row r="28" spans="1:12" x14ac:dyDescent="0.25">
      <c r="A28" s="67">
        <v>45664</v>
      </c>
      <c r="B28" s="13" t="s">
        <v>32</v>
      </c>
      <c r="C28" s="13" t="s">
        <v>33</v>
      </c>
      <c r="D28" s="13" t="s">
        <v>15</v>
      </c>
      <c r="E28" s="13">
        <v>10000</v>
      </c>
      <c r="F28" s="67">
        <v>45666</v>
      </c>
      <c r="G28" s="13" t="s">
        <v>16</v>
      </c>
      <c r="H28" s="13" t="s">
        <v>19</v>
      </c>
      <c r="I28" s="13">
        <f>_xlfn.XLOOKUP(F28,'Wk no''s'!B:B,'Wk no''s'!C:C,FALSE)</f>
        <v>2</v>
      </c>
      <c r="J28" s="13">
        <f>IF(D28="GBP",1,SUMIFS('Ex Rates'!I:I,'Ex Rates'!K:K,'Weekly Closed Proposal Requests'!L28,'Ex Rates'!G:G,'Weekly Closed Proposal Requests'!D28))</f>
        <v>1</v>
      </c>
      <c r="K28" s="13">
        <f t="shared" si="0"/>
        <v>10000</v>
      </c>
      <c r="L28" s="13" t="str">
        <f>_xlfn.XLOOKUP(I28,'Wk no''s'!C:C,'Wk no''s'!E:E,0)</f>
        <v>Jan</v>
      </c>
    </row>
    <row r="29" spans="1:12" x14ac:dyDescent="0.25">
      <c r="A29" s="67">
        <v>45665</v>
      </c>
      <c r="B29" s="13" t="s">
        <v>34</v>
      </c>
      <c r="C29" s="13" t="s">
        <v>35</v>
      </c>
      <c r="D29" s="13" t="s">
        <v>15</v>
      </c>
      <c r="E29" s="13">
        <v>150000</v>
      </c>
      <c r="F29" s="67">
        <v>45666</v>
      </c>
      <c r="G29" s="13" t="s">
        <v>16</v>
      </c>
      <c r="H29" s="13" t="s">
        <v>19</v>
      </c>
      <c r="I29" s="13">
        <f>_xlfn.XLOOKUP(F29,'Wk no''s'!B:B,'Wk no''s'!C:C,FALSE)</f>
        <v>2</v>
      </c>
      <c r="J29" s="13">
        <f>IF(D29="GBP",1,SUMIFS('Ex Rates'!I:I,'Ex Rates'!K:K,'Weekly Closed Proposal Requests'!L29,'Ex Rates'!G:G,'Weekly Closed Proposal Requests'!D29))</f>
        <v>1</v>
      </c>
      <c r="K29" s="13">
        <f t="shared" si="0"/>
        <v>150000</v>
      </c>
      <c r="L29" s="13" t="str">
        <f>_xlfn.XLOOKUP(I29,'Wk no''s'!C:C,'Wk no''s'!E:E,0)</f>
        <v>Jan</v>
      </c>
    </row>
    <row r="30" spans="1:12" x14ac:dyDescent="0.25">
      <c r="A30" s="67">
        <v>45635</v>
      </c>
      <c r="B30" s="13" t="s">
        <v>63</v>
      </c>
      <c r="C30" s="13" t="s">
        <v>64</v>
      </c>
      <c r="D30" s="13" t="s">
        <v>10</v>
      </c>
      <c r="E30" s="13">
        <v>40000</v>
      </c>
      <c r="F30" s="67">
        <v>45667</v>
      </c>
      <c r="G30" s="13" t="s">
        <v>11</v>
      </c>
      <c r="H30" s="13" t="s">
        <v>50</v>
      </c>
      <c r="I30" s="13">
        <f>_xlfn.XLOOKUP(F30,'Wk no''s'!B:B,'Wk no''s'!C:C,FALSE)</f>
        <v>2</v>
      </c>
      <c r="J30" s="13">
        <f>IF(D30="GBP",1,SUMIFS('Ex Rates'!I:I,'Ex Rates'!K:K,'Weekly Closed Proposal Requests'!L30,'Ex Rates'!G:G,'Weekly Closed Proposal Requests'!D30))</f>
        <v>0.50125313283208017</v>
      </c>
      <c r="K30" s="13">
        <f t="shared" si="0"/>
        <v>20050.125313283206</v>
      </c>
      <c r="L30" s="13" t="str">
        <f>_xlfn.XLOOKUP(I30,'Wk no''s'!C:C,'Wk no''s'!E:E,0)</f>
        <v>Jan</v>
      </c>
    </row>
    <row r="31" spans="1:12" x14ac:dyDescent="0.25">
      <c r="A31" s="67">
        <v>45646</v>
      </c>
      <c r="B31" s="13" t="s">
        <v>79</v>
      </c>
      <c r="C31" s="13" t="s">
        <v>80</v>
      </c>
      <c r="D31" s="13" t="s">
        <v>15</v>
      </c>
      <c r="E31" s="13">
        <v>60000</v>
      </c>
      <c r="F31" s="67">
        <v>45667</v>
      </c>
      <c r="G31" s="13" t="s">
        <v>72</v>
      </c>
      <c r="H31" s="13" t="s">
        <v>19</v>
      </c>
      <c r="I31" s="13">
        <f>_xlfn.XLOOKUP(F31,'Wk no''s'!B:B,'Wk no''s'!C:C,FALSE)</f>
        <v>2</v>
      </c>
      <c r="J31" s="13">
        <f>IF(D31="GBP",1,SUMIFS('Ex Rates'!I:I,'Ex Rates'!K:K,'Weekly Closed Proposal Requests'!L31,'Ex Rates'!G:G,'Weekly Closed Proposal Requests'!D31))</f>
        <v>1</v>
      </c>
      <c r="K31" s="13">
        <f t="shared" si="0"/>
        <v>60000</v>
      </c>
      <c r="L31" s="13" t="str">
        <f>_xlfn.XLOOKUP(I31,'Wk no''s'!C:C,'Wk no''s'!E:E,0)</f>
        <v>Jan</v>
      </c>
    </row>
    <row r="32" spans="1:12" x14ac:dyDescent="0.25">
      <c r="A32" s="67">
        <v>45664</v>
      </c>
      <c r="B32" s="13" t="s">
        <v>59</v>
      </c>
      <c r="C32" s="13" t="s">
        <v>60</v>
      </c>
      <c r="D32" s="13" t="s">
        <v>46</v>
      </c>
      <c r="E32" s="13">
        <v>609383.93999999994</v>
      </c>
      <c r="F32" s="67">
        <v>45667</v>
      </c>
      <c r="G32" s="13" t="s">
        <v>47</v>
      </c>
      <c r="H32" s="13" t="s">
        <v>50</v>
      </c>
      <c r="I32" s="13">
        <f>_xlfn.XLOOKUP(F32,'Wk no''s'!B:B,'Wk no''s'!C:C,FALSE)</f>
        <v>2</v>
      </c>
      <c r="J32" s="13">
        <f>IF(D32="GBP",1,SUMIFS('Ex Rates'!I:I,'Ex Rates'!K:K,'Weekly Closed Proposal Requests'!L32,'Ex Rates'!G:G,'Weekly Closed Proposal Requests'!D32))</f>
        <v>0.80775444264943463</v>
      </c>
      <c r="K32" s="13">
        <f t="shared" si="0"/>
        <v>492232.58481421648</v>
      </c>
      <c r="L32" s="13" t="str">
        <f>_xlfn.XLOOKUP(I32,'Wk no''s'!C:C,'Wk no''s'!E:E,0)</f>
        <v>Jan</v>
      </c>
    </row>
    <row r="33" spans="1:12" x14ac:dyDescent="0.25">
      <c r="A33" s="67">
        <v>45664</v>
      </c>
      <c r="B33" s="13" t="s">
        <v>83</v>
      </c>
      <c r="C33" s="13" t="s">
        <v>84</v>
      </c>
      <c r="D33" s="13" t="s">
        <v>15</v>
      </c>
      <c r="E33" s="13">
        <v>50000</v>
      </c>
      <c r="F33" s="67">
        <v>45667</v>
      </c>
      <c r="G33" s="13" t="s">
        <v>72</v>
      </c>
      <c r="H33" s="13" t="s">
        <v>19</v>
      </c>
      <c r="I33" s="13">
        <f>_xlfn.XLOOKUP(F33,'Wk no''s'!B:B,'Wk no''s'!C:C,FALSE)</f>
        <v>2</v>
      </c>
      <c r="J33" s="13">
        <f>IF(D33="GBP",1,SUMIFS('Ex Rates'!I:I,'Ex Rates'!K:K,'Weekly Closed Proposal Requests'!L33,'Ex Rates'!G:G,'Weekly Closed Proposal Requests'!D33))</f>
        <v>1</v>
      </c>
      <c r="K33" s="13">
        <f t="shared" si="0"/>
        <v>50000</v>
      </c>
      <c r="L33" s="13" t="str">
        <f>_xlfn.XLOOKUP(I33,'Wk no''s'!C:C,'Wk no''s'!E:E,0)</f>
        <v>Jan</v>
      </c>
    </row>
    <row r="34" spans="1:12" x14ac:dyDescent="0.25">
      <c r="A34" s="67">
        <v>45666</v>
      </c>
      <c r="B34" s="13" t="s">
        <v>36</v>
      </c>
      <c r="C34" s="13" t="s">
        <v>37</v>
      </c>
      <c r="D34" s="13" t="s">
        <v>15</v>
      </c>
      <c r="E34" s="13">
        <v>15000</v>
      </c>
      <c r="F34" s="67">
        <v>45667</v>
      </c>
      <c r="G34" s="13" t="s">
        <v>16</v>
      </c>
      <c r="H34" s="13" t="s">
        <v>19</v>
      </c>
      <c r="I34" s="13">
        <f>_xlfn.XLOOKUP(F34,'Wk no''s'!B:B,'Wk no''s'!C:C,FALSE)</f>
        <v>2</v>
      </c>
      <c r="J34" s="13">
        <f>IF(D34="GBP",1,SUMIFS('Ex Rates'!I:I,'Ex Rates'!K:K,'Weekly Closed Proposal Requests'!L34,'Ex Rates'!G:G,'Weekly Closed Proposal Requests'!D34))</f>
        <v>1</v>
      </c>
      <c r="K34" s="13">
        <f t="shared" si="0"/>
        <v>15000</v>
      </c>
      <c r="L34" s="13" t="str">
        <f>_xlfn.XLOOKUP(I34,'Wk no''s'!C:C,'Wk no''s'!E:E,0)</f>
        <v>Jan</v>
      </c>
    </row>
    <row r="35" spans="1:12" x14ac:dyDescent="0.25">
      <c r="A35" s="67">
        <v>45628</v>
      </c>
      <c r="B35" s="13" t="s">
        <v>48</v>
      </c>
      <c r="C35" s="13" t="s">
        <v>49</v>
      </c>
      <c r="D35" s="13" t="s">
        <v>15</v>
      </c>
      <c r="E35" s="13">
        <v>75849</v>
      </c>
      <c r="F35" s="67">
        <v>45669</v>
      </c>
      <c r="G35" s="13" t="s">
        <v>47</v>
      </c>
      <c r="H35" s="13" t="s">
        <v>50</v>
      </c>
      <c r="I35" s="13">
        <f>_xlfn.XLOOKUP(F35,'Wk no''s'!B:B,'Wk no''s'!C:C,FALSE)</f>
        <v>3</v>
      </c>
      <c r="J35" s="13">
        <f>IF(D35="GBP",1,SUMIFS('Ex Rates'!I:I,'Ex Rates'!K:K,'Weekly Closed Proposal Requests'!L35,'Ex Rates'!G:G,'Weekly Closed Proposal Requests'!D35))</f>
        <v>1</v>
      </c>
      <c r="K35" s="13">
        <f t="shared" si="0"/>
        <v>75849</v>
      </c>
      <c r="L35" s="13" t="str">
        <f>_xlfn.XLOOKUP(I35,'Wk no''s'!C:C,'Wk no''s'!E:E,0)</f>
        <v>Jan</v>
      </c>
    </row>
    <row r="36" spans="1:12" x14ac:dyDescent="0.25">
      <c r="A36" s="67">
        <v>45643</v>
      </c>
      <c r="B36" s="13" t="s">
        <v>53</v>
      </c>
      <c r="C36" s="13" t="s">
        <v>54</v>
      </c>
      <c r="D36" s="13" t="s">
        <v>15</v>
      </c>
      <c r="E36" s="13">
        <v>139709</v>
      </c>
      <c r="F36" s="67">
        <v>45669</v>
      </c>
      <c r="G36" s="13" t="s">
        <v>47</v>
      </c>
      <c r="H36" s="13" t="s">
        <v>50</v>
      </c>
      <c r="I36" s="13">
        <f>_xlfn.XLOOKUP(F36,'Wk no''s'!B:B,'Wk no''s'!C:C,FALSE)</f>
        <v>3</v>
      </c>
      <c r="J36" s="13">
        <f>IF(D36="GBP",1,SUMIFS('Ex Rates'!I:I,'Ex Rates'!K:K,'Weekly Closed Proposal Requests'!L36,'Ex Rates'!G:G,'Weekly Closed Proposal Requests'!D36))</f>
        <v>1</v>
      </c>
      <c r="K36" s="13">
        <f t="shared" si="0"/>
        <v>139709</v>
      </c>
      <c r="L36" s="13" t="str">
        <f>_xlfn.XLOOKUP(I36,'Wk no''s'!C:C,'Wk no''s'!E:E,0)</f>
        <v>Jan</v>
      </c>
    </row>
    <row r="37" spans="1:12" x14ac:dyDescent="0.25">
      <c r="A37" s="67">
        <v>45663</v>
      </c>
      <c r="B37" s="13" t="s">
        <v>89</v>
      </c>
      <c r="C37" s="13" t="s">
        <v>90</v>
      </c>
      <c r="D37" s="13" t="s">
        <v>15</v>
      </c>
      <c r="E37" s="13">
        <v>1</v>
      </c>
      <c r="F37" s="67">
        <v>45670</v>
      </c>
      <c r="G37" s="13" t="s">
        <v>16</v>
      </c>
      <c r="H37" s="13" t="s">
        <v>19</v>
      </c>
      <c r="I37" s="13">
        <f>_xlfn.XLOOKUP(F37,'Wk no''s'!B:B,'Wk no''s'!C:C,FALSE)</f>
        <v>3</v>
      </c>
      <c r="J37" s="13">
        <f>IF(D37="GBP",1,SUMIFS('Ex Rates'!I:I,'Ex Rates'!K:K,'Weekly Closed Proposal Requests'!L37,'Ex Rates'!G:G,'Weekly Closed Proposal Requests'!D37))</f>
        <v>1</v>
      </c>
      <c r="K37" s="13">
        <f t="shared" si="0"/>
        <v>1</v>
      </c>
      <c r="L37" s="13" t="str">
        <f>_xlfn.XLOOKUP(I37,'Wk no''s'!C:C,'Wk no''s'!E:E,0)</f>
        <v>Jan</v>
      </c>
    </row>
    <row r="38" spans="1:12" x14ac:dyDescent="0.25">
      <c r="A38" s="67">
        <v>45665</v>
      </c>
      <c r="B38" s="13" t="s">
        <v>94</v>
      </c>
      <c r="C38" s="13" t="s">
        <v>95</v>
      </c>
      <c r="D38" s="13" t="s">
        <v>15</v>
      </c>
      <c r="E38" s="13">
        <v>250000</v>
      </c>
      <c r="F38" s="67">
        <v>45670</v>
      </c>
      <c r="G38" s="13" t="s">
        <v>16</v>
      </c>
      <c r="H38" s="13" t="s">
        <v>19</v>
      </c>
      <c r="I38" s="13">
        <f>_xlfn.XLOOKUP(F38,'Wk no''s'!B:B,'Wk no''s'!C:C,FALSE)</f>
        <v>3</v>
      </c>
      <c r="J38" s="13">
        <f>IF(D38="GBP",1,SUMIFS('Ex Rates'!I:I,'Ex Rates'!K:K,'Weekly Closed Proposal Requests'!L38,'Ex Rates'!G:G,'Weekly Closed Proposal Requests'!D38))</f>
        <v>1</v>
      </c>
      <c r="K38" s="13">
        <f t="shared" si="0"/>
        <v>250000</v>
      </c>
      <c r="L38" s="13" t="str">
        <f>_xlfn.XLOOKUP(I38,'Wk no''s'!C:C,'Wk no''s'!E:E,0)</f>
        <v>Jan</v>
      </c>
    </row>
    <row r="39" spans="1:12" x14ac:dyDescent="0.25">
      <c r="A39" s="67">
        <v>45667</v>
      </c>
      <c r="B39" s="13" t="s">
        <v>122</v>
      </c>
      <c r="C39" s="13" t="s">
        <v>58</v>
      </c>
      <c r="D39" s="13" t="s">
        <v>46</v>
      </c>
      <c r="E39" s="13">
        <v>140000</v>
      </c>
      <c r="F39" s="67">
        <v>45670</v>
      </c>
      <c r="G39" s="13" t="s">
        <v>47</v>
      </c>
      <c r="H39" s="13" t="s">
        <v>50</v>
      </c>
      <c r="I39" s="13">
        <f>_xlfn.XLOOKUP(F39,'Wk no''s'!B:B,'Wk no''s'!C:C,FALSE)</f>
        <v>3</v>
      </c>
      <c r="J39" s="13">
        <f>IF(D39="GBP",1,SUMIFS('Ex Rates'!I:I,'Ex Rates'!K:K,'Weekly Closed Proposal Requests'!L39,'Ex Rates'!G:G,'Weekly Closed Proposal Requests'!D39))</f>
        <v>0.80775444264943463</v>
      </c>
      <c r="K39" s="13">
        <f t="shared" si="0"/>
        <v>113085.62197092085</v>
      </c>
      <c r="L39" s="13" t="str">
        <f>_xlfn.XLOOKUP(I39,'Wk no''s'!C:C,'Wk no''s'!E:E,0)</f>
        <v>Jan</v>
      </c>
    </row>
    <row r="40" spans="1:12" x14ac:dyDescent="0.25">
      <c r="A40" s="67">
        <v>45663</v>
      </c>
      <c r="B40" s="13" t="s">
        <v>91</v>
      </c>
      <c r="C40" s="13" t="s">
        <v>92</v>
      </c>
      <c r="D40" s="13" t="s">
        <v>15</v>
      </c>
      <c r="E40" s="13">
        <v>20000</v>
      </c>
      <c r="F40" s="67">
        <v>45671</v>
      </c>
      <c r="G40" s="13" t="s">
        <v>16</v>
      </c>
      <c r="H40" s="13" t="s">
        <v>19</v>
      </c>
      <c r="I40" s="13">
        <f>_xlfn.XLOOKUP(F40,'Wk no''s'!B:B,'Wk no''s'!C:C,FALSE)</f>
        <v>3</v>
      </c>
      <c r="J40" s="13">
        <f>IF(D40="GBP",1,SUMIFS('Ex Rates'!I:I,'Ex Rates'!K:K,'Weekly Closed Proposal Requests'!L40,'Ex Rates'!G:G,'Weekly Closed Proposal Requests'!D40))</f>
        <v>1</v>
      </c>
      <c r="K40" s="13">
        <f t="shared" si="0"/>
        <v>20000</v>
      </c>
      <c r="L40" s="13" t="str">
        <f>_xlfn.XLOOKUP(I40,'Wk no''s'!C:C,'Wk no''s'!E:E,0)</f>
        <v>Jan</v>
      </c>
    </row>
    <row r="41" spans="1:12" x14ac:dyDescent="0.25">
      <c r="A41" s="67">
        <v>45663</v>
      </c>
      <c r="B41" s="13" t="s">
        <v>116</v>
      </c>
      <c r="C41" s="13" t="s">
        <v>117</v>
      </c>
      <c r="D41" s="13" t="s">
        <v>15</v>
      </c>
      <c r="E41" s="13">
        <v>93379</v>
      </c>
      <c r="F41" s="67">
        <v>45671</v>
      </c>
      <c r="G41" s="13" t="s">
        <v>47</v>
      </c>
      <c r="H41" s="13" t="s">
        <v>50</v>
      </c>
      <c r="I41" s="13">
        <f>_xlfn.XLOOKUP(F41,'Wk no''s'!B:B,'Wk no''s'!C:C,FALSE)</f>
        <v>3</v>
      </c>
      <c r="J41" s="13">
        <f>IF(D41="GBP",1,SUMIFS('Ex Rates'!I:I,'Ex Rates'!K:K,'Weekly Closed Proposal Requests'!L41,'Ex Rates'!G:G,'Weekly Closed Proposal Requests'!D41))</f>
        <v>1</v>
      </c>
      <c r="K41" s="13">
        <f t="shared" si="0"/>
        <v>93379</v>
      </c>
      <c r="L41" s="13" t="str">
        <f>_xlfn.XLOOKUP(I41,'Wk no''s'!C:C,'Wk no''s'!E:E,0)</f>
        <v>Jan</v>
      </c>
    </row>
    <row r="42" spans="1:12" x14ac:dyDescent="0.25">
      <c r="A42" s="67">
        <v>45665</v>
      </c>
      <c r="B42" s="13" t="s">
        <v>96</v>
      </c>
      <c r="C42" s="13" t="s">
        <v>97</v>
      </c>
      <c r="D42" s="13" t="s">
        <v>15</v>
      </c>
      <c r="E42" s="13">
        <v>50000</v>
      </c>
      <c r="F42" s="67">
        <v>45671</v>
      </c>
      <c r="G42" s="13" t="s">
        <v>16</v>
      </c>
      <c r="H42" s="13" t="s">
        <v>19</v>
      </c>
      <c r="I42" s="13">
        <f>_xlfn.XLOOKUP(F42,'Wk no''s'!B:B,'Wk no''s'!C:C,FALSE)</f>
        <v>3</v>
      </c>
      <c r="J42" s="13">
        <f>IF(D42="GBP",1,SUMIFS('Ex Rates'!I:I,'Ex Rates'!K:K,'Weekly Closed Proposal Requests'!L42,'Ex Rates'!G:G,'Weekly Closed Proposal Requests'!D42))</f>
        <v>1</v>
      </c>
      <c r="K42" s="13">
        <f t="shared" si="0"/>
        <v>50000</v>
      </c>
      <c r="L42" s="13" t="str">
        <f>_xlfn.XLOOKUP(I42,'Wk no''s'!C:C,'Wk no''s'!E:E,0)</f>
        <v>Jan</v>
      </c>
    </row>
    <row r="43" spans="1:12" x14ac:dyDescent="0.25">
      <c r="A43" s="67">
        <v>45667</v>
      </c>
      <c r="B43" s="13" t="s">
        <v>100</v>
      </c>
      <c r="C43" s="13" t="s">
        <v>97</v>
      </c>
      <c r="D43" s="13" t="s">
        <v>15</v>
      </c>
      <c r="E43" s="13">
        <v>50000</v>
      </c>
      <c r="F43" s="67">
        <v>45671</v>
      </c>
      <c r="G43" s="13" t="s">
        <v>16</v>
      </c>
      <c r="H43" s="13" t="s">
        <v>19</v>
      </c>
      <c r="I43" s="13">
        <f>_xlfn.XLOOKUP(F43,'Wk no''s'!B:B,'Wk no''s'!C:C,FALSE)</f>
        <v>3</v>
      </c>
      <c r="J43" s="13">
        <f>IF(D43="GBP",1,SUMIFS('Ex Rates'!I:I,'Ex Rates'!K:K,'Weekly Closed Proposal Requests'!L43,'Ex Rates'!G:G,'Weekly Closed Proposal Requests'!D43))</f>
        <v>1</v>
      </c>
      <c r="K43" s="13">
        <f t="shared" si="0"/>
        <v>50000</v>
      </c>
      <c r="L43" s="13" t="str">
        <f>_xlfn.XLOOKUP(I43,'Wk no''s'!C:C,'Wk no''s'!E:E,0)</f>
        <v>Jan</v>
      </c>
    </row>
    <row r="44" spans="1:12" x14ac:dyDescent="0.25">
      <c r="A44" s="67">
        <v>45670</v>
      </c>
      <c r="B44" s="13" t="s">
        <v>114</v>
      </c>
      <c r="C44" s="13" t="s">
        <v>115</v>
      </c>
      <c r="D44" s="13" t="s">
        <v>46</v>
      </c>
      <c r="E44" s="13">
        <v>500000</v>
      </c>
      <c r="F44" s="67">
        <v>45671</v>
      </c>
      <c r="G44" s="13" t="s">
        <v>47</v>
      </c>
      <c r="H44" s="13" t="s">
        <v>19</v>
      </c>
      <c r="I44" s="13">
        <f>_xlfn.XLOOKUP(F44,'Wk no''s'!B:B,'Wk no''s'!C:C,FALSE)</f>
        <v>3</v>
      </c>
      <c r="J44" s="13">
        <f>IF(D44="GBP",1,SUMIFS('Ex Rates'!I:I,'Ex Rates'!K:K,'Weekly Closed Proposal Requests'!L44,'Ex Rates'!G:G,'Weekly Closed Proposal Requests'!D44))</f>
        <v>0.80775444264943463</v>
      </c>
      <c r="K44" s="13">
        <f t="shared" si="0"/>
        <v>403877.22132471733</v>
      </c>
      <c r="L44" s="13" t="str">
        <f>_xlfn.XLOOKUP(I44,'Wk no''s'!C:C,'Wk no''s'!E:E,0)</f>
        <v>Jan</v>
      </c>
    </row>
    <row r="45" spans="1:12" x14ac:dyDescent="0.25">
      <c r="A45" s="67">
        <v>45643</v>
      </c>
      <c r="B45" s="13" t="s">
        <v>109</v>
      </c>
      <c r="C45" s="13" t="s">
        <v>110</v>
      </c>
      <c r="D45" s="13" t="s">
        <v>15</v>
      </c>
      <c r="E45" s="13">
        <v>145000</v>
      </c>
      <c r="F45" s="67">
        <v>45672</v>
      </c>
      <c r="G45" s="13" t="s">
        <v>16</v>
      </c>
      <c r="H45" s="13" t="s">
        <v>50</v>
      </c>
      <c r="I45" s="13">
        <f>_xlfn.XLOOKUP(F45,'Wk no''s'!B:B,'Wk no''s'!C:C,FALSE)</f>
        <v>3</v>
      </c>
      <c r="J45" s="13">
        <f>IF(D45="GBP",1,SUMIFS('Ex Rates'!I:I,'Ex Rates'!K:K,'Weekly Closed Proposal Requests'!L45,'Ex Rates'!G:G,'Weekly Closed Proposal Requests'!D45))</f>
        <v>1</v>
      </c>
      <c r="K45" s="13">
        <f t="shared" si="0"/>
        <v>145000</v>
      </c>
      <c r="L45" s="13" t="str">
        <f>_xlfn.XLOOKUP(I45,'Wk no''s'!C:C,'Wk no''s'!E:E,0)</f>
        <v>Jan</v>
      </c>
    </row>
    <row r="46" spans="1:12" x14ac:dyDescent="0.25">
      <c r="A46" s="67">
        <v>45664</v>
      </c>
      <c r="B46" s="13" t="s">
        <v>111</v>
      </c>
      <c r="C46" s="13" t="s">
        <v>112</v>
      </c>
      <c r="D46" s="13" t="s">
        <v>40</v>
      </c>
      <c r="E46" s="13">
        <v>150000</v>
      </c>
      <c r="F46" s="67">
        <v>45672</v>
      </c>
      <c r="G46" s="13" t="s">
        <v>41</v>
      </c>
      <c r="H46" s="13" t="s">
        <v>19</v>
      </c>
      <c r="I46" s="13">
        <f>_xlfn.XLOOKUP(F46,'Wk no''s'!B:B,'Wk no''s'!C:C,FALSE)</f>
        <v>3</v>
      </c>
      <c r="J46" s="13">
        <f>IF(D46="GBP",1,SUMIFS('Ex Rates'!I:I,'Ex Rates'!K:K,'Weekly Closed Proposal Requests'!L46,'Ex Rates'!G:G,'Weekly Closed Proposal Requests'!D46))</f>
        <v>0.83682008368200833</v>
      </c>
      <c r="K46" s="13">
        <f t="shared" si="0"/>
        <v>125523.01255230125</v>
      </c>
      <c r="L46" s="13" t="str">
        <f>_xlfn.XLOOKUP(I46,'Wk no''s'!C:C,'Wk no''s'!E:E,0)</f>
        <v>Jan</v>
      </c>
    </row>
    <row r="47" spans="1:12" x14ac:dyDescent="0.25">
      <c r="A47" s="67">
        <v>45667</v>
      </c>
      <c r="B47" s="13" t="s">
        <v>101</v>
      </c>
      <c r="C47" s="13" t="s">
        <v>102</v>
      </c>
      <c r="D47" s="13" t="s">
        <v>15</v>
      </c>
      <c r="E47" s="13">
        <v>10000</v>
      </c>
      <c r="F47" s="67">
        <v>45672</v>
      </c>
      <c r="G47" s="13" t="s">
        <v>16</v>
      </c>
      <c r="H47" s="13" t="s">
        <v>19</v>
      </c>
      <c r="I47" s="13">
        <f>_xlfn.XLOOKUP(F47,'Wk no''s'!B:B,'Wk no''s'!C:C,FALSE)</f>
        <v>3</v>
      </c>
      <c r="J47" s="13">
        <f>IF(D47="GBP",1,SUMIFS('Ex Rates'!I:I,'Ex Rates'!K:K,'Weekly Closed Proposal Requests'!L47,'Ex Rates'!G:G,'Weekly Closed Proposal Requests'!D47))</f>
        <v>1</v>
      </c>
      <c r="K47" s="13">
        <f t="shared" si="0"/>
        <v>10000</v>
      </c>
      <c r="L47" s="13" t="str">
        <f>_xlfn.XLOOKUP(I47,'Wk no''s'!C:C,'Wk no''s'!E:E,0)</f>
        <v>Jan</v>
      </c>
    </row>
    <row r="48" spans="1:12" x14ac:dyDescent="0.25">
      <c r="A48" s="67">
        <v>45670</v>
      </c>
      <c r="B48" s="13" t="s">
        <v>103</v>
      </c>
      <c r="C48" s="13" t="s">
        <v>104</v>
      </c>
      <c r="D48" s="13" t="s">
        <v>15</v>
      </c>
      <c r="E48" s="13">
        <v>50000</v>
      </c>
      <c r="F48" s="67">
        <v>45672</v>
      </c>
      <c r="G48" s="13" t="s">
        <v>16</v>
      </c>
      <c r="H48" s="13" t="s">
        <v>19</v>
      </c>
      <c r="I48" s="13">
        <f>_xlfn.XLOOKUP(F48,'Wk no''s'!B:B,'Wk no''s'!C:C,FALSE)</f>
        <v>3</v>
      </c>
      <c r="J48" s="13">
        <f>IF(D48="GBP",1,SUMIFS('Ex Rates'!I:I,'Ex Rates'!K:K,'Weekly Closed Proposal Requests'!L48,'Ex Rates'!G:G,'Weekly Closed Proposal Requests'!D48))</f>
        <v>1</v>
      </c>
      <c r="K48" s="13">
        <f t="shared" si="0"/>
        <v>50000</v>
      </c>
      <c r="L48" s="13" t="str">
        <f>_xlfn.XLOOKUP(I48,'Wk no''s'!C:C,'Wk no''s'!E:E,0)</f>
        <v>Jan</v>
      </c>
    </row>
    <row r="49" spans="1:12" x14ac:dyDescent="0.25">
      <c r="A49" s="67">
        <v>45672</v>
      </c>
      <c r="B49" s="13" t="s">
        <v>135</v>
      </c>
      <c r="C49" s="13" t="s">
        <v>136</v>
      </c>
      <c r="D49" s="13" t="s">
        <v>15</v>
      </c>
      <c r="E49" s="13">
        <v>100000</v>
      </c>
      <c r="F49" s="67">
        <v>45672</v>
      </c>
      <c r="G49" s="13" t="s">
        <v>72</v>
      </c>
      <c r="H49" s="13" t="s">
        <v>19</v>
      </c>
      <c r="I49" s="13">
        <f>_xlfn.XLOOKUP(F49,'Wk no''s'!B:B,'Wk no''s'!C:C,FALSE)</f>
        <v>3</v>
      </c>
      <c r="J49" s="13">
        <f>IF(D49="GBP",1,SUMIFS('Ex Rates'!I:I,'Ex Rates'!K:K,'Weekly Closed Proposal Requests'!L49,'Ex Rates'!G:G,'Weekly Closed Proposal Requests'!D49))</f>
        <v>1</v>
      </c>
      <c r="K49" s="13">
        <f t="shared" si="0"/>
        <v>100000</v>
      </c>
      <c r="L49" s="13" t="str">
        <f>_xlfn.XLOOKUP(I49,'Wk no''s'!C:C,'Wk no''s'!E:E,0)</f>
        <v>Jan</v>
      </c>
    </row>
    <row r="50" spans="1:12" x14ac:dyDescent="0.25">
      <c r="A50" s="67">
        <v>45638</v>
      </c>
      <c r="B50" s="13" t="s">
        <v>113</v>
      </c>
      <c r="C50" s="13" t="s">
        <v>1107</v>
      </c>
      <c r="D50" s="13" t="s">
        <v>46</v>
      </c>
      <c r="E50" s="13">
        <v>100000</v>
      </c>
      <c r="F50" s="67">
        <v>45673</v>
      </c>
      <c r="G50" s="13" t="s">
        <v>47</v>
      </c>
      <c r="H50" s="13" t="s">
        <v>19</v>
      </c>
      <c r="I50" s="13">
        <f>_xlfn.XLOOKUP(F50,'Wk no''s'!B:B,'Wk no''s'!C:C,FALSE)</f>
        <v>3</v>
      </c>
      <c r="J50" s="13">
        <f>IF(D50="GBP",1,SUMIFS('Ex Rates'!I:I,'Ex Rates'!K:K,'Weekly Closed Proposal Requests'!L50,'Ex Rates'!G:G,'Weekly Closed Proposal Requests'!D50))</f>
        <v>0.80775444264943463</v>
      </c>
      <c r="K50" s="13">
        <f t="shared" si="0"/>
        <v>80775.444264943464</v>
      </c>
      <c r="L50" s="13" t="str">
        <f>_xlfn.XLOOKUP(I50,'Wk no''s'!C:C,'Wk no''s'!E:E,0)</f>
        <v>Jan</v>
      </c>
    </row>
    <row r="51" spans="1:12" x14ac:dyDescent="0.25">
      <c r="A51" s="67">
        <v>45643</v>
      </c>
      <c r="B51" s="13" t="s">
        <v>133</v>
      </c>
      <c r="C51" s="13" t="s">
        <v>134</v>
      </c>
      <c r="D51" s="13" t="s">
        <v>15</v>
      </c>
      <c r="E51" s="13">
        <v>100000</v>
      </c>
      <c r="F51" s="67">
        <v>45673</v>
      </c>
      <c r="G51" s="13" t="s">
        <v>72</v>
      </c>
      <c r="H51" s="13" t="s">
        <v>19</v>
      </c>
      <c r="I51" s="13">
        <f>_xlfn.XLOOKUP(F51,'Wk no''s'!B:B,'Wk no''s'!C:C,FALSE)</f>
        <v>3</v>
      </c>
      <c r="J51" s="13">
        <f>IF(D51="GBP",1,SUMIFS('Ex Rates'!I:I,'Ex Rates'!K:K,'Weekly Closed Proposal Requests'!L51,'Ex Rates'!G:G,'Weekly Closed Proposal Requests'!D51))</f>
        <v>1</v>
      </c>
      <c r="K51" s="13">
        <f t="shared" si="0"/>
        <v>100000</v>
      </c>
      <c r="L51" s="13" t="str">
        <f>_xlfn.XLOOKUP(I51,'Wk no''s'!C:C,'Wk no''s'!E:E,0)</f>
        <v>Jan</v>
      </c>
    </row>
    <row r="52" spans="1:12" x14ac:dyDescent="0.25">
      <c r="A52" s="67">
        <v>45663</v>
      </c>
      <c r="B52" s="13" t="s">
        <v>129</v>
      </c>
      <c r="C52" s="13" t="s">
        <v>130</v>
      </c>
      <c r="D52" s="13" t="s">
        <v>10</v>
      </c>
      <c r="E52" s="13">
        <v>50000</v>
      </c>
      <c r="F52" s="67">
        <v>45673</v>
      </c>
      <c r="G52" s="13" t="s">
        <v>11</v>
      </c>
      <c r="H52" s="13" t="s">
        <v>19</v>
      </c>
      <c r="I52" s="13">
        <f>_xlfn.XLOOKUP(F52,'Wk no''s'!B:B,'Wk no''s'!C:C,FALSE)</f>
        <v>3</v>
      </c>
      <c r="J52" s="13">
        <f>IF(D52="GBP",1,SUMIFS('Ex Rates'!I:I,'Ex Rates'!K:K,'Weekly Closed Proposal Requests'!L52,'Ex Rates'!G:G,'Weekly Closed Proposal Requests'!D52))</f>
        <v>0.50125313283208017</v>
      </c>
      <c r="K52" s="13">
        <f t="shared" si="0"/>
        <v>25062.656641604008</v>
      </c>
      <c r="L52" s="13" t="str">
        <f>_xlfn.XLOOKUP(I52,'Wk no''s'!C:C,'Wk no''s'!E:E,0)</f>
        <v>Jan</v>
      </c>
    </row>
    <row r="53" spans="1:12" x14ac:dyDescent="0.25">
      <c r="A53" s="67">
        <v>45664</v>
      </c>
      <c r="B53" s="13" t="s">
        <v>118</v>
      </c>
      <c r="C53" s="13" t="s">
        <v>119</v>
      </c>
      <c r="D53" s="13" t="s">
        <v>15</v>
      </c>
      <c r="E53" s="13">
        <v>36000</v>
      </c>
      <c r="F53" s="67">
        <v>45673</v>
      </c>
      <c r="G53" s="13" t="s">
        <v>47</v>
      </c>
      <c r="H53" s="13" t="s">
        <v>50</v>
      </c>
      <c r="I53" s="13">
        <f>_xlfn.XLOOKUP(F53,'Wk no''s'!B:B,'Wk no''s'!C:C,FALSE)</f>
        <v>3</v>
      </c>
      <c r="J53" s="13">
        <f>IF(D53="GBP",1,SUMIFS('Ex Rates'!I:I,'Ex Rates'!K:K,'Weekly Closed Proposal Requests'!L53,'Ex Rates'!G:G,'Weekly Closed Proposal Requests'!D53))</f>
        <v>1</v>
      </c>
      <c r="K53" s="13">
        <f t="shared" si="0"/>
        <v>36000</v>
      </c>
      <c r="L53" s="13" t="str">
        <f>_xlfn.XLOOKUP(I53,'Wk no''s'!C:C,'Wk no''s'!E:E,0)</f>
        <v>Jan</v>
      </c>
    </row>
    <row r="54" spans="1:12" x14ac:dyDescent="0.25">
      <c r="A54" s="67">
        <v>45666</v>
      </c>
      <c r="B54" s="13" t="s">
        <v>131</v>
      </c>
      <c r="C54" s="13" t="s">
        <v>69</v>
      </c>
      <c r="D54" s="13" t="s">
        <v>10</v>
      </c>
      <c r="E54" s="13">
        <v>20000</v>
      </c>
      <c r="F54" s="67">
        <v>45673</v>
      </c>
      <c r="G54" s="13" t="s">
        <v>11</v>
      </c>
      <c r="H54" s="13" t="s">
        <v>50</v>
      </c>
      <c r="I54" s="13">
        <f>_xlfn.XLOOKUP(F54,'Wk no''s'!B:B,'Wk no''s'!C:C,FALSE)</f>
        <v>3</v>
      </c>
      <c r="J54" s="13">
        <f>IF(D54="GBP",1,SUMIFS('Ex Rates'!I:I,'Ex Rates'!K:K,'Weekly Closed Proposal Requests'!L54,'Ex Rates'!G:G,'Weekly Closed Proposal Requests'!D54))</f>
        <v>0.50125313283208017</v>
      </c>
      <c r="K54" s="13">
        <f t="shared" si="0"/>
        <v>10025.062656641603</v>
      </c>
      <c r="L54" s="13" t="str">
        <f>_xlfn.XLOOKUP(I54,'Wk no''s'!C:C,'Wk no''s'!E:E,0)</f>
        <v>Jan</v>
      </c>
    </row>
    <row r="55" spans="1:12" x14ac:dyDescent="0.25">
      <c r="A55" s="67">
        <v>45666</v>
      </c>
      <c r="B55" s="13" t="s">
        <v>98</v>
      </c>
      <c r="C55" s="13" t="s">
        <v>99</v>
      </c>
      <c r="D55" s="13" t="s">
        <v>15</v>
      </c>
      <c r="E55" s="13">
        <v>50000</v>
      </c>
      <c r="F55" s="67">
        <v>45673</v>
      </c>
      <c r="G55" s="13" t="s">
        <v>16</v>
      </c>
      <c r="H55" s="13" t="s">
        <v>19</v>
      </c>
      <c r="I55" s="13">
        <f>_xlfn.XLOOKUP(F55,'Wk no''s'!B:B,'Wk no''s'!C:C,FALSE)</f>
        <v>3</v>
      </c>
      <c r="J55" s="13">
        <f>IF(D55="GBP",1,SUMIFS('Ex Rates'!I:I,'Ex Rates'!K:K,'Weekly Closed Proposal Requests'!L55,'Ex Rates'!G:G,'Weekly Closed Proposal Requests'!D55))</f>
        <v>1</v>
      </c>
      <c r="K55" s="13">
        <f t="shared" si="0"/>
        <v>50000</v>
      </c>
      <c r="L55" s="13" t="str">
        <f>_xlfn.XLOOKUP(I55,'Wk no''s'!C:C,'Wk no''s'!E:E,0)</f>
        <v>Jan</v>
      </c>
    </row>
    <row r="56" spans="1:12" x14ac:dyDescent="0.25">
      <c r="A56" s="67">
        <v>45670</v>
      </c>
      <c r="B56" s="13" t="s">
        <v>123</v>
      </c>
      <c r="C56" s="13" t="s">
        <v>124</v>
      </c>
      <c r="D56" s="13" t="s">
        <v>15</v>
      </c>
      <c r="E56" s="13">
        <v>10000</v>
      </c>
      <c r="F56" s="67">
        <v>45673</v>
      </c>
      <c r="G56" s="13" t="s">
        <v>47</v>
      </c>
      <c r="H56" s="13" t="s">
        <v>50</v>
      </c>
      <c r="I56" s="13">
        <f>_xlfn.XLOOKUP(F56,'Wk no''s'!B:B,'Wk no''s'!C:C,FALSE)</f>
        <v>3</v>
      </c>
      <c r="J56" s="13">
        <f>IF(D56="GBP",1,SUMIFS('Ex Rates'!I:I,'Ex Rates'!K:K,'Weekly Closed Proposal Requests'!L56,'Ex Rates'!G:G,'Weekly Closed Proposal Requests'!D56))</f>
        <v>1</v>
      </c>
      <c r="K56" s="13">
        <f t="shared" si="0"/>
        <v>10000</v>
      </c>
      <c r="L56" s="13" t="str">
        <f>_xlfn.XLOOKUP(I56,'Wk no''s'!C:C,'Wk no''s'!E:E,0)</f>
        <v>Jan</v>
      </c>
    </row>
    <row r="57" spans="1:12" x14ac:dyDescent="0.25">
      <c r="A57" s="67">
        <v>45672</v>
      </c>
      <c r="B57" s="13" t="s">
        <v>107</v>
      </c>
      <c r="C57" s="13" t="s">
        <v>108</v>
      </c>
      <c r="D57" s="13" t="s">
        <v>15</v>
      </c>
      <c r="E57" s="13">
        <v>50000</v>
      </c>
      <c r="F57" s="67">
        <v>45673</v>
      </c>
      <c r="G57" s="13" t="s">
        <v>16</v>
      </c>
      <c r="H57" s="13" t="s">
        <v>19</v>
      </c>
      <c r="I57" s="13">
        <f>_xlfn.XLOOKUP(F57,'Wk no''s'!B:B,'Wk no''s'!C:C,FALSE)</f>
        <v>3</v>
      </c>
      <c r="J57" s="13">
        <f>IF(D57="GBP",1,SUMIFS('Ex Rates'!I:I,'Ex Rates'!K:K,'Weekly Closed Proposal Requests'!L57,'Ex Rates'!G:G,'Weekly Closed Proposal Requests'!D57))</f>
        <v>1</v>
      </c>
      <c r="K57" s="13">
        <f t="shared" si="0"/>
        <v>50000</v>
      </c>
      <c r="L57" s="13" t="str">
        <f>_xlfn.XLOOKUP(I57,'Wk no''s'!C:C,'Wk no''s'!E:E,0)</f>
        <v>Jan</v>
      </c>
    </row>
    <row r="58" spans="1:12" x14ac:dyDescent="0.25">
      <c r="A58" s="67">
        <v>45664</v>
      </c>
      <c r="B58" s="13" t="s">
        <v>93</v>
      </c>
      <c r="C58" s="13" t="s">
        <v>21</v>
      </c>
      <c r="D58" s="13" t="s">
        <v>15</v>
      </c>
      <c r="E58" s="13">
        <v>250000</v>
      </c>
      <c r="F58" s="67">
        <v>45674</v>
      </c>
      <c r="G58" s="13" t="s">
        <v>16</v>
      </c>
      <c r="H58" s="13" t="s">
        <v>19</v>
      </c>
      <c r="I58" s="13">
        <f>_xlfn.XLOOKUP(F58,'Wk no''s'!B:B,'Wk no''s'!C:C,FALSE)</f>
        <v>3</v>
      </c>
      <c r="J58" s="13">
        <f>IF(D58="GBP",1,SUMIFS('Ex Rates'!I:I,'Ex Rates'!K:K,'Weekly Closed Proposal Requests'!L58,'Ex Rates'!G:G,'Weekly Closed Proposal Requests'!D58))</f>
        <v>1</v>
      </c>
      <c r="K58" s="13">
        <f t="shared" si="0"/>
        <v>250000</v>
      </c>
      <c r="L58" s="13" t="str">
        <f>_xlfn.XLOOKUP(I58,'Wk no''s'!C:C,'Wk no''s'!E:E,0)</f>
        <v>Jan</v>
      </c>
    </row>
    <row r="59" spans="1:12" x14ac:dyDescent="0.25">
      <c r="A59" s="67">
        <v>45664</v>
      </c>
      <c r="B59" s="13" t="s">
        <v>137</v>
      </c>
      <c r="C59" s="13" t="s">
        <v>138</v>
      </c>
      <c r="D59" s="13" t="s">
        <v>15</v>
      </c>
      <c r="E59" s="13">
        <v>0</v>
      </c>
      <c r="F59" s="67">
        <v>45674</v>
      </c>
      <c r="G59" s="13" t="s">
        <v>72</v>
      </c>
      <c r="H59" s="13" t="s">
        <v>50</v>
      </c>
      <c r="I59" s="13">
        <f>_xlfn.XLOOKUP(F59,'Wk no''s'!B:B,'Wk no''s'!C:C,FALSE)</f>
        <v>3</v>
      </c>
      <c r="J59" s="13">
        <f>IF(D59="GBP",1,SUMIFS('Ex Rates'!I:I,'Ex Rates'!K:K,'Weekly Closed Proposal Requests'!L59,'Ex Rates'!G:G,'Weekly Closed Proposal Requests'!D59))</f>
        <v>1</v>
      </c>
      <c r="K59" s="13">
        <f t="shared" si="0"/>
        <v>0</v>
      </c>
      <c r="L59" s="13" t="str">
        <f>_xlfn.XLOOKUP(I59,'Wk no''s'!C:C,'Wk no''s'!E:E,0)</f>
        <v>Jan</v>
      </c>
    </row>
    <row r="60" spans="1:12" x14ac:dyDescent="0.25">
      <c r="A60" s="67">
        <v>45665</v>
      </c>
      <c r="B60" s="13" t="s">
        <v>120</v>
      </c>
      <c r="C60" s="13" t="s">
        <v>121</v>
      </c>
      <c r="D60" s="13" t="s">
        <v>15</v>
      </c>
      <c r="E60" s="13">
        <v>6822</v>
      </c>
      <c r="F60" s="67">
        <v>45674</v>
      </c>
      <c r="G60" s="13" t="s">
        <v>47</v>
      </c>
      <c r="H60" s="13" t="s">
        <v>50</v>
      </c>
      <c r="I60" s="13">
        <f>_xlfn.XLOOKUP(F60,'Wk no''s'!B:B,'Wk no''s'!C:C,FALSE)</f>
        <v>3</v>
      </c>
      <c r="J60" s="13">
        <f>IF(D60="GBP",1,SUMIFS('Ex Rates'!I:I,'Ex Rates'!K:K,'Weekly Closed Proposal Requests'!L60,'Ex Rates'!G:G,'Weekly Closed Proposal Requests'!D60))</f>
        <v>1</v>
      </c>
      <c r="K60" s="13">
        <f t="shared" si="0"/>
        <v>6822</v>
      </c>
      <c r="L60" s="13" t="str">
        <f>_xlfn.XLOOKUP(I60,'Wk no''s'!C:C,'Wk no''s'!E:E,0)</f>
        <v>Jan</v>
      </c>
    </row>
    <row r="61" spans="1:12" x14ac:dyDescent="0.25">
      <c r="A61" s="67">
        <v>45671</v>
      </c>
      <c r="B61" s="13" t="s">
        <v>125</v>
      </c>
      <c r="C61" s="13" t="s">
        <v>126</v>
      </c>
      <c r="D61" s="13" t="s">
        <v>15</v>
      </c>
      <c r="E61" s="13">
        <v>360000</v>
      </c>
      <c r="F61" s="67">
        <v>45674</v>
      </c>
      <c r="G61" s="13" t="s">
        <v>47</v>
      </c>
      <c r="H61" s="13" t="s">
        <v>50</v>
      </c>
      <c r="I61" s="13">
        <f>_xlfn.XLOOKUP(F61,'Wk no''s'!B:B,'Wk no''s'!C:C,FALSE)</f>
        <v>3</v>
      </c>
      <c r="J61" s="13">
        <f>IF(D61="GBP",1,SUMIFS('Ex Rates'!I:I,'Ex Rates'!K:K,'Weekly Closed Proposal Requests'!L61,'Ex Rates'!G:G,'Weekly Closed Proposal Requests'!D61))</f>
        <v>1</v>
      </c>
      <c r="K61" s="13">
        <f t="shared" si="0"/>
        <v>360000</v>
      </c>
      <c r="L61" s="13" t="str">
        <f>_xlfn.XLOOKUP(I61,'Wk no''s'!C:C,'Wk no''s'!E:E,0)</f>
        <v>Jan</v>
      </c>
    </row>
    <row r="62" spans="1:12" x14ac:dyDescent="0.25">
      <c r="A62" s="67">
        <v>45671</v>
      </c>
      <c r="B62" s="13" t="s">
        <v>105</v>
      </c>
      <c r="C62" s="13" t="s">
        <v>106</v>
      </c>
      <c r="D62" s="13" t="s">
        <v>15</v>
      </c>
      <c r="E62" s="13">
        <v>50000</v>
      </c>
      <c r="F62" s="67">
        <v>45674</v>
      </c>
      <c r="G62" s="13" t="s">
        <v>16</v>
      </c>
      <c r="H62" s="13" t="s">
        <v>19</v>
      </c>
      <c r="I62" s="13">
        <f>_xlfn.XLOOKUP(F62,'Wk no''s'!B:B,'Wk no''s'!C:C,FALSE)</f>
        <v>3</v>
      </c>
      <c r="J62" s="13">
        <f>IF(D62="GBP",1,SUMIFS('Ex Rates'!I:I,'Ex Rates'!K:K,'Weekly Closed Proposal Requests'!L62,'Ex Rates'!G:G,'Weekly Closed Proposal Requests'!D62))</f>
        <v>1</v>
      </c>
      <c r="K62" s="13">
        <f t="shared" si="0"/>
        <v>50000</v>
      </c>
      <c r="L62" s="13" t="str">
        <f>_xlfn.XLOOKUP(I62,'Wk no''s'!C:C,'Wk no''s'!E:E,0)</f>
        <v>Jan</v>
      </c>
    </row>
    <row r="63" spans="1:12" x14ac:dyDescent="0.25">
      <c r="A63" s="67">
        <v>45673</v>
      </c>
      <c r="B63" s="13" t="s">
        <v>87</v>
      </c>
      <c r="C63" s="13" t="s">
        <v>88</v>
      </c>
      <c r="D63" s="13" t="s">
        <v>15</v>
      </c>
      <c r="E63" s="13">
        <v>200000</v>
      </c>
      <c r="F63" s="67">
        <v>45674</v>
      </c>
      <c r="G63" s="13" t="s">
        <v>16</v>
      </c>
      <c r="H63" s="13" t="s">
        <v>12</v>
      </c>
      <c r="I63" s="13">
        <f>_xlfn.XLOOKUP(F63,'Wk no''s'!B:B,'Wk no''s'!C:C,FALSE)</f>
        <v>3</v>
      </c>
      <c r="J63" s="13">
        <f>IF(D63="GBP",1,SUMIFS('Ex Rates'!I:I,'Ex Rates'!K:K,'Weekly Closed Proposal Requests'!L63,'Ex Rates'!G:G,'Weekly Closed Proposal Requests'!D63))</f>
        <v>1</v>
      </c>
      <c r="K63" s="13">
        <f t="shared" si="0"/>
        <v>200000</v>
      </c>
      <c r="L63" s="13" t="str">
        <f>_xlfn.XLOOKUP(I63,'Wk no''s'!C:C,'Wk no''s'!E:E,0)</f>
        <v>Jan</v>
      </c>
    </row>
    <row r="64" spans="1:12" x14ac:dyDescent="0.25">
      <c r="A64" s="67">
        <v>45674</v>
      </c>
      <c r="B64" s="13" t="s">
        <v>127</v>
      </c>
      <c r="C64" s="13" t="s">
        <v>128</v>
      </c>
      <c r="D64" s="13" t="s">
        <v>10</v>
      </c>
      <c r="E64" s="13">
        <v>15000</v>
      </c>
      <c r="F64" s="67">
        <v>45674</v>
      </c>
      <c r="G64" s="13" t="s">
        <v>11</v>
      </c>
      <c r="H64" s="13" t="s">
        <v>12</v>
      </c>
      <c r="I64" s="13">
        <f>_xlfn.XLOOKUP(F64,'Wk no''s'!B:B,'Wk no''s'!C:C,FALSE)</f>
        <v>3</v>
      </c>
      <c r="J64" s="13">
        <f>IF(D64="GBP",1,SUMIFS('Ex Rates'!I:I,'Ex Rates'!K:K,'Weekly Closed Proposal Requests'!L64,'Ex Rates'!G:G,'Weekly Closed Proposal Requests'!D64))</f>
        <v>0.50125313283208017</v>
      </c>
      <c r="K64" s="13">
        <f t="shared" si="0"/>
        <v>7518.7969924812023</v>
      </c>
      <c r="L64" s="13" t="str">
        <f>_xlfn.XLOOKUP(I64,'Wk no''s'!C:C,'Wk no''s'!E:E,0)</f>
        <v>Jan</v>
      </c>
    </row>
    <row r="65" spans="1:12" x14ac:dyDescent="0.25">
      <c r="A65" s="67">
        <v>45667</v>
      </c>
      <c r="B65" s="13" t="s">
        <v>132</v>
      </c>
      <c r="C65" s="13" t="s">
        <v>64</v>
      </c>
      <c r="D65" s="13" t="s">
        <v>10</v>
      </c>
      <c r="E65" s="13">
        <v>40000</v>
      </c>
      <c r="F65" s="67">
        <v>45676</v>
      </c>
      <c r="G65" s="13" t="s">
        <v>11</v>
      </c>
      <c r="H65" s="13" t="s">
        <v>50</v>
      </c>
      <c r="I65" s="13">
        <f>_xlfn.XLOOKUP(F65,'Wk no''s'!B:B,'Wk no''s'!C:C,FALSE)</f>
        <v>4</v>
      </c>
      <c r="J65" s="13">
        <f>IF(D65="GBP",1,SUMIFS('Ex Rates'!I:I,'Ex Rates'!K:K,'Weekly Closed Proposal Requests'!L65,'Ex Rates'!G:G,'Weekly Closed Proposal Requests'!D65))</f>
        <v>0.50125313283208017</v>
      </c>
      <c r="K65" s="13">
        <f t="shared" si="0"/>
        <v>20050.125313283206</v>
      </c>
      <c r="L65" s="13" t="str">
        <f>_xlfn.XLOOKUP(I65,'Wk no''s'!C:C,'Wk no''s'!E:E,0)</f>
        <v>Jan</v>
      </c>
    </row>
    <row r="66" spans="1:12" x14ac:dyDescent="0.25">
      <c r="A66" s="67">
        <v>45638</v>
      </c>
      <c r="B66" s="13" t="s">
        <v>180</v>
      </c>
      <c r="C66" s="13" t="s">
        <v>181</v>
      </c>
      <c r="D66" s="13" t="s">
        <v>10</v>
      </c>
      <c r="E66" s="13">
        <v>333000</v>
      </c>
      <c r="F66" s="67">
        <v>45677</v>
      </c>
      <c r="G66" s="13" t="s">
        <v>11</v>
      </c>
      <c r="H66" s="13" t="s">
        <v>50</v>
      </c>
      <c r="I66" s="13">
        <f>_xlfn.XLOOKUP(F66,'Wk no''s'!B:B,'Wk no''s'!C:C,FALSE)</f>
        <v>4</v>
      </c>
      <c r="J66" s="13">
        <f>IF(D66="GBP",1,SUMIFS('Ex Rates'!I:I,'Ex Rates'!K:K,'Weekly Closed Proposal Requests'!L66,'Ex Rates'!G:G,'Weekly Closed Proposal Requests'!D66))</f>
        <v>0.50125313283208017</v>
      </c>
      <c r="K66" s="13">
        <f t="shared" ref="K66:K129" si="1">+E66*J66</f>
        <v>166917.29323308269</v>
      </c>
      <c r="L66" s="13" t="str">
        <f>_xlfn.XLOOKUP(I66,'Wk no''s'!C:C,'Wk no''s'!E:E,0)</f>
        <v>Jan</v>
      </c>
    </row>
    <row r="67" spans="1:12" x14ac:dyDescent="0.25">
      <c r="A67" s="67">
        <v>45638</v>
      </c>
      <c r="B67" s="13" t="s">
        <v>154</v>
      </c>
      <c r="C67" s="13" t="s">
        <v>155</v>
      </c>
      <c r="D67" s="13" t="s">
        <v>15</v>
      </c>
      <c r="E67" s="13">
        <v>60000</v>
      </c>
      <c r="F67" s="67">
        <v>45677</v>
      </c>
      <c r="G67" s="13" t="s">
        <v>16</v>
      </c>
      <c r="H67" s="13" t="s">
        <v>50</v>
      </c>
      <c r="I67" s="13">
        <f>_xlfn.XLOOKUP(F67,'Wk no''s'!B:B,'Wk no''s'!C:C,FALSE)</f>
        <v>4</v>
      </c>
      <c r="J67" s="13">
        <f>IF(D67="GBP",1,SUMIFS('Ex Rates'!I:I,'Ex Rates'!K:K,'Weekly Closed Proposal Requests'!L67,'Ex Rates'!G:G,'Weekly Closed Proposal Requests'!D67))</f>
        <v>1</v>
      </c>
      <c r="K67" s="13">
        <f t="shared" si="1"/>
        <v>60000</v>
      </c>
      <c r="L67" s="13" t="str">
        <f>_xlfn.XLOOKUP(I67,'Wk no''s'!C:C,'Wk no''s'!E:E,0)</f>
        <v>Jan</v>
      </c>
    </row>
    <row r="68" spans="1:12" x14ac:dyDescent="0.25">
      <c r="A68" s="67">
        <v>45672</v>
      </c>
      <c r="B68" s="13" t="s">
        <v>185</v>
      </c>
      <c r="C68" s="13" t="s">
        <v>186</v>
      </c>
      <c r="D68" s="13" t="s">
        <v>15</v>
      </c>
      <c r="E68" s="13">
        <v>20000</v>
      </c>
      <c r="F68" s="67">
        <v>45677</v>
      </c>
      <c r="G68" s="13" t="s">
        <v>72</v>
      </c>
      <c r="H68" s="13" t="s">
        <v>19</v>
      </c>
      <c r="I68" s="13">
        <f>_xlfn.XLOOKUP(F68,'Wk no''s'!B:B,'Wk no''s'!C:C,FALSE)</f>
        <v>4</v>
      </c>
      <c r="J68" s="13">
        <f>IF(D68="GBP",1,SUMIFS('Ex Rates'!I:I,'Ex Rates'!K:K,'Weekly Closed Proposal Requests'!L68,'Ex Rates'!G:G,'Weekly Closed Proposal Requests'!D68))</f>
        <v>1</v>
      </c>
      <c r="K68" s="13">
        <f t="shared" si="1"/>
        <v>20000</v>
      </c>
      <c r="L68" s="13" t="str">
        <f>_xlfn.XLOOKUP(I68,'Wk no''s'!C:C,'Wk no''s'!E:E,0)</f>
        <v>Jan</v>
      </c>
    </row>
    <row r="69" spans="1:12" x14ac:dyDescent="0.25">
      <c r="A69" s="67">
        <v>45673</v>
      </c>
      <c r="B69" s="13" t="s">
        <v>142</v>
      </c>
      <c r="C69" s="13" t="s">
        <v>143</v>
      </c>
      <c r="D69" s="13" t="s">
        <v>15</v>
      </c>
      <c r="E69" s="13">
        <v>75000</v>
      </c>
      <c r="F69" s="67">
        <v>45677</v>
      </c>
      <c r="G69" s="13" t="s">
        <v>16</v>
      </c>
      <c r="H69" s="13" t="s">
        <v>19</v>
      </c>
      <c r="I69" s="13">
        <f>_xlfn.XLOOKUP(F69,'Wk no''s'!B:B,'Wk no''s'!C:C,FALSE)</f>
        <v>4</v>
      </c>
      <c r="J69" s="13">
        <f>IF(D69="GBP",1,SUMIFS('Ex Rates'!I:I,'Ex Rates'!K:K,'Weekly Closed Proposal Requests'!L69,'Ex Rates'!G:G,'Weekly Closed Proposal Requests'!D69))</f>
        <v>1</v>
      </c>
      <c r="K69" s="13">
        <f t="shared" si="1"/>
        <v>75000</v>
      </c>
      <c r="L69" s="13" t="str">
        <f>_xlfn.XLOOKUP(I69,'Wk no''s'!C:C,'Wk no''s'!E:E,0)</f>
        <v>Jan</v>
      </c>
    </row>
    <row r="70" spans="1:12" x14ac:dyDescent="0.25">
      <c r="A70" s="67">
        <v>45673</v>
      </c>
      <c r="B70" s="13" t="s">
        <v>187</v>
      </c>
      <c r="C70" s="13" t="s">
        <v>188</v>
      </c>
      <c r="D70" s="13" t="s">
        <v>15</v>
      </c>
      <c r="E70" s="13">
        <v>203000</v>
      </c>
      <c r="F70" s="67">
        <v>45677</v>
      </c>
      <c r="G70" s="13" t="s">
        <v>72</v>
      </c>
      <c r="H70" s="13" t="s">
        <v>19</v>
      </c>
      <c r="I70" s="13">
        <f>_xlfn.XLOOKUP(F70,'Wk no''s'!B:B,'Wk no''s'!C:C,FALSE)</f>
        <v>4</v>
      </c>
      <c r="J70" s="13">
        <f>IF(D70="GBP",1,SUMIFS('Ex Rates'!I:I,'Ex Rates'!K:K,'Weekly Closed Proposal Requests'!L70,'Ex Rates'!G:G,'Weekly Closed Proposal Requests'!D70))</f>
        <v>1</v>
      </c>
      <c r="K70" s="13">
        <f t="shared" si="1"/>
        <v>203000</v>
      </c>
      <c r="L70" s="13" t="str">
        <f>_xlfn.XLOOKUP(I70,'Wk no''s'!C:C,'Wk no''s'!E:E,0)</f>
        <v>Jan</v>
      </c>
    </row>
    <row r="71" spans="1:12" x14ac:dyDescent="0.25">
      <c r="A71" s="67">
        <v>45674</v>
      </c>
      <c r="B71" s="13" t="s">
        <v>174</v>
      </c>
      <c r="C71" s="13" t="s">
        <v>175</v>
      </c>
      <c r="D71" s="13" t="s">
        <v>15</v>
      </c>
      <c r="E71" s="13">
        <v>4000000</v>
      </c>
      <c r="F71" s="67">
        <v>45677</v>
      </c>
      <c r="G71" s="13" t="s">
        <v>47</v>
      </c>
      <c r="H71" s="13" t="s">
        <v>50</v>
      </c>
      <c r="I71" s="13">
        <f>_xlfn.XLOOKUP(F71,'Wk no''s'!B:B,'Wk no''s'!C:C,FALSE)</f>
        <v>4</v>
      </c>
      <c r="J71" s="13">
        <f>IF(D71="GBP",1,SUMIFS('Ex Rates'!I:I,'Ex Rates'!K:K,'Weekly Closed Proposal Requests'!L71,'Ex Rates'!G:G,'Weekly Closed Proposal Requests'!D71))</f>
        <v>1</v>
      </c>
      <c r="K71" s="13">
        <f t="shared" si="1"/>
        <v>4000000</v>
      </c>
      <c r="L71" s="13" t="str">
        <f>_xlfn.XLOOKUP(I71,'Wk no''s'!C:C,'Wk no''s'!E:E,0)</f>
        <v>Jan</v>
      </c>
    </row>
    <row r="72" spans="1:12" x14ac:dyDescent="0.25">
      <c r="A72" s="67">
        <v>45623</v>
      </c>
      <c r="B72" s="13" t="s">
        <v>161</v>
      </c>
      <c r="C72" s="13" t="s">
        <v>162</v>
      </c>
      <c r="D72" s="13" t="s">
        <v>46</v>
      </c>
      <c r="E72" s="13">
        <v>1</v>
      </c>
      <c r="F72" s="67">
        <v>45678</v>
      </c>
      <c r="G72" s="13" t="s">
        <v>47</v>
      </c>
      <c r="H72" s="13" t="s">
        <v>19</v>
      </c>
      <c r="I72" s="13">
        <f>_xlfn.XLOOKUP(F72,'Wk no''s'!B:B,'Wk no''s'!C:C,FALSE)</f>
        <v>4</v>
      </c>
      <c r="J72" s="13">
        <f>IF(D72="GBP",1,SUMIFS('Ex Rates'!I:I,'Ex Rates'!K:K,'Weekly Closed Proposal Requests'!L72,'Ex Rates'!G:G,'Weekly Closed Proposal Requests'!D72))</f>
        <v>0.80775444264943463</v>
      </c>
      <c r="K72" s="13">
        <f t="shared" si="1"/>
        <v>0.80775444264943463</v>
      </c>
      <c r="L72" s="13" t="str">
        <f>_xlfn.XLOOKUP(I72,'Wk no''s'!C:C,'Wk no''s'!E:E,0)</f>
        <v>Jan</v>
      </c>
    </row>
    <row r="73" spans="1:12" x14ac:dyDescent="0.25">
      <c r="A73" s="67">
        <v>45643</v>
      </c>
      <c r="B73" s="13" t="s">
        <v>168</v>
      </c>
      <c r="C73" s="13" t="s">
        <v>169</v>
      </c>
      <c r="D73" s="13" t="s">
        <v>15</v>
      </c>
      <c r="E73" s="13">
        <v>121110</v>
      </c>
      <c r="F73" s="67">
        <v>45678</v>
      </c>
      <c r="G73" s="13" t="s">
        <v>47</v>
      </c>
      <c r="H73" s="13" t="s">
        <v>50</v>
      </c>
      <c r="I73" s="13">
        <f>_xlfn.XLOOKUP(F73,'Wk no''s'!B:B,'Wk no''s'!C:C,FALSE)</f>
        <v>4</v>
      </c>
      <c r="J73" s="13">
        <f>IF(D73="GBP",1,SUMIFS('Ex Rates'!I:I,'Ex Rates'!K:K,'Weekly Closed Proposal Requests'!L73,'Ex Rates'!G:G,'Weekly Closed Proposal Requests'!D73))</f>
        <v>1</v>
      </c>
      <c r="K73" s="13">
        <f t="shared" si="1"/>
        <v>121110</v>
      </c>
      <c r="L73" s="13" t="str">
        <f>_xlfn.XLOOKUP(I73,'Wk no''s'!C:C,'Wk no''s'!E:E,0)</f>
        <v>Jan</v>
      </c>
    </row>
    <row r="74" spans="1:12" x14ac:dyDescent="0.25">
      <c r="A74" s="67">
        <v>45664</v>
      </c>
      <c r="B74" s="13" t="s">
        <v>141</v>
      </c>
      <c r="C74" s="13" t="s">
        <v>21</v>
      </c>
      <c r="D74" s="13" t="s">
        <v>15</v>
      </c>
      <c r="E74" s="13">
        <v>250000</v>
      </c>
      <c r="F74" s="67">
        <v>45678</v>
      </c>
      <c r="G74" s="13" t="s">
        <v>16</v>
      </c>
      <c r="H74" s="13" t="s">
        <v>19</v>
      </c>
      <c r="I74" s="13">
        <f>_xlfn.XLOOKUP(F74,'Wk no''s'!B:B,'Wk no''s'!C:C,FALSE)</f>
        <v>4</v>
      </c>
      <c r="J74" s="13">
        <f>IF(D74="GBP",1,SUMIFS('Ex Rates'!I:I,'Ex Rates'!K:K,'Weekly Closed Proposal Requests'!L74,'Ex Rates'!G:G,'Weekly Closed Proposal Requests'!D74))</f>
        <v>1</v>
      </c>
      <c r="K74" s="13">
        <f t="shared" si="1"/>
        <v>250000</v>
      </c>
      <c r="L74" s="13" t="str">
        <f>_xlfn.XLOOKUP(I74,'Wk no''s'!C:C,'Wk no''s'!E:E,0)</f>
        <v>Jan</v>
      </c>
    </row>
    <row r="75" spans="1:12" x14ac:dyDescent="0.25">
      <c r="A75" s="67">
        <v>45670</v>
      </c>
      <c r="B75" s="13" t="s">
        <v>170</v>
      </c>
      <c r="C75" s="13" t="s">
        <v>171</v>
      </c>
      <c r="D75" s="13" t="s">
        <v>46</v>
      </c>
      <c r="E75" s="13">
        <v>8000</v>
      </c>
      <c r="F75" s="67">
        <v>45678</v>
      </c>
      <c r="G75" s="13" t="s">
        <v>47</v>
      </c>
      <c r="H75" s="13" t="s">
        <v>50</v>
      </c>
      <c r="I75" s="13">
        <f>_xlfn.XLOOKUP(F75,'Wk no''s'!B:B,'Wk no''s'!C:C,FALSE)</f>
        <v>4</v>
      </c>
      <c r="J75" s="13">
        <f>IF(D75="GBP",1,SUMIFS('Ex Rates'!I:I,'Ex Rates'!K:K,'Weekly Closed Proposal Requests'!L75,'Ex Rates'!G:G,'Weekly Closed Proposal Requests'!D75))</f>
        <v>0.80775444264943463</v>
      </c>
      <c r="K75" s="13">
        <f t="shared" si="1"/>
        <v>6462.035541195477</v>
      </c>
      <c r="L75" s="13" t="str">
        <f>_xlfn.XLOOKUP(I75,'Wk no''s'!C:C,'Wk no''s'!E:E,0)</f>
        <v>Jan</v>
      </c>
    </row>
    <row r="76" spans="1:12" x14ac:dyDescent="0.25">
      <c r="A76" s="67">
        <v>45672</v>
      </c>
      <c r="B76" s="13" t="s">
        <v>157</v>
      </c>
      <c r="C76" s="13" t="s">
        <v>158</v>
      </c>
      <c r="D76" s="13" t="s">
        <v>40</v>
      </c>
      <c r="E76" s="13">
        <v>50000</v>
      </c>
      <c r="F76" s="67">
        <v>45678</v>
      </c>
      <c r="G76" s="13" t="s">
        <v>41</v>
      </c>
      <c r="H76" s="13" t="s">
        <v>19</v>
      </c>
      <c r="I76" s="13">
        <f>_xlfn.XLOOKUP(F76,'Wk no''s'!B:B,'Wk no''s'!C:C,FALSE)</f>
        <v>4</v>
      </c>
      <c r="J76" s="13">
        <f>IF(D76="GBP",1,SUMIFS('Ex Rates'!I:I,'Ex Rates'!K:K,'Weekly Closed Proposal Requests'!L76,'Ex Rates'!G:G,'Weekly Closed Proposal Requests'!D76))</f>
        <v>0.83682008368200833</v>
      </c>
      <c r="K76" s="13">
        <f t="shared" si="1"/>
        <v>41841.004184100413</v>
      </c>
      <c r="L76" s="13" t="str">
        <f>_xlfn.XLOOKUP(I76,'Wk no''s'!C:C,'Wk no''s'!E:E,0)</f>
        <v>Jan</v>
      </c>
    </row>
    <row r="77" spans="1:12" x14ac:dyDescent="0.25">
      <c r="A77" s="67">
        <v>45672</v>
      </c>
      <c r="B77" s="13" t="s">
        <v>165</v>
      </c>
      <c r="C77" s="13" t="s">
        <v>162</v>
      </c>
      <c r="D77" s="13" t="s">
        <v>46</v>
      </c>
      <c r="E77" s="13">
        <v>90000</v>
      </c>
      <c r="F77" s="67">
        <v>45678</v>
      </c>
      <c r="G77" s="13" t="s">
        <v>47</v>
      </c>
      <c r="H77" s="13" t="s">
        <v>19</v>
      </c>
      <c r="I77" s="13">
        <f>_xlfn.XLOOKUP(F77,'Wk no''s'!B:B,'Wk no''s'!C:C,FALSE)</f>
        <v>4</v>
      </c>
      <c r="J77" s="13">
        <f>IF(D77="GBP",1,SUMIFS('Ex Rates'!I:I,'Ex Rates'!K:K,'Weekly Closed Proposal Requests'!L77,'Ex Rates'!G:G,'Weekly Closed Proposal Requests'!D77))</f>
        <v>0.80775444264943463</v>
      </c>
      <c r="K77" s="13">
        <f t="shared" si="1"/>
        <v>72697.899838449113</v>
      </c>
      <c r="L77" s="13" t="str">
        <f>_xlfn.XLOOKUP(I77,'Wk no''s'!C:C,'Wk no''s'!E:E,0)</f>
        <v>Jan</v>
      </c>
    </row>
    <row r="78" spans="1:12" x14ac:dyDescent="0.25">
      <c r="A78" s="67">
        <v>45674</v>
      </c>
      <c r="B78" s="13" t="s">
        <v>146</v>
      </c>
      <c r="C78" s="13" t="s">
        <v>108</v>
      </c>
      <c r="D78" s="13" t="s">
        <v>15</v>
      </c>
      <c r="E78" s="13">
        <v>50000</v>
      </c>
      <c r="F78" s="67">
        <v>45678</v>
      </c>
      <c r="G78" s="13" t="s">
        <v>16</v>
      </c>
      <c r="H78" s="13" t="s">
        <v>19</v>
      </c>
      <c r="I78" s="13">
        <f>_xlfn.XLOOKUP(F78,'Wk no''s'!B:B,'Wk no''s'!C:C,FALSE)</f>
        <v>4</v>
      </c>
      <c r="J78" s="13">
        <f>IF(D78="GBP",1,SUMIFS('Ex Rates'!I:I,'Ex Rates'!K:K,'Weekly Closed Proposal Requests'!L78,'Ex Rates'!G:G,'Weekly Closed Proposal Requests'!D78))</f>
        <v>1</v>
      </c>
      <c r="K78" s="13">
        <f t="shared" si="1"/>
        <v>50000</v>
      </c>
      <c r="L78" s="13" t="str">
        <f>_xlfn.XLOOKUP(I78,'Wk no''s'!C:C,'Wk no''s'!E:E,0)</f>
        <v>Jan</v>
      </c>
    </row>
    <row r="79" spans="1:12" x14ac:dyDescent="0.25">
      <c r="A79" s="67">
        <v>45674</v>
      </c>
      <c r="B79" s="13" t="s">
        <v>189</v>
      </c>
      <c r="C79" s="13" t="s">
        <v>84</v>
      </c>
      <c r="D79" s="13" t="s">
        <v>15</v>
      </c>
      <c r="E79" s="13">
        <v>60000</v>
      </c>
      <c r="F79" s="67">
        <v>45678</v>
      </c>
      <c r="G79" s="13" t="s">
        <v>72</v>
      </c>
      <c r="H79" s="13" t="s">
        <v>19</v>
      </c>
      <c r="I79" s="13">
        <f>_xlfn.XLOOKUP(F79,'Wk no''s'!B:B,'Wk no''s'!C:C,FALSE)</f>
        <v>4</v>
      </c>
      <c r="J79" s="13">
        <f>IF(D79="GBP",1,SUMIFS('Ex Rates'!I:I,'Ex Rates'!K:K,'Weekly Closed Proposal Requests'!L79,'Ex Rates'!G:G,'Weekly Closed Proposal Requests'!D79))</f>
        <v>1</v>
      </c>
      <c r="K79" s="13">
        <f t="shared" si="1"/>
        <v>60000</v>
      </c>
      <c r="L79" s="13" t="str">
        <f>_xlfn.XLOOKUP(I79,'Wk no''s'!C:C,'Wk no''s'!E:E,0)</f>
        <v>Jan</v>
      </c>
    </row>
    <row r="80" spans="1:12" x14ac:dyDescent="0.25">
      <c r="A80" s="67">
        <v>45677</v>
      </c>
      <c r="B80" s="13" t="s">
        <v>150</v>
      </c>
      <c r="C80" s="13" t="s">
        <v>151</v>
      </c>
      <c r="D80" s="13" t="s">
        <v>15</v>
      </c>
      <c r="E80" s="13">
        <v>450000</v>
      </c>
      <c r="F80" s="67">
        <v>45678</v>
      </c>
      <c r="G80" s="13" t="s">
        <v>16</v>
      </c>
      <c r="H80" s="13" t="s">
        <v>19</v>
      </c>
      <c r="I80" s="13">
        <f>_xlfn.XLOOKUP(F80,'Wk no''s'!B:B,'Wk no''s'!C:C,FALSE)</f>
        <v>4</v>
      </c>
      <c r="J80" s="13">
        <f>IF(D80="GBP",1,SUMIFS('Ex Rates'!I:I,'Ex Rates'!K:K,'Weekly Closed Proposal Requests'!L80,'Ex Rates'!G:G,'Weekly Closed Proposal Requests'!D80))</f>
        <v>1</v>
      </c>
      <c r="K80" s="13">
        <f t="shared" si="1"/>
        <v>450000</v>
      </c>
      <c r="L80" s="13" t="str">
        <f>_xlfn.XLOOKUP(I80,'Wk no''s'!C:C,'Wk no''s'!E:E,0)</f>
        <v>Jan</v>
      </c>
    </row>
    <row r="81" spans="1:12" x14ac:dyDescent="0.25">
      <c r="A81" s="67">
        <v>45677</v>
      </c>
      <c r="B81" s="13" t="s">
        <v>191</v>
      </c>
      <c r="C81" s="13" t="s">
        <v>188</v>
      </c>
      <c r="D81" s="13" t="s">
        <v>15</v>
      </c>
      <c r="E81" s="13">
        <v>30000</v>
      </c>
      <c r="F81" s="67">
        <v>45678</v>
      </c>
      <c r="G81" s="13" t="s">
        <v>72</v>
      </c>
      <c r="H81" s="13" t="s">
        <v>19</v>
      </c>
      <c r="I81" s="13">
        <f>_xlfn.XLOOKUP(F81,'Wk no''s'!B:B,'Wk no''s'!C:C,FALSE)</f>
        <v>4</v>
      </c>
      <c r="J81" s="13">
        <f>IF(D81="GBP",1,SUMIFS('Ex Rates'!I:I,'Ex Rates'!K:K,'Weekly Closed Proposal Requests'!L81,'Ex Rates'!G:G,'Weekly Closed Proposal Requests'!D81))</f>
        <v>1</v>
      </c>
      <c r="K81" s="13">
        <f t="shared" si="1"/>
        <v>30000</v>
      </c>
      <c r="L81" s="13" t="str">
        <f>_xlfn.XLOOKUP(I81,'Wk no''s'!C:C,'Wk no''s'!E:E,0)</f>
        <v>Jan</v>
      </c>
    </row>
    <row r="82" spans="1:12" x14ac:dyDescent="0.25">
      <c r="A82" s="67">
        <v>45677</v>
      </c>
      <c r="B82" s="13" t="s">
        <v>182</v>
      </c>
      <c r="C82" s="13" t="s">
        <v>69</v>
      </c>
      <c r="D82" s="13" t="s">
        <v>10</v>
      </c>
      <c r="E82" s="13">
        <v>20000</v>
      </c>
      <c r="F82" s="67">
        <v>45678</v>
      </c>
      <c r="G82" s="13" t="s">
        <v>11</v>
      </c>
      <c r="H82" s="13" t="s">
        <v>50</v>
      </c>
      <c r="I82" s="13">
        <f>_xlfn.XLOOKUP(F82,'Wk no''s'!B:B,'Wk no''s'!C:C,FALSE)</f>
        <v>4</v>
      </c>
      <c r="J82" s="13">
        <f>IF(D82="GBP",1,SUMIFS('Ex Rates'!I:I,'Ex Rates'!K:K,'Weekly Closed Proposal Requests'!L82,'Ex Rates'!G:G,'Weekly Closed Proposal Requests'!D82))</f>
        <v>0.50125313283208017</v>
      </c>
      <c r="K82" s="13">
        <f t="shared" si="1"/>
        <v>10025.062656641603</v>
      </c>
      <c r="L82" s="13" t="str">
        <f>_xlfn.XLOOKUP(I82,'Wk no''s'!C:C,'Wk no''s'!E:E,0)</f>
        <v>Jan</v>
      </c>
    </row>
    <row r="83" spans="1:12" x14ac:dyDescent="0.25">
      <c r="A83" s="67">
        <v>45678</v>
      </c>
      <c r="B83" s="13" t="s">
        <v>166</v>
      </c>
      <c r="C83" s="13" t="s">
        <v>167</v>
      </c>
      <c r="D83" s="13" t="s">
        <v>46</v>
      </c>
      <c r="E83" s="13">
        <v>5</v>
      </c>
      <c r="F83" s="67">
        <v>45678</v>
      </c>
      <c r="G83" s="13" t="s">
        <v>47</v>
      </c>
      <c r="H83" s="13" t="s">
        <v>19</v>
      </c>
      <c r="I83" s="13">
        <f>_xlfn.XLOOKUP(F83,'Wk no''s'!B:B,'Wk no''s'!C:C,FALSE)</f>
        <v>4</v>
      </c>
      <c r="J83" s="13">
        <f>IF(D83="GBP",1,SUMIFS('Ex Rates'!I:I,'Ex Rates'!K:K,'Weekly Closed Proposal Requests'!L83,'Ex Rates'!G:G,'Weekly Closed Proposal Requests'!D83))</f>
        <v>0.80775444264943463</v>
      </c>
      <c r="K83" s="13">
        <f t="shared" si="1"/>
        <v>4.0387722132471735</v>
      </c>
      <c r="L83" s="13" t="str">
        <f>_xlfn.XLOOKUP(I83,'Wk no''s'!C:C,'Wk no''s'!E:E,0)</f>
        <v>Jan</v>
      </c>
    </row>
    <row r="84" spans="1:12" x14ac:dyDescent="0.25">
      <c r="A84" s="67">
        <v>45672</v>
      </c>
      <c r="B84" s="13" t="s">
        <v>183</v>
      </c>
      <c r="C84" s="13" t="s">
        <v>184</v>
      </c>
      <c r="D84" s="13" t="s">
        <v>15</v>
      </c>
      <c r="E84" s="13">
        <v>30000</v>
      </c>
      <c r="F84" s="67">
        <v>45679</v>
      </c>
      <c r="G84" s="13" t="s">
        <v>72</v>
      </c>
      <c r="H84" s="13" t="s">
        <v>19</v>
      </c>
      <c r="I84" s="13">
        <f>_xlfn.XLOOKUP(F84,'Wk no''s'!B:B,'Wk no''s'!C:C,FALSE)</f>
        <v>4</v>
      </c>
      <c r="J84" s="13">
        <f>IF(D84="GBP",1,SUMIFS('Ex Rates'!I:I,'Ex Rates'!K:K,'Weekly Closed Proposal Requests'!L84,'Ex Rates'!G:G,'Weekly Closed Proposal Requests'!D84))</f>
        <v>1</v>
      </c>
      <c r="K84" s="13">
        <f t="shared" si="1"/>
        <v>30000</v>
      </c>
      <c r="L84" s="13" t="str">
        <f>_xlfn.XLOOKUP(I84,'Wk no''s'!C:C,'Wk no''s'!E:E,0)</f>
        <v>Jan</v>
      </c>
    </row>
    <row r="85" spans="1:12" x14ac:dyDescent="0.25">
      <c r="A85" s="67">
        <v>45674</v>
      </c>
      <c r="B85" s="13" t="s">
        <v>139</v>
      </c>
      <c r="C85" s="13" t="s">
        <v>140</v>
      </c>
      <c r="D85" s="13" t="s">
        <v>15</v>
      </c>
      <c r="E85" s="13">
        <v>22294.42</v>
      </c>
      <c r="F85" s="67">
        <v>45679</v>
      </c>
      <c r="G85" s="13" t="s">
        <v>16</v>
      </c>
      <c r="H85" s="13" t="s">
        <v>12</v>
      </c>
      <c r="I85" s="13">
        <f>_xlfn.XLOOKUP(F85,'Wk no''s'!B:B,'Wk no''s'!C:C,FALSE)</f>
        <v>4</v>
      </c>
      <c r="J85" s="13">
        <f>IF(D85="GBP",1,SUMIFS('Ex Rates'!I:I,'Ex Rates'!K:K,'Weekly Closed Proposal Requests'!L85,'Ex Rates'!G:G,'Weekly Closed Proposal Requests'!D85))</f>
        <v>1</v>
      </c>
      <c r="K85" s="13">
        <f t="shared" si="1"/>
        <v>22294.42</v>
      </c>
      <c r="L85" s="13" t="str">
        <f>_xlfn.XLOOKUP(I85,'Wk no''s'!C:C,'Wk no''s'!E:E,0)</f>
        <v>Jan</v>
      </c>
    </row>
    <row r="86" spans="1:12" x14ac:dyDescent="0.25">
      <c r="A86" s="67">
        <v>45674</v>
      </c>
      <c r="B86" s="13" t="s">
        <v>144</v>
      </c>
      <c r="C86" s="13" t="s">
        <v>145</v>
      </c>
      <c r="D86" s="13" t="s">
        <v>15</v>
      </c>
      <c r="E86" s="13">
        <v>7391</v>
      </c>
      <c r="F86" s="67">
        <v>45679</v>
      </c>
      <c r="G86" s="13" t="s">
        <v>16</v>
      </c>
      <c r="H86" s="13" t="s">
        <v>19</v>
      </c>
      <c r="I86" s="13">
        <f>_xlfn.XLOOKUP(F86,'Wk no''s'!B:B,'Wk no''s'!C:C,FALSE)</f>
        <v>4</v>
      </c>
      <c r="J86" s="13">
        <f>IF(D86="GBP",1,SUMIFS('Ex Rates'!I:I,'Ex Rates'!K:K,'Weekly Closed Proposal Requests'!L86,'Ex Rates'!G:G,'Weekly Closed Proposal Requests'!D86))</f>
        <v>1</v>
      </c>
      <c r="K86" s="13">
        <f t="shared" si="1"/>
        <v>7391</v>
      </c>
      <c r="L86" s="13" t="str">
        <f>_xlfn.XLOOKUP(I86,'Wk no''s'!C:C,'Wk no''s'!E:E,0)</f>
        <v>Jan</v>
      </c>
    </row>
    <row r="87" spans="1:12" x14ac:dyDescent="0.25">
      <c r="A87" s="67">
        <v>45674</v>
      </c>
      <c r="B87" s="13" t="s">
        <v>149</v>
      </c>
      <c r="C87" s="13" t="s">
        <v>148</v>
      </c>
      <c r="D87" s="13" t="s">
        <v>15</v>
      </c>
      <c r="E87" s="13">
        <v>80000</v>
      </c>
      <c r="F87" s="67">
        <v>45679</v>
      </c>
      <c r="G87" s="13" t="s">
        <v>16</v>
      </c>
      <c r="H87" s="13" t="s">
        <v>19</v>
      </c>
      <c r="I87" s="13">
        <f>_xlfn.XLOOKUP(F87,'Wk no''s'!B:B,'Wk no''s'!C:C,FALSE)</f>
        <v>4</v>
      </c>
      <c r="J87" s="13">
        <f>IF(D87="GBP",1,SUMIFS('Ex Rates'!I:I,'Ex Rates'!K:K,'Weekly Closed Proposal Requests'!L87,'Ex Rates'!G:G,'Weekly Closed Proposal Requests'!D87))</f>
        <v>1</v>
      </c>
      <c r="K87" s="13">
        <f t="shared" si="1"/>
        <v>80000</v>
      </c>
      <c r="L87" s="13" t="str">
        <f>_xlfn.XLOOKUP(I87,'Wk no''s'!C:C,'Wk no''s'!E:E,0)</f>
        <v>Jan</v>
      </c>
    </row>
    <row r="88" spans="1:12" x14ac:dyDescent="0.25">
      <c r="A88" s="67">
        <v>45676</v>
      </c>
      <c r="B88" s="13" t="s">
        <v>178</v>
      </c>
      <c r="C88" s="13" t="s">
        <v>179</v>
      </c>
      <c r="D88" s="13" t="s">
        <v>10</v>
      </c>
      <c r="E88" s="13">
        <v>1200000</v>
      </c>
      <c r="F88" s="67">
        <v>45679</v>
      </c>
      <c r="G88" s="13" t="s">
        <v>11</v>
      </c>
      <c r="H88" s="13" t="s">
        <v>19</v>
      </c>
      <c r="I88" s="13">
        <f>_xlfn.XLOOKUP(F88,'Wk no''s'!B:B,'Wk no''s'!C:C,FALSE)</f>
        <v>4</v>
      </c>
      <c r="J88" s="13">
        <f>IF(D88="GBP",1,SUMIFS('Ex Rates'!I:I,'Ex Rates'!K:K,'Weekly Closed Proposal Requests'!L88,'Ex Rates'!G:G,'Weekly Closed Proposal Requests'!D88))</f>
        <v>0.50125313283208017</v>
      </c>
      <c r="K88" s="13">
        <f t="shared" si="1"/>
        <v>601503.75939849624</v>
      </c>
      <c r="L88" s="13" t="str">
        <f>_xlfn.XLOOKUP(I88,'Wk no''s'!C:C,'Wk no''s'!E:E,0)</f>
        <v>Jan</v>
      </c>
    </row>
    <row r="89" spans="1:12" x14ac:dyDescent="0.25">
      <c r="A89" s="67">
        <v>45678</v>
      </c>
      <c r="B89" s="13" t="s">
        <v>152</v>
      </c>
      <c r="C89" s="13" t="s">
        <v>153</v>
      </c>
      <c r="D89" s="13" t="s">
        <v>15</v>
      </c>
      <c r="E89" s="13">
        <v>15000</v>
      </c>
      <c r="F89" s="67">
        <v>45680</v>
      </c>
      <c r="G89" s="13" t="s">
        <v>16</v>
      </c>
      <c r="H89" s="13" t="s">
        <v>19</v>
      </c>
      <c r="I89" s="13">
        <f>_xlfn.XLOOKUP(F89,'Wk no''s'!B:B,'Wk no''s'!C:C,FALSE)</f>
        <v>4</v>
      </c>
      <c r="J89" s="13">
        <f>IF(D89="GBP",1,SUMIFS('Ex Rates'!I:I,'Ex Rates'!K:K,'Weekly Closed Proposal Requests'!L89,'Ex Rates'!G:G,'Weekly Closed Proposal Requests'!D89))</f>
        <v>1</v>
      </c>
      <c r="K89" s="13">
        <f t="shared" si="1"/>
        <v>15000</v>
      </c>
      <c r="L89" s="13" t="str">
        <f>_xlfn.XLOOKUP(I89,'Wk no''s'!C:C,'Wk no''s'!E:E,0)</f>
        <v>Jan</v>
      </c>
    </row>
    <row r="90" spans="1:12" x14ac:dyDescent="0.25">
      <c r="A90" s="67">
        <v>45678</v>
      </c>
      <c r="B90" s="13" t="s">
        <v>159</v>
      </c>
      <c r="C90" s="13" t="s">
        <v>160</v>
      </c>
      <c r="D90" s="13" t="s">
        <v>40</v>
      </c>
      <c r="E90" s="13">
        <v>1000000</v>
      </c>
      <c r="F90" s="67">
        <v>45680</v>
      </c>
      <c r="G90" s="13" t="s">
        <v>41</v>
      </c>
      <c r="H90" s="13" t="s">
        <v>19</v>
      </c>
      <c r="I90" s="13">
        <f>_xlfn.XLOOKUP(F90,'Wk no''s'!B:B,'Wk no''s'!C:C,FALSE)</f>
        <v>4</v>
      </c>
      <c r="J90" s="13">
        <f>IF(D90="GBP",1,SUMIFS('Ex Rates'!I:I,'Ex Rates'!K:K,'Weekly Closed Proposal Requests'!L90,'Ex Rates'!G:G,'Weekly Closed Proposal Requests'!D90))</f>
        <v>0.83682008368200833</v>
      </c>
      <c r="K90" s="13">
        <f t="shared" si="1"/>
        <v>836820.08368200832</v>
      </c>
      <c r="L90" s="13" t="str">
        <f>_xlfn.XLOOKUP(I90,'Wk no''s'!C:C,'Wk no''s'!E:E,0)</f>
        <v>Jan</v>
      </c>
    </row>
    <row r="91" spans="1:12" x14ac:dyDescent="0.25">
      <c r="A91" s="67">
        <v>45678</v>
      </c>
      <c r="B91" s="13" t="s">
        <v>192</v>
      </c>
      <c r="C91" s="13" t="s">
        <v>80</v>
      </c>
      <c r="D91" s="13" t="s">
        <v>15</v>
      </c>
      <c r="E91" s="13">
        <v>30000</v>
      </c>
      <c r="F91" s="67">
        <v>45680</v>
      </c>
      <c r="G91" s="13" t="s">
        <v>72</v>
      </c>
      <c r="H91" s="13" t="s">
        <v>19</v>
      </c>
      <c r="I91" s="13">
        <f>_xlfn.XLOOKUP(F91,'Wk no''s'!B:B,'Wk no''s'!C:C,FALSE)</f>
        <v>4</v>
      </c>
      <c r="J91" s="13">
        <f>IF(D91="GBP",1,SUMIFS('Ex Rates'!I:I,'Ex Rates'!K:K,'Weekly Closed Proposal Requests'!L91,'Ex Rates'!G:G,'Weekly Closed Proposal Requests'!D91))</f>
        <v>1</v>
      </c>
      <c r="K91" s="13">
        <f t="shared" si="1"/>
        <v>30000</v>
      </c>
      <c r="L91" s="13" t="str">
        <f>_xlfn.XLOOKUP(I91,'Wk no''s'!C:C,'Wk no''s'!E:E,0)</f>
        <v>Jan</v>
      </c>
    </row>
    <row r="92" spans="1:12" x14ac:dyDescent="0.25">
      <c r="A92" s="67">
        <v>45679</v>
      </c>
      <c r="B92" s="13" t="s">
        <v>176</v>
      </c>
      <c r="C92" s="13" t="s">
        <v>177</v>
      </c>
      <c r="D92" s="13" t="s">
        <v>10</v>
      </c>
      <c r="E92" s="13">
        <v>560000</v>
      </c>
      <c r="F92" s="67">
        <v>45680</v>
      </c>
      <c r="G92" s="13" t="s">
        <v>11</v>
      </c>
      <c r="H92" s="13" t="s">
        <v>12</v>
      </c>
      <c r="I92" s="13">
        <f>_xlfn.XLOOKUP(F92,'Wk no''s'!B:B,'Wk no''s'!C:C,FALSE)</f>
        <v>4</v>
      </c>
      <c r="J92" s="13">
        <f>IF(D92="GBP",1,SUMIFS('Ex Rates'!I:I,'Ex Rates'!K:K,'Weekly Closed Proposal Requests'!L92,'Ex Rates'!G:G,'Weekly Closed Proposal Requests'!D92))</f>
        <v>0.50125313283208017</v>
      </c>
      <c r="K92" s="13">
        <f t="shared" si="1"/>
        <v>280701.75438596489</v>
      </c>
      <c r="L92" s="13" t="str">
        <f>_xlfn.XLOOKUP(I92,'Wk no''s'!C:C,'Wk no''s'!E:E,0)</f>
        <v>Jan</v>
      </c>
    </row>
    <row r="93" spans="1:12" x14ac:dyDescent="0.25">
      <c r="A93" s="67">
        <v>45680</v>
      </c>
      <c r="B93" s="13" t="s">
        <v>193</v>
      </c>
      <c r="C93" s="13" t="s">
        <v>194</v>
      </c>
      <c r="D93" s="13" t="s">
        <v>15</v>
      </c>
      <c r="E93" s="13">
        <v>30000</v>
      </c>
      <c r="F93" s="67">
        <v>45680</v>
      </c>
      <c r="G93" s="13" t="s">
        <v>72</v>
      </c>
      <c r="H93" s="13" t="s">
        <v>19</v>
      </c>
      <c r="I93" s="13">
        <f>_xlfn.XLOOKUP(F93,'Wk no''s'!B:B,'Wk no''s'!C:C,FALSE)</f>
        <v>4</v>
      </c>
      <c r="J93" s="13">
        <f>IF(D93="GBP",1,SUMIFS('Ex Rates'!I:I,'Ex Rates'!K:K,'Weekly Closed Proposal Requests'!L93,'Ex Rates'!G:G,'Weekly Closed Proposal Requests'!D93))</f>
        <v>1</v>
      </c>
      <c r="K93" s="13">
        <f t="shared" si="1"/>
        <v>30000</v>
      </c>
      <c r="L93" s="13" t="str">
        <f>_xlfn.XLOOKUP(I93,'Wk no''s'!C:C,'Wk no''s'!E:E,0)</f>
        <v>Jan</v>
      </c>
    </row>
    <row r="94" spans="1:12" x14ac:dyDescent="0.25">
      <c r="A94" s="67">
        <v>45671</v>
      </c>
      <c r="B94" s="13" t="s">
        <v>163</v>
      </c>
      <c r="C94" s="13" t="s">
        <v>164</v>
      </c>
      <c r="D94" s="13" t="s">
        <v>46</v>
      </c>
      <c r="E94" s="13">
        <v>60000</v>
      </c>
      <c r="F94" s="67">
        <v>45681</v>
      </c>
      <c r="G94" s="13" t="s">
        <v>47</v>
      </c>
      <c r="H94" s="13" t="s">
        <v>19</v>
      </c>
      <c r="I94" s="13">
        <f>_xlfn.XLOOKUP(F94,'Wk no''s'!B:B,'Wk no''s'!C:C,FALSE)</f>
        <v>4</v>
      </c>
      <c r="J94" s="13">
        <f>IF(D94="GBP",1,SUMIFS('Ex Rates'!I:I,'Ex Rates'!K:K,'Weekly Closed Proposal Requests'!L94,'Ex Rates'!G:G,'Weekly Closed Proposal Requests'!D94))</f>
        <v>0.80775444264943463</v>
      </c>
      <c r="K94" s="13">
        <f t="shared" si="1"/>
        <v>48465.266558966076</v>
      </c>
      <c r="L94" s="13" t="str">
        <f>_xlfn.XLOOKUP(I94,'Wk no''s'!C:C,'Wk no''s'!E:E,0)</f>
        <v>Jan</v>
      </c>
    </row>
    <row r="95" spans="1:12" x14ac:dyDescent="0.25">
      <c r="A95" s="67">
        <v>45673</v>
      </c>
      <c r="B95" s="13" t="s">
        <v>172</v>
      </c>
      <c r="C95" s="13" t="s">
        <v>173</v>
      </c>
      <c r="D95" s="13" t="s">
        <v>15</v>
      </c>
      <c r="E95" s="13">
        <v>43918</v>
      </c>
      <c r="F95" s="67">
        <v>45681</v>
      </c>
      <c r="G95" s="13" t="s">
        <v>47</v>
      </c>
      <c r="H95" s="13" t="s">
        <v>50</v>
      </c>
      <c r="I95" s="13">
        <f>_xlfn.XLOOKUP(F95,'Wk no''s'!B:B,'Wk no''s'!C:C,FALSE)</f>
        <v>4</v>
      </c>
      <c r="J95" s="13">
        <f>IF(D95="GBP",1,SUMIFS('Ex Rates'!I:I,'Ex Rates'!K:K,'Weekly Closed Proposal Requests'!L95,'Ex Rates'!G:G,'Weekly Closed Proposal Requests'!D95))</f>
        <v>1</v>
      </c>
      <c r="K95" s="13">
        <f t="shared" si="1"/>
        <v>43918</v>
      </c>
      <c r="L95" s="13" t="str">
        <f>_xlfn.XLOOKUP(I95,'Wk no''s'!C:C,'Wk no''s'!E:E,0)</f>
        <v>Jan</v>
      </c>
    </row>
    <row r="96" spans="1:12" x14ac:dyDescent="0.25">
      <c r="A96" s="67">
        <v>45674</v>
      </c>
      <c r="B96" s="13" t="s">
        <v>147</v>
      </c>
      <c r="C96" s="13" t="s">
        <v>148</v>
      </c>
      <c r="D96" s="13" t="s">
        <v>15</v>
      </c>
      <c r="E96" s="13">
        <v>800000</v>
      </c>
      <c r="F96" s="67">
        <v>45681</v>
      </c>
      <c r="G96" s="13" t="s">
        <v>16</v>
      </c>
      <c r="H96" s="13" t="s">
        <v>19</v>
      </c>
      <c r="I96" s="13">
        <f>_xlfn.XLOOKUP(F96,'Wk no''s'!B:B,'Wk no''s'!C:C,FALSE)</f>
        <v>4</v>
      </c>
      <c r="J96" s="13">
        <f>IF(D96="GBP",1,SUMIFS('Ex Rates'!I:I,'Ex Rates'!K:K,'Weekly Closed Proposal Requests'!L96,'Ex Rates'!G:G,'Weekly Closed Proposal Requests'!D96))</f>
        <v>1</v>
      </c>
      <c r="K96" s="13">
        <f t="shared" si="1"/>
        <v>800000</v>
      </c>
      <c r="L96" s="13" t="str">
        <f>_xlfn.XLOOKUP(I96,'Wk no''s'!C:C,'Wk no''s'!E:E,0)</f>
        <v>Jan</v>
      </c>
    </row>
    <row r="97" spans="1:12" x14ac:dyDescent="0.25">
      <c r="A97" s="67">
        <v>45677</v>
      </c>
      <c r="B97" s="13" t="s">
        <v>190</v>
      </c>
      <c r="C97" s="13" t="s">
        <v>76</v>
      </c>
      <c r="D97" s="13" t="s">
        <v>15</v>
      </c>
      <c r="E97" s="13">
        <v>100000</v>
      </c>
      <c r="F97" s="67">
        <v>45681</v>
      </c>
      <c r="G97" s="13" t="s">
        <v>72</v>
      </c>
      <c r="H97" s="13" t="s">
        <v>19</v>
      </c>
      <c r="I97" s="13">
        <f>_xlfn.XLOOKUP(F97,'Wk no''s'!B:B,'Wk no''s'!C:C,FALSE)</f>
        <v>4</v>
      </c>
      <c r="J97" s="13">
        <f>IF(D97="GBP",1,SUMIFS('Ex Rates'!I:I,'Ex Rates'!K:K,'Weekly Closed Proposal Requests'!L97,'Ex Rates'!G:G,'Weekly Closed Proposal Requests'!D97))</f>
        <v>1</v>
      </c>
      <c r="K97" s="13">
        <f t="shared" si="1"/>
        <v>100000</v>
      </c>
      <c r="L97" s="13" t="str">
        <f>_xlfn.XLOOKUP(I97,'Wk no''s'!C:C,'Wk no''s'!E:E,0)</f>
        <v>Jan</v>
      </c>
    </row>
    <row r="98" spans="1:12" x14ac:dyDescent="0.25">
      <c r="A98" s="67">
        <v>45680</v>
      </c>
      <c r="B98" s="13" t="s">
        <v>156</v>
      </c>
      <c r="C98" s="13" t="s">
        <v>27</v>
      </c>
      <c r="D98" s="13" t="s">
        <v>15</v>
      </c>
      <c r="E98" s="13">
        <v>20000</v>
      </c>
      <c r="F98" s="67">
        <v>45681</v>
      </c>
      <c r="G98" s="13" t="s">
        <v>16</v>
      </c>
      <c r="H98" s="13" t="s">
        <v>50</v>
      </c>
      <c r="I98" s="13">
        <f>_xlfn.XLOOKUP(F98,'Wk no''s'!B:B,'Wk no''s'!C:C,FALSE)</f>
        <v>4</v>
      </c>
      <c r="J98" s="13">
        <f>IF(D98="GBP",1,SUMIFS('Ex Rates'!I:I,'Ex Rates'!K:K,'Weekly Closed Proposal Requests'!L98,'Ex Rates'!G:G,'Weekly Closed Proposal Requests'!D98))</f>
        <v>1</v>
      </c>
      <c r="K98" s="13">
        <f t="shared" si="1"/>
        <v>20000</v>
      </c>
      <c r="L98" s="13" t="str">
        <f>_xlfn.XLOOKUP(I98,'Wk no''s'!C:C,'Wk no''s'!E:E,0)</f>
        <v>Jan</v>
      </c>
    </row>
    <row r="99" spans="1:12" x14ac:dyDescent="0.25">
      <c r="A99" s="67">
        <v>45673</v>
      </c>
      <c r="B99" s="13" t="s">
        <v>212</v>
      </c>
      <c r="C99" s="13" t="s">
        <v>213</v>
      </c>
      <c r="D99" s="13" t="s">
        <v>46</v>
      </c>
      <c r="E99" s="13">
        <v>10000</v>
      </c>
      <c r="F99" s="67">
        <v>45684</v>
      </c>
      <c r="G99" s="13" t="s">
        <v>47</v>
      </c>
      <c r="H99" s="13" t="s">
        <v>19</v>
      </c>
      <c r="I99" s="13">
        <f>_xlfn.XLOOKUP(F99,'Wk no''s'!B:B,'Wk no''s'!C:C,FALSE)</f>
        <v>5</v>
      </c>
      <c r="J99" s="13">
        <f>IF(D99="GBP",1,SUMIFS('Ex Rates'!I:I,'Ex Rates'!K:K,'Weekly Closed Proposal Requests'!L99,'Ex Rates'!G:G,'Weekly Closed Proposal Requests'!D99))</f>
        <v>0.80775444264943463</v>
      </c>
      <c r="K99" s="13">
        <f t="shared" si="1"/>
        <v>8077.5444264943462</v>
      </c>
      <c r="L99" s="13" t="str">
        <f>_xlfn.XLOOKUP(I99,'Wk no''s'!C:C,'Wk no''s'!E:E,0)</f>
        <v>Jan</v>
      </c>
    </row>
    <row r="100" spans="1:12" x14ac:dyDescent="0.25">
      <c r="A100" s="67">
        <v>45681</v>
      </c>
      <c r="B100" s="13" t="s">
        <v>237</v>
      </c>
      <c r="C100" s="13" t="s">
        <v>80</v>
      </c>
      <c r="D100" s="13" t="s">
        <v>15</v>
      </c>
      <c r="E100" s="13">
        <v>50000</v>
      </c>
      <c r="F100" s="67">
        <v>45684</v>
      </c>
      <c r="G100" s="13" t="s">
        <v>72</v>
      </c>
      <c r="H100" s="13" t="s">
        <v>19</v>
      </c>
      <c r="I100" s="13">
        <f>_xlfn.XLOOKUP(F100,'Wk no''s'!B:B,'Wk no''s'!C:C,FALSE)</f>
        <v>5</v>
      </c>
      <c r="J100" s="13">
        <f>IF(D100="GBP",1,SUMIFS('Ex Rates'!I:I,'Ex Rates'!K:K,'Weekly Closed Proposal Requests'!L100,'Ex Rates'!G:G,'Weekly Closed Proposal Requests'!D100))</f>
        <v>1</v>
      </c>
      <c r="K100" s="13">
        <f t="shared" si="1"/>
        <v>50000</v>
      </c>
      <c r="L100" s="13" t="str">
        <f>_xlfn.XLOOKUP(I100,'Wk no''s'!C:C,'Wk no''s'!E:E,0)</f>
        <v>Jan</v>
      </c>
    </row>
    <row r="101" spans="1:12" x14ac:dyDescent="0.25">
      <c r="A101" s="67">
        <v>45681</v>
      </c>
      <c r="B101" s="13" t="s">
        <v>238</v>
      </c>
      <c r="C101" s="13" t="s">
        <v>80</v>
      </c>
      <c r="D101" s="13" t="s">
        <v>15</v>
      </c>
      <c r="E101" s="13">
        <v>50000</v>
      </c>
      <c r="F101" s="67">
        <v>45684</v>
      </c>
      <c r="G101" s="13" t="s">
        <v>72</v>
      </c>
      <c r="H101" s="13" t="s">
        <v>19</v>
      </c>
      <c r="I101" s="13">
        <f>_xlfn.XLOOKUP(F101,'Wk no''s'!B:B,'Wk no''s'!C:C,FALSE)</f>
        <v>5</v>
      </c>
      <c r="J101" s="13">
        <f>IF(D101="GBP",1,SUMIFS('Ex Rates'!I:I,'Ex Rates'!K:K,'Weekly Closed Proposal Requests'!L101,'Ex Rates'!G:G,'Weekly Closed Proposal Requests'!D101))</f>
        <v>1</v>
      </c>
      <c r="K101" s="13">
        <f t="shared" si="1"/>
        <v>50000</v>
      </c>
      <c r="L101" s="13" t="str">
        <f>_xlfn.XLOOKUP(I101,'Wk no''s'!C:C,'Wk no''s'!E:E,0)</f>
        <v>Jan</v>
      </c>
    </row>
    <row r="102" spans="1:12" x14ac:dyDescent="0.25">
      <c r="A102" s="67">
        <v>45684</v>
      </c>
      <c r="B102" s="13" t="s">
        <v>195</v>
      </c>
      <c r="C102" s="13" t="s">
        <v>196</v>
      </c>
      <c r="D102" s="13" t="s">
        <v>15</v>
      </c>
      <c r="E102" s="13">
        <v>15000</v>
      </c>
      <c r="F102" s="67">
        <v>45684</v>
      </c>
      <c r="G102" s="13" t="s">
        <v>16</v>
      </c>
      <c r="H102" s="13" t="s">
        <v>19</v>
      </c>
      <c r="I102" s="13">
        <f>_xlfn.XLOOKUP(F102,'Wk no''s'!B:B,'Wk no''s'!C:C,FALSE)</f>
        <v>5</v>
      </c>
      <c r="J102" s="13">
        <f>IF(D102="GBP",1,SUMIFS('Ex Rates'!I:I,'Ex Rates'!K:K,'Weekly Closed Proposal Requests'!L102,'Ex Rates'!G:G,'Weekly Closed Proposal Requests'!D102))</f>
        <v>1</v>
      </c>
      <c r="K102" s="13">
        <f t="shared" si="1"/>
        <v>15000</v>
      </c>
      <c r="L102" s="13" t="str">
        <f>_xlfn.XLOOKUP(I102,'Wk no''s'!C:C,'Wk no''s'!E:E,0)</f>
        <v>Jan</v>
      </c>
    </row>
    <row r="103" spans="1:12" x14ac:dyDescent="0.25">
      <c r="A103" s="67">
        <v>45684</v>
      </c>
      <c r="B103" s="13" t="s">
        <v>198</v>
      </c>
      <c r="C103" s="13" t="s">
        <v>196</v>
      </c>
      <c r="D103" s="13" t="s">
        <v>15</v>
      </c>
      <c r="E103" s="13">
        <v>15000</v>
      </c>
      <c r="F103" s="67">
        <v>45684</v>
      </c>
      <c r="G103" s="13" t="s">
        <v>16</v>
      </c>
      <c r="H103" s="13" t="s">
        <v>19</v>
      </c>
      <c r="I103" s="13">
        <f>_xlfn.XLOOKUP(F103,'Wk no''s'!B:B,'Wk no''s'!C:C,FALSE)</f>
        <v>5</v>
      </c>
      <c r="J103" s="13">
        <f>IF(D103="GBP",1,SUMIFS('Ex Rates'!I:I,'Ex Rates'!K:K,'Weekly Closed Proposal Requests'!L103,'Ex Rates'!G:G,'Weekly Closed Proposal Requests'!D103))</f>
        <v>1</v>
      </c>
      <c r="K103" s="13">
        <f t="shared" si="1"/>
        <v>15000</v>
      </c>
      <c r="L103" s="13" t="str">
        <f>_xlfn.XLOOKUP(I103,'Wk no''s'!C:C,'Wk no''s'!E:E,0)</f>
        <v>Jan</v>
      </c>
    </row>
    <row r="104" spans="1:12" x14ac:dyDescent="0.25">
      <c r="A104" s="67">
        <v>45666</v>
      </c>
      <c r="B104" s="13" t="s">
        <v>210</v>
      </c>
      <c r="C104" s="13" t="s">
        <v>211</v>
      </c>
      <c r="D104" s="13" t="s">
        <v>46</v>
      </c>
      <c r="E104" s="13">
        <v>500000</v>
      </c>
      <c r="F104" s="67">
        <v>45685</v>
      </c>
      <c r="G104" s="13" t="s">
        <v>47</v>
      </c>
      <c r="H104" s="13" t="s">
        <v>19</v>
      </c>
      <c r="I104" s="13">
        <f>_xlfn.XLOOKUP(F104,'Wk no''s'!B:B,'Wk no''s'!C:C,FALSE)</f>
        <v>5</v>
      </c>
      <c r="J104" s="13">
        <f>IF(D104="GBP",1,SUMIFS('Ex Rates'!I:I,'Ex Rates'!K:K,'Weekly Closed Proposal Requests'!L104,'Ex Rates'!G:G,'Weekly Closed Proposal Requests'!D104))</f>
        <v>0.80775444264943463</v>
      </c>
      <c r="K104" s="13">
        <f t="shared" si="1"/>
        <v>403877.22132471733</v>
      </c>
      <c r="L104" s="13" t="str">
        <f>_xlfn.XLOOKUP(I104,'Wk no''s'!C:C,'Wk no''s'!E:E,0)</f>
        <v>Jan</v>
      </c>
    </row>
    <row r="105" spans="1:12" x14ac:dyDescent="0.25">
      <c r="A105" s="67">
        <v>45680</v>
      </c>
      <c r="B105" s="13" t="s">
        <v>216</v>
      </c>
      <c r="C105" s="13" t="s">
        <v>217</v>
      </c>
      <c r="D105" s="13" t="s">
        <v>46</v>
      </c>
      <c r="E105" s="13">
        <v>750000</v>
      </c>
      <c r="F105" s="67">
        <v>45685</v>
      </c>
      <c r="G105" s="13" t="s">
        <v>47</v>
      </c>
      <c r="H105" s="13" t="s">
        <v>19</v>
      </c>
      <c r="I105" s="13">
        <f>_xlfn.XLOOKUP(F105,'Wk no''s'!B:B,'Wk no''s'!C:C,FALSE)</f>
        <v>5</v>
      </c>
      <c r="J105" s="13">
        <f>IF(D105="GBP",1,SUMIFS('Ex Rates'!I:I,'Ex Rates'!K:K,'Weekly Closed Proposal Requests'!L105,'Ex Rates'!G:G,'Weekly Closed Proposal Requests'!D105))</f>
        <v>0.80775444264943463</v>
      </c>
      <c r="K105" s="13">
        <f t="shared" si="1"/>
        <v>605815.83198707597</v>
      </c>
      <c r="L105" s="13" t="str">
        <f>_xlfn.XLOOKUP(I105,'Wk no''s'!C:C,'Wk no''s'!E:E,0)</f>
        <v>Jan</v>
      </c>
    </row>
    <row r="106" spans="1:12" x14ac:dyDescent="0.25">
      <c r="A106" s="67">
        <v>45679</v>
      </c>
      <c r="B106" s="13" t="s">
        <v>231</v>
      </c>
      <c r="C106" s="13" t="s">
        <v>179</v>
      </c>
      <c r="D106" s="13" t="s">
        <v>10</v>
      </c>
      <c r="E106" s="13">
        <v>1000000</v>
      </c>
      <c r="F106" s="67">
        <v>45686</v>
      </c>
      <c r="G106" s="13" t="s">
        <v>11</v>
      </c>
      <c r="H106" s="13" t="s">
        <v>12</v>
      </c>
      <c r="I106" s="13">
        <f>_xlfn.XLOOKUP(F106,'Wk no''s'!B:B,'Wk no''s'!C:C,FALSE)</f>
        <v>5</v>
      </c>
      <c r="J106" s="13">
        <f>IF(D106="GBP",1,SUMIFS('Ex Rates'!I:I,'Ex Rates'!K:K,'Weekly Closed Proposal Requests'!L106,'Ex Rates'!G:G,'Weekly Closed Proposal Requests'!D106))</f>
        <v>0.50125313283208017</v>
      </c>
      <c r="K106" s="13">
        <f t="shared" si="1"/>
        <v>501253.13283208018</v>
      </c>
      <c r="L106" s="13" t="str">
        <f>_xlfn.XLOOKUP(I106,'Wk no''s'!C:C,'Wk no''s'!E:E,0)</f>
        <v>Jan</v>
      </c>
    </row>
    <row r="107" spans="1:12" x14ac:dyDescent="0.25">
      <c r="A107" s="67">
        <v>45684</v>
      </c>
      <c r="B107" s="13" t="s">
        <v>204</v>
      </c>
      <c r="C107" s="13" t="s">
        <v>39</v>
      </c>
      <c r="D107" s="13" t="s">
        <v>40</v>
      </c>
      <c r="E107" s="13">
        <v>50000</v>
      </c>
      <c r="F107" s="67">
        <v>45686</v>
      </c>
      <c r="G107" s="13" t="s">
        <v>41</v>
      </c>
      <c r="H107" s="13" t="s">
        <v>19</v>
      </c>
      <c r="I107" s="13">
        <f>_xlfn.XLOOKUP(F107,'Wk no''s'!B:B,'Wk no''s'!C:C,FALSE)</f>
        <v>5</v>
      </c>
      <c r="J107" s="13">
        <f>IF(D107="GBP",1,SUMIFS('Ex Rates'!I:I,'Ex Rates'!K:K,'Weekly Closed Proposal Requests'!L107,'Ex Rates'!G:G,'Weekly Closed Proposal Requests'!D107))</f>
        <v>0.83682008368200833</v>
      </c>
      <c r="K107" s="13">
        <f t="shared" si="1"/>
        <v>41841.004184100413</v>
      </c>
      <c r="L107" s="13" t="str">
        <f>_xlfn.XLOOKUP(I107,'Wk no''s'!C:C,'Wk no''s'!E:E,0)</f>
        <v>Jan</v>
      </c>
    </row>
    <row r="108" spans="1:12" x14ac:dyDescent="0.25">
      <c r="A108" s="67">
        <v>45684</v>
      </c>
      <c r="B108" s="13" t="s">
        <v>202</v>
      </c>
      <c r="C108" s="13" t="s">
        <v>27</v>
      </c>
      <c r="D108" s="13" t="s">
        <v>15</v>
      </c>
      <c r="E108" s="13">
        <v>90000</v>
      </c>
      <c r="F108" s="67">
        <v>45686</v>
      </c>
      <c r="G108" s="13" t="s">
        <v>16</v>
      </c>
      <c r="H108" s="13" t="s">
        <v>50</v>
      </c>
      <c r="I108" s="13">
        <f>_xlfn.XLOOKUP(F108,'Wk no''s'!B:B,'Wk no''s'!C:C,FALSE)</f>
        <v>5</v>
      </c>
      <c r="J108" s="13">
        <f>IF(D108="GBP",1,SUMIFS('Ex Rates'!I:I,'Ex Rates'!K:K,'Weekly Closed Proposal Requests'!L108,'Ex Rates'!G:G,'Weekly Closed Proposal Requests'!D108))</f>
        <v>1</v>
      </c>
      <c r="K108" s="13">
        <f t="shared" si="1"/>
        <v>90000</v>
      </c>
      <c r="L108" s="13" t="str">
        <f>_xlfn.XLOOKUP(I108,'Wk no''s'!C:C,'Wk no''s'!E:E,0)</f>
        <v>Jan</v>
      </c>
    </row>
    <row r="109" spans="1:12" x14ac:dyDescent="0.25">
      <c r="A109" s="67">
        <v>45506</v>
      </c>
      <c r="B109" s="13" t="s">
        <v>236</v>
      </c>
      <c r="C109" s="13" t="s">
        <v>62</v>
      </c>
      <c r="D109" s="13" t="s">
        <v>15</v>
      </c>
      <c r="E109" s="13">
        <v>250000</v>
      </c>
      <c r="F109" s="67">
        <v>45687</v>
      </c>
      <c r="G109" s="13" t="s">
        <v>11</v>
      </c>
      <c r="H109" s="13" t="s">
        <v>50</v>
      </c>
      <c r="I109" s="13">
        <f>_xlfn.XLOOKUP(F109,'Wk no''s'!B:B,'Wk no''s'!C:C,FALSE)</f>
        <v>5</v>
      </c>
      <c r="J109" s="13">
        <f>IF(D109="GBP",1,SUMIFS('Ex Rates'!I:I,'Ex Rates'!K:K,'Weekly Closed Proposal Requests'!L109,'Ex Rates'!G:G,'Weekly Closed Proposal Requests'!D109))</f>
        <v>1</v>
      </c>
      <c r="K109" s="13">
        <f t="shared" si="1"/>
        <v>250000</v>
      </c>
      <c r="L109" s="13" t="str">
        <f>_xlfn.XLOOKUP(I109,'Wk no''s'!C:C,'Wk no''s'!E:E,0)</f>
        <v>Jan</v>
      </c>
    </row>
    <row r="110" spans="1:12" x14ac:dyDescent="0.25">
      <c r="A110" s="67">
        <v>45638</v>
      </c>
      <c r="B110" s="13" t="s">
        <v>209</v>
      </c>
      <c r="C110" s="13" t="s">
        <v>1107</v>
      </c>
      <c r="D110" s="13" t="s">
        <v>46</v>
      </c>
      <c r="E110" s="13">
        <v>30000</v>
      </c>
      <c r="F110" s="67">
        <v>45687</v>
      </c>
      <c r="G110" s="13" t="s">
        <v>47</v>
      </c>
      <c r="H110" s="13" t="s">
        <v>19</v>
      </c>
      <c r="I110" s="13">
        <f>_xlfn.XLOOKUP(F110,'Wk no''s'!B:B,'Wk no''s'!C:C,FALSE)</f>
        <v>5</v>
      </c>
      <c r="J110" s="13">
        <f>IF(D110="GBP",1,SUMIFS('Ex Rates'!I:I,'Ex Rates'!K:K,'Weekly Closed Proposal Requests'!L110,'Ex Rates'!G:G,'Weekly Closed Proposal Requests'!D110))</f>
        <v>0.80775444264943463</v>
      </c>
      <c r="K110" s="13">
        <f t="shared" si="1"/>
        <v>24232.633279483038</v>
      </c>
      <c r="L110" s="13" t="str">
        <f>_xlfn.XLOOKUP(I110,'Wk no''s'!C:C,'Wk no''s'!E:E,0)</f>
        <v>Jan</v>
      </c>
    </row>
    <row r="111" spans="1:12" x14ac:dyDescent="0.25">
      <c r="A111" s="67">
        <v>45665</v>
      </c>
      <c r="B111" s="13" t="s">
        <v>218</v>
      </c>
      <c r="C111" s="13" t="s">
        <v>124</v>
      </c>
      <c r="D111" s="13" t="s">
        <v>46</v>
      </c>
      <c r="E111" s="13">
        <v>170000</v>
      </c>
      <c r="F111" s="67">
        <v>45687</v>
      </c>
      <c r="G111" s="13" t="s">
        <v>47</v>
      </c>
      <c r="H111" s="13" t="s">
        <v>50</v>
      </c>
      <c r="I111" s="13">
        <f>_xlfn.XLOOKUP(F111,'Wk no''s'!B:B,'Wk no''s'!C:C,FALSE)</f>
        <v>5</v>
      </c>
      <c r="J111" s="13">
        <f>IF(D111="GBP",1,SUMIFS('Ex Rates'!I:I,'Ex Rates'!K:K,'Weekly Closed Proposal Requests'!L111,'Ex Rates'!G:G,'Weekly Closed Proposal Requests'!D111))</f>
        <v>0.80775444264943463</v>
      </c>
      <c r="K111" s="13">
        <f t="shared" si="1"/>
        <v>137318.25525040389</v>
      </c>
      <c r="L111" s="13" t="str">
        <f>_xlfn.XLOOKUP(I111,'Wk no''s'!C:C,'Wk no''s'!E:E,0)</f>
        <v>Jan</v>
      </c>
    </row>
    <row r="112" spans="1:12" x14ac:dyDescent="0.25">
      <c r="A112" s="67">
        <v>45673</v>
      </c>
      <c r="B112" s="13" t="s">
        <v>219</v>
      </c>
      <c r="C112" s="13" t="s">
        <v>220</v>
      </c>
      <c r="D112" s="13" t="s">
        <v>15</v>
      </c>
      <c r="E112" s="13">
        <v>92865</v>
      </c>
      <c r="F112" s="67">
        <v>45687</v>
      </c>
      <c r="G112" s="13" t="s">
        <v>47</v>
      </c>
      <c r="H112" s="13" t="s">
        <v>50</v>
      </c>
      <c r="I112" s="13">
        <f>_xlfn.XLOOKUP(F112,'Wk no''s'!B:B,'Wk no''s'!C:C,FALSE)</f>
        <v>5</v>
      </c>
      <c r="J112" s="13">
        <f>IF(D112="GBP",1,SUMIFS('Ex Rates'!I:I,'Ex Rates'!K:K,'Weekly Closed Proposal Requests'!L112,'Ex Rates'!G:G,'Weekly Closed Proposal Requests'!D112))</f>
        <v>1</v>
      </c>
      <c r="K112" s="13">
        <f t="shared" si="1"/>
        <v>92865</v>
      </c>
      <c r="L112" s="13" t="str">
        <f>_xlfn.XLOOKUP(I112,'Wk no''s'!C:C,'Wk no''s'!E:E,0)</f>
        <v>Jan</v>
      </c>
    </row>
    <row r="113" spans="1:12" x14ac:dyDescent="0.25">
      <c r="A113" s="67">
        <v>45673</v>
      </c>
      <c r="B113" s="13" t="s">
        <v>221</v>
      </c>
      <c r="C113" s="13" t="s">
        <v>222</v>
      </c>
      <c r="D113" s="13" t="s">
        <v>15</v>
      </c>
      <c r="E113" s="13">
        <v>59900</v>
      </c>
      <c r="F113" s="67">
        <v>45687</v>
      </c>
      <c r="G113" s="13" t="s">
        <v>47</v>
      </c>
      <c r="H113" s="13" t="s">
        <v>50</v>
      </c>
      <c r="I113" s="13">
        <f>_xlfn.XLOOKUP(F113,'Wk no''s'!B:B,'Wk no''s'!C:C,FALSE)</f>
        <v>5</v>
      </c>
      <c r="J113" s="13">
        <f>IF(D113="GBP",1,SUMIFS('Ex Rates'!I:I,'Ex Rates'!K:K,'Weekly Closed Proposal Requests'!L113,'Ex Rates'!G:G,'Weekly Closed Proposal Requests'!D113))</f>
        <v>1</v>
      </c>
      <c r="K113" s="13">
        <f t="shared" si="1"/>
        <v>59900</v>
      </c>
      <c r="L113" s="13" t="str">
        <f>_xlfn.XLOOKUP(I113,'Wk no''s'!C:C,'Wk no''s'!E:E,0)</f>
        <v>Jan</v>
      </c>
    </row>
    <row r="114" spans="1:12" x14ac:dyDescent="0.25">
      <c r="A114" s="67">
        <v>45674</v>
      </c>
      <c r="B114" s="13" t="s">
        <v>214</v>
      </c>
      <c r="C114" s="13" t="s">
        <v>215</v>
      </c>
      <c r="D114" s="13" t="s">
        <v>46</v>
      </c>
      <c r="E114" s="13">
        <v>50000</v>
      </c>
      <c r="F114" s="67">
        <v>45687</v>
      </c>
      <c r="G114" s="13" t="s">
        <v>47</v>
      </c>
      <c r="H114" s="13" t="s">
        <v>19</v>
      </c>
      <c r="I114" s="13">
        <f>_xlfn.XLOOKUP(F114,'Wk no''s'!B:B,'Wk no''s'!C:C,FALSE)</f>
        <v>5</v>
      </c>
      <c r="J114" s="13">
        <f>IF(D114="GBP",1,SUMIFS('Ex Rates'!I:I,'Ex Rates'!K:K,'Weekly Closed Proposal Requests'!L114,'Ex Rates'!G:G,'Weekly Closed Proposal Requests'!D114))</f>
        <v>0.80775444264943463</v>
      </c>
      <c r="K114" s="13">
        <f t="shared" si="1"/>
        <v>40387.722132471732</v>
      </c>
      <c r="L114" s="13" t="str">
        <f>_xlfn.XLOOKUP(I114,'Wk no''s'!C:C,'Wk no''s'!E:E,0)</f>
        <v>Jan</v>
      </c>
    </row>
    <row r="115" spans="1:12" x14ac:dyDescent="0.25">
      <c r="A115" s="67">
        <v>45680</v>
      </c>
      <c r="B115" s="13" t="s">
        <v>223</v>
      </c>
      <c r="C115" s="13" t="s">
        <v>224</v>
      </c>
      <c r="D115" s="13" t="s">
        <v>46</v>
      </c>
      <c r="E115" s="13">
        <v>780000</v>
      </c>
      <c r="F115" s="67">
        <v>45687</v>
      </c>
      <c r="G115" s="13" t="s">
        <v>47</v>
      </c>
      <c r="H115" s="13" t="s">
        <v>50</v>
      </c>
      <c r="I115" s="13">
        <f>_xlfn.XLOOKUP(F115,'Wk no''s'!B:B,'Wk no''s'!C:C,FALSE)</f>
        <v>5</v>
      </c>
      <c r="J115" s="13">
        <f>IF(D115="GBP",1,SUMIFS('Ex Rates'!I:I,'Ex Rates'!K:K,'Weekly Closed Proposal Requests'!L115,'Ex Rates'!G:G,'Weekly Closed Proposal Requests'!D115))</f>
        <v>0.80775444264943463</v>
      </c>
      <c r="K115" s="13">
        <f t="shared" si="1"/>
        <v>630048.46526655904</v>
      </c>
      <c r="L115" s="13" t="str">
        <f>_xlfn.XLOOKUP(I115,'Wk no''s'!C:C,'Wk no''s'!E:E,0)</f>
        <v>Jan</v>
      </c>
    </row>
    <row r="116" spans="1:12" x14ac:dyDescent="0.25">
      <c r="A116" s="67">
        <v>45684</v>
      </c>
      <c r="B116" s="13" t="s">
        <v>197</v>
      </c>
      <c r="C116" s="13" t="s">
        <v>140</v>
      </c>
      <c r="D116" s="13" t="s">
        <v>15</v>
      </c>
      <c r="E116" s="13">
        <v>20000</v>
      </c>
      <c r="F116" s="67">
        <v>45687</v>
      </c>
      <c r="G116" s="13" t="s">
        <v>16</v>
      </c>
      <c r="H116" s="13" t="s">
        <v>19</v>
      </c>
      <c r="I116" s="13">
        <f>_xlfn.XLOOKUP(F116,'Wk no''s'!B:B,'Wk no''s'!C:C,FALSE)</f>
        <v>5</v>
      </c>
      <c r="J116" s="13">
        <f>IF(D116="GBP",1,SUMIFS('Ex Rates'!I:I,'Ex Rates'!K:K,'Weekly Closed Proposal Requests'!L116,'Ex Rates'!G:G,'Weekly Closed Proposal Requests'!D116))</f>
        <v>1</v>
      </c>
      <c r="K116" s="13">
        <f t="shared" si="1"/>
        <v>20000</v>
      </c>
      <c r="L116" s="13" t="str">
        <f>_xlfn.XLOOKUP(I116,'Wk no''s'!C:C,'Wk no''s'!E:E,0)</f>
        <v>Jan</v>
      </c>
    </row>
    <row r="117" spans="1:12" x14ac:dyDescent="0.25">
      <c r="A117" s="67">
        <v>45685</v>
      </c>
      <c r="B117" s="13" t="s">
        <v>232</v>
      </c>
      <c r="C117" s="13" t="s">
        <v>233</v>
      </c>
      <c r="D117" s="13" t="s">
        <v>10</v>
      </c>
      <c r="E117" s="13">
        <v>50000</v>
      </c>
      <c r="F117" s="67">
        <v>45687</v>
      </c>
      <c r="G117" s="13" t="s">
        <v>11</v>
      </c>
      <c r="H117" s="13" t="s">
        <v>12</v>
      </c>
      <c r="I117" s="13">
        <f>_xlfn.XLOOKUP(F117,'Wk no''s'!B:B,'Wk no''s'!C:C,FALSE)</f>
        <v>5</v>
      </c>
      <c r="J117" s="13">
        <f>IF(D117="GBP",1,SUMIFS('Ex Rates'!I:I,'Ex Rates'!K:K,'Weekly Closed Proposal Requests'!L117,'Ex Rates'!G:G,'Weekly Closed Proposal Requests'!D117))</f>
        <v>0.50125313283208017</v>
      </c>
      <c r="K117" s="13">
        <f t="shared" si="1"/>
        <v>25062.656641604008</v>
      </c>
      <c r="L117" s="13" t="str">
        <f>_xlfn.XLOOKUP(I117,'Wk no''s'!C:C,'Wk no''s'!E:E,0)</f>
        <v>Jan</v>
      </c>
    </row>
    <row r="118" spans="1:12" x14ac:dyDescent="0.25">
      <c r="A118" s="67">
        <v>45685</v>
      </c>
      <c r="B118" s="13" t="s">
        <v>225</v>
      </c>
      <c r="C118" s="13" t="s">
        <v>226</v>
      </c>
      <c r="D118" s="13" t="s">
        <v>15</v>
      </c>
      <c r="E118" s="13">
        <v>650000</v>
      </c>
      <c r="F118" s="67">
        <v>45687</v>
      </c>
      <c r="G118" s="13" t="s">
        <v>47</v>
      </c>
      <c r="H118" s="13" t="s">
        <v>50</v>
      </c>
      <c r="I118" s="13">
        <f>_xlfn.XLOOKUP(F118,'Wk no''s'!B:B,'Wk no''s'!C:C,FALSE)</f>
        <v>5</v>
      </c>
      <c r="J118" s="13">
        <f>IF(D118="GBP",1,SUMIFS('Ex Rates'!I:I,'Ex Rates'!K:K,'Weekly Closed Proposal Requests'!L118,'Ex Rates'!G:G,'Weekly Closed Proposal Requests'!D118))</f>
        <v>1</v>
      </c>
      <c r="K118" s="13">
        <f t="shared" si="1"/>
        <v>650000</v>
      </c>
      <c r="L118" s="13" t="str">
        <f>_xlfn.XLOOKUP(I118,'Wk no''s'!C:C,'Wk no''s'!E:E,0)</f>
        <v>Jan</v>
      </c>
    </row>
    <row r="119" spans="1:12" x14ac:dyDescent="0.25">
      <c r="A119" s="67">
        <v>45685</v>
      </c>
      <c r="B119" s="13" t="s">
        <v>199</v>
      </c>
      <c r="C119" s="13" t="s">
        <v>148</v>
      </c>
      <c r="D119" s="13" t="s">
        <v>15</v>
      </c>
      <c r="E119" s="13">
        <v>10000</v>
      </c>
      <c r="F119" s="67">
        <v>45687</v>
      </c>
      <c r="G119" s="13" t="s">
        <v>16</v>
      </c>
      <c r="H119" s="13" t="s">
        <v>19</v>
      </c>
      <c r="I119" s="13">
        <f>_xlfn.XLOOKUP(F119,'Wk no''s'!B:B,'Wk no''s'!C:C,FALSE)</f>
        <v>5</v>
      </c>
      <c r="J119" s="13">
        <f>IF(D119="GBP",1,SUMIFS('Ex Rates'!I:I,'Ex Rates'!K:K,'Weekly Closed Proposal Requests'!L119,'Ex Rates'!G:G,'Weekly Closed Proposal Requests'!D119))</f>
        <v>1</v>
      </c>
      <c r="K119" s="13">
        <f t="shared" si="1"/>
        <v>10000</v>
      </c>
      <c r="L119" s="13" t="str">
        <f>_xlfn.XLOOKUP(I119,'Wk no''s'!C:C,'Wk no''s'!E:E,0)</f>
        <v>Jan</v>
      </c>
    </row>
    <row r="120" spans="1:12" x14ac:dyDescent="0.25">
      <c r="A120" s="67">
        <v>45686</v>
      </c>
      <c r="B120" s="13" t="s">
        <v>203</v>
      </c>
      <c r="C120" s="13" t="s">
        <v>27</v>
      </c>
      <c r="D120" s="13" t="s">
        <v>15</v>
      </c>
      <c r="E120" s="13">
        <v>90000</v>
      </c>
      <c r="F120" s="67">
        <v>45687</v>
      </c>
      <c r="G120" s="13" t="s">
        <v>16</v>
      </c>
      <c r="H120" s="13" t="s">
        <v>50</v>
      </c>
      <c r="I120" s="13">
        <f>_xlfn.XLOOKUP(F120,'Wk no''s'!B:B,'Wk no''s'!C:C,FALSE)</f>
        <v>5</v>
      </c>
      <c r="J120" s="13">
        <f>IF(D120="GBP",1,SUMIFS('Ex Rates'!I:I,'Ex Rates'!K:K,'Weekly Closed Proposal Requests'!L120,'Ex Rates'!G:G,'Weekly Closed Proposal Requests'!D120))</f>
        <v>1</v>
      </c>
      <c r="K120" s="13">
        <f t="shared" si="1"/>
        <v>90000</v>
      </c>
      <c r="L120" s="13" t="str">
        <f>_xlfn.XLOOKUP(I120,'Wk no''s'!C:C,'Wk no''s'!E:E,0)</f>
        <v>Jan</v>
      </c>
    </row>
    <row r="121" spans="1:12" x14ac:dyDescent="0.25">
      <c r="A121" s="67">
        <v>45687</v>
      </c>
      <c r="B121" s="13" t="s">
        <v>234</v>
      </c>
      <c r="C121" s="13" t="s">
        <v>235</v>
      </c>
      <c r="D121" s="13" t="s">
        <v>10</v>
      </c>
      <c r="E121" s="13">
        <v>80000</v>
      </c>
      <c r="F121" s="67">
        <v>45687</v>
      </c>
      <c r="G121" s="13" t="s">
        <v>11</v>
      </c>
      <c r="H121" s="13" t="s">
        <v>12</v>
      </c>
      <c r="I121" s="13">
        <f>_xlfn.XLOOKUP(F121,'Wk no''s'!B:B,'Wk no''s'!C:C,FALSE)</f>
        <v>5</v>
      </c>
      <c r="J121" s="13">
        <f>IF(D121="GBP",1,SUMIFS('Ex Rates'!I:I,'Ex Rates'!K:K,'Weekly Closed Proposal Requests'!L121,'Ex Rates'!G:G,'Weekly Closed Proposal Requests'!D121))</f>
        <v>0.50125313283208017</v>
      </c>
      <c r="K121" s="13">
        <f t="shared" si="1"/>
        <v>40100.250626566412</v>
      </c>
      <c r="L121" s="13" t="str">
        <f>_xlfn.XLOOKUP(I121,'Wk no''s'!C:C,'Wk no''s'!E:E,0)</f>
        <v>Jan</v>
      </c>
    </row>
    <row r="122" spans="1:12" x14ac:dyDescent="0.25">
      <c r="A122" s="67">
        <v>45687</v>
      </c>
      <c r="B122" s="13" t="s">
        <v>230</v>
      </c>
      <c r="C122" s="13" t="s">
        <v>60</v>
      </c>
      <c r="D122" s="13" t="s">
        <v>46</v>
      </c>
      <c r="E122" s="13">
        <v>609383.93999999994</v>
      </c>
      <c r="F122" s="67">
        <v>45687</v>
      </c>
      <c r="G122" s="13" t="s">
        <v>47</v>
      </c>
      <c r="H122" s="13" t="s">
        <v>50</v>
      </c>
      <c r="I122" s="13">
        <f>_xlfn.XLOOKUP(F122,'Wk no''s'!B:B,'Wk no''s'!C:C,FALSE)</f>
        <v>5</v>
      </c>
      <c r="J122" s="13">
        <f>IF(D122="GBP",1,SUMIFS('Ex Rates'!I:I,'Ex Rates'!K:K,'Weekly Closed Proposal Requests'!L122,'Ex Rates'!G:G,'Weekly Closed Proposal Requests'!D122))</f>
        <v>0.80775444264943463</v>
      </c>
      <c r="K122" s="13">
        <f t="shared" si="1"/>
        <v>492232.58481421648</v>
      </c>
      <c r="L122" s="13" t="str">
        <f>_xlfn.XLOOKUP(I122,'Wk no''s'!C:C,'Wk no''s'!E:E,0)</f>
        <v>Jan</v>
      </c>
    </row>
    <row r="123" spans="1:12" x14ac:dyDescent="0.25">
      <c r="A123" s="67">
        <v>45685</v>
      </c>
      <c r="B123" s="13" t="s">
        <v>227</v>
      </c>
      <c r="C123" s="13" t="s">
        <v>228</v>
      </c>
      <c r="D123" s="13" t="s">
        <v>15</v>
      </c>
      <c r="E123" s="13">
        <v>20000</v>
      </c>
      <c r="F123" s="67">
        <v>45688</v>
      </c>
      <c r="G123" s="13" t="s">
        <v>47</v>
      </c>
      <c r="H123" s="13" t="s">
        <v>50</v>
      </c>
      <c r="I123" s="13">
        <f>_xlfn.XLOOKUP(F123,'Wk no''s'!B:B,'Wk no''s'!C:C,FALSE)</f>
        <v>5</v>
      </c>
      <c r="J123" s="13">
        <f>IF(D123="GBP",1,SUMIFS('Ex Rates'!I:I,'Ex Rates'!K:K,'Weekly Closed Proposal Requests'!L123,'Ex Rates'!G:G,'Weekly Closed Proposal Requests'!D123))</f>
        <v>1</v>
      </c>
      <c r="K123" s="13">
        <f t="shared" si="1"/>
        <v>20000</v>
      </c>
      <c r="L123" s="13" t="str">
        <f>_xlfn.XLOOKUP(I123,'Wk no''s'!C:C,'Wk no''s'!E:E,0)</f>
        <v>Jan</v>
      </c>
    </row>
    <row r="124" spans="1:12" x14ac:dyDescent="0.25">
      <c r="A124" s="67">
        <v>45685</v>
      </c>
      <c r="B124" s="13" t="s">
        <v>200</v>
      </c>
      <c r="C124" s="13" t="s">
        <v>106</v>
      </c>
      <c r="D124" s="13" t="s">
        <v>15</v>
      </c>
      <c r="E124" s="13">
        <v>100000</v>
      </c>
      <c r="F124" s="67">
        <v>45688</v>
      </c>
      <c r="G124" s="13" t="s">
        <v>16</v>
      </c>
      <c r="H124" s="13" t="s">
        <v>19</v>
      </c>
      <c r="I124" s="13">
        <f>_xlfn.XLOOKUP(F124,'Wk no''s'!B:B,'Wk no''s'!C:C,FALSE)</f>
        <v>5</v>
      </c>
      <c r="J124" s="13">
        <f>IF(D124="GBP",1,SUMIFS('Ex Rates'!I:I,'Ex Rates'!K:K,'Weekly Closed Proposal Requests'!L124,'Ex Rates'!G:G,'Weekly Closed Proposal Requests'!D124))</f>
        <v>1</v>
      </c>
      <c r="K124" s="13">
        <f t="shared" si="1"/>
        <v>100000</v>
      </c>
      <c r="L124" s="13" t="str">
        <f>_xlfn.XLOOKUP(I124,'Wk no''s'!C:C,'Wk no''s'!E:E,0)</f>
        <v>Jan</v>
      </c>
    </row>
    <row r="125" spans="1:12" x14ac:dyDescent="0.25">
      <c r="A125" s="67">
        <v>45686</v>
      </c>
      <c r="B125" s="13" t="s">
        <v>207</v>
      </c>
      <c r="C125" s="13" t="s">
        <v>208</v>
      </c>
      <c r="D125" s="13" t="s">
        <v>40</v>
      </c>
      <c r="E125" s="13">
        <v>10000</v>
      </c>
      <c r="F125" s="67">
        <v>45688</v>
      </c>
      <c r="G125" s="13" t="s">
        <v>41</v>
      </c>
      <c r="H125" s="13" t="s">
        <v>19</v>
      </c>
      <c r="I125" s="13">
        <f>_xlfn.XLOOKUP(F125,'Wk no''s'!B:B,'Wk no''s'!C:C,FALSE)</f>
        <v>5</v>
      </c>
      <c r="J125" s="13">
        <f>IF(D125="GBP",1,SUMIFS('Ex Rates'!I:I,'Ex Rates'!K:K,'Weekly Closed Proposal Requests'!L125,'Ex Rates'!G:G,'Weekly Closed Proposal Requests'!D125))</f>
        <v>0.83682008368200833</v>
      </c>
      <c r="K125" s="13">
        <f t="shared" si="1"/>
        <v>8368.2008368200841</v>
      </c>
      <c r="L125" s="13" t="str">
        <f>_xlfn.XLOOKUP(I125,'Wk no''s'!C:C,'Wk no''s'!E:E,0)</f>
        <v>Jan</v>
      </c>
    </row>
    <row r="126" spans="1:12" x14ac:dyDescent="0.25">
      <c r="A126" s="67">
        <v>45686</v>
      </c>
      <c r="B126" s="13" t="s">
        <v>205</v>
      </c>
      <c r="C126" s="13" t="s">
        <v>206</v>
      </c>
      <c r="D126" s="13" t="s">
        <v>40</v>
      </c>
      <c r="E126" s="13">
        <v>20000</v>
      </c>
      <c r="F126" s="67">
        <v>45688</v>
      </c>
      <c r="G126" s="13" t="s">
        <v>41</v>
      </c>
      <c r="H126" s="13" t="s">
        <v>19</v>
      </c>
      <c r="I126" s="13">
        <f>_xlfn.XLOOKUP(F126,'Wk no''s'!B:B,'Wk no''s'!C:C,FALSE)</f>
        <v>5</v>
      </c>
      <c r="J126" s="13">
        <f>IF(D126="GBP",1,SUMIFS('Ex Rates'!I:I,'Ex Rates'!K:K,'Weekly Closed Proposal Requests'!L126,'Ex Rates'!G:G,'Weekly Closed Proposal Requests'!D126))</f>
        <v>0.83682008368200833</v>
      </c>
      <c r="K126" s="13">
        <f t="shared" si="1"/>
        <v>16736.401673640168</v>
      </c>
      <c r="L126" s="13" t="str">
        <f>_xlfn.XLOOKUP(I126,'Wk no''s'!C:C,'Wk no''s'!E:E,0)</f>
        <v>Jan</v>
      </c>
    </row>
    <row r="127" spans="1:12" x14ac:dyDescent="0.25">
      <c r="A127" s="67">
        <v>45686</v>
      </c>
      <c r="B127" s="13" t="s">
        <v>239</v>
      </c>
      <c r="C127" s="13" t="s">
        <v>86</v>
      </c>
      <c r="D127" s="13" t="s">
        <v>15</v>
      </c>
      <c r="E127" s="13">
        <v>30000</v>
      </c>
      <c r="F127" s="67">
        <v>45688</v>
      </c>
      <c r="G127" s="13" t="s">
        <v>72</v>
      </c>
      <c r="H127" s="13" t="s">
        <v>19</v>
      </c>
      <c r="I127" s="13">
        <f>_xlfn.XLOOKUP(F127,'Wk no''s'!B:B,'Wk no''s'!C:C,FALSE)</f>
        <v>5</v>
      </c>
      <c r="J127" s="13">
        <f>IF(D127="GBP",1,SUMIFS('Ex Rates'!I:I,'Ex Rates'!K:K,'Weekly Closed Proposal Requests'!L127,'Ex Rates'!G:G,'Weekly Closed Proposal Requests'!D127))</f>
        <v>1</v>
      </c>
      <c r="K127" s="13">
        <f t="shared" si="1"/>
        <v>30000</v>
      </c>
      <c r="L127" s="13" t="str">
        <f>_xlfn.XLOOKUP(I127,'Wk no''s'!C:C,'Wk no''s'!E:E,0)</f>
        <v>Jan</v>
      </c>
    </row>
    <row r="128" spans="1:12" x14ac:dyDescent="0.25">
      <c r="A128" s="67">
        <v>45686</v>
      </c>
      <c r="B128" s="13" t="s">
        <v>240</v>
      </c>
      <c r="C128" s="13" t="s">
        <v>184</v>
      </c>
      <c r="D128" s="13" t="s">
        <v>15</v>
      </c>
      <c r="E128" s="13">
        <v>30000</v>
      </c>
      <c r="F128" s="67">
        <v>45688</v>
      </c>
      <c r="G128" s="13" t="s">
        <v>72</v>
      </c>
      <c r="H128" s="13" t="s">
        <v>19</v>
      </c>
      <c r="I128" s="13">
        <f>_xlfn.XLOOKUP(F128,'Wk no''s'!B:B,'Wk no''s'!C:C,FALSE)</f>
        <v>5</v>
      </c>
      <c r="J128" s="13">
        <f>IF(D128="GBP",1,SUMIFS('Ex Rates'!I:I,'Ex Rates'!K:K,'Weekly Closed Proposal Requests'!L128,'Ex Rates'!G:G,'Weekly Closed Proposal Requests'!D128))</f>
        <v>1</v>
      </c>
      <c r="K128" s="13">
        <f t="shared" si="1"/>
        <v>30000</v>
      </c>
      <c r="L128" s="13" t="str">
        <f>_xlfn.XLOOKUP(I128,'Wk no''s'!C:C,'Wk no''s'!E:E,0)</f>
        <v>Jan</v>
      </c>
    </row>
    <row r="129" spans="1:12" x14ac:dyDescent="0.25">
      <c r="A129" s="67">
        <v>45686</v>
      </c>
      <c r="B129" s="13" t="s">
        <v>229</v>
      </c>
      <c r="C129" s="13" t="s">
        <v>121</v>
      </c>
      <c r="D129" s="13" t="s">
        <v>15</v>
      </c>
      <c r="E129" s="13">
        <v>6000</v>
      </c>
      <c r="F129" s="67">
        <v>45688</v>
      </c>
      <c r="G129" s="13" t="s">
        <v>47</v>
      </c>
      <c r="H129" s="13" t="s">
        <v>50</v>
      </c>
      <c r="I129" s="13">
        <f>_xlfn.XLOOKUP(F129,'Wk no''s'!B:B,'Wk no''s'!C:C,FALSE)</f>
        <v>5</v>
      </c>
      <c r="J129" s="13">
        <f>IF(D129="GBP",1,SUMIFS('Ex Rates'!I:I,'Ex Rates'!K:K,'Weekly Closed Proposal Requests'!L129,'Ex Rates'!G:G,'Weekly Closed Proposal Requests'!D129))</f>
        <v>1</v>
      </c>
      <c r="K129" s="13">
        <f t="shared" si="1"/>
        <v>6000</v>
      </c>
      <c r="L129" s="13" t="str">
        <f>_xlfn.XLOOKUP(I129,'Wk no''s'!C:C,'Wk no''s'!E:E,0)</f>
        <v>Jan</v>
      </c>
    </row>
    <row r="130" spans="1:12" x14ac:dyDescent="0.25">
      <c r="A130" s="67">
        <v>45687</v>
      </c>
      <c r="B130" s="13" t="s">
        <v>201</v>
      </c>
      <c r="C130" s="13" t="s">
        <v>102</v>
      </c>
      <c r="D130" s="13" t="s">
        <v>15</v>
      </c>
      <c r="E130" s="13">
        <v>40000</v>
      </c>
      <c r="F130" s="67">
        <v>45688</v>
      </c>
      <c r="G130" s="13" t="s">
        <v>16</v>
      </c>
      <c r="H130" s="13" t="s">
        <v>19</v>
      </c>
      <c r="I130" s="13">
        <f>_xlfn.XLOOKUP(F130,'Wk no''s'!B:B,'Wk no''s'!C:C,FALSE)</f>
        <v>5</v>
      </c>
      <c r="J130" s="13">
        <f>IF(D130="GBP",1,SUMIFS('Ex Rates'!I:I,'Ex Rates'!K:K,'Weekly Closed Proposal Requests'!L130,'Ex Rates'!G:G,'Weekly Closed Proposal Requests'!D130))</f>
        <v>1</v>
      </c>
      <c r="K130" s="13">
        <f t="shared" ref="K130:K193" si="2">+E130*J130</f>
        <v>40000</v>
      </c>
      <c r="L130" s="13" t="str">
        <f>_xlfn.XLOOKUP(I130,'Wk no''s'!C:C,'Wk no''s'!E:E,0)</f>
        <v>Jan</v>
      </c>
    </row>
    <row r="131" spans="1:12" x14ac:dyDescent="0.25">
      <c r="A131" s="67">
        <v>45664</v>
      </c>
      <c r="B131" s="13" t="s">
        <v>256</v>
      </c>
      <c r="C131" s="13" t="s">
        <v>257</v>
      </c>
      <c r="D131" s="13" t="s">
        <v>46</v>
      </c>
      <c r="E131" s="13">
        <v>300000</v>
      </c>
      <c r="F131" s="67">
        <v>45691</v>
      </c>
      <c r="G131" s="13" t="s">
        <v>47</v>
      </c>
      <c r="H131" s="13" t="s">
        <v>19</v>
      </c>
      <c r="I131" s="13">
        <f>_xlfn.XLOOKUP(F131,'Wk no''s'!B:B,'Wk no''s'!C:C,FALSE)</f>
        <v>6</v>
      </c>
      <c r="J131" s="13">
        <f>IF(D131="GBP",1,SUMIFS('Ex Rates'!I:I,'Ex Rates'!K:K,'Weekly Closed Proposal Requests'!L131,'Ex Rates'!G:G,'Weekly Closed Proposal Requests'!D131))</f>
        <v>0.79554494828957845</v>
      </c>
      <c r="K131" s="13">
        <f t="shared" si="2"/>
        <v>238663.48448687352</v>
      </c>
      <c r="L131" s="13" t="str">
        <f>_xlfn.XLOOKUP(I131,'Wk no''s'!C:C,'Wk no''s'!E:E,0)</f>
        <v>Feb</v>
      </c>
    </row>
    <row r="132" spans="1:12" x14ac:dyDescent="0.25">
      <c r="A132" s="67">
        <v>45685</v>
      </c>
      <c r="B132" s="13" t="s">
        <v>243</v>
      </c>
      <c r="C132" s="13" t="s">
        <v>244</v>
      </c>
      <c r="D132" s="13" t="s">
        <v>15</v>
      </c>
      <c r="E132" s="13">
        <v>542700</v>
      </c>
      <c r="F132" s="67">
        <v>45691</v>
      </c>
      <c r="G132" s="13" t="s">
        <v>16</v>
      </c>
      <c r="H132" s="13" t="s">
        <v>19</v>
      </c>
      <c r="I132" s="13">
        <f>_xlfn.XLOOKUP(F132,'Wk no''s'!B:B,'Wk no''s'!C:C,FALSE)</f>
        <v>6</v>
      </c>
      <c r="J132" s="13">
        <f>IF(D132="GBP",1,SUMIFS('Ex Rates'!I:I,'Ex Rates'!K:K,'Weekly Closed Proposal Requests'!L132,'Ex Rates'!G:G,'Weekly Closed Proposal Requests'!D132))</f>
        <v>1</v>
      </c>
      <c r="K132" s="13">
        <f t="shared" si="2"/>
        <v>542700</v>
      </c>
      <c r="L132" s="13" t="str">
        <f>_xlfn.XLOOKUP(I132,'Wk no''s'!C:C,'Wk no''s'!E:E,0)</f>
        <v>Feb</v>
      </c>
    </row>
    <row r="133" spans="1:12" x14ac:dyDescent="0.25">
      <c r="A133" s="67">
        <v>45687</v>
      </c>
      <c r="B133" s="13" t="s">
        <v>245</v>
      </c>
      <c r="C133" s="13" t="s">
        <v>246</v>
      </c>
      <c r="D133" s="13" t="s">
        <v>15</v>
      </c>
      <c r="E133" s="13">
        <v>30000</v>
      </c>
      <c r="F133" s="67">
        <v>45691</v>
      </c>
      <c r="G133" s="13" t="s">
        <v>16</v>
      </c>
      <c r="H133" s="13" t="s">
        <v>19</v>
      </c>
      <c r="I133" s="13">
        <f>_xlfn.XLOOKUP(F133,'Wk no''s'!B:B,'Wk no''s'!C:C,FALSE)</f>
        <v>6</v>
      </c>
      <c r="J133" s="13">
        <f>IF(D133="GBP",1,SUMIFS('Ex Rates'!I:I,'Ex Rates'!K:K,'Weekly Closed Proposal Requests'!L133,'Ex Rates'!G:G,'Weekly Closed Proposal Requests'!D133))</f>
        <v>1</v>
      </c>
      <c r="K133" s="13">
        <f t="shared" si="2"/>
        <v>30000</v>
      </c>
      <c r="L133" s="13" t="str">
        <f>_xlfn.XLOOKUP(I133,'Wk no''s'!C:C,'Wk no''s'!E:E,0)</f>
        <v>Feb</v>
      </c>
    </row>
    <row r="134" spans="1:12" x14ac:dyDescent="0.25">
      <c r="A134" s="67">
        <v>45687</v>
      </c>
      <c r="B134" s="13" t="s">
        <v>292</v>
      </c>
      <c r="C134" s="13" t="s">
        <v>76</v>
      </c>
      <c r="D134" s="13" t="s">
        <v>15</v>
      </c>
      <c r="E134" s="13">
        <v>50000</v>
      </c>
      <c r="F134" s="67">
        <v>45691</v>
      </c>
      <c r="G134" s="13" t="s">
        <v>72</v>
      </c>
      <c r="H134" s="13" t="s">
        <v>19</v>
      </c>
      <c r="I134" s="13">
        <f>_xlfn.XLOOKUP(F134,'Wk no''s'!B:B,'Wk no''s'!C:C,FALSE)</f>
        <v>6</v>
      </c>
      <c r="J134" s="13">
        <f>IF(D134="GBP",1,SUMIFS('Ex Rates'!I:I,'Ex Rates'!K:K,'Weekly Closed Proposal Requests'!L134,'Ex Rates'!G:G,'Weekly Closed Proposal Requests'!D134))</f>
        <v>1</v>
      </c>
      <c r="K134" s="13">
        <f t="shared" si="2"/>
        <v>50000</v>
      </c>
      <c r="L134" s="13" t="str">
        <f>_xlfn.XLOOKUP(I134,'Wk no''s'!C:C,'Wk no''s'!E:E,0)</f>
        <v>Feb</v>
      </c>
    </row>
    <row r="135" spans="1:12" x14ac:dyDescent="0.25">
      <c r="A135" s="67">
        <v>45687</v>
      </c>
      <c r="B135" s="13" t="s">
        <v>280</v>
      </c>
      <c r="C135" s="13" t="s">
        <v>177</v>
      </c>
      <c r="D135" s="13" t="s">
        <v>10</v>
      </c>
      <c r="E135" s="13">
        <v>560000</v>
      </c>
      <c r="F135" s="67">
        <v>45691</v>
      </c>
      <c r="G135" s="13" t="s">
        <v>11</v>
      </c>
      <c r="H135" s="13" t="s">
        <v>281</v>
      </c>
      <c r="I135" s="13">
        <f>_xlfn.XLOOKUP(F135,'Wk no''s'!B:B,'Wk no''s'!C:C,FALSE)</f>
        <v>6</v>
      </c>
      <c r="J135" s="13">
        <f>IF(D135="GBP",1,SUMIFS('Ex Rates'!I:I,'Ex Rates'!K:K,'Weekly Closed Proposal Requests'!L135,'Ex Rates'!G:G,'Weekly Closed Proposal Requests'!D135))</f>
        <v>0.49358341559723601</v>
      </c>
      <c r="K135" s="13">
        <f t="shared" si="2"/>
        <v>276406.71273445216</v>
      </c>
      <c r="L135" s="13" t="str">
        <f>_xlfn.XLOOKUP(I135,'Wk no''s'!C:C,'Wk no''s'!E:E,0)</f>
        <v>Feb</v>
      </c>
    </row>
    <row r="136" spans="1:12" x14ac:dyDescent="0.25">
      <c r="A136" s="67">
        <v>45688</v>
      </c>
      <c r="B136" s="13" t="s">
        <v>294</v>
      </c>
      <c r="C136" s="13" t="s">
        <v>194</v>
      </c>
      <c r="D136" s="13" t="s">
        <v>15</v>
      </c>
      <c r="E136" s="13">
        <v>70000</v>
      </c>
      <c r="F136" s="67">
        <v>45691</v>
      </c>
      <c r="G136" s="13" t="s">
        <v>72</v>
      </c>
      <c r="H136" s="13" t="s">
        <v>19</v>
      </c>
      <c r="I136" s="13">
        <f>_xlfn.XLOOKUP(F136,'Wk no''s'!B:B,'Wk no''s'!C:C,FALSE)</f>
        <v>6</v>
      </c>
      <c r="J136" s="13">
        <f>IF(D136="GBP",1,SUMIFS('Ex Rates'!I:I,'Ex Rates'!K:K,'Weekly Closed Proposal Requests'!L136,'Ex Rates'!G:G,'Weekly Closed Proposal Requests'!D136))</f>
        <v>1</v>
      </c>
      <c r="K136" s="13">
        <f t="shared" si="2"/>
        <v>70000</v>
      </c>
      <c r="L136" s="13" t="str">
        <f>_xlfn.XLOOKUP(I136,'Wk no''s'!C:C,'Wk no''s'!E:E,0)</f>
        <v>Feb</v>
      </c>
    </row>
    <row r="137" spans="1:12" x14ac:dyDescent="0.25">
      <c r="A137" s="67">
        <v>45691</v>
      </c>
      <c r="B137" s="13" t="s">
        <v>286</v>
      </c>
      <c r="C137" s="13" t="s">
        <v>287</v>
      </c>
      <c r="D137" s="13" t="s">
        <v>10</v>
      </c>
      <c r="E137" s="13">
        <v>6106.8</v>
      </c>
      <c r="F137" s="67">
        <v>45691</v>
      </c>
      <c r="G137" s="13" t="s">
        <v>11</v>
      </c>
      <c r="H137" s="13" t="s">
        <v>50</v>
      </c>
      <c r="I137" s="13">
        <f>_xlfn.XLOOKUP(F137,'Wk no''s'!B:B,'Wk no''s'!C:C,FALSE)</f>
        <v>6</v>
      </c>
      <c r="J137" s="13">
        <f>IF(D137="GBP",1,SUMIFS('Ex Rates'!I:I,'Ex Rates'!K:K,'Weekly Closed Proposal Requests'!L137,'Ex Rates'!G:G,'Weekly Closed Proposal Requests'!D137))</f>
        <v>0.49358341559723601</v>
      </c>
      <c r="K137" s="13">
        <f t="shared" si="2"/>
        <v>3014.2152023692011</v>
      </c>
      <c r="L137" s="13" t="str">
        <f>_xlfn.XLOOKUP(I137,'Wk no''s'!C:C,'Wk no''s'!E:E,0)</f>
        <v>Feb</v>
      </c>
    </row>
    <row r="138" spans="1:12" x14ac:dyDescent="0.25">
      <c r="A138" s="67">
        <v>45691</v>
      </c>
      <c r="B138" s="13" t="s">
        <v>295</v>
      </c>
      <c r="C138" s="13" t="s">
        <v>76</v>
      </c>
      <c r="D138" s="13" t="s">
        <v>15</v>
      </c>
      <c r="E138" s="13">
        <v>50000</v>
      </c>
      <c r="F138" s="67">
        <v>45691</v>
      </c>
      <c r="G138" s="13" t="s">
        <v>72</v>
      </c>
      <c r="H138" s="13" t="s">
        <v>19</v>
      </c>
      <c r="I138" s="13">
        <f>_xlfn.XLOOKUP(F138,'Wk no''s'!B:B,'Wk no''s'!C:C,FALSE)</f>
        <v>6</v>
      </c>
      <c r="J138" s="13">
        <f>IF(D138="GBP",1,SUMIFS('Ex Rates'!I:I,'Ex Rates'!K:K,'Weekly Closed Proposal Requests'!L138,'Ex Rates'!G:G,'Weekly Closed Proposal Requests'!D138))</f>
        <v>1</v>
      </c>
      <c r="K138" s="13">
        <f t="shared" si="2"/>
        <v>50000</v>
      </c>
      <c r="L138" s="13" t="str">
        <f>_xlfn.XLOOKUP(I138,'Wk no''s'!C:C,'Wk no''s'!E:E,0)</f>
        <v>Feb</v>
      </c>
    </row>
    <row r="139" spans="1:12" x14ac:dyDescent="0.25">
      <c r="A139" s="67">
        <v>45691</v>
      </c>
      <c r="B139" s="13" t="s">
        <v>250</v>
      </c>
      <c r="C139" s="13" t="s">
        <v>102</v>
      </c>
      <c r="D139" s="13" t="s">
        <v>15</v>
      </c>
      <c r="E139" s="13">
        <v>10000</v>
      </c>
      <c r="F139" s="67">
        <v>45691</v>
      </c>
      <c r="G139" s="13" t="s">
        <v>16</v>
      </c>
      <c r="H139" s="13" t="s">
        <v>19</v>
      </c>
      <c r="I139" s="13">
        <f>_xlfn.XLOOKUP(F139,'Wk no''s'!B:B,'Wk no''s'!C:C,FALSE)</f>
        <v>6</v>
      </c>
      <c r="J139" s="13">
        <f>IF(D139="GBP",1,SUMIFS('Ex Rates'!I:I,'Ex Rates'!K:K,'Weekly Closed Proposal Requests'!L139,'Ex Rates'!G:G,'Weekly Closed Proposal Requests'!D139))</f>
        <v>1</v>
      </c>
      <c r="K139" s="13">
        <f t="shared" si="2"/>
        <v>10000</v>
      </c>
      <c r="L139" s="13" t="str">
        <f>_xlfn.XLOOKUP(I139,'Wk no''s'!C:C,'Wk no''s'!E:E,0)</f>
        <v>Feb</v>
      </c>
    </row>
    <row r="140" spans="1:12" x14ac:dyDescent="0.25">
      <c r="A140" s="67">
        <v>45687</v>
      </c>
      <c r="B140" s="13" t="s">
        <v>270</v>
      </c>
      <c r="C140" s="13" t="s">
        <v>119</v>
      </c>
      <c r="D140" s="13" t="s">
        <v>15</v>
      </c>
      <c r="E140" s="13">
        <v>36398</v>
      </c>
      <c r="F140" s="67">
        <v>45692</v>
      </c>
      <c r="G140" s="13" t="s">
        <v>47</v>
      </c>
      <c r="H140" s="13" t="s">
        <v>50</v>
      </c>
      <c r="I140" s="13">
        <f>_xlfn.XLOOKUP(F140,'Wk no''s'!B:B,'Wk no''s'!C:C,FALSE)</f>
        <v>6</v>
      </c>
      <c r="J140" s="13">
        <f>IF(D140="GBP",1,SUMIFS('Ex Rates'!I:I,'Ex Rates'!K:K,'Weekly Closed Proposal Requests'!L140,'Ex Rates'!G:G,'Weekly Closed Proposal Requests'!D140))</f>
        <v>1</v>
      </c>
      <c r="K140" s="13">
        <f t="shared" si="2"/>
        <v>36398</v>
      </c>
      <c r="L140" s="13" t="str">
        <f>_xlfn.XLOOKUP(I140,'Wk no''s'!C:C,'Wk no''s'!E:E,0)</f>
        <v>Feb</v>
      </c>
    </row>
    <row r="141" spans="1:12" x14ac:dyDescent="0.25">
      <c r="A141" s="67">
        <v>45687</v>
      </c>
      <c r="B141" s="13" t="s">
        <v>262</v>
      </c>
      <c r="C141" s="13" t="s">
        <v>263</v>
      </c>
      <c r="D141" s="13" t="s">
        <v>46</v>
      </c>
      <c r="E141" s="13">
        <v>90000</v>
      </c>
      <c r="F141" s="67">
        <v>45692</v>
      </c>
      <c r="G141" s="13" t="s">
        <v>47</v>
      </c>
      <c r="H141" s="13" t="s">
        <v>19</v>
      </c>
      <c r="I141" s="13">
        <f>_xlfn.XLOOKUP(F141,'Wk no''s'!B:B,'Wk no''s'!C:C,FALSE)</f>
        <v>6</v>
      </c>
      <c r="J141" s="13">
        <f>IF(D141="GBP",1,SUMIFS('Ex Rates'!I:I,'Ex Rates'!K:K,'Weekly Closed Proposal Requests'!L141,'Ex Rates'!G:G,'Weekly Closed Proposal Requests'!D141))</f>
        <v>0.79554494828957845</v>
      </c>
      <c r="K141" s="13">
        <f t="shared" si="2"/>
        <v>71599.045346062063</v>
      </c>
      <c r="L141" s="13" t="str">
        <f>_xlfn.XLOOKUP(I141,'Wk no''s'!C:C,'Wk no''s'!E:E,0)</f>
        <v>Feb</v>
      </c>
    </row>
    <row r="142" spans="1:12" x14ac:dyDescent="0.25">
      <c r="A142" s="67">
        <v>45691</v>
      </c>
      <c r="B142" s="13" t="s">
        <v>296</v>
      </c>
      <c r="C142" s="13" t="s">
        <v>80</v>
      </c>
      <c r="D142" s="13" t="s">
        <v>15</v>
      </c>
      <c r="E142" s="13">
        <v>50000</v>
      </c>
      <c r="F142" s="67">
        <v>45692</v>
      </c>
      <c r="G142" s="13" t="s">
        <v>72</v>
      </c>
      <c r="H142" s="13" t="s">
        <v>19</v>
      </c>
      <c r="I142" s="13">
        <f>_xlfn.XLOOKUP(F142,'Wk no''s'!B:B,'Wk no''s'!C:C,FALSE)</f>
        <v>6</v>
      </c>
      <c r="J142" s="13">
        <f>IF(D142="GBP",1,SUMIFS('Ex Rates'!I:I,'Ex Rates'!K:K,'Weekly Closed Proposal Requests'!L142,'Ex Rates'!G:G,'Weekly Closed Proposal Requests'!D142))</f>
        <v>1</v>
      </c>
      <c r="K142" s="13">
        <f t="shared" si="2"/>
        <v>50000</v>
      </c>
      <c r="L142" s="13" t="str">
        <f>_xlfn.XLOOKUP(I142,'Wk no''s'!C:C,'Wk no''s'!E:E,0)</f>
        <v>Feb</v>
      </c>
    </row>
    <row r="143" spans="1:12" x14ac:dyDescent="0.25">
      <c r="A143" s="67">
        <v>45691</v>
      </c>
      <c r="B143" s="13" t="s">
        <v>251</v>
      </c>
      <c r="C143" s="13" t="s">
        <v>252</v>
      </c>
      <c r="D143" s="13" t="s">
        <v>40</v>
      </c>
      <c r="E143" s="13">
        <v>100000</v>
      </c>
      <c r="F143" s="67">
        <v>45692</v>
      </c>
      <c r="G143" s="13" t="s">
        <v>41</v>
      </c>
      <c r="H143" s="13" t="s">
        <v>19</v>
      </c>
      <c r="I143" s="13">
        <f>_xlfn.XLOOKUP(F143,'Wk no''s'!B:B,'Wk no''s'!C:C,FALSE)</f>
        <v>6</v>
      </c>
      <c r="J143" s="13">
        <f>IF(D143="GBP",1,SUMIFS('Ex Rates'!I:I,'Ex Rates'!K:K,'Weekly Closed Proposal Requests'!L143,'Ex Rates'!G:G,'Weekly Closed Proposal Requests'!D143))</f>
        <v>0.82576383154417832</v>
      </c>
      <c r="K143" s="13">
        <f t="shared" si="2"/>
        <v>82576.383154417825</v>
      </c>
      <c r="L143" s="13" t="str">
        <f>_xlfn.XLOOKUP(I143,'Wk no''s'!C:C,'Wk no''s'!E:E,0)</f>
        <v>Feb</v>
      </c>
    </row>
    <row r="144" spans="1:12" x14ac:dyDescent="0.25">
      <c r="A144" s="67">
        <v>45594</v>
      </c>
      <c r="B144" s="13" t="s">
        <v>282</v>
      </c>
      <c r="C144" s="13" t="s">
        <v>66</v>
      </c>
      <c r="D144" s="13" t="s">
        <v>10</v>
      </c>
      <c r="E144" s="13">
        <v>250000</v>
      </c>
      <c r="F144" s="67">
        <v>45693</v>
      </c>
      <c r="G144" s="13" t="s">
        <v>11</v>
      </c>
      <c r="H144" s="13" t="s">
        <v>50</v>
      </c>
      <c r="I144" s="13">
        <f>_xlfn.XLOOKUP(F144,'Wk no''s'!B:B,'Wk no''s'!C:C,FALSE)</f>
        <v>6</v>
      </c>
      <c r="J144" s="13">
        <f>IF(D144="GBP",1,SUMIFS('Ex Rates'!I:I,'Ex Rates'!K:K,'Weekly Closed Proposal Requests'!L144,'Ex Rates'!G:G,'Weekly Closed Proposal Requests'!D144))</f>
        <v>0.49358341559723601</v>
      </c>
      <c r="K144" s="13">
        <f t="shared" si="2"/>
        <v>123395.853899309</v>
      </c>
      <c r="L144" s="13" t="str">
        <f>_xlfn.XLOOKUP(I144,'Wk no''s'!C:C,'Wk no''s'!E:E,0)</f>
        <v>Feb</v>
      </c>
    </row>
    <row r="145" spans="1:12" x14ac:dyDescent="0.25">
      <c r="A145" s="67">
        <v>45685</v>
      </c>
      <c r="B145" s="13" t="s">
        <v>258</v>
      </c>
      <c r="C145" s="13" t="s">
        <v>259</v>
      </c>
      <c r="D145" s="13" t="s">
        <v>46</v>
      </c>
      <c r="E145" s="13">
        <v>1500000</v>
      </c>
      <c r="F145" s="67">
        <v>45693</v>
      </c>
      <c r="G145" s="13" t="s">
        <v>47</v>
      </c>
      <c r="H145" s="13" t="s">
        <v>19</v>
      </c>
      <c r="I145" s="13">
        <f>_xlfn.XLOOKUP(F145,'Wk no''s'!B:B,'Wk no''s'!C:C,FALSE)</f>
        <v>6</v>
      </c>
      <c r="J145" s="13">
        <f>IF(D145="GBP",1,SUMIFS('Ex Rates'!I:I,'Ex Rates'!K:K,'Weekly Closed Proposal Requests'!L145,'Ex Rates'!G:G,'Weekly Closed Proposal Requests'!D145))</f>
        <v>0.79554494828957845</v>
      </c>
      <c r="K145" s="13">
        <f t="shared" si="2"/>
        <v>1193317.4224343677</v>
      </c>
      <c r="L145" s="13" t="str">
        <f>_xlfn.XLOOKUP(I145,'Wk no''s'!C:C,'Wk no''s'!E:E,0)</f>
        <v>Feb</v>
      </c>
    </row>
    <row r="146" spans="1:12" x14ac:dyDescent="0.25">
      <c r="A146" s="67">
        <v>45685</v>
      </c>
      <c r="B146" s="13" t="s">
        <v>254</v>
      </c>
      <c r="C146" s="13" t="s">
        <v>255</v>
      </c>
      <c r="D146" s="13" t="s">
        <v>46</v>
      </c>
      <c r="E146" s="13">
        <v>100000</v>
      </c>
      <c r="F146" s="67">
        <v>45693</v>
      </c>
      <c r="G146" s="13" t="s">
        <v>47</v>
      </c>
      <c r="H146" s="13" t="s">
        <v>12</v>
      </c>
      <c r="I146" s="13">
        <f>_xlfn.XLOOKUP(F146,'Wk no''s'!B:B,'Wk no''s'!C:C,FALSE)</f>
        <v>6</v>
      </c>
      <c r="J146" s="13">
        <f>IF(D146="GBP",1,SUMIFS('Ex Rates'!I:I,'Ex Rates'!K:K,'Weekly Closed Proposal Requests'!L146,'Ex Rates'!G:G,'Weekly Closed Proposal Requests'!D146))</f>
        <v>0.79554494828957845</v>
      </c>
      <c r="K146" s="13">
        <f t="shared" si="2"/>
        <v>79554.494828957846</v>
      </c>
      <c r="L146" s="13" t="str">
        <f>_xlfn.XLOOKUP(I146,'Wk no''s'!C:C,'Wk no''s'!E:E,0)</f>
        <v>Feb</v>
      </c>
    </row>
    <row r="147" spans="1:12" x14ac:dyDescent="0.25">
      <c r="A147" s="67">
        <v>45687</v>
      </c>
      <c r="B147" s="13" t="s">
        <v>247</v>
      </c>
      <c r="C147" s="13" t="s">
        <v>248</v>
      </c>
      <c r="D147" s="13" t="s">
        <v>15</v>
      </c>
      <c r="E147" s="13">
        <v>100000</v>
      </c>
      <c r="F147" s="67">
        <v>45693</v>
      </c>
      <c r="G147" s="13" t="s">
        <v>16</v>
      </c>
      <c r="H147" s="13" t="s">
        <v>19</v>
      </c>
      <c r="I147" s="13">
        <f>_xlfn.XLOOKUP(F147,'Wk no''s'!B:B,'Wk no''s'!C:C,FALSE)</f>
        <v>6</v>
      </c>
      <c r="J147" s="13">
        <f>IF(D147="GBP",1,SUMIFS('Ex Rates'!I:I,'Ex Rates'!K:K,'Weekly Closed Proposal Requests'!L147,'Ex Rates'!G:G,'Weekly Closed Proposal Requests'!D147))</f>
        <v>1</v>
      </c>
      <c r="K147" s="13">
        <f t="shared" si="2"/>
        <v>100000</v>
      </c>
      <c r="L147" s="13" t="str">
        <f>_xlfn.XLOOKUP(I147,'Wk no''s'!C:C,'Wk no''s'!E:E,0)</f>
        <v>Feb</v>
      </c>
    </row>
    <row r="148" spans="1:12" x14ac:dyDescent="0.25">
      <c r="A148" s="67">
        <v>45679</v>
      </c>
      <c r="B148" s="13" t="s">
        <v>290</v>
      </c>
      <c r="C148" s="13" t="s">
        <v>291</v>
      </c>
      <c r="D148" s="13" t="s">
        <v>15</v>
      </c>
      <c r="E148" s="13">
        <v>500000</v>
      </c>
      <c r="F148" s="67">
        <v>45694</v>
      </c>
      <c r="G148" s="13" t="s">
        <v>72</v>
      </c>
      <c r="H148" s="13" t="s">
        <v>19</v>
      </c>
      <c r="I148" s="13">
        <f>_xlfn.XLOOKUP(F148,'Wk no''s'!B:B,'Wk no''s'!C:C,FALSE)</f>
        <v>6</v>
      </c>
      <c r="J148" s="13">
        <f>IF(D148="GBP",1,SUMIFS('Ex Rates'!I:I,'Ex Rates'!K:K,'Weekly Closed Proposal Requests'!L148,'Ex Rates'!G:G,'Weekly Closed Proposal Requests'!D148))</f>
        <v>1</v>
      </c>
      <c r="K148" s="13">
        <f t="shared" si="2"/>
        <v>500000</v>
      </c>
      <c r="L148" s="13" t="str">
        <f>_xlfn.XLOOKUP(I148,'Wk no''s'!C:C,'Wk no''s'!E:E,0)</f>
        <v>Feb</v>
      </c>
    </row>
    <row r="149" spans="1:12" x14ac:dyDescent="0.25">
      <c r="A149" s="67">
        <v>45685</v>
      </c>
      <c r="B149" s="13" t="s">
        <v>283</v>
      </c>
      <c r="C149" s="13" t="s">
        <v>284</v>
      </c>
      <c r="D149" s="13" t="s">
        <v>10</v>
      </c>
      <c r="E149" s="13">
        <v>25000</v>
      </c>
      <c r="F149" s="67">
        <v>45694</v>
      </c>
      <c r="G149" s="13" t="s">
        <v>11</v>
      </c>
      <c r="H149" s="13" t="s">
        <v>50</v>
      </c>
      <c r="I149" s="13">
        <f>_xlfn.XLOOKUP(F149,'Wk no''s'!B:B,'Wk no''s'!C:C,FALSE)</f>
        <v>6</v>
      </c>
      <c r="J149" s="13">
        <f>IF(D149="GBP",1,SUMIFS('Ex Rates'!I:I,'Ex Rates'!K:K,'Weekly Closed Proposal Requests'!L149,'Ex Rates'!G:G,'Weekly Closed Proposal Requests'!D149))</f>
        <v>0.49358341559723601</v>
      </c>
      <c r="K149" s="13">
        <f t="shared" si="2"/>
        <v>12339.5853899309</v>
      </c>
      <c r="L149" s="13" t="str">
        <f>_xlfn.XLOOKUP(I149,'Wk no''s'!C:C,'Wk no''s'!E:E,0)</f>
        <v>Feb</v>
      </c>
    </row>
    <row r="150" spans="1:12" x14ac:dyDescent="0.25">
      <c r="A150" s="67">
        <v>45686</v>
      </c>
      <c r="B150" s="13" t="s">
        <v>260</v>
      </c>
      <c r="C150" s="13" t="s">
        <v>261</v>
      </c>
      <c r="D150" s="13" t="s">
        <v>46</v>
      </c>
      <c r="E150" s="13">
        <v>50000</v>
      </c>
      <c r="F150" s="67">
        <v>45694</v>
      </c>
      <c r="G150" s="13" t="s">
        <v>47</v>
      </c>
      <c r="H150" s="13" t="s">
        <v>19</v>
      </c>
      <c r="I150" s="13">
        <f>_xlfn.XLOOKUP(F150,'Wk no''s'!B:B,'Wk no''s'!C:C,FALSE)</f>
        <v>6</v>
      </c>
      <c r="J150" s="13">
        <f>IF(D150="GBP",1,SUMIFS('Ex Rates'!I:I,'Ex Rates'!K:K,'Weekly Closed Proposal Requests'!L150,'Ex Rates'!G:G,'Weekly Closed Proposal Requests'!D150))</f>
        <v>0.79554494828957845</v>
      </c>
      <c r="K150" s="13">
        <f t="shared" si="2"/>
        <v>39777.247414478923</v>
      </c>
      <c r="L150" s="13" t="str">
        <f>_xlfn.XLOOKUP(I150,'Wk no''s'!C:C,'Wk no''s'!E:E,0)</f>
        <v>Feb</v>
      </c>
    </row>
    <row r="151" spans="1:12" x14ac:dyDescent="0.25">
      <c r="A151" s="67">
        <v>45688</v>
      </c>
      <c r="B151" s="13" t="s">
        <v>285</v>
      </c>
      <c r="C151" s="13" t="s">
        <v>64</v>
      </c>
      <c r="D151" s="13" t="s">
        <v>10</v>
      </c>
      <c r="E151" s="13">
        <v>45000</v>
      </c>
      <c r="F151" s="67">
        <v>45694</v>
      </c>
      <c r="G151" s="13" t="s">
        <v>11</v>
      </c>
      <c r="H151" s="13" t="s">
        <v>50</v>
      </c>
      <c r="I151" s="13">
        <f>_xlfn.XLOOKUP(F151,'Wk no''s'!B:B,'Wk no''s'!C:C,FALSE)</f>
        <v>6</v>
      </c>
      <c r="J151" s="13">
        <f>IF(D151="GBP",1,SUMIFS('Ex Rates'!I:I,'Ex Rates'!K:K,'Weekly Closed Proposal Requests'!L151,'Ex Rates'!G:G,'Weekly Closed Proposal Requests'!D151))</f>
        <v>0.49358341559723601</v>
      </c>
      <c r="K151" s="13">
        <f t="shared" si="2"/>
        <v>22211.253701875619</v>
      </c>
      <c r="L151" s="13" t="str">
        <f>_xlfn.XLOOKUP(I151,'Wk no''s'!C:C,'Wk no''s'!E:E,0)</f>
        <v>Feb</v>
      </c>
    </row>
    <row r="152" spans="1:12" x14ac:dyDescent="0.25">
      <c r="A152" s="67">
        <v>45688</v>
      </c>
      <c r="B152" s="13" t="s">
        <v>293</v>
      </c>
      <c r="C152" s="13" t="s">
        <v>76</v>
      </c>
      <c r="D152" s="13" t="s">
        <v>15</v>
      </c>
      <c r="E152" s="13">
        <v>30000</v>
      </c>
      <c r="F152" s="67">
        <v>45694</v>
      </c>
      <c r="G152" s="13" t="s">
        <v>72</v>
      </c>
      <c r="H152" s="13" t="s">
        <v>19</v>
      </c>
      <c r="I152" s="13">
        <f>_xlfn.XLOOKUP(F152,'Wk no''s'!B:B,'Wk no''s'!C:C,FALSE)</f>
        <v>6</v>
      </c>
      <c r="J152" s="13">
        <f>IF(D152="GBP",1,SUMIFS('Ex Rates'!I:I,'Ex Rates'!K:K,'Weekly Closed Proposal Requests'!L152,'Ex Rates'!G:G,'Weekly Closed Proposal Requests'!D152))</f>
        <v>1</v>
      </c>
      <c r="K152" s="13">
        <f t="shared" si="2"/>
        <v>30000</v>
      </c>
      <c r="L152" s="13" t="str">
        <f>_xlfn.XLOOKUP(I152,'Wk no''s'!C:C,'Wk no''s'!E:E,0)</f>
        <v>Feb</v>
      </c>
    </row>
    <row r="153" spans="1:12" x14ac:dyDescent="0.25">
      <c r="A153" s="67">
        <v>45693</v>
      </c>
      <c r="B153" s="13" t="s">
        <v>274</v>
      </c>
      <c r="C153" s="13" t="s">
        <v>275</v>
      </c>
      <c r="D153" s="13" t="s">
        <v>10</v>
      </c>
      <c r="E153" s="13">
        <v>35000</v>
      </c>
      <c r="F153" s="67">
        <v>45694</v>
      </c>
      <c r="G153" s="13" t="s">
        <v>11</v>
      </c>
      <c r="H153" s="13" t="s">
        <v>12</v>
      </c>
      <c r="I153" s="13">
        <f>_xlfn.XLOOKUP(F153,'Wk no''s'!B:B,'Wk no''s'!C:C,FALSE)</f>
        <v>6</v>
      </c>
      <c r="J153" s="13">
        <f>IF(D153="GBP",1,SUMIFS('Ex Rates'!I:I,'Ex Rates'!K:K,'Weekly Closed Proposal Requests'!L153,'Ex Rates'!G:G,'Weekly Closed Proposal Requests'!D153))</f>
        <v>0.49358341559723601</v>
      </c>
      <c r="K153" s="13">
        <f t="shared" si="2"/>
        <v>17275.41954590326</v>
      </c>
      <c r="L153" s="13" t="str">
        <f>_xlfn.XLOOKUP(I153,'Wk no''s'!C:C,'Wk no''s'!E:E,0)</f>
        <v>Feb</v>
      </c>
    </row>
    <row r="154" spans="1:12" x14ac:dyDescent="0.25">
      <c r="A154" s="67">
        <v>45694</v>
      </c>
      <c r="B154" s="13" t="s">
        <v>276</v>
      </c>
      <c r="C154" s="13" t="s">
        <v>277</v>
      </c>
      <c r="D154" s="13" t="s">
        <v>10</v>
      </c>
      <c r="E154" s="13">
        <v>100000</v>
      </c>
      <c r="F154" s="67">
        <v>45694</v>
      </c>
      <c r="G154" s="13" t="s">
        <v>11</v>
      </c>
      <c r="H154" s="13" t="s">
        <v>12</v>
      </c>
      <c r="I154" s="13">
        <f>_xlfn.XLOOKUP(F154,'Wk no''s'!B:B,'Wk no''s'!C:C,FALSE)</f>
        <v>6</v>
      </c>
      <c r="J154" s="13">
        <f>IF(D154="GBP",1,SUMIFS('Ex Rates'!I:I,'Ex Rates'!K:K,'Weekly Closed Proposal Requests'!L154,'Ex Rates'!G:G,'Weekly Closed Proposal Requests'!D154))</f>
        <v>0.49358341559723601</v>
      </c>
      <c r="K154" s="13">
        <f t="shared" si="2"/>
        <v>49358.341559723602</v>
      </c>
      <c r="L154" s="13" t="str">
        <f>_xlfn.XLOOKUP(I154,'Wk no''s'!C:C,'Wk no''s'!E:E,0)</f>
        <v>Feb</v>
      </c>
    </row>
    <row r="155" spans="1:12" x14ac:dyDescent="0.25">
      <c r="A155" s="67">
        <v>45694</v>
      </c>
      <c r="B155" s="13" t="s">
        <v>253</v>
      </c>
      <c r="C155" s="13" t="s">
        <v>208</v>
      </c>
      <c r="D155" s="13" t="s">
        <v>40</v>
      </c>
      <c r="E155" s="13">
        <v>10000</v>
      </c>
      <c r="F155" s="67">
        <v>45694</v>
      </c>
      <c r="G155" s="13" t="s">
        <v>41</v>
      </c>
      <c r="H155" s="13" t="s">
        <v>19</v>
      </c>
      <c r="I155" s="13">
        <f>_xlfn.XLOOKUP(F155,'Wk no''s'!B:B,'Wk no''s'!C:C,FALSE)</f>
        <v>6</v>
      </c>
      <c r="J155" s="13">
        <f>IF(D155="GBP",1,SUMIFS('Ex Rates'!I:I,'Ex Rates'!K:K,'Weekly Closed Proposal Requests'!L155,'Ex Rates'!G:G,'Weekly Closed Proposal Requests'!D155))</f>
        <v>0.82576383154417832</v>
      </c>
      <c r="K155" s="13">
        <f t="shared" si="2"/>
        <v>8257.6383154417836</v>
      </c>
      <c r="L155" s="13" t="str">
        <f>_xlfn.XLOOKUP(I155,'Wk no''s'!C:C,'Wk no''s'!E:E,0)</f>
        <v>Feb</v>
      </c>
    </row>
    <row r="156" spans="1:12" x14ac:dyDescent="0.25">
      <c r="A156" s="67">
        <v>45673</v>
      </c>
      <c r="B156" s="13" t="s">
        <v>266</v>
      </c>
      <c r="C156" s="13" t="s">
        <v>267</v>
      </c>
      <c r="D156" s="13" t="s">
        <v>15</v>
      </c>
      <c r="E156" s="13">
        <v>221506</v>
      </c>
      <c r="F156" s="67">
        <v>45695</v>
      </c>
      <c r="G156" s="13" t="s">
        <v>47</v>
      </c>
      <c r="H156" s="13" t="s">
        <v>50</v>
      </c>
      <c r="I156" s="13">
        <f>_xlfn.XLOOKUP(F156,'Wk no''s'!B:B,'Wk no''s'!C:C,FALSE)</f>
        <v>6</v>
      </c>
      <c r="J156" s="13">
        <f>IF(D156="GBP",1,SUMIFS('Ex Rates'!I:I,'Ex Rates'!K:K,'Weekly Closed Proposal Requests'!L156,'Ex Rates'!G:G,'Weekly Closed Proposal Requests'!D156))</f>
        <v>1</v>
      </c>
      <c r="K156" s="13">
        <f t="shared" si="2"/>
        <v>221506</v>
      </c>
      <c r="L156" s="13" t="str">
        <f>_xlfn.XLOOKUP(I156,'Wk no''s'!C:C,'Wk no''s'!E:E,0)</f>
        <v>Feb</v>
      </c>
    </row>
    <row r="157" spans="1:12" x14ac:dyDescent="0.25">
      <c r="A157" s="67">
        <v>45679</v>
      </c>
      <c r="B157" s="13" t="s">
        <v>288</v>
      </c>
      <c r="C157" s="13" t="s">
        <v>289</v>
      </c>
      <c r="D157" s="13" t="s">
        <v>15</v>
      </c>
      <c r="E157" s="13">
        <v>20000</v>
      </c>
      <c r="F157" s="67">
        <v>45695</v>
      </c>
      <c r="G157" s="13" t="s">
        <v>72</v>
      </c>
      <c r="H157" s="13" t="s">
        <v>19</v>
      </c>
      <c r="I157" s="13">
        <f>_xlfn.XLOOKUP(F157,'Wk no''s'!B:B,'Wk no''s'!C:C,FALSE)</f>
        <v>6</v>
      </c>
      <c r="J157" s="13">
        <f>IF(D157="GBP",1,SUMIFS('Ex Rates'!I:I,'Ex Rates'!K:K,'Weekly Closed Proposal Requests'!L157,'Ex Rates'!G:G,'Weekly Closed Proposal Requests'!D157))</f>
        <v>1</v>
      </c>
      <c r="K157" s="13">
        <f t="shared" si="2"/>
        <v>20000</v>
      </c>
      <c r="L157" s="13" t="str">
        <f>_xlfn.XLOOKUP(I157,'Wk no''s'!C:C,'Wk no''s'!E:E,0)</f>
        <v>Feb</v>
      </c>
    </row>
    <row r="158" spans="1:12" x14ac:dyDescent="0.25">
      <c r="A158" s="67">
        <v>45685</v>
      </c>
      <c r="B158" s="13" t="s">
        <v>241</v>
      </c>
      <c r="C158" s="13" t="s">
        <v>242</v>
      </c>
      <c r="D158" s="13" t="s">
        <v>15</v>
      </c>
      <c r="E158" s="13">
        <v>75000</v>
      </c>
      <c r="F158" s="67">
        <v>45695</v>
      </c>
      <c r="G158" s="13" t="s">
        <v>16</v>
      </c>
      <c r="H158" s="13" t="s">
        <v>12</v>
      </c>
      <c r="I158" s="13">
        <f>_xlfn.XLOOKUP(F158,'Wk no''s'!B:B,'Wk no''s'!C:C,FALSE)</f>
        <v>6</v>
      </c>
      <c r="J158" s="13">
        <f>IF(D158="GBP",1,SUMIFS('Ex Rates'!I:I,'Ex Rates'!K:K,'Weekly Closed Proposal Requests'!L158,'Ex Rates'!G:G,'Weekly Closed Proposal Requests'!D158))</f>
        <v>1</v>
      </c>
      <c r="K158" s="13">
        <f t="shared" si="2"/>
        <v>75000</v>
      </c>
      <c r="L158" s="13" t="str">
        <f>_xlfn.XLOOKUP(I158,'Wk no''s'!C:C,'Wk no''s'!E:E,0)</f>
        <v>Feb</v>
      </c>
    </row>
    <row r="159" spans="1:12" x14ac:dyDescent="0.25">
      <c r="A159" s="67">
        <v>45686</v>
      </c>
      <c r="B159" s="13" t="s">
        <v>268</v>
      </c>
      <c r="C159" s="13" t="s">
        <v>269</v>
      </c>
      <c r="D159" s="13" t="s">
        <v>15</v>
      </c>
      <c r="E159" s="13">
        <v>1900</v>
      </c>
      <c r="F159" s="67">
        <v>45695</v>
      </c>
      <c r="G159" s="13" t="s">
        <v>47</v>
      </c>
      <c r="H159" s="13" t="s">
        <v>50</v>
      </c>
      <c r="I159" s="13">
        <f>_xlfn.XLOOKUP(F159,'Wk no''s'!B:B,'Wk no''s'!C:C,FALSE)</f>
        <v>6</v>
      </c>
      <c r="J159" s="13">
        <f>IF(D159="GBP",1,SUMIFS('Ex Rates'!I:I,'Ex Rates'!K:K,'Weekly Closed Proposal Requests'!L159,'Ex Rates'!G:G,'Weekly Closed Proposal Requests'!D159))</f>
        <v>1</v>
      </c>
      <c r="K159" s="13">
        <f t="shared" si="2"/>
        <v>1900</v>
      </c>
      <c r="L159" s="13" t="str">
        <f>_xlfn.XLOOKUP(I159,'Wk no''s'!C:C,'Wk no''s'!E:E,0)</f>
        <v>Feb</v>
      </c>
    </row>
    <row r="160" spans="1:12" x14ac:dyDescent="0.25">
      <c r="A160" s="67">
        <v>45688</v>
      </c>
      <c r="B160" s="13" t="s">
        <v>249</v>
      </c>
      <c r="C160" s="13" t="s">
        <v>37</v>
      </c>
      <c r="D160" s="13" t="s">
        <v>15</v>
      </c>
      <c r="E160" s="13">
        <v>15000</v>
      </c>
      <c r="F160" s="67">
        <v>45695</v>
      </c>
      <c r="G160" s="13" t="s">
        <v>16</v>
      </c>
      <c r="H160" s="13" t="s">
        <v>19</v>
      </c>
      <c r="I160" s="13">
        <f>_xlfn.XLOOKUP(F160,'Wk no''s'!B:B,'Wk no''s'!C:C,FALSE)</f>
        <v>6</v>
      </c>
      <c r="J160" s="13">
        <f>IF(D160="GBP",1,SUMIFS('Ex Rates'!I:I,'Ex Rates'!K:K,'Weekly Closed Proposal Requests'!L160,'Ex Rates'!G:G,'Weekly Closed Proposal Requests'!D160))</f>
        <v>1</v>
      </c>
      <c r="K160" s="13">
        <f t="shared" si="2"/>
        <v>15000</v>
      </c>
      <c r="L160" s="13" t="str">
        <f>_xlfn.XLOOKUP(I160,'Wk no''s'!C:C,'Wk no''s'!E:E,0)</f>
        <v>Feb</v>
      </c>
    </row>
    <row r="161" spans="1:12" x14ac:dyDescent="0.25">
      <c r="A161" s="67">
        <v>45688</v>
      </c>
      <c r="B161" s="13" t="s">
        <v>271</v>
      </c>
      <c r="C161" s="13" t="s">
        <v>272</v>
      </c>
      <c r="D161" s="13" t="s">
        <v>46</v>
      </c>
      <c r="E161" s="13">
        <v>10000</v>
      </c>
      <c r="F161" s="67">
        <v>45695</v>
      </c>
      <c r="G161" s="13" t="s">
        <v>47</v>
      </c>
      <c r="H161" s="13" t="s">
        <v>50</v>
      </c>
      <c r="I161" s="13">
        <f>_xlfn.XLOOKUP(F161,'Wk no''s'!B:B,'Wk no''s'!C:C,FALSE)</f>
        <v>6</v>
      </c>
      <c r="J161" s="13">
        <f>IF(D161="GBP",1,SUMIFS('Ex Rates'!I:I,'Ex Rates'!K:K,'Weekly Closed Proposal Requests'!L161,'Ex Rates'!G:G,'Weekly Closed Proposal Requests'!D161))</f>
        <v>0.79554494828957845</v>
      </c>
      <c r="K161" s="13">
        <f t="shared" si="2"/>
        <v>7955.4494828957841</v>
      </c>
      <c r="L161" s="13" t="str">
        <f>_xlfn.XLOOKUP(I161,'Wk no''s'!C:C,'Wk no''s'!E:E,0)</f>
        <v>Feb</v>
      </c>
    </row>
    <row r="162" spans="1:12" x14ac:dyDescent="0.25">
      <c r="A162" s="67">
        <v>45692</v>
      </c>
      <c r="B162" s="13" t="s">
        <v>264</v>
      </c>
      <c r="C162" s="13" t="s">
        <v>265</v>
      </c>
      <c r="D162" s="13" t="s">
        <v>46</v>
      </c>
      <c r="E162" s="13">
        <v>170000</v>
      </c>
      <c r="F162" s="67">
        <v>45695</v>
      </c>
      <c r="G162" s="13" t="s">
        <v>47</v>
      </c>
      <c r="H162" s="13" t="s">
        <v>19</v>
      </c>
      <c r="I162" s="13">
        <f>_xlfn.XLOOKUP(F162,'Wk no''s'!B:B,'Wk no''s'!C:C,FALSE)</f>
        <v>6</v>
      </c>
      <c r="J162" s="13">
        <f>IF(D162="GBP",1,SUMIFS('Ex Rates'!I:I,'Ex Rates'!K:K,'Weekly Closed Proposal Requests'!L162,'Ex Rates'!G:G,'Weekly Closed Proposal Requests'!D162))</f>
        <v>0.79554494828957845</v>
      </c>
      <c r="K162" s="13">
        <f t="shared" si="2"/>
        <v>135242.64120922834</v>
      </c>
      <c r="L162" s="13" t="str">
        <f>_xlfn.XLOOKUP(I162,'Wk no''s'!C:C,'Wk no''s'!E:E,0)</f>
        <v>Feb</v>
      </c>
    </row>
    <row r="163" spans="1:12" x14ac:dyDescent="0.25">
      <c r="A163" s="67">
        <v>45694</v>
      </c>
      <c r="B163" s="13" t="s">
        <v>297</v>
      </c>
      <c r="C163" s="13" t="s">
        <v>76</v>
      </c>
      <c r="D163" s="13" t="s">
        <v>15</v>
      </c>
      <c r="E163" s="13">
        <v>50000</v>
      </c>
      <c r="F163" s="67">
        <v>45695</v>
      </c>
      <c r="G163" s="13" t="s">
        <v>72</v>
      </c>
      <c r="H163" s="13" t="s">
        <v>19</v>
      </c>
      <c r="I163" s="13">
        <f>_xlfn.XLOOKUP(F163,'Wk no''s'!B:B,'Wk no''s'!C:C,FALSE)</f>
        <v>6</v>
      </c>
      <c r="J163" s="13">
        <f>IF(D163="GBP",1,SUMIFS('Ex Rates'!I:I,'Ex Rates'!K:K,'Weekly Closed Proposal Requests'!L163,'Ex Rates'!G:G,'Weekly Closed Proposal Requests'!D163))</f>
        <v>1</v>
      </c>
      <c r="K163" s="13">
        <f t="shared" si="2"/>
        <v>50000</v>
      </c>
      <c r="L163" s="13" t="str">
        <f>_xlfn.XLOOKUP(I163,'Wk no''s'!C:C,'Wk no''s'!E:E,0)</f>
        <v>Feb</v>
      </c>
    </row>
    <row r="164" spans="1:12" x14ac:dyDescent="0.25">
      <c r="A164" s="67">
        <v>45695</v>
      </c>
      <c r="B164" s="13" t="s">
        <v>278</v>
      </c>
      <c r="C164" s="13" t="s">
        <v>279</v>
      </c>
      <c r="D164" s="13" t="s">
        <v>10</v>
      </c>
      <c r="E164" s="13">
        <v>100000</v>
      </c>
      <c r="F164" s="67">
        <v>45695</v>
      </c>
      <c r="G164" s="13" t="s">
        <v>11</v>
      </c>
      <c r="H164" s="13" t="s">
        <v>12</v>
      </c>
      <c r="I164" s="13">
        <f>_xlfn.XLOOKUP(F164,'Wk no''s'!B:B,'Wk no''s'!C:C,FALSE)</f>
        <v>6</v>
      </c>
      <c r="J164" s="13">
        <f>IF(D164="GBP",1,SUMIFS('Ex Rates'!I:I,'Ex Rates'!K:K,'Weekly Closed Proposal Requests'!L164,'Ex Rates'!G:G,'Weekly Closed Proposal Requests'!D164))</f>
        <v>0.49358341559723601</v>
      </c>
      <c r="K164" s="13">
        <f t="shared" si="2"/>
        <v>49358.341559723602</v>
      </c>
      <c r="L164" s="13" t="str">
        <f>_xlfn.XLOOKUP(I164,'Wk no''s'!C:C,'Wk no''s'!E:E,0)</f>
        <v>Feb</v>
      </c>
    </row>
    <row r="165" spans="1:12" x14ac:dyDescent="0.25">
      <c r="A165" s="67">
        <v>45695</v>
      </c>
      <c r="B165" s="13" t="s">
        <v>273</v>
      </c>
      <c r="C165" s="13" t="s">
        <v>60</v>
      </c>
      <c r="D165" s="13" t="s">
        <v>46</v>
      </c>
      <c r="E165" s="13">
        <v>609383.93999999994</v>
      </c>
      <c r="F165" s="67">
        <v>45695</v>
      </c>
      <c r="G165" s="13" t="s">
        <v>47</v>
      </c>
      <c r="H165" s="13" t="s">
        <v>50</v>
      </c>
      <c r="I165" s="13">
        <f>_xlfn.XLOOKUP(F165,'Wk no''s'!B:B,'Wk no''s'!C:C,FALSE)</f>
        <v>6</v>
      </c>
      <c r="J165" s="13">
        <f>IF(D165="GBP",1,SUMIFS('Ex Rates'!I:I,'Ex Rates'!K:K,'Weekly Closed Proposal Requests'!L165,'Ex Rates'!G:G,'Weekly Closed Proposal Requests'!D165))</f>
        <v>0.79554494828957845</v>
      </c>
      <c r="K165" s="13">
        <f t="shared" si="2"/>
        <v>484792.31503579952</v>
      </c>
      <c r="L165" s="13" t="str">
        <f>_xlfn.XLOOKUP(I165,'Wk no''s'!C:C,'Wk no''s'!E:E,0)</f>
        <v>Feb</v>
      </c>
    </row>
    <row r="166" spans="1:12" x14ac:dyDescent="0.25">
      <c r="A166" s="67">
        <v>45670</v>
      </c>
      <c r="B166" s="13" t="s">
        <v>323</v>
      </c>
      <c r="C166" s="13" t="s">
        <v>255</v>
      </c>
      <c r="D166" s="13" t="s">
        <v>46</v>
      </c>
      <c r="E166" s="13">
        <v>100000</v>
      </c>
      <c r="F166" s="67">
        <v>45698</v>
      </c>
      <c r="G166" s="13" t="s">
        <v>47</v>
      </c>
      <c r="H166" s="13" t="s">
        <v>19</v>
      </c>
      <c r="I166" s="13">
        <f>_xlfn.XLOOKUP(F166,'Wk no''s'!B:B,'Wk no''s'!C:C,FALSE)</f>
        <v>7</v>
      </c>
      <c r="J166" s="13">
        <f>IF(D166="GBP",1,SUMIFS('Ex Rates'!I:I,'Ex Rates'!K:K,'Weekly Closed Proposal Requests'!L166,'Ex Rates'!G:G,'Weekly Closed Proposal Requests'!D166))</f>
        <v>0.79554494828957845</v>
      </c>
      <c r="K166" s="13">
        <f t="shared" si="2"/>
        <v>79554.494828957846</v>
      </c>
      <c r="L166" s="13" t="str">
        <f>_xlfn.XLOOKUP(I166,'Wk no''s'!C:C,'Wk no''s'!E:E,0)</f>
        <v>Feb</v>
      </c>
    </row>
    <row r="167" spans="1:12" x14ac:dyDescent="0.25">
      <c r="A167" s="67">
        <v>45677</v>
      </c>
      <c r="B167" s="13" t="s">
        <v>326</v>
      </c>
      <c r="C167" s="13" t="s">
        <v>126</v>
      </c>
      <c r="D167" s="13" t="s">
        <v>46</v>
      </c>
      <c r="E167" s="13">
        <v>380000</v>
      </c>
      <c r="F167" s="67">
        <v>45698</v>
      </c>
      <c r="G167" s="13" t="s">
        <v>47</v>
      </c>
      <c r="H167" s="13" t="s">
        <v>50</v>
      </c>
      <c r="I167" s="13">
        <f>_xlfn.XLOOKUP(F167,'Wk no''s'!B:B,'Wk no''s'!C:C,FALSE)</f>
        <v>7</v>
      </c>
      <c r="J167" s="13">
        <f>IF(D167="GBP",1,SUMIFS('Ex Rates'!I:I,'Ex Rates'!K:K,'Weekly Closed Proposal Requests'!L167,'Ex Rates'!G:G,'Weekly Closed Proposal Requests'!D167))</f>
        <v>0.79554494828957845</v>
      </c>
      <c r="K167" s="13">
        <f t="shared" si="2"/>
        <v>302307.08035003982</v>
      </c>
      <c r="L167" s="13" t="str">
        <f>_xlfn.XLOOKUP(I167,'Wk no''s'!C:C,'Wk no''s'!E:E,0)</f>
        <v>Feb</v>
      </c>
    </row>
    <row r="168" spans="1:12" x14ac:dyDescent="0.25">
      <c r="A168" s="67">
        <v>45679</v>
      </c>
      <c r="B168" s="13" t="s">
        <v>327</v>
      </c>
      <c r="C168" s="13" t="s">
        <v>328</v>
      </c>
      <c r="D168" s="13" t="s">
        <v>15</v>
      </c>
      <c r="E168" s="13">
        <v>425923</v>
      </c>
      <c r="F168" s="67">
        <v>45698</v>
      </c>
      <c r="G168" s="13" t="s">
        <v>47</v>
      </c>
      <c r="H168" s="13" t="s">
        <v>50</v>
      </c>
      <c r="I168" s="13">
        <f>_xlfn.XLOOKUP(F168,'Wk no''s'!B:B,'Wk no''s'!C:C,FALSE)</f>
        <v>7</v>
      </c>
      <c r="J168" s="13">
        <f>IF(D168="GBP",1,SUMIFS('Ex Rates'!I:I,'Ex Rates'!K:K,'Weekly Closed Proposal Requests'!L168,'Ex Rates'!G:G,'Weekly Closed Proposal Requests'!D168))</f>
        <v>1</v>
      </c>
      <c r="K168" s="13">
        <f t="shared" si="2"/>
        <v>425923</v>
      </c>
      <c r="L168" s="13" t="str">
        <f>_xlfn.XLOOKUP(I168,'Wk no''s'!C:C,'Wk no''s'!E:E,0)</f>
        <v>Feb</v>
      </c>
    </row>
    <row r="169" spans="1:12" x14ac:dyDescent="0.25">
      <c r="A169" s="67">
        <v>45685</v>
      </c>
      <c r="B169" s="13" t="s">
        <v>303</v>
      </c>
      <c r="C169" s="13" t="s">
        <v>304</v>
      </c>
      <c r="D169" s="13" t="s">
        <v>15</v>
      </c>
      <c r="E169" s="13">
        <v>40000</v>
      </c>
      <c r="F169" s="67">
        <v>45698</v>
      </c>
      <c r="G169" s="13" t="s">
        <v>16</v>
      </c>
      <c r="H169" s="13" t="s">
        <v>19</v>
      </c>
      <c r="I169" s="13">
        <f>_xlfn.XLOOKUP(F169,'Wk no''s'!B:B,'Wk no''s'!C:C,FALSE)</f>
        <v>7</v>
      </c>
      <c r="J169" s="13">
        <f>IF(D169="GBP",1,SUMIFS('Ex Rates'!I:I,'Ex Rates'!K:K,'Weekly Closed Proposal Requests'!L169,'Ex Rates'!G:G,'Weekly Closed Proposal Requests'!D169))</f>
        <v>1</v>
      </c>
      <c r="K169" s="13">
        <f t="shared" si="2"/>
        <v>40000</v>
      </c>
      <c r="L169" s="13" t="str">
        <f>_xlfn.XLOOKUP(I169,'Wk no''s'!C:C,'Wk no''s'!E:E,0)</f>
        <v>Feb</v>
      </c>
    </row>
    <row r="170" spans="1:12" x14ac:dyDescent="0.25">
      <c r="A170" s="67">
        <v>45688</v>
      </c>
      <c r="B170" s="13" t="s">
        <v>337</v>
      </c>
      <c r="C170" s="13" t="s">
        <v>233</v>
      </c>
      <c r="D170" s="13" t="s">
        <v>10</v>
      </c>
      <c r="E170" s="13">
        <v>50000</v>
      </c>
      <c r="F170" s="67">
        <v>45698</v>
      </c>
      <c r="G170" s="13" t="s">
        <v>11</v>
      </c>
      <c r="H170" s="13" t="s">
        <v>12</v>
      </c>
      <c r="I170" s="13">
        <f>_xlfn.XLOOKUP(F170,'Wk no''s'!B:B,'Wk no''s'!C:C,FALSE)</f>
        <v>7</v>
      </c>
      <c r="J170" s="13">
        <f>IF(D170="GBP",1,SUMIFS('Ex Rates'!I:I,'Ex Rates'!K:K,'Weekly Closed Proposal Requests'!L170,'Ex Rates'!G:G,'Weekly Closed Proposal Requests'!D170))</f>
        <v>0.49358341559723601</v>
      </c>
      <c r="K170" s="13">
        <f t="shared" si="2"/>
        <v>24679.170779861801</v>
      </c>
      <c r="L170" s="13" t="str">
        <f>_xlfn.XLOOKUP(I170,'Wk no''s'!C:C,'Wk no''s'!E:E,0)</f>
        <v>Feb</v>
      </c>
    </row>
    <row r="171" spans="1:12" x14ac:dyDescent="0.25">
      <c r="A171" s="67">
        <v>45694</v>
      </c>
      <c r="B171" s="13" t="s">
        <v>346</v>
      </c>
      <c r="C171" s="13" t="s">
        <v>347</v>
      </c>
      <c r="D171" s="13" t="s">
        <v>15</v>
      </c>
      <c r="E171" s="13">
        <v>100000</v>
      </c>
      <c r="F171" s="67">
        <v>45698</v>
      </c>
      <c r="G171" s="13" t="s">
        <v>72</v>
      </c>
      <c r="H171" s="13" t="s">
        <v>19</v>
      </c>
      <c r="I171" s="13">
        <f>_xlfn.XLOOKUP(F171,'Wk no''s'!B:B,'Wk no''s'!C:C,FALSE)</f>
        <v>7</v>
      </c>
      <c r="J171" s="13">
        <f>IF(D171="GBP",1,SUMIFS('Ex Rates'!I:I,'Ex Rates'!K:K,'Weekly Closed Proposal Requests'!L171,'Ex Rates'!G:G,'Weekly Closed Proposal Requests'!D171))</f>
        <v>1</v>
      </c>
      <c r="K171" s="13">
        <f t="shared" si="2"/>
        <v>100000</v>
      </c>
      <c r="L171" s="13" t="str">
        <f>_xlfn.XLOOKUP(I171,'Wk no''s'!C:C,'Wk no''s'!E:E,0)</f>
        <v>Feb</v>
      </c>
    </row>
    <row r="172" spans="1:12" x14ac:dyDescent="0.25">
      <c r="A172" s="67">
        <v>45697</v>
      </c>
      <c r="B172" s="13" t="s">
        <v>345</v>
      </c>
      <c r="C172" s="13" t="s">
        <v>284</v>
      </c>
      <c r="D172" s="13" t="s">
        <v>10</v>
      </c>
      <c r="E172" s="13">
        <v>25000</v>
      </c>
      <c r="F172" s="67">
        <v>45698</v>
      </c>
      <c r="G172" s="13" t="s">
        <v>11</v>
      </c>
      <c r="H172" s="13" t="s">
        <v>50</v>
      </c>
      <c r="I172" s="13">
        <f>_xlfn.XLOOKUP(F172,'Wk no''s'!B:B,'Wk no''s'!C:C,FALSE)</f>
        <v>7</v>
      </c>
      <c r="J172" s="13">
        <f>IF(D172="GBP",1,SUMIFS('Ex Rates'!I:I,'Ex Rates'!K:K,'Weekly Closed Proposal Requests'!L172,'Ex Rates'!G:G,'Weekly Closed Proposal Requests'!D172))</f>
        <v>0.49358341559723601</v>
      </c>
      <c r="K172" s="13">
        <f t="shared" si="2"/>
        <v>12339.5853899309</v>
      </c>
      <c r="L172" s="13" t="str">
        <f>_xlfn.XLOOKUP(I172,'Wk no''s'!C:C,'Wk no''s'!E:E,0)</f>
        <v>Feb</v>
      </c>
    </row>
    <row r="173" spans="1:12" x14ac:dyDescent="0.25">
      <c r="A173" s="67">
        <v>45673</v>
      </c>
      <c r="B173" s="13" t="s">
        <v>324</v>
      </c>
      <c r="C173" s="13" t="s">
        <v>325</v>
      </c>
      <c r="D173" s="13" t="s">
        <v>46</v>
      </c>
      <c r="E173" s="13">
        <v>170000</v>
      </c>
      <c r="F173" s="67">
        <v>45699</v>
      </c>
      <c r="G173" s="13" t="s">
        <v>47</v>
      </c>
      <c r="H173" s="13" t="s">
        <v>50</v>
      </c>
      <c r="I173" s="13">
        <f>_xlfn.XLOOKUP(F173,'Wk no''s'!B:B,'Wk no''s'!C:C,FALSE)</f>
        <v>7</v>
      </c>
      <c r="J173" s="13">
        <f>IF(D173="GBP",1,SUMIFS('Ex Rates'!I:I,'Ex Rates'!K:K,'Weekly Closed Proposal Requests'!L173,'Ex Rates'!G:G,'Weekly Closed Proposal Requests'!D173))</f>
        <v>0.79554494828957845</v>
      </c>
      <c r="K173" s="13">
        <f t="shared" si="2"/>
        <v>135242.64120922834</v>
      </c>
      <c r="L173" s="13" t="str">
        <f>_xlfn.XLOOKUP(I173,'Wk no''s'!C:C,'Wk no''s'!E:E,0)</f>
        <v>Feb</v>
      </c>
    </row>
    <row r="174" spans="1:12" x14ac:dyDescent="0.25">
      <c r="A174" s="67">
        <v>45687</v>
      </c>
      <c r="B174" s="13" t="s">
        <v>305</v>
      </c>
      <c r="C174" s="13" t="s">
        <v>306</v>
      </c>
      <c r="D174" s="13" t="s">
        <v>15</v>
      </c>
      <c r="E174" s="13">
        <v>35000</v>
      </c>
      <c r="F174" s="67">
        <v>45699</v>
      </c>
      <c r="G174" s="13" t="s">
        <v>16</v>
      </c>
      <c r="H174" s="13" t="s">
        <v>19</v>
      </c>
      <c r="I174" s="13">
        <f>_xlfn.XLOOKUP(F174,'Wk no''s'!B:B,'Wk no''s'!C:C,FALSE)</f>
        <v>7</v>
      </c>
      <c r="J174" s="13">
        <f>IF(D174="GBP",1,SUMIFS('Ex Rates'!I:I,'Ex Rates'!K:K,'Weekly Closed Proposal Requests'!L174,'Ex Rates'!G:G,'Weekly Closed Proposal Requests'!D174))</f>
        <v>1</v>
      </c>
      <c r="K174" s="13">
        <f t="shared" si="2"/>
        <v>35000</v>
      </c>
      <c r="L174" s="13" t="str">
        <f>_xlfn.XLOOKUP(I174,'Wk no''s'!C:C,'Wk no''s'!E:E,0)</f>
        <v>Feb</v>
      </c>
    </row>
    <row r="175" spans="1:12" x14ac:dyDescent="0.25">
      <c r="A175" s="67">
        <v>45698</v>
      </c>
      <c r="B175" s="13" t="s">
        <v>318</v>
      </c>
      <c r="C175" s="13" t="s">
        <v>206</v>
      </c>
      <c r="D175" s="13" t="s">
        <v>40</v>
      </c>
      <c r="E175" s="13">
        <v>3000</v>
      </c>
      <c r="F175" s="67">
        <v>45699</v>
      </c>
      <c r="G175" s="13" t="s">
        <v>41</v>
      </c>
      <c r="H175" s="13" t="s">
        <v>19</v>
      </c>
      <c r="I175" s="13">
        <f>_xlfn.XLOOKUP(F175,'Wk no''s'!B:B,'Wk no''s'!C:C,FALSE)</f>
        <v>7</v>
      </c>
      <c r="J175" s="13">
        <f>IF(D175="GBP",1,SUMIFS('Ex Rates'!I:I,'Ex Rates'!K:K,'Weekly Closed Proposal Requests'!L175,'Ex Rates'!G:G,'Weekly Closed Proposal Requests'!D175))</f>
        <v>0.82576383154417832</v>
      </c>
      <c r="K175" s="13">
        <f t="shared" si="2"/>
        <v>2477.291494632535</v>
      </c>
      <c r="L175" s="13" t="str">
        <f>_xlfn.XLOOKUP(I175,'Wk no''s'!C:C,'Wk no''s'!E:E,0)</f>
        <v>Feb</v>
      </c>
    </row>
    <row r="176" spans="1:12" x14ac:dyDescent="0.25">
      <c r="A176" s="67">
        <v>45638</v>
      </c>
      <c r="B176" s="13" t="s">
        <v>343</v>
      </c>
      <c r="C176" s="13" t="s">
        <v>344</v>
      </c>
      <c r="D176" s="13" t="s">
        <v>10</v>
      </c>
      <c r="E176" s="13">
        <v>100000</v>
      </c>
      <c r="F176" s="67">
        <v>45700</v>
      </c>
      <c r="G176" s="13" t="s">
        <v>11</v>
      </c>
      <c r="H176" s="13" t="s">
        <v>50</v>
      </c>
      <c r="I176" s="13">
        <f>_xlfn.XLOOKUP(F176,'Wk no''s'!B:B,'Wk no''s'!C:C,FALSE)</f>
        <v>7</v>
      </c>
      <c r="J176" s="13">
        <f>IF(D176="GBP",1,SUMIFS('Ex Rates'!I:I,'Ex Rates'!K:K,'Weekly Closed Proposal Requests'!L176,'Ex Rates'!G:G,'Weekly Closed Proposal Requests'!D176))</f>
        <v>0.49358341559723601</v>
      </c>
      <c r="K176" s="13">
        <f t="shared" si="2"/>
        <v>49358.341559723602</v>
      </c>
      <c r="L176" s="13" t="str">
        <f>_xlfn.XLOOKUP(I176,'Wk no''s'!C:C,'Wk no''s'!E:E,0)</f>
        <v>Feb</v>
      </c>
    </row>
    <row r="177" spans="1:12" x14ac:dyDescent="0.25">
      <c r="A177" s="67">
        <v>45685</v>
      </c>
      <c r="B177" s="13" t="s">
        <v>329</v>
      </c>
      <c r="C177" s="13" t="s">
        <v>330</v>
      </c>
      <c r="D177" s="13" t="s">
        <v>15</v>
      </c>
      <c r="E177" s="13">
        <v>82243</v>
      </c>
      <c r="F177" s="67">
        <v>45700</v>
      </c>
      <c r="G177" s="13" t="s">
        <v>47</v>
      </c>
      <c r="H177" s="13" t="s">
        <v>50</v>
      </c>
      <c r="I177" s="13">
        <f>_xlfn.XLOOKUP(F177,'Wk no''s'!B:B,'Wk no''s'!C:C,FALSE)</f>
        <v>7</v>
      </c>
      <c r="J177" s="13">
        <f>IF(D177="GBP",1,SUMIFS('Ex Rates'!I:I,'Ex Rates'!K:K,'Weekly Closed Proposal Requests'!L177,'Ex Rates'!G:G,'Weekly Closed Proposal Requests'!D177))</f>
        <v>1</v>
      </c>
      <c r="K177" s="13">
        <f t="shared" si="2"/>
        <v>82243</v>
      </c>
      <c r="L177" s="13" t="str">
        <f>_xlfn.XLOOKUP(I177,'Wk no''s'!C:C,'Wk no''s'!E:E,0)</f>
        <v>Feb</v>
      </c>
    </row>
    <row r="178" spans="1:12" x14ac:dyDescent="0.25">
      <c r="A178" s="67">
        <v>45692</v>
      </c>
      <c r="B178" s="13" t="s">
        <v>307</v>
      </c>
      <c r="C178" s="13" t="s">
        <v>308</v>
      </c>
      <c r="D178" s="13" t="s">
        <v>15</v>
      </c>
      <c r="E178" s="13">
        <v>10000</v>
      </c>
      <c r="F178" s="67">
        <v>45700</v>
      </c>
      <c r="G178" s="13" t="s">
        <v>16</v>
      </c>
      <c r="H178" s="13" t="s">
        <v>19</v>
      </c>
      <c r="I178" s="13">
        <f>_xlfn.XLOOKUP(F178,'Wk no''s'!B:B,'Wk no''s'!C:C,FALSE)</f>
        <v>7</v>
      </c>
      <c r="J178" s="13">
        <f>IF(D178="GBP",1,SUMIFS('Ex Rates'!I:I,'Ex Rates'!K:K,'Weekly Closed Proposal Requests'!L178,'Ex Rates'!G:G,'Weekly Closed Proposal Requests'!D178))</f>
        <v>1</v>
      </c>
      <c r="K178" s="13">
        <f t="shared" si="2"/>
        <v>10000</v>
      </c>
      <c r="L178" s="13" t="str">
        <f>_xlfn.XLOOKUP(I178,'Wk no''s'!C:C,'Wk no''s'!E:E,0)</f>
        <v>Feb</v>
      </c>
    </row>
    <row r="179" spans="1:12" x14ac:dyDescent="0.25">
      <c r="A179" s="67">
        <v>45692</v>
      </c>
      <c r="B179" s="13" t="s">
        <v>340</v>
      </c>
      <c r="C179" s="13" t="s">
        <v>128</v>
      </c>
      <c r="D179" s="13" t="s">
        <v>10</v>
      </c>
      <c r="E179" s="13">
        <v>40000</v>
      </c>
      <c r="F179" s="67">
        <v>45700</v>
      </c>
      <c r="G179" s="13" t="s">
        <v>11</v>
      </c>
      <c r="H179" s="13" t="s">
        <v>19</v>
      </c>
      <c r="I179" s="13">
        <f>_xlfn.XLOOKUP(F179,'Wk no''s'!B:B,'Wk no''s'!C:C,FALSE)</f>
        <v>7</v>
      </c>
      <c r="J179" s="13">
        <f>IF(D179="GBP",1,SUMIFS('Ex Rates'!I:I,'Ex Rates'!K:K,'Weekly Closed Proposal Requests'!L179,'Ex Rates'!G:G,'Weekly Closed Proposal Requests'!D179))</f>
        <v>0.49358341559723601</v>
      </c>
      <c r="K179" s="13">
        <f t="shared" si="2"/>
        <v>19743.336623889441</v>
      </c>
      <c r="L179" s="13" t="str">
        <f>_xlfn.XLOOKUP(I179,'Wk no''s'!C:C,'Wk no''s'!E:E,0)</f>
        <v>Feb</v>
      </c>
    </row>
    <row r="180" spans="1:12" x14ac:dyDescent="0.25">
      <c r="A180" s="67">
        <v>45693</v>
      </c>
      <c r="B180" s="13" t="s">
        <v>341</v>
      </c>
      <c r="C180" s="13" t="s">
        <v>342</v>
      </c>
      <c r="D180" s="13" t="s">
        <v>10</v>
      </c>
      <c r="E180" s="13">
        <v>60000</v>
      </c>
      <c r="F180" s="67">
        <v>45700</v>
      </c>
      <c r="G180" s="13" t="s">
        <v>11</v>
      </c>
      <c r="H180" s="13" t="s">
        <v>19</v>
      </c>
      <c r="I180" s="13">
        <f>_xlfn.XLOOKUP(F180,'Wk no''s'!B:B,'Wk no''s'!C:C,FALSE)</f>
        <v>7</v>
      </c>
      <c r="J180" s="13">
        <f>IF(D180="GBP",1,SUMIFS('Ex Rates'!I:I,'Ex Rates'!K:K,'Weekly Closed Proposal Requests'!L180,'Ex Rates'!G:G,'Weekly Closed Proposal Requests'!D180))</f>
        <v>0.49358341559723601</v>
      </c>
      <c r="K180" s="13">
        <f t="shared" si="2"/>
        <v>29615.00493583416</v>
      </c>
      <c r="L180" s="13" t="str">
        <f>_xlfn.XLOOKUP(I180,'Wk no''s'!C:C,'Wk no''s'!E:E,0)</f>
        <v>Feb</v>
      </c>
    </row>
    <row r="181" spans="1:12" x14ac:dyDescent="0.25">
      <c r="A181" s="67">
        <v>45693</v>
      </c>
      <c r="B181" s="13" t="s">
        <v>333</v>
      </c>
      <c r="C181" s="13" t="s">
        <v>222</v>
      </c>
      <c r="D181" s="13" t="s">
        <v>46</v>
      </c>
      <c r="E181" s="13">
        <v>60000</v>
      </c>
      <c r="F181" s="67">
        <v>45700</v>
      </c>
      <c r="G181" s="13" t="s">
        <v>47</v>
      </c>
      <c r="H181" s="13" t="s">
        <v>50</v>
      </c>
      <c r="I181" s="13">
        <f>_xlfn.XLOOKUP(F181,'Wk no''s'!B:B,'Wk no''s'!C:C,FALSE)</f>
        <v>7</v>
      </c>
      <c r="J181" s="13">
        <f>IF(D181="GBP",1,SUMIFS('Ex Rates'!I:I,'Ex Rates'!K:K,'Weekly Closed Proposal Requests'!L181,'Ex Rates'!G:G,'Weekly Closed Proposal Requests'!D181))</f>
        <v>0.79554494828957845</v>
      </c>
      <c r="K181" s="13">
        <f t="shared" si="2"/>
        <v>47732.696897374706</v>
      </c>
      <c r="L181" s="13" t="str">
        <f>_xlfn.XLOOKUP(I181,'Wk no''s'!C:C,'Wk no''s'!E:E,0)</f>
        <v>Feb</v>
      </c>
    </row>
    <row r="182" spans="1:12" x14ac:dyDescent="0.25">
      <c r="A182" s="67">
        <v>45695</v>
      </c>
      <c r="B182" s="13" t="s">
        <v>310</v>
      </c>
      <c r="C182" s="13" t="s">
        <v>148</v>
      </c>
      <c r="D182" s="13" t="s">
        <v>15</v>
      </c>
      <c r="E182" s="13">
        <v>35000</v>
      </c>
      <c r="F182" s="67">
        <v>45700</v>
      </c>
      <c r="G182" s="13" t="s">
        <v>16</v>
      </c>
      <c r="H182" s="13" t="s">
        <v>19</v>
      </c>
      <c r="I182" s="13">
        <f>_xlfn.XLOOKUP(F182,'Wk no''s'!B:B,'Wk no''s'!C:C,FALSE)</f>
        <v>7</v>
      </c>
      <c r="J182" s="13">
        <f>IF(D182="GBP",1,SUMIFS('Ex Rates'!I:I,'Ex Rates'!K:K,'Weekly Closed Proposal Requests'!L182,'Ex Rates'!G:G,'Weekly Closed Proposal Requests'!D182))</f>
        <v>1</v>
      </c>
      <c r="K182" s="13">
        <f t="shared" si="2"/>
        <v>35000</v>
      </c>
      <c r="L182" s="13" t="str">
        <f>_xlfn.XLOOKUP(I182,'Wk no''s'!C:C,'Wk no''s'!E:E,0)</f>
        <v>Feb</v>
      </c>
    </row>
    <row r="183" spans="1:12" x14ac:dyDescent="0.25">
      <c r="A183" s="67">
        <v>45698</v>
      </c>
      <c r="B183" s="13" t="s">
        <v>334</v>
      </c>
      <c r="C183" s="13" t="s">
        <v>335</v>
      </c>
      <c r="D183" s="13" t="s">
        <v>46</v>
      </c>
      <c r="E183" s="13">
        <v>3900</v>
      </c>
      <c r="F183" s="67">
        <v>45700</v>
      </c>
      <c r="G183" s="13" t="s">
        <v>47</v>
      </c>
      <c r="H183" s="13" t="s">
        <v>50</v>
      </c>
      <c r="I183" s="13">
        <f>_xlfn.XLOOKUP(F183,'Wk no''s'!B:B,'Wk no''s'!C:C,FALSE)</f>
        <v>7</v>
      </c>
      <c r="J183" s="13">
        <f>IF(D183="GBP",1,SUMIFS('Ex Rates'!I:I,'Ex Rates'!K:K,'Weekly Closed Proposal Requests'!L183,'Ex Rates'!G:G,'Weekly Closed Proposal Requests'!D183))</f>
        <v>0.79554494828957845</v>
      </c>
      <c r="K183" s="13">
        <f t="shared" si="2"/>
        <v>3102.6252983293562</v>
      </c>
      <c r="L183" s="13" t="str">
        <f>_xlfn.XLOOKUP(I183,'Wk no''s'!C:C,'Wk no''s'!E:E,0)</f>
        <v>Feb</v>
      </c>
    </row>
    <row r="184" spans="1:12" x14ac:dyDescent="0.25">
      <c r="A184" s="67">
        <v>45699</v>
      </c>
      <c r="B184" s="13" t="s">
        <v>319</v>
      </c>
      <c r="C184" s="13" t="s">
        <v>320</v>
      </c>
      <c r="D184" s="13" t="s">
        <v>40</v>
      </c>
      <c r="E184" s="13">
        <v>1000</v>
      </c>
      <c r="F184" s="67">
        <v>45700</v>
      </c>
      <c r="G184" s="13" t="s">
        <v>41</v>
      </c>
      <c r="H184" s="13" t="s">
        <v>19</v>
      </c>
      <c r="I184" s="13">
        <f>_xlfn.XLOOKUP(F184,'Wk no''s'!B:B,'Wk no''s'!C:C,FALSE)</f>
        <v>7</v>
      </c>
      <c r="J184" s="13">
        <f>IF(D184="GBP",1,SUMIFS('Ex Rates'!I:I,'Ex Rates'!K:K,'Weekly Closed Proposal Requests'!L184,'Ex Rates'!G:G,'Weekly Closed Proposal Requests'!D184))</f>
        <v>0.82576383154417832</v>
      </c>
      <c r="K184" s="13">
        <f t="shared" si="2"/>
        <v>825.76383154417829</v>
      </c>
      <c r="L184" s="13" t="str">
        <f>_xlfn.XLOOKUP(I184,'Wk no''s'!C:C,'Wk no''s'!E:E,0)</f>
        <v>Feb</v>
      </c>
    </row>
    <row r="185" spans="1:12" x14ac:dyDescent="0.25">
      <c r="A185" s="67">
        <v>45699</v>
      </c>
      <c r="B185" s="13" t="s">
        <v>350</v>
      </c>
      <c r="C185" s="13" t="s">
        <v>76</v>
      </c>
      <c r="D185" s="13" t="s">
        <v>15</v>
      </c>
      <c r="E185" s="13">
        <v>30000</v>
      </c>
      <c r="F185" s="67">
        <v>45700</v>
      </c>
      <c r="G185" s="13" t="s">
        <v>72</v>
      </c>
      <c r="H185" s="13" t="s">
        <v>19</v>
      </c>
      <c r="I185" s="13">
        <f>_xlfn.XLOOKUP(F185,'Wk no''s'!B:B,'Wk no''s'!C:C,FALSE)</f>
        <v>7</v>
      </c>
      <c r="J185" s="13">
        <f>IF(D185="GBP",1,SUMIFS('Ex Rates'!I:I,'Ex Rates'!K:K,'Weekly Closed Proposal Requests'!L185,'Ex Rates'!G:G,'Weekly Closed Proposal Requests'!D185))</f>
        <v>1</v>
      </c>
      <c r="K185" s="13">
        <f t="shared" si="2"/>
        <v>30000</v>
      </c>
      <c r="L185" s="13" t="str">
        <f>_xlfn.XLOOKUP(I185,'Wk no''s'!C:C,'Wk no''s'!E:E,0)</f>
        <v>Feb</v>
      </c>
    </row>
    <row r="186" spans="1:12" x14ac:dyDescent="0.25">
      <c r="A186" s="67">
        <v>45700</v>
      </c>
      <c r="B186" s="13" t="s">
        <v>298</v>
      </c>
      <c r="C186" s="13" t="s">
        <v>299</v>
      </c>
      <c r="D186" s="13" t="s">
        <v>15</v>
      </c>
      <c r="E186" s="13">
        <v>0</v>
      </c>
      <c r="F186" s="67">
        <v>45700</v>
      </c>
      <c r="G186" s="13" t="s">
        <v>16</v>
      </c>
      <c r="H186" s="13" t="s">
        <v>12</v>
      </c>
      <c r="I186" s="13">
        <f>_xlfn.XLOOKUP(F186,'Wk no''s'!B:B,'Wk no''s'!C:C,FALSE)</f>
        <v>7</v>
      </c>
      <c r="J186" s="13">
        <f>IF(D186="GBP",1,SUMIFS('Ex Rates'!I:I,'Ex Rates'!K:K,'Weekly Closed Proposal Requests'!L186,'Ex Rates'!G:G,'Weekly Closed Proposal Requests'!D186))</f>
        <v>1</v>
      </c>
      <c r="K186" s="13">
        <f t="shared" si="2"/>
        <v>0</v>
      </c>
      <c r="L186" s="13" t="str">
        <f>_xlfn.XLOOKUP(I186,'Wk no''s'!C:C,'Wk no''s'!E:E,0)</f>
        <v>Feb</v>
      </c>
    </row>
    <row r="187" spans="1:12" x14ac:dyDescent="0.25">
      <c r="A187" s="67">
        <v>45688</v>
      </c>
      <c r="B187" s="13" t="s">
        <v>331</v>
      </c>
      <c r="C187" s="13" t="s">
        <v>332</v>
      </c>
      <c r="D187" s="13" t="s">
        <v>46</v>
      </c>
      <c r="E187" s="13">
        <v>400000</v>
      </c>
      <c r="F187" s="67">
        <v>45701</v>
      </c>
      <c r="G187" s="13" t="s">
        <v>47</v>
      </c>
      <c r="H187" s="13" t="s">
        <v>50</v>
      </c>
      <c r="I187" s="13">
        <f>_xlfn.XLOOKUP(F187,'Wk no''s'!B:B,'Wk no''s'!C:C,FALSE)</f>
        <v>7</v>
      </c>
      <c r="J187" s="13">
        <f>IF(D187="GBP",1,SUMIFS('Ex Rates'!I:I,'Ex Rates'!K:K,'Weekly Closed Proposal Requests'!L187,'Ex Rates'!G:G,'Weekly Closed Proposal Requests'!D187))</f>
        <v>0.79554494828957845</v>
      </c>
      <c r="K187" s="13">
        <f t="shared" si="2"/>
        <v>318217.97931583138</v>
      </c>
      <c r="L187" s="13" t="str">
        <f>_xlfn.XLOOKUP(I187,'Wk no''s'!C:C,'Wk no''s'!E:E,0)</f>
        <v>Feb</v>
      </c>
    </row>
    <row r="188" spans="1:12" x14ac:dyDescent="0.25">
      <c r="A188" s="67">
        <v>45694</v>
      </c>
      <c r="B188" s="13" t="s">
        <v>309</v>
      </c>
      <c r="C188" s="13" t="s">
        <v>308</v>
      </c>
      <c r="D188" s="13" t="s">
        <v>15</v>
      </c>
      <c r="E188" s="13">
        <v>30000</v>
      </c>
      <c r="F188" s="67">
        <v>45701</v>
      </c>
      <c r="G188" s="13" t="s">
        <v>16</v>
      </c>
      <c r="H188" s="13" t="s">
        <v>19</v>
      </c>
      <c r="I188" s="13">
        <f>_xlfn.XLOOKUP(F188,'Wk no''s'!B:B,'Wk no''s'!C:C,FALSE)</f>
        <v>7</v>
      </c>
      <c r="J188" s="13">
        <f>IF(D188="GBP",1,SUMIFS('Ex Rates'!I:I,'Ex Rates'!K:K,'Weekly Closed Proposal Requests'!L188,'Ex Rates'!G:G,'Weekly Closed Proposal Requests'!D188))</f>
        <v>1</v>
      </c>
      <c r="K188" s="13">
        <f t="shared" si="2"/>
        <v>30000</v>
      </c>
      <c r="L188" s="13" t="str">
        <f>_xlfn.XLOOKUP(I188,'Wk no''s'!C:C,'Wk no''s'!E:E,0)</f>
        <v>Feb</v>
      </c>
    </row>
    <row r="189" spans="1:12" x14ac:dyDescent="0.25">
      <c r="A189" s="67">
        <v>45699</v>
      </c>
      <c r="B189" s="13" t="s">
        <v>349</v>
      </c>
      <c r="C189" s="13" t="s">
        <v>289</v>
      </c>
      <c r="D189" s="13" t="s">
        <v>15</v>
      </c>
      <c r="E189" s="13">
        <v>30000</v>
      </c>
      <c r="F189" s="67">
        <v>45701</v>
      </c>
      <c r="G189" s="13" t="s">
        <v>72</v>
      </c>
      <c r="H189" s="13" t="s">
        <v>19</v>
      </c>
      <c r="I189" s="13">
        <f>_xlfn.XLOOKUP(F189,'Wk no''s'!B:B,'Wk no''s'!C:C,FALSE)</f>
        <v>7</v>
      </c>
      <c r="J189" s="13">
        <f>IF(D189="GBP",1,SUMIFS('Ex Rates'!I:I,'Ex Rates'!K:K,'Weekly Closed Proposal Requests'!L189,'Ex Rates'!G:G,'Weekly Closed Proposal Requests'!D189))</f>
        <v>1</v>
      </c>
      <c r="K189" s="13">
        <f t="shared" si="2"/>
        <v>30000</v>
      </c>
      <c r="L189" s="13" t="str">
        <f>_xlfn.XLOOKUP(I189,'Wk no''s'!C:C,'Wk no''s'!E:E,0)</f>
        <v>Feb</v>
      </c>
    </row>
    <row r="190" spans="1:12" x14ac:dyDescent="0.25">
      <c r="A190" s="67">
        <v>45699</v>
      </c>
      <c r="B190" s="13" t="s">
        <v>336</v>
      </c>
      <c r="C190" s="13" t="s">
        <v>54</v>
      </c>
      <c r="D190" s="13" t="s">
        <v>46</v>
      </c>
      <c r="E190" s="13">
        <v>140000</v>
      </c>
      <c r="F190" s="67">
        <v>45701</v>
      </c>
      <c r="G190" s="13" t="s">
        <v>47</v>
      </c>
      <c r="H190" s="13" t="s">
        <v>50</v>
      </c>
      <c r="I190" s="13">
        <f>_xlfn.XLOOKUP(F190,'Wk no''s'!B:B,'Wk no''s'!C:C,FALSE)</f>
        <v>7</v>
      </c>
      <c r="J190" s="13">
        <f>IF(D190="GBP",1,SUMIFS('Ex Rates'!I:I,'Ex Rates'!K:K,'Weekly Closed Proposal Requests'!L190,'Ex Rates'!G:G,'Weekly Closed Proposal Requests'!D190))</f>
        <v>0.79554494828957845</v>
      </c>
      <c r="K190" s="13">
        <f t="shared" si="2"/>
        <v>111376.29276054098</v>
      </c>
      <c r="L190" s="13" t="str">
        <f>_xlfn.XLOOKUP(I190,'Wk no''s'!C:C,'Wk no''s'!E:E,0)</f>
        <v>Feb</v>
      </c>
    </row>
    <row r="191" spans="1:12" x14ac:dyDescent="0.25">
      <c r="A191" s="67">
        <v>45700</v>
      </c>
      <c r="B191" s="13" t="s">
        <v>313</v>
      </c>
      <c r="C191" s="13" t="s">
        <v>314</v>
      </c>
      <c r="D191" s="13" t="s">
        <v>15</v>
      </c>
      <c r="E191" s="13">
        <v>35000</v>
      </c>
      <c r="F191" s="67">
        <v>45701</v>
      </c>
      <c r="G191" s="13" t="s">
        <v>16</v>
      </c>
      <c r="H191" s="13" t="s">
        <v>19</v>
      </c>
      <c r="I191" s="13">
        <f>_xlfn.XLOOKUP(F191,'Wk no''s'!B:B,'Wk no''s'!C:C,FALSE)</f>
        <v>7</v>
      </c>
      <c r="J191" s="13">
        <f>IF(D191="GBP",1,SUMIFS('Ex Rates'!I:I,'Ex Rates'!K:K,'Weekly Closed Proposal Requests'!L191,'Ex Rates'!G:G,'Weekly Closed Proposal Requests'!D191))</f>
        <v>1</v>
      </c>
      <c r="K191" s="13">
        <f t="shared" si="2"/>
        <v>35000</v>
      </c>
      <c r="L191" s="13" t="str">
        <f>_xlfn.XLOOKUP(I191,'Wk no''s'!C:C,'Wk no''s'!E:E,0)</f>
        <v>Feb</v>
      </c>
    </row>
    <row r="192" spans="1:12" x14ac:dyDescent="0.25">
      <c r="A192" s="67">
        <v>45698</v>
      </c>
      <c r="B192" s="13" t="s">
        <v>348</v>
      </c>
      <c r="C192" s="13" t="s">
        <v>136</v>
      </c>
      <c r="D192" s="13" t="s">
        <v>15</v>
      </c>
      <c r="E192" s="13">
        <v>300000</v>
      </c>
      <c r="F192" s="67">
        <v>45702</v>
      </c>
      <c r="G192" s="13" t="s">
        <v>72</v>
      </c>
      <c r="H192" s="13" t="s">
        <v>19</v>
      </c>
      <c r="I192" s="13">
        <f>_xlfn.XLOOKUP(F192,'Wk no''s'!B:B,'Wk no''s'!C:C,FALSE)</f>
        <v>7</v>
      </c>
      <c r="J192" s="13">
        <f>IF(D192="GBP",1,SUMIFS('Ex Rates'!I:I,'Ex Rates'!K:K,'Weekly Closed Proposal Requests'!L192,'Ex Rates'!G:G,'Weekly Closed Proposal Requests'!D192))</f>
        <v>1</v>
      </c>
      <c r="K192" s="13">
        <f t="shared" si="2"/>
        <v>300000</v>
      </c>
      <c r="L192" s="13" t="str">
        <f>_xlfn.XLOOKUP(I192,'Wk no''s'!C:C,'Wk no''s'!E:E,0)</f>
        <v>Feb</v>
      </c>
    </row>
    <row r="193" spans="1:12" x14ac:dyDescent="0.25">
      <c r="A193" s="67">
        <v>45698</v>
      </c>
      <c r="B193" s="13" t="s">
        <v>311</v>
      </c>
      <c r="C193" s="13" t="s">
        <v>312</v>
      </c>
      <c r="D193" s="13" t="s">
        <v>15</v>
      </c>
      <c r="E193" s="13">
        <v>20000</v>
      </c>
      <c r="F193" s="67">
        <v>45702</v>
      </c>
      <c r="G193" s="13" t="s">
        <v>16</v>
      </c>
      <c r="H193" s="13" t="s">
        <v>19</v>
      </c>
      <c r="I193" s="13">
        <f>_xlfn.XLOOKUP(F193,'Wk no''s'!B:B,'Wk no''s'!C:C,FALSE)</f>
        <v>7</v>
      </c>
      <c r="J193" s="13">
        <f>IF(D193="GBP",1,SUMIFS('Ex Rates'!I:I,'Ex Rates'!K:K,'Weekly Closed Proposal Requests'!L193,'Ex Rates'!G:G,'Weekly Closed Proposal Requests'!D193))</f>
        <v>1</v>
      </c>
      <c r="K193" s="13">
        <f t="shared" si="2"/>
        <v>20000</v>
      </c>
      <c r="L193" s="13" t="str">
        <f>_xlfn.XLOOKUP(I193,'Wk no''s'!C:C,'Wk no''s'!E:E,0)</f>
        <v>Feb</v>
      </c>
    </row>
    <row r="194" spans="1:12" x14ac:dyDescent="0.25">
      <c r="A194" s="67">
        <v>45700</v>
      </c>
      <c r="B194" s="13" t="s">
        <v>351</v>
      </c>
      <c r="C194" s="13" t="s">
        <v>352</v>
      </c>
      <c r="D194" s="13" t="s">
        <v>15</v>
      </c>
      <c r="E194" s="13">
        <v>20000</v>
      </c>
      <c r="F194" s="67">
        <v>45702</v>
      </c>
      <c r="G194" s="13" t="s">
        <v>72</v>
      </c>
      <c r="H194" s="13" t="s">
        <v>19</v>
      </c>
      <c r="I194" s="13">
        <f>_xlfn.XLOOKUP(F194,'Wk no''s'!B:B,'Wk no''s'!C:C,FALSE)</f>
        <v>7</v>
      </c>
      <c r="J194" s="13">
        <f>IF(D194="GBP",1,SUMIFS('Ex Rates'!I:I,'Ex Rates'!K:K,'Weekly Closed Proposal Requests'!L194,'Ex Rates'!G:G,'Weekly Closed Proposal Requests'!D194))</f>
        <v>1</v>
      </c>
      <c r="K194" s="13">
        <f t="shared" ref="K194:K257" si="3">+E194*J194</f>
        <v>20000</v>
      </c>
      <c r="L194" s="13" t="str">
        <f>_xlfn.XLOOKUP(I194,'Wk no''s'!C:C,'Wk no''s'!E:E,0)</f>
        <v>Feb</v>
      </c>
    </row>
    <row r="195" spans="1:12" x14ac:dyDescent="0.25">
      <c r="A195" s="67">
        <v>45700</v>
      </c>
      <c r="B195" s="13" t="s">
        <v>321</v>
      </c>
      <c r="C195" s="13" t="s">
        <v>208</v>
      </c>
      <c r="D195" s="13" t="s">
        <v>40</v>
      </c>
      <c r="E195" s="13">
        <v>0</v>
      </c>
      <c r="F195" s="67">
        <v>45702</v>
      </c>
      <c r="G195" s="13" t="s">
        <v>41</v>
      </c>
      <c r="H195" s="13" t="s">
        <v>19</v>
      </c>
      <c r="I195" s="13">
        <f>_xlfn.XLOOKUP(F195,'Wk no''s'!B:B,'Wk no''s'!C:C,FALSE)</f>
        <v>7</v>
      </c>
      <c r="J195" s="13">
        <f>IF(D195="GBP",1,SUMIFS('Ex Rates'!I:I,'Ex Rates'!K:K,'Weekly Closed Proposal Requests'!L195,'Ex Rates'!G:G,'Weekly Closed Proposal Requests'!D195))</f>
        <v>0.82576383154417832</v>
      </c>
      <c r="K195" s="13">
        <f t="shared" si="3"/>
        <v>0</v>
      </c>
      <c r="L195" s="13" t="str">
        <f>_xlfn.XLOOKUP(I195,'Wk no''s'!C:C,'Wk no''s'!E:E,0)</f>
        <v>Feb</v>
      </c>
    </row>
    <row r="196" spans="1:12" x14ac:dyDescent="0.25">
      <c r="A196" s="67">
        <v>45700</v>
      </c>
      <c r="B196" s="13" t="s">
        <v>315</v>
      </c>
      <c r="C196" s="13" t="s">
        <v>316</v>
      </c>
      <c r="D196" s="13" t="s">
        <v>15</v>
      </c>
      <c r="E196" s="13">
        <v>100000</v>
      </c>
      <c r="F196" s="67">
        <v>45702</v>
      </c>
      <c r="G196" s="13" t="s">
        <v>16</v>
      </c>
      <c r="H196" s="13" t="s">
        <v>19</v>
      </c>
      <c r="I196" s="13">
        <f>_xlfn.XLOOKUP(F196,'Wk no''s'!B:B,'Wk no''s'!C:C,FALSE)</f>
        <v>7</v>
      </c>
      <c r="J196" s="13">
        <f>IF(D196="GBP",1,SUMIFS('Ex Rates'!I:I,'Ex Rates'!K:K,'Weekly Closed Proposal Requests'!L196,'Ex Rates'!G:G,'Weekly Closed Proposal Requests'!D196))</f>
        <v>1</v>
      </c>
      <c r="K196" s="13">
        <f t="shared" si="3"/>
        <v>100000</v>
      </c>
      <c r="L196" s="13" t="str">
        <f>_xlfn.XLOOKUP(I196,'Wk no''s'!C:C,'Wk no''s'!E:E,0)</f>
        <v>Feb</v>
      </c>
    </row>
    <row r="197" spans="1:12" x14ac:dyDescent="0.25">
      <c r="A197" s="67">
        <v>45701</v>
      </c>
      <c r="B197" s="13" t="s">
        <v>300</v>
      </c>
      <c r="C197" s="13" t="s">
        <v>301</v>
      </c>
      <c r="D197" s="13" t="s">
        <v>15</v>
      </c>
      <c r="E197" s="13">
        <v>100000</v>
      </c>
      <c r="F197" s="67">
        <v>45702</v>
      </c>
      <c r="G197" s="13" t="s">
        <v>16</v>
      </c>
      <c r="H197" s="13" t="s">
        <v>12</v>
      </c>
      <c r="I197" s="13">
        <f>_xlfn.XLOOKUP(F197,'Wk no''s'!B:B,'Wk no''s'!C:C,FALSE)</f>
        <v>7</v>
      </c>
      <c r="J197" s="13">
        <f>IF(D197="GBP",1,SUMIFS('Ex Rates'!I:I,'Ex Rates'!K:K,'Weekly Closed Proposal Requests'!L197,'Ex Rates'!G:G,'Weekly Closed Proposal Requests'!D197))</f>
        <v>1</v>
      </c>
      <c r="K197" s="13">
        <f t="shared" si="3"/>
        <v>100000</v>
      </c>
      <c r="L197" s="13" t="str">
        <f>_xlfn.XLOOKUP(I197,'Wk no''s'!C:C,'Wk no''s'!E:E,0)</f>
        <v>Feb</v>
      </c>
    </row>
    <row r="198" spans="1:12" x14ac:dyDescent="0.25">
      <c r="A198" s="67">
        <v>45701</v>
      </c>
      <c r="B198" s="13" t="s">
        <v>353</v>
      </c>
      <c r="C198" s="13" t="s">
        <v>76</v>
      </c>
      <c r="D198" s="13" t="s">
        <v>15</v>
      </c>
      <c r="E198" s="13">
        <v>30000</v>
      </c>
      <c r="F198" s="67">
        <v>45702</v>
      </c>
      <c r="G198" s="13" t="s">
        <v>72</v>
      </c>
      <c r="H198" s="13" t="s">
        <v>19</v>
      </c>
      <c r="I198" s="13">
        <f>_xlfn.XLOOKUP(F198,'Wk no''s'!B:B,'Wk no''s'!C:C,FALSE)</f>
        <v>7</v>
      </c>
      <c r="J198" s="13">
        <f>IF(D198="GBP",1,SUMIFS('Ex Rates'!I:I,'Ex Rates'!K:K,'Weekly Closed Proposal Requests'!L198,'Ex Rates'!G:G,'Weekly Closed Proposal Requests'!D198))</f>
        <v>1</v>
      </c>
      <c r="K198" s="13">
        <f t="shared" si="3"/>
        <v>30000</v>
      </c>
      <c r="L198" s="13" t="str">
        <f>_xlfn.XLOOKUP(I198,'Wk no''s'!C:C,'Wk no''s'!E:E,0)</f>
        <v>Feb</v>
      </c>
    </row>
    <row r="199" spans="1:12" x14ac:dyDescent="0.25">
      <c r="A199" s="67">
        <v>45701</v>
      </c>
      <c r="B199" s="13" t="s">
        <v>302</v>
      </c>
      <c r="C199" s="13" t="s">
        <v>155</v>
      </c>
      <c r="D199" s="13" t="s">
        <v>15</v>
      </c>
      <c r="E199" s="13">
        <v>150000</v>
      </c>
      <c r="F199" s="67">
        <v>45702</v>
      </c>
      <c r="G199" s="13" t="s">
        <v>16</v>
      </c>
      <c r="H199" s="13" t="s">
        <v>281</v>
      </c>
      <c r="I199" s="13">
        <f>_xlfn.XLOOKUP(F199,'Wk no''s'!B:B,'Wk no''s'!C:C,FALSE)</f>
        <v>7</v>
      </c>
      <c r="J199" s="13">
        <f>IF(D199="GBP",1,SUMIFS('Ex Rates'!I:I,'Ex Rates'!K:K,'Weekly Closed Proposal Requests'!L199,'Ex Rates'!G:G,'Weekly Closed Proposal Requests'!D199))</f>
        <v>1</v>
      </c>
      <c r="K199" s="13">
        <f t="shared" si="3"/>
        <v>150000</v>
      </c>
      <c r="L199" s="13" t="str">
        <f>_xlfn.XLOOKUP(I199,'Wk no''s'!C:C,'Wk no''s'!E:E,0)</f>
        <v>Feb</v>
      </c>
    </row>
    <row r="200" spans="1:12" x14ac:dyDescent="0.25">
      <c r="A200" s="67">
        <v>45702</v>
      </c>
      <c r="B200" s="13" t="s">
        <v>322</v>
      </c>
      <c r="C200" s="13" t="s">
        <v>208</v>
      </c>
      <c r="D200" s="13" t="s">
        <v>40</v>
      </c>
      <c r="E200" s="13">
        <v>10000</v>
      </c>
      <c r="F200" s="67">
        <v>45702</v>
      </c>
      <c r="G200" s="13" t="s">
        <v>41</v>
      </c>
      <c r="H200" s="13" t="s">
        <v>19</v>
      </c>
      <c r="I200" s="13">
        <f>_xlfn.XLOOKUP(F200,'Wk no''s'!B:B,'Wk no''s'!C:C,FALSE)</f>
        <v>7</v>
      </c>
      <c r="J200" s="13">
        <f>IF(D200="GBP",1,SUMIFS('Ex Rates'!I:I,'Ex Rates'!K:K,'Weekly Closed Proposal Requests'!L200,'Ex Rates'!G:G,'Weekly Closed Proposal Requests'!D200))</f>
        <v>0.82576383154417832</v>
      </c>
      <c r="K200" s="13">
        <f t="shared" si="3"/>
        <v>8257.6383154417836</v>
      </c>
      <c r="L200" s="13" t="str">
        <f>_xlfn.XLOOKUP(I200,'Wk no''s'!C:C,'Wk no''s'!E:E,0)</f>
        <v>Feb</v>
      </c>
    </row>
    <row r="201" spans="1:12" x14ac:dyDescent="0.25">
      <c r="A201" s="67">
        <v>45702</v>
      </c>
      <c r="B201" s="13" t="s">
        <v>317</v>
      </c>
      <c r="C201" s="13" t="s">
        <v>244</v>
      </c>
      <c r="D201" s="13" t="s">
        <v>15</v>
      </c>
      <c r="E201" s="13">
        <v>504615</v>
      </c>
      <c r="F201" s="67">
        <v>45703</v>
      </c>
      <c r="G201" s="13" t="s">
        <v>16</v>
      </c>
      <c r="H201" s="13" t="s">
        <v>19</v>
      </c>
      <c r="I201" s="13">
        <f>_xlfn.XLOOKUP(F201,'Wk no''s'!B:B,'Wk no''s'!C:C,FALSE)</f>
        <v>8</v>
      </c>
      <c r="J201" s="13">
        <f>IF(D201="GBP",1,SUMIFS('Ex Rates'!I:I,'Ex Rates'!K:K,'Weekly Closed Proposal Requests'!L201,'Ex Rates'!G:G,'Weekly Closed Proposal Requests'!D201))</f>
        <v>1</v>
      </c>
      <c r="K201" s="13">
        <f t="shared" si="3"/>
        <v>504615</v>
      </c>
      <c r="L201" s="13" t="str">
        <f>_xlfn.XLOOKUP(I201,'Wk no''s'!C:C,'Wk no''s'!E:E,0)</f>
        <v>Feb</v>
      </c>
    </row>
    <row r="202" spans="1:12" x14ac:dyDescent="0.25">
      <c r="A202" s="67">
        <v>45692</v>
      </c>
      <c r="B202" s="13" t="s">
        <v>338</v>
      </c>
      <c r="C202" s="13" t="s">
        <v>339</v>
      </c>
      <c r="D202" s="13" t="s">
        <v>10</v>
      </c>
      <c r="E202" s="13">
        <v>2500000</v>
      </c>
      <c r="F202" s="67">
        <v>45704</v>
      </c>
      <c r="G202" s="13" t="s">
        <v>11</v>
      </c>
      <c r="H202" s="13" t="s">
        <v>19</v>
      </c>
      <c r="I202" s="13">
        <f>_xlfn.XLOOKUP(F202,'Wk no''s'!B:B,'Wk no''s'!C:C,FALSE)</f>
        <v>8</v>
      </c>
      <c r="J202" s="13">
        <f>IF(D202="GBP",1,SUMIFS('Ex Rates'!I:I,'Ex Rates'!K:K,'Weekly Closed Proposal Requests'!L202,'Ex Rates'!G:G,'Weekly Closed Proposal Requests'!D202))</f>
        <v>0.49358341559723601</v>
      </c>
      <c r="K202" s="13">
        <f t="shared" si="3"/>
        <v>1233958.5389930899</v>
      </c>
      <c r="L202" s="13" t="str">
        <f>_xlfn.XLOOKUP(I202,'Wk no''s'!C:C,'Wk no''s'!E:E,0)</f>
        <v>Feb</v>
      </c>
    </row>
    <row r="203" spans="1:12" x14ac:dyDescent="0.25">
      <c r="A203" s="67">
        <v>45687</v>
      </c>
      <c r="B203" s="13" t="s">
        <v>385</v>
      </c>
      <c r="C203" s="13" t="s">
        <v>228</v>
      </c>
      <c r="D203" s="13" t="s">
        <v>46</v>
      </c>
      <c r="E203" s="13">
        <v>228000</v>
      </c>
      <c r="F203" s="67">
        <v>45705</v>
      </c>
      <c r="G203" s="13" t="s">
        <v>47</v>
      </c>
      <c r="H203" s="13" t="s">
        <v>50</v>
      </c>
      <c r="I203" s="13">
        <f>_xlfn.XLOOKUP(F203,'Wk no''s'!B:B,'Wk no''s'!C:C,FALSE)</f>
        <v>8</v>
      </c>
      <c r="J203" s="13">
        <f>IF(D203="GBP",1,SUMIFS('Ex Rates'!I:I,'Ex Rates'!K:K,'Weekly Closed Proposal Requests'!L203,'Ex Rates'!G:G,'Weekly Closed Proposal Requests'!D203))</f>
        <v>0.79554494828957845</v>
      </c>
      <c r="K203" s="13">
        <f t="shared" si="3"/>
        <v>181384.24821002388</v>
      </c>
      <c r="L203" s="13" t="str">
        <f>_xlfn.XLOOKUP(I203,'Wk no''s'!C:C,'Wk no''s'!E:E,0)</f>
        <v>Feb</v>
      </c>
    </row>
    <row r="204" spans="1:12" x14ac:dyDescent="0.25">
      <c r="A204" s="67">
        <v>45692</v>
      </c>
      <c r="B204" s="13" t="s">
        <v>391</v>
      </c>
      <c r="C204" s="13" t="s">
        <v>392</v>
      </c>
      <c r="D204" s="13" t="s">
        <v>10</v>
      </c>
      <c r="E204" s="13">
        <v>3000000</v>
      </c>
      <c r="F204" s="67">
        <v>45705</v>
      </c>
      <c r="G204" s="13" t="s">
        <v>11</v>
      </c>
      <c r="H204" s="13" t="s">
        <v>50</v>
      </c>
      <c r="I204" s="13">
        <f>_xlfn.XLOOKUP(F204,'Wk no''s'!B:B,'Wk no''s'!C:C,FALSE)</f>
        <v>8</v>
      </c>
      <c r="J204" s="13">
        <f>IF(D204="GBP",1,SUMIFS('Ex Rates'!I:I,'Ex Rates'!K:K,'Weekly Closed Proposal Requests'!L204,'Ex Rates'!G:G,'Weekly Closed Proposal Requests'!D204))</f>
        <v>0.49358341559723601</v>
      </c>
      <c r="K204" s="13">
        <f t="shared" si="3"/>
        <v>1480750.2467917081</v>
      </c>
      <c r="L204" s="13" t="str">
        <f>_xlfn.XLOOKUP(I204,'Wk no''s'!C:C,'Wk no''s'!E:E,0)</f>
        <v>Feb</v>
      </c>
    </row>
    <row r="205" spans="1:12" x14ac:dyDescent="0.25">
      <c r="A205" s="67">
        <v>45699</v>
      </c>
      <c r="B205" s="13" t="s">
        <v>358</v>
      </c>
      <c r="C205" s="13" t="s">
        <v>359</v>
      </c>
      <c r="D205" s="13" t="s">
        <v>15</v>
      </c>
      <c r="E205" s="13">
        <v>14400</v>
      </c>
      <c r="F205" s="67">
        <v>45705</v>
      </c>
      <c r="G205" s="13" t="s">
        <v>16</v>
      </c>
      <c r="H205" s="13" t="s">
        <v>19</v>
      </c>
      <c r="I205" s="13">
        <f>_xlfn.XLOOKUP(F205,'Wk no''s'!B:B,'Wk no''s'!C:C,FALSE)</f>
        <v>8</v>
      </c>
      <c r="J205" s="13">
        <f>IF(D205="GBP",1,SUMIFS('Ex Rates'!I:I,'Ex Rates'!K:K,'Weekly Closed Proposal Requests'!L205,'Ex Rates'!G:G,'Weekly Closed Proposal Requests'!D205))</f>
        <v>1</v>
      </c>
      <c r="K205" s="13">
        <f t="shared" si="3"/>
        <v>14400</v>
      </c>
      <c r="L205" s="13" t="str">
        <f>_xlfn.XLOOKUP(I205,'Wk no''s'!C:C,'Wk no''s'!E:E,0)</f>
        <v>Feb</v>
      </c>
    </row>
    <row r="206" spans="1:12" x14ac:dyDescent="0.25">
      <c r="A206" s="67">
        <v>45681</v>
      </c>
      <c r="B206" s="13" t="s">
        <v>381</v>
      </c>
      <c r="C206" s="13" t="s">
        <v>255</v>
      </c>
      <c r="D206" s="13" t="s">
        <v>46</v>
      </c>
      <c r="E206" s="13">
        <v>200000</v>
      </c>
      <c r="F206" s="67">
        <v>45706</v>
      </c>
      <c r="G206" s="13" t="s">
        <v>47</v>
      </c>
      <c r="H206" s="13" t="s">
        <v>19</v>
      </c>
      <c r="I206" s="13">
        <f>_xlfn.XLOOKUP(F206,'Wk no''s'!B:B,'Wk no''s'!C:C,FALSE)</f>
        <v>8</v>
      </c>
      <c r="J206" s="13">
        <f>IF(D206="GBP",1,SUMIFS('Ex Rates'!I:I,'Ex Rates'!K:K,'Weekly Closed Proposal Requests'!L206,'Ex Rates'!G:G,'Weekly Closed Proposal Requests'!D206))</f>
        <v>0.79554494828957845</v>
      </c>
      <c r="K206" s="13">
        <f t="shared" si="3"/>
        <v>159108.98965791569</v>
      </c>
      <c r="L206" s="13" t="str">
        <f>_xlfn.XLOOKUP(I206,'Wk no''s'!C:C,'Wk no''s'!E:E,0)</f>
        <v>Feb</v>
      </c>
    </row>
    <row r="207" spans="1:12" x14ac:dyDescent="0.25">
      <c r="A207" s="67">
        <v>45705</v>
      </c>
      <c r="B207" s="13" t="s">
        <v>399</v>
      </c>
      <c r="C207" s="13" t="s">
        <v>76</v>
      </c>
      <c r="D207" s="13" t="s">
        <v>15</v>
      </c>
      <c r="E207" s="13">
        <v>30000</v>
      </c>
      <c r="F207" s="67">
        <v>45706</v>
      </c>
      <c r="G207" s="13" t="s">
        <v>72</v>
      </c>
      <c r="H207" s="13" t="s">
        <v>19</v>
      </c>
      <c r="I207" s="13">
        <f>_xlfn.XLOOKUP(F207,'Wk no''s'!B:B,'Wk no''s'!C:C,FALSE)</f>
        <v>8</v>
      </c>
      <c r="J207" s="13">
        <f>IF(D207="GBP",1,SUMIFS('Ex Rates'!I:I,'Ex Rates'!K:K,'Weekly Closed Proposal Requests'!L207,'Ex Rates'!G:G,'Weekly Closed Proposal Requests'!D207))</f>
        <v>1</v>
      </c>
      <c r="K207" s="13">
        <f t="shared" si="3"/>
        <v>30000</v>
      </c>
      <c r="L207" s="13" t="str">
        <f>_xlfn.XLOOKUP(I207,'Wk no''s'!C:C,'Wk no''s'!E:E,0)</f>
        <v>Feb</v>
      </c>
    </row>
    <row r="208" spans="1:12" x14ac:dyDescent="0.25">
      <c r="A208" s="67">
        <v>45692</v>
      </c>
      <c r="B208" s="13" t="s">
        <v>382</v>
      </c>
      <c r="C208" s="13" t="s">
        <v>164</v>
      </c>
      <c r="D208" s="13" t="s">
        <v>46</v>
      </c>
      <c r="E208" s="13">
        <v>50000</v>
      </c>
      <c r="F208" s="67">
        <v>45707</v>
      </c>
      <c r="G208" s="13" t="s">
        <v>47</v>
      </c>
      <c r="H208" s="13" t="s">
        <v>19</v>
      </c>
      <c r="I208" s="13">
        <f>_xlfn.XLOOKUP(F208,'Wk no''s'!B:B,'Wk no''s'!C:C,FALSE)</f>
        <v>8</v>
      </c>
      <c r="J208" s="13">
        <f>IF(D208="GBP",1,SUMIFS('Ex Rates'!I:I,'Ex Rates'!K:K,'Weekly Closed Proposal Requests'!L208,'Ex Rates'!G:G,'Weekly Closed Proposal Requests'!D208))</f>
        <v>0.79554494828957845</v>
      </c>
      <c r="K208" s="13">
        <f t="shared" si="3"/>
        <v>39777.247414478923</v>
      </c>
      <c r="L208" s="13" t="str">
        <f>_xlfn.XLOOKUP(I208,'Wk no''s'!C:C,'Wk no''s'!E:E,0)</f>
        <v>Feb</v>
      </c>
    </row>
    <row r="209" spans="1:12" x14ac:dyDescent="0.25">
      <c r="A209" s="67">
        <v>45701</v>
      </c>
      <c r="B209" s="13" t="s">
        <v>362</v>
      </c>
      <c r="C209" s="13" t="s">
        <v>363</v>
      </c>
      <c r="D209" s="13" t="s">
        <v>15</v>
      </c>
      <c r="E209" s="13">
        <v>20000</v>
      </c>
      <c r="F209" s="67">
        <v>45707</v>
      </c>
      <c r="G209" s="13" t="s">
        <v>16</v>
      </c>
      <c r="H209" s="13" t="s">
        <v>19</v>
      </c>
      <c r="I209" s="13">
        <f>_xlfn.XLOOKUP(F209,'Wk no''s'!B:B,'Wk no''s'!C:C,FALSE)</f>
        <v>8</v>
      </c>
      <c r="J209" s="13">
        <f>IF(D209="GBP",1,SUMIFS('Ex Rates'!I:I,'Ex Rates'!K:K,'Weekly Closed Proposal Requests'!L209,'Ex Rates'!G:G,'Weekly Closed Proposal Requests'!D209))</f>
        <v>1</v>
      </c>
      <c r="K209" s="13">
        <f t="shared" si="3"/>
        <v>20000</v>
      </c>
      <c r="L209" s="13" t="str">
        <f>_xlfn.XLOOKUP(I209,'Wk no''s'!C:C,'Wk no''s'!E:E,0)</f>
        <v>Feb</v>
      </c>
    </row>
    <row r="210" spans="1:12" x14ac:dyDescent="0.25">
      <c r="A210" s="67">
        <v>45701</v>
      </c>
      <c r="B210" s="13" t="s">
        <v>364</v>
      </c>
      <c r="C210" s="13" t="s">
        <v>365</v>
      </c>
      <c r="D210" s="13" t="s">
        <v>15</v>
      </c>
      <c r="E210" s="13">
        <v>30000</v>
      </c>
      <c r="F210" s="67">
        <v>45707</v>
      </c>
      <c r="G210" s="13" t="s">
        <v>16</v>
      </c>
      <c r="H210" s="13" t="s">
        <v>19</v>
      </c>
      <c r="I210" s="13">
        <f>_xlfn.XLOOKUP(F210,'Wk no''s'!B:B,'Wk no''s'!C:C,FALSE)</f>
        <v>8</v>
      </c>
      <c r="J210" s="13">
        <f>IF(D210="GBP",1,SUMIFS('Ex Rates'!I:I,'Ex Rates'!K:K,'Weekly Closed Proposal Requests'!L210,'Ex Rates'!G:G,'Weekly Closed Proposal Requests'!D210))</f>
        <v>1</v>
      </c>
      <c r="K210" s="13">
        <f t="shared" si="3"/>
        <v>30000</v>
      </c>
      <c r="L210" s="13" t="str">
        <f>_xlfn.XLOOKUP(I210,'Wk no''s'!C:C,'Wk no''s'!E:E,0)</f>
        <v>Feb</v>
      </c>
    </row>
    <row r="211" spans="1:12" x14ac:dyDescent="0.25">
      <c r="A211" s="67">
        <v>45701</v>
      </c>
      <c r="B211" s="13" t="s">
        <v>366</v>
      </c>
      <c r="C211" s="13" t="s">
        <v>367</v>
      </c>
      <c r="D211" s="13" t="s">
        <v>15</v>
      </c>
      <c r="E211" s="13">
        <v>30000</v>
      </c>
      <c r="F211" s="67">
        <v>45707</v>
      </c>
      <c r="G211" s="13" t="s">
        <v>16</v>
      </c>
      <c r="H211" s="13" t="s">
        <v>19</v>
      </c>
      <c r="I211" s="13">
        <f>_xlfn.XLOOKUP(F211,'Wk no''s'!B:B,'Wk no''s'!C:C,FALSE)</f>
        <v>8</v>
      </c>
      <c r="J211" s="13">
        <f>IF(D211="GBP",1,SUMIFS('Ex Rates'!I:I,'Ex Rates'!K:K,'Weekly Closed Proposal Requests'!L211,'Ex Rates'!G:G,'Weekly Closed Proposal Requests'!D211))</f>
        <v>1</v>
      </c>
      <c r="K211" s="13">
        <f t="shared" si="3"/>
        <v>30000</v>
      </c>
      <c r="L211" s="13" t="str">
        <f>_xlfn.XLOOKUP(I211,'Wk no''s'!C:C,'Wk no''s'!E:E,0)</f>
        <v>Feb</v>
      </c>
    </row>
    <row r="212" spans="1:12" x14ac:dyDescent="0.25">
      <c r="A212" s="67">
        <v>45706</v>
      </c>
      <c r="B212" s="13" t="s">
        <v>390</v>
      </c>
      <c r="C212" s="13" t="s">
        <v>121</v>
      </c>
      <c r="D212" s="13" t="s">
        <v>15</v>
      </c>
      <c r="E212" s="13">
        <v>11356.24</v>
      </c>
      <c r="F212" s="67">
        <v>45707</v>
      </c>
      <c r="G212" s="13" t="s">
        <v>47</v>
      </c>
      <c r="H212" s="13" t="s">
        <v>50</v>
      </c>
      <c r="I212" s="13">
        <f>_xlfn.XLOOKUP(F212,'Wk no''s'!B:B,'Wk no''s'!C:C,FALSE)</f>
        <v>8</v>
      </c>
      <c r="J212" s="13">
        <f>IF(D212="GBP",1,SUMIFS('Ex Rates'!I:I,'Ex Rates'!K:K,'Weekly Closed Proposal Requests'!L212,'Ex Rates'!G:G,'Weekly Closed Proposal Requests'!D212))</f>
        <v>1</v>
      </c>
      <c r="K212" s="13">
        <f t="shared" si="3"/>
        <v>11356.24</v>
      </c>
      <c r="L212" s="13" t="str">
        <f>_xlfn.XLOOKUP(I212,'Wk no''s'!C:C,'Wk no''s'!E:E,0)</f>
        <v>Feb</v>
      </c>
    </row>
    <row r="213" spans="1:12" x14ac:dyDescent="0.25">
      <c r="A213" s="67">
        <v>45707</v>
      </c>
      <c r="B213" s="13" t="s">
        <v>393</v>
      </c>
      <c r="C213" s="13" t="s">
        <v>394</v>
      </c>
      <c r="D213" s="13" t="s">
        <v>10</v>
      </c>
      <c r="E213" s="13">
        <v>7000</v>
      </c>
      <c r="F213" s="67">
        <v>45707</v>
      </c>
      <c r="G213" s="13" t="s">
        <v>11</v>
      </c>
      <c r="H213" s="13" t="s">
        <v>50</v>
      </c>
      <c r="I213" s="13">
        <f>_xlfn.XLOOKUP(F213,'Wk no''s'!B:B,'Wk no''s'!C:C,FALSE)</f>
        <v>8</v>
      </c>
      <c r="J213" s="13">
        <f>IF(D213="GBP",1,SUMIFS('Ex Rates'!I:I,'Ex Rates'!K:K,'Weekly Closed Proposal Requests'!L213,'Ex Rates'!G:G,'Weekly Closed Proposal Requests'!D213))</f>
        <v>0.49358341559723601</v>
      </c>
      <c r="K213" s="13">
        <f t="shared" si="3"/>
        <v>3455.083909180652</v>
      </c>
      <c r="L213" s="13" t="str">
        <f>_xlfn.XLOOKUP(I213,'Wk no''s'!C:C,'Wk no''s'!E:E,0)</f>
        <v>Feb</v>
      </c>
    </row>
    <row r="214" spans="1:12" x14ac:dyDescent="0.25">
      <c r="A214" s="67">
        <v>45707</v>
      </c>
      <c r="B214" s="13" t="s">
        <v>400</v>
      </c>
      <c r="C214" s="13" t="s">
        <v>352</v>
      </c>
      <c r="D214" s="13" t="s">
        <v>15</v>
      </c>
      <c r="E214" s="13">
        <v>20000</v>
      </c>
      <c r="F214" s="67">
        <v>45707</v>
      </c>
      <c r="G214" s="13" t="s">
        <v>72</v>
      </c>
      <c r="H214" s="13" t="s">
        <v>19</v>
      </c>
      <c r="I214" s="13">
        <f>_xlfn.XLOOKUP(F214,'Wk no''s'!B:B,'Wk no''s'!C:C,FALSE)</f>
        <v>8</v>
      </c>
      <c r="J214" s="13">
        <f>IF(D214="GBP",1,SUMIFS('Ex Rates'!I:I,'Ex Rates'!K:K,'Weekly Closed Proposal Requests'!L214,'Ex Rates'!G:G,'Weekly Closed Proposal Requests'!D214))</f>
        <v>1</v>
      </c>
      <c r="K214" s="13">
        <f t="shared" si="3"/>
        <v>20000</v>
      </c>
      <c r="L214" s="13" t="str">
        <f>_xlfn.XLOOKUP(I214,'Wk no''s'!C:C,'Wk no''s'!E:E,0)</f>
        <v>Feb</v>
      </c>
    </row>
    <row r="215" spans="1:12" x14ac:dyDescent="0.25">
      <c r="A215" s="67">
        <v>45680</v>
      </c>
      <c r="B215" s="13" t="s">
        <v>383</v>
      </c>
      <c r="C215" s="13" t="s">
        <v>384</v>
      </c>
      <c r="D215" s="13" t="s">
        <v>46</v>
      </c>
      <c r="E215" s="13">
        <v>170000</v>
      </c>
      <c r="F215" s="67">
        <v>45708</v>
      </c>
      <c r="G215" s="13" t="s">
        <v>47</v>
      </c>
      <c r="H215" s="13" t="s">
        <v>50</v>
      </c>
      <c r="I215" s="13">
        <f>_xlfn.XLOOKUP(F215,'Wk no''s'!B:B,'Wk no''s'!C:C,FALSE)</f>
        <v>8</v>
      </c>
      <c r="J215" s="13">
        <f>IF(D215="GBP",1,SUMIFS('Ex Rates'!I:I,'Ex Rates'!K:K,'Weekly Closed Proposal Requests'!L215,'Ex Rates'!G:G,'Weekly Closed Proposal Requests'!D215))</f>
        <v>0.79554494828957845</v>
      </c>
      <c r="K215" s="13">
        <f t="shared" si="3"/>
        <v>135242.64120922834</v>
      </c>
      <c r="L215" s="13" t="str">
        <f>_xlfn.XLOOKUP(I215,'Wk no''s'!C:C,'Wk no''s'!E:E,0)</f>
        <v>Feb</v>
      </c>
    </row>
    <row r="216" spans="1:12" x14ac:dyDescent="0.25">
      <c r="A216" s="67">
        <v>45684</v>
      </c>
      <c r="B216" s="13" t="s">
        <v>354</v>
      </c>
      <c r="C216" s="13" t="s">
        <v>355</v>
      </c>
      <c r="D216" s="13" t="s">
        <v>15</v>
      </c>
      <c r="E216" s="13">
        <v>20000</v>
      </c>
      <c r="F216" s="67">
        <v>45708</v>
      </c>
      <c r="G216" s="13" t="s">
        <v>16</v>
      </c>
      <c r="H216" s="13" t="s">
        <v>19</v>
      </c>
      <c r="I216" s="13">
        <f>_xlfn.XLOOKUP(F216,'Wk no''s'!B:B,'Wk no''s'!C:C,FALSE)</f>
        <v>8</v>
      </c>
      <c r="J216" s="13">
        <f>IF(D216="GBP",1,SUMIFS('Ex Rates'!I:I,'Ex Rates'!K:K,'Weekly Closed Proposal Requests'!L216,'Ex Rates'!G:G,'Weekly Closed Proposal Requests'!D216))</f>
        <v>1</v>
      </c>
      <c r="K216" s="13">
        <f t="shared" si="3"/>
        <v>20000</v>
      </c>
      <c r="L216" s="13" t="str">
        <f>_xlfn.XLOOKUP(I216,'Wk no''s'!C:C,'Wk no''s'!E:E,0)</f>
        <v>Feb</v>
      </c>
    </row>
    <row r="217" spans="1:12" x14ac:dyDescent="0.25">
      <c r="A217" s="67">
        <v>45686</v>
      </c>
      <c r="B217" s="13" t="s">
        <v>356</v>
      </c>
      <c r="C217" s="13" t="s">
        <v>357</v>
      </c>
      <c r="D217" s="13" t="s">
        <v>15</v>
      </c>
      <c r="E217" s="13">
        <v>40000</v>
      </c>
      <c r="F217" s="67">
        <v>45708</v>
      </c>
      <c r="G217" s="13" t="s">
        <v>16</v>
      </c>
      <c r="H217" s="13" t="s">
        <v>19</v>
      </c>
      <c r="I217" s="13">
        <f>_xlfn.XLOOKUP(F217,'Wk no''s'!B:B,'Wk no''s'!C:C,FALSE)</f>
        <v>8</v>
      </c>
      <c r="J217" s="13">
        <f>IF(D217="GBP",1,SUMIFS('Ex Rates'!I:I,'Ex Rates'!K:K,'Weekly Closed Proposal Requests'!L217,'Ex Rates'!G:G,'Weekly Closed Proposal Requests'!D217))</f>
        <v>1</v>
      </c>
      <c r="K217" s="13">
        <f t="shared" si="3"/>
        <v>40000</v>
      </c>
      <c r="L217" s="13" t="str">
        <f>_xlfn.XLOOKUP(I217,'Wk no''s'!C:C,'Wk no''s'!E:E,0)</f>
        <v>Feb</v>
      </c>
    </row>
    <row r="218" spans="1:12" x14ac:dyDescent="0.25">
      <c r="A218" s="67">
        <v>45700</v>
      </c>
      <c r="B218" s="13" t="s">
        <v>360</v>
      </c>
      <c r="C218" s="13" t="s">
        <v>361</v>
      </c>
      <c r="D218" s="13" t="s">
        <v>15</v>
      </c>
      <c r="E218" s="13">
        <v>1400000</v>
      </c>
      <c r="F218" s="67">
        <v>45708</v>
      </c>
      <c r="G218" s="13" t="s">
        <v>16</v>
      </c>
      <c r="H218" s="13" t="s">
        <v>19</v>
      </c>
      <c r="I218" s="13">
        <f>_xlfn.XLOOKUP(F218,'Wk no''s'!B:B,'Wk no''s'!C:C,FALSE)</f>
        <v>8</v>
      </c>
      <c r="J218" s="13">
        <f>IF(D218="GBP",1,SUMIFS('Ex Rates'!I:I,'Ex Rates'!K:K,'Weekly Closed Proposal Requests'!L218,'Ex Rates'!G:G,'Weekly Closed Proposal Requests'!D218))</f>
        <v>1</v>
      </c>
      <c r="K218" s="13">
        <f t="shared" si="3"/>
        <v>1400000</v>
      </c>
      <c r="L218" s="13" t="str">
        <f>_xlfn.XLOOKUP(I218,'Wk no''s'!C:C,'Wk no''s'!E:E,0)</f>
        <v>Feb</v>
      </c>
    </row>
    <row r="219" spans="1:12" x14ac:dyDescent="0.25">
      <c r="A219" s="67">
        <v>45702</v>
      </c>
      <c r="B219" s="13" t="s">
        <v>397</v>
      </c>
      <c r="C219" s="13" t="s">
        <v>398</v>
      </c>
      <c r="D219" s="13" t="s">
        <v>15</v>
      </c>
      <c r="E219" s="13">
        <v>200000</v>
      </c>
      <c r="F219" s="67">
        <v>45708</v>
      </c>
      <c r="G219" s="13" t="s">
        <v>72</v>
      </c>
      <c r="H219" s="13" t="s">
        <v>19</v>
      </c>
      <c r="I219" s="13">
        <f>_xlfn.XLOOKUP(F219,'Wk no''s'!B:B,'Wk no''s'!C:C,FALSE)</f>
        <v>8</v>
      </c>
      <c r="J219" s="13">
        <f>IF(D219="GBP",1,SUMIFS('Ex Rates'!I:I,'Ex Rates'!K:K,'Weekly Closed Proposal Requests'!L219,'Ex Rates'!G:G,'Weekly Closed Proposal Requests'!D219))</f>
        <v>1</v>
      </c>
      <c r="K219" s="13">
        <f t="shared" si="3"/>
        <v>200000</v>
      </c>
      <c r="L219" s="13" t="str">
        <f>_xlfn.XLOOKUP(I219,'Wk no''s'!C:C,'Wk no''s'!E:E,0)</f>
        <v>Feb</v>
      </c>
    </row>
    <row r="220" spans="1:12" x14ac:dyDescent="0.25">
      <c r="A220" s="67">
        <v>45705</v>
      </c>
      <c r="B220" s="13" t="s">
        <v>368</v>
      </c>
      <c r="C220" s="13" t="s">
        <v>369</v>
      </c>
      <c r="D220" s="13" t="s">
        <v>15</v>
      </c>
      <c r="E220" s="13">
        <v>30000</v>
      </c>
      <c r="F220" s="67">
        <v>45708</v>
      </c>
      <c r="G220" s="13" t="s">
        <v>16</v>
      </c>
      <c r="H220" s="13" t="s">
        <v>19</v>
      </c>
      <c r="I220" s="13">
        <f>_xlfn.XLOOKUP(F220,'Wk no''s'!B:B,'Wk no''s'!C:C,FALSE)</f>
        <v>8</v>
      </c>
      <c r="J220" s="13">
        <f>IF(D220="GBP",1,SUMIFS('Ex Rates'!I:I,'Ex Rates'!K:K,'Weekly Closed Proposal Requests'!L220,'Ex Rates'!G:G,'Weekly Closed Proposal Requests'!D220))</f>
        <v>1</v>
      </c>
      <c r="K220" s="13">
        <f t="shared" si="3"/>
        <v>30000</v>
      </c>
      <c r="L220" s="13" t="str">
        <f>_xlfn.XLOOKUP(I220,'Wk no''s'!C:C,'Wk no''s'!E:E,0)</f>
        <v>Feb</v>
      </c>
    </row>
    <row r="221" spans="1:12" x14ac:dyDescent="0.25">
      <c r="A221" s="67">
        <v>45706</v>
      </c>
      <c r="B221" s="13" t="s">
        <v>389</v>
      </c>
      <c r="C221" s="13" t="s">
        <v>54</v>
      </c>
      <c r="D221" s="13" t="s">
        <v>46</v>
      </c>
      <c r="E221" s="13">
        <v>140000</v>
      </c>
      <c r="F221" s="67">
        <v>45708</v>
      </c>
      <c r="G221" s="13" t="s">
        <v>47</v>
      </c>
      <c r="H221" s="13" t="s">
        <v>50</v>
      </c>
      <c r="I221" s="13">
        <f>_xlfn.XLOOKUP(F221,'Wk no''s'!B:B,'Wk no''s'!C:C,FALSE)</f>
        <v>8</v>
      </c>
      <c r="J221" s="13">
        <f>IF(D221="GBP",1,SUMIFS('Ex Rates'!I:I,'Ex Rates'!K:K,'Weekly Closed Proposal Requests'!L221,'Ex Rates'!G:G,'Weekly Closed Proposal Requests'!D221))</f>
        <v>0.79554494828957845</v>
      </c>
      <c r="K221" s="13">
        <f t="shared" si="3"/>
        <v>111376.29276054098</v>
      </c>
      <c r="L221" s="13" t="str">
        <f>_xlfn.XLOOKUP(I221,'Wk no''s'!C:C,'Wk no''s'!E:E,0)</f>
        <v>Feb</v>
      </c>
    </row>
    <row r="222" spans="1:12" x14ac:dyDescent="0.25">
      <c r="A222" s="67">
        <v>45706</v>
      </c>
      <c r="B222" s="13" t="s">
        <v>370</v>
      </c>
      <c r="C222" s="13" t="s">
        <v>371</v>
      </c>
      <c r="D222" s="13" t="s">
        <v>15</v>
      </c>
      <c r="E222" s="13">
        <v>50000</v>
      </c>
      <c r="F222" s="67">
        <v>45708</v>
      </c>
      <c r="G222" s="13" t="s">
        <v>16</v>
      </c>
      <c r="H222" s="13" t="s">
        <v>19</v>
      </c>
      <c r="I222" s="13">
        <f>_xlfn.XLOOKUP(F222,'Wk no''s'!B:B,'Wk no''s'!C:C,FALSE)</f>
        <v>8</v>
      </c>
      <c r="J222" s="13">
        <f>IF(D222="GBP",1,SUMIFS('Ex Rates'!I:I,'Ex Rates'!K:K,'Weekly Closed Proposal Requests'!L222,'Ex Rates'!G:G,'Weekly Closed Proposal Requests'!D222))</f>
        <v>1</v>
      </c>
      <c r="K222" s="13">
        <f t="shared" si="3"/>
        <v>50000</v>
      </c>
      <c r="L222" s="13" t="str">
        <f>_xlfn.XLOOKUP(I222,'Wk no''s'!C:C,'Wk no''s'!E:E,0)</f>
        <v>Feb</v>
      </c>
    </row>
    <row r="223" spans="1:12" x14ac:dyDescent="0.25">
      <c r="A223" s="67">
        <v>45707</v>
      </c>
      <c r="B223" s="13" t="s">
        <v>379</v>
      </c>
      <c r="C223" s="13" t="s">
        <v>380</v>
      </c>
      <c r="D223" s="13" t="s">
        <v>40</v>
      </c>
      <c r="E223" s="13">
        <v>1000</v>
      </c>
      <c r="F223" s="67">
        <v>45708</v>
      </c>
      <c r="G223" s="13" t="s">
        <v>41</v>
      </c>
      <c r="H223" s="13" t="s">
        <v>19</v>
      </c>
      <c r="I223" s="13">
        <f>_xlfn.XLOOKUP(F223,'Wk no''s'!B:B,'Wk no''s'!C:C,FALSE)</f>
        <v>8</v>
      </c>
      <c r="J223" s="13">
        <f>IF(D223="GBP",1,SUMIFS('Ex Rates'!I:I,'Ex Rates'!K:K,'Weekly Closed Proposal Requests'!L223,'Ex Rates'!G:G,'Weekly Closed Proposal Requests'!D223))</f>
        <v>0.82576383154417832</v>
      </c>
      <c r="K223" s="13">
        <f t="shared" si="3"/>
        <v>825.76383154417829</v>
      </c>
      <c r="L223" s="13" t="str">
        <f>_xlfn.XLOOKUP(I223,'Wk no''s'!C:C,'Wk no''s'!E:E,0)</f>
        <v>Feb</v>
      </c>
    </row>
    <row r="224" spans="1:12" x14ac:dyDescent="0.25">
      <c r="A224" s="67">
        <v>45707</v>
      </c>
      <c r="B224" s="13" t="s">
        <v>373</v>
      </c>
      <c r="C224" s="13" t="s">
        <v>374</v>
      </c>
      <c r="D224" s="13" t="s">
        <v>15</v>
      </c>
      <c r="E224" s="13">
        <v>40000</v>
      </c>
      <c r="F224" s="67">
        <v>45708</v>
      </c>
      <c r="G224" s="13" t="s">
        <v>16</v>
      </c>
      <c r="H224" s="13" t="s">
        <v>50</v>
      </c>
      <c r="I224" s="13">
        <f>_xlfn.XLOOKUP(F224,'Wk no''s'!B:B,'Wk no''s'!C:C,FALSE)</f>
        <v>8</v>
      </c>
      <c r="J224" s="13">
        <f>IF(D224="GBP",1,SUMIFS('Ex Rates'!I:I,'Ex Rates'!K:K,'Weekly Closed Proposal Requests'!L224,'Ex Rates'!G:G,'Weekly Closed Proposal Requests'!D224))</f>
        <v>1</v>
      </c>
      <c r="K224" s="13">
        <f t="shared" si="3"/>
        <v>40000</v>
      </c>
      <c r="L224" s="13" t="str">
        <f>_xlfn.XLOOKUP(I224,'Wk no''s'!C:C,'Wk no''s'!E:E,0)</f>
        <v>Feb</v>
      </c>
    </row>
    <row r="225" spans="1:12" x14ac:dyDescent="0.25">
      <c r="A225" s="67">
        <v>45708</v>
      </c>
      <c r="B225" s="13" t="s">
        <v>377</v>
      </c>
      <c r="C225" s="13" t="s">
        <v>378</v>
      </c>
      <c r="D225" s="13" t="s">
        <v>15</v>
      </c>
      <c r="E225" s="13">
        <v>20000</v>
      </c>
      <c r="F225" s="67">
        <v>45708</v>
      </c>
      <c r="G225" s="13" t="s">
        <v>16</v>
      </c>
      <c r="H225" s="13" t="s">
        <v>50</v>
      </c>
      <c r="I225" s="13">
        <f>_xlfn.XLOOKUP(F225,'Wk no''s'!B:B,'Wk no''s'!C:C,FALSE)</f>
        <v>8</v>
      </c>
      <c r="J225" s="13">
        <f>IF(D225="GBP",1,SUMIFS('Ex Rates'!I:I,'Ex Rates'!K:K,'Weekly Closed Proposal Requests'!L225,'Ex Rates'!G:G,'Weekly Closed Proposal Requests'!D225))</f>
        <v>1</v>
      </c>
      <c r="K225" s="13">
        <f t="shared" si="3"/>
        <v>20000</v>
      </c>
      <c r="L225" s="13" t="str">
        <f>_xlfn.XLOOKUP(I225,'Wk no''s'!C:C,'Wk no''s'!E:E,0)</f>
        <v>Feb</v>
      </c>
    </row>
    <row r="226" spans="1:12" x14ac:dyDescent="0.25">
      <c r="A226" s="67">
        <v>45699</v>
      </c>
      <c r="B226" s="13" t="s">
        <v>386</v>
      </c>
      <c r="C226" s="13" t="s">
        <v>325</v>
      </c>
      <c r="D226" s="13" t="s">
        <v>46</v>
      </c>
      <c r="E226" s="13">
        <v>337000</v>
      </c>
      <c r="F226" s="67">
        <v>45709</v>
      </c>
      <c r="G226" s="13" t="s">
        <v>47</v>
      </c>
      <c r="H226" s="13" t="s">
        <v>50</v>
      </c>
      <c r="I226" s="13">
        <f>_xlfn.XLOOKUP(F226,'Wk no''s'!B:B,'Wk no''s'!C:C,FALSE)</f>
        <v>8</v>
      </c>
      <c r="J226" s="13">
        <f>IF(D226="GBP",1,SUMIFS('Ex Rates'!I:I,'Ex Rates'!K:K,'Weekly Closed Proposal Requests'!L226,'Ex Rates'!G:G,'Weekly Closed Proposal Requests'!D226))</f>
        <v>0.79554494828957845</v>
      </c>
      <c r="K226" s="13">
        <f t="shared" si="3"/>
        <v>268098.64757358795</v>
      </c>
      <c r="L226" s="13" t="str">
        <f>_xlfn.XLOOKUP(I226,'Wk no''s'!C:C,'Wk no''s'!E:E,0)</f>
        <v>Feb</v>
      </c>
    </row>
    <row r="227" spans="1:12" x14ac:dyDescent="0.25">
      <c r="A227" s="67">
        <v>45699</v>
      </c>
      <c r="B227" s="13" t="s">
        <v>387</v>
      </c>
      <c r="C227" s="13" t="s">
        <v>388</v>
      </c>
      <c r="D227" s="13" t="s">
        <v>46</v>
      </c>
      <c r="E227" s="13">
        <v>98000</v>
      </c>
      <c r="F227" s="67">
        <v>45709</v>
      </c>
      <c r="G227" s="13" t="s">
        <v>47</v>
      </c>
      <c r="H227" s="13" t="s">
        <v>50</v>
      </c>
      <c r="I227" s="13">
        <f>_xlfn.XLOOKUP(F227,'Wk no''s'!B:B,'Wk no''s'!C:C,FALSE)</f>
        <v>8</v>
      </c>
      <c r="J227" s="13">
        <f>IF(D227="GBP",1,SUMIFS('Ex Rates'!I:I,'Ex Rates'!K:K,'Weekly Closed Proposal Requests'!L227,'Ex Rates'!G:G,'Weekly Closed Proposal Requests'!D227))</f>
        <v>0.79554494828957845</v>
      </c>
      <c r="K227" s="13">
        <f t="shared" si="3"/>
        <v>77963.404932378689</v>
      </c>
      <c r="L227" s="13" t="str">
        <f>_xlfn.XLOOKUP(I227,'Wk no''s'!C:C,'Wk no''s'!E:E,0)</f>
        <v>Feb</v>
      </c>
    </row>
    <row r="228" spans="1:12" x14ac:dyDescent="0.25">
      <c r="A228" s="67">
        <v>45701</v>
      </c>
      <c r="B228" s="13" t="s">
        <v>395</v>
      </c>
      <c r="C228" s="13" t="s">
        <v>396</v>
      </c>
      <c r="D228" s="13" t="s">
        <v>15</v>
      </c>
      <c r="E228" s="13">
        <v>300000</v>
      </c>
      <c r="F228" s="67">
        <v>45709</v>
      </c>
      <c r="G228" s="13" t="s">
        <v>72</v>
      </c>
      <c r="H228" s="13" t="s">
        <v>19</v>
      </c>
      <c r="I228" s="13">
        <f>_xlfn.XLOOKUP(F228,'Wk no''s'!B:B,'Wk no''s'!C:C,FALSE)</f>
        <v>8</v>
      </c>
      <c r="J228" s="13">
        <f>IF(D228="GBP",1,SUMIFS('Ex Rates'!I:I,'Ex Rates'!K:K,'Weekly Closed Proposal Requests'!L228,'Ex Rates'!G:G,'Weekly Closed Proposal Requests'!D228))</f>
        <v>1</v>
      </c>
      <c r="K228" s="13">
        <f t="shared" si="3"/>
        <v>300000</v>
      </c>
      <c r="L228" s="13" t="str">
        <f>_xlfn.XLOOKUP(I228,'Wk no''s'!C:C,'Wk no''s'!E:E,0)</f>
        <v>Feb</v>
      </c>
    </row>
    <row r="229" spans="1:12" x14ac:dyDescent="0.25">
      <c r="A229" s="67">
        <v>45707</v>
      </c>
      <c r="B229" s="13" t="s">
        <v>372</v>
      </c>
      <c r="C229" s="13" t="s">
        <v>365</v>
      </c>
      <c r="D229" s="13" t="s">
        <v>15</v>
      </c>
      <c r="E229" s="13">
        <v>35000</v>
      </c>
      <c r="F229" s="67">
        <v>45709</v>
      </c>
      <c r="G229" s="13" t="s">
        <v>16</v>
      </c>
      <c r="H229" s="13" t="s">
        <v>19</v>
      </c>
      <c r="I229" s="13">
        <f>_xlfn.XLOOKUP(F229,'Wk no''s'!B:B,'Wk no''s'!C:C,FALSE)</f>
        <v>8</v>
      </c>
      <c r="J229" s="13">
        <f>IF(D229="GBP",1,SUMIFS('Ex Rates'!I:I,'Ex Rates'!K:K,'Weekly Closed Proposal Requests'!L229,'Ex Rates'!G:G,'Weekly Closed Proposal Requests'!D229))</f>
        <v>1</v>
      </c>
      <c r="K229" s="13">
        <f t="shared" si="3"/>
        <v>35000</v>
      </c>
      <c r="L229" s="13" t="str">
        <f>_xlfn.XLOOKUP(I229,'Wk no''s'!C:C,'Wk no''s'!E:E,0)</f>
        <v>Feb</v>
      </c>
    </row>
    <row r="230" spans="1:12" x14ac:dyDescent="0.25">
      <c r="A230" s="67">
        <v>45707</v>
      </c>
      <c r="B230" s="13" t="s">
        <v>375</v>
      </c>
      <c r="C230" s="13" t="s">
        <v>376</v>
      </c>
      <c r="D230" s="13" t="s">
        <v>15</v>
      </c>
      <c r="E230" s="13">
        <v>37156.639999999999</v>
      </c>
      <c r="F230" s="67">
        <v>45709</v>
      </c>
      <c r="G230" s="13" t="s">
        <v>16</v>
      </c>
      <c r="H230" s="13" t="s">
        <v>50</v>
      </c>
      <c r="I230" s="13">
        <f>_xlfn.XLOOKUP(F230,'Wk no''s'!B:B,'Wk no''s'!C:C,FALSE)</f>
        <v>8</v>
      </c>
      <c r="J230" s="13">
        <f>IF(D230="GBP",1,SUMIFS('Ex Rates'!I:I,'Ex Rates'!K:K,'Weekly Closed Proposal Requests'!L230,'Ex Rates'!G:G,'Weekly Closed Proposal Requests'!D230))</f>
        <v>1</v>
      </c>
      <c r="K230" s="13">
        <f t="shared" si="3"/>
        <v>37156.639999999999</v>
      </c>
      <c r="L230" s="13" t="str">
        <f>_xlfn.XLOOKUP(I230,'Wk no''s'!C:C,'Wk no''s'!E:E,0)</f>
        <v>Feb</v>
      </c>
    </row>
    <row r="231" spans="1:12" x14ac:dyDescent="0.25">
      <c r="A231" s="67">
        <v>45708</v>
      </c>
      <c r="B231" s="13" t="s">
        <v>401</v>
      </c>
      <c r="C231" s="13" t="s">
        <v>76</v>
      </c>
      <c r="D231" s="13" t="s">
        <v>15</v>
      </c>
      <c r="E231" s="13">
        <v>30000</v>
      </c>
      <c r="F231" s="67">
        <v>45709</v>
      </c>
      <c r="G231" s="13" t="s">
        <v>72</v>
      </c>
      <c r="H231" s="13" t="s">
        <v>19</v>
      </c>
      <c r="I231" s="13">
        <f>_xlfn.XLOOKUP(F231,'Wk no''s'!B:B,'Wk no''s'!C:C,FALSE)</f>
        <v>8</v>
      </c>
      <c r="J231" s="13">
        <f>IF(D231="GBP",1,SUMIFS('Ex Rates'!I:I,'Ex Rates'!K:K,'Weekly Closed Proposal Requests'!L231,'Ex Rates'!G:G,'Weekly Closed Proposal Requests'!D231))</f>
        <v>1</v>
      </c>
      <c r="K231" s="13">
        <f t="shared" si="3"/>
        <v>30000</v>
      </c>
      <c r="L231" s="13" t="str">
        <f>_xlfn.XLOOKUP(I231,'Wk no''s'!C:C,'Wk no''s'!E:E,0)</f>
        <v>Feb</v>
      </c>
    </row>
    <row r="232" spans="1:12" x14ac:dyDescent="0.25">
      <c r="A232" s="67">
        <v>45692</v>
      </c>
      <c r="B232" s="13" t="s">
        <v>422</v>
      </c>
      <c r="C232" s="13" t="s">
        <v>169</v>
      </c>
      <c r="D232" s="13" t="s">
        <v>15</v>
      </c>
      <c r="E232" s="13">
        <v>121110</v>
      </c>
      <c r="F232" s="67">
        <v>45712</v>
      </c>
      <c r="G232" s="13" t="s">
        <v>47</v>
      </c>
      <c r="H232" s="13" t="s">
        <v>50</v>
      </c>
      <c r="I232" s="13">
        <f>_xlfn.XLOOKUP(F232,'Wk no''s'!B:B,'Wk no''s'!C:C,FALSE)</f>
        <v>9</v>
      </c>
      <c r="J232" s="13">
        <f>IF(D232="GBP",1,SUMIFS('Ex Rates'!I:I,'Ex Rates'!K:K,'Weekly Closed Proposal Requests'!L232,'Ex Rates'!G:G,'Weekly Closed Proposal Requests'!D232))</f>
        <v>1</v>
      </c>
      <c r="K232" s="13">
        <f t="shared" si="3"/>
        <v>121110</v>
      </c>
      <c r="L232" s="13" t="str">
        <f>_xlfn.XLOOKUP(I232,'Wk no''s'!C:C,'Wk no''s'!E:E,0)</f>
        <v>Feb</v>
      </c>
    </row>
    <row r="233" spans="1:12" x14ac:dyDescent="0.25">
      <c r="A233" s="67">
        <v>45700</v>
      </c>
      <c r="B233" s="13" t="s">
        <v>435</v>
      </c>
      <c r="C233" s="13" t="s">
        <v>344</v>
      </c>
      <c r="D233" s="13" t="s">
        <v>10</v>
      </c>
      <c r="E233" s="13">
        <v>100000</v>
      </c>
      <c r="F233" s="67">
        <v>45712</v>
      </c>
      <c r="G233" s="13" t="s">
        <v>11</v>
      </c>
      <c r="H233" s="13" t="s">
        <v>50</v>
      </c>
      <c r="I233" s="13">
        <f>_xlfn.XLOOKUP(F233,'Wk no''s'!B:B,'Wk no''s'!C:C,FALSE)</f>
        <v>9</v>
      </c>
      <c r="J233" s="13">
        <f>IF(D233="GBP",1,SUMIFS('Ex Rates'!I:I,'Ex Rates'!K:K,'Weekly Closed Proposal Requests'!L233,'Ex Rates'!G:G,'Weekly Closed Proposal Requests'!D233))</f>
        <v>0.49358341559723601</v>
      </c>
      <c r="K233" s="13">
        <f t="shared" si="3"/>
        <v>49358.341559723602</v>
      </c>
      <c r="L233" s="13" t="str">
        <f>_xlfn.XLOOKUP(I233,'Wk no''s'!C:C,'Wk no''s'!E:E,0)</f>
        <v>Feb</v>
      </c>
    </row>
    <row r="234" spans="1:12" x14ac:dyDescent="0.25">
      <c r="A234" s="67">
        <v>45707</v>
      </c>
      <c r="B234" s="13" t="s">
        <v>425</v>
      </c>
      <c r="C234" s="13" t="s">
        <v>56</v>
      </c>
      <c r="D234" s="13" t="s">
        <v>15</v>
      </c>
      <c r="E234" s="13">
        <v>12835</v>
      </c>
      <c r="F234" s="67">
        <v>45712</v>
      </c>
      <c r="G234" s="13" t="s">
        <v>47</v>
      </c>
      <c r="H234" s="13" t="s">
        <v>50</v>
      </c>
      <c r="I234" s="13">
        <f>_xlfn.XLOOKUP(F234,'Wk no''s'!B:B,'Wk no''s'!C:C,FALSE)</f>
        <v>9</v>
      </c>
      <c r="J234" s="13">
        <f>IF(D234="GBP",1,SUMIFS('Ex Rates'!I:I,'Ex Rates'!K:K,'Weekly Closed Proposal Requests'!L234,'Ex Rates'!G:G,'Weekly Closed Proposal Requests'!D234))</f>
        <v>1</v>
      </c>
      <c r="K234" s="13">
        <f t="shared" si="3"/>
        <v>12835</v>
      </c>
      <c r="L234" s="13" t="str">
        <f>_xlfn.XLOOKUP(I234,'Wk no''s'!C:C,'Wk no''s'!E:E,0)</f>
        <v>Feb</v>
      </c>
    </row>
    <row r="235" spans="1:12" x14ac:dyDescent="0.25">
      <c r="A235" s="67">
        <v>45708</v>
      </c>
      <c r="B235" s="13" t="s">
        <v>406</v>
      </c>
      <c r="C235" s="13" t="s">
        <v>363</v>
      </c>
      <c r="D235" s="13" t="s">
        <v>15</v>
      </c>
      <c r="E235" s="13">
        <v>30000</v>
      </c>
      <c r="F235" s="67">
        <v>45712</v>
      </c>
      <c r="G235" s="13" t="s">
        <v>16</v>
      </c>
      <c r="H235" s="13" t="s">
        <v>19</v>
      </c>
      <c r="I235" s="13">
        <f>_xlfn.XLOOKUP(F235,'Wk no''s'!B:B,'Wk no''s'!C:C,FALSE)</f>
        <v>9</v>
      </c>
      <c r="J235" s="13">
        <f>IF(D235="GBP",1,SUMIFS('Ex Rates'!I:I,'Ex Rates'!K:K,'Weekly Closed Proposal Requests'!L235,'Ex Rates'!G:G,'Weekly Closed Proposal Requests'!D235))</f>
        <v>1</v>
      </c>
      <c r="K235" s="13">
        <f t="shared" si="3"/>
        <v>30000</v>
      </c>
      <c r="L235" s="13" t="str">
        <f>_xlfn.XLOOKUP(I235,'Wk no''s'!C:C,'Wk no''s'!E:E,0)</f>
        <v>Feb</v>
      </c>
    </row>
    <row r="236" spans="1:12" x14ac:dyDescent="0.25">
      <c r="A236" s="67">
        <v>45708</v>
      </c>
      <c r="B236" s="13" t="s">
        <v>407</v>
      </c>
      <c r="C236" s="13" t="s">
        <v>408</v>
      </c>
      <c r="D236" s="13" t="s">
        <v>15</v>
      </c>
      <c r="E236" s="13">
        <v>30000</v>
      </c>
      <c r="F236" s="67">
        <v>45712</v>
      </c>
      <c r="G236" s="13" t="s">
        <v>16</v>
      </c>
      <c r="H236" s="13" t="s">
        <v>19</v>
      </c>
      <c r="I236" s="13">
        <f>_xlfn.XLOOKUP(F236,'Wk no''s'!B:B,'Wk no''s'!C:C,FALSE)</f>
        <v>9</v>
      </c>
      <c r="J236" s="13">
        <f>IF(D236="GBP",1,SUMIFS('Ex Rates'!I:I,'Ex Rates'!K:K,'Weekly Closed Proposal Requests'!L236,'Ex Rates'!G:G,'Weekly Closed Proposal Requests'!D236))</f>
        <v>1</v>
      </c>
      <c r="K236" s="13">
        <f t="shared" si="3"/>
        <v>30000</v>
      </c>
      <c r="L236" s="13" t="str">
        <f>_xlfn.XLOOKUP(I236,'Wk no''s'!C:C,'Wk no''s'!E:E,0)</f>
        <v>Feb</v>
      </c>
    </row>
    <row r="237" spans="1:12" x14ac:dyDescent="0.25">
      <c r="A237" s="67">
        <v>45695</v>
      </c>
      <c r="B237" s="13" t="s">
        <v>415</v>
      </c>
      <c r="C237" s="13" t="s">
        <v>416</v>
      </c>
      <c r="D237" s="13" t="s">
        <v>40</v>
      </c>
      <c r="E237" s="13">
        <v>1600000</v>
      </c>
      <c r="F237" s="67">
        <v>45713</v>
      </c>
      <c r="G237" s="13" t="s">
        <v>41</v>
      </c>
      <c r="H237" s="13" t="s">
        <v>19</v>
      </c>
      <c r="I237" s="13">
        <f>_xlfn.XLOOKUP(F237,'Wk no''s'!B:B,'Wk no''s'!C:C,FALSE)</f>
        <v>9</v>
      </c>
      <c r="J237" s="13">
        <f>IF(D237="GBP",1,SUMIFS('Ex Rates'!I:I,'Ex Rates'!K:K,'Weekly Closed Proposal Requests'!L237,'Ex Rates'!G:G,'Weekly Closed Proposal Requests'!D237))</f>
        <v>0.82576383154417832</v>
      </c>
      <c r="K237" s="13">
        <f t="shared" si="3"/>
        <v>1321222.1304706852</v>
      </c>
      <c r="L237" s="13" t="str">
        <f>_xlfn.XLOOKUP(I237,'Wk no''s'!C:C,'Wk no''s'!E:E,0)</f>
        <v>Feb</v>
      </c>
    </row>
    <row r="238" spans="1:12" x14ac:dyDescent="0.25">
      <c r="A238" s="67">
        <v>45701</v>
      </c>
      <c r="B238" s="13" t="s">
        <v>402</v>
      </c>
      <c r="C238" s="13" t="s">
        <v>403</v>
      </c>
      <c r="D238" s="13" t="s">
        <v>15</v>
      </c>
      <c r="E238" s="13">
        <v>50000</v>
      </c>
      <c r="F238" s="67">
        <v>45713</v>
      </c>
      <c r="G238" s="13" t="s">
        <v>16</v>
      </c>
      <c r="H238" s="13" t="s">
        <v>19</v>
      </c>
      <c r="I238" s="13">
        <f>_xlfn.XLOOKUP(F238,'Wk no''s'!B:B,'Wk no''s'!C:C,FALSE)</f>
        <v>9</v>
      </c>
      <c r="J238" s="13">
        <f>IF(D238="GBP",1,SUMIFS('Ex Rates'!I:I,'Ex Rates'!K:K,'Weekly Closed Proposal Requests'!L238,'Ex Rates'!G:G,'Weekly Closed Proposal Requests'!D238))</f>
        <v>1</v>
      </c>
      <c r="K238" s="13">
        <f t="shared" si="3"/>
        <v>50000</v>
      </c>
      <c r="L238" s="13" t="str">
        <f>_xlfn.XLOOKUP(I238,'Wk no''s'!C:C,'Wk no''s'!E:E,0)</f>
        <v>Feb</v>
      </c>
    </row>
    <row r="239" spans="1:12" x14ac:dyDescent="0.25">
      <c r="A239" s="67">
        <v>45701</v>
      </c>
      <c r="B239" s="13" t="s">
        <v>440</v>
      </c>
      <c r="C239" s="13" t="s">
        <v>291</v>
      </c>
      <c r="D239" s="13" t="s">
        <v>15</v>
      </c>
      <c r="E239" s="13">
        <v>500000</v>
      </c>
      <c r="F239" s="67">
        <v>45713</v>
      </c>
      <c r="G239" s="13" t="s">
        <v>72</v>
      </c>
      <c r="H239" s="13" t="s">
        <v>19</v>
      </c>
      <c r="I239" s="13">
        <f>_xlfn.XLOOKUP(F239,'Wk no''s'!B:B,'Wk no''s'!C:C,FALSE)</f>
        <v>9</v>
      </c>
      <c r="J239" s="13">
        <f>IF(D239="GBP",1,SUMIFS('Ex Rates'!I:I,'Ex Rates'!K:K,'Weekly Closed Proposal Requests'!L239,'Ex Rates'!G:G,'Weekly Closed Proposal Requests'!D239))</f>
        <v>1</v>
      </c>
      <c r="K239" s="13">
        <f t="shared" si="3"/>
        <v>500000</v>
      </c>
      <c r="L239" s="13" t="str">
        <f>_xlfn.XLOOKUP(I239,'Wk no''s'!C:C,'Wk no''s'!E:E,0)</f>
        <v>Feb</v>
      </c>
    </row>
    <row r="240" spans="1:12" x14ac:dyDescent="0.25">
      <c r="A240" s="67">
        <v>45707</v>
      </c>
      <c r="B240" s="13" t="s">
        <v>404</v>
      </c>
      <c r="C240" s="13" t="s">
        <v>405</v>
      </c>
      <c r="D240" s="13" t="s">
        <v>15</v>
      </c>
      <c r="E240" s="13">
        <v>10000</v>
      </c>
      <c r="F240" s="67">
        <v>45713</v>
      </c>
      <c r="G240" s="13" t="s">
        <v>16</v>
      </c>
      <c r="H240" s="13" t="s">
        <v>19</v>
      </c>
      <c r="I240" s="13">
        <f>_xlfn.XLOOKUP(F240,'Wk no''s'!B:B,'Wk no''s'!C:C,FALSE)</f>
        <v>9</v>
      </c>
      <c r="J240" s="13">
        <f>IF(D240="GBP",1,SUMIFS('Ex Rates'!I:I,'Ex Rates'!K:K,'Weekly Closed Proposal Requests'!L240,'Ex Rates'!G:G,'Weekly Closed Proposal Requests'!D240))</f>
        <v>1</v>
      </c>
      <c r="K240" s="13">
        <f t="shared" si="3"/>
        <v>10000</v>
      </c>
      <c r="L240" s="13" t="str">
        <f>_xlfn.XLOOKUP(I240,'Wk no''s'!C:C,'Wk no''s'!E:E,0)</f>
        <v>Feb</v>
      </c>
    </row>
    <row r="241" spans="1:12" x14ac:dyDescent="0.25">
      <c r="A241" s="67">
        <v>45712</v>
      </c>
      <c r="B241" s="13" t="s">
        <v>430</v>
      </c>
      <c r="C241" s="13" t="s">
        <v>181</v>
      </c>
      <c r="D241" s="13" t="s">
        <v>10</v>
      </c>
      <c r="E241" s="13">
        <v>400000</v>
      </c>
      <c r="F241" s="67">
        <v>45713</v>
      </c>
      <c r="G241" s="13" t="s">
        <v>11</v>
      </c>
      <c r="H241" s="13" t="s">
        <v>12</v>
      </c>
      <c r="I241" s="13">
        <f>_xlfn.XLOOKUP(F241,'Wk no''s'!B:B,'Wk no''s'!C:C,FALSE)</f>
        <v>9</v>
      </c>
      <c r="J241" s="13">
        <f>IF(D241="GBP",1,SUMIFS('Ex Rates'!I:I,'Ex Rates'!K:K,'Weekly Closed Proposal Requests'!L241,'Ex Rates'!G:G,'Weekly Closed Proposal Requests'!D241))</f>
        <v>0.49358341559723601</v>
      </c>
      <c r="K241" s="13">
        <f t="shared" si="3"/>
        <v>197433.36623889441</v>
      </c>
      <c r="L241" s="13" t="str">
        <f>_xlfn.XLOOKUP(I241,'Wk no''s'!C:C,'Wk no''s'!E:E,0)</f>
        <v>Feb</v>
      </c>
    </row>
    <row r="242" spans="1:12" x14ac:dyDescent="0.25">
      <c r="A242" s="67">
        <v>45712</v>
      </c>
      <c r="B242" s="13" t="s">
        <v>428</v>
      </c>
      <c r="C242" s="13" t="s">
        <v>388</v>
      </c>
      <c r="D242" s="13" t="s">
        <v>15</v>
      </c>
      <c r="E242" s="13">
        <v>98000</v>
      </c>
      <c r="F242" s="67">
        <v>45713</v>
      </c>
      <c r="G242" s="13" t="s">
        <v>47</v>
      </c>
      <c r="H242" s="13" t="s">
        <v>50</v>
      </c>
      <c r="I242" s="13">
        <f>_xlfn.XLOOKUP(F242,'Wk no''s'!B:B,'Wk no''s'!C:C,FALSE)</f>
        <v>9</v>
      </c>
      <c r="J242" s="13">
        <f>IF(D242="GBP",1,SUMIFS('Ex Rates'!I:I,'Ex Rates'!K:K,'Weekly Closed Proposal Requests'!L242,'Ex Rates'!G:G,'Weekly Closed Proposal Requests'!D242))</f>
        <v>1</v>
      </c>
      <c r="K242" s="13">
        <f t="shared" si="3"/>
        <v>98000</v>
      </c>
      <c r="L242" s="13" t="str">
        <f>_xlfn.XLOOKUP(I242,'Wk no''s'!C:C,'Wk no''s'!E:E,0)</f>
        <v>Feb</v>
      </c>
    </row>
    <row r="243" spans="1:12" x14ac:dyDescent="0.25">
      <c r="A243" s="67">
        <v>45712</v>
      </c>
      <c r="B243" s="13" t="s">
        <v>429</v>
      </c>
      <c r="C243" s="13" t="s">
        <v>388</v>
      </c>
      <c r="D243" s="13" t="s">
        <v>15</v>
      </c>
      <c r="E243" s="13">
        <v>98000</v>
      </c>
      <c r="F243" s="67">
        <v>45713</v>
      </c>
      <c r="G243" s="13" t="s">
        <v>47</v>
      </c>
      <c r="H243" s="13" t="s">
        <v>50</v>
      </c>
      <c r="I243" s="13">
        <f>_xlfn.XLOOKUP(F243,'Wk no''s'!B:B,'Wk no''s'!C:C,FALSE)</f>
        <v>9</v>
      </c>
      <c r="J243" s="13">
        <f>IF(D243="GBP",1,SUMIFS('Ex Rates'!I:I,'Ex Rates'!K:K,'Weekly Closed Proposal Requests'!L243,'Ex Rates'!G:G,'Weekly Closed Proposal Requests'!D243))</f>
        <v>1</v>
      </c>
      <c r="K243" s="13">
        <f t="shared" si="3"/>
        <v>98000</v>
      </c>
      <c r="L243" s="13" t="str">
        <f>_xlfn.XLOOKUP(I243,'Wk no''s'!C:C,'Wk no''s'!E:E,0)</f>
        <v>Feb</v>
      </c>
    </row>
    <row r="244" spans="1:12" x14ac:dyDescent="0.25">
      <c r="A244" s="67">
        <v>45672</v>
      </c>
      <c r="B244" s="13" t="s">
        <v>419</v>
      </c>
      <c r="C244" s="13" t="s">
        <v>117</v>
      </c>
      <c r="D244" s="13" t="s">
        <v>46</v>
      </c>
      <c r="E244" s="13">
        <v>96000</v>
      </c>
      <c r="F244" s="67">
        <v>45714</v>
      </c>
      <c r="G244" s="13" t="s">
        <v>47</v>
      </c>
      <c r="H244" s="13" t="s">
        <v>50</v>
      </c>
      <c r="I244" s="13">
        <f>_xlfn.XLOOKUP(F244,'Wk no''s'!B:B,'Wk no''s'!C:C,FALSE)</f>
        <v>9</v>
      </c>
      <c r="J244" s="13">
        <f>IF(D244="GBP",1,SUMIFS('Ex Rates'!I:I,'Ex Rates'!K:K,'Weekly Closed Proposal Requests'!L244,'Ex Rates'!G:G,'Weekly Closed Proposal Requests'!D244))</f>
        <v>0.79554494828957845</v>
      </c>
      <c r="K244" s="13">
        <f t="shared" si="3"/>
        <v>76372.315035799533</v>
      </c>
      <c r="L244" s="13" t="str">
        <f>_xlfn.XLOOKUP(I244,'Wk no''s'!C:C,'Wk no''s'!E:E,0)</f>
        <v>Feb</v>
      </c>
    </row>
    <row r="245" spans="1:12" x14ac:dyDescent="0.25">
      <c r="A245" s="67">
        <v>45693</v>
      </c>
      <c r="B245" s="13" t="s">
        <v>423</v>
      </c>
      <c r="C245" s="13" t="s">
        <v>56</v>
      </c>
      <c r="D245" s="13" t="s">
        <v>15</v>
      </c>
      <c r="E245" s="13">
        <v>12800</v>
      </c>
      <c r="F245" s="67">
        <v>45714</v>
      </c>
      <c r="G245" s="13" t="s">
        <v>47</v>
      </c>
      <c r="H245" s="13" t="s">
        <v>50</v>
      </c>
      <c r="I245" s="13">
        <f>_xlfn.XLOOKUP(F245,'Wk no''s'!B:B,'Wk no''s'!C:C,FALSE)</f>
        <v>9</v>
      </c>
      <c r="J245" s="13">
        <f>IF(D245="GBP",1,SUMIFS('Ex Rates'!I:I,'Ex Rates'!K:K,'Weekly Closed Proposal Requests'!L245,'Ex Rates'!G:G,'Weekly Closed Proposal Requests'!D245))</f>
        <v>1</v>
      </c>
      <c r="K245" s="13">
        <f t="shared" si="3"/>
        <v>12800</v>
      </c>
      <c r="L245" s="13" t="str">
        <f>_xlfn.XLOOKUP(I245,'Wk no''s'!C:C,'Wk no''s'!E:E,0)</f>
        <v>Feb</v>
      </c>
    </row>
    <row r="246" spans="1:12" x14ac:dyDescent="0.25">
      <c r="A246" s="67">
        <v>45706</v>
      </c>
      <c r="B246" s="13" t="s">
        <v>431</v>
      </c>
      <c r="C246" s="13" t="s">
        <v>432</v>
      </c>
      <c r="D246" s="13" t="s">
        <v>10</v>
      </c>
      <c r="E246" s="13">
        <v>0</v>
      </c>
      <c r="F246" s="67">
        <v>45714</v>
      </c>
      <c r="G246" s="13" t="s">
        <v>11</v>
      </c>
      <c r="H246" s="13" t="s">
        <v>19</v>
      </c>
      <c r="I246" s="13">
        <f>_xlfn.XLOOKUP(F246,'Wk no''s'!B:B,'Wk no''s'!C:C,FALSE)</f>
        <v>9</v>
      </c>
      <c r="J246" s="13">
        <f>IF(D246="GBP",1,SUMIFS('Ex Rates'!I:I,'Ex Rates'!K:K,'Weekly Closed Proposal Requests'!L246,'Ex Rates'!G:G,'Weekly Closed Proposal Requests'!D246))</f>
        <v>0.49358341559723601</v>
      </c>
      <c r="K246" s="13">
        <f t="shared" si="3"/>
        <v>0</v>
      </c>
      <c r="L246" s="13" t="str">
        <f>_xlfn.XLOOKUP(I246,'Wk no''s'!C:C,'Wk no''s'!E:E,0)</f>
        <v>Feb</v>
      </c>
    </row>
    <row r="247" spans="1:12" x14ac:dyDescent="0.25">
      <c r="A247" s="67">
        <v>45707</v>
      </c>
      <c r="B247" s="13" t="s">
        <v>412</v>
      </c>
      <c r="C247" s="13" t="s">
        <v>27</v>
      </c>
      <c r="D247" s="13" t="s">
        <v>15</v>
      </c>
      <c r="E247" s="13">
        <v>60000</v>
      </c>
      <c r="F247" s="67">
        <v>45714</v>
      </c>
      <c r="G247" s="13" t="s">
        <v>16</v>
      </c>
      <c r="H247" s="13" t="s">
        <v>50</v>
      </c>
      <c r="I247" s="13">
        <f>_xlfn.XLOOKUP(F247,'Wk no''s'!B:B,'Wk no''s'!C:C,FALSE)</f>
        <v>9</v>
      </c>
      <c r="J247" s="13">
        <f>IF(D247="GBP",1,SUMIFS('Ex Rates'!I:I,'Ex Rates'!K:K,'Weekly Closed Proposal Requests'!L247,'Ex Rates'!G:G,'Weekly Closed Proposal Requests'!D247))</f>
        <v>1</v>
      </c>
      <c r="K247" s="13">
        <f t="shared" si="3"/>
        <v>60000</v>
      </c>
      <c r="L247" s="13" t="str">
        <f>_xlfn.XLOOKUP(I247,'Wk no''s'!C:C,'Wk no''s'!E:E,0)</f>
        <v>Feb</v>
      </c>
    </row>
    <row r="248" spans="1:12" x14ac:dyDescent="0.25">
      <c r="A248" s="67">
        <v>45712</v>
      </c>
      <c r="B248" s="13" t="s">
        <v>437</v>
      </c>
      <c r="C248" s="13" t="s">
        <v>438</v>
      </c>
      <c r="D248" s="13" t="s">
        <v>10</v>
      </c>
      <c r="E248" s="13">
        <v>30000</v>
      </c>
      <c r="F248" s="67">
        <v>45714</v>
      </c>
      <c r="G248" s="13" t="s">
        <v>11</v>
      </c>
      <c r="H248" s="13" t="s">
        <v>50</v>
      </c>
      <c r="I248" s="13">
        <f>_xlfn.XLOOKUP(F248,'Wk no''s'!B:B,'Wk no''s'!C:C,FALSE)</f>
        <v>9</v>
      </c>
      <c r="J248" s="13">
        <f>IF(D248="GBP",1,SUMIFS('Ex Rates'!I:I,'Ex Rates'!K:K,'Weekly Closed Proposal Requests'!L248,'Ex Rates'!G:G,'Weekly Closed Proposal Requests'!D248))</f>
        <v>0.49358341559723601</v>
      </c>
      <c r="K248" s="13">
        <f t="shared" si="3"/>
        <v>14807.50246791708</v>
      </c>
      <c r="L248" s="13" t="str">
        <f>_xlfn.XLOOKUP(I248,'Wk no''s'!C:C,'Wk no''s'!E:E,0)</f>
        <v>Feb</v>
      </c>
    </row>
    <row r="249" spans="1:12" x14ac:dyDescent="0.25">
      <c r="A249" s="67">
        <v>45713</v>
      </c>
      <c r="B249" s="13" t="s">
        <v>443</v>
      </c>
      <c r="C249" s="13" t="s">
        <v>444</v>
      </c>
      <c r="D249" s="13" t="s">
        <v>15</v>
      </c>
      <c r="E249" s="13">
        <v>44000</v>
      </c>
      <c r="F249" s="67">
        <v>45714</v>
      </c>
      <c r="G249" s="13" t="s">
        <v>72</v>
      </c>
      <c r="H249" s="13" t="s">
        <v>19</v>
      </c>
      <c r="I249" s="13">
        <f>_xlfn.XLOOKUP(F249,'Wk no''s'!B:B,'Wk no''s'!C:C,FALSE)</f>
        <v>9</v>
      </c>
      <c r="J249" s="13">
        <f>IF(D249="GBP",1,SUMIFS('Ex Rates'!I:I,'Ex Rates'!K:K,'Weekly Closed Proposal Requests'!L249,'Ex Rates'!G:G,'Weekly Closed Proposal Requests'!D249))</f>
        <v>1</v>
      </c>
      <c r="K249" s="13">
        <f t="shared" si="3"/>
        <v>44000</v>
      </c>
      <c r="L249" s="13" t="str">
        <f>_xlfn.XLOOKUP(I249,'Wk no''s'!C:C,'Wk no''s'!E:E,0)</f>
        <v>Feb</v>
      </c>
    </row>
    <row r="250" spans="1:12" x14ac:dyDescent="0.25">
      <c r="A250" s="67">
        <v>45713</v>
      </c>
      <c r="B250" s="13" t="s">
        <v>445</v>
      </c>
      <c r="C250" s="13" t="s">
        <v>291</v>
      </c>
      <c r="D250" s="13" t="s">
        <v>15</v>
      </c>
      <c r="E250" s="13">
        <v>500000</v>
      </c>
      <c r="F250" s="67">
        <v>45714</v>
      </c>
      <c r="G250" s="13" t="s">
        <v>72</v>
      </c>
      <c r="H250" s="13" t="s">
        <v>19</v>
      </c>
      <c r="I250" s="13">
        <f>_xlfn.XLOOKUP(F250,'Wk no''s'!B:B,'Wk no''s'!C:C,FALSE)</f>
        <v>9</v>
      </c>
      <c r="J250" s="13">
        <f>IF(D250="GBP",1,SUMIFS('Ex Rates'!I:I,'Ex Rates'!K:K,'Weekly Closed Proposal Requests'!L250,'Ex Rates'!G:G,'Weekly Closed Proposal Requests'!D250))</f>
        <v>1</v>
      </c>
      <c r="K250" s="13">
        <f t="shared" si="3"/>
        <v>500000</v>
      </c>
      <c r="L250" s="13" t="str">
        <f>_xlfn.XLOOKUP(I250,'Wk no''s'!C:C,'Wk no''s'!E:E,0)</f>
        <v>Feb</v>
      </c>
    </row>
    <row r="251" spans="1:12" x14ac:dyDescent="0.25">
      <c r="A251" s="67">
        <v>45688</v>
      </c>
      <c r="B251" s="13" t="s">
        <v>420</v>
      </c>
      <c r="C251" s="13" t="s">
        <v>421</v>
      </c>
      <c r="D251" s="13" t="s">
        <v>46</v>
      </c>
      <c r="E251" s="13">
        <v>105000</v>
      </c>
      <c r="F251" s="67">
        <v>45715</v>
      </c>
      <c r="G251" s="13" t="s">
        <v>47</v>
      </c>
      <c r="H251" s="13" t="s">
        <v>50</v>
      </c>
      <c r="I251" s="13">
        <f>_xlfn.XLOOKUP(F251,'Wk no''s'!B:B,'Wk no''s'!C:C,FALSE)</f>
        <v>9</v>
      </c>
      <c r="J251" s="13">
        <f>IF(D251="GBP",1,SUMIFS('Ex Rates'!I:I,'Ex Rates'!K:K,'Weekly Closed Proposal Requests'!L251,'Ex Rates'!G:G,'Weekly Closed Proposal Requests'!D251))</f>
        <v>0.79554494828957845</v>
      </c>
      <c r="K251" s="13">
        <f t="shared" si="3"/>
        <v>83532.219570405738</v>
      </c>
      <c r="L251" s="13" t="str">
        <f>_xlfn.XLOOKUP(I251,'Wk no''s'!C:C,'Wk no''s'!E:E,0)</f>
        <v>Feb</v>
      </c>
    </row>
    <row r="252" spans="1:12" x14ac:dyDescent="0.25">
      <c r="A252" s="67">
        <v>45705</v>
      </c>
      <c r="B252" s="13" t="s">
        <v>436</v>
      </c>
      <c r="C252" s="13" t="s">
        <v>342</v>
      </c>
      <c r="D252" s="13" t="s">
        <v>10</v>
      </c>
      <c r="E252" s="13">
        <v>60000</v>
      </c>
      <c r="F252" s="67">
        <v>45715</v>
      </c>
      <c r="G252" s="13" t="s">
        <v>11</v>
      </c>
      <c r="H252" s="13" t="s">
        <v>50</v>
      </c>
      <c r="I252" s="13">
        <f>_xlfn.XLOOKUP(F252,'Wk no''s'!B:B,'Wk no''s'!C:C,FALSE)</f>
        <v>9</v>
      </c>
      <c r="J252" s="13">
        <f>IF(D252="GBP",1,SUMIFS('Ex Rates'!I:I,'Ex Rates'!K:K,'Weekly Closed Proposal Requests'!L252,'Ex Rates'!G:G,'Weekly Closed Proposal Requests'!D252))</f>
        <v>0.49358341559723601</v>
      </c>
      <c r="K252" s="13">
        <f t="shared" si="3"/>
        <v>29615.00493583416</v>
      </c>
      <c r="L252" s="13" t="str">
        <f>_xlfn.XLOOKUP(I252,'Wk no''s'!C:C,'Wk no''s'!E:E,0)</f>
        <v>Feb</v>
      </c>
    </row>
    <row r="253" spans="1:12" x14ac:dyDescent="0.25">
      <c r="A253" s="67">
        <v>45708</v>
      </c>
      <c r="B253" s="13" t="s">
        <v>413</v>
      </c>
      <c r="C253" s="13" t="s">
        <v>27</v>
      </c>
      <c r="D253" s="13" t="s">
        <v>15</v>
      </c>
      <c r="E253" s="13">
        <v>100000</v>
      </c>
      <c r="F253" s="67">
        <v>45715</v>
      </c>
      <c r="G253" s="13" t="s">
        <v>16</v>
      </c>
      <c r="H253" s="13" t="s">
        <v>50</v>
      </c>
      <c r="I253" s="13">
        <f>_xlfn.XLOOKUP(F253,'Wk no''s'!B:B,'Wk no''s'!C:C,FALSE)</f>
        <v>9</v>
      </c>
      <c r="J253" s="13">
        <f>IF(D253="GBP",1,SUMIFS('Ex Rates'!I:I,'Ex Rates'!K:K,'Weekly Closed Proposal Requests'!L253,'Ex Rates'!G:G,'Weekly Closed Proposal Requests'!D253))</f>
        <v>1</v>
      </c>
      <c r="K253" s="13">
        <f t="shared" si="3"/>
        <v>100000</v>
      </c>
      <c r="L253" s="13" t="str">
        <f>_xlfn.XLOOKUP(I253,'Wk no''s'!C:C,'Wk no''s'!E:E,0)</f>
        <v>Feb</v>
      </c>
    </row>
    <row r="254" spans="1:12" x14ac:dyDescent="0.25">
      <c r="A254" s="67">
        <v>45708</v>
      </c>
      <c r="B254" s="13" t="s">
        <v>441</v>
      </c>
      <c r="C254" s="13" t="s">
        <v>289</v>
      </c>
      <c r="D254" s="13" t="s">
        <v>15</v>
      </c>
      <c r="E254" s="13">
        <v>50000</v>
      </c>
      <c r="F254" s="67">
        <v>45715</v>
      </c>
      <c r="G254" s="13" t="s">
        <v>72</v>
      </c>
      <c r="H254" s="13" t="s">
        <v>19</v>
      </c>
      <c r="I254" s="13">
        <f>_xlfn.XLOOKUP(F254,'Wk no''s'!B:B,'Wk no''s'!C:C,FALSE)</f>
        <v>9</v>
      </c>
      <c r="J254" s="13">
        <f>IF(D254="GBP",1,SUMIFS('Ex Rates'!I:I,'Ex Rates'!K:K,'Weekly Closed Proposal Requests'!L254,'Ex Rates'!G:G,'Weekly Closed Proposal Requests'!D254))</f>
        <v>1</v>
      </c>
      <c r="K254" s="13">
        <f t="shared" si="3"/>
        <v>50000</v>
      </c>
      <c r="L254" s="13" t="str">
        <f>_xlfn.XLOOKUP(I254,'Wk no''s'!C:C,'Wk no''s'!E:E,0)</f>
        <v>Feb</v>
      </c>
    </row>
    <row r="255" spans="1:12" x14ac:dyDescent="0.25">
      <c r="A255" s="67">
        <v>45708</v>
      </c>
      <c r="B255" s="13" t="s">
        <v>442</v>
      </c>
      <c r="C255" s="13" t="s">
        <v>289</v>
      </c>
      <c r="D255" s="13" t="s">
        <v>15</v>
      </c>
      <c r="E255" s="13">
        <v>5000</v>
      </c>
      <c r="F255" s="67">
        <v>45715</v>
      </c>
      <c r="G255" s="13" t="s">
        <v>72</v>
      </c>
      <c r="H255" s="13" t="s">
        <v>19</v>
      </c>
      <c r="I255" s="13">
        <f>_xlfn.XLOOKUP(F255,'Wk no''s'!B:B,'Wk no''s'!C:C,FALSE)</f>
        <v>9</v>
      </c>
      <c r="J255" s="13">
        <f>IF(D255="GBP",1,SUMIFS('Ex Rates'!I:I,'Ex Rates'!K:K,'Weekly Closed Proposal Requests'!L255,'Ex Rates'!G:G,'Weekly Closed Proposal Requests'!D255))</f>
        <v>1</v>
      </c>
      <c r="K255" s="13">
        <f t="shared" si="3"/>
        <v>5000</v>
      </c>
      <c r="L255" s="13" t="str">
        <f>_xlfn.XLOOKUP(I255,'Wk no''s'!C:C,'Wk no''s'!E:E,0)</f>
        <v>Feb</v>
      </c>
    </row>
    <row r="256" spans="1:12" x14ac:dyDescent="0.25">
      <c r="A256" s="67">
        <v>45693</v>
      </c>
      <c r="B256" s="13" t="s">
        <v>433</v>
      </c>
      <c r="C256" s="13" t="s">
        <v>66</v>
      </c>
      <c r="D256" s="13" t="s">
        <v>10</v>
      </c>
      <c r="E256" s="13">
        <v>250000</v>
      </c>
      <c r="F256" s="67">
        <v>45716</v>
      </c>
      <c r="G256" s="13" t="s">
        <v>11</v>
      </c>
      <c r="H256" s="13" t="s">
        <v>50</v>
      </c>
      <c r="I256" s="13">
        <f>_xlfn.XLOOKUP(F256,'Wk no''s'!B:B,'Wk no''s'!C:C,FALSE)</f>
        <v>9</v>
      </c>
      <c r="J256" s="13">
        <f>IF(D256="GBP",1,SUMIFS('Ex Rates'!I:I,'Ex Rates'!K:K,'Weekly Closed Proposal Requests'!L256,'Ex Rates'!G:G,'Weekly Closed Proposal Requests'!D256))</f>
        <v>0.49358341559723601</v>
      </c>
      <c r="K256" s="13">
        <f t="shared" si="3"/>
        <v>123395.853899309</v>
      </c>
      <c r="L256" s="13" t="str">
        <f>_xlfn.XLOOKUP(I256,'Wk no''s'!C:C,'Wk no''s'!E:E,0)</f>
        <v>Feb</v>
      </c>
    </row>
    <row r="257" spans="1:12" x14ac:dyDescent="0.25">
      <c r="A257" s="67">
        <v>45694</v>
      </c>
      <c r="B257" s="13" t="s">
        <v>424</v>
      </c>
      <c r="C257" s="13" t="s">
        <v>60</v>
      </c>
      <c r="D257" s="13" t="s">
        <v>46</v>
      </c>
      <c r="E257" s="13">
        <v>609383.93999999994</v>
      </c>
      <c r="F257" s="67">
        <v>45716</v>
      </c>
      <c r="G257" s="13" t="s">
        <v>47</v>
      </c>
      <c r="H257" s="13" t="s">
        <v>50</v>
      </c>
      <c r="I257" s="13">
        <f>_xlfn.XLOOKUP(F257,'Wk no''s'!B:B,'Wk no''s'!C:C,FALSE)</f>
        <v>9</v>
      </c>
      <c r="J257" s="13">
        <f>IF(D257="GBP",1,SUMIFS('Ex Rates'!I:I,'Ex Rates'!K:K,'Weekly Closed Proposal Requests'!L257,'Ex Rates'!G:G,'Weekly Closed Proposal Requests'!D257))</f>
        <v>0.79554494828957845</v>
      </c>
      <c r="K257" s="13">
        <f t="shared" si="3"/>
        <v>484792.31503579952</v>
      </c>
      <c r="L257" s="13" t="str">
        <f>_xlfn.XLOOKUP(I257,'Wk no''s'!C:C,'Wk no''s'!E:E,0)</f>
        <v>Feb</v>
      </c>
    </row>
    <row r="258" spans="1:12" x14ac:dyDescent="0.25">
      <c r="A258" s="67">
        <v>45695</v>
      </c>
      <c r="B258" s="13" t="s">
        <v>434</v>
      </c>
      <c r="C258" s="13" t="s">
        <v>179</v>
      </c>
      <c r="D258" s="13" t="s">
        <v>10</v>
      </c>
      <c r="E258" s="13">
        <v>1000000</v>
      </c>
      <c r="F258" s="67">
        <v>45716</v>
      </c>
      <c r="G258" s="13" t="s">
        <v>11</v>
      </c>
      <c r="H258" s="13" t="s">
        <v>50</v>
      </c>
      <c r="I258" s="13">
        <f>_xlfn.XLOOKUP(F258,'Wk no''s'!B:B,'Wk no''s'!C:C,FALSE)</f>
        <v>9</v>
      </c>
      <c r="J258" s="13">
        <f>IF(D258="GBP",1,SUMIFS('Ex Rates'!I:I,'Ex Rates'!K:K,'Weekly Closed Proposal Requests'!L258,'Ex Rates'!G:G,'Weekly Closed Proposal Requests'!D258))</f>
        <v>0.49358341559723601</v>
      </c>
      <c r="K258" s="13">
        <f t="shared" ref="K258:K321" si="4">+E258*J258</f>
        <v>493583.41559723602</v>
      </c>
      <c r="L258" s="13" t="str">
        <f>_xlfn.XLOOKUP(I258,'Wk no''s'!C:C,'Wk no''s'!E:E,0)</f>
        <v>Feb</v>
      </c>
    </row>
    <row r="259" spans="1:12" x14ac:dyDescent="0.25">
      <c r="A259" s="67">
        <v>45706</v>
      </c>
      <c r="B259" s="13" t="s">
        <v>417</v>
      </c>
      <c r="C259" s="13" t="s">
        <v>418</v>
      </c>
      <c r="D259" s="13" t="s">
        <v>46</v>
      </c>
      <c r="E259" s="13">
        <v>100</v>
      </c>
      <c r="F259" s="67">
        <v>45716</v>
      </c>
      <c r="G259" s="13" t="s">
        <v>47</v>
      </c>
      <c r="H259" s="13" t="s">
        <v>19</v>
      </c>
      <c r="I259" s="13">
        <f>_xlfn.XLOOKUP(F259,'Wk no''s'!B:B,'Wk no''s'!C:C,FALSE)</f>
        <v>9</v>
      </c>
      <c r="J259" s="13">
        <f>IF(D259="GBP",1,SUMIFS('Ex Rates'!I:I,'Ex Rates'!K:K,'Weekly Closed Proposal Requests'!L259,'Ex Rates'!G:G,'Weekly Closed Proposal Requests'!D259))</f>
        <v>0.79554494828957845</v>
      </c>
      <c r="K259" s="13">
        <f t="shared" si="4"/>
        <v>79.554494828957843</v>
      </c>
      <c r="L259" s="13" t="str">
        <f>_xlfn.XLOOKUP(I259,'Wk no''s'!C:C,'Wk no''s'!E:E,0)</f>
        <v>Feb</v>
      </c>
    </row>
    <row r="260" spans="1:12" x14ac:dyDescent="0.25">
      <c r="A260" s="67">
        <v>45707</v>
      </c>
      <c r="B260" s="13" t="s">
        <v>411</v>
      </c>
      <c r="C260" s="13" t="s">
        <v>376</v>
      </c>
      <c r="D260" s="13" t="s">
        <v>15</v>
      </c>
      <c r="E260" s="13">
        <v>23000</v>
      </c>
      <c r="F260" s="67">
        <v>45716</v>
      </c>
      <c r="G260" s="13" t="s">
        <v>16</v>
      </c>
      <c r="H260" s="13" t="s">
        <v>50</v>
      </c>
      <c r="I260" s="13">
        <f>_xlfn.XLOOKUP(F260,'Wk no''s'!B:B,'Wk no''s'!C:C,FALSE)</f>
        <v>9</v>
      </c>
      <c r="J260" s="13">
        <f>IF(D260="GBP",1,SUMIFS('Ex Rates'!I:I,'Ex Rates'!K:K,'Weekly Closed Proposal Requests'!L260,'Ex Rates'!G:G,'Weekly Closed Proposal Requests'!D260))</f>
        <v>1</v>
      </c>
      <c r="K260" s="13">
        <f t="shared" si="4"/>
        <v>23000</v>
      </c>
      <c r="L260" s="13" t="str">
        <f>_xlfn.XLOOKUP(I260,'Wk no''s'!C:C,'Wk no''s'!E:E,0)</f>
        <v>Feb</v>
      </c>
    </row>
    <row r="261" spans="1:12" x14ac:dyDescent="0.25">
      <c r="A261" s="67">
        <v>45709</v>
      </c>
      <c r="B261" s="13" t="s">
        <v>426</v>
      </c>
      <c r="C261" s="13" t="s">
        <v>427</v>
      </c>
      <c r="D261" s="13" t="s">
        <v>15</v>
      </c>
      <c r="E261" s="13">
        <v>83024.5</v>
      </c>
      <c r="F261" s="67">
        <v>45716</v>
      </c>
      <c r="G261" s="13" t="s">
        <v>47</v>
      </c>
      <c r="H261" s="13" t="s">
        <v>50</v>
      </c>
      <c r="I261" s="13">
        <f>_xlfn.XLOOKUP(F261,'Wk no''s'!B:B,'Wk no''s'!C:C,FALSE)</f>
        <v>9</v>
      </c>
      <c r="J261" s="13">
        <f>IF(D261="GBP",1,SUMIFS('Ex Rates'!I:I,'Ex Rates'!K:K,'Weekly Closed Proposal Requests'!L261,'Ex Rates'!G:G,'Weekly Closed Proposal Requests'!D261))</f>
        <v>1</v>
      </c>
      <c r="K261" s="13">
        <f t="shared" si="4"/>
        <v>83024.5</v>
      </c>
      <c r="L261" s="13" t="str">
        <f>_xlfn.XLOOKUP(I261,'Wk no''s'!C:C,'Wk no''s'!E:E,0)</f>
        <v>Feb</v>
      </c>
    </row>
    <row r="262" spans="1:12" x14ac:dyDescent="0.25">
      <c r="A262" s="67">
        <v>45712</v>
      </c>
      <c r="B262" s="13" t="s">
        <v>439</v>
      </c>
      <c r="C262" s="13" t="s">
        <v>284</v>
      </c>
      <c r="D262" s="13" t="s">
        <v>10</v>
      </c>
      <c r="E262" s="13">
        <v>25000</v>
      </c>
      <c r="F262" s="67">
        <v>45716</v>
      </c>
      <c r="G262" s="13" t="s">
        <v>11</v>
      </c>
      <c r="H262" s="13" t="s">
        <v>50</v>
      </c>
      <c r="I262" s="13">
        <f>_xlfn.XLOOKUP(F262,'Wk no''s'!B:B,'Wk no''s'!C:C,FALSE)</f>
        <v>9</v>
      </c>
      <c r="J262" s="13">
        <f>IF(D262="GBP",1,SUMIFS('Ex Rates'!I:I,'Ex Rates'!K:K,'Weekly Closed Proposal Requests'!L262,'Ex Rates'!G:G,'Weekly Closed Proposal Requests'!D262))</f>
        <v>0.49358341559723601</v>
      </c>
      <c r="K262" s="13">
        <f t="shared" si="4"/>
        <v>12339.5853899309</v>
      </c>
      <c r="L262" s="13" t="str">
        <f>_xlfn.XLOOKUP(I262,'Wk no''s'!C:C,'Wk no''s'!E:E,0)</f>
        <v>Feb</v>
      </c>
    </row>
    <row r="263" spans="1:12" x14ac:dyDescent="0.25">
      <c r="A263" s="67">
        <v>45712</v>
      </c>
      <c r="B263" s="13" t="s">
        <v>409</v>
      </c>
      <c r="C263" s="13" t="s">
        <v>410</v>
      </c>
      <c r="D263" s="13" t="s">
        <v>15</v>
      </c>
      <c r="E263" s="13">
        <v>500000</v>
      </c>
      <c r="F263" s="67">
        <v>45716</v>
      </c>
      <c r="G263" s="13" t="s">
        <v>16</v>
      </c>
      <c r="H263" s="13" t="s">
        <v>19</v>
      </c>
      <c r="I263" s="13">
        <f>_xlfn.XLOOKUP(F263,'Wk no''s'!B:B,'Wk no''s'!C:C,FALSE)</f>
        <v>9</v>
      </c>
      <c r="J263" s="13">
        <f>IF(D263="GBP",1,SUMIFS('Ex Rates'!I:I,'Ex Rates'!K:K,'Weekly Closed Proposal Requests'!L263,'Ex Rates'!G:G,'Weekly Closed Proposal Requests'!D263))</f>
        <v>1</v>
      </c>
      <c r="K263" s="13">
        <f t="shared" si="4"/>
        <v>500000</v>
      </c>
      <c r="L263" s="13" t="str">
        <f>_xlfn.XLOOKUP(I263,'Wk no''s'!C:C,'Wk no''s'!E:E,0)</f>
        <v>Feb</v>
      </c>
    </row>
    <row r="264" spans="1:12" x14ac:dyDescent="0.25">
      <c r="A264" s="67">
        <v>45714</v>
      </c>
      <c r="B264" s="13" t="s">
        <v>414</v>
      </c>
      <c r="C264" s="13" t="s">
        <v>27</v>
      </c>
      <c r="D264" s="13" t="s">
        <v>15</v>
      </c>
      <c r="E264" s="13">
        <v>100000</v>
      </c>
      <c r="F264" s="67">
        <v>45716</v>
      </c>
      <c r="G264" s="13" t="s">
        <v>16</v>
      </c>
      <c r="H264" s="13" t="s">
        <v>50</v>
      </c>
      <c r="I264" s="13">
        <f>_xlfn.XLOOKUP(F264,'Wk no''s'!B:B,'Wk no''s'!C:C,FALSE)</f>
        <v>9</v>
      </c>
      <c r="J264" s="13">
        <f>IF(D264="GBP",1,SUMIFS('Ex Rates'!I:I,'Ex Rates'!K:K,'Weekly Closed Proposal Requests'!L264,'Ex Rates'!G:G,'Weekly Closed Proposal Requests'!D264))</f>
        <v>1</v>
      </c>
      <c r="K264" s="13">
        <f t="shared" si="4"/>
        <v>100000</v>
      </c>
      <c r="L264" s="13" t="str">
        <f>_xlfn.XLOOKUP(I264,'Wk no''s'!C:C,'Wk no''s'!E:E,0)</f>
        <v>Feb</v>
      </c>
    </row>
    <row r="265" spans="1:12" x14ac:dyDescent="0.25">
      <c r="A265" s="67">
        <v>45708</v>
      </c>
      <c r="B265" s="13" t="s">
        <v>471</v>
      </c>
      <c r="C265" s="13" t="s">
        <v>130</v>
      </c>
      <c r="D265" s="13" t="s">
        <v>10</v>
      </c>
      <c r="E265" s="13">
        <v>50000</v>
      </c>
      <c r="F265" s="67">
        <v>45719</v>
      </c>
      <c r="G265" s="13" t="s">
        <v>11</v>
      </c>
      <c r="H265" s="13" t="s">
        <v>50</v>
      </c>
      <c r="I265" s="13">
        <f>_xlfn.XLOOKUP(F265,'Wk no''s'!B:B,'Wk no''s'!C:C,FALSE)</f>
        <v>10</v>
      </c>
      <c r="J265" s="13">
        <f>IF(D265="GBP",1,SUMIFS('Ex Rates'!I:I,'Ex Rates'!K:K,'Weekly Closed Proposal Requests'!L265,'Ex Rates'!G:G,'Weekly Closed Proposal Requests'!D265))</f>
        <v>0.48379293662312528</v>
      </c>
      <c r="K265" s="13">
        <f t="shared" si="4"/>
        <v>24189.646831156264</v>
      </c>
      <c r="L265" s="13" t="str">
        <f>_xlfn.XLOOKUP(I265,'Wk no''s'!C:C,'Wk no''s'!E:E,0)</f>
        <v>Mar</v>
      </c>
    </row>
    <row r="266" spans="1:12" x14ac:dyDescent="0.25">
      <c r="A266" s="67">
        <v>45708</v>
      </c>
      <c r="B266" s="13" t="s">
        <v>476</v>
      </c>
      <c r="C266" s="13" t="s">
        <v>477</v>
      </c>
      <c r="D266" s="13" t="s">
        <v>15</v>
      </c>
      <c r="E266" s="13">
        <v>50000</v>
      </c>
      <c r="F266" s="67">
        <v>45719</v>
      </c>
      <c r="G266" s="13" t="s">
        <v>72</v>
      </c>
      <c r="H266" s="13" t="s">
        <v>19</v>
      </c>
      <c r="I266" s="13">
        <f>_xlfn.XLOOKUP(F266,'Wk no''s'!B:B,'Wk no''s'!C:C,FALSE)</f>
        <v>10</v>
      </c>
      <c r="J266" s="13">
        <f>IF(D266="GBP",1,SUMIFS('Ex Rates'!I:I,'Ex Rates'!K:K,'Weekly Closed Proposal Requests'!L266,'Ex Rates'!G:G,'Weekly Closed Proposal Requests'!D266))</f>
        <v>1</v>
      </c>
      <c r="K266" s="13">
        <f t="shared" si="4"/>
        <v>50000</v>
      </c>
      <c r="L266" s="13" t="str">
        <f>_xlfn.XLOOKUP(I266,'Wk no''s'!C:C,'Wk no''s'!E:E,0)</f>
        <v>Mar</v>
      </c>
    </row>
    <row r="267" spans="1:12" x14ac:dyDescent="0.25">
      <c r="A267" s="67">
        <v>45709</v>
      </c>
      <c r="B267" s="13" t="s">
        <v>478</v>
      </c>
      <c r="C267" s="13" t="s">
        <v>479</v>
      </c>
      <c r="D267" s="13" t="s">
        <v>15</v>
      </c>
      <c r="E267" s="13">
        <v>500000</v>
      </c>
      <c r="F267" s="67">
        <v>45719</v>
      </c>
      <c r="G267" s="13" t="s">
        <v>72</v>
      </c>
      <c r="H267" s="13" t="s">
        <v>19</v>
      </c>
      <c r="I267" s="13">
        <f>_xlfn.XLOOKUP(F267,'Wk no''s'!B:B,'Wk no''s'!C:C,FALSE)</f>
        <v>10</v>
      </c>
      <c r="J267" s="13">
        <f>IF(D267="GBP",1,SUMIFS('Ex Rates'!I:I,'Ex Rates'!K:K,'Weekly Closed Proposal Requests'!L267,'Ex Rates'!G:G,'Weekly Closed Proposal Requests'!D267))</f>
        <v>1</v>
      </c>
      <c r="K267" s="13">
        <f t="shared" si="4"/>
        <v>500000</v>
      </c>
      <c r="L267" s="13" t="str">
        <f>_xlfn.XLOOKUP(I267,'Wk no''s'!C:C,'Wk no''s'!E:E,0)</f>
        <v>Mar</v>
      </c>
    </row>
    <row r="268" spans="1:12" x14ac:dyDescent="0.25">
      <c r="A268" s="67">
        <v>45716</v>
      </c>
      <c r="B268" s="13" t="s">
        <v>473</v>
      </c>
      <c r="C268" s="13" t="s">
        <v>474</v>
      </c>
      <c r="D268" s="13" t="s">
        <v>10</v>
      </c>
      <c r="E268" s="13">
        <v>19000</v>
      </c>
      <c r="F268" s="67">
        <v>45719</v>
      </c>
      <c r="G268" s="13" t="s">
        <v>11</v>
      </c>
      <c r="H268" s="13" t="s">
        <v>50</v>
      </c>
      <c r="I268" s="13">
        <f>_xlfn.XLOOKUP(F268,'Wk no''s'!B:B,'Wk no''s'!C:C,FALSE)</f>
        <v>10</v>
      </c>
      <c r="J268" s="13">
        <f>IF(D268="GBP",1,SUMIFS('Ex Rates'!I:I,'Ex Rates'!K:K,'Weekly Closed Proposal Requests'!L268,'Ex Rates'!G:G,'Weekly Closed Proposal Requests'!D268))</f>
        <v>0.48379293662312528</v>
      </c>
      <c r="K268" s="13">
        <f t="shared" si="4"/>
        <v>9192.0657958393804</v>
      </c>
      <c r="L268" s="13" t="str">
        <f>_xlfn.XLOOKUP(I268,'Wk no''s'!C:C,'Wk no''s'!E:E,0)</f>
        <v>Mar</v>
      </c>
    </row>
    <row r="269" spans="1:12" x14ac:dyDescent="0.25">
      <c r="A269" s="67">
        <v>45707</v>
      </c>
      <c r="B269" s="13" t="s">
        <v>467</v>
      </c>
      <c r="C269" s="13" t="s">
        <v>330</v>
      </c>
      <c r="D269" s="13" t="s">
        <v>15</v>
      </c>
      <c r="E269" s="13">
        <v>76579.87</v>
      </c>
      <c r="F269" s="67">
        <v>45720</v>
      </c>
      <c r="G269" s="13" t="s">
        <v>47</v>
      </c>
      <c r="H269" s="13" t="s">
        <v>50</v>
      </c>
      <c r="I269" s="13">
        <f>_xlfn.XLOOKUP(F269,'Wk no''s'!B:B,'Wk no''s'!C:C,FALSE)</f>
        <v>10</v>
      </c>
      <c r="J269" s="13">
        <f>IF(D269="GBP",1,SUMIFS('Ex Rates'!I:I,'Ex Rates'!K:K,'Weekly Closed Proposal Requests'!L269,'Ex Rates'!G:G,'Weekly Closed Proposal Requests'!D269))</f>
        <v>1</v>
      </c>
      <c r="K269" s="13">
        <f t="shared" si="4"/>
        <v>76579.87</v>
      </c>
      <c r="L269" s="13" t="str">
        <f>_xlfn.XLOOKUP(I269,'Wk no''s'!C:C,'Wk no''s'!E:E,0)</f>
        <v>Mar</v>
      </c>
    </row>
    <row r="270" spans="1:12" x14ac:dyDescent="0.25">
      <c r="A270" s="67">
        <v>45708</v>
      </c>
      <c r="B270" s="13" t="s">
        <v>475</v>
      </c>
      <c r="C270" s="13" t="s">
        <v>289</v>
      </c>
      <c r="D270" s="13" t="s">
        <v>15</v>
      </c>
      <c r="E270" s="13">
        <v>5000</v>
      </c>
      <c r="F270" s="67">
        <v>45720</v>
      </c>
      <c r="G270" s="13" t="s">
        <v>72</v>
      </c>
      <c r="H270" s="13" t="s">
        <v>19</v>
      </c>
      <c r="I270" s="13">
        <f>_xlfn.XLOOKUP(F270,'Wk no''s'!B:B,'Wk no''s'!C:C,FALSE)</f>
        <v>10</v>
      </c>
      <c r="J270" s="13">
        <f>IF(D270="GBP",1,SUMIFS('Ex Rates'!I:I,'Ex Rates'!K:K,'Weekly Closed Proposal Requests'!L270,'Ex Rates'!G:G,'Weekly Closed Proposal Requests'!D270))</f>
        <v>1</v>
      </c>
      <c r="K270" s="13">
        <f t="shared" si="4"/>
        <v>5000</v>
      </c>
      <c r="L270" s="13" t="str">
        <f>_xlfn.XLOOKUP(I270,'Wk no''s'!C:C,'Wk no''s'!E:E,0)</f>
        <v>Mar</v>
      </c>
    </row>
    <row r="271" spans="1:12" x14ac:dyDescent="0.25">
      <c r="A271" s="67">
        <v>45713</v>
      </c>
      <c r="B271" s="13" t="s">
        <v>462</v>
      </c>
      <c r="C271" s="13" t="s">
        <v>463</v>
      </c>
      <c r="D271" s="13" t="s">
        <v>40</v>
      </c>
      <c r="E271" s="13">
        <v>1000</v>
      </c>
      <c r="F271" s="67">
        <v>45720</v>
      </c>
      <c r="G271" s="13" t="s">
        <v>41</v>
      </c>
      <c r="H271" s="13" t="s">
        <v>19</v>
      </c>
      <c r="I271" s="13">
        <f>_xlfn.XLOOKUP(F271,'Wk no''s'!B:B,'Wk no''s'!C:C,FALSE)</f>
        <v>10</v>
      </c>
      <c r="J271" s="13">
        <f>IF(D271="GBP",1,SUMIFS('Ex Rates'!I:I,'Ex Rates'!K:K,'Weekly Closed Proposal Requests'!L271,'Ex Rates'!G:G,'Weekly Closed Proposal Requests'!D271))</f>
        <v>0.83752093802345062</v>
      </c>
      <c r="K271" s="13">
        <f t="shared" si="4"/>
        <v>837.52093802345064</v>
      </c>
      <c r="L271" s="13" t="str">
        <f>_xlfn.XLOOKUP(I271,'Wk no''s'!C:C,'Wk no''s'!E:E,0)</f>
        <v>Mar</v>
      </c>
    </row>
    <row r="272" spans="1:12" x14ac:dyDescent="0.25">
      <c r="A272" s="67">
        <v>45714</v>
      </c>
      <c r="B272" s="13" t="s">
        <v>472</v>
      </c>
      <c r="C272" s="13" t="s">
        <v>432</v>
      </c>
      <c r="D272" s="13" t="s">
        <v>10</v>
      </c>
      <c r="E272" s="13">
        <v>850000</v>
      </c>
      <c r="F272" s="67">
        <v>45720</v>
      </c>
      <c r="G272" s="13" t="s">
        <v>11</v>
      </c>
      <c r="H272" s="13" t="s">
        <v>50</v>
      </c>
      <c r="I272" s="13">
        <f>_xlfn.XLOOKUP(F272,'Wk no''s'!B:B,'Wk no''s'!C:C,FALSE)</f>
        <v>10</v>
      </c>
      <c r="J272" s="13">
        <f>IF(D272="GBP",1,SUMIFS('Ex Rates'!I:I,'Ex Rates'!K:K,'Weekly Closed Proposal Requests'!L272,'Ex Rates'!G:G,'Weekly Closed Proposal Requests'!D272))</f>
        <v>0.48379293662312528</v>
      </c>
      <c r="K272" s="13">
        <f t="shared" si="4"/>
        <v>411223.9961296565</v>
      </c>
      <c r="L272" s="13" t="str">
        <f>_xlfn.XLOOKUP(I272,'Wk no''s'!C:C,'Wk no''s'!E:E,0)</f>
        <v>Mar</v>
      </c>
    </row>
    <row r="273" spans="1:12" x14ac:dyDescent="0.25">
      <c r="A273" s="67">
        <v>45719</v>
      </c>
      <c r="B273" s="13" t="s">
        <v>451</v>
      </c>
      <c r="C273" s="13" t="s">
        <v>452</v>
      </c>
      <c r="D273" s="13" t="s">
        <v>15</v>
      </c>
      <c r="E273" s="13">
        <v>15000</v>
      </c>
      <c r="F273" s="67">
        <v>45720</v>
      </c>
      <c r="G273" s="13" t="s">
        <v>16</v>
      </c>
      <c r="H273" s="13" t="s">
        <v>19</v>
      </c>
      <c r="I273" s="13">
        <f>_xlfn.XLOOKUP(F273,'Wk no''s'!B:B,'Wk no''s'!C:C,FALSE)</f>
        <v>10</v>
      </c>
      <c r="J273" s="13">
        <f>IF(D273="GBP",1,SUMIFS('Ex Rates'!I:I,'Ex Rates'!K:K,'Weekly Closed Proposal Requests'!L273,'Ex Rates'!G:G,'Weekly Closed Proposal Requests'!D273))</f>
        <v>1</v>
      </c>
      <c r="K273" s="13">
        <f t="shared" si="4"/>
        <v>15000</v>
      </c>
      <c r="L273" s="13" t="str">
        <f>_xlfn.XLOOKUP(I273,'Wk no''s'!C:C,'Wk no''s'!E:E,0)</f>
        <v>Mar</v>
      </c>
    </row>
    <row r="274" spans="1:12" x14ac:dyDescent="0.25">
      <c r="A274" s="67">
        <v>45709</v>
      </c>
      <c r="B274" s="13" t="s">
        <v>468</v>
      </c>
      <c r="C274" s="13" t="s">
        <v>124</v>
      </c>
      <c r="D274" s="13" t="s">
        <v>15</v>
      </c>
      <c r="E274" s="13">
        <v>153599</v>
      </c>
      <c r="F274" s="67">
        <v>45721</v>
      </c>
      <c r="G274" s="13" t="s">
        <v>47</v>
      </c>
      <c r="H274" s="13" t="s">
        <v>50</v>
      </c>
      <c r="I274" s="13">
        <f>_xlfn.XLOOKUP(F274,'Wk no''s'!B:B,'Wk no''s'!C:C,FALSE)</f>
        <v>10</v>
      </c>
      <c r="J274" s="13">
        <f>IF(D274="GBP",1,SUMIFS('Ex Rates'!I:I,'Ex Rates'!K:K,'Weekly Closed Proposal Requests'!L274,'Ex Rates'!G:G,'Weekly Closed Proposal Requests'!D274))</f>
        <v>1</v>
      </c>
      <c r="K274" s="13">
        <f t="shared" si="4"/>
        <v>153599</v>
      </c>
      <c r="L274" s="13" t="str">
        <f>_xlfn.XLOOKUP(I274,'Wk no''s'!C:C,'Wk no''s'!E:E,0)</f>
        <v>Mar</v>
      </c>
    </row>
    <row r="275" spans="1:12" x14ac:dyDescent="0.25">
      <c r="A275" s="67">
        <v>45710</v>
      </c>
      <c r="B275" s="13" t="s">
        <v>469</v>
      </c>
      <c r="C275" s="13" t="s">
        <v>220</v>
      </c>
      <c r="D275" s="13" t="s">
        <v>46</v>
      </c>
      <c r="E275" s="13">
        <v>93000</v>
      </c>
      <c r="F275" s="67">
        <v>45721</v>
      </c>
      <c r="G275" s="13" t="s">
        <v>47</v>
      </c>
      <c r="H275" s="13" t="s">
        <v>50</v>
      </c>
      <c r="I275" s="13">
        <f>_xlfn.XLOOKUP(F275,'Wk no''s'!B:B,'Wk no''s'!C:C,FALSE)</f>
        <v>10</v>
      </c>
      <c r="J275" s="13">
        <f>IF(D275="GBP",1,SUMIFS('Ex Rates'!I:I,'Ex Rates'!K:K,'Weekly Closed Proposal Requests'!L275,'Ex Rates'!G:G,'Weekly Closed Proposal Requests'!D275))</f>
        <v>0.77399380804953555</v>
      </c>
      <c r="K275" s="13">
        <f t="shared" si="4"/>
        <v>71981.424148606806</v>
      </c>
      <c r="L275" s="13" t="str">
        <f>_xlfn.XLOOKUP(I275,'Wk no''s'!C:C,'Wk no''s'!E:E,0)</f>
        <v>Mar</v>
      </c>
    </row>
    <row r="276" spans="1:12" x14ac:dyDescent="0.25">
      <c r="A276" s="67">
        <v>45714</v>
      </c>
      <c r="B276" s="13" t="s">
        <v>448</v>
      </c>
      <c r="C276" s="13" t="s">
        <v>449</v>
      </c>
      <c r="D276" s="13" t="s">
        <v>15</v>
      </c>
      <c r="E276" s="13">
        <v>170000</v>
      </c>
      <c r="F276" s="67">
        <v>45721</v>
      </c>
      <c r="G276" s="13" t="s">
        <v>16</v>
      </c>
      <c r="H276" s="13" t="s">
        <v>19</v>
      </c>
      <c r="I276" s="13">
        <f>_xlfn.XLOOKUP(F276,'Wk no''s'!B:B,'Wk no''s'!C:C,FALSE)</f>
        <v>10</v>
      </c>
      <c r="J276" s="13">
        <f>IF(D276="GBP",1,SUMIFS('Ex Rates'!I:I,'Ex Rates'!K:K,'Weekly Closed Proposal Requests'!L276,'Ex Rates'!G:G,'Weekly Closed Proposal Requests'!D276))</f>
        <v>1</v>
      </c>
      <c r="K276" s="13">
        <f t="shared" si="4"/>
        <v>170000</v>
      </c>
      <c r="L276" s="13" t="str">
        <f>_xlfn.XLOOKUP(I276,'Wk no''s'!C:C,'Wk no''s'!E:E,0)</f>
        <v>Mar</v>
      </c>
    </row>
    <row r="277" spans="1:12" x14ac:dyDescent="0.25">
      <c r="A277" s="67">
        <v>45716</v>
      </c>
      <c r="B277" s="13" t="s">
        <v>450</v>
      </c>
      <c r="C277" s="13" t="s">
        <v>403</v>
      </c>
      <c r="D277" s="13" t="s">
        <v>15</v>
      </c>
      <c r="E277" s="13">
        <v>100000</v>
      </c>
      <c r="F277" s="67">
        <v>45721</v>
      </c>
      <c r="G277" s="13" t="s">
        <v>16</v>
      </c>
      <c r="H277" s="13" t="s">
        <v>19</v>
      </c>
      <c r="I277" s="13">
        <f>_xlfn.XLOOKUP(F277,'Wk no''s'!B:B,'Wk no''s'!C:C,FALSE)</f>
        <v>10</v>
      </c>
      <c r="J277" s="13">
        <f>IF(D277="GBP",1,SUMIFS('Ex Rates'!I:I,'Ex Rates'!K:K,'Weekly Closed Proposal Requests'!L277,'Ex Rates'!G:G,'Weekly Closed Proposal Requests'!D277))</f>
        <v>1</v>
      </c>
      <c r="K277" s="13">
        <f t="shared" si="4"/>
        <v>100000</v>
      </c>
      <c r="L277" s="13" t="str">
        <f>_xlfn.XLOOKUP(I277,'Wk no''s'!C:C,'Wk no''s'!E:E,0)</f>
        <v>Mar</v>
      </c>
    </row>
    <row r="278" spans="1:12" x14ac:dyDescent="0.25">
      <c r="A278" s="67">
        <v>45721</v>
      </c>
      <c r="B278" s="13" t="s">
        <v>457</v>
      </c>
      <c r="C278" s="13" t="s">
        <v>308</v>
      </c>
      <c r="D278" s="13" t="s">
        <v>15</v>
      </c>
      <c r="E278" s="13">
        <v>100000</v>
      </c>
      <c r="F278" s="67">
        <v>45721</v>
      </c>
      <c r="G278" s="13" t="s">
        <v>16</v>
      </c>
      <c r="H278" s="13" t="s">
        <v>19</v>
      </c>
      <c r="I278" s="13">
        <f>_xlfn.XLOOKUP(F278,'Wk no''s'!B:B,'Wk no''s'!C:C,FALSE)</f>
        <v>10</v>
      </c>
      <c r="J278" s="13">
        <f>IF(D278="GBP",1,SUMIFS('Ex Rates'!I:I,'Ex Rates'!K:K,'Weekly Closed Proposal Requests'!L278,'Ex Rates'!G:G,'Weekly Closed Proposal Requests'!D278))</f>
        <v>1</v>
      </c>
      <c r="K278" s="13">
        <f t="shared" si="4"/>
        <v>100000</v>
      </c>
      <c r="L278" s="13" t="str">
        <f>_xlfn.XLOOKUP(I278,'Wk no''s'!C:C,'Wk no''s'!E:E,0)</f>
        <v>Mar</v>
      </c>
    </row>
    <row r="279" spans="1:12" x14ac:dyDescent="0.25">
      <c r="A279" s="67">
        <v>45721</v>
      </c>
      <c r="B279" s="13" t="s">
        <v>446</v>
      </c>
      <c r="C279" s="13" t="s">
        <v>447</v>
      </c>
      <c r="D279" s="13" t="s">
        <v>15</v>
      </c>
      <c r="E279" s="13">
        <v>20000</v>
      </c>
      <c r="F279" s="67">
        <v>45721</v>
      </c>
      <c r="G279" s="13" t="s">
        <v>16</v>
      </c>
      <c r="H279" s="13" t="s">
        <v>12</v>
      </c>
      <c r="I279" s="13">
        <f>_xlfn.XLOOKUP(F279,'Wk no''s'!B:B,'Wk no''s'!C:C,FALSE)</f>
        <v>10</v>
      </c>
      <c r="J279" s="13">
        <f>IF(D279="GBP",1,SUMIFS('Ex Rates'!I:I,'Ex Rates'!K:K,'Weekly Closed Proposal Requests'!L279,'Ex Rates'!G:G,'Weekly Closed Proposal Requests'!D279))</f>
        <v>1</v>
      </c>
      <c r="K279" s="13">
        <f t="shared" si="4"/>
        <v>20000</v>
      </c>
      <c r="L279" s="13" t="str">
        <f>_xlfn.XLOOKUP(I279,'Wk no''s'!C:C,'Wk no''s'!E:E,0)</f>
        <v>Mar</v>
      </c>
    </row>
    <row r="280" spans="1:12" x14ac:dyDescent="0.25">
      <c r="A280" s="67">
        <v>45713</v>
      </c>
      <c r="B280" s="13" t="s">
        <v>470</v>
      </c>
      <c r="C280" s="13" t="s">
        <v>119</v>
      </c>
      <c r="D280" s="13" t="s">
        <v>15</v>
      </c>
      <c r="E280" s="13">
        <v>36398</v>
      </c>
      <c r="F280" s="67">
        <v>45722</v>
      </c>
      <c r="G280" s="13" t="s">
        <v>47</v>
      </c>
      <c r="H280" s="13" t="s">
        <v>50</v>
      </c>
      <c r="I280" s="13">
        <f>_xlfn.XLOOKUP(F280,'Wk no''s'!B:B,'Wk no''s'!C:C,FALSE)</f>
        <v>10</v>
      </c>
      <c r="J280" s="13">
        <f>IF(D280="GBP",1,SUMIFS('Ex Rates'!I:I,'Ex Rates'!K:K,'Weekly Closed Proposal Requests'!L280,'Ex Rates'!G:G,'Weekly Closed Proposal Requests'!D280))</f>
        <v>1</v>
      </c>
      <c r="K280" s="13">
        <f t="shared" si="4"/>
        <v>36398</v>
      </c>
      <c r="L280" s="13" t="str">
        <f>_xlfn.XLOOKUP(I280,'Wk no''s'!C:C,'Wk no''s'!E:E,0)</f>
        <v>Mar</v>
      </c>
    </row>
    <row r="281" spans="1:12" x14ac:dyDescent="0.25">
      <c r="A281" s="67">
        <v>45716</v>
      </c>
      <c r="B281" s="13" t="s">
        <v>482</v>
      </c>
      <c r="C281" s="13" t="s">
        <v>80</v>
      </c>
      <c r="D281" s="13" t="s">
        <v>15</v>
      </c>
      <c r="E281" s="13">
        <v>50000</v>
      </c>
      <c r="F281" s="67">
        <v>45722</v>
      </c>
      <c r="G281" s="13" t="s">
        <v>72</v>
      </c>
      <c r="H281" s="13" t="s">
        <v>19</v>
      </c>
      <c r="I281" s="13">
        <f>_xlfn.XLOOKUP(F281,'Wk no''s'!B:B,'Wk no''s'!C:C,FALSE)</f>
        <v>10</v>
      </c>
      <c r="J281" s="13">
        <f>IF(D281="GBP",1,SUMIFS('Ex Rates'!I:I,'Ex Rates'!K:K,'Weekly Closed Proposal Requests'!L281,'Ex Rates'!G:G,'Weekly Closed Proposal Requests'!D281))</f>
        <v>1</v>
      </c>
      <c r="K281" s="13">
        <f t="shared" si="4"/>
        <v>50000</v>
      </c>
      <c r="L281" s="13" t="str">
        <f>_xlfn.XLOOKUP(I281,'Wk no''s'!C:C,'Wk no''s'!E:E,0)</f>
        <v>Mar</v>
      </c>
    </row>
    <row r="282" spans="1:12" x14ac:dyDescent="0.25">
      <c r="A282" s="67">
        <v>45719</v>
      </c>
      <c r="B282" s="13" t="s">
        <v>459</v>
      </c>
      <c r="C282" s="13" t="s">
        <v>27</v>
      </c>
      <c r="D282" s="13" t="s">
        <v>15</v>
      </c>
      <c r="E282" s="13">
        <v>20000</v>
      </c>
      <c r="F282" s="67">
        <v>45722</v>
      </c>
      <c r="G282" s="13" t="s">
        <v>16</v>
      </c>
      <c r="H282" s="13" t="s">
        <v>50</v>
      </c>
      <c r="I282" s="13">
        <f>_xlfn.XLOOKUP(F282,'Wk no''s'!B:B,'Wk no''s'!C:C,FALSE)</f>
        <v>10</v>
      </c>
      <c r="J282" s="13">
        <f>IF(D282="GBP",1,SUMIFS('Ex Rates'!I:I,'Ex Rates'!K:K,'Weekly Closed Proposal Requests'!L282,'Ex Rates'!G:G,'Weekly Closed Proposal Requests'!D282))</f>
        <v>1</v>
      </c>
      <c r="K282" s="13">
        <f t="shared" si="4"/>
        <v>20000</v>
      </c>
      <c r="L282" s="13" t="str">
        <f>_xlfn.XLOOKUP(I282,'Wk no''s'!C:C,'Wk no''s'!E:E,0)</f>
        <v>Mar</v>
      </c>
    </row>
    <row r="283" spans="1:12" x14ac:dyDescent="0.25">
      <c r="A283" s="67">
        <v>45719</v>
      </c>
      <c r="B283" s="13" t="s">
        <v>453</v>
      </c>
      <c r="C283" s="13" t="s">
        <v>454</v>
      </c>
      <c r="D283" s="13" t="s">
        <v>15</v>
      </c>
      <c r="E283" s="13">
        <v>100000</v>
      </c>
      <c r="F283" s="67">
        <v>45722</v>
      </c>
      <c r="G283" s="13" t="s">
        <v>16</v>
      </c>
      <c r="H283" s="13" t="s">
        <v>19</v>
      </c>
      <c r="I283" s="13">
        <f>_xlfn.XLOOKUP(F283,'Wk no''s'!B:B,'Wk no''s'!C:C,FALSE)</f>
        <v>10</v>
      </c>
      <c r="J283" s="13">
        <f>IF(D283="GBP",1,SUMIFS('Ex Rates'!I:I,'Ex Rates'!K:K,'Weekly Closed Proposal Requests'!L283,'Ex Rates'!G:G,'Weekly Closed Proposal Requests'!D283))</f>
        <v>1</v>
      </c>
      <c r="K283" s="13">
        <f t="shared" si="4"/>
        <v>100000</v>
      </c>
      <c r="L283" s="13" t="str">
        <f>_xlfn.XLOOKUP(I283,'Wk no''s'!C:C,'Wk no''s'!E:E,0)</f>
        <v>Mar</v>
      </c>
    </row>
    <row r="284" spans="1:12" x14ac:dyDescent="0.25">
      <c r="A284" s="67">
        <v>45719</v>
      </c>
      <c r="B284" s="13" t="s">
        <v>455</v>
      </c>
      <c r="C284" s="13" t="s">
        <v>408</v>
      </c>
      <c r="D284" s="13" t="s">
        <v>15</v>
      </c>
      <c r="E284" s="13">
        <v>30000</v>
      </c>
      <c r="F284" s="67">
        <v>45722</v>
      </c>
      <c r="G284" s="13" t="s">
        <v>16</v>
      </c>
      <c r="H284" s="13" t="s">
        <v>19</v>
      </c>
      <c r="I284" s="13">
        <f>_xlfn.XLOOKUP(F284,'Wk no''s'!B:B,'Wk no''s'!C:C,FALSE)</f>
        <v>10</v>
      </c>
      <c r="J284" s="13">
        <f>IF(D284="GBP",1,SUMIFS('Ex Rates'!I:I,'Ex Rates'!K:K,'Weekly Closed Proposal Requests'!L284,'Ex Rates'!G:G,'Weekly Closed Proposal Requests'!D284))</f>
        <v>1</v>
      </c>
      <c r="K284" s="13">
        <f t="shared" si="4"/>
        <v>30000</v>
      </c>
      <c r="L284" s="13" t="str">
        <f>_xlfn.XLOOKUP(I284,'Wk no''s'!C:C,'Wk no''s'!E:E,0)</f>
        <v>Mar</v>
      </c>
    </row>
    <row r="285" spans="1:12" x14ac:dyDescent="0.25">
      <c r="A285" s="67">
        <v>45719</v>
      </c>
      <c r="B285" s="13" t="s">
        <v>456</v>
      </c>
      <c r="C285" s="13" t="s">
        <v>363</v>
      </c>
      <c r="D285" s="13" t="s">
        <v>15</v>
      </c>
      <c r="E285" s="13">
        <v>30000</v>
      </c>
      <c r="F285" s="67">
        <v>45722</v>
      </c>
      <c r="G285" s="13" t="s">
        <v>16</v>
      </c>
      <c r="H285" s="13" t="s">
        <v>19</v>
      </c>
      <c r="I285" s="13">
        <f>_xlfn.XLOOKUP(F285,'Wk no''s'!B:B,'Wk no''s'!C:C,FALSE)</f>
        <v>10</v>
      </c>
      <c r="J285" s="13">
        <f>IF(D285="GBP",1,SUMIFS('Ex Rates'!I:I,'Ex Rates'!K:K,'Weekly Closed Proposal Requests'!L285,'Ex Rates'!G:G,'Weekly Closed Proposal Requests'!D285))</f>
        <v>1</v>
      </c>
      <c r="K285" s="13">
        <f t="shared" si="4"/>
        <v>30000</v>
      </c>
      <c r="L285" s="13" t="str">
        <f>_xlfn.XLOOKUP(I285,'Wk no''s'!C:C,'Wk no''s'!E:E,0)</f>
        <v>Mar</v>
      </c>
    </row>
    <row r="286" spans="1:12" x14ac:dyDescent="0.25">
      <c r="A286" s="67">
        <v>45721</v>
      </c>
      <c r="B286" s="13" t="s">
        <v>458</v>
      </c>
      <c r="C286" s="13" t="s">
        <v>410</v>
      </c>
      <c r="D286" s="13" t="s">
        <v>15</v>
      </c>
      <c r="E286" s="13">
        <v>500000</v>
      </c>
      <c r="F286" s="67">
        <v>45722</v>
      </c>
      <c r="G286" s="13" t="s">
        <v>16</v>
      </c>
      <c r="H286" s="13" t="s">
        <v>19</v>
      </c>
      <c r="I286" s="13">
        <f>_xlfn.XLOOKUP(F286,'Wk no''s'!B:B,'Wk no''s'!C:C,FALSE)</f>
        <v>10</v>
      </c>
      <c r="J286" s="13">
        <f>IF(D286="GBP",1,SUMIFS('Ex Rates'!I:I,'Ex Rates'!K:K,'Weekly Closed Proposal Requests'!L286,'Ex Rates'!G:G,'Weekly Closed Proposal Requests'!D286))</f>
        <v>1</v>
      </c>
      <c r="K286" s="13">
        <f t="shared" si="4"/>
        <v>500000</v>
      </c>
      <c r="L286" s="13" t="str">
        <f>_xlfn.XLOOKUP(I286,'Wk no''s'!C:C,'Wk no''s'!E:E,0)</f>
        <v>Mar</v>
      </c>
    </row>
    <row r="287" spans="1:12" x14ac:dyDescent="0.25">
      <c r="A287" s="67">
        <v>45645</v>
      </c>
      <c r="B287" s="13" t="s">
        <v>464</v>
      </c>
      <c r="C287" s="13" t="s">
        <v>465</v>
      </c>
      <c r="D287" s="13" t="s">
        <v>46</v>
      </c>
      <c r="E287" s="13">
        <v>1000000</v>
      </c>
      <c r="F287" s="67">
        <v>45723</v>
      </c>
      <c r="G287" s="13" t="s">
        <v>47</v>
      </c>
      <c r="H287" s="13" t="s">
        <v>19</v>
      </c>
      <c r="I287" s="13">
        <f>_xlfn.XLOOKUP(F287,'Wk no''s'!B:B,'Wk no''s'!C:C,FALSE)</f>
        <v>10</v>
      </c>
      <c r="J287" s="13">
        <f>IF(D287="GBP",1,SUMIFS('Ex Rates'!I:I,'Ex Rates'!K:K,'Weekly Closed Proposal Requests'!L287,'Ex Rates'!G:G,'Weekly Closed Proposal Requests'!D287))</f>
        <v>0.77399380804953555</v>
      </c>
      <c r="K287" s="13">
        <f t="shared" si="4"/>
        <v>773993.8080495355</v>
      </c>
      <c r="L287" s="13" t="str">
        <f>_xlfn.XLOOKUP(I287,'Wk no''s'!C:C,'Wk no''s'!E:E,0)</f>
        <v>Mar</v>
      </c>
    </row>
    <row r="288" spans="1:12" x14ac:dyDescent="0.25">
      <c r="A288" s="67">
        <v>45712</v>
      </c>
      <c r="B288" s="13" t="s">
        <v>460</v>
      </c>
      <c r="C288" s="13" t="s">
        <v>461</v>
      </c>
      <c r="D288" s="13" t="s">
        <v>40</v>
      </c>
      <c r="E288" s="13">
        <v>10000</v>
      </c>
      <c r="F288" s="67">
        <v>45723</v>
      </c>
      <c r="G288" s="13" t="s">
        <v>41</v>
      </c>
      <c r="H288" s="13" t="s">
        <v>19</v>
      </c>
      <c r="I288" s="13">
        <f>_xlfn.XLOOKUP(F288,'Wk no''s'!B:B,'Wk no''s'!C:C,FALSE)</f>
        <v>10</v>
      </c>
      <c r="J288" s="13">
        <f>IF(D288="GBP",1,SUMIFS('Ex Rates'!I:I,'Ex Rates'!K:K,'Weekly Closed Proposal Requests'!L288,'Ex Rates'!G:G,'Weekly Closed Proposal Requests'!D288))</f>
        <v>0.83752093802345062</v>
      </c>
      <c r="K288" s="13">
        <f t="shared" si="4"/>
        <v>8375.2093802345062</v>
      </c>
      <c r="L288" s="13" t="str">
        <f>_xlfn.XLOOKUP(I288,'Wk no''s'!C:C,'Wk no''s'!E:E,0)</f>
        <v>Mar</v>
      </c>
    </row>
    <row r="289" spans="1:12" x14ac:dyDescent="0.25">
      <c r="A289" s="67">
        <v>45712</v>
      </c>
      <c r="B289" s="13" t="s">
        <v>480</v>
      </c>
      <c r="C289" s="13" t="s">
        <v>481</v>
      </c>
      <c r="D289" s="13" t="s">
        <v>15</v>
      </c>
      <c r="E289" s="13">
        <v>300000</v>
      </c>
      <c r="F289" s="67">
        <v>45723</v>
      </c>
      <c r="G289" s="13" t="s">
        <v>72</v>
      </c>
      <c r="H289" s="13" t="s">
        <v>19</v>
      </c>
      <c r="I289" s="13">
        <f>_xlfn.XLOOKUP(F289,'Wk no''s'!B:B,'Wk no''s'!C:C,FALSE)</f>
        <v>10</v>
      </c>
      <c r="J289" s="13">
        <f>IF(D289="GBP",1,SUMIFS('Ex Rates'!I:I,'Ex Rates'!K:K,'Weekly Closed Proposal Requests'!L289,'Ex Rates'!G:G,'Weekly Closed Proposal Requests'!D289))</f>
        <v>1</v>
      </c>
      <c r="K289" s="13">
        <f t="shared" si="4"/>
        <v>300000</v>
      </c>
      <c r="L289" s="13" t="str">
        <f>_xlfn.XLOOKUP(I289,'Wk no''s'!C:C,'Wk no''s'!E:E,0)</f>
        <v>Mar</v>
      </c>
    </row>
    <row r="290" spans="1:12" x14ac:dyDescent="0.25">
      <c r="A290" s="67">
        <v>45719</v>
      </c>
      <c r="B290" s="13" t="s">
        <v>466</v>
      </c>
      <c r="C290" s="13" t="s">
        <v>265</v>
      </c>
      <c r="D290" s="13" t="s">
        <v>46</v>
      </c>
      <c r="E290" s="13">
        <v>12000</v>
      </c>
      <c r="F290" s="67">
        <v>45723</v>
      </c>
      <c r="G290" s="13" t="s">
        <v>47</v>
      </c>
      <c r="H290" s="13" t="s">
        <v>19</v>
      </c>
      <c r="I290" s="13">
        <f>_xlfn.XLOOKUP(F290,'Wk no''s'!B:B,'Wk no''s'!C:C,FALSE)</f>
        <v>10</v>
      </c>
      <c r="J290" s="13">
        <f>IF(D290="GBP",1,SUMIFS('Ex Rates'!I:I,'Ex Rates'!K:K,'Weekly Closed Proposal Requests'!L290,'Ex Rates'!G:G,'Weekly Closed Proposal Requests'!D290))</f>
        <v>0.77399380804953555</v>
      </c>
      <c r="K290" s="13">
        <f t="shared" si="4"/>
        <v>9287.925696594426</v>
      </c>
      <c r="L290" s="13" t="str">
        <f>_xlfn.XLOOKUP(I290,'Wk no''s'!C:C,'Wk no''s'!E:E,0)</f>
        <v>Mar</v>
      </c>
    </row>
    <row r="291" spans="1:12" x14ac:dyDescent="0.25">
      <c r="A291" s="67">
        <v>45722</v>
      </c>
      <c r="B291" s="13" t="s">
        <v>483</v>
      </c>
      <c r="C291" s="13" t="s">
        <v>86</v>
      </c>
      <c r="D291" s="13" t="s">
        <v>15</v>
      </c>
      <c r="E291" s="13">
        <v>30000</v>
      </c>
      <c r="F291" s="67">
        <v>45723</v>
      </c>
      <c r="G291" s="13" t="s">
        <v>72</v>
      </c>
      <c r="H291" s="13" t="s">
        <v>19</v>
      </c>
      <c r="I291" s="13">
        <f>_xlfn.XLOOKUP(F291,'Wk no''s'!B:B,'Wk no''s'!C:C,FALSE)</f>
        <v>10</v>
      </c>
      <c r="J291" s="13">
        <f>IF(D291="GBP",1,SUMIFS('Ex Rates'!I:I,'Ex Rates'!K:K,'Weekly Closed Proposal Requests'!L291,'Ex Rates'!G:G,'Weekly Closed Proposal Requests'!D291))</f>
        <v>1</v>
      </c>
      <c r="K291" s="13">
        <f t="shared" si="4"/>
        <v>30000</v>
      </c>
      <c r="L291" s="13" t="str">
        <f>_xlfn.XLOOKUP(I291,'Wk no''s'!C:C,'Wk no''s'!E:E,0)</f>
        <v>Mar</v>
      </c>
    </row>
    <row r="292" spans="1:12" x14ac:dyDescent="0.25">
      <c r="A292" s="67">
        <v>45702</v>
      </c>
      <c r="B292" s="13" t="s">
        <v>507</v>
      </c>
      <c r="C292" s="13" t="s">
        <v>508</v>
      </c>
      <c r="D292" s="13" t="s">
        <v>46</v>
      </c>
      <c r="E292" s="13">
        <v>90000</v>
      </c>
      <c r="F292" s="67">
        <v>45726</v>
      </c>
      <c r="G292" s="13" t="s">
        <v>47</v>
      </c>
      <c r="H292" s="13" t="s">
        <v>19</v>
      </c>
      <c r="I292" s="13">
        <f>_xlfn.XLOOKUP(F292,'Wk no''s'!B:B,'Wk no''s'!C:C,FALSE)</f>
        <v>11</v>
      </c>
      <c r="J292" s="13">
        <f>IF(D292="GBP",1,SUMIFS('Ex Rates'!I:I,'Ex Rates'!K:K,'Weekly Closed Proposal Requests'!L292,'Ex Rates'!G:G,'Weekly Closed Proposal Requests'!D292))</f>
        <v>0.77399380804953555</v>
      </c>
      <c r="K292" s="13">
        <f t="shared" si="4"/>
        <v>69659.442724458204</v>
      </c>
      <c r="L292" s="13" t="str">
        <f>_xlfn.XLOOKUP(I292,'Wk no''s'!C:C,'Wk no''s'!E:E,0)</f>
        <v>Mar</v>
      </c>
    </row>
    <row r="293" spans="1:12" x14ac:dyDescent="0.25">
      <c r="A293" s="67">
        <v>45720</v>
      </c>
      <c r="B293" s="13" t="s">
        <v>524</v>
      </c>
      <c r="C293" s="13" t="s">
        <v>525</v>
      </c>
      <c r="D293" s="13" t="s">
        <v>10</v>
      </c>
      <c r="E293" s="13">
        <v>40000</v>
      </c>
      <c r="F293" s="67">
        <v>45726</v>
      </c>
      <c r="G293" s="13" t="s">
        <v>11</v>
      </c>
      <c r="H293" s="13" t="s">
        <v>12</v>
      </c>
      <c r="I293" s="13">
        <f>_xlfn.XLOOKUP(F293,'Wk no''s'!B:B,'Wk no''s'!C:C,FALSE)</f>
        <v>11</v>
      </c>
      <c r="J293" s="13">
        <f>IF(D293="GBP",1,SUMIFS('Ex Rates'!I:I,'Ex Rates'!K:K,'Weekly Closed Proposal Requests'!L293,'Ex Rates'!G:G,'Weekly Closed Proposal Requests'!D293))</f>
        <v>0.48379293662312528</v>
      </c>
      <c r="K293" s="13">
        <f t="shared" si="4"/>
        <v>19351.717464925012</v>
      </c>
      <c r="L293" s="13" t="str">
        <f>_xlfn.XLOOKUP(I293,'Wk no''s'!C:C,'Wk no''s'!E:E,0)</f>
        <v>Mar</v>
      </c>
    </row>
    <row r="294" spans="1:12" x14ac:dyDescent="0.25">
      <c r="A294" s="67">
        <v>45720</v>
      </c>
      <c r="B294" s="13" t="s">
        <v>500</v>
      </c>
      <c r="C294" s="13" t="s">
        <v>463</v>
      </c>
      <c r="D294" s="13" t="s">
        <v>40</v>
      </c>
      <c r="E294" s="13">
        <v>1000</v>
      </c>
      <c r="F294" s="67">
        <v>45726</v>
      </c>
      <c r="G294" s="13" t="s">
        <v>41</v>
      </c>
      <c r="H294" s="13" t="s">
        <v>19</v>
      </c>
      <c r="I294" s="13">
        <f>_xlfn.XLOOKUP(F294,'Wk no''s'!B:B,'Wk no''s'!C:C,FALSE)</f>
        <v>11</v>
      </c>
      <c r="J294" s="13">
        <f>IF(D294="GBP",1,SUMIFS('Ex Rates'!I:I,'Ex Rates'!K:K,'Weekly Closed Proposal Requests'!L294,'Ex Rates'!G:G,'Weekly Closed Proposal Requests'!D294))</f>
        <v>0.83752093802345062</v>
      </c>
      <c r="K294" s="13">
        <f t="shared" si="4"/>
        <v>837.52093802345064</v>
      </c>
      <c r="L294" s="13" t="str">
        <f>_xlfn.XLOOKUP(I294,'Wk no''s'!C:C,'Wk no''s'!E:E,0)</f>
        <v>Mar</v>
      </c>
    </row>
    <row r="295" spans="1:12" x14ac:dyDescent="0.25">
      <c r="A295" s="67">
        <v>45720</v>
      </c>
      <c r="B295" s="13" t="s">
        <v>516</v>
      </c>
      <c r="C295" s="13" t="s">
        <v>58</v>
      </c>
      <c r="D295" s="13" t="s">
        <v>15</v>
      </c>
      <c r="E295" s="13">
        <v>41805</v>
      </c>
      <c r="F295" s="67">
        <v>45726</v>
      </c>
      <c r="G295" s="13" t="s">
        <v>47</v>
      </c>
      <c r="H295" s="13" t="s">
        <v>50</v>
      </c>
      <c r="I295" s="13">
        <f>_xlfn.XLOOKUP(F295,'Wk no''s'!B:B,'Wk no''s'!C:C,FALSE)</f>
        <v>11</v>
      </c>
      <c r="J295" s="13">
        <f>IF(D295="GBP",1,SUMIFS('Ex Rates'!I:I,'Ex Rates'!K:K,'Weekly Closed Proposal Requests'!L295,'Ex Rates'!G:G,'Weekly Closed Proposal Requests'!D295))</f>
        <v>1</v>
      </c>
      <c r="K295" s="13">
        <f t="shared" si="4"/>
        <v>41805</v>
      </c>
      <c r="L295" s="13" t="str">
        <f>_xlfn.XLOOKUP(I295,'Wk no''s'!C:C,'Wk no''s'!E:E,0)</f>
        <v>Mar</v>
      </c>
    </row>
    <row r="296" spans="1:12" x14ac:dyDescent="0.25">
      <c r="A296" s="67">
        <v>45722</v>
      </c>
      <c r="B296" s="13" t="s">
        <v>530</v>
      </c>
      <c r="C296" s="13" t="s">
        <v>525</v>
      </c>
      <c r="D296" s="13" t="s">
        <v>10</v>
      </c>
      <c r="E296" s="13">
        <v>2000</v>
      </c>
      <c r="F296" s="67">
        <v>45726</v>
      </c>
      <c r="G296" s="13" t="s">
        <v>11</v>
      </c>
      <c r="H296" s="13" t="s">
        <v>50</v>
      </c>
      <c r="I296" s="13">
        <f>_xlfn.XLOOKUP(F296,'Wk no''s'!B:B,'Wk no''s'!C:C,FALSE)</f>
        <v>11</v>
      </c>
      <c r="J296" s="13">
        <f>IF(D296="GBP",1,SUMIFS('Ex Rates'!I:I,'Ex Rates'!K:K,'Weekly Closed Proposal Requests'!L296,'Ex Rates'!G:G,'Weekly Closed Proposal Requests'!D296))</f>
        <v>0.48379293662312528</v>
      </c>
      <c r="K296" s="13">
        <f t="shared" si="4"/>
        <v>967.58587324625057</v>
      </c>
      <c r="L296" s="13" t="str">
        <f>_xlfn.XLOOKUP(I296,'Wk no''s'!C:C,'Wk no''s'!E:E,0)</f>
        <v>Mar</v>
      </c>
    </row>
    <row r="297" spans="1:12" x14ac:dyDescent="0.25">
      <c r="A297" s="67">
        <v>45722</v>
      </c>
      <c r="B297" s="13" t="s">
        <v>498</v>
      </c>
      <c r="C297" s="13" t="s">
        <v>499</v>
      </c>
      <c r="D297" s="13" t="s">
        <v>15</v>
      </c>
      <c r="E297" s="13">
        <v>1</v>
      </c>
      <c r="F297" s="67">
        <v>45726</v>
      </c>
      <c r="G297" s="13" t="s">
        <v>16</v>
      </c>
      <c r="H297" s="13" t="s">
        <v>50</v>
      </c>
      <c r="I297" s="13">
        <f>_xlfn.XLOOKUP(F297,'Wk no''s'!B:B,'Wk no''s'!C:C,FALSE)</f>
        <v>11</v>
      </c>
      <c r="J297" s="13">
        <f>IF(D297="GBP",1,SUMIFS('Ex Rates'!I:I,'Ex Rates'!K:K,'Weekly Closed Proposal Requests'!L297,'Ex Rates'!G:G,'Weekly Closed Proposal Requests'!D297))</f>
        <v>1</v>
      </c>
      <c r="K297" s="13">
        <f t="shared" si="4"/>
        <v>1</v>
      </c>
      <c r="L297" s="13" t="str">
        <f>_xlfn.XLOOKUP(I297,'Wk no''s'!C:C,'Wk no''s'!E:E,0)</f>
        <v>Mar</v>
      </c>
    </row>
    <row r="298" spans="1:12" x14ac:dyDescent="0.25">
      <c r="A298" s="67">
        <v>45722</v>
      </c>
      <c r="B298" s="13" t="s">
        <v>517</v>
      </c>
      <c r="C298" s="13" t="s">
        <v>220</v>
      </c>
      <c r="D298" s="13" t="s">
        <v>15</v>
      </c>
      <c r="E298" s="13">
        <v>93000</v>
      </c>
      <c r="F298" s="67">
        <v>45726</v>
      </c>
      <c r="G298" s="13" t="s">
        <v>47</v>
      </c>
      <c r="H298" s="13" t="s">
        <v>50</v>
      </c>
      <c r="I298" s="13">
        <f>_xlfn.XLOOKUP(F298,'Wk no''s'!B:B,'Wk no''s'!C:C,FALSE)</f>
        <v>11</v>
      </c>
      <c r="J298" s="13">
        <f>IF(D298="GBP",1,SUMIFS('Ex Rates'!I:I,'Ex Rates'!K:K,'Weekly Closed Proposal Requests'!L298,'Ex Rates'!G:G,'Weekly Closed Proposal Requests'!D298))</f>
        <v>1</v>
      </c>
      <c r="K298" s="13">
        <f t="shared" si="4"/>
        <v>93000</v>
      </c>
      <c r="L298" s="13" t="str">
        <f>_xlfn.XLOOKUP(I298,'Wk no''s'!C:C,'Wk no''s'!E:E,0)</f>
        <v>Mar</v>
      </c>
    </row>
    <row r="299" spans="1:12" x14ac:dyDescent="0.25">
      <c r="A299" s="67">
        <v>45723</v>
      </c>
      <c r="B299" s="13" t="s">
        <v>519</v>
      </c>
      <c r="C299" s="13" t="s">
        <v>169</v>
      </c>
      <c r="D299" s="13" t="s">
        <v>15</v>
      </c>
      <c r="E299" s="13">
        <v>121110</v>
      </c>
      <c r="F299" s="67">
        <v>45726</v>
      </c>
      <c r="G299" s="13" t="s">
        <v>47</v>
      </c>
      <c r="H299" s="13" t="s">
        <v>50</v>
      </c>
      <c r="I299" s="13">
        <f>_xlfn.XLOOKUP(F299,'Wk no''s'!B:B,'Wk no''s'!C:C,FALSE)</f>
        <v>11</v>
      </c>
      <c r="J299" s="13">
        <f>IF(D299="GBP",1,SUMIFS('Ex Rates'!I:I,'Ex Rates'!K:K,'Weekly Closed Proposal Requests'!L299,'Ex Rates'!G:G,'Weekly Closed Proposal Requests'!D299))</f>
        <v>1</v>
      </c>
      <c r="K299" s="13">
        <f t="shared" si="4"/>
        <v>121110</v>
      </c>
      <c r="L299" s="13" t="str">
        <f>_xlfn.XLOOKUP(I299,'Wk no''s'!C:C,'Wk no''s'!E:E,0)</f>
        <v>Mar</v>
      </c>
    </row>
    <row r="300" spans="1:12" x14ac:dyDescent="0.25">
      <c r="A300" s="67">
        <v>45702</v>
      </c>
      <c r="B300" s="13" t="s">
        <v>511</v>
      </c>
      <c r="C300" s="13" t="s">
        <v>512</v>
      </c>
      <c r="D300" s="13" t="s">
        <v>15</v>
      </c>
      <c r="E300" s="13">
        <v>115826.2</v>
      </c>
      <c r="F300" s="67">
        <v>45727</v>
      </c>
      <c r="G300" s="13" t="s">
        <v>47</v>
      </c>
      <c r="H300" s="13" t="s">
        <v>50</v>
      </c>
      <c r="I300" s="13">
        <f>_xlfn.XLOOKUP(F300,'Wk no''s'!B:B,'Wk no''s'!C:C,FALSE)</f>
        <v>11</v>
      </c>
      <c r="J300" s="13">
        <f>IF(D300="GBP",1,SUMIFS('Ex Rates'!I:I,'Ex Rates'!K:K,'Weekly Closed Proposal Requests'!L300,'Ex Rates'!G:G,'Weekly Closed Proposal Requests'!D300))</f>
        <v>1</v>
      </c>
      <c r="K300" s="13">
        <f t="shared" si="4"/>
        <v>115826.2</v>
      </c>
      <c r="L300" s="13" t="str">
        <f>_xlfn.XLOOKUP(I300,'Wk no''s'!C:C,'Wk no''s'!E:E,0)</f>
        <v>Mar</v>
      </c>
    </row>
    <row r="301" spans="1:12" x14ac:dyDescent="0.25">
      <c r="A301" s="67">
        <v>45723</v>
      </c>
      <c r="B301" s="13" t="s">
        <v>489</v>
      </c>
      <c r="C301" s="13" t="s">
        <v>490</v>
      </c>
      <c r="D301" s="13" t="s">
        <v>15</v>
      </c>
      <c r="E301" s="13">
        <v>200000</v>
      </c>
      <c r="F301" s="67">
        <v>45727</v>
      </c>
      <c r="G301" s="13" t="s">
        <v>16</v>
      </c>
      <c r="H301" s="13" t="s">
        <v>19</v>
      </c>
      <c r="I301" s="13">
        <f>_xlfn.XLOOKUP(F301,'Wk no''s'!B:B,'Wk no''s'!C:C,FALSE)</f>
        <v>11</v>
      </c>
      <c r="J301" s="13">
        <f>IF(D301="GBP",1,SUMIFS('Ex Rates'!I:I,'Ex Rates'!K:K,'Weekly Closed Proposal Requests'!L301,'Ex Rates'!G:G,'Weekly Closed Proposal Requests'!D301))</f>
        <v>1</v>
      </c>
      <c r="K301" s="13">
        <f t="shared" si="4"/>
        <v>200000</v>
      </c>
      <c r="L301" s="13" t="str">
        <f>_xlfn.XLOOKUP(I301,'Wk no''s'!C:C,'Wk no''s'!E:E,0)</f>
        <v>Mar</v>
      </c>
    </row>
    <row r="302" spans="1:12" x14ac:dyDescent="0.25">
      <c r="A302" s="67">
        <v>45723</v>
      </c>
      <c r="B302" s="13" t="s">
        <v>535</v>
      </c>
      <c r="C302" s="13" t="s">
        <v>536</v>
      </c>
      <c r="D302" s="13" t="s">
        <v>15</v>
      </c>
      <c r="E302" s="13">
        <v>20000</v>
      </c>
      <c r="F302" s="67">
        <v>45727</v>
      </c>
      <c r="G302" s="13" t="s">
        <v>72</v>
      </c>
      <c r="H302" s="13" t="s">
        <v>19</v>
      </c>
      <c r="I302" s="13">
        <f>_xlfn.XLOOKUP(F302,'Wk no''s'!B:B,'Wk no''s'!C:C,FALSE)</f>
        <v>11</v>
      </c>
      <c r="J302" s="13">
        <f>IF(D302="GBP",1,SUMIFS('Ex Rates'!I:I,'Ex Rates'!K:K,'Weekly Closed Proposal Requests'!L302,'Ex Rates'!G:G,'Weekly Closed Proposal Requests'!D302))</f>
        <v>1</v>
      </c>
      <c r="K302" s="13">
        <f t="shared" si="4"/>
        <v>20000</v>
      </c>
      <c r="L302" s="13" t="str">
        <f>_xlfn.XLOOKUP(I302,'Wk no''s'!C:C,'Wk no''s'!E:E,0)</f>
        <v>Mar</v>
      </c>
    </row>
    <row r="303" spans="1:12" x14ac:dyDescent="0.25">
      <c r="A303" s="67">
        <v>45723</v>
      </c>
      <c r="B303" s="13" t="s">
        <v>510</v>
      </c>
      <c r="C303" s="13" t="s">
        <v>211</v>
      </c>
      <c r="D303" s="13" t="s">
        <v>46</v>
      </c>
      <c r="E303" s="13">
        <v>150000</v>
      </c>
      <c r="F303" s="67">
        <v>45727</v>
      </c>
      <c r="G303" s="13" t="s">
        <v>47</v>
      </c>
      <c r="H303" s="13" t="s">
        <v>19</v>
      </c>
      <c r="I303" s="13">
        <f>_xlfn.XLOOKUP(F303,'Wk no''s'!B:B,'Wk no''s'!C:C,FALSE)</f>
        <v>11</v>
      </c>
      <c r="J303" s="13">
        <f>IF(D303="GBP",1,SUMIFS('Ex Rates'!I:I,'Ex Rates'!K:K,'Weekly Closed Proposal Requests'!L303,'Ex Rates'!G:G,'Weekly Closed Proposal Requests'!D303))</f>
        <v>0.77399380804953555</v>
      </c>
      <c r="K303" s="13">
        <f t="shared" si="4"/>
        <v>116099.07120743033</v>
      </c>
      <c r="L303" s="13" t="str">
        <f>_xlfn.XLOOKUP(I303,'Wk no''s'!C:C,'Wk no''s'!E:E,0)</f>
        <v>Mar</v>
      </c>
    </row>
    <row r="304" spans="1:12" x14ac:dyDescent="0.25">
      <c r="A304" s="67">
        <v>45727</v>
      </c>
      <c r="B304" s="13" t="s">
        <v>484</v>
      </c>
      <c r="C304" s="13" t="s">
        <v>447</v>
      </c>
      <c r="D304" s="13" t="s">
        <v>15</v>
      </c>
      <c r="E304" s="13">
        <v>20000</v>
      </c>
      <c r="F304" s="67">
        <v>45727</v>
      </c>
      <c r="G304" s="13" t="s">
        <v>16</v>
      </c>
      <c r="H304" s="13" t="s">
        <v>281</v>
      </c>
      <c r="I304" s="13">
        <f>_xlfn.XLOOKUP(F304,'Wk no''s'!B:B,'Wk no''s'!C:C,FALSE)</f>
        <v>11</v>
      </c>
      <c r="J304" s="13">
        <f>IF(D304="GBP",1,SUMIFS('Ex Rates'!I:I,'Ex Rates'!K:K,'Weekly Closed Proposal Requests'!L304,'Ex Rates'!G:G,'Weekly Closed Proposal Requests'!D304))</f>
        <v>1</v>
      </c>
      <c r="K304" s="13">
        <f t="shared" si="4"/>
        <v>20000</v>
      </c>
      <c r="L304" s="13" t="str">
        <f>_xlfn.XLOOKUP(I304,'Wk no''s'!C:C,'Wk no''s'!E:E,0)</f>
        <v>Mar</v>
      </c>
    </row>
    <row r="305" spans="1:12" x14ac:dyDescent="0.25">
      <c r="A305" s="67">
        <v>45716</v>
      </c>
      <c r="B305" s="13" t="s">
        <v>532</v>
      </c>
      <c r="C305" s="13" t="s">
        <v>533</v>
      </c>
      <c r="D305" s="13" t="s">
        <v>15</v>
      </c>
      <c r="E305" s="13">
        <v>200000</v>
      </c>
      <c r="F305" s="67">
        <v>45728</v>
      </c>
      <c r="G305" s="13" t="s">
        <v>72</v>
      </c>
      <c r="H305" s="13" t="s">
        <v>19</v>
      </c>
      <c r="I305" s="13">
        <f>_xlfn.XLOOKUP(F305,'Wk no''s'!B:B,'Wk no''s'!C:C,FALSE)</f>
        <v>11</v>
      </c>
      <c r="J305" s="13">
        <f>IF(D305="GBP",1,SUMIFS('Ex Rates'!I:I,'Ex Rates'!K:K,'Weekly Closed Proposal Requests'!L305,'Ex Rates'!G:G,'Weekly Closed Proposal Requests'!D305))</f>
        <v>1</v>
      </c>
      <c r="K305" s="13">
        <f t="shared" si="4"/>
        <v>200000</v>
      </c>
      <c r="L305" s="13" t="str">
        <f>_xlfn.XLOOKUP(I305,'Wk no''s'!C:C,'Wk no''s'!E:E,0)</f>
        <v>Mar</v>
      </c>
    </row>
    <row r="306" spans="1:12" x14ac:dyDescent="0.25">
      <c r="A306" s="67">
        <v>45719</v>
      </c>
      <c r="B306" s="13" t="s">
        <v>534</v>
      </c>
      <c r="C306" s="13" t="s">
        <v>291</v>
      </c>
      <c r="D306" s="13" t="s">
        <v>15</v>
      </c>
      <c r="E306" s="13">
        <v>600000</v>
      </c>
      <c r="F306" s="67">
        <v>45728</v>
      </c>
      <c r="G306" s="13" t="s">
        <v>72</v>
      </c>
      <c r="H306" s="13" t="s">
        <v>19</v>
      </c>
      <c r="I306" s="13">
        <f>_xlfn.XLOOKUP(F306,'Wk no''s'!B:B,'Wk no''s'!C:C,FALSE)</f>
        <v>11</v>
      </c>
      <c r="J306" s="13">
        <f>IF(D306="GBP",1,SUMIFS('Ex Rates'!I:I,'Ex Rates'!K:K,'Weekly Closed Proposal Requests'!L306,'Ex Rates'!G:G,'Weekly Closed Proposal Requests'!D306))</f>
        <v>1</v>
      </c>
      <c r="K306" s="13">
        <f t="shared" si="4"/>
        <v>600000</v>
      </c>
      <c r="L306" s="13" t="str">
        <f>_xlfn.XLOOKUP(I306,'Wk no''s'!C:C,'Wk no''s'!E:E,0)</f>
        <v>Mar</v>
      </c>
    </row>
    <row r="307" spans="1:12" x14ac:dyDescent="0.25">
      <c r="A307" s="67">
        <v>45719</v>
      </c>
      <c r="B307" s="13" t="s">
        <v>514</v>
      </c>
      <c r="C307" s="13" t="s">
        <v>515</v>
      </c>
      <c r="D307" s="13" t="s">
        <v>15</v>
      </c>
      <c r="E307" s="13">
        <v>10767</v>
      </c>
      <c r="F307" s="67">
        <v>45728</v>
      </c>
      <c r="G307" s="13" t="s">
        <v>47</v>
      </c>
      <c r="H307" s="13" t="s">
        <v>50</v>
      </c>
      <c r="I307" s="13">
        <f>_xlfn.XLOOKUP(F307,'Wk no''s'!B:B,'Wk no''s'!C:C,FALSE)</f>
        <v>11</v>
      </c>
      <c r="J307" s="13">
        <f>IF(D307="GBP",1,SUMIFS('Ex Rates'!I:I,'Ex Rates'!K:K,'Weekly Closed Proposal Requests'!L307,'Ex Rates'!G:G,'Weekly Closed Proposal Requests'!D307))</f>
        <v>1</v>
      </c>
      <c r="K307" s="13">
        <f t="shared" si="4"/>
        <v>10767</v>
      </c>
      <c r="L307" s="13" t="str">
        <f>_xlfn.XLOOKUP(I307,'Wk no''s'!C:C,'Wk no''s'!E:E,0)</f>
        <v>Mar</v>
      </c>
    </row>
    <row r="308" spans="1:12" x14ac:dyDescent="0.25">
      <c r="A308" s="67">
        <v>45722</v>
      </c>
      <c r="B308" s="13" t="s">
        <v>501</v>
      </c>
      <c r="C308" s="13" t="s">
        <v>502</v>
      </c>
      <c r="D308" s="13" t="s">
        <v>40</v>
      </c>
      <c r="E308" s="13">
        <v>8000</v>
      </c>
      <c r="F308" s="67">
        <v>45728</v>
      </c>
      <c r="G308" s="13" t="s">
        <v>41</v>
      </c>
      <c r="H308" s="13" t="s">
        <v>19</v>
      </c>
      <c r="I308" s="13">
        <f>_xlfn.XLOOKUP(F308,'Wk no''s'!B:B,'Wk no''s'!C:C,FALSE)</f>
        <v>11</v>
      </c>
      <c r="J308" s="13">
        <f>IF(D308="GBP",1,SUMIFS('Ex Rates'!I:I,'Ex Rates'!K:K,'Weekly Closed Proposal Requests'!L308,'Ex Rates'!G:G,'Weekly Closed Proposal Requests'!D308))</f>
        <v>0.83752093802345062</v>
      </c>
      <c r="K308" s="13">
        <f t="shared" si="4"/>
        <v>6700.1675041876051</v>
      </c>
      <c r="L308" s="13" t="str">
        <f>_xlfn.XLOOKUP(I308,'Wk no''s'!C:C,'Wk no''s'!E:E,0)</f>
        <v>Mar</v>
      </c>
    </row>
    <row r="309" spans="1:12" x14ac:dyDescent="0.25">
      <c r="A309" s="67">
        <v>45723</v>
      </c>
      <c r="B309" s="13" t="s">
        <v>518</v>
      </c>
      <c r="C309" s="13" t="s">
        <v>222</v>
      </c>
      <c r="D309" s="13" t="s">
        <v>46</v>
      </c>
      <c r="E309" s="13">
        <v>58000</v>
      </c>
      <c r="F309" s="67">
        <v>45728</v>
      </c>
      <c r="G309" s="13" t="s">
        <v>47</v>
      </c>
      <c r="H309" s="13" t="s">
        <v>50</v>
      </c>
      <c r="I309" s="13">
        <f>_xlfn.XLOOKUP(F309,'Wk no''s'!B:B,'Wk no''s'!C:C,FALSE)</f>
        <v>11</v>
      </c>
      <c r="J309" s="13">
        <f>IF(D309="GBP",1,SUMIFS('Ex Rates'!I:I,'Ex Rates'!K:K,'Weekly Closed Proposal Requests'!L309,'Ex Rates'!G:G,'Weekly Closed Proposal Requests'!D309))</f>
        <v>0.77399380804953555</v>
      </c>
      <c r="K309" s="13">
        <f t="shared" si="4"/>
        <v>44891.640866873058</v>
      </c>
      <c r="L309" s="13" t="str">
        <f>_xlfn.XLOOKUP(I309,'Wk no''s'!C:C,'Wk no''s'!E:E,0)</f>
        <v>Mar</v>
      </c>
    </row>
    <row r="310" spans="1:12" x14ac:dyDescent="0.25">
      <c r="A310" s="67">
        <v>45723</v>
      </c>
      <c r="B310" s="13" t="s">
        <v>491</v>
      </c>
      <c r="C310" s="13" t="s">
        <v>492</v>
      </c>
      <c r="D310" s="13" t="s">
        <v>15</v>
      </c>
      <c r="E310" s="13">
        <v>10000</v>
      </c>
      <c r="F310" s="67">
        <v>45728</v>
      </c>
      <c r="G310" s="13" t="s">
        <v>16</v>
      </c>
      <c r="H310" s="13" t="s">
        <v>19</v>
      </c>
      <c r="I310" s="13">
        <f>_xlfn.XLOOKUP(F310,'Wk no''s'!B:B,'Wk no''s'!C:C,FALSE)</f>
        <v>11</v>
      </c>
      <c r="J310" s="13">
        <f>IF(D310="GBP",1,SUMIFS('Ex Rates'!I:I,'Ex Rates'!K:K,'Weekly Closed Proposal Requests'!L310,'Ex Rates'!G:G,'Weekly Closed Proposal Requests'!D310))</f>
        <v>1</v>
      </c>
      <c r="K310" s="13">
        <f t="shared" si="4"/>
        <v>10000</v>
      </c>
      <c r="L310" s="13" t="str">
        <f>_xlfn.XLOOKUP(I310,'Wk no''s'!C:C,'Wk no''s'!E:E,0)</f>
        <v>Mar</v>
      </c>
    </row>
    <row r="311" spans="1:12" x14ac:dyDescent="0.25">
      <c r="A311" s="67">
        <v>45727</v>
      </c>
      <c r="B311" s="13" t="s">
        <v>495</v>
      </c>
      <c r="C311" s="13" t="s">
        <v>492</v>
      </c>
      <c r="D311" s="13" t="s">
        <v>15</v>
      </c>
      <c r="E311" s="13">
        <v>10000</v>
      </c>
      <c r="F311" s="67">
        <v>45728</v>
      </c>
      <c r="G311" s="13" t="s">
        <v>16</v>
      </c>
      <c r="H311" s="13" t="s">
        <v>19</v>
      </c>
      <c r="I311" s="13">
        <f>_xlfn.XLOOKUP(F311,'Wk no''s'!B:B,'Wk no''s'!C:C,FALSE)</f>
        <v>11</v>
      </c>
      <c r="J311" s="13">
        <f>IF(D311="GBP",1,SUMIFS('Ex Rates'!I:I,'Ex Rates'!K:K,'Weekly Closed Proposal Requests'!L311,'Ex Rates'!G:G,'Weekly Closed Proposal Requests'!D311))</f>
        <v>1</v>
      </c>
      <c r="K311" s="13">
        <f t="shared" si="4"/>
        <v>10000</v>
      </c>
      <c r="L311" s="13" t="str">
        <f>_xlfn.XLOOKUP(I311,'Wk no''s'!C:C,'Wk no''s'!E:E,0)</f>
        <v>Mar</v>
      </c>
    </row>
    <row r="312" spans="1:12" x14ac:dyDescent="0.25">
      <c r="A312" s="67">
        <v>45727</v>
      </c>
      <c r="B312" s="13" t="s">
        <v>504</v>
      </c>
      <c r="C312" s="13" t="s">
        <v>208</v>
      </c>
      <c r="D312" s="13" t="s">
        <v>40</v>
      </c>
      <c r="E312" s="13">
        <v>65000</v>
      </c>
      <c r="F312" s="67">
        <v>45728</v>
      </c>
      <c r="G312" s="13" t="s">
        <v>41</v>
      </c>
      <c r="H312" s="13" t="s">
        <v>19</v>
      </c>
      <c r="I312" s="13">
        <f>_xlfn.XLOOKUP(F312,'Wk no''s'!B:B,'Wk no''s'!C:C,FALSE)</f>
        <v>11</v>
      </c>
      <c r="J312" s="13">
        <f>IF(D312="GBP",1,SUMIFS('Ex Rates'!I:I,'Ex Rates'!K:K,'Weekly Closed Proposal Requests'!L312,'Ex Rates'!G:G,'Weekly Closed Proposal Requests'!D312))</f>
        <v>0.83752093802345062</v>
      </c>
      <c r="K312" s="13">
        <f t="shared" si="4"/>
        <v>54438.860971524293</v>
      </c>
      <c r="L312" s="13" t="str">
        <f>_xlfn.XLOOKUP(I312,'Wk no''s'!C:C,'Wk no''s'!E:E,0)</f>
        <v>Mar</v>
      </c>
    </row>
    <row r="313" spans="1:12" x14ac:dyDescent="0.25">
      <c r="A313" s="67">
        <v>45693</v>
      </c>
      <c r="B313" s="13" t="s">
        <v>529</v>
      </c>
      <c r="C313" s="13" t="s">
        <v>66</v>
      </c>
      <c r="D313" s="13" t="s">
        <v>15</v>
      </c>
      <c r="E313" s="13">
        <v>250000</v>
      </c>
      <c r="F313" s="67">
        <v>45729</v>
      </c>
      <c r="G313" s="13" t="s">
        <v>11</v>
      </c>
      <c r="H313" s="13" t="s">
        <v>50</v>
      </c>
      <c r="I313" s="13">
        <f>_xlfn.XLOOKUP(F313,'Wk no''s'!B:B,'Wk no''s'!C:C,FALSE)</f>
        <v>11</v>
      </c>
      <c r="J313" s="13">
        <f>IF(D313="GBP",1,SUMIFS('Ex Rates'!I:I,'Ex Rates'!K:K,'Weekly Closed Proposal Requests'!L313,'Ex Rates'!G:G,'Weekly Closed Proposal Requests'!D313))</f>
        <v>1</v>
      </c>
      <c r="K313" s="13">
        <f t="shared" si="4"/>
        <v>250000</v>
      </c>
      <c r="L313" s="13" t="str">
        <f>_xlfn.XLOOKUP(I313,'Wk no''s'!C:C,'Wk no''s'!E:E,0)</f>
        <v>Mar</v>
      </c>
    </row>
    <row r="314" spans="1:12" x14ac:dyDescent="0.25">
      <c r="A314" s="67">
        <v>45706</v>
      </c>
      <c r="B314" s="13" t="s">
        <v>513</v>
      </c>
      <c r="C314" s="13" t="s">
        <v>335</v>
      </c>
      <c r="D314" s="13" t="s">
        <v>15</v>
      </c>
      <c r="E314" s="13">
        <v>23785</v>
      </c>
      <c r="F314" s="67">
        <v>45729</v>
      </c>
      <c r="G314" s="13" t="s">
        <v>47</v>
      </c>
      <c r="H314" s="13" t="s">
        <v>50</v>
      </c>
      <c r="I314" s="13">
        <f>_xlfn.XLOOKUP(F314,'Wk no''s'!B:B,'Wk no''s'!C:C,FALSE)</f>
        <v>11</v>
      </c>
      <c r="J314" s="13">
        <f>IF(D314="GBP",1,SUMIFS('Ex Rates'!I:I,'Ex Rates'!K:K,'Weekly Closed Proposal Requests'!L314,'Ex Rates'!G:G,'Weekly Closed Proposal Requests'!D314))</f>
        <v>1</v>
      </c>
      <c r="K314" s="13">
        <f t="shared" si="4"/>
        <v>23785</v>
      </c>
      <c r="L314" s="13" t="str">
        <f>_xlfn.XLOOKUP(I314,'Wk no''s'!C:C,'Wk no''s'!E:E,0)</f>
        <v>Mar</v>
      </c>
    </row>
    <row r="315" spans="1:12" x14ac:dyDescent="0.25">
      <c r="A315" s="67">
        <v>45720</v>
      </c>
      <c r="B315" s="13" t="s">
        <v>526</v>
      </c>
      <c r="C315" s="13" t="s">
        <v>527</v>
      </c>
      <c r="D315" s="13" t="s">
        <v>10</v>
      </c>
      <c r="E315" s="13">
        <v>800000</v>
      </c>
      <c r="F315" s="67">
        <v>45729</v>
      </c>
      <c r="G315" s="13" t="s">
        <v>11</v>
      </c>
      <c r="H315" s="13" t="s">
        <v>12</v>
      </c>
      <c r="I315" s="13">
        <f>_xlfn.XLOOKUP(F315,'Wk no''s'!B:B,'Wk no''s'!C:C,FALSE)</f>
        <v>11</v>
      </c>
      <c r="J315" s="13">
        <f>IF(D315="GBP",1,SUMIFS('Ex Rates'!I:I,'Ex Rates'!K:K,'Weekly Closed Proposal Requests'!L315,'Ex Rates'!G:G,'Weekly Closed Proposal Requests'!D315))</f>
        <v>0.48379293662312528</v>
      </c>
      <c r="K315" s="13">
        <f t="shared" si="4"/>
        <v>387034.34929850022</v>
      </c>
      <c r="L315" s="13" t="str">
        <f>_xlfn.XLOOKUP(I315,'Wk no''s'!C:C,'Wk no''s'!E:E,0)</f>
        <v>Mar</v>
      </c>
    </row>
    <row r="316" spans="1:12" x14ac:dyDescent="0.25">
      <c r="A316" s="67">
        <v>45721</v>
      </c>
      <c r="B316" s="13" t="s">
        <v>528</v>
      </c>
      <c r="C316" s="13" t="s">
        <v>438</v>
      </c>
      <c r="D316" s="13" t="s">
        <v>10</v>
      </c>
      <c r="E316" s="13">
        <v>10000</v>
      </c>
      <c r="F316" s="67">
        <v>45729</v>
      </c>
      <c r="G316" s="13" t="s">
        <v>11</v>
      </c>
      <c r="H316" s="13" t="s">
        <v>19</v>
      </c>
      <c r="I316" s="13">
        <f>_xlfn.XLOOKUP(F316,'Wk no''s'!B:B,'Wk no''s'!C:C,FALSE)</f>
        <v>11</v>
      </c>
      <c r="J316" s="13">
        <f>IF(D316="GBP",1,SUMIFS('Ex Rates'!I:I,'Ex Rates'!K:K,'Weekly Closed Proposal Requests'!L316,'Ex Rates'!G:G,'Weekly Closed Proposal Requests'!D316))</f>
        <v>0.48379293662312528</v>
      </c>
      <c r="K316" s="13">
        <f t="shared" si="4"/>
        <v>4837.929366231253</v>
      </c>
      <c r="L316" s="13" t="str">
        <f>_xlfn.XLOOKUP(I316,'Wk no''s'!C:C,'Wk no''s'!E:E,0)</f>
        <v>Mar</v>
      </c>
    </row>
    <row r="317" spans="1:12" x14ac:dyDescent="0.25">
      <c r="A317" s="67">
        <v>45722</v>
      </c>
      <c r="B317" s="13" t="s">
        <v>487</v>
      </c>
      <c r="C317" s="13" t="s">
        <v>488</v>
      </c>
      <c r="D317" s="13" t="s">
        <v>15</v>
      </c>
      <c r="E317" s="13">
        <v>10000</v>
      </c>
      <c r="F317" s="67">
        <v>45729</v>
      </c>
      <c r="G317" s="13" t="s">
        <v>16</v>
      </c>
      <c r="H317" s="13" t="s">
        <v>19</v>
      </c>
      <c r="I317" s="13">
        <f>_xlfn.XLOOKUP(F317,'Wk no''s'!B:B,'Wk no''s'!C:C,FALSE)</f>
        <v>11</v>
      </c>
      <c r="J317" s="13">
        <f>IF(D317="GBP",1,SUMIFS('Ex Rates'!I:I,'Ex Rates'!K:K,'Weekly Closed Proposal Requests'!L317,'Ex Rates'!G:G,'Weekly Closed Proposal Requests'!D317))</f>
        <v>1</v>
      </c>
      <c r="K317" s="13">
        <f t="shared" si="4"/>
        <v>10000</v>
      </c>
      <c r="L317" s="13" t="str">
        <f>_xlfn.XLOOKUP(I317,'Wk no''s'!C:C,'Wk no''s'!E:E,0)</f>
        <v>Mar</v>
      </c>
    </row>
    <row r="318" spans="1:12" x14ac:dyDescent="0.25">
      <c r="A318" s="67">
        <v>45722</v>
      </c>
      <c r="B318" s="13" t="s">
        <v>531</v>
      </c>
      <c r="C318" s="13" t="s">
        <v>284</v>
      </c>
      <c r="D318" s="13" t="s">
        <v>10</v>
      </c>
      <c r="E318" s="13">
        <v>25000</v>
      </c>
      <c r="F318" s="67">
        <v>45729</v>
      </c>
      <c r="G318" s="13" t="s">
        <v>11</v>
      </c>
      <c r="H318" s="13" t="s">
        <v>50</v>
      </c>
      <c r="I318" s="13">
        <f>_xlfn.XLOOKUP(F318,'Wk no''s'!B:B,'Wk no''s'!C:C,FALSE)</f>
        <v>11</v>
      </c>
      <c r="J318" s="13">
        <f>IF(D318="GBP",1,SUMIFS('Ex Rates'!I:I,'Ex Rates'!K:K,'Weekly Closed Proposal Requests'!L318,'Ex Rates'!G:G,'Weekly Closed Proposal Requests'!D318))</f>
        <v>0.48379293662312528</v>
      </c>
      <c r="K318" s="13">
        <f t="shared" si="4"/>
        <v>12094.823415578132</v>
      </c>
      <c r="L318" s="13" t="str">
        <f>_xlfn.XLOOKUP(I318,'Wk no''s'!C:C,'Wk no''s'!E:E,0)</f>
        <v>Mar</v>
      </c>
    </row>
    <row r="319" spans="1:12" x14ac:dyDescent="0.25">
      <c r="A319" s="67">
        <v>45727</v>
      </c>
      <c r="B319" s="13" t="s">
        <v>493</v>
      </c>
      <c r="C319" s="13" t="s">
        <v>494</v>
      </c>
      <c r="D319" s="13" t="s">
        <v>15</v>
      </c>
      <c r="E319" s="13">
        <v>150000</v>
      </c>
      <c r="F319" s="67">
        <v>45729</v>
      </c>
      <c r="G319" s="13" t="s">
        <v>16</v>
      </c>
      <c r="H319" s="13" t="s">
        <v>19</v>
      </c>
      <c r="I319" s="13">
        <f>_xlfn.XLOOKUP(F319,'Wk no''s'!B:B,'Wk no''s'!C:C,FALSE)</f>
        <v>11</v>
      </c>
      <c r="J319" s="13">
        <f>IF(D319="GBP",1,SUMIFS('Ex Rates'!I:I,'Ex Rates'!K:K,'Weekly Closed Proposal Requests'!L319,'Ex Rates'!G:G,'Weekly Closed Proposal Requests'!D319))</f>
        <v>1</v>
      </c>
      <c r="K319" s="13">
        <f t="shared" si="4"/>
        <v>150000</v>
      </c>
      <c r="L319" s="13" t="str">
        <f>_xlfn.XLOOKUP(I319,'Wk no''s'!C:C,'Wk no''s'!E:E,0)</f>
        <v>Mar</v>
      </c>
    </row>
    <row r="320" spans="1:12" x14ac:dyDescent="0.25">
      <c r="A320" s="67">
        <v>45727</v>
      </c>
      <c r="B320" s="13" t="s">
        <v>537</v>
      </c>
      <c r="C320" s="13" t="s">
        <v>536</v>
      </c>
      <c r="D320" s="13" t="s">
        <v>15</v>
      </c>
      <c r="E320" s="13">
        <v>20000</v>
      </c>
      <c r="F320" s="67">
        <v>45729</v>
      </c>
      <c r="G320" s="13" t="s">
        <v>72</v>
      </c>
      <c r="H320" s="13" t="s">
        <v>19</v>
      </c>
      <c r="I320" s="13">
        <f>_xlfn.XLOOKUP(F320,'Wk no''s'!B:B,'Wk no''s'!C:C,FALSE)</f>
        <v>11</v>
      </c>
      <c r="J320" s="13">
        <f>IF(D320="GBP",1,SUMIFS('Ex Rates'!I:I,'Ex Rates'!K:K,'Weekly Closed Proposal Requests'!L320,'Ex Rates'!G:G,'Weekly Closed Proposal Requests'!D320))</f>
        <v>1</v>
      </c>
      <c r="K320" s="13">
        <f t="shared" si="4"/>
        <v>20000</v>
      </c>
      <c r="L320" s="13" t="str">
        <f>_xlfn.XLOOKUP(I320,'Wk no''s'!C:C,'Wk no''s'!E:E,0)</f>
        <v>Mar</v>
      </c>
    </row>
    <row r="321" spans="1:12" x14ac:dyDescent="0.25">
      <c r="A321" s="67">
        <v>45728</v>
      </c>
      <c r="B321" s="13" t="s">
        <v>496</v>
      </c>
      <c r="C321" s="13" t="s">
        <v>497</v>
      </c>
      <c r="D321" s="13" t="s">
        <v>15</v>
      </c>
      <c r="E321" s="13">
        <v>1</v>
      </c>
      <c r="F321" s="67">
        <v>45729</v>
      </c>
      <c r="G321" s="13" t="s">
        <v>16</v>
      </c>
      <c r="H321" s="13" t="s">
        <v>19</v>
      </c>
      <c r="I321" s="13">
        <f>_xlfn.XLOOKUP(F321,'Wk no''s'!B:B,'Wk no''s'!C:C,FALSE)</f>
        <v>11</v>
      </c>
      <c r="J321" s="13">
        <f>IF(D321="GBP",1,SUMIFS('Ex Rates'!I:I,'Ex Rates'!K:K,'Weekly Closed Proposal Requests'!L321,'Ex Rates'!G:G,'Weekly Closed Proposal Requests'!D321))</f>
        <v>1</v>
      </c>
      <c r="K321" s="13">
        <f t="shared" si="4"/>
        <v>1</v>
      </c>
      <c r="L321" s="13" t="str">
        <f>_xlfn.XLOOKUP(I321,'Wk no''s'!C:C,'Wk no''s'!E:E,0)</f>
        <v>Mar</v>
      </c>
    </row>
    <row r="322" spans="1:12" x14ac:dyDescent="0.25">
      <c r="A322" s="67">
        <v>45728</v>
      </c>
      <c r="B322" s="13" t="s">
        <v>522</v>
      </c>
      <c r="C322" s="13" t="s">
        <v>335</v>
      </c>
      <c r="D322" s="13" t="s">
        <v>15</v>
      </c>
      <c r="E322" s="13">
        <v>23785</v>
      </c>
      <c r="F322" s="67">
        <v>45729</v>
      </c>
      <c r="G322" s="13" t="s">
        <v>47</v>
      </c>
      <c r="H322" s="13" t="s">
        <v>50</v>
      </c>
      <c r="I322" s="13">
        <f>_xlfn.XLOOKUP(F322,'Wk no''s'!B:B,'Wk no''s'!C:C,FALSE)</f>
        <v>11</v>
      </c>
      <c r="J322" s="13">
        <f>IF(D322="GBP",1,SUMIFS('Ex Rates'!I:I,'Ex Rates'!K:K,'Weekly Closed Proposal Requests'!L322,'Ex Rates'!G:G,'Weekly Closed Proposal Requests'!D322))</f>
        <v>1</v>
      </c>
      <c r="K322" s="13">
        <f t="shared" ref="K322:K385" si="5">+E322*J322</f>
        <v>23785</v>
      </c>
      <c r="L322" s="13" t="str">
        <f>_xlfn.XLOOKUP(I322,'Wk no''s'!C:C,'Wk no''s'!E:E,0)</f>
        <v>Mar</v>
      </c>
    </row>
    <row r="323" spans="1:12" x14ac:dyDescent="0.25">
      <c r="A323" s="67">
        <v>45716</v>
      </c>
      <c r="B323" s="13" t="s">
        <v>509</v>
      </c>
      <c r="C323" s="13" t="s">
        <v>115</v>
      </c>
      <c r="D323" s="13" t="s">
        <v>46</v>
      </c>
      <c r="E323" s="13">
        <v>300000</v>
      </c>
      <c r="F323" s="67">
        <v>45730</v>
      </c>
      <c r="G323" s="13" t="s">
        <v>47</v>
      </c>
      <c r="H323" s="13" t="s">
        <v>19</v>
      </c>
      <c r="I323" s="13">
        <f>_xlfn.XLOOKUP(F323,'Wk no''s'!B:B,'Wk no''s'!C:C,FALSE)</f>
        <v>11</v>
      </c>
      <c r="J323" s="13">
        <f>IF(D323="GBP",1,SUMIFS('Ex Rates'!I:I,'Ex Rates'!K:K,'Weekly Closed Proposal Requests'!L323,'Ex Rates'!G:G,'Weekly Closed Proposal Requests'!D323))</f>
        <v>0.77399380804953555</v>
      </c>
      <c r="K323" s="13">
        <f t="shared" si="5"/>
        <v>232198.14241486066</v>
      </c>
      <c r="L323" s="13" t="str">
        <f>_xlfn.XLOOKUP(I323,'Wk no''s'!C:C,'Wk no''s'!E:E,0)</f>
        <v>Mar</v>
      </c>
    </row>
    <row r="324" spans="1:12" x14ac:dyDescent="0.25">
      <c r="A324" s="67">
        <v>45721</v>
      </c>
      <c r="B324" s="13" t="s">
        <v>485</v>
      </c>
      <c r="C324" s="13" t="s">
        <v>486</v>
      </c>
      <c r="D324" s="13" t="s">
        <v>15</v>
      </c>
      <c r="E324" s="13">
        <v>25000</v>
      </c>
      <c r="F324" s="67">
        <v>45730</v>
      </c>
      <c r="G324" s="13" t="s">
        <v>16</v>
      </c>
      <c r="H324" s="13" t="s">
        <v>19</v>
      </c>
      <c r="I324" s="13">
        <f>_xlfn.XLOOKUP(F324,'Wk no''s'!B:B,'Wk no''s'!C:C,FALSE)</f>
        <v>11</v>
      </c>
      <c r="J324" s="13">
        <f>IF(D324="GBP",1,SUMIFS('Ex Rates'!I:I,'Ex Rates'!K:K,'Weekly Closed Proposal Requests'!L324,'Ex Rates'!G:G,'Weekly Closed Proposal Requests'!D324))</f>
        <v>1</v>
      </c>
      <c r="K324" s="13">
        <f t="shared" si="5"/>
        <v>25000</v>
      </c>
      <c r="L324" s="13" t="str">
        <f>_xlfn.XLOOKUP(I324,'Wk no''s'!C:C,'Wk no''s'!E:E,0)</f>
        <v>Mar</v>
      </c>
    </row>
    <row r="325" spans="1:12" x14ac:dyDescent="0.25">
      <c r="A325" s="67">
        <v>45723</v>
      </c>
      <c r="B325" s="13" t="s">
        <v>505</v>
      </c>
      <c r="C325" s="13" t="s">
        <v>506</v>
      </c>
      <c r="D325" s="13" t="s">
        <v>46</v>
      </c>
      <c r="E325" s="13">
        <v>100000</v>
      </c>
      <c r="F325" s="67">
        <v>45730</v>
      </c>
      <c r="G325" s="13" t="s">
        <v>47</v>
      </c>
      <c r="H325" s="13" t="s">
        <v>12</v>
      </c>
      <c r="I325" s="13">
        <f>_xlfn.XLOOKUP(F325,'Wk no''s'!B:B,'Wk no''s'!C:C,FALSE)</f>
        <v>11</v>
      </c>
      <c r="J325" s="13">
        <f>IF(D325="GBP",1,SUMIFS('Ex Rates'!I:I,'Ex Rates'!K:K,'Weekly Closed Proposal Requests'!L325,'Ex Rates'!G:G,'Weekly Closed Proposal Requests'!D325))</f>
        <v>0.77399380804953555</v>
      </c>
      <c r="K325" s="13">
        <f t="shared" si="5"/>
        <v>77399.380804953558</v>
      </c>
      <c r="L325" s="13" t="str">
        <f>_xlfn.XLOOKUP(I325,'Wk no''s'!C:C,'Wk no''s'!E:E,0)</f>
        <v>Mar</v>
      </c>
    </row>
    <row r="326" spans="1:12" x14ac:dyDescent="0.25">
      <c r="A326" s="67">
        <v>45727</v>
      </c>
      <c r="B326" s="13" t="s">
        <v>503</v>
      </c>
      <c r="C326" s="13" t="s">
        <v>461</v>
      </c>
      <c r="D326" s="13" t="s">
        <v>40</v>
      </c>
      <c r="E326" s="13">
        <v>1000</v>
      </c>
      <c r="F326" s="67">
        <v>45730</v>
      </c>
      <c r="G326" s="13" t="s">
        <v>41</v>
      </c>
      <c r="H326" s="13" t="s">
        <v>19</v>
      </c>
      <c r="I326" s="13">
        <f>_xlfn.XLOOKUP(F326,'Wk no''s'!B:B,'Wk no''s'!C:C,FALSE)</f>
        <v>11</v>
      </c>
      <c r="J326" s="13">
        <f>IF(D326="GBP",1,SUMIFS('Ex Rates'!I:I,'Ex Rates'!K:K,'Weekly Closed Proposal Requests'!L326,'Ex Rates'!G:G,'Weekly Closed Proposal Requests'!D326))</f>
        <v>0.83752093802345062</v>
      </c>
      <c r="K326" s="13">
        <f t="shared" si="5"/>
        <v>837.52093802345064</v>
      </c>
      <c r="L326" s="13" t="str">
        <f>_xlfn.XLOOKUP(I326,'Wk no''s'!C:C,'Wk no''s'!E:E,0)</f>
        <v>Mar</v>
      </c>
    </row>
    <row r="327" spans="1:12" x14ac:dyDescent="0.25">
      <c r="A327" s="67">
        <v>45727</v>
      </c>
      <c r="B327" s="13" t="s">
        <v>520</v>
      </c>
      <c r="C327" s="13" t="s">
        <v>267</v>
      </c>
      <c r="D327" s="13" t="s">
        <v>46</v>
      </c>
      <c r="E327" s="13">
        <v>240000</v>
      </c>
      <c r="F327" s="67">
        <v>45730</v>
      </c>
      <c r="G327" s="13" t="s">
        <v>47</v>
      </c>
      <c r="H327" s="13" t="s">
        <v>50</v>
      </c>
      <c r="I327" s="13">
        <f>_xlfn.XLOOKUP(F327,'Wk no''s'!B:B,'Wk no''s'!C:C,FALSE)</f>
        <v>11</v>
      </c>
      <c r="J327" s="13">
        <f>IF(D327="GBP",1,SUMIFS('Ex Rates'!I:I,'Ex Rates'!K:K,'Weekly Closed Proposal Requests'!L327,'Ex Rates'!G:G,'Weekly Closed Proposal Requests'!D327))</f>
        <v>0.77399380804953555</v>
      </c>
      <c r="K327" s="13">
        <f t="shared" si="5"/>
        <v>185758.51393188853</v>
      </c>
      <c r="L327" s="13" t="str">
        <f>_xlfn.XLOOKUP(I327,'Wk no''s'!C:C,'Wk no''s'!E:E,0)</f>
        <v>Mar</v>
      </c>
    </row>
    <row r="328" spans="1:12" x14ac:dyDescent="0.25">
      <c r="A328" s="67">
        <v>45727</v>
      </c>
      <c r="B328" s="13" t="s">
        <v>521</v>
      </c>
      <c r="C328" s="13" t="s">
        <v>388</v>
      </c>
      <c r="D328" s="13" t="s">
        <v>15</v>
      </c>
      <c r="E328" s="13">
        <v>98000</v>
      </c>
      <c r="F328" s="67">
        <v>45730</v>
      </c>
      <c r="G328" s="13" t="s">
        <v>47</v>
      </c>
      <c r="H328" s="13" t="s">
        <v>50</v>
      </c>
      <c r="I328" s="13">
        <f>_xlfn.XLOOKUP(F328,'Wk no''s'!B:B,'Wk no''s'!C:C,FALSE)</f>
        <v>11</v>
      </c>
      <c r="J328" s="13">
        <f>IF(D328="GBP",1,SUMIFS('Ex Rates'!I:I,'Ex Rates'!K:K,'Weekly Closed Proposal Requests'!L328,'Ex Rates'!G:G,'Weekly Closed Proposal Requests'!D328))</f>
        <v>1</v>
      </c>
      <c r="K328" s="13">
        <f t="shared" si="5"/>
        <v>98000</v>
      </c>
      <c r="L328" s="13" t="str">
        <f>_xlfn.XLOOKUP(I328,'Wk no''s'!C:C,'Wk no''s'!E:E,0)</f>
        <v>Mar</v>
      </c>
    </row>
    <row r="329" spans="1:12" x14ac:dyDescent="0.25">
      <c r="A329" s="67">
        <v>45729</v>
      </c>
      <c r="B329" s="13" t="s">
        <v>523</v>
      </c>
      <c r="C329" s="13" t="s">
        <v>267</v>
      </c>
      <c r="D329" s="13" t="s">
        <v>15</v>
      </c>
      <c r="E329" s="13">
        <v>237565</v>
      </c>
      <c r="F329" s="67">
        <v>45730</v>
      </c>
      <c r="G329" s="13" t="s">
        <v>47</v>
      </c>
      <c r="H329" s="13" t="s">
        <v>50</v>
      </c>
      <c r="I329" s="13">
        <f>_xlfn.XLOOKUP(F329,'Wk no''s'!B:B,'Wk no''s'!C:C,FALSE)</f>
        <v>11</v>
      </c>
      <c r="J329" s="13">
        <f>IF(D329="GBP",1,SUMIFS('Ex Rates'!I:I,'Ex Rates'!K:K,'Weekly Closed Proposal Requests'!L329,'Ex Rates'!G:G,'Weekly Closed Proposal Requests'!D329))</f>
        <v>1</v>
      </c>
      <c r="K329" s="13">
        <f t="shared" si="5"/>
        <v>237565</v>
      </c>
      <c r="L329" s="13" t="str">
        <f>_xlfn.XLOOKUP(I329,'Wk no''s'!C:C,'Wk no''s'!E:E,0)</f>
        <v>Mar</v>
      </c>
    </row>
    <row r="330" spans="1:12" x14ac:dyDescent="0.25">
      <c r="A330" s="67">
        <v>45729</v>
      </c>
      <c r="B330" s="13" t="s">
        <v>538</v>
      </c>
      <c r="C330" s="13" t="s">
        <v>352</v>
      </c>
      <c r="D330" s="13" t="s">
        <v>15</v>
      </c>
      <c r="E330" s="13">
        <v>10000</v>
      </c>
      <c r="F330" s="67">
        <v>45730</v>
      </c>
      <c r="G330" s="13" t="s">
        <v>72</v>
      </c>
      <c r="H330" s="13" t="s">
        <v>19</v>
      </c>
      <c r="I330" s="13">
        <f>_xlfn.XLOOKUP(F330,'Wk no''s'!B:B,'Wk no''s'!C:C,FALSE)</f>
        <v>11</v>
      </c>
      <c r="J330" s="13">
        <f>IF(D330="GBP",1,SUMIFS('Ex Rates'!I:I,'Ex Rates'!K:K,'Weekly Closed Proposal Requests'!L330,'Ex Rates'!G:G,'Weekly Closed Proposal Requests'!D330))</f>
        <v>1</v>
      </c>
      <c r="K330" s="13">
        <f t="shared" si="5"/>
        <v>10000</v>
      </c>
      <c r="L330" s="13" t="str">
        <f>_xlfn.XLOOKUP(I330,'Wk no''s'!C:C,'Wk no''s'!E:E,0)</f>
        <v>Mar</v>
      </c>
    </row>
    <row r="331" spans="1:12" x14ac:dyDescent="0.25">
      <c r="A331" s="67">
        <v>45719</v>
      </c>
      <c r="B331" s="13" t="s">
        <v>567</v>
      </c>
      <c r="C331" s="13" t="s">
        <v>568</v>
      </c>
      <c r="D331" s="13" t="s">
        <v>15</v>
      </c>
      <c r="E331" s="13">
        <v>35162</v>
      </c>
      <c r="F331" s="67">
        <v>45733</v>
      </c>
      <c r="G331" s="13" t="s">
        <v>47</v>
      </c>
      <c r="H331" s="13" t="s">
        <v>50</v>
      </c>
      <c r="I331" s="13">
        <f>_xlfn.XLOOKUP(F331,'Wk no''s'!B:B,'Wk no''s'!C:C,FALSE)</f>
        <v>12</v>
      </c>
      <c r="J331" s="13">
        <f>IF(D331="GBP",1,SUMIFS('Ex Rates'!I:I,'Ex Rates'!K:K,'Weekly Closed Proposal Requests'!L331,'Ex Rates'!G:G,'Weekly Closed Proposal Requests'!D331))</f>
        <v>1</v>
      </c>
      <c r="K331" s="13">
        <f t="shared" si="5"/>
        <v>35162</v>
      </c>
      <c r="L331" s="13" t="str">
        <f>_xlfn.XLOOKUP(I331,'Wk no''s'!C:C,'Wk no''s'!E:E,0)</f>
        <v>Mar</v>
      </c>
    </row>
    <row r="332" spans="1:12" x14ac:dyDescent="0.25">
      <c r="A332" s="67">
        <v>45719</v>
      </c>
      <c r="B332" s="13" t="s">
        <v>563</v>
      </c>
      <c r="C332" s="13" t="s">
        <v>564</v>
      </c>
      <c r="D332" s="13" t="s">
        <v>46</v>
      </c>
      <c r="E332" s="13">
        <v>200000</v>
      </c>
      <c r="F332" s="67">
        <v>45733</v>
      </c>
      <c r="G332" s="13" t="s">
        <v>47</v>
      </c>
      <c r="H332" s="13" t="s">
        <v>19</v>
      </c>
      <c r="I332" s="13">
        <f>_xlfn.XLOOKUP(F332,'Wk no''s'!B:B,'Wk no''s'!C:C,FALSE)</f>
        <v>12</v>
      </c>
      <c r="J332" s="13">
        <f>IF(D332="GBP",1,SUMIFS('Ex Rates'!I:I,'Ex Rates'!K:K,'Weekly Closed Proposal Requests'!L332,'Ex Rates'!G:G,'Weekly Closed Proposal Requests'!D332))</f>
        <v>0.77399380804953555</v>
      </c>
      <c r="K332" s="13">
        <f t="shared" si="5"/>
        <v>154798.76160990712</v>
      </c>
      <c r="L332" s="13" t="str">
        <f>_xlfn.XLOOKUP(I332,'Wk no''s'!C:C,'Wk no''s'!E:E,0)</f>
        <v>Mar</v>
      </c>
    </row>
    <row r="333" spans="1:12" x14ac:dyDescent="0.25">
      <c r="A333" s="67">
        <v>45722</v>
      </c>
      <c r="B333" s="13" t="s">
        <v>581</v>
      </c>
      <c r="C333" s="13" t="s">
        <v>479</v>
      </c>
      <c r="D333" s="13" t="s">
        <v>15</v>
      </c>
      <c r="E333" s="13">
        <v>1600000</v>
      </c>
      <c r="F333" s="67">
        <v>45733</v>
      </c>
      <c r="G333" s="13" t="s">
        <v>72</v>
      </c>
      <c r="H333" s="13" t="s">
        <v>19</v>
      </c>
      <c r="I333" s="13">
        <f>_xlfn.XLOOKUP(F333,'Wk no''s'!B:B,'Wk no''s'!C:C,FALSE)</f>
        <v>12</v>
      </c>
      <c r="J333" s="13">
        <f>IF(D333="GBP",1,SUMIFS('Ex Rates'!I:I,'Ex Rates'!K:K,'Weekly Closed Proposal Requests'!L333,'Ex Rates'!G:G,'Weekly Closed Proposal Requests'!D333))</f>
        <v>1</v>
      </c>
      <c r="K333" s="13">
        <f t="shared" si="5"/>
        <v>1600000</v>
      </c>
      <c r="L333" s="13" t="str">
        <f>_xlfn.XLOOKUP(I333,'Wk no''s'!C:C,'Wk no''s'!E:E,0)</f>
        <v>Mar</v>
      </c>
    </row>
    <row r="334" spans="1:12" x14ac:dyDescent="0.25">
      <c r="A334" s="67">
        <v>45733</v>
      </c>
      <c r="B334" s="13" t="s">
        <v>557</v>
      </c>
      <c r="C334" s="13" t="s">
        <v>558</v>
      </c>
      <c r="D334" s="13" t="s">
        <v>40</v>
      </c>
      <c r="E334" s="13">
        <v>15000</v>
      </c>
      <c r="F334" s="67">
        <v>45733</v>
      </c>
      <c r="G334" s="13" t="s">
        <v>41</v>
      </c>
      <c r="H334" s="13" t="s">
        <v>19</v>
      </c>
      <c r="I334" s="13">
        <f>_xlfn.XLOOKUP(F334,'Wk no''s'!B:B,'Wk no''s'!C:C,FALSE)</f>
        <v>12</v>
      </c>
      <c r="J334" s="13">
        <f>IF(D334="GBP",1,SUMIFS('Ex Rates'!I:I,'Ex Rates'!K:K,'Weekly Closed Proposal Requests'!L334,'Ex Rates'!G:G,'Weekly Closed Proposal Requests'!D334))</f>
        <v>0.83752093802345062</v>
      </c>
      <c r="K334" s="13">
        <f t="shared" si="5"/>
        <v>12562.81407035176</v>
      </c>
      <c r="L334" s="13" t="str">
        <f>_xlfn.XLOOKUP(I334,'Wk no''s'!C:C,'Wk no''s'!E:E,0)</f>
        <v>Mar</v>
      </c>
    </row>
    <row r="335" spans="1:12" x14ac:dyDescent="0.25">
      <c r="A335" s="67">
        <v>45726</v>
      </c>
      <c r="B335" s="13" t="s">
        <v>543</v>
      </c>
      <c r="C335" s="13" t="s">
        <v>449</v>
      </c>
      <c r="D335" s="13" t="s">
        <v>15</v>
      </c>
      <c r="E335" s="13">
        <v>170000</v>
      </c>
      <c r="F335" s="67">
        <v>45734</v>
      </c>
      <c r="G335" s="13" t="s">
        <v>16</v>
      </c>
      <c r="H335" s="13" t="s">
        <v>19</v>
      </c>
      <c r="I335" s="13">
        <f>_xlfn.XLOOKUP(F335,'Wk no''s'!B:B,'Wk no''s'!C:C,FALSE)</f>
        <v>12</v>
      </c>
      <c r="J335" s="13">
        <f>IF(D335="GBP",1,SUMIFS('Ex Rates'!I:I,'Ex Rates'!K:K,'Weekly Closed Proposal Requests'!L335,'Ex Rates'!G:G,'Weekly Closed Proposal Requests'!D335))</f>
        <v>1</v>
      </c>
      <c r="K335" s="13">
        <f t="shared" si="5"/>
        <v>170000</v>
      </c>
      <c r="L335" s="13" t="str">
        <f>_xlfn.XLOOKUP(I335,'Wk no''s'!C:C,'Wk no''s'!E:E,0)</f>
        <v>Mar</v>
      </c>
    </row>
    <row r="336" spans="1:12" x14ac:dyDescent="0.25">
      <c r="A336" s="67">
        <v>45727</v>
      </c>
      <c r="B336" s="13" t="s">
        <v>554</v>
      </c>
      <c r="C336" s="13" t="s">
        <v>555</v>
      </c>
      <c r="D336" s="13" t="s">
        <v>15</v>
      </c>
      <c r="E336" s="13">
        <v>0</v>
      </c>
      <c r="F336" s="67">
        <v>45734</v>
      </c>
      <c r="G336" s="13" t="s">
        <v>16</v>
      </c>
      <c r="H336" s="13" t="s">
        <v>50</v>
      </c>
      <c r="I336" s="13">
        <f>_xlfn.XLOOKUP(F336,'Wk no''s'!B:B,'Wk no''s'!C:C,FALSE)</f>
        <v>12</v>
      </c>
      <c r="J336" s="13">
        <f>IF(D336="GBP",1,SUMIFS('Ex Rates'!I:I,'Ex Rates'!K:K,'Weekly Closed Proposal Requests'!L336,'Ex Rates'!G:G,'Weekly Closed Proposal Requests'!D336))</f>
        <v>1</v>
      </c>
      <c r="K336" s="13">
        <f t="shared" si="5"/>
        <v>0</v>
      </c>
      <c r="L336" s="13" t="str">
        <f>_xlfn.XLOOKUP(I336,'Wk no''s'!C:C,'Wk no''s'!E:E,0)</f>
        <v>Mar</v>
      </c>
    </row>
    <row r="337" spans="1:12" x14ac:dyDescent="0.25">
      <c r="A337" s="67">
        <v>45729</v>
      </c>
      <c r="B337" s="13" t="s">
        <v>544</v>
      </c>
      <c r="C337" s="13" t="s">
        <v>248</v>
      </c>
      <c r="D337" s="13" t="s">
        <v>15</v>
      </c>
      <c r="E337" s="13">
        <v>100000</v>
      </c>
      <c r="F337" s="67">
        <v>45734</v>
      </c>
      <c r="G337" s="13" t="s">
        <v>16</v>
      </c>
      <c r="H337" s="13" t="s">
        <v>19</v>
      </c>
      <c r="I337" s="13">
        <f>_xlfn.XLOOKUP(F337,'Wk no''s'!B:B,'Wk no''s'!C:C,FALSE)</f>
        <v>12</v>
      </c>
      <c r="J337" s="13">
        <f>IF(D337="GBP",1,SUMIFS('Ex Rates'!I:I,'Ex Rates'!K:K,'Weekly Closed Proposal Requests'!L337,'Ex Rates'!G:G,'Weekly Closed Proposal Requests'!D337))</f>
        <v>1</v>
      </c>
      <c r="K337" s="13">
        <f t="shared" si="5"/>
        <v>100000</v>
      </c>
      <c r="L337" s="13" t="str">
        <f>_xlfn.XLOOKUP(I337,'Wk no''s'!C:C,'Wk no''s'!E:E,0)</f>
        <v>Mar</v>
      </c>
    </row>
    <row r="338" spans="1:12" x14ac:dyDescent="0.25">
      <c r="A338" s="67">
        <v>45730</v>
      </c>
      <c r="B338" s="13" t="s">
        <v>541</v>
      </c>
      <c r="C338" s="13" t="s">
        <v>542</v>
      </c>
      <c r="D338" s="13" t="s">
        <v>15</v>
      </c>
      <c r="E338" s="13">
        <v>8000</v>
      </c>
      <c r="F338" s="67">
        <v>45734</v>
      </c>
      <c r="G338" s="13" t="s">
        <v>16</v>
      </c>
      <c r="H338" s="13" t="s">
        <v>12</v>
      </c>
      <c r="I338" s="13">
        <f>_xlfn.XLOOKUP(F338,'Wk no''s'!B:B,'Wk no''s'!C:C,FALSE)</f>
        <v>12</v>
      </c>
      <c r="J338" s="13">
        <f>IF(D338="GBP",1,SUMIFS('Ex Rates'!I:I,'Ex Rates'!K:K,'Weekly Closed Proposal Requests'!L338,'Ex Rates'!G:G,'Weekly Closed Proposal Requests'!D338))</f>
        <v>1</v>
      </c>
      <c r="K338" s="13">
        <f t="shared" si="5"/>
        <v>8000</v>
      </c>
      <c r="L338" s="13" t="str">
        <f>_xlfn.XLOOKUP(I338,'Wk no''s'!C:C,'Wk no''s'!E:E,0)</f>
        <v>Mar</v>
      </c>
    </row>
    <row r="339" spans="1:12" x14ac:dyDescent="0.25">
      <c r="A339" s="67">
        <v>45733</v>
      </c>
      <c r="B339" s="13" t="s">
        <v>545</v>
      </c>
      <c r="C339" s="13" t="s">
        <v>546</v>
      </c>
      <c r="D339" s="13" t="s">
        <v>15</v>
      </c>
      <c r="E339" s="13">
        <v>270000</v>
      </c>
      <c r="F339" s="67">
        <v>45734</v>
      </c>
      <c r="G339" s="13" t="s">
        <v>16</v>
      </c>
      <c r="H339" s="13" t="s">
        <v>19</v>
      </c>
      <c r="I339" s="13">
        <f>_xlfn.XLOOKUP(F339,'Wk no''s'!B:B,'Wk no''s'!C:C,FALSE)</f>
        <v>12</v>
      </c>
      <c r="J339" s="13">
        <f>IF(D339="GBP",1,SUMIFS('Ex Rates'!I:I,'Ex Rates'!K:K,'Weekly Closed Proposal Requests'!L339,'Ex Rates'!G:G,'Weekly Closed Proposal Requests'!D339))</f>
        <v>1</v>
      </c>
      <c r="K339" s="13">
        <f t="shared" si="5"/>
        <v>270000</v>
      </c>
      <c r="L339" s="13" t="str">
        <f>_xlfn.XLOOKUP(I339,'Wk no''s'!C:C,'Wk no''s'!E:E,0)</f>
        <v>Mar</v>
      </c>
    </row>
    <row r="340" spans="1:12" x14ac:dyDescent="0.25">
      <c r="A340" s="67">
        <v>45733</v>
      </c>
      <c r="B340" s="13" t="s">
        <v>573</v>
      </c>
      <c r="C340" s="13" t="s">
        <v>117</v>
      </c>
      <c r="D340" s="13" t="s">
        <v>15</v>
      </c>
      <c r="E340" s="13">
        <v>96000</v>
      </c>
      <c r="F340" s="67">
        <v>45734</v>
      </c>
      <c r="G340" s="13" t="s">
        <v>47</v>
      </c>
      <c r="H340" s="13" t="s">
        <v>50</v>
      </c>
      <c r="I340" s="13">
        <f>_xlfn.XLOOKUP(F340,'Wk no''s'!B:B,'Wk no''s'!C:C,FALSE)</f>
        <v>12</v>
      </c>
      <c r="J340" s="13">
        <f>IF(D340="GBP",1,SUMIFS('Ex Rates'!I:I,'Ex Rates'!K:K,'Weekly Closed Proposal Requests'!L340,'Ex Rates'!G:G,'Weekly Closed Proposal Requests'!D340))</f>
        <v>1</v>
      </c>
      <c r="K340" s="13">
        <f t="shared" si="5"/>
        <v>96000</v>
      </c>
      <c r="L340" s="13" t="str">
        <f>_xlfn.XLOOKUP(I340,'Wk no''s'!C:C,'Wk no''s'!E:E,0)</f>
        <v>Mar</v>
      </c>
    </row>
    <row r="341" spans="1:12" x14ac:dyDescent="0.25">
      <c r="A341" s="67">
        <v>45734</v>
      </c>
      <c r="B341" s="13" t="s">
        <v>550</v>
      </c>
      <c r="C341" s="13" t="s">
        <v>405</v>
      </c>
      <c r="D341" s="13" t="s">
        <v>15</v>
      </c>
      <c r="E341" s="13">
        <v>10000</v>
      </c>
      <c r="F341" s="67">
        <v>45734</v>
      </c>
      <c r="G341" s="13" t="s">
        <v>16</v>
      </c>
      <c r="H341" s="13" t="s">
        <v>19</v>
      </c>
      <c r="I341" s="13">
        <f>_xlfn.XLOOKUP(F341,'Wk no''s'!B:B,'Wk no''s'!C:C,FALSE)</f>
        <v>12</v>
      </c>
      <c r="J341" s="13">
        <f>IF(D341="GBP",1,SUMIFS('Ex Rates'!I:I,'Ex Rates'!K:K,'Weekly Closed Proposal Requests'!L341,'Ex Rates'!G:G,'Weekly Closed Proposal Requests'!D341))</f>
        <v>1</v>
      </c>
      <c r="K341" s="13">
        <f t="shared" si="5"/>
        <v>10000</v>
      </c>
      <c r="L341" s="13" t="str">
        <f>_xlfn.XLOOKUP(I341,'Wk no''s'!C:C,'Wk no''s'!E:E,0)</f>
        <v>Mar</v>
      </c>
    </row>
    <row r="342" spans="1:12" x14ac:dyDescent="0.25">
      <c r="A342" s="67">
        <v>45719</v>
      </c>
      <c r="B342" s="13" t="s">
        <v>577</v>
      </c>
      <c r="C342" s="13" t="s">
        <v>284</v>
      </c>
      <c r="D342" s="13" t="s">
        <v>10</v>
      </c>
      <c r="E342" s="13">
        <v>25000</v>
      </c>
      <c r="F342" s="67">
        <v>45735</v>
      </c>
      <c r="G342" s="13" t="s">
        <v>11</v>
      </c>
      <c r="H342" s="13" t="s">
        <v>50</v>
      </c>
      <c r="I342" s="13">
        <f>_xlfn.XLOOKUP(F342,'Wk no''s'!B:B,'Wk no''s'!C:C,FALSE)</f>
        <v>12</v>
      </c>
      <c r="J342" s="13">
        <f>IF(D342="GBP",1,SUMIFS('Ex Rates'!I:I,'Ex Rates'!K:K,'Weekly Closed Proposal Requests'!L342,'Ex Rates'!G:G,'Weekly Closed Proposal Requests'!D342))</f>
        <v>0.48379293662312528</v>
      </c>
      <c r="K342" s="13">
        <f t="shared" si="5"/>
        <v>12094.823415578132</v>
      </c>
      <c r="L342" s="13" t="str">
        <f>_xlfn.XLOOKUP(I342,'Wk no''s'!C:C,'Wk no''s'!E:E,0)</f>
        <v>Mar</v>
      </c>
    </row>
    <row r="343" spans="1:12" x14ac:dyDescent="0.25">
      <c r="A343" s="67">
        <v>45723</v>
      </c>
      <c r="B343" s="13" t="s">
        <v>578</v>
      </c>
      <c r="C343" s="13" t="s">
        <v>66</v>
      </c>
      <c r="D343" s="13" t="s">
        <v>10</v>
      </c>
      <c r="E343" s="13">
        <v>250000</v>
      </c>
      <c r="F343" s="67">
        <v>45735</v>
      </c>
      <c r="G343" s="13" t="s">
        <v>11</v>
      </c>
      <c r="H343" s="13" t="s">
        <v>50</v>
      </c>
      <c r="I343" s="13">
        <f>_xlfn.XLOOKUP(F343,'Wk no''s'!B:B,'Wk no''s'!C:C,FALSE)</f>
        <v>12</v>
      </c>
      <c r="J343" s="13">
        <f>IF(D343="GBP",1,SUMIFS('Ex Rates'!I:I,'Ex Rates'!K:K,'Weekly Closed Proposal Requests'!L343,'Ex Rates'!G:G,'Weekly Closed Proposal Requests'!D343))</f>
        <v>0.48379293662312528</v>
      </c>
      <c r="K343" s="13">
        <f t="shared" si="5"/>
        <v>120948.23415578132</v>
      </c>
      <c r="L343" s="13" t="str">
        <f>_xlfn.XLOOKUP(I343,'Wk no''s'!C:C,'Wk no''s'!E:E,0)</f>
        <v>Mar</v>
      </c>
    </row>
    <row r="344" spans="1:12" x14ac:dyDescent="0.25">
      <c r="A344" s="67">
        <v>45727</v>
      </c>
      <c r="B344" s="13" t="s">
        <v>569</v>
      </c>
      <c r="C344" s="13" t="s">
        <v>384</v>
      </c>
      <c r="D344" s="13" t="s">
        <v>15</v>
      </c>
      <c r="E344" s="13">
        <v>168847</v>
      </c>
      <c r="F344" s="67">
        <v>45735</v>
      </c>
      <c r="G344" s="13" t="s">
        <v>47</v>
      </c>
      <c r="H344" s="13" t="s">
        <v>50</v>
      </c>
      <c r="I344" s="13">
        <f>_xlfn.XLOOKUP(F344,'Wk no''s'!B:B,'Wk no''s'!C:C,FALSE)</f>
        <v>12</v>
      </c>
      <c r="J344" s="13">
        <f>IF(D344="GBP",1,SUMIFS('Ex Rates'!I:I,'Ex Rates'!K:K,'Weekly Closed Proposal Requests'!L344,'Ex Rates'!G:G,'Weekly Closed Proposal Requests'!D344))</f>
        <v>1</v>
      </c>
      <c r="K344" s="13">
        <f t="shared" si="5"/>
        <v>168847</v>
      </c>
      <c r="L344" s="13" t="str">
        <f>_xlfn.XLOOKUP(I344,'Wk no''s'!C:C,'Wk no''s'!E:E,0)</f>
        <v>Mar</v>
      </c>
    </row>
    <row r="345" spans="1:12" x14ac:dyDescent="0.25">
      <c r="A345" s="67">
        <v>45730</v>
      </c>
      <c r="B345" s="13" t="s">
        <v>572</v>
      </c>
      <c r="C345" s="13" t="s">
        <v>60</v>
      </c>
      <c r="D345" s="13" t="s">
        <v>46</v>
      </c>
      <c r="E345" s="13">
        <v>700000</v>
      </c>
      <c r="F345" s="67">
        <v>45735</v>
      </c>
      <c r="G345" s="13" t="s">
        <v>47</v>
      </c>
      <c r="H345" s="13" t="s">
        <v>50</v>
      </c>
      <c r="I345" s="13">
        <f>_xlfn.XLOOKUP(F345,'Wk no''s'!B:B,'Wk no''s'!C:C,FALSE)</f>
        <v>12</v>
      </c>
      <c r="J345" s="13">
        <f>IF(D345="GBP",1,SUMIFS('Ex Rates'!I:I,'Ex Rates'!K:K,'Weekly Closed Proposal Requests'!L345,'Ex Rates'!G:G,'Weekly Closed Proposal Requests'!D345))</f>
        <v>0.77399380804953555</v>
      </c>
      <c r="K345" s="13">
        <f t="shared" si="5"/>
        <v>541795.66563467484</v>
      </c>
      <c r="L345" s="13" t="str">
        <f>_xlfn.XLOOKUP(I345,'Wk no''s'!C:C,'Wk no''s'!E:E,0)</f>
        <v>Mar</v>
      </c>
    </row>
    <row r="346" spans="1:12" x14ac:dyDescent="0.25">
      <c r="A346" s="67">
        <v>45733</v>
      </c>
      <c r="B346" s="13" t="s">
        <v>547</v>
      </c>
      <c r="C346" s="13" t="s">
        <v>548</v>
      </c>
      <c r="D346" s="13" t="s">
        <v>15</v>
      </c>
      <c r="E346" s="13">
        <v>200000</v>
      </c>
      <c r="F346" s="67">
        <v>45735</v>
      </c>
      <c r="G346" s="13" t="s">
        <v>16</v>
      </c>
      <c r="H346" s="13" t="s">
        <v>19</v>
      </c>
      <c r="I346" s="13">
        <f>_xlfn.XLOOKUP(F346,'Wk no''s'!B:B,'Wk no''s'!C:C,FALSE)</f>
        <v>12</v>
      </c>
      <c r="J346" s="13">
        <f>IF(D346="GBP",1,SUMIFS('Ex Rates'!I:I,'Ex Rates'!K:K,'Weekly Closed Proposal Requests'!L346,'Ex Rates'!G:G,'Weekly Closed Proposal Requests'!D346))</f>
        <v>1</v>
      </c>
      <c r="K346" s="13">
        <f t="shared" si="5"/>
        <v>200000</v>
      </c>
      <c r="L346" s="13" t="str">
        <f>_xlfn.XLOOKUP(I346,'Wk no''s'!C:C,'Wk no''s'!E:E,0)</f>
        <v>Mar</v>
      </c>
    </row>
    <row r="347" spans="1:12" x14ac:dyDescent="0.25">
      <c r="A347" s="67">
        <v>45734</v>
      </c>
      <c r="B347" s="13" t="s">
        <v>551</v>
      </c>
      <c r="C347" s="13" t="s">
        <v>548</v>
      </c>
      <c r="D347" s="13" t="s">
        <v>15</v>
      </c>
      <c r="E347" s="13">
        <v>200000</v>
      </c>
      <c r="F347" s="67">
        <v>45735</v>
      </c>
      <c r="G347" s="13" t="s">
        <v>16</v>
      </c>
      <c r="H347" s="13" t="s">
        <v>19</v>
      </c>
      <c r="I347" s="13">
        <f>_xlfn.XLOOKUP(F347,'Wk no''s'!B:B,'Wk no''s'!C:C,FALSE)</f>
        <v>12</v>
      </c>
      <c r="J347" s="13">
        <f>IF(D347="GBP",1,SUMIFS('Ex Rates'!I:I,'Ex Rates'!K:K,'Weekly Closed Proposal Requests'!L347,'Ex Rates'!G:G,'Weekly Closed Proposal Requests'!D347))</f>
        <v>1</v>
      </c>
      <c r="K347" s="13">
        <f t="shared" si="5"/>
        <v>200000</v>
      </c>
      <c r="L347" s="13" t="str">
        <f>_xlfn.XLOOKUP(I347,'Wk no''s'!C:C,'Wk no''s'!E:E,0)</f>
        <v>Mar</v>
      </c>
    </row>
    <row r="348" spans="1:12" x14ac:dyDescent="0.25">
      <c r="A348" s="67">
        <v>45727</v>
      </c>
      <c r="B348" s="13" t="s">
        <v>570</v>
      </c>
      <c r="C348" s="13" t="s">
        <v>332</v>
      </c>
      <c r="D348" s="13" t="s">
        <v>15</v>
      </c>
      <c r="E348" s="13">
        <v>400000</v>
      </c>
      <c r="F348" s="67">
        <v>45736</v>
      </c>
      <c r="G348" s="13" t="s">
        <v>47</v>
      </c>
      <c r="H348" s="13" t="s">
        <v>50</v>
      </c>
      <c r="I348" s="13">
        <f>_xlfn.XLOOKUP(F348,'Wk no''s'!B:B,'Wk no''s'!C:C,FALSE)</f>
        <v>12</v>
      </c>
      <c r="J348" s="13">
        <f>IF(D348="GBP",1,SUMIFS('Ex Rates'!I:I,'Ex Rates'!K:K,'Weekly Closed Proposal Requests'!L348,'Ex Rates'!G:G,'Weekly Closed Proposal Requests'!D348))</f>
        <v>1</v>
      </c>
      <c r="K348" s="13">
        <f t="shared" si="5"/>
        <v>400000</v>
      </c>
      <c r="L348" s="13" t="str">
        <f>_xlfn.XLOOKUP(I348,'Wk no''s'!C:C,'Wk no''s'!E:E,0)</f>
        <v>Mar</v>
      </c>
    </row>
    <row r="349" spans="1:12" x14ac:dyDescent="0.25">
      <c r="A349" s="67">
        <v>45729</v>
      </c>
      <c r="B349" s="13" t="s">
        <v>583</v>
      </c>
      <c r="C349" s="13" t="s">
        <v>584</v>
      </c>
      <c r="D349" s="13" t="s">
        <v>15</v>
      </c>
      <c r="E349" s="13">
        <v>300000</v>
      </c>
      <c r="F349" s="67">
        <v>45736</v>
      </c>
      <c r="G349" s="13" t="s">
        <v>72</v>
      </c>
      <c r="H349" s="13" t="s">
        <v>19</v>
      </c>
      <c r="I349" s="13">
        <f>_xlfn.XLOOKUP(F349,'Wk no''s'!B:B,'Wk no''s'!C:C,FALSE)</f>
        <v>12</v>
      </c>
      <c r="J349" s="13">
        <f>IF(D349="GBP",1,SUMIFS('Ex Rates'!I:I,'Ex Rates'!K:K,'Weekly Closed Proposal Requests'!L349,'Ex Rates'!G:G,'Weekly Closed Proposal Requests'!D349))</f>
        <v>1</v>
      </c>
      <c r="K349" s="13">
        <f t="shared" si="5"/>
        <v>300000</v>
      </c>
      <c r="L349" s="13" t="str">
        <f>_xlfn.XLOOKUP(I349,'Wk no''s'!C:C,'Wk no''s'!E:E,0)</f>
        <v>Mar</v>
      </c>
    </row>
    <row r="350" spans="1:12" x14ac:dyDescent="0.25">
      <c r="A350" s="67">
        <v>45733</v>
      </c>
      <c r="B350" s="13" t="s">
        <v>549</v>
      </c>
      <c r="C350" s="13" t="s">
        <v>488</v>
      </c>
      <c r="D350" s="13" t="s">
        <v>15</v>
      </c>
      <c r="E350" s="13">
        <v>10000</v>
      </c>
      <c r="F350" s="67">
        <v>45736</v>
      </c>
      <c r="G350" s="13" t="s">
        <v>16</v>
      </c>
      <c r="H350" s="13" t="s">
        <v>19</v>
      </c>
      <c r="I350" s="13">
        <f>_xlfn.XLOOKUP(F350,'Wk no''s'!B:B,'Wk no''s'!C:C,FALSE)</f>
        <v>12</v>
      </c>
      <c r="J350" s="13">
        <f>IF(D350="GBP",1,SUMIFS('Ex Rates'!I:I,'Ex Rates'!K:K,'Weekly Closed Proposal Requests'!L350,'Ex Rates'!G:G,'Weekly Closed Proposal Requests'!D350))</f>
        <v>1</v>
      </c>
      <c r="K350" s="13">
        <f t="shared" si="5"/>
        <v>10000</v>
      </c>
      <c r="L350" s="13" t="str">
        <f>_xlfn.XLOOKUP(I350,'Wk no''s'!C:C,'Wk no''s'!E:E,0)</f>
        <v>Mar</v>
      </c>
    </row>
    <row r="351" spans="1:12" x14ac:dyDescent="0.25">
      <c r="A351" s="67">
        <v>45735</v>
      </c>
      <c r="B351" s="13" t="s">
        <v>552</v>
      </c>
      <c r="C351" s="13" t="s">
        <v>553</v>
      </c>
      <c r="D351" s="13" t="s">
        <v>15</v>
      </c>
      <c r="E351" s="13">
        <v>120000</v>
      </c>
      <c r="F351" s="67">
        <v>45736</v>
      </c>
      <c r="G351" s="13" t="s">
        <v>16</v>
      </c>
      <c r="H351" s="13" t="s">
        <v>19</v>
      </c>
      <c r="I351" s="13">
        <f>_xlfn.XLOOKUP(F351,'Wk no''s'!B:B,'Wk no''s'!C:C,FALSE)</f>
        <v>12</v>
      </c>
      <c r="J351" s="13">
        <f>IF(D351="GBP",1,SUMIFS('Ex Rates'!I:I,'Ex Rates'!K:K,'Weekly Closed Proposal Requests'!L351,'Ex Rates'!G:G,'Weekly Closed Proposal Requests'!D351))</f>
        <v>1</v>
      </c>
      <c r="K351" s="13">
        <f t="shared" si="5"/>
        <v>120000</v>
      </c>
      <c r="L351" s="13" t="str">
        <f>_xlfn.XLOOKUP(I351,'Wk no''s'!C:C,'Wk no''s'!E:E,0)</f>
        <v>Mar</v>
      </c>
    </row>
    <row r="352" spans="1:12" x14ac:dyDescent="0.25">
      <c r="A352" s="67">
        <v>45736</v>
      </c>
      <c r="B352" s="13" t="s">
        <v>559</v>
      </c>
      <c r="C352" s="13" t="s">
        <v>560</v>
      </c>
      <c r="D352" s="13" t="s">
        <v>40</v>
      </c>
      <c r="E352" s="13">
        <v>60000</v>
      </c>
      <c r="F352" s="67">
        <v>45736</v>
      </c>
      <c r="G352" s="13" t="s">
        <v>41</v>
      </c>
      <c r="H352" s="13" t="s">
        <v>19</v>
      </c>
      <c r="I352" s="13">
        <f>_xlfn.XLOOKUP(F352,'Wk no''s'!B:B,'Wk no''s'!C:C,FALSE)</f>
        <v>12</v>
      </c>
      <c r="J352" s="13">
        <f>IF(D352="GBP",1,SUMIFS('Ex Rates'!I:I,'Ex Rates'!K:K,'Weekly Closed Proposal Requests'!L352,'Ex Rates'!G:G,'Weekly Closed Proposal Requests'!D352))</f>
        <v>0.83752093802345062</v>
      </c>
      <c r="K352" s="13">
        <f t="shared" si="5"/>
        <v>50251.256281407041</v>
      </c>
      <c r="L352" s="13" t="str">
        <f>_xlfn.XLOOKUP(I352,'Wk no''s'!C:C,'Wk no''s'!E:E,0)</f>
        <v>Mar</v>
      </c>
    </row>
    <row r="353" spans="1:12" x14ac:dyDescent="0.25">
      <c r="A353" s="67">
        <v>45691</v>
      </c>
      <c r="B353" s="13" t="s">
        <v>539</v>
      </c>
      <c r="C353" s="13" t="s">
        <v>540</v>
      </c>
      <c r="D353" s="13" t="s">
        <v>46</v>
      </c>
      <c r="E353" s="13">
        <v>0</v>
      </c>
      <c r="F353" s="67">
        <v>45737</v>
      </c>
      <c r="G353" s="13" t="s">
        <v>16</v>
      </c>
      <c r="H353" s="13" t="s">
        <v>12</v>
      </c>
      <c r="I353" s="13">
        <f>_xlfn.XLOOKUP(F353,'Wk no''s'!B:B,'Wk no''s'!C:C,FALSE)</f>
        <v>12</v>
      </c>
      <c r="J353" s="13">
        <f>IF(D353="GBP",1,SUMIFS('Ex Rates'!I:I,'Ex Rates'!K:K,'Weekly Closed Proposal Requests'!L353,'Ex Rates'!G:G,'Weekly Closed Proposal Requests'!D353))</f>
        <v>0.77399380804953555</v>
      </c>
      <c r="K353" s="13">
        <f t="shared" si="5"/>
        <v>0</v>
      </c>
      <c r="L353" s="13" t="str">
        <f>_xlfn.XLOOKUP(I353,'Wk no''s'!C:C,'Wk no''s'!E:E,0)</f>
        <v>Mar</v>
      </c>
    </row>
    <row r="354" spans="1:12" x14ac:dyDescent="0.25">
      <c r="A354" s="67">
        <v>45715</v>
      </c>
      <c r="B354" s="13" t="s">
        <v>579</v>
      </c>
      <c r="C354" s="13" t="s">
        <v>580</v>
      </c>
      <c r="D354" s="13" t="s">
        <v>15</v>
      </c>
      <c r="E354" s="13">
        <v>2000000</v>
      </c>
      <c r="F354" s="67">
        <v>45737</v>
      </c>
      <c r="G354" s="13" t="s">
        <v>72</v>
      </c>
      <c r="H354" s="13" t="s">
        <v>19</v>
      </c>
      <c r="I354" s="13">
        <f>_xlfn.XLOOKUP(F354,'Wk no''s'!B:B,'Wk no''s'!C:C,FALSE)</f>
        <v>12</v>
      </c>
      <c r="J354" s="13">
        <f>IF(D354="GBP",1,SUMIFS('Ex Rates'!I:I,'Ex Rates'!K:K,'Weekly Closed Proposal Requests'!L354,'Ex Rates'!G:G,'Weekly Closed Proposal Requests'!D354))</f>
        <v>1</v>
      </c>
      <c r="K354" s="13">
        <f t="shared" si="5"/>
        <v>2000000</v>
      </c>
      <c r="L354" s="13" t="str">
        <f>_xlfn.XLOOKUP(I354,'Wk no''s'!C:C,'Wk no''s'!E:E,0)</f>
        <v>Mar</v>
      </c>
    </row>
    <row r="355" spans="1:12" x14ac:dyDescent="0.25">
      <c r="A355" s="67">
        <v>45727</v>
      </c>
      <c r="B355" s="13" t="s">
        <v>582</v>
      </c>
      <c r="C355" s="13" t="s">
        <v>136</v>
      </c>
      <c r="D355" s="13" t="s">
        <v>15</v>
      </c>
      <c r="E355" s="13">
        <v>150000</v>
      </c>
      <c r="F355" s="67">
        <v>45737</v>
      </c>
      <c r="G355" s="13" t="s">
        <v>72</v>
      </c>
      <c r="H355" s="13" t="s">
        <v>19</v>
      </c>
      <c r="I355" s="13">
        <f>_xlfn.XLOOKUP(F355,'Wk no''s'!B:B,'Wk no''s'!C:C,FALSE)</f>
        <v>12</v>
      </c>
      <c r="J355" s="13">
        <f>IF(D355="GBP",1,SUMIFS('Ex Rates'!I:I,'Ex Rates'!K:K,'Weekly Closed Proposal Requests'!L355,'Ex Rates'!G:G,'Weekly Closed Proposal Requests'!D355))</f>
        <v>1</v>
      </c>
      <c r="K355" s="13">
        <f t="shared" si="5"/>
        <v>150000</v>
      </c>
      <c r="L355" s="13" t="str">
        <f>_xlfn.XLOOKUP(I355,'Wk no''s'!C:C,'Wk no''s'!E:E,0)</f>
        <v>Mar</v>
      </c>
    </row>
    <row r="356" spans="1:12" x14ac:dyDescent="0.25">
      <c r="A356" s="67">
        <v>45729</v>
      </c>
      <c r="B356" s="13" t="s">
        <v>571</v>
      </c>
      <c r="C356" s="13" t="s">
        <v>220</v>
      </c>
      <c r="D356" s="13" t="s">
        <v>15</v>
      </c>
      <c r="E356" s="13">
        <v>93000</v>
      </c>
      <c r="F356" s="67">
        <v>45737</v>
      </c>
      <c r="G356" s="13" t="s">
        <v>47</v>
      </c>
      <c r="H356" s="13" t="s">
        <v>50</v>
      </c>
      <c r="I356" s="13">
        <f>_xlfn.XLOOKUP(F356,'Wk no''s'!B:B,'Wk no''s'!C:C,FALSE)</f>
        <v>12</v>
      </c>
      <c r="J356" s="13">
        <f>IF(D356="GBP",1,SUMIFS('Ex Rates'!I:I,'Ex Rates'!K:K,'Weekly Closed Proposal Requests'!L356,'Ex Rates'!G:G,'Weekly Closed Proposal Requests'!D356))</f>
        <v>1</v>
      </c>
      <c r="K356" s="13">
        <f t="shared" si="5"/>
        <v>93000</v>
      </c>
      <c r="L356" s="13" t="str">
        <f>_xlfn.XLOOKUP(I356,'Wk no''s'!C:C,'Wk no''s'!E:E,0)</f>
        <v>Mar</v>
      </c>
    </row>
    <row r="357" spans="1:12" x14ac:dyDescent="0.25">
      <c r="A357" s="67">
        <v>45734</v>
      </c>
      <c r="B357" s="13" t="s">
        <v>574</v>
      </c>
      <c r="C357" s="13" t="s">
        <v>58</v>
      </c>
      <c r="D357" s="13" t="s">
        <v>15</v>
      </c>
      <c r="E357" s="13">
        <v>45515</v>
      </c>
      <c r="F357" s="67">
        <v>45737</v>
      </c>
      <c r="G357" s="13" t="s">
        <v>47</v>
      </c>
      <c r="H357" s="13" t="s">
        <v>50</v>
      </c>
      <c r="I357" s="13">
        <f>_xlfn.XLOOKUP(F357,'Wk no''s'!B:B,'Wk no''s'!C:C,FALSE)</f>
        <v>12</v>
      </c>
      <c r="J357" s="13">
        <f>IF(D357="GBP",1,SUMIFS('Ex Rates'!I:I,'Ex Rates'!K:K,'Weekly Closed Proposal Requests'!L357,'Ex Rates'!G:G,'Weekly Closed Proposal Requests'!D357))</f>
        <v>1</v>
      </c>
      <c r="K357" s="13">
        <f t="shared" si="5"/>
        <v>45515</v>
      </c>
      <c r="L357" s="13" t="str">
        <f>_xlfn.XLOOKUP(I357,'Wk no''s'!C:C,'Wk no''s'!E:E,0)</f>
        <v>Mar</v>
      </c>
    </row>
    <row r="358" spans="1:12" x14ac:dyDescent="0.25">
      <c r="A358" s="67">
        <v>45734</v>
      </c>
      <c r="B358" s="13" t="s">
        <v>585</v>
      </c>
      <c r="C358" s="13" t="s">
        <v>586</v>
      </c>
      <c r="D358" s="13" t="s">
        <v>15</v>
      </c>
      <c r="E358" s="13">
        <v>30000</v>
      </c>
      <c r="F358" s="67">
        <v>45737</v>
      </c>
      <c r="G358" s="13" t="s">
        <v>72</v>
      </c>
      <c r="H358" s="13" t="s">
        <v>19</v>
      </c>
      <c r="I358" s="13">
        <f>_xlfn.XLOOKUP(F358,'Wk no''s'!B:B,'Wk no''s'!C:C,FALSE)</f>
        <v>12</v>
      </c>
      <c r="J358" s="13">
        <f>IF(D358="GBP",1,SUMIFS('Ex Rates'!I:I,'Ex Rates'!K:K,'Weekly Closed Proposal Requests'!L358,'Ex Rates'!G:G,'Weekly Closed Proposal Requests'!D358))</f>
        <v>1</v>
      </c>
      <c r="K358" s="13">
        <f t="shared" si="5"/>
        <v>30000</v>
      </c>
      <c r="L358" s="13" t="str">
        <f>_xlfn.XLOOKUP(I358,'Wk no''s'!C:C,'Wk no''s'!E:E,0)</f>
        <v>Mar</v>
      </c>
    </row>
    <row r="359" spans="1:12" x14ac:dyDescent="0.25">
      <c r="A359" s="67">
        <v>45735</v>
      </c>
      <c r="B359" s="13" t="s">
        <v>556</v>
      </c>
      <c r="C359" s="13" t="s">
        <v>376</v>
      </c>
      <c r="D359" s="13" t="s">
        <v>15</v>
      </c>
      <c r="E359" s="13">
        <v>1</v>
      </c>
      <c r="F359" s="67">
        <v>45737</v>
      </c>
      <c r="G359" s="13" t="s">
        <v>16</v>
      </c>
      <c r="H359" s="13" t="s">
        <v>50</v>
      </c>
      <c r="I359" s="13">
        <f>_xlfn.XLOOKUP(F359,'Wk no''s'!B:B,'Wk no''s'!C:C,FALSE)</f>
        <v>12</v>
      </c>
      <c r="J359" s="13">
        <f>IF(D359="GBP",1,SUMIFS('Ex Rates'!I:I,'Ex Rates'!K:K,'Weekly Closed Proposal Requests'!L359,'Ex Rates'!G:G,'Weekly Closed Proposal Requests'!D359))</f>
        <v>1</v>
      </c>
      <c r="K359" s="13">
        <f t="shared" si="5"/>
        <v>1</v>
      </c>
      <c r="L359" s="13" t="str">
        <f>_xlfn.XLOOKUP(I359,'Wk no''s'!C:C,'Wk no''s'!E:E,0)</f>
        <v>Mar</v>
      </c>
    </row>
    <row r="360" spans="1:12" x14ac:dyDescent="0.25">
      <c r="A360" s="67">
        <v>45736</v>
      </c>
      <c r="B360" s="13" t="s">
        <v>561</v>
      </c>
      <c r="C360" s="13" t="s">
        <v>562</v>
      </c>
      <c r="D360" s="13" t="s">
        <v>46</v>
      </c>
      <c r="E360" s="13">
        <v>1000000</v>
      </c>
      <c r="F360" s="67">
        <v>45737</v>
      </c>
      <c r="G360" s="13" t="s">
        <v>47</v>
      </c>
      <c r="H360" s="13" t="s">
        <v>281</v>
      </c>
      <c r="I360" s="13">
        <f>_xlfn.XLOOKUP(F360,'Wk no''s'!B:B,'Wk no''s'!C:C,FALSE)</f>
        <v>12</v>
      </c>
      <c r="J360" s="13">
        <f>IF(D360="GBP",1,SUMIFS('Ex Rates'!I:I,'Ex Rates'!K:K,'Weekly Closed Proposal Requests'!L360,'Ex Rates'!G:G,'Weekly Closed Proposal Requests'!D360))</f>
        <v>0.77399380804953555</v>
      </c>
      <c r="K360" s="13">
        <f t="shared" si="5"/>
        <v>773993.8080495355</v>
      </c>
      <c r="L360" s="13" t="str">
        <f>_xlfn.XLOOKUP(I360,'Wk no''s'!C:C,'Wk no''s'!E:E,0)</f>
        <v>Mar</v>
      </c>
    </row>
    <row r="361" spans="1:12" x14ac:dyDescent="0.25">
      <c r="A361" s="67">
        <v>45736</v>
      </c>
      <c r="B361" s="13" t="s">
        <v>587</v>
      </c>
      <c r="C361" s="13" t="s">
        <v>584</v>
      </c>
      <c r="D361" s="13" t="s">
        <v>15</v>
      </c>
      <c r="E361" s="13">
        <v>400000</v>
      </c>
      <c r="F361" s="67">
        <v>45737</v>
      </c>
      <c r="G361" s="13" t="s">
        <v>72</v>
      </c>
      <c r="H361" s="13" t="s">
        <v>19</v>
      </c>
      <c r="I361" s="13">
        <f>_xlfn.XLOOKUP(F361,'Wk no''s'!B:B,'Wk no''s'!C:C,FALSE)</f>
        <v>12</v>
      </c>
      <c r="J361" s="13">
        <f>IF(D361="GBP",1,SUMIFS('Ex Rates'!I:I,'Ex Rates'!K:K,'Weekly Closed Proposal Requests'!L361,'Ex Rates'!G:G,'Weekly Closed Proposal Requests'!D361))</f>
        <v>1</v>
      </c>
      <c r="K361" s="13">
        <f t="shared" si="5"/>
        <v>400000</v>
      </c>
      <c r="L361" s="13" t="str">
        <f>_xlfn.XLOOKUP(I361,'Wk no''s'!C:C,'Wk no''s'!E:E,0)</f>
        <v>Mar</v>
      </c>
    </row>
    <row r="362" spans="1:12" x14ac:dyDescent="0.25">
      <c r="A362" s="67">
        <v>45736</v>
      </c>
      <c r="B362" s="13" t="s">
        <v>565</v>
      </c>
      <c r="C362" s="13" t="s">
        <v>566</v>
      </c>
      <c r="D362" s="13" t="s">
        <v>46</v>
      </c>
      <c r="E362" s="13">
        <v>5000</v>
      </c>
      <c r="F362" s="67">
        <v>45737</v>
      </c>
      <c r="G362" s="13" t="s">
        <v>47</v>
      </c>
      <c r="H362" s="13" t="s">
        <v>19</v>
      </c>
      <c r="I362" s="13">
        <f>_xlfn.XLOOKUP(F362,'Wk no''s'!B:B,'Wk no''s'!C:C,FALSE)</f>
        <v>12</v>
      </c>
      <c r="J362" s="13">
        <f>IF(D362="GBP",1,SUMIFS('Ex Rates'!I:I,'Ex Rates'!K:K,'Weekly Closed Proposal Requests'!L362,'Ex Rates'!G:G,'Weekly Closed Proposal Requests'!D362))</f>
        <v>0.77399380804953555</v>
      </c>
      <c r="K362" s="13">
        <f t="shared" si="5"/>
        <v>3869.9690402476776</v>
      </c>
      <c r="L362" s="13" t="str">
        <f>_xlfn.XLOOKUP(I362,'Wk no''s'!C:C,'Wk no''s'!E:E,0)</f>
        <v>Mar</v>
      </c>
    </row>
    <row r="363" spans="1:12" x14ac:dyDescent="0.25">
      <c r="A363" s="67">
        <v>45736</v>
      </c>
      <c r="B363" s="13" t="s">
        <v>575</v>
      </c>
      <c r="C363" s="13" t="s">
        <v>576</v>
      </c>
      <c r="D363" s="13" t="s">
        <v>15</v>
      </c>
      <c r="E363" s="13">
        <v>80278</v>
      </c>
      <c r="F363" s="67">
        <v>45737</v>
      </c>
      <c r="G363" s="13" t="s">
        <v>47</v>
      </c>
      <c r="H363" s="13" t="s">
        <v>50</v>
      </c>
      <c r="I363" s="13">
        <f>_xlfn.XLOOKUP(F363,'Wk no''s'!B:B,'Wk no''s'!C:C,FALSE)</f>
        <v>12</v>
      </c>
      <c r="J363" s="13">
        <f>IF(D363="GBP",1,SUMIFS('Ex Rates'!I:I,'Ex Rates'!K:K,'Weekly Closed Proposal Requests'!L363,'Ex Rates'!G:G,'Weekly Closed Proposal Requests'!D363))</f>
        <v>1</v>
      </c>
      <c r="K363" s="13">
        <f t="shared" si="5"/>
        <v>80278</v>
      </c>
      <c r="L363" s="13" t="str">
        <f>_xlfn.XLOOKUP(I363,'Wk no''s'!C:C,'Wk no''s'!E:E,0)</f>
        <v>Mar</v>
      </c>
    </row>
    <row r="364" spans="1:12" x14ac:dyDescent="0.25">
      <c r="A364" s="67">
        <v>45736</v>
      </c>
      <c r="B364" s="13" t="s">
        <v>588</v>
      </c>
      <c r="C364" s="13" t="s">
        <v>80</v>
      </c>
      <c r="D364" s="13" t="s">
        <v>15</v>
      </c>
      <c r="E364" s="13">
        <v>20000</v>
      </c>
      <c r="F364" s="67">
        <v>45737</v>
      </c>
      <c r="G364" s="13" t="s">
        <v>72</v>
      </c>
      <c r="H364" s="13" t="s">
        <v>19</v>
      </c>
      <c r="I364" s="13">
        <f>_xlfn.XLOOKUP(F364,'Wk no''s'!B:B,'Wk no''s'!C:C,FALSE)</f>
        <v>12</v>
      </c>
      <c r="J364" s="13">
        <f>IF(D364="GBP",1,SUMIFS('Ex Rates'!I:I,'Ex Rates'!K:K,'Weekly Closed Proposal Requests'!L364,'Ex Rates'!G:G,'Weekly Closed Proposal Requests'!D364))</f>
        <v>1</v>
      </c>
      <c r="K364" s="13">
        <f t="shared" si="5"/>
        <v>20000</v>
      </c>
      <c r="L364" s="13" t="str">
        <f>_xlfn.XLOOKUP(I364,'Wk no''s'!C:C,'Wk no''s'!E:E,0)</f>
        <v>Mar</v>
      </c>
    </row>
    <row r="365" spans="1:12" x14ac:dyDescent="0.25">
      <c r="A365" s="67">
        <v>45722</v>
      </c>
      <c r="B365" s="13" t="s">
        <v>627</v>
      </c>
      <c r="C365" s="13" t="s">
        <v>339</v>
      </c>
      <c r="D365" s="13" t="s">
        <v>10</v>
      </c>
      <c r="E365" s="13">
        <v>2500000</v>
      </c>
      <c r="F365" s="67">
        <v>45740</v>
      </c>
      <c r="G365" s="13" t="s">
        <v>11</v>
      </c>
      <c r="H365" s="13" t="s">
        <v>50</v>
      </c>
      <c r="I365" s="13">
        <f>_xlfn.XLOOKUP(F365,'Wk no''s'!B:B,'Wk no''s'!C:C,FALSE)</f>
        <v>13</v>
      </c>
      <c r="J365" s="13">
        <f>IF(D365="GBP",1,SUMIFS('Ex Rates'!I:I,'Ex Rates'!K:K,'Weekly Closed Proposal Requests'!L365,'Ex Rates'!G:G,'Weekly Closed Proposal Requests'!D365))</f>
        <v>0.48379293662312528</v>
      </c>
      <c r="K365" s="13">
        <f t="shared" si="5"/>
        <v>1209482.3415578131</v>
      </c>
      <c r="L365" s="13" t="str">
        <f>_xlfn.XLOOKUP(I365,'Wk no''s'!C:C,'Wk no''s'!E:E,0)</f>
        <v>Mar</v>
      </c>
    </row>
    <row r="366" spans="1:12" x14ac:dyDescent="0.25">
      <c r="A366" s="67">
        <v>45728</v>
      </c>
      <c r="B366" s="13" t="s">
        <v>631</v>
      </c>
      <c r="C366" s="13" t="s">
        <v>584</v>
      </c>
      <c r="D366" s="13" t="s">
        <v>15</v>
      </c>
      <c r="E366" s="13">
        <v>300000</v>
      </c>
      <c r="F366" s="67">
        <v>45740</v>
      </c>
      <c r="G366" s="13" t="s">
        <v>72</v>
      </c>
      <c r="H366" s="13" t="s">
        <v>19</v>
      </c>
      <c r="I366" s="13">
        <f>_xlfn.XLOOKUP(F366,'Wk no''s'!B:B,'Wk no''s'!C:C,FALSE)</f>
        <v>13</v>
      </c>
      <c r="J366" s="13">
        <f>IF(D366="GBP",1,SUMIFS('Ex Rates'!I:I,'Ex Rates'!K:K,'Weekly Closed Proposal Requests'!L366,'Ex Rates'!G:G,'Weekly Closed Proposal Requests'!D366))</f>
        <v>1</v>
      </c>
      <c r="K366" s="13">
        <f t="shared" si="5"/>
        <v>300000</v>
      </c>
      <c r="L366" s="13" t="str">
        <f>_xlfn.XLOOKUP(I366,'Wk no''s'!C:C,'Wk no''s'!E:E,0)</f>
        <v>Mar</v>
      </c>
    </row>
    <row r="367" spans="1:12" x14ac:dyDescent="0.25">
      <c r="A367" s="67">
        <v>45732</v>
      </c>
      <c r="B367" s="13" t="s">
        <v>636</v>
      </c>
      <c r="C367" s="13" t="s">
        <v>584</v>
      </c>
      <c r="D367" s="13" t="s">
        <v>15</v>
      </c>
      <c r="E367" s="13">
        <v>300000</v>
      </c>
      <c r="F367" s="67">
        <v>45740</v>
      </c>
      <c r="G367" s="13" t="s">
        <v>72</v>
      </c>
      <c r="H367" s="13" t="s">
        <v>19</v>
      </c>
      <c r="I367" s="13">
        <f>_xlfn.XLOOKUP(F367,'Wk no''s'!B:B,'Wk no''s'!C:C,FALSE)</f>
        <v>13</v>
      </c>
      <c r="J367" s="13">
        <f>IF(D367="GBP",1,SUMIFS('Ex Rates'!I:I,'Ex Rates'!K:K,'Weekly Closed Proposal Requests'!L367,'Ex Rates'!G:G,'Weekly Closed Proposal Requests'!D367))</f>
        <v>1</v>
      </c>
      <c r="K367" s="13">
        <f t="shared" si="5"/>
        <v>300000</v>
      </c>
      <c r="L367" s="13" t="str">
        <f>_xlfn.XLOOKUP(I367,'Wk no''s'!C:C,'Wk no''s'!E:E,0)</f>
        <v>Mar</v>
      </c>
    </row>
    <row r="368" spans="1:12" x14ac:dyDescent="0.25">
      <c r="A368" s="67">
        <v>45734</v>
      </c>
      <c r="B368" s="13" t="s">
        <v>602</v>
      </c>
      <c r="C368" s="13" t="s">
        <v>603</v>
      </c>
      <c r="D368" s="13" t="s">
        <v>15</v>
      </c>
      <c r="E368" s="13">
        <v>100000</v>
      </c>
      <c r="F368" s="67">
        <v>45740</v>
      </c>
      <c r="G368" s="13" t="s">
        <v>16</v>
      </c>
      <c r="H368" s="13" t="s">
        <v>50</v>
      </c>
      <c r="I368" s="13">
        <f>_xlfn.XLOOKUP(F368,'Wk no''s'!B:B,'Wk no''s'!C:C,FALSE)</f>
        <v>13</v>
      </c>
      <c r="J368" s="13">
        <f>IF(D368="GBP",1,SUMIFS('Ex Rates'!I:I,'Ex Rates'!K:K,'Weekly Closed Proposal Requests'!L368,'Ex Rates'!G:G,'Weekly Closed Proposal Requests'!D368))</f>
        <v>1</v>
      </c>
      <c r="K368" s="13">
        <f t="shared" si="5"/>
        <v>100000</v>
      </c>
      <c r="L368" s="13" t="str">
        <f>_xlfn.XLOOKUP(I368,'Wk no''s'!C:C,'Wk no''s'!E:E,0)</f>
        <v>Mar</v>
      </c>
    </row>
    <row r="369" spans="1:12" x14ac:dyDescent="0.25">
      <c r="A369" s="67">
        <v>45734</v>
      </c>
      <c r="B369" s="13" t="s">
        <v>618</v>
      </c>
      <c r="C369" s="13" t="s">
        <v>619</v>
      </c>
      <c r="D369" s="13" t="s">
        <v>10</v>
      </c>
      <c r="E369" s="13">
        <v>100000</v>
      </c>
      <c r="F369" s="67">
        <v>45740</v>
      </c>
      <c r="G369" s="13" t="s">
        <v>11</v>
      </c>
      <c r="H369" s="13" t="s">
        <v>12</v>
      </c>
      <c r="I369" s="13">
        <f>_xlfn.XLOOKUP(F369,'Wk no''s'!B:B,'Wk no''s'!C:C,FALSE)</f>
        <v>13</v>
      </c>
      <c r="J369" s="13">
        <f>IF(D369="GBP",1,SUMIFS('Ex Rates'!I:I,'Ex Rates'!K:K,'Weekly Closed Proposal Requests'!L369,'Ex Rates'!G:G,'Weekly Closed Proposal Requests'!D369))</f>
        <v>0.48379293662312528</v>
      </c>
      <c r="K369" s="13">
        <f t="shared" si="5"/>
        <v>48379.293662312528</v>
      </c>
      <c r="L369" s="13" t="str">
        <f>_xlfn.XLOOKUP(I369,'Wk no''s'!C:C,'Wk no''s'!E:E,0)</f>
        <v>Mar</v>
      </c>
    </row>
    <row r="370" spans="1:12" x14ac:dyDescent="0.25">
      <c r="A370" s="67">
        <v>45736</v>
      </c>
      <c r="B370" s="13" t="s">
        <v>624</v>
      </c>
      <c r="C370" s="13" t="s">
        <v>625</v>
      </c>
      <c r="D370" s="13" t="s">
        <v>10</v>
      </c>
      <c r="E370" s="13">
        <v>40000</v>
      </c>
      <c r="F370" s="67">
        <v>45740</v>
      </c>
      <c r="G370" s="13" t="s">
        <v>11</v>
      </c>
      <c r="H370" s="13" t="s">
        <v>19</v>
      </c>
      <c r="I370" s="13">
        <f>_xlfn.XLOOKUP(F370,'Wk no''s'!B:B,'Wk no''s'!C:C,FALSE)</f>
        <v>13</v>
      </c>
      <c r="J370" s="13">
        <f>IF(D370="GBP",1,SUMIFS('Ex Rates'!I:I,'Ex Rates'!K:K,'Weekly Closed Proposal Requests'!L370,'Ex Rates'!G:G,'Weekly Closed Proposal Requests'!D370))</f>
        <v>0.48379293662312528</v>
      </c>
      <c r="K370" s="13">
        <f t="shared" si="5"/>
        <v>19351.717464925012</v>
      </c>
      <c r="L370" s="13" t="str">
        <f>_xlfn.XLOOKUP(I370,'Wk no''s'!C:C,'Wk no''s'!E:E,0)</f>
        <v>Mar</v>
      </c>
    </row>
    <row r="371" spans="1:12" x14ac:dyDescent="0.25">
      <c r="A371" s="67">
        <v>45736</v>
      </c>
      <c r="B371" s="13" t="s">
        <v>614</v>
      </c>
      <c r="C371" s="13" t="s">
        <v>615</v>
      </c>
      <c r="D371" s="13" t="s">
        <v>15</v>
      </c>
      <c r="E371" s="13">
        <v>4364711</v>
      </c>
      <c r="F371" s="67">
        <v>45740</v>
      </c>
      <c r="G371" s="13" t="s">
        <v>47</v>
      </c>
      <c r="H371" s="13" t="s">
        <v>50</v>
      </c>
      <c r="I371" s="13">
        <f>_xlfn.XLOOKUP(F371,'Wk no''s'!B:B,'Wk no''s'!C:C,FALSE)</f>
        <v>13</v>
      </c>
      <c r="J371" s="13">
        <f>IF(D371="GBP",1,SUMIFS('Ex Rates'!I:I,'Ex Rates'!K:K,'Weekly Closed Proposal Requests'!L371,'Ex Rates'!G:G,'Weekly Closed Proposal Requests'!D371))</f>
        <v>1</v>
      </c>
      <c r="K371" s="13">
        <f t="shared" si="5"/>
        <v>4364711</v>
      </c>
      <c r="L371" s="13" t="str">
        <f>_xlfn.XLOOKUP(I371,'Wk no''s'!C:C,'Wk no''s'!E:E,0)</f>
        <v>Mar</v>
      </c>
    </row>
    <row r="372" spans="1:12" x14ac:dyDescent="0.25">
      <c r="A372" s="67">
        <v>45713</v>
      </c>
      <c r="B372" s="13" t="s">
        <v>626</v>
      </c>
      <c r="C372" s="13" t="s">
        <v>525</v>
      </c>
      <c r="D372" s="13" t="s">
        <v>10</v>
      </c>
      <c r="E372" s="13">
        <v>50000</v>
      </c>
      <c r="F372" s="67">
        <v>45741</v>
      </c>
      <c r="G372" s="13" t="s">
        <v>11</v>
      </c>
      <c r="H372" s="13" t="s">
        <v>50</v>
      </c>
      <c r="I372" s="13">
        <f>_xlfn.XLOOKUP(F372,'Wk no''s'!B:B,'Wk no''s'!C:C,FALSE)</f>
        <v>13</v>
      </c>
      <c r="J372" s="13">
        <f>IF(D372="GBP",1,SUMIFS('Ex Rates'!I:I,'Ex Rates'!K:K,'Weekly Closed Proposal Requests'!L372,'Ex Rates'!G:G,'Weekly Closed Proposal Requests'!D372))</f>
        <v>0.48379293662312528</v>
      </c>
      <c r="K372" s="13">
        <f t="shared" si="5"/>
        <v>24189.646831156264</v>
      </c>
      <c r="L372" s="13" t="str">
        <f>_xlfn.XLOOKUP(I372,'Wk no''s'!C:C,'Wk no''s'!E:E,0)</f>
        <v>Mar</v>
      </c>
    </row>
    <row r="373" spans="1:12" x14ac:dyDescent="0.25">
      <c r="A373" s="67">
        <v>45713</v>
      </c>
      <c r="B373" s="13" t="s">
        <v>600</v>
      </c>
      <c r="C373" s="13" t="s">
        <v>601</v>
      </c>
      <c r="D373" s="13" t="s">
        <v>15</v>
      </c>
      <c r="E373" s="13">
        <v>60000</v>
      </c>
      <c r="F373" s="67">
        <v>45741</v>
      </c>
      <c r="G373" s="13" t="s">
        <v>16</v>
      </c>
      <c r="H373" s="13" t="s">
        <v>50</v>
      </c>
      <c r="I373" s="13">
        <f>_xlfn.XLOOKUP(F373,'Wk no''s'!B:B,'Wk no''s'!C:C,FALSE)</f>
        <v>13</v>
      </c>
      <c r="J373" s="13">
        <f>IF(D373="GBP",1,SUMIFS('Ex Rates'!I:I,'Ex Rates'!K:K,'Weekly Closed Proposal Requests'!L373,'Ex Rates'!G:G,'Weekly Closed Proposal Requests'!D373))</f>
        <v>1</v>
      </c>
      <c r="K373" s="13">
        <f t="shared" si="5"/>
        <v>60000</v>
      </c>
      <c r="L373" s="13" t="str">
        <f>_xlfn.XLOOKUP(I373,'Wk no''s'!C:C,'Wk no''s'!E:E,0)</f>
        <v>Mar</v>
      </c>
    </row>
    <row r="374" spans="1:12" x14ac:dyDescent="0.25">
      <c r="A374" s="67">
        <v>45733</v>
      </c>
      <c r="B374" s="13" t="s">
        <v>622</v>
      </c>
      <c r="C374" s="13" t="s">
        <v>623</v>
      </c>
      <c r="D374" s="13" t="s">
        <v>10</v>
      </c>
      <c r="E374" s="13">
        <v>2425</v>
      </c>
      <c r="F374" s="67">
        <v>45741</v>
      </c>
      <c r="G374" s="13" t="s">
        <v>11</v>
      </c>
      <c r="H374" s="13" t="s">
        <v>19</v>
      </c>
      <c r="I374" s="13">
        <f>_xlfn.XLOOKUP(F374,'Wk no''s'!B:B,'Wk no''s'!C:C,FALSE)</f>
        <v>13</v>
      </c>
      <c r="J374" s="13">
        <f>IF(D374="GBP",1,SUMIFS('Ex Rates'!I:I,'Ex Rates'!K:K,'Weekly Closed Proposal Requests'!L374,'Ex Rates'!G:G,'Weekly Closed Proposal Requests'!D374))</f>
        <v>0.48379293662312528</v>
      </c>
      <c r="K374" s="13">
        <f t="shared" si="5"/>
        <v>1173.1978713110789</v>
      </c>
      <c r="L374" s="13" t="str">
        <f>_xlfn.XLOOKUP(I374,'Wk no''s'!C:C,'Wk no''s'!E:E,0)</f>
        <v>Mar</v>
      </c>
    </row>
    <row r="375" spans="1:12" x14ac:dyDescent="0.25">
      <c r="A375" s="67">
        <v>45736</v>
      </c>
      <c r="B375" s="13" t="s">
        <v>604</v>
      </c>
      <c r="C375" s="13" t="s">
        <v>605</v>
      </c>
      <c r="D375" s="13" t="s">
        <v>15</v>
      </c>
      <c r="E375" s="13">
        <v>1000000</v>
      </c>
      <c r="F375" s="67">
        <v>45741</v>
      </c>
      <c r="G375" s="13" t="s">
        <v>16</v>
      </c>
      <c r="H375" s="13" t="s">
        <v>50</v>
      </c>
      <c r="I375" s="13">
        <f>_xlfn.XLOOKUP(F375,'Wk no''s'!B:B,'Wk no''s'!C:C,FALSE)</f>
        <v>13</v>
      </c>
      <c r="J375" s="13">
        <f>IF(D375="GBP",1,SUMIFS('Ex Rates'!I:I,'Ex Rates'!K:K,'Weekly Closed Proposal Requests'!L375,'Ex Rates'!G:G,'Weekly Closed Proposal Requests'!D375))</f>
        <v>1</v>
      </c>
      <c r="K375" s="13">
        <f t="shared" si="5"/>
        <v>1000000</v>
      </c>
      <c r="L375" s="13" t="str">
        <f>_xlfn.XLOOKUP(I375,'Wk no''s'!C:C,'Wk no''s'!E:E,0)</f>
        <v>Mar</v>
      </c>
    </row>
    <row r="376" spans="1:12" x14ac:dyDescent="0.25">
      <c r="A376" s="67">
        <v>45728</v>
      </c>
      <c r="B376" s="13" t="s">
        <v>632</v>
      </c>
      <c r="C376" s="13" t="s">
        <v>633</v>
      </c>
      <c r="D376" s="13" t="s">
        <v>15</v>
      </c>
      <c r="E376" s="13">
        <v>200000</v>
      </c>
      <c r="F376" s="67">
        <v>45742</v>
      </c>
      <c r="G376" s="13" t="s">
        <v>72</v>
      </c>
      <c r="H376" s="13" t="s">
        <v>19</v>
      </c>
      <c r="I376" s="13">
        <f>_xlfn.XLOOKUP(F376,'Wk no''s'!B:B,'Wk no''s'!C:C,FALSE)</f>
        <v>13</v>
      </c>
      <c r="J376" s="13">
        <f>IF(D376="GBP",1,SUMIFS('Ex Rates'!I:I,'Ex Rates'!K:K,'Weekly Closed Proposal Requests'!L376,'Ex Rates'!G:G,'Weekly Closed Proposal Requests'!D376))</f>
        <v>1</v>
      </c>
      <c r="K376" s="13">
        <f t="shared" si="5"/>
        <v>200000</v>
      </c>
      <c r="L376" s="13" t="str">
        <f>_xlfn.XLOOKUP(I376,'Wk no''s'!C:C,'Wk no''s'!E:E,0)</f>
        <v>Mar</v>
      </c>
    </row>
    <row r="377" spans="1:12" x14ac:dyDescent="0.25">
      <c r="A377" s="67">
        <v>45729</v>
      </c>
      <c r="B377" s="13" t="s">
        <v>634</v>
      </c>
      <c r="C377" s="13" t="s">
        <v>635</v>
      </c>
      <c r="D377" s="13" t="s">
        <v>15</v>
      </c>
      <c r="E377" s="13">
        <v>10000</v>
      </c>
      <c r="F377" s="67">
        <v>45742</v>
      </c>
      <c r="G377" s="13" t="s">
        <v>72</v>
      </c>
      <c r="H377" s="13" t="s">
        <v>19</v>
      </c>
      <c r="I377" s="13">
        <f>_xlfn.XLOOKUP(F377,'Wk no''s'!B:B,'Wk no''s'!C:C,FALSE)</f>
        <v>13</v>
      </c>
      <c r="J377" s="13">
        <f>IF(D377="GBP",1,SUMIFS('Ex Rates'!I:I,'Ex Rates'!K:K,'Weekly Closed Proposal Requests'!L377,'Ex Rates'!G:G,'Weekly Closed Proposal Requests'!D377))</f>
        <v>1</v>
      </c>
      <c r="K377" s="13">
        <f t="shared" si="5"/>
        <v>10000</v>
      </c>
      <c r="L377" s="13" t="str">
        <f>_xlfn.XLOOKUP(I377,'Wk no''s'!C:C,'Wk no''s'!E:E,0)</f>
        <v>Mar</v>
      </c>
    </row>
    <row r="378" spans="1:12" x14ac:dyDescent="0.25">
      <c r="A378" s="67">
        <v>45733</v>
      </c>
      <c r="B378" s="13" t="s">
        <v>610</v>
      </c>
      <c r="C378" s="13" t="s">
        <v>335</v>
      </c>
      <c r="D378" s="13" t="s">
        <v>46</v>
      </c>
      <c r="E378" s="13">
        <v>150000</v>
      </c>
      <c r="F378" s="67">
        <v>45742</v>
      </c>
      <c r="G378" s="13" t="s">
        <v>47</v>
      </c>
      <c r="H378" s="13" t="s">
        <v>19</v>
      </c>
      <c r="I378" s="13">
        <f>_xlfn.XLOOKUP(F378,'Wk no''s'!B:B,'Wk no''s'!C:C,FALSE)</f>
        <v>13</v>
      </c>
      <c r="J378" s="13">
        <f>IF(D378="GBP",1,SUMIFS('Ex Rates'!I:I,'Ex Rates'!K:K,'Weekly Closed Proposal Requests'!L378,'Ex Rates'!G:G,'Weekly Closed Proposal Requests'!D378))</f>
        <v>0.77399380804953555</v>
      </c>
      <c r="K378" s="13">
        <f t="shared" si="5"/>
        <v>116099.07120743033</v>
      </c>
      <c r="L378" s="13" t="str">
        <f>_xlfn.XLOOKUP(I378,'Wk no''s'!C:C,'Wk no''s'!E:E,0)</f>
        <v>Mar</v>
      </c>
    </row>
    <row r="379" spans="1:12" x14ac:dyDescent="0.25">
      <c r="A379" s="67">
        <v>45735</v>
      </c>
      <c r="B379" s="13" t="s">
        <v>608</v>
      </c>
      <c r="C379" s="13" t="s">
        <v>609</v>
      </c>
      <c r="D379" s="13" t="s">
        <v>40</v>
      </c>
      <c r="E379" s="13">
        <v>45000</v>
      </c>
      <c r="F379" s="67">
        <v>45742</v>
      </c>
      <c r="G379" s="13" t="s">
        <v>41</v>
      </c>
      <c r="H379" s="13" t="s">
        <v>19</v>
      </c>
      <c r="I379" s="13">
        <f>_xlfn.XLOOKUP(F379,'Wk no''s'!B:B,'Wk no''s'!C:C,FALSE)</f>
        <v>13</v>
      </c>
      <c r="J379" s="13">
        <f>IF(D379="GBP",1,SUMIFS('Ex Rates'!I:I,'Ex Rates'!K:K,'Weekly Closed Proposal Requests'!L379,'Ex Rates'!G:G,'Weekly Closed Proposal Requests'!D379))</f>
        <v>0.83752093802345062</v>
      </c>
      <c r="K379" s="13">
        <f t="shared" si="5"/>
        <v>37688.442211055277</v>
      </c>
      <c r="L379" s="13" t="str">
        <f>_xlfn.XLOOKUP(I379,'Wk no''s'!C:C,'Wk no''s'!E:E,0)</f>
        <v>Mar</v>
      </c>
    </row>
    <row r="380" spans="1:12" x14ac:dyDescent="0.25">
      <c r="A380" s="67">
        <v>45735</v>
      </c>
      <c r="B380" s="13" t="s">
        <v>592</v>
      </c>
      <c r="C380" s="13" t="s">
        <v>108</v>
      </c>
      <c r="D380" s="13" t="s">
        <v>15</v>
      </c>
      <c r="E380" s="13">
        <v>50000</v>
      </c>
      <c r="F380" s="67">
        <v>45742</v>
      </c>
      <c r="G380" s="13" t="s">
        <v>16</v>
      </c>
      <c r="H380" s="13" t="s">
        <v>19</v>
      </c>
      <c r="I380" s="13">
        <f>_xlfn.XLOOKUP(F380,'Wk no''s'!B:B,'Wk no''s'!C:C,FALSE)</f>
        <v>13</v>
      </c>
      <c r="J380" s="13">
        <f>IF(D380="GBP",1,SUMIFS('Ex Rates'!I:I,'Ex Rates'!K:K,'Weekly Closed Proposal Requests'!L380,'Ex Rates'!G:G,'Weekly Closed Proposal Requests'!D380))</f>
        <v>1</v>
      </c>
      <c r="K380" s="13">
        <f t="shared" si="5"/>
        <v>50000</v>
      </c>
      <c r="L380" s="13" t="str">
        <f>_xlfn.XLOOKUP(I380,'Wk no''s'!C:C,'Wk no''s'!E:E,0)</f>
        <v>Mar</v>
      </c>
    </row>
    <row r="381" spans="1:12" x14ac:dyDescent="0.25">
      <c r="A381" s="67">
        <v>45736</v>
      </c>
      <c r="B381" s="13" t="s">
        <v>613</v>
      </c>
      <c r="C381" s="13" t="s">
        <v>568</v>
      </c>
      <c r="D381" s="13" t="s">
        <v>15</v>
      </c>
      <c r="E381" s="13">
        <v>35162</v>
      </c>
      <c r="F381" s="67">
        <v>45742</v>
      </c>
      <c r="G381" s="13" t="s">
        <v>47</v>
      </c>
      <c r="H381" s="13" t="s">
        <v>50</v>
      </c>
      <c r="I381" s="13">
        <f>_xlfn.XLOOKUP(F381,'Wk no''s'!B:B,'Wk no''s'!C:C,FALSE)</f>
        <v>13</v>
      </c>
      <c r="J381" s="13">
        <f>IF(D381="GBP",1,SUMIFS('Ex Rates'!I:I,'Ex Rates'!K:K,'Weekly Closed Proposal Requests'!L381,'Ex Rates'!G:G,'Weekly Closed Proposal Requests'!D381))</f>
        <v>1</v>
      </c>
      <c r="K381" s="13">
        <f t="shared" si="5"/>
        <v>35162</v>
      </c>
      <c r="L381" s="13" t="str">
        <f>_xlfn.XLOOKUP(I381,'Wk no''s'!C:C,'Wk no''s'!E:E,0)</f>
        <v>Mar</v>
      </c>
    </row>
    <row r="382" spans="1:12" x14ac:dyDescent="0.25">
      <c r="A382" s="67">
        <v>45740</v>
      </c>
      <c r="B382" s="13" t="s">
        <v>629</v>
      </c>
      <c r="C382" s="13" t="s">
        <v>630</v>
      </c>
      <c r="D382" s="13" t="s">
        <v>10</v>
      </c>
      <c r="E382" s="13">
        <v>40000</v>
      </c>
      <c r="F382" s="67">
        <v>45742</v>
      </c>
      <c r="G382" s="13" t="s">
        <v>11</v>
      </c>
      <c r="H382" s="13" t="s">
        <v>50</v>
      </c>
      <c r="I382" s="13">
        <f>_xlfn.XLOOKUP(F382,'Wk no''s'!B:B,'Wk no''s'!C:C,FALSE)</f>
        <v>13</v>
      </c>
      <c r="J382" s="13">
        <f>IF(D382="GBP",1,SUMIFS('Ex Rates'!I:I,'Ex Rates'!K:K,'Weekly Closed Proposal Requests'!L382,'Ex Rates'!G:G,'Weekly Closed Proposal Requests'!D382))</f>
        <v>0.48379293662312528</v>
      </c>
      <c r="K382" s="13">
        <f t="shared" si="5"/>
        <v>19351.717464925012</v>
      </c>
      <c r="L382" s="13" t="str">
        <f>_xlfn.XLOOKUP(I382,'Wk no''s'!C:C,'Wk no''s'!E:E,0)</f>
        <v>Mar</v>
      </c>
    </row>
    <row r="383" spans="1:12" x14ac:dyDescent="0.25">
      <c r="A383" s="67">
        <v>45740</v>
      </c>
      <c r="B383" s="13" t="s">
        <v>640</v>
      </c>
      <c r="C383" s="13" t="s">
        <v>641</v>
      </c>
      <c r="D383" s="13" t="s">
        <v>15</v>
      </c>
      <c r="E383" s="13">
        <v>50000</v>
      </c>
      <c r="F383" s="67">
        <v>45742</v>
      </c>
      <c r="G383" s="13" t="s">
        <v>72</v>
      </c>
      <c r="H383" s="13" t="s">
        <v>19</v>
      </c>
      <c r="I383" s="13">
        <f>_xlfn.XLOOKUP(F383,'Wk no''s'!B:B,'Wk no''s'!C:C,FALSE)</f>
        <v>13</v>
      </c>
      <c r="J383" s="13">
        <f>IF(D383="GBP",1,SUMIFS('Ex Rates'!I:I,'Ex Rates'!K:K,'Weekly Closed Proposal Requests'!L383,'Ex Rates'!G:G,'Weekly Closed Proposal Requests'!D383))</f>
        <v>1</v>
      </c>
      <c r="K383" s="13">
        <f t="shared" si="5"/>
        <v>50000</v>
      </c>
      <c r="L383" s="13" t="str">
        <f>_xlfn.XLOOKUP(I383,'Wk no''s'!C:C,'Wk no''s'!E:E,0)</f>
        <v>Mar</v>
      </c>
    </row>
    <row r="384" spans="1:12" x14ac:dyDescent="0.25">
      <c r="A384" s="67">
        <v>45740</v>
      </c>
      <c r="B384" s="13" t="s">
        <v>616</v>
      </c>
      <c r="C384" s="13" t="s">
        <v>211</v>
      </c>
      <c r="D384" s="13" t="s">
        <v>15</v>
      </c>
      <c r="E384" s="13">
        <v>575353</v>
      </c>
      <c r="F384" s="67">
        <v>45742</v>
      </c>
      <c r="G384" s="13" t="s">
        <v>47</v>
      </c>
      <c r="H384" s="13" t="s">
        <v>50</v>
      </c>
      <c r="I384" s="13">
        <f>_xlfn.XLOOKUP(F384,'Wk no''s'!B:B,'Wk no''s'!C:C,FALSE)</f>
        <v>13</v>
      </c>
      <c r="J384" s="13">
        <f>IF(D384="GBP",1,SUMIFS('Ex Rates'!I:I,'Ex Rates'!K:K,'Weekly Closed Proposal Requests'!L384,'Ex Rates'!G:G,'Weekly Closed Proposal Requests'!D384))</f>
        <v>1</v>
      </c>
      <c r="K384" s="13">
        <f t="shared" si="5"/>
        <v>575353</v>
      </c>
      <c r="L384" s="13" t="str">
        <f>_xlfn.XLOOKUP(I384,'Wk no''s'!C:C,'Wk no''s'!E:E,0)</f>
        <v>Mar</v>
      </c>
    </row>
    <row r="385" spans="1:12" x14ac:dyDescent="0.25">
      <c r="A385" s="67">
        <v>45741</v>
      </c>
      <c r="B385" s="13" t="s">
        <v>589</v>
      </c>
      <c r="C385" s="13" t="s">
        <v>542</v>
      </c>
      <c r="D385" s="13" t="s">
        <v>15</v>
      </c>
      <c r="E385" s="13">
        <v>8000</v>
      </c>
      <c r="F385" s="67">
        <v>45742</v>
      </c>
      <c r="G385" s="13" t="s">
        <v>16</v>
      </c>
      <c r="H385" s="13" t="s">
        <v>12</v>
      </c>
      <c r="I385" s="13">
        <f>_xlfn.XLOOKUP(F385,'Wk no''s'!B:B,'Wk no''s'!C:C,FALSE)</f>
        <v>13</v>
      </c>
      <c r="J385" s="13">
        <f>IF(D385="GBP",1,SUMIFS('Ex Rates'!I:I,'Ex Rates'!K:K,'Weekly Closed Proposal Requests'!L385,'Ex Rates'!G:G,'Weekly Closed Proposal Requests'!D385))</f>
        <v>1</v>
      </c>
      <c r="K385" s="13">
        <f t="shared" si="5"/>
        <v>8000</v>
      </c>
      <c r="L385" s="13" t="str">
        <f>_xlfn.XLOOKUP(I385,'Wk no''s'!C:C,'Wk no''s'!E:E,0)</f>
        <v>Mar</v>
      </c>
    </row>
    <row r="386" spans="1:12" x14ac:dyDescent="0.25">
      <c r="A386" s="67">
        <v>45736</v>
      </c>
      <c r="B386" s="13" t="s">
        <v>593</v>
      </c>
      <c r="C386" s="13" t="s">
        <v>594</v>
      </c>
      <c r="D386" s="13" t="s">
        <v>15</v>
      </c>
      <c r="E386" s="13">
        <v>50000</v>
      </c>
      <c r="F386" s="67">
        <v>45743</v>
      </c>
      <c r="G386" s="13" t="s">
        <v>16</v>
      </c>
      <c r="H386" s="13" t="s">
        <v>19</v>
      </c>
      <c r="I386" s="13">
        <f>_xlfn.XLOOKUP(F386,'Wk no''s'!B:B,'Wk no''s'!C:C,FALSE)</f>
        <v>13</v>
      </c>
      <c r="J386" s="13">
        <f>IF(D386="GBP",1,SUMIFS('Ex Rates'!I:I,'Ex Rates'!K:K,'Weekly Closed Proposal Requests'!L386,'Ex Rates'!G:G,'Weekly Closed Proposal Requests'!D386))</f>
        <v>1</v>
      </c>
      <c r="K386" s="13">
        <f t="shared" ref="K386:K406" si="6">+E386*J386</f>
        <v>50000</v>
      </c>
      <c r="L386" s="13" t="str">
        <f>_xlfn.XLOOKUP(I386,'Wk no''s'!C:C,'Wk no''s'!E:E,0)</f>
        <v>Mar</v>
      </c>
    </row>
    <row r="387" spans="1:12" x14ac:dyDescent="0.25">
      <c r="A387" s="67">
        <v>45740</v>
      </c>
      <c r="B387" s="13" t="s">
        <v>595</v>
      </c>
      <c r="C387" s="13" t="s">
        <v>449</v>
      </c>
      <c r="D387" s="13" t="s">
        <v>15</v>
      </c>
      <c r="E387" s="13">
        <v>200000</v>
      </c>
      <c r="F387" s="67">
        <v>45743</v>
      </c>
      <c r="G387" s="13" t="s">
        <v>16</v>
      </c>
      <c r="H387" s="13" t="s">
        <v>19</v>
      </c>
      <c r="I387" s="13">
        <f>_xlfn.XLOOKUP(F387,'Wk no''s'!B:B,'Wk no''s'!C:C,FALSE)</f>
        <v>13</v>
      </c>
      <c r="J387" s="13">
        <f>IF(D387="GBP",1,SUMIFS('Ex Rates'!I:I,'Ex Rates'!K:K,'Weekly Closed Proposal Requests'!L387,'Ex Rates'!G:G,'Weekly Closed Proposal Requests'!D387))</f>
        <v>1</v>
      </c>
      <c r="K387" s="13">
        <f t="shared" si="6"/>
        <v>200000</v>
      </c>
      <c r="L387" s="13" t="str">
        <f>_xlfn.XLOOKUP(I387,'Wk no''s'!C:C,'Wk no''s'!E:E,0)</f>
        <v>Mar</v>
      </c>
    </row>
    <row r="388" spans="1:12" x14ac:dyDescent="0.25">
      <c r="A388" s="67">
        <v>45740</v>
      </c>
      <c r="B388" s="13" t="s">
        <v>597</v>
      </c>
      <c r="C388" s="13" t="s">
        <v>304</v>
      </c>
      <c r="D388" s="13" t="s">
        <v>15</v>
      </c>
      <c r="E388" s="13">
        <v>40000</v>
      </c>
      <c r="F388" s="67">
        <v>45743</v>
      </c>
      <c r="G388" s="13" t="s">
        <v>16</v>
      </c>
      <c r="H388" s="13" t="s">
        <v>19</v>
      </c>
      <c r="I388" s="13">
        <f>_xlfn.XLOOKUP(F388,'Wk no''s'!B:B,'Wk no''s'!C:C,FALSE)</f>
        <v>13</v>
      </c>
      <c r="J388" s="13">
        <f>IF(D388="GBP",1,SUMIFS('Ex Rates'!I:I,'Ex Rates'!K:K,'Weekly Closed Proposal Requests'!L388,'Ex Rates'!G:G,'Weekly Closed Proposal Requests'!D388))</f>
        <v>1</v>
      </c>
      <c r="K388" s="13">
        <f t="shared" si="6"/>
        <v>40000</v>
      </c>
      <c r="L388" s="13" t="str">
        <f>_xlfn.XLOOKUP(I388,'Wk no''s'!C:C,'Wk no''s'!E:E,0)</f>
        <v>Mar</v>
      </c>
    </row>
    <row r="389" spans="1:12" x14ac:dyDescent="0.25">
      <c r="A389" s="67">
        <v>45742</v>
      </c>
      <c r="B389" s="13" t="s">
        <v>590</v>
      </c>
      <c r="C389" s="13" t="s">
        <v>591</v>
      </c>
      <c r="D389" s="13" t="s">
        <v>15</v>
      </c>
      <c r="E389" s="13">
        <v>5000</v>
      </c>
      <c r="F389" s="67">
        <v>45743</v>
      </c>
      <c r="G389" s="13" t="s">
        <v>16</v>
      </c>
      <c r="H389" s="13" t="s">
        <v>12</v>
      </c>
      <c r="I389" s="13">
        <f>_xlfn.XLOOKUP(F389,'Wk no''s'!B:B,'Wk no''s'!C:C,FALSE)</f>
        <v>13</v>
      </c>
      <c r="J389" s="13">
        <f>IF(D389="GBP",1,SUMIFS('Ex Rates'!I:I,'Ex Rates'!K:K,'Weekly Closed Proposal Requests'!L389,'Ex Rates'!G:G,'Weekly Closed Proposal Requests'!D389))</f>
        <v>1</v>
      </c>
      <c r="K389" s="13">
        <f t="shared" si="6"/>
        <v>5000</v>
      </c>
      <c r="L389" s="13" t="str">
        <f>_xlfn.XLOOKUP(I389,'Wk no''s'!C:C,'Wk no''s'!E:E,0)</f>
        <v>Mar</v>
      </c>
    </row>
    <row r="390" spans="1:12" x14ac:dyDescent="0.25">
      <c r="A390" s="67">
        <v>45734</v>
      </c>
      <c r="B390" s="13" t="s">
        <v>643</v>
      </c>
      <c r="C390" s="13" t="s">
        <v>644</v>
      </c>
      <c r="D390" s="13" t="s">
        <v>15</v>
      </c>
      <c r="E390" s="13">
        <v>3301000</v>
      </c>
      <c r="F390" s="67">
        <v>45744</v>
      </c>
      <c r="G390" s="13" t="s">
        <v>645</v>
      </c>
      <c r="H390" s="13" t="s">
        <v>19</v>
      </c>
      <c r="I390" s="13">
        <f>_xlfn.XLOOKUP(F390,'Wk no''s'!B:B,'Wk no''s'!C:C,FALSE)</f>
        <v>13</v>
      </c>
      <c r="J390" s="13">
        <f>IF(D390="GBP",1,SUMIFS('Ex Rates'!I:I,'Ex Rates'!K:K,'Weekly Closed Proposal Requests'!L390,'Ex Rates'!G:G,'Weekly Closed Proposal Requests'!D390))</f>
        <v>1</v>
      </c>
      <c r="K390" s="13">
        <f t="shared" si="6"/>
        <v>3301000</v>
      </c>
      <c r="L390" s="13" t="str">
        <f>_xlfn.XLOOKUP(I390,'Wk no''s'!C:C,'Wk no''s'!E:E,0)</f>
        <v>Mar</v>
      </c>
    </row>
    <row r="391" spans="1:12" x14ac:dyDescent="0.25">
      <c r="A391" s="67">
        <v>45735</v>
      </c>
      <c r="B391" s="13" t="s">
        <v>628</v>
      </c>
      <c r="C391" s="13" t="s">
        <v>179</v>
      </c>
      <c r="D391" s="13" t="s">
        <v>10</v>
      </c>
      <c r="E391" s="13">
        <v>1000000</v>
      </c>
      <c r="F391" s="67">
        <v>45744</v>
      </c>
      <c r="G391" s="13" t="s">
        <v>11</v>
      </c>
      <c r="H391" s="13" t="s">
        <v>50</v>
      </c>
      <c r="I391" s="13">
        <f>_xlfn.XLOOKUP(F391,'Wk no''s'!B:B,'Wk no''s'!C:C,FALSE)</f>
        <v>13</v>
      </c>
      <c r="J391" s="13">
        <f>IF(D391="GBP",1,SUMIFS('Ex Rates'!I:I,'Ex Rates'!K:K,'Weekly Closed Proposal Requests'!L391,'Ex Rates'!G:G,'Weekly Closed Proposal Requests'!D391))</f>
        <v>0.48379293662312528</v>
      </c>
      <c r="K391" s="13">
        <f t="shared" si="6"/>
        <v>483792.93662312528</v>
      </c>
      <c r="L391" s="13" t="str">
        <f>_xlfn.XLOOKUP(I391,'Wk no''s'!C:C,'Wk no''s'!E:E,0)</f>
        <v>Mar</v>
      </c>
    </row>
    <row r="392" spans="1:12" x14ac:dyDescent="0.25">
      <c r="A392" s="67">
        <v>45735</v>
      </c>
      <c r="B392" s="13" t="s">
        <v>611</v>
      </c>
      <c r="C392" s="13" t="s">
        <v>612</v>
      </c>
      <c r="D392" s="13" t="s">
        <v>15</v>
      </c>
      <c r="E392" s="13">
        <v>11985</v>
      </c>
      <c r="F392" s="67">
        <v>45744</v>
      </c>
      <c r="G392" s="13" t="s">
        <v>47</v>
      </c>
      <c r="H392" s="13" t="s">
        <v>50</v>
      </c>
      <c r="I392" s="13">
        <f>_xlfn.XLOOKUP(F392,'Wk no''s'!B:B,'Wk no''s'!C:C,FALSE)</f>
        <v>13</v>
      </c>
      <c r="J392" s="13">
        <f>IF(D392="GBP",1,SUMIFS('Ex Rates'!I:I,'Ex Rates'!K:K,'Weekly Closed Proposal Requests'!L392,'Ex Rates'!G:G,'Weekly Closed Proposal Requests'!D392))</f>
        <v>1</v>
      </c>
      <c r="K392" s="13">
        <f t="shared" si="6"/>
        <v>11985</v>
      </c>
      <c r="L392" s="13" t="str">
        <f>_xlfn.XLOOKUP(I392,'Wk no''s'!C:C,'Wk no''s'!E:E,0)</f>
        <v>Mar</v>
      </c>
    </row>
    <row r="393" spans="1:12" x14ac:dyDescent="0.25">
      <c r="A393" s="67">
        <v>45736</v>
      </c>
      <c r="B393" s="13" t="s">
        <v>637</v>
      </c>
      <c r="C393" s="13" t="s">
        <v>638</v>
      </c>
      <c r="D393" s="13" t="s">
        <v>15</v>
      </c>
      <c r="E393" s="13">
        <v>20000</v>
      </c>
      <c r="F393" s="67">
        <v>45744</v>
      </c>
      <c r="G393" s="13" t="s">
        <v>72</v>
      </c>
      <c r="H393" s="13" t="s">
        <v>19</v>
      </c>
      <c r="I393" s="13">
        <f>_xlfn.XLOOKUP(F393,'Wk no''s'!B:B,'Wk no''s'!C:C,FALSE)</f>
        <v>13</v>
      </c>
      <c r="J393" s="13">
        <f>IF(D393="GBP",1,SUMIFS('Ex Rates'!I:I,'Ex Rates'!K:K,'Weekly Closed Proposal Requests'!L393,'Ex Rates'!G:G,'Weekly Closed Proposal Requests'!D393))</f>
        <v>1</v>
      </c>
      <c r="K393" s="13">
        <f t="shared" si="6"/>
        <v>20000</v>
      </c>
      <c r="L393" s="13" t="str">
        <f>_xlfn.XLOOKUP(I393,'Wk no''s'!C:C,'Wk no''s'!E:E,0)</f>
        <v>Mar</v>
      </c>
    </row>
    <row r="394" spans="1:12" x14ac:dyDescent="0.25">
      <c r="A394" s="67">
        <v>45737</v>
      </c>
      <c r="B394" s="13" t="s">
        <v>639</v>
      </c>
      <c r="C394" s="13" t="s">
        <v>396</v>
      </c>
      <c r="D394" s="13" t="s">
        <v>15</v>
      </c>
      <c r="E394" s="13">
        <v>100000</v>
      </c>
      <c r="F394" s="67">
        <v>45744</v>
      </c>
      <c r="G394" s="13" t="s">
        <v>72</v>
      </c>
      <c r="H394" s="13" t="s">
        <v>19</v>
      </c>
      <c r="I394" s="13">
        <f>_xlfn.XLOOKUP(F394,'Wk no''s'!B:B,'Wk no''s'!C:C,FALSE)</f>
        <v>13</v>
      </c>
      <c r="J394" s="13">
        <f>IF(D394="GBP",1,SUMIFS('Ex Rates'!I:I,'Ex Rates'!K:K,'Weekly Closed Proposal Requests'!L394,'Ex Rates'!G:G,'Weekly Closed Proposal Requests'!D394))</f>
        <v>1</v>
      </c>
      <c r="K394" s="13">
        <f t="shared" si="6"/>
        <v>100000</v>
      </c>
      <c r="L394" s="13" t="str">
        <f>_xlfn.XLOOKUP(I394,'Wk no''s'!C:C,'Wk no''s'!E:E,0)</f>
        <v>Mar</v>
      </c>
    </row>
    <row r="395" spans="1:12" x14ac:dyDescent="0.25">
      <c r="A395" s="67">
        <v>45740</v>
      </c>
      <c r="B395" s="13" t="s">
        <v>596</v>
      </c>
      <c r="C395" s="13" t="s">
        <v>308</v>
      </c>
      <c r="D395" s="13" t="s">
        <v>15</v>
      </c>
      <c r="E395" s="13">
        <v>30000</v>
      </c>
      <c r="F395" s="67">
        <v>45744</v>
      </c>
      <c r="G395" s="13" t="s">
        <v>16</v>
      </c>
      <c r="H395" s="13" t="s">
        <v>19</v>
      </c>
      <c r="I395" s="13">
        <f>_xlfn.XLOOKUP(F395,'Wk no''s'!B:B,'Wk no''s'!C:C,FALSE)</f>
        <v>13</v>
      </c>
      <c r="J395" s="13">
        <f>IF(D395="GBP",1,SUMIFS('Ex Rates'!I:I,'Ex Rates'!K:K,'Weekly Closed Proposal Requests'!L395,'Ex Rates'!G:G,'Weekly Closed Proposal Requests'!D395))</f>
        <v>1</v>
      </c>
      <c r="K395" s="13">
        <f t="shared" si="6"/>
        <v>30000</v>
      </c>
      <c r="L395" s="13" t="str">
        <f>_xlfn.XLOOKUP(I395,'Wk no''s'!C:C,'Wk no''s'!E:E,0)</f>
        <v>Mar</v>
      </c>
    </row>
    <row r="396" spans="1:12" x14ac:dyDescent="0.25">
      <c r="A396" s="67">
        <v>45742</v>
      </c>
      <c r="B396" s="13" t="s">
        <v>607</v>
      </c>
      <c r="C396" s="13" t="s">
        <v>143</v>
      </c>
      <c r="D396" s="13" t="s">
        <v>15</v>
      </c>
      <c r="E396" s="13">
        <v>30000</v>
      </c>
      <c r="F396" s="67">
        <v>45744</v>
      </c>
      <c r="G396" s="13" t="s">
        <v>16</v>
      </c>
      <c r="H396" s="13" t="s">
        <v>50</v>
      </c>
      <c r="I396" s="13">
        <f>_xlfn.XLOOKUP(F396,'Wk no''s'!B:B,'Wk no''s'!C:C,FALSE)</f>
        <v>13</v>
      </c>
      <c r="J396" s="13">
        <f>IF(D396="GBP",1,SUMIFS('Ex Rates'!I:I,'Ex Rates'!K:K,'Weekly Closed Proposal Requests'!L396,'Ex Rates'!G:G,'Weekly Closed Proposal Requests'!D396))</f>
        <v>1</v>
      </c>
      <c r="K396" s="13">
        <f t="shared" si="6"/>
        <v>30000</v>
      </c>
      <c r="L396" s="13" t="str">
        <f>_xlfn.XLOOKUP(I396,'Wk no''s'!C:C,'Wk no''s'!E:E,0)</f>
        <v>Mar</v>
      </c>
    </row>
    <row r="397" spans="1:12" x14ac:dyDescent="0.25">
      <c r="A397" s="67">
        <v>45742</v>
      </c>
      <c r="B397" s="13" t="s">
        <v>606</v>
      </c>
      <c r="C397" s="13" t="s">
        <v>143</v>
      </c>
      <c r="D397" s="13" t="s">
        <v>15</v>
      </c>
      <c r="E397" s="13">
        <v>30000</v>
      </c>
      <c r="F397" s="67">
        <v>45744</v>
      </c>
      <c r="G397" s="13" t="s">
        <v>16</v>
      </c>
      <c r="H397" s="13" t="s">
        <v>50</v>
      </c>
      <c r="I397" s="13">
        <f>_xlfn.XLOOKUP(F397,'Wk no''s'!B:B,'Wk no''s'!C:C,FALSE)</f>
        <v>13</v>
      </c>
      <c r="J397" s="13">
        <f>IF(D397="GBP",1,SUMIFS('Ex Rates'!I:I,'Ex Rates'!K:K,'Weekly Closed Proposal Requests'!L397,'Ex Rates'!G:G,'Weekly Closed Proposal Requests'!D397))</f>
        <v>1</v>
      </c>
      <c r="K397" s="13">
        <f t="shared" si="6"/>
        <v>30000</v>
      </c>
      <c r="L397" s="13" t="str">
        <f>_xlfn.XLOOKUP(I397,'Wk no''s'!C:C,'Wk no''s'!E:E,0)</f>
        <v>Mar</v>
      </c>
    </row>
    <row r="398" spans="1:12" x14ac:dyDescent="0.25">
      <c r="A398" s="67">
        <v>45743</v>
      </c>
      <c r="B398" s="13" t="s">
        <v>642</v>
      </c>
      <c r="C398" s="13" t="s">
        <v>76</v>
      </c>
      <c r="D398" s="13" t="s">
        <v>15</v>
      </c>
      <c r="E398" s="13">
        <v>3000</v>
      </c>
      <c r="F398" s="67">
        <v>45744</v>
      </c>
      <c r="G398" s="13" t="s">
        <v>72</v>
      </c>
      <c r="H398" s="13" t="s">
        <v>19</v>
      </c>
      <c r="I398" s="13">
        <f>_xlfn.XLOOKUP(F398,'Wk no''s'!B:B,'Wk no''s'!C:C,FALSE)</f>
        <v>13</v>
      </c>
      <c r="J398" s="13">
        <f>IF(D398="GBP",1,SUMIFS('Ex Rates'!I:I,'Ex Rates'!K:K,'Weekly Closed Proposal Requests'!L398,'Ex Rates'!G:G,'Weekly Closed Proposal Requests'!D398))</f>
        <v>1</v>
      </c>
      <c r="K398" s="13">
        <f t="shared" si="6"/>
        <v>3000</v>
      </c>
      <c r="L398" s="13" t="str">
        <f>_xlfn.XLOOKUP(I398,'Wk no''s'!C:C,'Wk no''s'!E:E,0)</f>
        <v>Mar</v>
      </c>
    </row>
    <row r="399" spans="1:12" x14ac:dyDescent="0.25">
      <c r="A399" s="67">
        <v>45743</v>
      </c>
      <c r="B399" s="13" t="s">
        <v>617</v>
      </c>
      <c r="C399" s="13" t="s">
        <v>115</v>
      </c>
      <c r="D399" s="13" t="s">
        <v>46</v>
      </c>
      <c r="E399" s="13">
        <v>1200000</v>
      </c>
      <c r="F399" s="67">
        <v>45744</v>
      </c>
      <c r="G399" s="13" t="s">
        <v>47</v>
      </c>
      <c r="H399" s="13" t="s">
        <v>50</v>
      </c>
      <c r="I399" s="13">
        <f>_xlfn.XLOOKUP(F399,'Wk no''s'!B:B,'Wk no''s'!C:C,FALSE)</f>
        <v>13</v>
      </c>
      <c r="J399" s="13">
        <f>IF(D399="GBP",1,SUMIFS('Ex Rates'!I:I,'Ex Rates'!K:K,'Weekly Closed Proposal Requests'!L399,'Ex Rates'!G:G,'Weekly Closed Proposal Requests'!D399))</f>
        <v>0.77399380804953555</v>
      </c>
      <c r="K399" s="13">
        <f t="shared" si="6"/>
        <v>928792.56965944264</v>
      </c>
      <c r="L399" s="13" t="str">
        <f>_xlfn.XLOOKUP(I399,'Wk no''s'!C:C,'Wk no''s'!E:E,0)</f>
        <v>Mar</v>
      </c>
    </row>
    <row r="400" spans="1:12" x14ac:dyDescent="0.25">
      <c r="A400" s="67">
        <v>45744</v>
      </c>
      <c r="B400" s="13" t="s">
        <v>598</v>
      </c>
      <c r="C400" s="13" t="s">
        <v>599</v>
      </c>
      <c r="D400" s="13" t="s">
        <v>15</v>
      </c>
      <c r="E400" s="13">
        <v>30000</v>
      </c>
      <c r="F400" s="67">
        <v>45744</v>
      </c>
      <c r="G400" s="13" t="s">
        <v>16</v>
      </c>
      <c r="H400" s="13" t="s">
        <v>19</v>
      </c>
      <c r="I400" s="13">
        <f>_xlfn.XLOOKUP(F400,'Wk no''s'!B:B,'Wk no''s'!C:C,FALSE)</f>
        <v>13</v>
      </c>
      <c r="J400" s="13">
        <f>IF(D400="GBP",1,SUMIFS('Ex Rates'!I:I,'Ex Rates'!K:K,'Weekly Closed Proposal Requests'!L400,'Ex Rates'!G:G,'Weekly Closed Proposal Requests'!D400))</f>
        <v>1</v>
      </c>
      <c r="K400" s="13">
        <f t="shared" si="6"/>
        <v>30000</v>
      </c>
      <c r="L400" s="13" t="str">
        <f>_xlfn.XLOOKUP(I400,'Wk no''s'!C:C,'Wk no''s'!E:E,0)</f>
        <v>Mar</v>
      </c>
    </row>
    <row r="401" spans="1:12" x14ac:dyDescent="0.25">
      <c r="A401" s="67">
        <v>45740</v>
      </c>
      <c r="B401" s="13" t="s">
        <v>620</v>
      </c>
      <c r="C401" s="13" t="s">
        <v>621</v>
      </c>
      <c r="D401" s="13" t="s">
        <v>10</v>
      </c>
      <c r="E401" s="13">
        <v>50000</v>
      </c>
      <c r="F401" s="67">
        <v>45746</v>
      </c>
      <c r="G401" s="13" t="s">
        <v>11</v>
      </c>
      <c r="H401" s="13" t="s">
        <v>12</v>
      </c>
      <c r="I401" s="13">
        <f>_xlfn.XLOOKUP(F401,'Wk no''s'!B:B,'Wk no''s'!C:C,FALSE)</f>
        <v>14</v>
      </c>
      <c r="J401" s="13">
        <f>IF(D401="GBP",1,SUMIFS('Ex Rates'!I:I,'Ex Rates'!K:K,'Weekly Closed Proposal Requests'!L401,'Ex Rates'!G:G,'Weekly Closed Proposal Requests'!D401))</f>
        <v>0.48379293662312528</v>
      </c>
      <c r="K401" s="13">
        <f t="shared" si="6"/>
        <v>24189.646831156264</v>
      </c>
      <c r="L401" s="13" t="str">
        <f>_xlfn.XLOOKUP(I401,'Wk no''s'!C:C,'Wk no''s'!E:E,0)</f>
        <v>Mar</v>
      </c>
    </row>
    <row r="402" spans="1:12" x14ac:dyDescent="0.25">
      <c r="A402" s="67">
        <v>45734</v>
      </c>
      <c r="B402" s="13" t="s">
        <v>674</v>
      </c>
      <c r="C402" s="13" t="s">
        <v>124</v>
      </c>
      <c r="D402" s="13" t="s">
        <v>15</v>
      </c>
      <c r="E402" s="13">
        <v>169924</v>
      </c>
      <c r="F402" s="67">
        <v>45747</v>
      </c>
      <c r="G402" s="13" t="s">
        <v>47</v>
      </c>
      <c r="H402" s="13" t="s">
        <v>50</v>
      </c>
      <c r="I402" s="13">
        <f>_xlfn.XLOOKUP(F402,'Wk no''s'!B:B,'Wk no''s'!C:C,FALSE)</f>
        <v>14</v>
      </c>
      <c r="J402" s="13">
        <f>IF(D402="GBP",1,SUMIFS('Ex Rates'!I:I,'Ex Rates'!K:K,'Weekly Closed Proposal Requests'!L402,'Ex Rates'!G:G,'Weekly Closed Proposal Requests'!D402))</f>
        <v>1</v>
      </c>
      <c r="K402" s="13">
        <f t="shared" si="6"/>
        <v>169924</v>
      </c>
      <c r="L402" s="13" t="str">
        <f>_xlfn.XLOOKUP(I402,'Wk no''s'!C:C,'Wk no''s'!E:E,0)</f>
        <v>Mar</v>
      </c>
    </row>
    <row r="403" spans="1:12" x14ac:dyDescent="0.25">
      <c r="A403" s="67">
        <v>45737</v>
      </c>
      <c r="B403" s="13" t="s">
        <v>684</v>
      </c>
      <c r="C403" s="13" t="s">
        <v>342</v>
      </c>
      <c r="D403" s="13" t="s">
        <v>10</v>
      </c>
      <c r="E403" s="13">
        <v>70000</v>
      </c>
      <c r="F403" s="67">
        <v>45747</v>
      </c>
      <c r="G403" s="13" t="s">
        <v>11</v>
      </c>
      <c r="H403" s="13" t="s">
        <v>50</v>
      </c>
      <c r="I403" s="13">
        <f>_xlfn.XLOOKUP(F403,'Wk no''s'!B:B,'Wk no''s'!C:C,FALSE)</f>
        <v>14</v>
      </c>
      <c r="J403" s="13">
        <f>IF(D403="GBP",1,SUMIFS('Ex Rates'!I:I,'Ex Rates'!K:K,'Weekly Closed Proposal Requests'!L403,'Ex Rates'!G:G,'Weekly Closed Proposal Requests'!D403))</f>
        <v>0.48379293662312528</v>
      </c>
      <c r="K403" s="13">
        <f t="shared" si="6"/>
        <v>33865.505563618768</v>
      </c>
      <c r="L403" s="13" t="str">
        <f>_xlfn.XLOOKUP(I403,'Wk no''s'!C:C,'Wk no''s'!E:E,0)</f>
        <v>Mar</v>
      </c>
    </row>
    <row r="404" spans="1:12" x14ac:dyDescent="0.25">
      <c r="A404" s="67">
        <v>45742</v>
      </c>
      <c r="B404" s="13" t="s">
        <v>686</v>
      </c>
      <c r="C404" s="13" t="s">
        <v>525</v>
      </c>
      <c r="D404" s="13" t="s">
        <v>10</v>
      </c>
      <c r="E404" s="13">
        <v>2000</v>
      </c>
      <c r="F404" s="67">
        <v>45747</v>
      </c>
      <c r="G404" s="13" t="s">
        <v>11</v>
      </c>
      <c r="H404" s="13" t="s">
        <v>50</v>
      </c>
      <c r="I404" s="13">
        <f>_xlfn.XLOOKUP(F404,'Wk no''s'!B:B,'Wk no''s'!C:C,FALSE)</f>
        <v>14</v>
      </c>
      <c r="J404" s="13">
        <f>IF(D404="GBP",1,SUMIFS('Ex Rates'!I:I,'Ex Rates'!K:K,'Weekly Closed Proposal Requests'!L404,'Ex Rates'!G:G,'Weekly Closed Proposal Requests'!D404))</f>
        <v>0.48379293662312528</v>
      </c>
      <c r="K404" s="13">
        <f t="shared" si="6"/>
        <v>967.58587324625057</v>
      </c>
      <c r="L404" s="13" t="str">
        <f>_xlfn.XLOOKUP(I404,'Wk no''s'!C:C,'Wk no''s'!E:E,0)</f>
        <v>Mar</v>
      </c>
    </row>
    <row r="405" spans="1:12" x14ac:dyDescent="0.25">
      <c r="A405" s="67">
        <v>45743</v>
      </c>
      <c r="B405" s="13" t="s">
        <v>650</v>
      </c>
      <c r="C405" s="13" t="s">
        <v>651</v>
      </c>
      <c r="D405" s="13" t="s">
        <v>15</v>
      </c>
      <c r="E405" s="13">
        <v>240000</v>
      </c>
      <c r="F405" s="67">
        <v>45747</v>
      </c>
      <c r="G405" s="13" t="s">
        <v>16</v>
      </c>
      <c r="H405" s="13" t="s">
        <v>19</v>
      </c>
      <c r="I405" s="13">
        <f>_xlfn.XLOOKUP(F405,'Wk no''s'!B:B,'Wk no''s'!C:C,FALSE)</f>
        <v>14</v>
      </c>
      <c r="J405" s="13">
        <f>IF(D405="GBP",1,SUMIFS('Ex Rates'!I:I,'Ex Rates'!K:K,'Weekly Closed Proposal Requests'!L405,'Ex Rates'!G:G,'Weekly Closed Proposal Requests'!D405))</f>
        <v>1</v>
      </c>
      <c r="K405" s="13">
        <f t="shared" si="6"/>
        <v>240000</v>
      </c>
      <c r="L405" s="13" t="str">
        <f>_xlfn.XLOOKUP(I405,'Wk no''s'!C:C,'Wk no''s'!E:E,0)</f>
        <v>Mar</v>
      </c>
    </row>
    <row r="406" spans="1:12" x14ac:dyDescent="0.25">
      <c r="A406" s="67">
        <v>45744</v>
      </c>
      <c r="B406" s="13" t="s">
        <v>652</v>
      </c>
      <c r="C406" s="13" t="s">
        <v>244</v>
      </c>
      <c r="D406" s="13" t="s">
        <v>15</v>
      </c>
      <c r="E406" s="13">
        <v>550000</v>
      </c>
      <c r="F406" s="67">
        <v>45747</v>
      </c>
      <c r="G406" s="13" t="s">
        <v>16</v>
      </c>
      <c r="H406" s="13" t="s">
        <v>19</v>
      </c>
      <c r="I406" s="13">
        <f>_xlfn.XLOOKUP(F406,'Wk no''s'!B:B,'Wk no''s'!C:C,FALSE)</f>
        <v>14</v>
      </c>
      <c r="J406" s="13">
        <f>IF(D406="GBP",1,SUMIFS('Ex Rates'!I:I,'Ex Rates'!K:K,'Weekly Closed Proposal Requests'!L406,'Ex Rates'!G:G,'Weekly Closed Proposal Requests'!D406))</f>
        <v>1</v>
      </c>
      <c r="K406" s="13">
        <f t="shared" si="6"/>
        <v>550000</v>
      </c>
      <c r="L406" s="13" t="str">
        <f>_xlfn.XLOOKUP(I406,'Wk no''s'!C:C,'Wk no''s'!E:E,0)</f>
        <v>Mar</v>
      </c>
    </row>
    <row r="407" spans="1:12" x14ac:dyDescent="0.25">
      <c r="A407" s="70">
        <v>45748</v>
      </c>
      <c r="B407" s="71" t="s">
        <v>646</v>
      </c>
      <c r="C407" s="71" t="s">
        <v>647</v>
      </c>
      <c r="D407" s="71" t="s">
        <v>15</v>
      </c>
      <c r="E407" s="71">
        <v>300000</v>
      </c>
      <c r="F407" s="70">
        <v>45750</v>
      </c>
      <c r="G407" s="71" t="s">
        <v>16</v>
      </c>
      <c r="H407" s="71" t="s">
        <v>12</v>
      </c>
      <c r="I407" s="13">
        <f>_xlfn.XLOOKUP(F407,'Wk no''s'!B:B,'Wk no''s'!C:C,FALSE)</f>
        <v>14</v>
      </c>
      <c r="J407" s="13">
        <f>IF(D407="GBP",1,SUMIFS('Ex Rates'!I:I,'Ex Rates'!K:K,'Weekly Closed Proposal Requests'!L407,'Ex Rates'!G:G,'Weekly Closed Proposal Requests'!D407))</f>
        <v>1</v>
      </c>
      <c r="K407" s="13">
        <f t="shared" ref="K407:K470" si="7">+E407*J407</f>
        <v>300000</v>
      </c>
      <c r="L407" s="13" t="str">
        <f>_xlfn.XLOOKUP(I407,'Wk no''s'!C:C,'Wk no''s'!E:E,0)</f>
        <v>Mar</v>
      </c>
    </row>
    <row r="408" spans="1:12" x14ac:dyDescent="0.25">
      <c r="A408" s="70">
        <v>45736</v>
      </c>
      <c r="B408" s="71" t="s">
        <v>648</v>
      </c>
      <c r="C408" s="71" t="s">
        <v>649</v>
      </c>
      <c r="D408" s="71" t="s">
        <v>15</v>
      </c>
      <c r="E408" s="71">
        <v>120000</v>
      </c>
      <c r="F408" s="70">
        <v>45748</v>
      </c>
      <c r="G408" s="71" t="s">
        <v>16</v>
      </c>
      <c r="H408" s="71" t="s">
        <v>19</v>
      </c>
      <c r="I408" s="13">
        <f>_xlfn.XLOOKUP(F408,'Wk no''s'!B:B,'Wk no''s'!C:C,FALSE)</f>
        <v>14</v>
      </c>
      <c r="J408" s="13">
        <f>IF(D408="GBP",1,SUMIFS('Ex Rates'!I:I,'Ex Rates'!K:K,'Weekly Closed Proposal Requests'!L408,'Ex Rates'!G:G,'Weekly Closed Proposal Requests'!D408))</f>
        <v>1</v>
      </c>
      <c r="K408" s="13">
        <f t="shared" si="7"/>
        <v>120000</v>
      </c>
      <c r="L408" s="13" t="str">
        <f>_xlfn.XLOOKUP(I408,'Wk no''s'!C:C,'Wk no''s'!E:E,0)</f>
        <v>Mar</v>
      </c>
    </row>
    <row r="409" spans="1:12" x14ac:dyDescent="0.25">
      <c r="A409" s="70">
        <v>45744</v>
      </c>
      <c r="B409" s="71" t="s">
        <v>653</v>
      </c>
      <c r="C409" s="71" t="s">
        <v>654</v>
      </c>
      <c r="D409" s="71" t="s">
        <v>15</v>
      </c>
      <c r="E409" s="71">
        <v>20000</v>
      </c>
      <c r="F409" s="70">
        <v>45748</v>
      </c>
      <c r="G409" s="71" t="s">
        <v>16</v>
      </c>
      <c r="H409" s="71" t="s">
        <v>19</v>
      </c>
      <c r="I409" s="13">
        <f>_xlfn.XLOOKUP(F409,'Wk no''s'!B:B,'Wk no''s'!C:C,FALSE)</f>
        <v>14</v>
      </c>
      <c r="J409" s="13">
        <f>IF(D409="GBP",1,SUMIFS('Ex Rates'!I:I,'Ex Rates'!K:K,'Weekly Closed Proposal Requests'!L409,'Ex Rates'!G:G,'Weekly Closed Proposal Requests'!D409))</f>
        <v>1</v>
      </c>
      <c r="K409" s="13">
        <f t="shared" si="7"/>
        <v>20000</v>
      </c>
      <c r="L409" s="13" t="str">
        <f>_xlfn.XLOOKUP(I409,'Wk no''s'!C:C,'Wk no''s'!E:E,0)</f>
        <v>Mar</v>
      </c>
    </row>
    <row r="410" spans="1:12" x14ac:dyDescent="0.25">
      <c r="A410" s="70">
        <v>45747</v>
      </c>
      <c r="B410" s="71" t="s">
        <v>655</v>
      </c>
      <c r="C410" s="71" t="s">
        <v>656</v>
      </c>
      <c r="D410" s="71" t="s">
        <v>15</v>
      </c>
      <c r="E410" s="71">
        <v>100000</v>
      </c>
      <c r="F410" s="70">
        <v>45751</v>
      </c>
      <c r="G410" s="71" t="s">
        <v>16</v>
      </c>
      <c r="H410" s="71" t="s">
        <v>19</v>
      </c>
      <c r="I410" s="13">
        <f>_xlfn.XLOOKUP(F410,'Wk no''s'!B:B,'Wk no''s'!C:C,FALSE)</f>
        <v>14</v>
      </c>
      <c r="J410" s="13">
        <f>IF(D410="GBP",1,SUMIFS('Ex Rates'!I:I,'Ex Rates'!K:K,'Weekly Closed Proposal Requests'!L410,'Ex Rates'!G:G,'Weekly Closed Proposal Requests'!D410))</f>
        <v>1</v>
      </c>
      <c r="K410" s="13">
        <f t="shared" si="7"/>
        <v>100000</v>
      </c>
      <c r="L410" s="13" t="str">
        <f>_xlfn.XLOOKUP(I410,'Wk no''s'!C:C,'Wk no''s'!E:E,0)</f>
        <v>Mar</v>
      </c>
    </row>
    <row r="411" spans="1:12" x14ac:dyDescent="0.25">
      <c r="A411" s="70">
        <v>45748</v>
      </c>
      <c r="B411" s="71" t="s">
        <v>657</v>
      </c>
      <c r="C411" s="71" t="s">
        <v>658</v>
      </c>
      <c r="D411" s="71" t="s">
        <v>15</v>
      </c>
      <c r="E411" s="71">
        <v>100000</v>
      </c>
      <c r="F411" s="70">
        <v>45750</v>
      </c>
      <c r="G411" s="71" t="s">
        <v>16</v>
      </c>
      <c r="H411" s="71" t="s">
        <v>19</v>
      </c>
      <c r="I411" s="13">
        <f>_xlfn.XLOOKUP(F411,'Wk no''s'!B:B,'Wk no''s'!C:C,FALSE)</f>
        <v>14</v>
      </c>
      <c r="J411" s="13">
        <f>IF(D411="GBP",1,SUMIFS('Ex Rates'!I:I,'Ex Rates'!K:K,'Weekly Closed Proposal Requests'!L411,'Ex Rates'!G:G,'Weekly Closed Proposal Requests'!D411))</f>
        <v>1</v>
      </c>
      <c r="K411" s="13">
        <f t="shared" si="7"/>
        <v>100000</v>
      </c>
      <c r="L411" s="13" t="str">
        <f>_xlfn.XLOOKUP(I411,'Wk no''s'!C:C,'Wk no''s'!E:E,0)</f>
        <v>Mar</v>
      </c>
    </row>
    <row r="412" spans="1:12" x14ac:dyDescent="0.25">
      <c r="A412" s="70">
        <v>45748</v>
      </c>
      <c r="B412" s="71" t="s">
        <v>659</v>
      </c>
      <c r="C412" s="71" t="s">
        <v>660</v>
      </c>
      <c r="D412" s="71" t="s">
        <v>15</v>
      </c>
      <c r="E412" s="71">
        <v>130000</v>
      </c>
      <c r="F412" s="70">
        <v>45751</v>
      </c>
      <c r="G412" s="71" t="s">
        <v>16</v>
      </c>
      <c r="H412" s="71" t="s">
        <v>19</v>
      </c>
      <c r="I412" s="13">
        <f>_xlfn.XLOOKUP(F412,'Wk no''s'!B:B,'Wk no''s'!C:C,FALSE)</f>
        <v>14</v>
      </c>
      <c r="J412" s="13">
        <f>IF(D412="GBP",1,SUMIFS('Ex Rates'!I:I,'Ex Rates'!K:K,'Weekly Closed Proposal Requests'!L412,'Ex Rates'!G:G,'Weekly Closed Proposal Requests'!D412))</f>
        <v>1</v>
      </c>
      <c r="K412" s="13">
        <f t="shared" si="7"/>
        <v>130000</v>
      </c>
      <c r="L412" s="13" t="str">
        <f>_xlfn.XLOOKUP(I412,'Wk no''s'!C:C,'Wk no''s'!E:E,0)</f>
        <v>Mar</v>
      </c>
    </row>
    <row r="413" spans="1:12" x14ac:dyDescent="0.25">
      <c r="A413" s="70">
        <v>45748</v>
      </c>
      <c r="B413" s="71" t="s">
        <v>661</v>
      </c>
      <c r="C413" s="71" t="s">
        <v>662</v>
      </c>
      <c r="D413" s="71" t="s">
        <v>15</v>
      </c>
      <c r="E413" s="71">
        <v>58000</v>
      </c>
      <c r="F413" s="70">
        <v>45751</v>
      </c>
      <c r="G413" s="71" t="s">
        <v>16</v>
      </c>
      <c r="H413" s="71" t="s">
        <v>19</v>
      </c>
      <c r="I413" s="13">
        <f>_xlfn.XLOOKUP(F413,'Wk no''s'!B:B,'Wk no''s'!C:C,FALSE)</f>
        <v>14</v>
      </c>
      <c r="J413" s="13">
        <f>IF(D413="GBP",1,SUMIFS('Ex Rates'!I:I,'Ex Rates'!K:K,'Weekly Closed Proposal Requests'!L413,'Ex Rates'!G:G,'Weekly Closed Proposal Requests'!D413))</f>
        <v>1</v>
      </c>
      <c r="K413" s="13">
        <f t="shared" si="7"/>
        <v>58000</v>
      </c>
      <c r="L413" s="13" t="str">
        <f>_xlfn.XLOOKUP(I413,'Wk no''s'!C:C,'Wk no''s'!E:E,0)</f>
        <v>Mar</v>
      </c>
    </row>
    <row r="414" spans="1:12" x14ac:dyDescent="0.25">
      <c r="A414" s="70">
        <v>45748</v>
      </c>
      <c r="B414" s="71" t="s">
        <v>663</v>
      </c>
      <c r="C414" s="71" t="s">
        <v>151</v>
      </c>
      <c r="D414" s="71" t="s">
        <v>15</v>
      </c>
      <c r="E414" s="71">
        <v>450000</v>
      </c>
      <c r="F414" s="70">
        <v>45749</v>
      </c>
      <c r="G414" s="71" t="s">
        <v>16</v>
      </c>
      <c r="H414" s="71" t="s">
        <v>19</v>
      </c>
      <c r="I414" s="13">
        <f>_xlfn.XLOOKUP(F414,'Wk no''s'!B:B,'Wk no''s'!C:C,FALSE)</f>
        <v>14</v>
      </c>
      <c r="J414" s="13">
        <f>IF(D414="GBP",1,SUMIFS('Ex Rates'!I:I,'Ex Rates'!K:K,'Weekly Closed Proposal Requests'!L414,'Ex Rates'!G:G,'Weekly Closed Proposal Requests'!D414))</f>
        <v>1</v>
      </c>
      <c r="K414" s="13">
        <f t="shared" si="7"/>
        <v>450000</v>
      </c>
      <c r="L414" s="13" t="str">
        <f>_xlfn.XLOOKUP(I414,'Wk no''s'!C:C,'Wk no''s'!E:E,0)</f>
        <v>Mar</v>
      </c>
    </row>
    <row r="415" spans="1:12" x14ac:dyDescent="0.25">
      <c r="A415" s="70">
        <v>45750</v>
      </c>
      <c r="B415" s="71" t="s">
        <v>664</v>
      </c>
      <c r="C415" s="71" t="s">
        <v>665</v>
      </c>
      <c r="D415" s="71" t="s">
        <v>15</v>
      </c>
      <c r="E415" s="71">
        <v>20000</v>
      </c>
      <c r="F415" s="70">
        <v>45751</v>
      </c>
      <c r="G415" s="71" t="s">
        <v>16</v>
      </c>
      <c r="H415" s="71" t="s">
        <v>19</v>
      </c>
      <c r="I415" s="13">
        <f>_xlfn.XLOOKUP(F415,'Wk no''s'!B:B,'Wk no''s'!C:C,FALSE)</f>
        <v>14</v>
      </c>
      <c r="J415" s="13">
        <f>IF(D415="GBP",1,SUMIFS('Ex Rates'!I:I,'Ex Rates'!K:K,'Weekly Closed Proposal Requests'!L415,'Ex Rates'!G:G,'Weekly Closed Proposal Requests'!D415))</f>
        <v>1</v>
      </c>
      <c r="K415" s="13">
        <f t="shared" si="7"/>
        <v>20000</v>
      </c>
      <c r="L415" s="13" t="str">
        <f>_xlfn.XLOOKUP(I415,'Wk no''s'!C:C,'Wk no''s'!E:E,0)</f>
        <v>Mar</v>
      </c>
    </row>
    <row r="416" spans="1:12" x14ac:dyDescent="0.25">
      <c r="A416" s="70">
        <v>45750</v>
      </c>
      <c r="B416" s="71" t="s">
        <v>666</v>
      </c>
      <c r="C416" s="71" t="s">
        <v>599</v>
      </c>
      <c r="D416" s="71" t="s">
        <v>15</v>
      </c>
      <c r="E416" s="71">
        <v>30000</v>
      </c>
      <c r="F416" s="70">
        <v>45750</v>
      </c>
      <c r="G416" s="71" t="s">
        <v>16</v>
      </c>
      <c r="H416" s="71" t="s">
        <v>19</v>
      </c>
      <c r="I416" s="13">
        <f>_xlfn.XLOOKUP(F416,'Wk no''s'!B:B,'Wk no''s'!C:C,FALSE)</f>
        <v>14</v>
      </c>
      <c r="J416" s="13">
        <f>IF(D416="GBP",1,SUMIFS('Ex Rates'!I:I,'Ex Rates'!K:K,'Weekly Closed Proposal Requests'!L416,'Ex Rates'!G:G,'Weekly Closed Proposal Requests'!D416))</f>
        <v>1</v>
      </c>
      <c r="K416" s="13">
        <f t="shared" si="7"/>
        <v>30000</v>
      </c>
      <c r="L416" s="13" t="str">
        <f>_xlfn.XLOOKUP(I416,'Wk no''s'!C:C,'Wk no''s'!E:E,0)</f>
        <v>Mar</v>
      </c>
    </row>
    <row r="417" spans="1:12" x14ac:dyDescent="0.25">
      <c r="A417" s="70">
        <v>45744</v>
      </c>
      <c r="B417" s="71" t="s">
        <v>667</v>
      </c>
      <c r="C417" s="71" t="s">
        <v>668</v>
      </c>
      <c r="D417" s="71" t="s">
        <v>15</v>
      </c>
      <c r="E417" s="71">
        <v>10000</v>
      </c>
      <c r="F417" s="70">
        <v>45751</v>
      </c>
      <c r="G417" s="71" t="s">
        <v>41</v>
      </c>
      <c r="H417" s="71" t="s">
        <v>19</v>
      </c>
      <c r="I417" s="13">
        <f>_xlfn.XLOOKUP(F417,'Wk no''s'!B:B,'Wk no''s'!C:C,FALSE)</f>
        <v>14</v>
      </c>
      <c r="J417" s="13">
        <f>IF(D417="GBP",1,SUMIFS('Ex Rates'!I:I,'Ex Rates'!K:K,'Weekly Closed Proposal Requests'!L417,'Ex Rates'!G:G,'Weekly Closed Proposal Requests'!D417))</f>
        <v>1</v>
      </c>
      <c r="K417" s="13">
        <f t="shared" si="7"/>
        <v>10000</v>
      </c>
      <c r="L417" s="13" t="str">
        <f>_xlfn.XLOOKUP(I417,'Wk no''s'!C:C,'Wk no''s'!E:E,0)</f>
        <v>Mar</v>
      </c>
    </row>
    <row r="418" spans="1:12" x14ac:dyDescent="0.25">
      <c r="A418" s="70">
        <v>45744</v>
      </c>
      <c r="B418" s="71" t="s">
        <v>669</v>
      </c>
      <c r="C418" s="71" t="s">
        <v>670</v>
      </c>
      <c r="D418" s="71" t="s">
        <v>46</v>
      </c>
      <c r="E418" s="71">
        <v>250000</v>
      </c>
      <c r="F418" s="70">
        <v>45748</v>
      </c>
      <c r="G418" s="71" t="s">
        <v>47</v>
      </c>
      <c r="H418" s="71" t="s">
        <v>281</v>
      </c>
      <c r="I418" s="13">
        <f>_xlfn.XLOOKUP(F418,'Wk no''s'!B:B,'Wk no''s'!C:C,FALSE)</f>
        <v>14</v>
      </c>
      <c r="J418" s="13">
        <f>IF(D418="GBP",1,SUMIFS('Ex Rates'!I:I,'Ex Rates'!K:K,'Weekly Closed Proposal Requests'!L418,'Ex Rates'!G:G,'Weekly Closed Proposal Requests'!D418))</f>
        <v>0.77399380804953555</v>
      </c>
      <c r="K418" s="13">
        <f t="shared" si="7"/>
        <v>193498.45201238387</v>
      </c>
      <c r="L418" s="13" t="str">
        <f>_xlfn.XLOOKUP(I418,'Wk no''s'!C:C,'Wk no''s'!E:E,0)</f>
        <v>Mar</v>
      </c>
    </row>
    <row r="419" spans="1:12" x14ac:dyDescent="0.25">
      <c r="A419" s="70">
        <v>45743</v>
      </c>
      <c r="B419" s="71" t="s">
        <v>671</v>
      </c>
      <c r="C419" s="71" t="s">
        <v>672</v>
      </c>
      <c r="D419" s="71" t="s">
        <v>46</v>
      </c>
      <c r="E419" s="71">
        <v>26000</v>
      </c>
      <c r="F419" s="70">
        <v>45748</v>
      </c>
      <c r="G419" s="71" t="s">
        <v>47</v>
      </c>
      <c r="H419" s="71" t="s">
        <v>19</v>
      </c>
      <c r="I419" s="13">
        <f>_xlfn.XLOOKUP(F419,'Wk no''s'!B:B,'Wk no''s'!C:C,FALSE)</f>
        <v>14</v>
      </c>
      <c r="J419" s="13">
        <f>IF(D419="GBP",1,SUMIFS('Ex Rates'!I:I,'Ex Rates'!K:K,'Weekly Closed Proposal Requests'!L419,'Ex Rates'!G:G,'Weekly Closed Proposal Requests'!D419))</f>
        <v>0.77399380804953555</v>
      </c>
      <c r="K419" s="13">
        <f t="shared" si="7"/>
        <v>20123.839009287924</v>
      </c>
      <c r="L419" s="13" t="str">
        <f>_xlfn.XLOOKUP(I419,'Wk no''s'!C:C,'Wk no''s'!E:E,0)</f>
        <v>Mar</v>
      </c>
    </row>
    <row r="420" spans="1:12" x14ac:dyDescent="0.25">
      <c r="A420" s="70">
        <v>45723</v>
      </c>
      <c r="B420" s="71" t="s">
        <v>673</v>
      </c>
      <c r="C420" s="71" t="s">
        <v>418</v>
      </c>
      <c r="D420" s="71" t="s">
        <v>15</v>
      </c>
      <c r="E420" s="71">
        <v>301939</v>
      </c>
      <c r="F420" s="70">
        <v>45748</v>
      </c>
      <c r="G420" s="71" t="s">
        <v>47</v>
      </c>
      <c r="H420" s="71" t="s">
        <v>50</v>
      </c>
      <c r="I420" s="13">
        <f>_xlfn.XLOOKUP(F420,'Wk no''s'!B:B,'Wk no''s'!C:C,FALSE)</f>
        <v>14</v>
      </c>
      <c r="J420" s="13">
        <f>IF(D420="GBP",1,SUMIFS('Ex Rates'!I:I,'Ex Rates'!K:K,'Weekly Closed Proposal Requests'!L420,'Ex Rates'!G:G,'Weekly Closed Proposal Requests'!D420))</f>
        <v>1</v>
      </c>
      <c r="K420" s="13">
        <f t="shared" si="7"/>
        <v>301939</v>
      </c>
      <c r="L420" s="13" t="str">
        <f>_xlfn.XLOOKUP(I420,'Wk no''s'!C:C,'Wk no''s'!E:E,0)</f>
        <v>Mar</v>
      </c>
    </row>
    <row r="421" spans="1:12" x14ac:dyDescent="0.25">
      <c r="A421" s="70">
        <v>45740</v>
      </c>
      <c r="B421" s="71" t="s">
        <v>675</v>
      </c>
      <c r="C421" s="71" t="s">
        <v>384</v>
      </c>
      <c r="D421" s="71" t="s">
        <v>46</v>
      </c>
      <c r="E421" s="71">
        <v>170000</v>
      </c>
      <c r="F421" s="70">
        <v>45749</v>
      </c>
      <c r="G421" s="71" t="s">
        <v>47</v>
      </c>
      <c r="H421" s="71" t="s">
        <v>50</v>
      </c>
      <c r="I421" s="13">
        <f>_xlfn.XLOOKUP(F421,'Wk no''s'!B:B,'Wk no''s'!C:C,FALSE)</f>
        <v>14</v>
      </c>
      <c r="J421" s="13">
        <f>IF(D421="GBP",1,SUMIFS('Ex Rates'!I:I,'Ex Rates'!K:K,'Weekly Closed Proposal Requests'!L421,'Ex Rates'!G:G,'Weekly Closed Proposal Requests'!D421))</f>
        <v>0.77399380804953555</v>
      </c>
      <c r="K421" s="13">
        <f t="shared" si="7"/>
        <v>131578.94736842104</v>
      </c>
      <c r="L421" s="13" t="str">
        <f>_xlfn.XLOOKUP(I421,'Wk no''s'!C:C,'Wk no''s'!E:E,0)</f>
        <v>Mar</v>
      </c>
    </row>
    <row r="422" spans="1:12" x14ac:dyDescent="0.25">
      <c r="A422" s="70">
        <v>45740</v>
      </c>
      <c r="B422" s="71" t="s">
        <v>676</v>
      </c>
      <c r="C422" s="71" t="s">
        <v>677</v>
      </c>
      <c r="D422" s="71" t="s">
        <v>15</v>
      </c>
      <c r="E422" s="71">
        <v>23025</v>
      </c>
      <c r="F422" s="70">
        <v>45748</v>
      </c>
      <c r="G422" s="71" t="s">
        <v>47</v>
      </c>
      <c r="H422" s="71" t="s">
        <v>50</v>
      </c>
      <c r="I422" s="13">
        <f>_xlfn.XLOOKUP(F422,'Wk no''s'!B:B,'Wk no''s'!C:C,FALSE)</f>
        <v>14</v>
      </c>
      <c r="J422" s="13">
        <f>IF(D422="GBP",1,SUMIFS('Ex Rates'!I:I,'Ex Rates'!K:K,'Weekly Closed Proposal Requests'!L422,'Ex Rates'!G:G,'Weekly Closed Proposal Requests'!D422))</f>
        <v>1</v>
      </c>
      <c r="K422" s="13">
        <f t="shared" si="7"/>
        <v>23025</v>
      </c>
      <c r="L422" s="13" t="str">
        <f>_xlfn.XLOOKUP(I422,'Wk no''s'!C:C,'Wk no''s'!E:E,0)</f>
        <v>Mar</v>
      </c>
    </row>
    <row r="423" spans="1:12" x14ac:dyDescent="0.25">
      <c r="A423" s="70">
        <v>45742</v>
      </c>
      <c r="B423" s="71" t="s">
        <v>678</v>
      </c>
      <c r="C423" s="71" t="s">
        <v>679</v>
      </c>
      <c r="D423" s="71" t="s">
        <v>15</v>
      </c>
      <c r="E423" s="71">
        <v>7462.9</v>
      </c>
      <c r="F423" s="70">
        <v>45749</v>
      </c>
      <c r="G423" s="71" t="s">
        <v>47</v>
      </c>
      <c r="H423" s="71" t="s">
        <v>50</v>
      </c>
      <c r="I423" s="13">
        <f>_xlfn.XLOOKUP(F423,'Wk no''s'!B:B,'Wk no''s'!C:C,FALSE)</f>
        <v>14</v>
      </c>
      <c r="J423" s="13">
        <f>IF(D423="GBP",1,SUMIFS('Ex Rates'!I:I,'Ex Rates'!K:K,'Weekly Closed Proposal Requests'!L423,'Ex Rates'!G:G,'Weekly Closed Proposal Requests'!D423))</f>
        <v>1</v>
      </c>
      <c r="K423" s="13">
        <f t="shared" si="7"/>
        <v>7462.9</v>
      </c>
      <c r="L423" s="13" t="str">
        <f>_xlfn.XLOOKUP(I423,'Wk no''s'!C:C,'Wk no''s'!E:E,0)</f>
        <v>Mar</v>
      </c>
    </row>
    <row r="424" spans="1:12" x14ac:dyDescent="0.25">
      <c r="A424" s="70">
        <v>45747</v>
      </c>
      <c r="B424" s="71" t="s">
        <v>680</v>
      </c>
      <c r="C424" s="71" t="s">
        <v>612</v>
      </c>
      <c r="D424" s="71" t="s">
        <v>46</v>
      </c>
      <c r="E424" s="71">
        <v>12000</v>
      </c>
      <c r="F424" s="70">
        <v>45751</v>
      </c>
      <c r="G424" s="71" t="s">
        <v>47</v>
      </c>
      <c r="H424" s="71" t="s">
        <v>50</v>
      </c>
      <c r="I424" s="13">
        <f>_xlfn.XLOOKUP(F424,'Wk no''s'!B:B,'Wk no''s'!C:C,FALSE)</f>
        <v>14</v>
      </c>
      <c r="J424" s="13">
        <f>IF(D424="GBP",1,SUMIFS('Ex Rates'!I:I,'Ex Rates'!K:K,'Weekly Closed Proposal Requests'!L424,'Ex Rates'!G:G,'Weekly Closed Proposal Requests'!D424))</f>
        <v>0.77399380804953555</v>
      </c>
      <c r="K424" s="13">
        <f t="shared" si="7"/>
        <v>9287.925696594426</v>
      </c>
      <c r="L424" s="13" t="str">
        <f>_xlfn.XLOOKUP(I424,'Wk no''s'!C:C,'Wk no''s'!E:E,0)</f>
        <v>Mar</v>
      </c>
    </row>
    <row r="425" spans="1:12" x14ac:dyDescent="0.25">
      <c r="A425" s="70">
        <v>45751</v>
      </c>
      <c r="B425" s="71" t="s">
        <v>681</v>
      </c>
      <c r="C425" s="71" t="s">
        <v>126</v>
      </c>
      <c r="D425" s="71" t="s">
        <v>15</v>
      </c>
      <c r="E425" s="71">
        <v>380000</v>
      </c>
      <c r="F425" s="70">
        <v>45751</v>
      </c>
      <c r="G425" s="71" t="s">
        <v>47</v>
      </c>
      <c r="H425" s="71" t="s">
        <v>50</v>
      </c>
      <c r="I425" s="13">
        <f>_xlfn.XLOOKUP(F425,'Wk no''s'!B:B,'Wk no''s'!C:C,FALSE)</f>
        <v>14</v>
      </c>
      <c r="J425" s="13">
        <f>IF(D425="GBP",1,SUMIFS('Ex Rates'!I:I,'Ex Rates'!K:K,'Weekly Closed Proposal Requests'!L425,'Ex Rates'!G:G,'Weekly Closed Proposal Requests'!D425))</f>
        <v>1</v>
      </c>
      <c r="K425" s="13">
        <f t="shared" si="7"/>
        <v>380000</v>
      </c>
      <c r="L425" s="13" t="str">
        <f>_xlfn.XLOOKUP(I425,'Wk no''s'!C:C,'Wk no''s'!E:E,0)</f>
        <v>Mar</v>
      </c>
    </row>
    <row r="426" spans="1:12" x14ac:dyDescent="0.25">
      <c r="A426" s="70">
        <v>45744</v>
      </c>
      <c r="B426" s="71" t="s">
        <v>682</v>
      </c>
      <c r="C426" s="71" t="s">
        <v>392</v>
      </c>
      <c r="D426" s="71" t="s">
        <v>10</v>
      </c>
      <c r="E426" s="71">
        <v>5000000</v>
      </c>
      <c r="F426" s="70">
        <v>45750</v>
      </c>
      <c r="G426" s="71" t="s">
        <v>11</v>
      </c>
      <c r="H426" s="71" t="s">
        <v>12</v>
      </c>
      <c r="I426" s="13">
        <f>_xlfn.XLOOKUP(F426,'Wk no''s'!B:B,'Wk no''s'!C:C,FALSE)</f>
        <v>14</v>
      </c>
      <c r="J426" s="13">
        <f>IF(D426="GBP",1,SUMIFS('Ex Rates'!I:I,'Ex Rates'!K:K,'Weekly Closed Proposal Requests'!L426,'Ex Rates'!G:G,'Weekly Closed Proposal Requests'!D426))</f>
        <v>0.48379293662312528</v>
      </c>
      <c r="K426" s="13">
        <f t="shared" si="7"/>
        <v>2418964.6831156262</v>
      </c>
      <c r="L426" s="13" t="str">
        <f>_xlfn.XLOOKUP(I426,'Wk no''s'!C:C,'Wk no''s'!E:E,0)</f>
        <v>Mar</v>
      </c>
    </row>
    <row r="427" spans="1:12" x14ac:dyDescent="0.25">
      <c r="A427" s="70">
        <v>45718</v>
      </c>
      <c r="B427" s="71" t="s">
        <v>683</v>
      </c>
      <c r="C427" s="71" t="s">
        <v>179</v>
      </c>
      <c r="D427" s="71" t="s">
        <v>10</v>
      </c>
      <c r="E427" s="71">
        <v>1000000</v>
      </c>
      <c r="F427" s="70">
        <v>45748</v>
      </c>
      <c r="G427" s="71" t="s">
        <v>11</v>
      </c>
      <c r="H427" s="71" t="s">
        <v>50</v>
      </c>
      <c r="I427" s="13">
        <f>_xlfn.XLOOKUP(F427,'Wk no''s'!B:B,'Wk no''s'!C:C,FALSE)</f>
        <v>14</v>
      </c>
      <c r="J427" s="13">
        <f>IF(D427="GBP",1,SUMIFS('Ex Rates'!I:I,'Ex Rates'!K:K,'Weekly Closed Proposal Requests'!L427,'Ex Rates'!G:G,'Weekly Closed Proposal Requests'!D427))</f>
        <v>0.48379293662312528</v>
      </c>
      <c r="K427" s="13">
        <f t="shared" si="7"/>
        <v>483792.93662312528</v>
      </c>
      <c r="L427" s="13" t="str">
        <f>_xlfn.XLOOKUP(I427,'Wk no''s'!C:C,'Wk no''s'!E:E,0)</f>
        <v>Mar</v>
      </c>
    </row>
    <row r="428" spans="1:12" x14ac:dyDescent="0.25">
      <c r="A428" s="70">
        <v>45740</v>
      </c>
      <c r="B428" s="71" t="s">
        <v>685</v>
      </c>
      <c r="C428" s="71" t="s">
        <v>525</v>
      </c>
      <c r="D428" s="71" t="s">
        <v>10</v>
      </c>
      <c r="E428" s="71">
        <v>50000</v>
      </c>
      <c r="F428" s="70">
        <v>45749</v>
      </c>
      <c r="G428" s="71" t="s">
        <v>11</v>
      </c>
      <c r="H428" s="71" t="s">
        <v>50</v>
      </c>
      <c r="I428" s="13">
        <f>_xlfn.XLOOKUP(F428,'Wk no''s'!B:B,'Wk no''s'!C:C,FALSE)</f>
        <v>14</v>
      </c>
      <c r="J428" s="13">
        <f>IF(D428="GBP",1,SUMIFS('Ex Rates'!I:I,'Ex Rates'!K:K,'Weekly Closed Proposal Requests'!L428,'Ex Rates'!G:G,'Weekly Closed Proposal Requests'!D428))</f>
        <v>0.48379293662312528</v>
      </c>
      <c r="K428" s="13">
        <f t="shared" si="7"/>
        <v>24189.646831156264</v>
      </c>
      <c r="L428" s="13" t="str">
        <f>_xlfn.XLOOKUP(I428,'Wk no''s'!C:C,'Wk no''s'!E:E,0)</f>
        <v>Mar</v>
      </c>
    </row>
    <row r="429" spans="1:12" x14ac:dyDescent="0.25">
      <c r="A429" s="70">
        <v>45747</v>
      </c>
      <c r="B429" s="71" t="s">
        <v>687</v>
      </c>
      <c r="C429" s="71" t="s">
        <v>342</v>
      </c>
      <c r="D429" s="71" t="s">
        <v>10</v>
      </c>
      <c r="E429" s="71">
        <v>60000</v>
      </c>
      <c r="F429" s="70">
        <v>45748</v>
      </c>
      <c r="G429" s="71" t="s">
        <v>11</v>
      </c>
      <c r="H429" s="71" t="s">
        <v>50</v>
      </c>
      <c r="I429" s="13">
        <f>_xlfn.XLOOKUP(F429,'Wk no''s'!B:B,'Wk no''s'!C:C,FALSE)</f>
        <v>14</v>
      </c>
      <c r="J429" s="13">
        <f>IF(D429="GBP",1,SUMIFS('Ex Rates'!I:I,'Ex Rates'!K:K,'Weekly Closed Proposal Requests'!L429,'Ex Rates'!G:G,'Weekly Closed Proposal Requests'!D429))</f>
        <v>0.48379293662312528</v>
      </c>
      <c r="K429" s="13">
        <f t="shared" si="7"/>
        <v>29027.576197387516</v>
      </c>
      <c r="L429" s="13" t="str">
        <f>_xlfn.XLOOKUP(I429,'Wk no''s'!C:C,'Wk no''s'!E:E,0)</f>
        <v>Mar</v>
      </c>
    </row>
    <row r="430" spans="1:12" x14ac:dyDescent="0.25">
      <c r="A430" s="70">
        <v>45748</v>
      </c>
      <c r="B430" s="71" t="s">
        <v>688</v>
      </c>
      <c r="C430" s="71" t="s">
        <v>179</v>
      </c>
      <c r="D430" s="71" t="s">
        <v>15</v>
      </c>
      <c r="E430" s="71">
        <v>1000000</v>
      </c>
      <c r="F430" s="70">
        <v>45751</v>
      </c>
      <c r="G430" s="71" t="s">
        <v>11</v>
      </c>
      <c r="H430" s="71" t="s">
        <v>50</v>
      </c>
      <c r="I430" s="13">
        <f>_xlfn.XLOOKUP(F430,'Wk no''s'!B:B,'Wk no''s'!C:C,FALSE)</f>
        <v>14</v>
      </c>
      <c r="J430" s="13">
        <f>IF(D430="GBP",1,SUMIFS('Ex Rates'!I:I,'Ex Rates'!K:K,'Weekly Closed Proposal Requests'!L430,'Ex Rates'!G:G,'Weekly Closed Proposal Requests'!D430))</f>
        <v>1</v>
      </c>
      <c r="K430" s="13">
        <f t="shared" si="7"/>
        <v>1000000</v>
      </c>
      <c r="L430" s="13" t="str">
        <f>_xlfn.XLOOKUP(I430,'Wk no''s'!C:C,'Wk no''s'!E:E,0)</f>
        <v>Mar</v>
      </c>
    </row>
    <row r="431" spans="1:12" x14ac:dyDescent="0.25">
      <c r="A431" s="70">
        <v>45742</v>
      </c>
      <c r="B431" s="71" t="s">
        <v>689</v>
      </c>
      <c r="C431" s="71" t="s">
        <v>289</v>
      </c>
      <c r="D431" s="71" t="s">
        <v>15</v>
      </c>
      <c r="E431" s="71">
        <v>20000</v>
      </c>
      <c r="F431" s="70">
        <v>45750</v>
      </c>
      <c r="G431" s="71" t="s">
        <v>72</v>
      </c>
      <c r="H431" s="71" t="s">
        <v>19</v>
      </c>
      <c r="I431" s="13">
        <f>_xlfn.XLOOKUP(F431,'Wk no''s'!B:B,'Wk no''s'!C:C,FALSE)</f>
        <v>14</v>
      </c>
      <c r="J431" s="13">
        <f>IF(D431="GBP",1,SUMIFS('Ex Rates'!I:I,'Ex Rates'!K:K,'Weekly Closed Proposal Requests'!L431,'Ex Rates'!G:G,'Weekly Closed Proposal Requests'!D431))</f>
        <v>1</v>
      </c>
      <c r="K431" s="13">
        <f t="shared" si="7"/>
        <v>20000</v>
      </c>
      <c r="L431" s="13" t="str">
        <f>_xlfn.XLOOKUP(I431,'Wk no''s'!C:C,'Wk no''s'!E:E,0)</f>
        <v>Mar</v>
      </c>
    </row>
    <row r="432" spans="1:12" x14ac:dyDescent="0.25">
      <c r="A432" s="70">
        <v>45743</v>
      </c>
      <c r="B432" s="71" t="s">
        <v>690</v>
      </c>
      <c r="C432" s="71" t="s">
        <v>691</v>
      </c>
      <c r="D432" s="71" t="s">
        <v>15</v>
      </c>
      <c r="E432" s="71">
        <v>100000</v>
      </c>
      <c r="F432" s="70">
        <v>45748</v>
      </c>
      <c r="G432" s="71" t="s">
        <v>72</v>
      </c>
      <c r="H432" s="71" t="s">
        <v>19</v>
      </c>
      <c r="I432" s="13">
        <f>_xlfn.XLOOKUP(F432,'Wk no''s'!B:B,'Wk no''s'!C:C,FALSE)</f>
        <v>14</v>
      </c>
      <c r="J432" s="13">
        <f>IF(D432="GBP",1,SUMIFS('Ex Rates'!I:I,'Ex Rates'!K:K,'Weekly Closed Proposal Requests'!L432,'Ex Rates'!G:G,'Weekly Closed Proposal Requests'!D432))</f>
        <v>1</v>
      </c>
      <c r="K432" s="13">
        <f t="shared" si="7"/>
        <v>100000</v>
      </c>
      <c r="L432" s="13" t="str">
        <f>_xlfn.XLOOKUP(I432,'Wk no''s'!C:C,'Wk no''s'!E:E,0)</f>
        <v>Mar</v>
      </c>
    </row>
    <row r="433" spans="1:12" x14ac:dyDescent="0.25">
      <c r="A433" s="70">
        <v>45747</v>
      </c>
      <c r="B433" s="71" t="s">
        <v>692</v>
      </c>
      <c r="C433" s="71" t="s">
        <v>76</v>
      </c>
      <c r="D433" s="71" t="s">
        <v>15</v>
      </c>
      <c r="E433" s="71">
        <v>30000</v>
      </c>
      <c r="F433" s="70">
        <v>45748</v>
      </c>
      <c r="G433" s="71" t="s">
        <v>72</v>
      </c>
      <c r="H433" s="71" t="s">
        <v>19</v>
      </c>
      <c r="I433" s="13">
        <f>_xlfn.XLOOKUP(F433,'Wk no''s'!B:B,'Wk no''s'!C:C,FALSE)</f>
        <v>14</v>
      </c>
      <c r="J433" s="13">
        <f>IF(D433="GBP",1,SUMIFS('Ex Rates'!I:I,'Ex Rates'!K:K,'Weekly Closed Proposal Requests'!L433,'Ex Rates'!G:G,'Weekly Closed Proposal Requests'!D433))</f>
        <v>1</v>
      </c>
      <c r="K433" s="13">
        <f t="shared" si="7"/>
        <v>30000</v>
      </c>
      <c r="L433" s="13" t="str">
        <f>_xlfn.XLOOKUP(I433,'Wk no''s'!C:C,'Wk no''s'!E:E,0)</f>
        <v>Mar</v>
      </c>
    </row>
    <row r="434" spans="1:12" x14ac:dyDescent="0.25">
      <c r="A434" s="70">
        <v>45748</v>
      </c>
      <c r="B434" s="71" t="s">
        <v>693</v>
      </c>
      <c r="C434" s="71" t="s">
        <v>694</v>
      </c>
      <c r="D434" s="71" t="s">
        <v>15</v>
      </c>
      <c r="E434" s="71">
        <v>10000000</v>
      </c>
      <c r="F434" s="70">
        <v>45748</v>
      </c>
      <c r="G434" s="71" t="s">
        <v>72</v>
      </c>
      <c r="H434" s="71" t="s">
        <v>19</v>
      </c>
      <c r="I434" s="13">
        <f>_xlfn.XLOOKUP(F434,'Wk no''s'!B:B,'Wk no''s'!C:C,FALSE)</f>
        <v>14</v>
      </c>
      <c r="J434" s="13">
        <f>IF(D434="GBP",1,SUMIFS('Ex Rates'!I:I,'Ex Rates'!K:K,'Weekly Closed Proposal Requests'!L434,'Ex Rates'!G:G,'Weekly Closed Proposal Requests'!D434))</f>
        <v>1</v>
      </c>
      <c r="K434" s="13">
        <f t="shared" si="7"/>
        <v>10000000</v>
      </c>
      <c r="L434" s="13" t="str">
        <f>_xlfn.XLOOKUP(I434,'Wk no''s'!C:C,'Wk no''s'!E:E,0)</f>
        <v>Mar</v>
      </c>
    </row>
    <row r="435" spans="1:12" x14ac:dyDescent="0.25">
      <c r="A435" s="70">
        <v>45749</v>
      </c>
      <c r="B435" s="71" t="s">
        <v>695</v>
      </c>
      <c r="C435" s="71" t="s">
        <v>644</v>
      </c>
      <c r="D435" s="71" t="s">
        <v>15</v>
      </c>
      <c r="E435" s="71">
        <v>3301000</v>
      </c>
      <c r="F435" s="70">
        <v>45750</v>
      </c>
      <c r="G435" s="71" t="s">
        <v>645</v>
      </c>
      <c r="H435" s="71" t="s">
        <v>19</v>
      </c>
      <c r="I435" s="13">
        <f>_xlfn.XLOOKUP(F435,'Wk no''s'!B:B,'Wk no''s'!C:C,FALSE)</f>
        <v>14</v>
      </c>
      <c r="J435" s="13">
        <f>IF(D435="GBP",1,SUMIFS('Ex Rates'!I:I,'Ex Rates'!K:K,'Weekly Closed Proposal Requests'!L435,'Ex Rates'!G:G,'Weekly Closed Proposal Requests'!D435))</f>
        <v>1</v>
      </c>
      <c r="K435" s="13">
        <f t="shared" si="7"/>
        <v>3301000</v>
      </c>
      <c r="L435" s="13" t="str">
        <f>_xlfn.XLOOKUP(I435,'Wk no''s'!C:C,'Wk no''s'!E:E,0)</f>
        <v>Mar</v>
      </c>
    </row>
    <row r="436" spans="1:12" x14ac:dyDescent="0.25">
      <c r="A436" s="70">
        <v>45754</v>
      </c>
      <c r="B436" s="71" t="s">
        <v>696</v>
      </c>
      <c r="C436" s="71" t="s">
        <v>697</v>
      </c>
      <c r="D436" s="71" t="s">
        <v>15</v>
      </c>
      <c r="E436" s="71">
        <v>3000</v>
      </c>
      <c r="F436" s="70">
        <v>45756</v>
      </c>
      <c r="G436" s="71" t="s">
        <v>16</v>
      </c>
      <c r="H436" s="71" t="s">
        <v>12</v>
      </c>
      <c r="I436" s="13">
        <f>_xlfn.XLOOKUP(F436,'Wk no''s'!B:B,'Wk no''s'!C:C,FALSE)</f>
        <v>15</v>
      </c>
      <c r="J436" s="13">
        <f>IF(D436="GBP",1,SUMIFS('Ex Rates'!I:I,'Ex Rates'!K:K,'Weekly Closed Proposal Requests'!L436,'Ex Rates'!G:G,'Weekly Closed Proposal Requests'!D436))</f>
        <v>1</v>
      </c>
      <c r="K436" s="13">
        <f t="shared" si="7"/>
        <v>3000</v>
      </c>
      <c r="L436" s="13" t="str">
        <f>_xlfn.XLOOKUP(I436,'Wk no''s'!C:C,'Wk no''s'!E:E,0)</f>
        <v>Apr</v>
      </c>
    </row>
    <row r="437" spans="1:12" x14ac:dyDescent="0.25">
      <c r="A437" s="70">
        <v>45744</v>
      </c>
      <c r="B437" s="71" t="s">
        <v>698</v>
      </c>
      <c r="C437" s="71" t="s">
        <v>665</v>
      </c>
      <c r="D437" s="71" t="s">
        <v>15</v>
      </c>
      <c r="E437" s="71">
        <v>20000</v>
      </c>
      <c r="F437" s="70">
        <v>45755</v>
      </c>
      <c r="G437" s="71" t="s">
        <v>16</v>
      </c>
      <c r="H437" s="71" t="s">
        <v>19</v>
      </c>
      <c r="I437" s="13">
        <f>_xlfn.XLOOKUP(F437,'Wk no''s'!B:B,'Wk no''s'!C:C,FALSE)</f>
        <v>15</v>
      </c>
      <c r="J437" s="13">
        <f>IF(D437="GBP",1,SUMIFS('Ex Rates'!I:I,'Ex Rates'!K:K,'Weekly Closed Proposal Requests'!L437,'Ex Rates'!G:G,'Weekly Closed Proposal Requests'!D437))</f>
        <v>1</v>
      </c>
      <c r="K437" s="13">
        <f t="shared" si="7"/>
        <v>20000</v>
      </c>
      <c r="L437" s="13" t="str">
        <f>_xlfn.XLOOKUP(I437,'Wk no''s'!C:C,'Wk no''s'!E:E,0)</f>
        <v>Apr</v>
      </c>
    </row>
    <row r="438" spans="1:12" x14ac:dyDescent="0.25">
      <c r="A438" s="70">
        <v>45749</v>
      </c>
      <c r="B438" s="71" t="s">
        <v>699</v>
      </c>
      <c r="C438" s="71" t="s">
        <v>700</v>
      </c>
      <c r="D438" s="71" t="s">
        <v>15</v>
      </c>
      <c r="E438" s="71">
        <v>4000</v>
      </c>
      <c r="F438" s="70">
        <v>45755</v>
      </c>
      <c r="G438" s="71" t="s">
        <v>16</v>
      </c>
      <c r="H438" s="71" t="s">
        <v>19</v>
      </c>
      <c r="I438" s="13">
        <f>_xlfn.XLOOKUP(F438,'Wk no''s'!B:B,'Wk no''s'!C:C,FALSE)</f>
        <v>15</v>
      </c>
      <c r="J438" s="13">
        <f>IF(D438="GBP",1,SUMIFS('Ex Rates'!I:I,'Ex Rates'!K:K,'Weekly Closed Proposal Requests'!L438,'Ex Rates'!G:G,'Weekly Closed Proposal Requests'!D438))</f>
        <v>1</v>
      </c>
      <c r="K438" s="13">
        <f t="shared" si="7"/>
        <v>4000</v>
      </c>
      <c r="L438" s="13" t="str">
        <f>_xlfn.XLOOKUP(I438,'Wk no''s'!C:C,'Wk no''s'!E:E,0)</f>
        <v>Apr</v>
      </c>
    </row>
    <row r="439" spans="1:12" x14ac:dyDescent="0.25">
      <c r="A439" s="70">
        <v>45749</v>
      </c>
      <c r="B439" s="71" t="s">
        <v>701</v>
      </c>
      <c r="C439" s="71" t="s">
        <v>702</v>
      </c>
      <c r="D439" s="71" t="s">
        <v>15</v>
      </c>
      <c r="E439" s="71">
        <v>40000</v>
      </c>
      <c r="F439" s="70">
        <v>45758</v>
      </c>
      <c r="G439" s="71" t="s">
        <v>16</v>
      </c>
      <c r="H439" s="71" t="s">
        <v>19</v>
      </c>
      <c r="I439" s="13">
        <f>_xlfn.XLOOKUP(F439,'Wk no''s'!B:B,'Wk no''s'!C:C,FALSE)</f>
        <v>15</v>
      </c>
      <c r="J439" s="13">
        <f>IF(D439="GBP",1,SUMIFS('Ex Rates'!I:I,'Ex Rates'!K:K,'Weekly Closed Proposal Requests'!L439,'Ex Rates'!G:G,'Weekly Closed Proposal Requests'!D439))</f>
        <v>1</v>
      </c>
      <c r="K439" s="13">
        <f t="shared" si="7"/>
        <v>40000</v>
      </c>
      <c r="L439" s="13" t="str">
        <f>_xlfn.XLOOKUP(I439,'Wk no''s'!C:C,'Wk no''s'!E:E,0)</f>
        <v>Apr</v>
      </c>
    </row>
    <row r="440" spans="1:12" x14ac:dyDescent="0.25">
      <c r="A440" s="70">
        <v>45749</v>
      </c>
      <c r="B440" s="71" t="s">
        <v>703</v>
      </c>
      <c r="C440" s="71" t="s">
        <v>308</v>
      </c>
      <c r="D440" s="71" t="s">
        <v>15</v>
      </c>
      <c r="E440" s="71">
        <v>6000</v>
      </c>
      <c r="F440" s="70">
        <v>45754</v>
      </c>
      <c r="G440" s="71" t="s">
        <v>16</v>
      </c>
      <c r="H440" s="71" t="s">
        <v>19</v>
      </c>
      <c r="I440" s="13">
        <f>_xlfn.XLOOKUP(F440,'Wk no''s'!B:B,'Wk no''s'!C:C,FALSE)</f>
        <v>15</v>
      </c>
      <c r="J440" s="13">
        <f>IF(D440="GBP",1,SUMIFS('Ex Rates'!I:I,'Ex Rates'!K:K,'Weekly Closed Proposal Requests'!L440,'Ex Rates'!G:G,'Weekly Closed Proposal Requests'!D440))</f>
        <v>1</v>
      </c>
      <c r="K440" s="13">
        <f t="shared" si="7"/>
        <v>6000</v>
      </c>
      <c r="L440" s="13" t="str">
        <f>_xlfn.XLOOKUP(I440,'Wk no''s'!C:C,'Wk no''s'!E:E,0)</f>
        <v>Apr</v>
      </c>
    </row>
    <row r="441" spans="1:12" x14ac:dyDescent="0.25">
      <c r="A441" s="70">
        <v>45750</v>
      </c>
      <c r="B441" s="71" t="s">
        <v>704</v>
      </c>
      <c r="C441" s="71" t="s">
        <v>705</v>
      </c>
      <c r="D441" s="71" t="s">
        <v>15</v>
      </c>
      <c r="E441" s="71">
        <v>5000</v>
      </c>
      <c r="F441" s="70">
        <v>45755</v>
      </c>
      <c r="G441" s="71" t="s">
        <v>16</v>
      </c>
      <c r="H441" s="71" t="s">
        <v>19</v>
      </c>
      <c r="I441" s="13">
        <f>_xlfn.XLOOKUP(F441,'Wk no''s'!B:B,'Wk no''s'!C:C,FALSE)</f>
        <v>15</v>
      </c>
      <c r="J441" s="13">
        <f>IF(D441="GBP",1,SUMIFS('Ex Rates'!I:I,'Ex Rates'!K:K,'Weekly Closed Proposal Requests'!L441,'Ex Rates'!G:G,'Weekly Closed Proposal Requests'!D441))</f>
        <v>1</v>
      </c>
      <c r="K441" s="13">
        <f t="shared" si="7"/>
        <v>5000</v>
      </c>
      <c r="L441" s="13" t="str">
        <f>_xlfn.XLOOKUP(I441,'Wk no''s'!C:C,'Wk no''s'!E:E,0)</f>
        <v>Apr</v>
      </c>
    </row>
    <row r="442" spans="1:12" x14ac:dyDescent="0.25">
      <c r="A442" s="70">
        <v>45750</v>
      </c>
      <c r="B442" s="71" t="s">
        <v>706</v>
      </c>
      <c r="C442" s="71" t="s">
        <v>665</v>
      </c>
      <c r="D442" s="71" t="s">
        <v>15</v>
      </c>
      <c r="E442" s="71">
        <v>20000</v>
      </c>
      <c r="F442" s="70">
        <v>45757</v>
      </c>
      <c r="G442" s="71" t="s">
        <v>16</v>
      </c>
      <c r="H442" s="71" t="s">
        <v>19</v>
      </c>
      <c r="I442" s="13">
        <f>_xlfn.XLOOKUP(F442,'Wk no''s'!B:B,'Wk no''s'!C:C,FALSE)</f>
        <v>15</v>
      </c>
      <c r="J442" s="13">
        <f>IF(D442="GBP",1,SUMIFS('Ex Rates'!I:I,'Ex Rates'!K:K,'Weekly Closed Proposal Requests'!L442,'Ex Rates'!G:G,'Weekly Closed Proposal Requests'!D442))</f>
        <v>1</v>
      </c>
      <c r="K442" s="13">
        <f t="shared" si="7"/>
        <v>20000</v>
      </c>
      <c r="L442" s="13" t="str">
        <f>_xlfn.XLOOKUP(I442,'Wk no''s'!C:C,'Wk no''s'!E:E,0)</f>
        <v>Apr</v>
      </c>
    </row>
    <row r="443" spans="1:12" x14ac:dyDescent="0.25">
      <c r="A443" s="70">
        <v>45751</v>
      </c>
      <c r="B443" s="71" t="s">
        <v>707</v>
      </c>
      <c r="C443" s="71" t="s">
        <v>308</v>
      </c>
      <c r="D443" s="71" t="s">
        <v>15</v>
      </c>
      <c r="E443" s="71">
        <v>2000</v>
      </c>
      <c r="F443" s="70">
        <v>45755</v>
      </c>
      <c r="G443" s="71" t="s">
        <v>16</v>
      </c>
      <c r="H443" s="71" t="s">
        <v>19</v>
      </c>
      <c r="I443" s="13">
        <f>_xlfn.XLOOKUP(F443,'Wk no''s'!B:B,'Wk no''s'!C:C,FALSE)</f>
        <v>15</v>
      </c>
      <c r="J443" s="13">
        <f>IF(D443="GBP",1,SUMIFS('Ex Rates'!I:I,'Ex Rates'!K:K,'Weekly Closed Proposal Requests'!L443,'Ex Rates'!G:G,'Weekly Closed Proposal Requests'!D443))</f>
        <v>1</v>
      </c>
      <c r="K443" s="13">
        <f t="shared" si="7"/>
        <v>2000</v>
      </c>
      <c r="L443" s="13" t="str">
        <f>_xlfn.XLOOKUP(I443,'Wk no''s'!C:C,'Wk no''s'!E:E,0)</f>
        <v>Apr</v>
      </c>
    </row>
    <row r="444" spans="1:12" x14ac:dyDescent="0.25">
      <c r="A444" s="70">
        <v>45751</v>
      </c>
      <c r="B444" s="71" t="s">
        <v>708</v>
      </c>
      <c r="C444" s="71" t="s">
        <v>656</v>
      </c>
      <c r="D444" s="71" t="s">
        <v>15</v>
      </c>
      <c r="E444" s="71">
        <v>100000</v>
      </c>
      <c r="F444" s="70">
        <v>45756</v>
      </c>
      <c r="G444" s="71" t="s">
        <v>16</v>
      </c>
      <c r="H444" s="71" t="s">
        <v>19</v>
      </c>
      <c r="I444" s="13">
        <f>_xlfn.XLOOKUP(F444,'Wk no''s'!B:B,'Wk no''s'!C:C,FALSE)</f>
        <v>15</v>
      </c>
      <c r="J444" s="13">
        <f>IF(D444="GBP",1,SUMIFS('Ex Rates'!I:I,'Ex Rates'!K:K,'Weekly Closed Proposal Requests'!L444,'Ex Rates'!G:G,'Weekly Closed Proposal Requests'!D444))</f>
        <v>1</v>
      </c>
      <c r="K444" s="13">
        <f t="shared" si="7"/>
        <v>100000</v>
      </c>
      <c r="L444" s="13" t="str">
        <f>_xlfn.XLOOKUP(I444,'Wk no''s'!C:C,'Wk no''s'!E:E,0)</f>
        <v>Apr</v>
      </c>
    </row>
    <row r="445" spans="1:12" x14ac:dyDescent="0.25">
      <c r="A445" s="70">
        <v>45753</v>
      </c>
      <c r="B445" s="71" t="s">
        <v>709</v>
      </c>
      <c r="C445" s="71" t="s">
        <v>710</v>
      </c>
      <c r="D445" s="71" t="s">
        <v>15</v>
      </c>
      <c r="E445" s="71">
        <v>50000</v>
      </c>
      <c r="F445" s="70">
        <v>45758</v>
      </c>
      <c r="G445" s="71" t="s">
        <v>16</v>
      </c>
      <c r="H445" s="71" t="s">
        <v>19</v>
      </c>
      <c r="I445" s="13">
        <f>_xlfn.XLOOKUP(F445,'Wk no''s'!B:B,'Wk no''s'!C:C,FALSE)</f>
        <v>15</v>
      </c>
      <c r="J445" s="13">
        <f>IF(D445="GBP",1,SUMIFS('Ex Rates'!I:I,'Ex Rates'!K:K,'Weekly Closed Proposal Requests'!L445,'Ex Rates'!G:G,'Weekly Closed Proposal Requests'!D445))</f>
        <v>1</v>
      </c>
      <c r="K445" s="13">
        <f t="shared" si="7"/>
        <v>50000</v>
      </c>
      <c r="L445" s="13" t="str">
        <f>_xlfn.XLOOKUP(I445,'Wk no''s'!C:C,'Wk no''s'!E:E,0)</f>
        <v>Apr</v>
      </c>
    </row>
    <row r="446" spans="1:12" x14ac:dyDescent="0.25">
      <c r="A446" s="70">
        <v>45755</v>
      </c>
      <c r="B446" s="71" t="s">
        <v>711</v>
      </c>
      <c r="C446" s="71" t="s">
        <v>712</v>
      </c>
      <c r="D446" s="71" t="s">
        <v>15</v>
      </c>
      <c r="E446" s="71">
        <v>50000</v>
      </c>
      <c r="F446" s="70">
        <v>45758</v>
      </c>
      <c r="G446" s="71" t="s">
        <v>16</v>
      </c>
      <c r="H446" s="71" t="s">
        <v>19</v>
      </c>
      <c r="I446" s="13">
        <f>_xlfn.XLOOKUP(F446,'Wk no''s'!B:B,'Wk no''s'!C:C,FALSE)</f>
        <v>15</v>
      </c>
      <c r="J446" s="13">
        <f>IF(D446="GBP",1,SUMIFS('Ex Rates'!I:I,'Ex Rates'!K:K,'Weekly Closed Proposal Requests'!L446,'Ex Rates'!G:G,'Weekly Closed Proposal Requests'!D446))</f>
        <v>1</v>
      </c>
      <c r="K446" s="13">
        <f t="shared" si="7"/>
        <v>50000</v>
      </c>
      <c r="L446" s="13" t="str">
        <f>_xlfn.XLOOKUP(I446,'Wk no''s'!C:C,'Wk no''s'!E:E,0)</f>
        <v>Apr</v>
      </c>
    </row>
    <row r="447" spans="1:12" x14ac:dyDescent="0.25">
      <c r="A447" s="70">
        <v>45755</v>
      </c>
      <c r="B447" s="71" t="s">
        <v>713</v>
      </c>
      <c r="C447" s="71" t="s">
        <v>658</v>
      </c>
      <c r="D447" s="71" t="s">
        <v>15</v>
      </c>
      <c r="E447" s="71">
        <v>10000</v>
      </c>
      <c r="F447" s="70">
        <v>45755</v>
      </c>
      <c r="G447" s="71" t="s">
        <v>16</v>
      </c>
      <c r="H447" s="71" t="s">
        <v>19</v>
      </c>
      <c r="I447" s="13">
        <f>_xlfn.XLOOKUP(F447,'Wk no''s'!B:B,'Wk no''s'!C:C,FALSE)</f>
        <v>15</v>
      </c>
      <c r="J447" s="13">
        <f>IF(D447="GBP",1,SUMIFS('Ex Rates'!I:I,'Ex Rates'!K:K,'Weekly Closed Proposal Requests'!L447,'Ex Rates'!G:G,'Weekly Closed Proposal Requests'!D447))</f>
        <v>1</v>
      </c>
      <c r="K447" s="13">
        <f t="shared" si="7"/>
        <v>10000</v>
      </c>
      <c r="L447" s="13" t="str">
        <f>_xlfn.XLOOKUP(I447,'Wk no''s'!C:C,'Wk no''s'!E:E,0)</f>
        <v>Apr</v>
      </c>
    </row>
    <row r="448" spans="1:12" x14ac:dyDescent="0.25">
      <c r="A448" s="70">
        <v>45755</v>
      </c>
      <c r="B448" s="71" t="s">
        <v>714</v>
      </c>
      <c r="C448" s="71" t="s">
        <v>712</v>
      </c>
      <c r="D448" s="71" t="s">
        <v>15</v>
      </c>
      <c r="E448" s="71">
        <v>50000</v>
      </c>
      <c r="F448" s="70">
        <v>45758</v>
      </c>
      <c r="G448" s="71" t="s">
        <v>16</v>
      </c>
      <c r="H448" s="71" t="s">
        <v>19</v>
      </c>
      <c r="I448" s="13">
        <f>_xlfn.XLOOKUP(F448,'Wk no''s'!B:B,'Wk no''s'!C:C,FALSE)</f>
        <v>15</v>
      </c>
      <c r="J448" s="13">
        <f>IF(D448="GBP",1,SUMIFS('Ex Rates'!I:I,'Ex Rates'!K:K,'Weekly Closed Proposal Requests'!L448,'Ex Rates'!G:G,'Weekly Closed Proposal Requests'!D448))</f>
        <v>1</v>
      </c>
      <c r="K448" s="13">
        <f t="shared" si="7"/>
        <v>50000</v>
      </c>
      <c r="L448" s="13" t="str">
        <f>_xlfn.XLOOKUP(I448,'Wk no''s'!C:C,'Wk no''s'!E:E,0)</f>
        <v>Apr</v>
      </c>
    </row>
    <row r="449" spans="1:12" x14ac:dyDescent="0.25">
      <c r="A449" s="70">
        <v>45740</v>
      </c>
      <c r="B449" s="71" t="s">
        <v>715</v>
      </c>
      <c r="C449" s="71" t="s">
        <v>716</v>
      </c>
      <c r="D449" s="71" t="s">
        <v>40</v>
      </c>
      <c r="E449" s="71">
        <v>10000</v>
      </c>
      <c r="F449" s="70">
        <v>45758</v>
      </c>
      <c r="G449" s="71" t="s">
        <v>41</v>
      </c>
      <c r="H449" s="71" t="s">
        <v>19</v>
      </c>
      <c r="I449" s="13">
        <f>_xlfn.XLOOKUP(F449,'Wk no''s'!B:B,'Wk no''s'!C:C,FALSE)</f>
        <v>15</v>
      </c>
      <c r="J449" s="13">
        <f>IF(D449="GBP",1,SUMIFS('Ex Rates'!I:I,'Ex Rates'!K:K,'Weekly Closed Proposal Requests'!L449,'Ex Rates'!G:G,'Weekly Closed Proposal Requests'!D449))</f>
        <v>0.84961767204757854</v>
      </c>
      <c r="K449" s="13">
        <f t="shared" si="7"/>
        <v>8496.1767204757853</v>
      </c>
      <c r="L449" s="13" t="str">
        <f>_xlfn.XLOOKUP(I449,'Wk no''s'!C:C,'Wk no''s'!E:E,0)</f>
        <v>Apr</v>
      </c>
    </row>
    <row r="450" spans="1:12" x14ac:dyDescent="0.25">
      <c r="A450" s="70">
        <v>45751</v>
      </c>
      <c r="B450" s="71" t="s">
        <v>717</v>
      </c>
      <c r="C450" s="71" t="s">
        <v>718</v>
      </c>
      <c r="D450" s="71" t="s">
        <v>40</v>
      </c>
      <c r="E450" s="71">
        <v>25000</v>
      </c>
      <c r="F450" s="70">
        <v>45755</v>
      </c>
      <c r="G450" s="71" t="s">
        <v>41</v>
      </c>
      <c r="H450" s="71" t="s">
        <v>19</v>
      </c>
      <c r="I450" s="13">
        <f>_xlfn.XLOOKUP(F450,'Wk no''s'!B:B,'Wk no''s'!C:C,FALSE)</f>
        <v>15</v>
      </c>
      <c r="J450" s="13">
        <f>IF(D450="GBP",1,SUMIFS('Ex Rates'!I:I,'Ex Rates'!K:K,'Weekly Closed Proposal Requests'!L450,'Ex Rates'!G:G,'Weekly Closed Proposal Requests'!D450))</f>
        <v>0.84961767204757854</v>
      </c>
      <c r="K450" s="13">
        <f t="shared" si="7"/>
        <v>21240.441801189463</v>
      </c>
      <c r="L450" s="13" t="str">
        <f>_xlfn.XLOOKUP(I450,'Wk no''s'!C:C,'Wk no''s'!E:E,0)</f>
        <v>Apr</v>
      </c>
    </row>
    <row r="451" spans="1:12" x14ac:dyDescent="0.25">
      <c r="A451" s="70">
        <v>45751</v>
      </c>
      <c r="B451" s="71" t="s">
        <v>719</v>
      </c>
      <c r="C451" s="71" t="s">
        <v>718</v>
      </c>
      <c r="D451" s="71" t="s">
        <v>40</v>
      </c>
      <c r="E451" s="71">
        <v>10000</v>
      </c>
      <c r="F451" s="70">
        <v>45755</v>
      </c>
      <c r="G451" s="71" t="s">
        <v>41</v>
      </c>
      <c r="H451" s="71" t="s">
        <v>19</v>
      </c>
      <c r="I451" s="13">
        <f>_xlfn.XLOOKUP(F451,'Wk no''s'!B:B,'Wk no''s'!C:C,FALSE)</f>
        <v>15</v>
      </c>
      <c r="J451" s="13">
        <f>IF(D451="GBP",1,SUMIFS('Ex Rates'!I:I,'Ex Rates'!K:K,'Weekly Closed Proposal Requests'!L451,'Ex Rates'!G:G,'Weekly Closed Proposal Requests'!D451))</f>
        <v>0.84961767204757854</v>
      </c>
      <c r="K451" s="13">
        <f t="shared" si="7"/>
        <v>8496.1767204757853</v>
      </c>
      <c r="L451" s="13" t="str">
        <f>_xlfn.XLOOKUP(I451,'Wk no''s'!C:C,'Wk no''s'!E:E,0)</f>
        <v>Apr</v>
      </c>
    </row>
    <row r="452" spans="1:12" x14ac:dyDescent="0.25">
      <c r="A452" s="70">
        <v>45722</v>
      </c>
      <c r="B452" s="71" t="s">
        <v>720</v>
      </c>
      <c r="C452" s="71" t="s">
        <v>721</v>
      </c>
      <c r="D452" s="71" t="s">
        <v>46</v>
      </c>
      <c r="E452" s="71">
        <v>200000</v>
      </c>
      <c r="F452" s="70">
        <v>45754</v>
      </c>
      <c r="G452" s="71" t="s">
        <v>47</v>
      </c>
      <c r="H452" s="71" t="s">
        <v>19</v>
      </c>
      <c r="I452" s="13">
        <f>_xlfn.XLOOKUP(F452,'Wk no''s'!B:B,'Wk no''s'!C:C,FALSE)</f>
        <v>15</v>
      </c>
      <c r="J452" s="13">
        <f>IF(D452="GBP",1,SUMIFS('Ex Rates'!I:I,'Ex Rates'!K:K,'Weekly Closed Proposal Requests'!L452,'Ex Rates'!G:G,'Weekly Closed Proposal Requests'!D452))</f>
        <v>0.75018754688672173</v>
      </c>
      <c r="K452" s="13">
        <f t="shared" si="7"/>
        <v>150037.50937734434</v>
      </c>
      <c r="L452" s="13" t="str">
        <f>_xlfn.XLOOKUP(I452,'Wk no''s'!C:C,'Wk no''s'!E:E,0)</f>
        <v>Apr</v>
      </c>
    </row>
    <row r="453" spans="1:12" x14ac:dyDescent="0.25">
      <c r="A453" s="70">
        <v>45729</v>
      </c>
      <c r="B453" s="71" t="s">
        <v>722</v>
      </c>
      <c r="C453" s="71" t="s">
        <v>211</v>
      </c>
      <c r="D453" s="71" t="s">
        <v>15</v>
      </c>
      <c r="E453" s="71">
        <v>575353</v>
      </c>
      <c r="F453" s="70">
        <v>45758</v>
      </c>
      <c r="G453" s="71" t="s">
        <v>47</v>
      </c>
      <c r="H453" s="71" t="s">
        <v>50</v>
      </c>
      <c r="I453" s="13">
        <f>_xlfn.XLOOKUP(F453,'Wk no''s'!B:B,'Wk no''s'!C:C,FALSE)</f>
        <v>15</v>
      </c>
      <c r="J453" s="13">
        <f>IF(D453="GBP",1,SUMIFS('Ex Rates'!I:I,'Ex Rates'!K:K,'Weekly Closed Proposal Requests'!L453,'Ex Rates'!G:G,'Weekly Closed Proposal Requests'!D453))</f>
        <v>1</v>
      </c>
      <c r="K453" s="13">
        <f t="shared" si="7"/>
        <v>575353</v>
      </c>
      <c r="L453" s="13" t="str">
        <f>_xlfn.XLOOKUP(I453,'Wk no''s'!C:C,'Wk no''s'!E:E,0)</f>
        <v>Apr</v>
      </c>
    </row>
    <row r="454" spans="1:12" x14ac:dyDescent="0.25">
      <c r="A454" s="70">
        <v>45734</v>
      </c>
      <c r="B454" s="71" t="s">
        <v>723</v>
      </c>
      <c r="C454" s="71" t="s">
        <v>615</v>
      </c>
      <c r="D454" s="71" t="s">
        <v>15</v>
      </c>
      <c r="E454" s="71">
        <v>11985</v>
      </c>
      <c r="F454" s="70">
        <v>45758</v>
      </c>
      <c r="G454" s="71" t="s">
        <v>47</v>
      </c>
      <c r="H454" s="71" t="s">
        <v>50</v>
      </c>
      <c r="I454" s="13">
        <f>_xlfn.XLOOKUP(F454,'Wk no''s'!B:B,'Wk no''s'!C:C,FALSE)</f>
        <v>15</v>
      </c>
      <c r="J454" s="13">
        <f>IF(D454="GBP",1,SUMIFS('Ex Rates'!I:I,'Ex Rates'!K:K,'Weekly Closed Proposal Requests'!L454,'Ex Rates'!G:G,'Weekly Closed Proposal Requests'!D454))</f>
        <v>1</v>
      </c>
      <c r="K454" s="13">
        <f t="shared" si="7"/>
        <v>11985</v>
      </c>
      <c r="L454" s="13" t="str">
        <f>_xlfn.XLOOKUP(I454,'Wk no''s'!C:C,'Wk no''s'!E:E,0)</f>
        <v>Apr</v>
      </c>
    </row>
    <row r="455" spans="1:12" x14ac:dyDescent="0.25">
      <c r="A455" s="70">
        <v>45735</v>
      </c>
      <c r="B455" s="71" t="s">
        <v>724</v>
      </c>
      <c r="C455" s="71" t="s">
        <v>576</v>
      </c>
      <c r="D455" s="71" t="s">
        <v>15</v>
      </c>
      <c r="E455" s="71">
        <v>72724</v>
      </c>
      <c r="F455" s="70">
        <v>45758</v>
      </c>
      <c r="G455" s="71" t="s">
        <v>47</v>
      </c>
      <c r="H455" s="71" t="s">
        <v>50</v>
      </c>
      <c r="I455" s="13">
        <f>_xlfn.XLOOKUP(F455,'Wk no''s'!B:B,'Wk no''s'!C:C,FALSE)</f>
        <v>15</v>
      </c>
      <c r="J455" s="13">
        <f>IF(D455="GBP",1,SUMIFS('Ex Rates'!I:I,'Ex Rates'!K:K,'Weekly Closed Proposal Requests'!L455,'Ex Rates'!G:G,'Weekly Closed Proposal Requests'!D455))</f>
        <v>1</v>
      </c>
      <c r="K455" s="13">
        <f t="shared" si="7"/>
        <v>72724</v>
      </c>
      <c r="L455" s="13" t="str">
        <f>_xlfn.XLOOKUP(I455,'Wk no''s'!C:C,'Wk no''s'!E:E,0)</f>
        <v>Apr</v>
      </c>
    </row>
    <row r="456" spans="1:12" x14ac:dyDescent="0.25">
      <c r="A456" s="70">
        <v>45742</v>
      </c>
      <c r="B456" s="71" t="s">
        <v>725</v>
      </c>
      <c r="C456" s="71" t="s">
        <v>269</v>
      </c>
      <c r="D456" s="71" t="s">
        <v>15</v>
      </c>
      <c r="E456" s="71">
        <v>1920</v>
      </c>
      <c r="F456" s="70">
        <v>45758</v>
      </c>
      <c r="G456" s="71" t="s">
        <v>47</v>
      </c>
      <c r="H456" s="71" t="s">
        <v>50</v>
      </c>
      <c r="I456" s="13">
        <f>_xlfn.XLOOKUP(F456,'Wk no''s'!B:B,'Wk no''s'!C:C,FALSE)</f>
        <v>15</v>
      </c>
      <c r="J456" s="13">
        <f>IF(D456="GBP",1,SUMIFS('Ex Rates'!I:I,'Ex Rates'!K:K,'Weekly Closed Proposal Requests'!L456,'Ex Rates'!G:G,'Weekly Closed Proposal Requests'!D456))</f>
        <v>1</v>
      </c>
      <c r="K456" s="13">
        <f t="shared" si="7"/>
        <v>1920</v>
      </c>
      <c r="L456" s="13" t="str">
        <f>_xlfn.XLOOKUP(I456,'Wk no''s'!C:C,'Wk no''s'!E:E,0)</f>
        <v>Apr</v>
      </c>
    </row>
    <row r="457" spans="1:12" x14ac:dyDescent="0.25">
      <c r="A457" s="70">
        <v>45743</v>
      </c>
      <c r="B457" s="71" t="s">
        <v>726</v>
      </c>
      <c r="C457" s="71" t="s">
        <v>58</v>
      </c>
      <c r="D457" s="71" t="s">
        <v>46</v>
      </c>
      <c r="E457" s="71">
        <v>50000</v>
      </c>
      <c r="F457" s="70">
        <v>45757</v>
      </c>
      <c r="G457" s="71" t="s">
        <v>47</v>
      </c>
      <c r="H457" s="71" t="s">
        <v>50</v>
      </c>
      <c r="I457" s="13">
        <f>_xlfn.XLOOKUP(F457,'Wk no''s'!B:B,'Wk no''s'!C:C,FALSE)</f>
        <v>15</v>
      </c>
      <c r="J457" s="13">
        <f>IF(D457="GBP",1,SUMIFS('Ex Rates'!I:I,'Ex Rates'!K:K,'Weekly Closed Proposal Requests'!L457,'Ex Rates'!G:G,'Weekly Closed Proposal Requests'!D457))</f>
        <v>0.75018754688672173</v>
      </c>
      <c r="K457" s="13">
        <f t="shared" si="7"/>
        <v>37509.377344336084</v>
      </c>
      <c r="L457" s="13" t="str">
        <f>_xlfn.XLOOKUP(I457,'Wk no''s'!C:C,'Wk no''s'!E:E,0)</f>
        <v>Apr</v>
      </c>
    </row>
    <row r="458" spans="1:12" x14ac:dyDescent="0.25">
      <c r="A458" s="70">
        <v>45754</v>
      </c>
      <c r="B458" s="71" t="s">
        <v>727</v>
      </c>
      <c r="C458" s="71" t="s">
        <v>117</v>
      </c>
      <c r="D458" s="71" t="s">
        <v>15</v>
      </c>
      <c r="E458" s="71">
        <v>96000</v>
      </c>
      <c r="F458" s="70">
        <v>45755</v>
      </c>
      <c r="G458" s="71" t="s">
        <v>47</v>
      </c>
      <c r="H458" s="71" t="s">
        <v>50</v>
      </c>
      <c r="I458" s="13">
        <f>_xlfn.XLOOKUP(F458,'Wk no''s'!B:B,'Wk no''s'!C:C,FALSE)</f>
        <v>15</v>
      </c>
      <c r="J458" s="13">
        <f>IF(D458="GBP",1,SUMIFS('Ex Rates'!I:I,'Ex Rates'!K:K,'Weekly Closed Proposal Requests'!L458,'Ex Rates'!G:G,'Weekly Closed Proposal Requests'!D458))</f>
        <v>1</v>
      </c>
      <c r="K458" s="13">
        <f t="shared" si="7"/>
        <v>96000</v>
      </c>
      <c r="L458" s="13" t="str">
        <f>_xlfn.XLOOKUP(I458,'Wk no''s'!C:C,'Wk no''s'!E:E,0)</f>
        <v>Apr</v>
      </c>
    </row>
    <row r="459" spans="1:12" x14ac:dyDescent="0.25">
      <c r="A459" s="70">
        <v>45754</v>
      </c>
      <c r="B459" s="71" t="s">
        <v>728</v>
      </c>
      <c r="C459" s="71" t="s">
        <v>384</v>
      </c>
      <c r="D459" s="71" t="s">
        <v>46</v>
      </c>
      <c r="E459" s="71">
        <v>160000</v>
      </c>
      <c r="F459" s="70">
        <v>45760</v>
      </c>
      <c r="G459" s="71" t="s">
        <v>47</v>
      </c>
      <c r="H459" s="71" t="s">
        <v>50</v>
      </c>
      <c r="I459" s="13">
        <f>_xlfn.XLOOKUP(F459,'Wk no''s'!B:B,'Wk no''s'!C:C,FALSE)</f>
        <v>16</v>
      </c>
      <c r="J459" s="13">
        <f>IF(D459="GBP",1,SUMIFS('Ex Rates'!I:I,'Ex Rates'!K:K,'Weekly Closed Proposal Requests'!L459,'Ex Rates'!G:G,'Weekly Closed Proposal Requests'!D459))</f>
        <v>0.75018754688672173</v>
      </c>
      <c r="K459" s="13">
        <f t="shared" si="7"/>
        <v>120030.00750187547</v>
      </c>
      <c r="L459" s="13" t="str">
        <f>_xlfn.XLOOKUP(I459,'Wk no''s'!C:C,'Wk no''s'!E:E,0)</f>
        <v>Apr</v>
      </c>
    </row>
    <row r="460" spans="1:12" x14ac:dyDescent="0.25">
      <c r="A460" s="70">
        <v>45755</v>
      </c>
      <c r="B460" s="71" t="s">
        <v>729</v>
      </c>
      <c r="C460" s="71" t="s">
        <v>677</v>
      </c>
      <c r="D460" s="71" t="s">
        <v>15</v>
      </c>
      <c r="E460" s="71">
        <v>23025</v>
      </c>
      <c r="F460" s="70">
        <v>45757</v>
      </c>
      <c r="G460" s="71" t="s">
        <v>47</v>
      </c>
      <c r="H460" s="71" t="s">
        <v>50</v>
      </c>
      <c r="I460" s="13">
        <f>_xlfn.XLOOKUP(F460,'Wk no''s'!B:B,'Wk no''s'!C:C,FALSE)</f>
        <v>15</v>
      </c>
      <c r="J460" s="13">
        <f>IF(D460="GBP",1,SUMIFS('Ex Rates'!I:I,'Ex Rates'!K:K,'Weekly Closed Proposal Requests'!L460,'Ex Rates'!G:G,'Weekly Closed Proposal Requests'!D460))</f>
        <v>1</v>
      </c>
      <c r="K460" s="13">
        <f t="shared" si="7"/>
        <v>23025</v>
      </c>
      <c r="L460" s="13" t="str">
        <f>_xlfn.XLOOKUP(I460,'Wk no''s'!C:C,'Wk no''s'!E:E,0)</f>
        <v>Apr</v>
      </c>
    </row>
    <row r="461" spans="1:12" x14ac:dyDescent="0.25">
      <c r="A461" s="70">
        <v>45756</v>
      </c>
      <c r="B461" s="71" t="s">
        <v>730</v>
      </c>
      <c r="C461" s="71" t="s">
        <v>228</v>
      </c>
      <c r="D461" s="71" t="s">
        <v>15</v>
      </c>
      <c r="E461" s="71">
        <v>225212</v>
      </c>
      <c r="F461" s="70">
        <v>45756</v>
      </c>
      <c r="G461" s="71" t="s">
        <v>47</v>
      </c>
      <c r="H461" s="71" t="s">
        <v>50</v>
      </c>
      <c r="I461" s="13">
        <f>_xlfn.XLOOKUP(F461,'Wk no''s'!B:B,'Wk no''s'!C:C,FALSE)</f>
        <v>15</v>
      </c>
      <c r="J461" s="13">
        <f>IF(D461="GBP",1,SUMIFS('Ex Rates'!I:I,'Ex Rates'!K:K,'Weekly Closed Proposal Requests'!L461,'Ex Rates'!G:G,'Weekly Closed Proposal Requests'!D461))</f>
        <v>1</v>
      </c>
      <c r="K461" s="13">
        <f t="shared" si="7"/>
        <v>225212</v>
      </c>
      <c r="L461" s="13" t="str">
        <f>_xlfn.XLOOKUP(I461,'Wk no''s'!C:C,'Wk no''s'!E:E,0)</f>
        <v>Apr</v>
      </c>
    </row>
    <row r="462" spans="1:12" x14ac:dyDescent="0.25">
      <c r="A462" s="70">
        <v>45754</v>
      </c>
      <c r="B462" s="71" t="s">
        <v>731</v>
      </c>
      <c r="C462" s="71" t="s">
        <v>438</v>
      </c>
      <c r="D462" s="71" t="s">
        <v>10</v>
      </c>
      <c r="E462" s="71">
        <v>50000</v>
      </c>
      <c r="F462" s="70">
        <v>45755</v>
      </c>
      <c r="G462" s="71" t="s">
        <v>11</v>
      </c>
      <c r="H462" s="71" t="s">
        <v>12</v>
      </c>
      <c r="I462" s="13">
        <f>_xlfn.XLOOKUP(F462,'Wk no''s'!B:B,'Wk no''s'!C:C,FALSE)</f>
        <v>15</v>
      </c>
      <c r="J462" s="13">
        <f>IF(D462="GBP",1,SUMIFS('Ex Rates'!I:I,'Ex Rates'!K:K,'Weekly Closed Proposal Requests'!L462,'Ex Rates'!G:G,'Weekly Closed Proposal Requests'!D462))</f>
        <v>0.48053820278712156</v>
      </c>
      <c r="K462" s="13">
        <f t="shared" si="7"/>
        <v>24026.910139356078</v>
      </c>
      <c r="L462" s="13" t="str">
        <f>_xlfn.XLOOKUP(I462,'Wk no''s'!C:C,'Wk no''s'!E:E,0)</f>
        <v>Apr</v>
      </c>
    </row>
    <row r="463" spans="1:12" x14ac:dyDescent="0.25">
      <c r="A463" s="70">
        <v>45669</v>
      </c>
      <c r="B463" s="71" t="s">
        <v>732</v>
      </c>
      <c r="C463" s="71" t="s">
        <v>733</v>
      </c>
      <c r="D463" s="71" t="s">
        <v>10</v>
      </c>
      <c r="E463" s="71">
        <v>250000</v>
      </c>
      <c r="F463" s="70">
        <v>45754</v>
      </c>
      <c r="G463" s="71" t="s">
        <v>11</v>
      </c>
      <c r="H463" s="71" t="s">
        <v>19</v>
      </c>
      <c r="I463" s="13">
        <f>_xlfn.XLOOKUP(F463,'Wk no''s'!B:B,'Wk no''s'!C:C,FALSE)</f>
        <v>15</v>
      </c>
      <c r="J463" s="13">
        <f>IF(D463="GBP",1,SUMIFS('Ex Rates'!I:I,'Ex Rates'!K:K,'Weekly Closed Proposal Requests'!L463,'Ex Rates'!G:G,'Weekly Closed Proposal Requests'!D463))</f>
        <v>0.48053820278712156</v>
      </c>
      <c r="K463" s="13">
        <f t="shared" si="7"/>
        <v>120134.5506967804</v>
      </c>
      <c r="L463" s="13" t="str">
        <f>_xlfn.XLOOKUP(I463,'Wk no''s'!C:C,'Wk no''s'!E:E,0)</f>
        <v>Apr</v>
      </c>
    </row>
    <row r="464" spans="1:12" x14ac:dyDescent="0.25">
      <c r="A464" s="70">
        <v>45754</v>
      </c>
      <c r="B464" s="71" t="s">
        <v>734</v>
      </c>
      <c r="C464" s="71" t="s">
        <v>342</v>
      </c>
      <c r="D464" s="71" t="s">
        <v>10</v>
      </c>
      <c r="E464" s="71">
        <v>80000</v>
      </c>
      <c r="F464" s="70">
        <v>45754</v>
      </c>
      <c r="G464" s="71" t="s">
        <v>11</v>
      </c>
      <c r="H464" s="71" t="s">
        <v>50</v>
      </c>
      <c r="I464" s="13">
        <f>_xlfn.XLOOKUP(F464,'Wk no''s'!B:B,'Wk no''s'!C:C,FALSE)</f>
        <v>15</v>
      </c>
      <c r="J464" s="13">
        <f>IF(D464="GBP",1,SUMIFS('Ex Rates'!I:I,'Ex Rates'!K:K,'Weekly Closed Proposal Requests'!L464,'Ex Rates'!G:G,'Weekly Closed Proposal Requests'!D464))</f>
        <v>0.48053820278712156</v>
      </c>
      <c r="K464" s="13">
        <f t="shared" si="7"/>
        <v>38443.056222969724</v>
      </c>
      <c r="L464" s="13" t="str">
        <f>_xlfn.XLOOKUP(I464,'Wk no''s'!C:C,'Wk no''s'!E:E,0)</f>
        <v>Apr</v>
      </c>
    </row>
    <row r="465" spans="1:12" x14ac:dyDescent="0.25">
      <c r="A465" s="70">
        <v>45756</v>
      </c>
      <c r="B465" s="71" t="s">
        <v>735</v>
      </c>
      <c r="C465" s="71" t="s">
        <v>342</v>
      </c>
      <c r="D465" s="71" t="s">
        <v>10</v>
      </c>
      <c r="E465" s="71">
        <v>80000</v>
      </c>
      <c r="F465" s="70">
        <v>45758</v>
      </c>
      <c r="G465" s="71" t="s">
        <v>11</v>
      </c>
      <c r="H465" s="71" t="s">
        <v>50</v>
      </c>
      <c r="I465" s="13">
        <f>_xlfn.XLOOKUP(F465,'Wk no''s'!B:B,'Wk no''s'!C:C,FALSE)</f>
        <v>15</v>
      </c>
      <c r="J465" s="13">
        <f>IF(D465="GBP",1,SUMIFS('Ex Rates'!I:I,'Ex Rates'!K:K,'Weekly Closed Proposal Requests'!L465,'Ex Rates'!G:G,'Weekly Closed Proposal Requests'!D465))</f>
        <v>0.48053820278712156</v>
      </c>
      <c r="K465" s="13">
        <f t="shared" si="7"/>
        <v>38443.056222969724</v>
      </c>
      <c r="L465" s="13" t="str">
        <f>_xlfn.XLOOKUP(I465,'Wk no''s'!C:C,'Wk no''s'!E:E,0)</f>
        <v>Apr</v>
      </c>
    </row>
    <row r="466" spans="1:12" x14ac:dyDescent="0.25">
      <c r="A466" s="70">
        <v>45737</v>
      </c>
      <c r="B466" s="71" t="s">
        <v>736</v>
      </c>
      <c r="C466" s="71" t="s">
        <v>737</v>
      </c>
      <c r="D466" s="71" t="s">
        <v>15</v>
      </c>
      <c r="E466" s="71">
        <v>300000</v>
      </c>
      <c r="F466" s="70">
        <v>45758</v>
      </c>
      <c r="G466" s="71" t="s">
        <v>72</v>
      </c>
      <c r="H466" s="71" t="s">
        <v>19</v>
      </c>
      <c r="I466" s="13">
        <f>_xlfn.XLOOKUP(F466,'Wk no''s'!B:B,'Wk no''s'!C:C,FALSE)</f>
        <v>15</v>
      </c>
      <c r="J466" s="13">
        <f>IF(D466="GBP",1,SUMIFS('Ex Rates'!I:I,'Ex Rates'!K:K,'Weekly Closed Proposal Requests'!L466,'Ex Rates'!G:G,'Weekly Closed Proposal Requests'!D466))</f>
        <v>1</v>
      </c>
      <c r="K466" s="13">
        <f t="shared" si="7"/>
        <v>300000</v>
      </c>
      <c r="L466" s="13" t="str">
        <f>_xlfn.XLOOKUP(I466,'Wk no''s'!C:C,'Wk no''s'!E:E,0)</f>
        <v>Apr</v>
      </c>
    </row>
    <row r="467" spans="1:12" x14ac:dyDescent="0.25">
      <c r="A467" s="70">
        <v>45741</v>
      </c>
      <c r="B467" s="71" t="s">
        <v>738</v>
      </c>
      <c r="C467" s="71" t="s">
        <v>584</v>
      </c>
      <c r="D467" s="71" t="s">
        <v>15</v>
      </c>
      <c r="E467" s="71">
        <v>20000</v>
      </c>
      <c r="F467" s="70">
        <v>45754</v>
      </c>
      <c r="G467" s="71" t="s">
        <v>72</v>
      </c>
      <c r="H467" s="71" t="s">
        <v>19</v>
      </c>
      <c r="I467" s="13">
        <f>_xlfn.XLOOKUP(F467,'Wk no''s'!B:B,'Wk no''s'!C:C,FALSE)</f>
        <v>15</v>
      </c>
      <c r="J467" s="13">
        <f>IF(D467="GBP",1,SUMIFS('Ex Rates'!I:I,'Ex Rates'!K:K,'Weekly Closed Proposal Requests'!L467,'Ex Rates'!G:G,'Weekly Closed Proposal Requests'!D467))</f>
        <v>1</v>
      </c>
      <c r="K467" s="13">
        <f t="shared" si="7"/>
        <v>20000</v>
      </c>
      <c r="L467" s="13" t="str">
        <f>_xlfn.XLOOKUP(I467,'Wk no''s'!C:C,'Wk no''s'!E:E,0)</f>
        <v>Apr</v>
      </c>
    </row>
    <row r="468" spans="1:12" x14ac:dyDescent="0.25">
      <c r="A468" s="70">
        <v>45749</v>
      </c>
      <c r="B468" s="71" t="s">
        <v>739</v>
      </c>
      <c r="C468" s="71" t="s">
        <v>1773</v>
      </c>
      <c r="D468" s="71" t="s">
        <v>15</v>
      </c>
      <c r="E468" s="71">
        <v>200000</v>
      </c>
      <c r="F468" s="70">
        <v>45756</v>
      </c>
      <c r="G468" s="71" t="s">
        <v>72</v>
      </c>
      <c r="H468" s="71" t="s">
        <v>19</v>
      </c>
      <c r="I468" s="13">
        <f>_xlfn.XLOOKUP(F468,'Wk no''s'!B:B,'Wk no''s'!C:C,FALSE)</f>
        <v>15</v>
      </c>
      <c r="J468" s="13">
        <f>IF(D468="GBP",1,SUMIFS('Ex Rates'!I:I,'Ex Rates'!K:K,'Weekly Closed Proposal Requests'!L468,'Ex Rates'!G:G,'Weekly Closed Proposal Requests'!D468))</f>
        <v>1</v>
      </c>
      <c r="K468" s="13">
        <f t="shared" si="7"/>
        <v>200000</v>
      </c>
      <c r="L468" s="13" t="str">
        <f>_xlfn.XLOOKUP(I468,'Wk no''s'!C:C,'Wk no''s'!E:E,0)</f>
        <v>Apr</v>
      </c>
    </row>
    <row r="469" spans="1:12" x14ac:dyDescent="0.25">
      <c r="A469" s="70">
        <v>45750</v>
      </c>
      <c r="B469" s="71" t="s">
        <v>740</v>
      </c>
      <c r="C469" s="71" t="s">
        <v>352</v>
      </c>
      <c r="D469" s="71" t="s">
        <v>15</v>
      </c>
      <c r="E469" s="71">
        <v>15000</v>
      </c>
      <c r="F469" s="70">
        <v>45756</v>
      </c>
      <c r="G469" s="71" t="s">
        <v>72</v>
      </c>
      <c r="H469" s="71" t="s">
        <v>19</v>
      </c>
      <c r="I469" s="13">
        <f>_xlfn.XLOOKUP(F469,'Wk no''s'!B:B,'Wk no''s'!C:C,FALSE)</f>
        <v>15</v>
      </c>
      <c r="J469" s="13">
        <f>IF(D469="GBP",1,SUMIFS('Ex Rates'!I:I,'Ex Rates'!K:K,'Weekly Closed Proposal Requests'!L469,'Ex Rates'!G:G,'Weekly Closed Proposal Requests'!D469))</f>
        <v>1</v>
      </c>
      <c r="K469" s="13">
        <f t="shared" si="7"/>
        <v>15000</v>
      </c>
      <c r="L469" s="13" t="str">
        <f>_xlfn.XLOOKUP(I469,'Wk no''s'!C:C,'Wk no''s'!E:E,0)</f>
        <v>Apr</v>
      </c>
    </row>
    <row r="470" spans="1:12" x14ac:dyDescent="0.25">
      <c r="A470" s="70">
        <v>45750</v>
      </c>
      <c r="B470" s="71" t="s">
        <v>741</v>
      </c>
      <c r="C470" s="71" t="s">
        <v>398</v>
      </c>
      <c r="D470" s="71" t="s">
        <v>15</v>
      </c>
      <c r="E470" s="71">
        <v>200000</v>
      </c>
      <c r="F470" s="70">
        <v>45754</v>
      </c>
      <c r="G470" s="71" t="s">
        <v>72</v>
      </c>
      <c r="H470" s="71" t="s">
        <v>19</v>
      </c>
      <c r="I470" s="13">
        <f>_xlfn.XLOOKUP(F470,'Wk no''s'!B:B,'Wk no''s'!C:C,FALSE)</f>
        <v>15</v>
      </c>
      <c r="J470" s="13">
        <f>IF(D470="GBP",1,SUMIFS('Ex Rates'!I:I,'Ex Rates'!K:K,'Weekly Closed Proposal Requests'!L470,'Ex Rates'!G:G,'Weekly Closed Proposal Requests'!D470))</f>
        <v>1</v>
      </c>
      <c r="K470" s="13">
        <f t="shared" si="7"/>
        <v>200000</v>
      </c>
      <c r="L470" s="13" t="str">
        <f>_xlfn.XLOOKUP(I470,'Wk no''s'!C:C,'Wk no''s'!E:E,0)</f>
        <v>Apr</v>
      </c>
    </row>
    <row r="471" spans="1:12" x14ac:dyDescent="0.25">
      <c r="A471" s="70">
        <v>45755</v>
      </c>
      <c r="B471" s="71" t="s">
        <v>742</v>
      </c>
      <c r="C471" s="71" t="s">
        <v>743</v>
      </c>
      <c r="D471" s="71" t="s">
        <v>15</v>
      </c>
      <c r="E471" s="71">
        <v>100000</v>
      </c>
      <c r="F471" s="70">
        <v>45763</v>
      </c>
      <c r="G471" s="71" t="s">
        <v>16</v>
      </c>
      <c r="H471" s="71" t="s">
        <v>12</v>
      </c>
      <c r="I471" s="13">
        <f>_xlfn.XLOOKUP(F471,'Wk no''s'!B:B,'Wk no''s'!C:C,FALSE)</f>
        <v>16</v>
      </c>
      <c r="J471" s="13">
        <f>IF(D471="GBP",1,SUMIFS('Ex Rates'!I:I,'Ex Rates'!K:K,'Weekly Closed Proposal Requests'!L471,'Ex Rates'!G:G,'Weekly Closed Proposal Requests'!D471))</f>
        <v>1</v>
      </c>
      <c r="K471" s="13">
        <f t="shared" ref="K471:K534" si="8">+E471*J471</f>
        <v>100000</v>
      </c>
      <c r="L471" s="13" t="str">
        <f>_xlfn.XLOOKUP(I471,'Wk no''s'!C:C,'Wk no''s'!E:E,0)</f>
        <v>Apr</v>
      </c>
    </row>
    <row r="472" spans="1:12" x14ac:dyDescent="0.25">
      <c r="A472" s="70">
        <v>45756</v>
      </c>
      <c r="B472" s="71" t="s">
        <v>744</v>
      </c>
      <c r="C472" s="71" t="s">
        <v>745</v>
      </c>
      <c r="D472" s="71" t="s">
        <v>15</v>
      </c>
      <c r="E472" s="71">
        <v>8000</v>
      </c>
      <c r="F472" s="70">
        <v>45763</v>
      </c>
      <c r="G472" s="71" t="s">
        <v>16</v>
      </c>
      <c r="H472" s="71" t="s">
        <v>19</v>
      </c>
      <c r="I472" s="13">
        <f>_xlfn.XLOOKUP(F472,'Wk no''s'!B:B,'Wk no''s'!C:C,FALSE)</f>
        <v>16</v>
      </c>
      <c r="J472" s="13">
        <f>IF(D472="GBP",1,SUMIFS('Ex Rates'!I:I,'Ex Rates'!K:K,'Weekly Closed Proposal Requests'!L472,'Ex Rates'!G:G,'Weekly Closed Proposal Requests'!D472))</f>
        <v>1</v>
      </c>
      <c r="K472" s="13">
        <f t="shared" si="8"/>
        <v>8000</v>
      </c>
      <c r="L472" s="13" t="str">
        <f>_xlfn.XLOOKUP(I472,'Wk no''s'!C:C,'Wk no''s'!E:E,0)</f>
        <v>Apr</v>
      </c>
    </row>
    <row r="473" spans="1:12" x14ac:dyDescent="0.25">
      <c r="A473" s="70">
        <v>45757</v>
      </c>
      <c r="B473" s="71" t="s">
        <v>746</v>
      </c>
      <c r="C473" s="71" t="s">
        <v>651</v>
      </c>
      <c r="D473" s="71" t="s">
        <v>15</v>
      </c>
      <c r="E473" s="71">
        <v>240000</v>
      </c>
      <c r="F473" s="70">
        <v>45762</v>
      </c>
      <c r="G473" s="71" t="s">
        <v>16</v>
      </c>
      <c r="H473" s="71" t="s">
        <v>19</v>
      </c>
      <c r="I473" s="13">
        <f>_xlfn.XLOOKUP(F473,'Wk no''s'!B:B,'Wk no''s'!C:C,FALSE)</f>
        <v>16</v>
      </c>
      <c r="J473" s="13">
        <f>IF(D473="GBP",1,SUMIFS('Ex Rates'!I:I,'Ex Rates'!K:K,'Weekly Closed Proposal Requests'!L473,'Ex Rates'!G:G,'Weekly Closed Proposal Requests'!D473))</f>
        <v>1</v>
      </c>
      <c r="K473" s="13">
        <f t="shared" si="8"/>
        <v>240000</v>
      </c>
      <c r="L473" s="13" t="str">
        <f>_xlfn.XLOOKUP(I473,'Wk no''s'!C:C,'Wk no''s'!E:E,0)</f>
        <v>Apr</v>
      </c>
    </row>
    <row r="474" spans="1:12" x14ac:dyDescent="0.25">
      <c r="A474" s="70">
        <v>45758</v>
      </c>
      <c r="B474" s="71" t="s">
        <v>747</v>
      </c>
      <c r="C474" s="71" t="s">
        <v>304</v>
      </c>
      <c r="D474" s="71" t="s">
        <v>15</v>
      </c>
      <c r="E474" s="71">
        <v>40000</v>
      </c>
      <c r="F474" s="70">
        <v>45761</v>
      </c>
      <c r="G474" s="71" t="s">
        <v>16</v>
      </c>
      <c r="H474" s="71" t="s">
        <v>19</v>
      </c>
      <c r="I474" s="13">
        <f>_xlfn.XLOOKUP(F474,'Wk no''s'!B:B,'Wk no''s'!C:C,FALSE)</f>
        <v>16</v>
      </c>
      <c r="J474" s="13">
        <f>IF(D474="GBP",1,SUMIFS('Ex Rates'!I:I,'Ex Rates'!K:K,'Weekly Closed Proposal Requests'!L474,'Ex Rates'!G:G,'Weekly Closed Proposal Requests'!D474))</f>
        <v>1</v>
      </c>
      <c r="K474" s="13">
        <f t="shared" si="8"/>
        <v>40000</v>
      </c>
      <c r="L474" s="13" t="str">
        <f>_xlfn.XLOOKUP(I474,'Wk no''s'!C:C,'Wk no''s'!E:E,0)</f>
        <v>Apr</v>
      </c>
    </row>
    <row r="475" spans="1:12" x14ac:dyDescent="0.25">
      <c r="A475" s="70">
        <v>45758</v>
      </c>
      <c r="B475" s="71" t="s">
        <v>748</v>
      </c>
      <c r="C475" s="71" t="s">
        <v>651</v>
      </c>
      <c r="D475" s="71" t="s">
        <v>15</v>
      </c>
      <c r="E475" s="71">
        <v>240000</v>
      </c>
      <c r="F475" s="70">
        <v>45762</v>
      </c>
      <c r="G475" s="71" t="s">
        <v>16</v>
      </c>
      <c r="H475" s="71" t="s">
        <v>19</v>
      </c>
      <c r="I475" s="13">
        <f>_xlfn.XLOOKUP(F475,'Wk no''s'!B:B,'Wk no''s'!C:C,FALSE)</f>
        <v>16</v>
      </c>
      <c r="J475" s="13">
        <f>IF(D475="GBP",1,SUMIFS('Ex Rates'!I:I,'Ex Rates'!K:K,'Weekly Closed Proposal Requests'!L475,'Ex Rates'!G:G,'Weekly Closed Proposal Requests'!D475))</f>
        <v>1</v>
      </c>
      <c r="K475" s="13">
        <f t="shared" si="8"/>
        <v>240000</v>
      </c>
      <c r="L475" s="13" t="str">
        <f>_xlfn.XLOOKUP(I475,'Wk no''s'!C:C,'Wk no''s'!E:E,0)</f>
        <v>Apr</v>
      </c>
    </row>
    <row r="476" spans="1:12" x14ac:dyDescent="0.25">
      <c r="A476" s="70">
        <v>45760</v>
      </c>
      <c r="B476" s="71" t="s">
        <v>749</v>
      </c>
      <c r="C476" s="71" t="s">
        <v>702</v>
      </c>
      <c r="D476" s="71" t="s">
        <v>15</v>
      </c>
      <c r="E476" s="71">
        <v>20000</v>
      </c>
      <c r="F476" s="70">
        <v>45761</v>
      </c>
      <c r="G476" s="71" t="s">
        <v>16</v>
      </c>
      <c r="H476" s="71" t="s">
        <v>19</v>
      </c>
      <c r="I476" s="13">
        <f>_xlfn.XLOOKUP(F476,'Wk no''s'!B:B,'Wk no''s'!C:C,FALSE)</f>
        <v>16</v>
      </c>
      <c r="J476" s="13">
        <f>IF(D476="GBP",1,SUMIFS('Ex Rates'!I:I,'Ex Rates'!K:K,'Weekly Closed Proposal Requests'!L476,'Ex Rates'!G:G,'Weekly Closed Proposal Requests'!D476))</f>
        <v>1</v>
      </c>
      <c r="K476" s="13">
        <f t="shared" si="8"/>
        <v>20000</v>
      </c>
      <c r="L476" s="13" t="str">
        <f>_xlfn.XLOOKUP(I476,'Wk no''s'!C:C,'Wk no''s'!E:E,0)</f>
        <v>Apr</v>
      </c>
    </row>
    <row r="477" spans="1:12" x14ac:dyDescent="0.25">
      <c r="A477" s="70">
        <v>45761</v>
      </c>
      <c r="B477" s="71" t="s">
        <v>750</v>
      </c>
      <c r="C477" s="71" t="s">
        <v>751</v>
      </c>
      <c r="D477" s="71" t="s">
        <v>15</v>
      </c>
      <c r="E477" s="71">
        <v>10000</v>
      </c>
      <c r="F477" s="70">
        <v>45763</v>
      </c>
      <c r="G477" s="71" t="s">
        <v>16</v>
      </c>
      <c r="H477" s="71" t="s">
        <v>19</v>
      </c>
      <c r="I477" s="13">
        <f>_xlfn.XLOOKUP(F477,'Wk no''s'!B:B,'Wk no''s'!C:C,FALSE)</f>
        <v>16</v>
      </c>
      <c r="J477" s="13">
        <f>IF(D477="GBP",1,SUMIFS('Ex Rates'!I:I,'Ex Rates'!K:K,'Weekly Closed Proposal Requests'!L477,'Ex Rates'!G:G,'Weekly Closed Proposal Requests'!D477))</f>
        <v>1</v>
      </c>
      <c r="K477" s="13">
        <f t="shared" si="8"/>
        <v>10000</v>
      </c>
      <c r="L477" s="13" t="str">
        <f>_xlfn.XLOOKUP(I477,'Wk no''s'!C:C,'Wk no''s'!E:E,0)</f>
        <v>Apr</v>
      </c>
    </row>
    <row r="478" spans="1:12" x14ac:dyDescent="0.25">
      <c r="A478" s="70">
        <v>45762</v>
      </c>
      <c r="B478" s="71" t="s">
        <v>752</v>
      </c>
      <c r="C478" s="71" t="s">
        <v>753</v>
      </c>
      <c r="D478" s="71" t="s">
        <v>15</v>
      </c>
      <c r="E478" s="71">
        <v>10000</v>
      </c>
      <c r="F478" s="70">
        <v>45763</v>
      </c>
      <c r="G478" s="71" t="s">
        <v>16</v>
      </c>
      <c r="H478" s="71" t="s">
        <v>19</v>
      </c>
      <c r="I478" s="13">
        <f>_xlfn.XLOOKUP(F478,'Wk no''s'!B:B,'Wk no''s'!C:C,FALSE)</f>
        <v>16</v>
      </c>
      <c r="J478" s="13">
        <f>IF(D478="GBP",1,SUMIFS('Ex Rates'!I:I,'Ex Rates'!K:K,'Weekly Closed Proposal Requests'!L478,'Ex Rates'!G:G,'Weekly Closed Proposal Requests'!D478))</f>
        <v>1</v>
      </c>
      <c r="K478" s="13">
        <f t="shared" si="8"/>
        <v>10000</v>
      </c>
      <c r="L478" s="13" t="str">
        <f>_xlfn.XLOOKUP(I478,'Wk no''s'!C:C,'Wk no''s'!E:E,0)</f>
        <v>Apr</v>
      </c>
    </row>
    <row r="479" spans="1:12" x14ac:dyDescent="0.25">
      <c r="A479" s="70">
        <v>45764</v>
      </c>
      <c r="B479" s="71" t="s">
        <v>754</v>
      </c>
      <c r="C479" s="71" t="s">
        <v>651</v>
      </c>
      <c r="D479" s="71" t="s">
        <v>15</v>
      </c>
      <c r="E479" s="71">
        <v>240000</v>
      </c>
      <c r="F479" s="70">
        <v>45764</v>
      </c>
      <c r="G479" s="71" t="s">
        <v>16</v>
      </c>
      <c r="H479" s="71" t="s">
        <v>19</v>
      </c>
      <c r="I479" s="13">
        <f>_xlfn.XLOOKUP(F479,'Wk no''s'!B:B,'Wk no''s'!C:C,FALSE)</f>
        <v>16</v>
      </c>
      <c r="J479" s="13">
        <f>IF(D479="GBP",1,SUMIFS('Ex Rates'!I:I,'Ex Rates'!K:K,'Weekly Closed Proposal Requests'!L479,'Ex Rates'!G:G,'Weekly Closed Proposal Requests'!D479))</f>
        <v>1</v>
      </c>
      <c r="K479" s="13">
        <f t="shared" si="8"/>
        <v>240000</v>
      </c>
      <c r="L479" s="13" t="str">
        <f>_xlfn.XLOOKUP(I479,'Wk no''s'!C:C,'Wk no''s'!E:E,0)</f>
        <v>Apr</v>
      </c>
    </row>
    <row r="480" spans="1:12" x14ac:dyDescent="0.25">
      <c r="A480" s="70">
        <v>45751</v>
      </c>
      <c r="B480" s="71" t="s">
        <v>755</v>
      </c>
      <c r="C480" s="71" t="s">
        <v>756</v>
      </c>
      <c r="D480" s="71" t="s">
        <v>15</v>
      </c>
      <c r="E480" s="71">
        <v>500000</v>
      </c>
      <c r="F480" s="70">
        <v>45761</v>
      </c>
      <c r="G480" s="71" t="s">
        <v>16</v>
      </c>
      <c r="H480" s="71" t="s">
        <v>50</v>
      </c>
      <c r="I480" s="13">
        <f>_xlfn.XLOOKUP(F480,'Wk no''s'!B:B,'Wk no''s'!C:C,FALSE)</f>
        <v>16</v>
      </c>
      <c r="J480" s="13">
        <f>IF(D480="GBP",1,SUMIFS('Ex Rates'!I:I,'Ex Rates'!K:K,'Weekly Closed Proposal Requests'!L480,'Ex Rates'!G:G,'Weekly Closed Proposal Requests'!D480))</f>
        <v>1</v>
      </c>
      <c r="K480" s="13">
        <f t="shared" si="8"/>
        <v>500000</v>
      </c>
      <c r="L480" s="13" t="str">
        <f>_xlfn.XLOOKUP(I480,'Wk no''s'!C:C,'Wk no''s'!E:E,0)</f>
        <v>Apr</v>
      </c>
    </row>
    <row r="481" spans="1:12" x14ac:dyDescent="0.25">
      <c r="A481" s="70">
        <v>45751</v>
      </c>
      <c r="B481" s="71" t="s">
        <v>757</v>
      </c>
      <c r="C481" s="71" t="s">
        <v>494</v>
      </c>
      <c r="D481" s="71" t="s">
        <v>15</v>
      </c>
      <c r="E481" s="71">
        <v>150000</v>
      </c>
      <c r="F481" s="70">
        <v>45763</v>
      </c>
      <c r="G481" s="71" t="s">
        <v>16</v>
      </c>
      <c r="H481" s="71" t="s">
        <v>50</v>
      </c>
      <c r="I481" s="13">
        <f>_xlfn.XLOOKUP(F481,'Wk no''s'!B:B,'Wk no''s'!C:C,FALSE)</f>
        <v>16</v>
      </c>
      <c r="J481" s="13">
        <f>IF(D481="GBP",1,SUMIFS('Ex Rates'!I:I,'Ex Rates'!K:K,'Weekly Closed Proposal Requests'!L481,'Ex Rates'!G:G,'Weekly Closed Proposal Requests'!D481))</f>
        <v>1</v>
      </c>
      <c r="K481" s="13">
        <f t="shared" si="8"/>
        <v>150000</v>
      </c>
      <c r="L481" s="13" t="str">
        <f>_xlfn.XLOOKUP(I481,'Wk no''s'!C:C,'Wk no''s'!E:E,0)</f>
        <v>Apr</v>
      </c>
    </row>
    <row r="482" spans="1:12" x14ac:dyDescent="0.25">
      <c r="A482" s="70">
        <v>45736</v>
      </c>
      <c r="B482" s="71" t="s">
        <v>758</v>
      </c>
      <c r="C482" s="71" t="s">
        <v>508</v>
      </c>
      <c r="D482" s="71" t="s">
        <v>15</v>
      </c>
      <c r="E482" s="71">
        <v>164220</v>
      </c>
      <c r="F482" s="70">
        <v>45765</v>
      </c>
      <c r="G482" s="71" t="s">
        <v>47</v>
      </c>
      <c r="H482" s="71" t="s">
        <v>50</v>
      </c>
      <c r="I482" s="13">
        <f>_xlfn.XLOOKUP(F482,'Wk no''s'!B:B,'Wk no''s'!C:C,FALSE)</f>
        <v>16</v>
      </c>
      <c r="J482" s="13">
        <f>IF(D482="GBP",1,SUMIFS('Ex Rates'!I:I,'Ex Rates'!K:K,'Weekly Closed Proposal Requests'!L482,'Ex Rates'!G:G,'Weekly Closed Proposal Requests'!D482))</f>
        <v>1</v>
      </c>
      <c r="K482" s="13">
        <f t="shared" si="8"/>
        <v>164220</v>
      </c>
      <c r="L482" s="13" t="str">
        <f>_xlfn.XLOOKUP(I482,'Wk no''s'!C:C,'Wk no''s'!E:E,0)</f>
        <v>Apr</v>
      </c>
    </row>
    <row r="483" spans="1:12" x14ac:dyDescent="0.25">
      <c r="A483" s="70">
        <v>45757</v>
      </c>
      <c r="B483" s="71" t="s">
        <v>759</v>
      </c>
      <c r="C483" s="71" t="s">
        <v>171</v>
      </c>
      <c r="D483" s="71" t="s">
        <v>15</v>
      </c>
      <c r="E483" s="71">
        <v>29187.08</v>
      </c>
      <c r="F483" s="70">
        <v>45761</v>
      </c>
      <c r="G483" s="71" t="s">
        <v>47</v>
      </c>
      <c r="H483" s="71" t="s">
        <v>50</v>
      </c>
      <c r="I483" s="13">
        <f>_xlfn.XLOOKUP(F483,'Wk no''s'!B:B,'Wk no''s'!C:C,FALSE)</f>
        <v>16</v>
      </c>
      <c r="J483" s="13">
        <f>IF(D483="GBP",1,SUMIFS('Ex Rates'!I:I,'Ex Rates'!K:K,'Weekly Closed Proposal Requests'!L483,'Ex Rates'!G:G,'Weekly Closed Proposal Requests'!D483))</f>
        <v>1</v>
      </c>
      <c r="K483" s="13">
        <f t="shared" si="8"/>
        <v>29187.08</v>
      </c>
      <c r="L483" s="13" t="str">
        <f>_xlfn.XLOOKUP(I483,'Wk no''s'!C:C,'Wk no''s'!E:E,0)</f>
        <v>Apr</v>
      </c>
    </row>
    <row r="484" spans="1:12" x14ac:dyDescent="0.25">
      <c r="A484" s="70">
        <v>45757</v>
      </c>
      <c r="B484" s="71" t="s">
        <v>760</v>
      </c>
      <c r="C484" s="71" t="s">
        <v>255</v>
      </c>
      <c r="D484" s="71" t="s">
        <v>46</v>
      </c>
      <c r="E484" s="71">
        <v>55000</v>
      </c>
      <c r="F484" s="70">
        <v>45763</v>
      </c>
      <c r="G484" s="71" t="s">
        <v>47</v>
      </c>
      <c r="H484" s="71" t="s">
        <v>50</v>
      </c>
      <c r="I484" s="13">
        <f>_xlfn.XLOOKUP(F484,'Wk no''s'!B:B,'Wk no''s'!C:C,FALSE)</f>
        <v>16</v>
      </c>
      <c r="J484" s="13">
        <f>IF(D484="GBP",1,SUMIFS('Ex Rates'!I:I,'Ex Rates'!K:K,'Weekly Closed Proposal Requests'!L484,'Ex Rates'!G:G,'Weekly Closed Proposal Requests'!D484))</f>
        <v>0.75018754688672173</v>
      </c>
      <c r="K484" s="13">
        <f t="shared" si="8"/>
        <v>41260.315078769694</v>
      </c>
      <c r="L484" s="13" t="str">
        <f>_xlfn.XLOOKUP(I484,'Wk no''s'!C:C,'Wk no''s'!E:E,0)</f>
        <v>Apr</v>
      </c>
    </row>
    <row r="485" spans="1:12" x14ac:dyDescent="0.25">
      <c r="A485" s="70">
        <v>45761</v>
      </c>
      <c r="B485" s="71" t="s">
        <v>761</v>
      </c>
      <c r="C485" s="71" t="s">
        <v>332</v>
      </c>
      <c r="D485" s="71" t="s">
        <v>46</v>
      </c>
      <c r="E485" s="71">
        <v>400000</v>
      </c>
      <c r="F485" s="70">
        <v>45764</v>
      </c>
      <c r="G485" s="71" t="s">
        <v>47</v>
      </c>
      <c r="H485" s="71" t="s">
        <v>50</v>
      </c>
      <c r="I485" s="13">
        <f>_xlfn.XLOOKUP(F485,'Wk no''s'!B:B,'Wk no''s'!C:C,FALSE)</f>
        <v>16</v>
      </c>
      <c r="J485" s="13">
        <f>IF(D485="GBP",1,SUMIFS('Ex Rates'!I:I,'Ex Rates'!K:K,'Weekly Closed Proposal Requests'!L485,'Ex Rates'!G:G,'Weekly Closed Proposal Requests'!D485))</f>
        <v>0.75018754688672173</v>
      </c>
      <c r="K485" s="13">
        <f t="shared" si="8"/>
        <v>300075.01875468867</v>
      </c>
      <c r="L485" s="13" t="str">
        <f>_xlfn.XLOOKUP(I485,'Wk no''s'!C:C,'Wk no''s'!E:E,0)</f>
        <v>Apr</v>
      </c>
    </row>
    <row r="486" spans="1:12" x14ac:dyDescent="0.25">
      <c r="A486" s="70">
        <v>45762</v>
      </c>
      <c r="B486" s="71" t="s">
        <v>762</v>
      </c>
      <c r="C486" s="71" t="s">
        <v>384</v>
      </c>
      <c r="D486" s="71" t="s">
        <v>15</v>
      </c>
      <c r="E486" s="71">
        <v>170000</v>
      </c>
      <c r="F486" s="70">
        <v>45764</v>
      </c>
      <c r="G486" s="71" t="s">
        <v>47</v>
      </c>
      <c r="H486" s="71" t="s">
        <v>50</v>
      </c>
      <c r="I486" s="13">
        <f>_xlfn.XLOOKUP(F486,'Wk no''s'!B:B,'Wk no''s'!C:C,FALSE)</f>
        <v>16</v>
      </c>
      <c r="J486" s="13">
        <f>IF(D486="GBP",1,SUMIFS('Ex Rates'!I:I,'Ex Rates'!K:K,'Weekly Closed Proposal Requests'!L486,'Ex Rates'!G:G,'Weekly Closed Proposal Requests'!D486))</f>
        <v>1</v>
      </c>
      <c r="K486" s="13">
        <f t="shared" si="8"/>
        <v>170000</v>
      </c>
      <c r="L486" s="13" t="str">
        <f>_xlfn.XLOOKUP(I486,'Wk no''s'!C:C,'Wk no''s'!E:E,0)</f>
        <v>Apr</v>
      </c>
    </row>
    <row r="487" spans="1:12" x14ac:dyDescent="0.25">
      <c r="A487" s="70">
        <v>45764</v>
      </c>
      <c r="B487" s="71" t="s">
        <v>763</v>
      </c>
      <c r="C487" s="71" t="s">
        <v>612</v>
      </c>
      <c r="D487" s="71" t="s">
        <v>15</v>
      </c>
      <c r="E487" s="71">
        <v>12000</v>
      </c>
      <c r="F487" s="70">
        <v>45764</v>
      </c>
      <c r="G487" s="71" t="s">
        <v>47</v>
      </c>
      <c r="H487" s="71" t="s">
        <v>50</v>
      </c>
      <c r="I487" s="13">
        <f>_xlfn.XLOOKUP(F487,'Wk no''s'!B:B,'Wk no''s'!C:C,FALSE)</f>
        <v>16</v>
      </c>
      <c r="J487" s="13">
        <f>IF(D487="GBP",1,SUMIFS('Ex Rates'!I:I,'Ex Rates'!K:K,'Weekly Closed Proposal Requests'!L487,'Ex Rates'!G:G,'Weekly Closed Proposal Requests'!D487))</f>
        <v>1</v>
      </c>
      <c r="K487" s="13">
        <f t="shared" si="8"/>
        <v>12000</v>
      </c>
      <c r="L487" s="13" t="str">
        <f>_xlfn.XLOOKUP(I487,'Wk no''s'!C:C,'Wk no''s'!E:E,0)</f>
        <v>Apr</v>
      </c>
    </row>
    <row r="488" spans="1:12" x14ac:dyDescent="0.25">
      <c r="A488" s="70">
        <v>45765</v>
      </c>
      <c r="B488" s="71" t="s">
        <v>764</v>
      </c>
      <c r="C488" s="71" t="s">
        <v>211</v>
      </c>
      <c r="D488" s="71" t="s">
        <v>15</v>
      </c>
      <c r="E488" s="71">
        <v>575353</v>
      </c>
      <c r="F488" s="70">
        <v>45765</v>
      </c>
      <c r="G488" s="71" t="s">
        <v>47</v>
      </c>
      <c r="H488" s="71" t="s">
        <v>50</v>
      </c>
      <c r="I488" s="13">
        <f>_xlfn.XLOOKUP(F488,'Wk no''s'!B:B,'Wk no''s'!C:C,FALSE)</f>
        <v>16</v>
      </c>
      <c r="J488" s="13">
        <f>IF(D488="GBP",1,SUMIFS('Ex Rates'!I:I,'Ex Rates'!K:K,'Weekly Closed Proposal Requests'!L488,'Ex Rates'!G:G,'Weekly Closed Proposal Requests'!D488))</f>
        <v>1</v>
      </c>
      <c r="K488" s="13">
        <f t="shared" si="8"/>
        <v>575353</v>
      </c>
      <c r="L488" s="13" t="str">
        <f>_xlfn.XLOOKUP(I488,'Wk no''s'!C:C,'Wk no''s'!E:E,0)</f>
        <v>Apr</v>
      </c>
    </row>
    <row r="489" spans="1:12" x14ac:dyDescent="0.25">
      <c r="A489" s="70">
        <v>45754</v>
      </c>
      <c r="B489" s="71" t="s">
        <v>765</v>
      </c>
      <c r="C489" s="71" t="s">
        <v>525</v>
      </c>
      <c r="D489" s="71" t="s">
        <v>10</v>
      </c>
      <c r="E489" s="71">
        <v>50000</v>
      </c>
      <c r="F489" s="70">
        <v>45761</v>
      </c>
      <c r="G489" s="71" t="s">
        <v>11</v>
      </c>
      <c r="H489" s="71" t="s">
        <v>50</v>
      </c>
      <c r="I489" s="13">
        <f>_xlfn.XLOOKUP(F489,'Wk no''s'!B:B,'Wk no''s'!C:C,FALSE)</f>
        <v>16</v>
      </c>
      <c r="J489" s="13">
        <f>IF(D489="GBP",1,SUMIFS('Ex Rates'!I:I,'Ex Rates'!K:K,'Weekly Closed Proposal Requests'!L489,'Ex Rates'!G:G,'Weekly Closed Proposal Requests'!D489))</f>
        <v>0.48053820278712156</v>
      </c>
      <c r="K489" s="13">
        <f t="shared" si="8"/>
        <v>24026.910139356078</v>
      </c>
      <c r="L489" s="13" t="str">
        <f>_xlfn.XLOOKUP(I489,'Wk no''s'!C:C,'Wk no''s'!E:E,0)</f>
        <v>Apr</v>
      </c>
    </row>
    <row r="490" spans="1:12" x14ac:dyDescent="0.25">
      <c r="A490" s="70">
        <v>45762</v>
      </c>
      <c r="B490" s="71" t="s">
        <v>766</v>
      </c>
      <c r="C490" s="71" t="s">
        <v>767</v>
      </c>
      <c r="D490" s="71" t="s">
        <v>15</v>
      </c>
      <c r="E490" s="71">
        <v>400000</v>
      </c>
      <c r="F490" s="70">
        <v>45764</v>
      </c>
      <c r="G490" s="71" t="s">
        <v>72</v>
      </c>
      <c r="H490" s="71" t="s">
        <v>19</v>
      </c>
      <c r="I490" s="13">
        <f>_xlfn.XLOOKUP(F490,'Wk no''s'!B:B,'Wk no''s'!C:C,FALSE)</f>
        <v>16</v>
      </c>
      <c r="J490" s="13">
        <f>IF(D490="GBP",1,SUMIFS('Ex Rates'!I:I,'Ex Rates'!K:K,'Weekly Closed Proposal Requests'!L490,'Ex Rates'!G:G,'Weekly Closed Proposal Requests'!D490))</f>
        <v>1</v>
      </c>
      <c r="K490" s="13">
        <f t="shared" si="8"/>
        <v>400000</v>
      </c>
      <c r="L490" s="13" t="str">
        <f>_xlfn.XLOOKUP(I490,'Wk no''s'!C:C,'Wk no''s'!E:E,0)</f>
        <v>Apr</v>
      </c>
    </row>
    <row r="491" spans="1:12" x14ac:dyDescent="0.25">
      <c r="A491" s="70">
        <v>45764</v>
      </c>
      <c r="B491" s="71" t="s">
        <v>768</v>
      </c>
      <c r="C491" s="71" t="s">
        <v>769</v>
      </c>
      <c r="D491" s="71" t="s">
        <v>15</v>
      </c>
      <c r="E491" s="71">
        <v>20000</v>
      </c>
      <c r="F491" s="70">
        <v>45772</v>
      </c>
      <c r="G491" s="71" t="s">
        <v>16</v>
      </c>
      <c r="H491" s="71" t="s">
        <v>281</v>
      </c>
      <c r="I491" s="13">
        <f>_xlfn.XLOOKUP(F491,'Wk no''s'!B:B,'Wk no''s'!C:C,FALSE)</f>
        <v>17</v>
      </c>
      <c r="J491" s="13">
        <f>IF(D491="GBP",1,SUMIFS('Ex Rates'!I:I,'Ex Rates'!K:K,'Weekly Closed Proposal Requests'!L491,'Ex Rates'!G:G,'Weekly Closed Proposal Requests'!D491))</f>
        <v>1</v>
      </c>
      <c r="K491" s="13">
        <f t="shared" si="8"/>
        <v>20000</v>
      </c>
      <c r="L491" s="13" t="str">
        <f>_xlfn.XLOOKUP(I491,'Wk no''s'!C:C,'Wk no''s'!E:E,0)</f>
        <v>Apr</v>
      </c>
    </row>
    <row r="492" spans="1:12" x14ac:dyDescent="0.25">
      <c r="A492" s="70">
        <v>45770</v>
      </c>
      <c r="B492" s="71" t="s">
        <v>770</v>
      </c>
      <c r="C492" s="71" t="s">
        <v>700</v>
      </c>
      <c r="D492" s="71" t="s">
        <v>15</v>
      </c>
      <c r="E492" s="71">
        <v>4000</v>
      </c>
      <c r="F492" s="70">
        <v>45772</v>
      </c>
      <c r="G492" s="71" t="s">
        <v>16</v>
      </c>
      <c r="H492" s="71" t="s">
        <v>281</v>
      </c>
      <c r="I492" s="13">
        <f>_xlfn.XLOOKUP(F492,'Wk no''s'!B:B,'Wk no''s'!C:C,FALSE)</f>
        <v>17</v>
      </c>
      <c r="J492" s="13">
        <f>IF(D492="GBP",1,SUMIFS('Ex Rates'!I:I,'Ex Rates'!K:K,'Weekly Closed Proposal Requests'!L492,'Ex Rates'!G:G,'Weekly Closed Proposal Requests'!D492))</f>
        <v>1</v>
      </c>
      <c r="K492" s="13">
        <f t="shared" si="8"/>
        <v>4000</v>
      </c>
      <c r="L492" s="13" t="str">
        <f>_xlfn.XLOOKUP(I492,'Wk no''s'!C:C,'Wk no''s'!E:E,0)</f>
        <v>Apr</v>
      </c>
    </row>
    <row r="493" spans="1:12" x14ac:dyDescent="0.25">
      <c r="A493" s="70">
        <v>45753</v>
      </c>
      <c r="B493" s="71" t="s">
        <v>771</v>
      </c>
      <c r="C493" s="71" t="s">
        <v>772</v>
      </c>
      <c r="D493" s="71" t="s">
        <v>15</v>
      </c>
      <c r="E493" s="71">
        <v>400000</v>
      </c>
      <c r="F493" s="70">
        <v>45769</v>
      </c>
      <c r="G493" s="71" t="s">
        <v>16</v>
      </c>
      <c r="H493" s="71" t="s">
        <v>19</v>
      </c>
      <c r="I493" s="13">
        <f>_xlfn.XLOOKUP(F493,'Wk no''s'!B:B,'Wk no''s'!C:C,FALSE)</f>
        <v>17</v>
      </c>
      <c r="J493" s="13">
        <f>IF(D493="GBP",1,SUMIFS('Ex Rates'!I:I,'Ex Rates'!K:K,'Weekly Closed Proposal Requests'!L493,'Ex Rates'!G:G,'Weekly Closed Proposal Requests'!D493))</f>
        <v>1</v>
      </c>
      <c r="K493" s="13">
        <f t="shared" si="8"/>
        <v>400000</v>
      </c>
      <c r="L493" s="13" t="str">
        <f>_xlfn.XLOOKUP(I493,'Wk no''s'!C:C,'Wk no''s'!E:E,0)</f>
        <v>Apr</v>
      </c>
    </row>
    <row r="494" spans="1:12" x14ac:dyDescent="0.25">
      <c r="A494" s="70">
        <v>45753</v>
      </c>
      <c r="B494" s="71" t="s">
        <v>773</v>
      </c>
      <c r="C494" s="71" t="s">
        <v>774</v>
      </c>
      <c r="D494" s="71" t="s">
        <v>15</v>
      </c>
      <c r="E494" s="71">
        <v>50000</v>
      </c>
      <c r="F494" s="70">
        <v>45770</v>
      </c>
      <c r="G494" s="71" t="s">
        <v>16</v>
      </c>
      <c r="H494" s="71" t="s">
        <v>19</v>
      </c>
      <c r="I494" s="13">
        <f>_xlfn.XLOOKUP(F494,'Wk no''s'!B:B,'Wk no''s'!C:C,FALSE)</f>
        <v>17</v>
      </c>
      <c r="J494" s="13">
        <f>IF(D494="GBP",1,SUMIFS('Ex Rates'!I:I,'Ex Rates'!K:K,'Weekly Closed Proposal Requests'!L494,'Ex Rates'!G:G,'Weekly Closed Proposal Requests'!D494))</f>
        <v>1</v>
      </c>
      <c r="K494" s="13">
        <f t="shared" si="8"/>
        <v>50000</v>
      </c>
      <c r="L494" s="13" t="str">
        <f>_xlfn.XLOOKUP(I494,'Wk no''s'!C:C,'Wk no''s'!E:E,0)</f>
        <v>Apr</v>
      </c>
    </row>
    <row r="495" spans="1:12" x14ac:dyDescent="0.25">
      <c r="A495" s="70">
        <v>45761</v>
      </c>
      <c r="B495" s="71" t="s">
        <v>775</v>
      </c>
      <c r="C495" s="71" t="s">
        <v>454</v>
      </c>
      <c r="D495" s="71" t="s">
        <v>15</v>
      </c>
      <c r="E495" s="71">
        <v>150000</v>
      </c>
      <c r="F495" s="70">
        <v>45772</v>
      </c>
      <c r="G495" s="71" t="s">
        <v>16</v>
      </c>
      <c r="H495" s="71" t="s">
        <v>19</v>
      </c>
      <c r="I495" s="13">
        <f>_xlfn.XLOOKUP(F495,'Wk no''s'!B:B,'Wk no''s'!C:C,FALSE)</f>
        <v>17</v>
      </c>
      <c r="J495" s="13">
        <f>IF(D495="GBP",1,SUMIFS('Ex Rates'!I:I,'Ex Rates'!K:K,'Weekly Closed Proposal Requests'!L495,'Ex Rates'!G:G,'Weekly Closed Proposal Requests'!D495))</f>
        <v>1</v>
      </c>
      <c r="K495" s="13">
        <f t="shared" si="8"/>
        <v>150000</v>
      </c>
      <c r="L495" s="13" t="str">
        <f>_xlfn.XLOOKUP(I495,'Wk no''s'!C:C,'Wk no''s'!E:E,0)</f>
        <v>Apr</v>
      </c>
    </row>
    <row r="496" spans="1:12" x14ac:dyDescent="0.25">
      <c r="A496" s="70">
        <v>45763</v>
      </c>
      <c r="B496" s="71" t="s">
        <v>776</v>
      </c>
      <c r="C496" s="71" t="s">
        <v>777</v>
      </c>
      <c r="D496" s="71" t="s">
        <v>15</v>
      </c>
      <c r="E496" s="71">
        <v>100000</v>
      </c>
      <c r="F496" s="70">
        <v>45770</v>
      </c>
      <c r="G496" s="71" t="s">
        <v>16</v>
      </c>
      <c r="H496" s="71" t="s">
        <v>19</v>
      </c>
      <c r="I496" s="13">
        <f>_xlfn.XLOOKUP(F496,'Wk no''s'!B:B,'Wk no''s'!C:C,FALSE)</f>
        <v>17</v>
      </c>
      <c r="J496" s="13">
        <f>IF(D496="GBP",1,SUMIFS('Ex Rates'!I:I,'Ex Rates'!K:K,'Weekly Closed Proposal Requests'!L496,'Ex Rates'!G:G,'Weekly Closed Proposal Requests'!D496))</f>
        <v>1</v>
      </c>
      <c r="K496" s="13">
        <f t="shared" si="8"/>
        <v>100000</v>
      </c>
      <c r="L496" s="13" t="str">
        <f>_xlfn.XLOOKUP(I496,'Wk no''s'!C:C,'Wk no''s'!E:E,0)</f>
        <v>Apr</v>
      </c>
    </row>
    <row r="497" spans="1:12" x14ac:dyDescent="0.25">
      <c r="A497" s="70">
        <v>45769</v>
      </c>
      <c r="B497" s="71" t="s">
        <v>778</v>
      </c>
      <c r="C497" s="71" t="s">
        <v>743</v>
      </c>
      <c r="D497" s="71" t="s">
        <v>15</v>
      </c>
      <c r="E497" s="71">
        <v>150000</v>
      </c>
      <c r="F497" s="70">
        <v>45772</v>
      </c>
      <c r="G497" s="71" t="s">
        <v>16</v>
      </c>
      <c r="H497" s="71" t="s">
        <v>19</v>
      </c>
      <c r="I497" s="13">
        <f>_xlfn.XLOOKUP(F497,'Wk no''s'!B:B,'Wk no''s'!C:C,FALSE)</f>
        <v>17</v>
      </c>
      <c r="J497" s="13">
        <f>IF(D497="GBP",1,SUMIFS('Ex Rates'!I:I,'Ex Rates'!K:K,'Weekly Closed Proposal Requests'!L497,'Ex Rates'!G:G,'Weekly Closed Proposal Requests'!D497))</f>
        <v>1</v>
      </c>
      <c r="K497" s="13">
        <f t="shared" si="8"/>
        <v>150000</v>
      </c>
      <c r="L497" s="13" t="str">
        <f>_xlfn.XLOOKUP(I497,'Wk no''s'!C:C,'Wk no''s'!E:E,0)</f>
        <v>Apr</v>
      </c>
    </row>
    <row r="498" spans="1:12" x14ac:dyDescent="0.25">
      <c r="A498" s="70">
        <v>45769</v>
      </c>
      <c r="B498" s="71" t="s">
        <v>779</v>
      </c>
      <c r="C498" s="71" t="s">
        <v>780</v>
      </c>
      <c r="D498" s="71" t="s">
        <v>15</v>
      </c>
      <c r="E498" s="71">
        <v>30000</v>
      </c>
      <c r="F498" s="70">
        <v>45772</v>
      </c>
      <c r="G498" s="71" t="s">
        <v>16</v>
      </c>
      <c r="H498" s="71" t="s">
        <v>19</v>
      </c>
      <c r="I498" s="13">
        <f>_xlfn.XLOOKUP(F498,'Wk no''s'!B:B,'Wk no''s'!C:C,FALSE)</f>
        <v>17</v>
      </c>
      <c r="J498" s="13">
        <f>IF(D498="GBP",1,SUMIFS('Ex Rates'!I:I,'Ex Rates'!K:K,'Weekly Closed Proposal Requests'!L498,'Ex Rates'!G:G,'Weekly Closed Proposal Requests'!D498))</f>
        <v>1</v>
      </c>
      <c r="K498" s="13">
        <f t="shared" si="8"/>
        <v>30000</v>
      </c>
      <c r="L498" s="13" t="str">
        <f>_xlfn.XLOOKUP(I498,'Wk no''s'!C:C,'Wk no''s'!E:E,0)</f>
        <v>Apr</v>
      </c>
    </row>
    <row r="499" spans="1:12" x14ac:dyDescent="0.25">
      <c r="A499" s="70">
        <v>45771</v>
      </c>
      <c r="B499" s="71" t="s">
        <v>781</v>
      </c>
      <c r="C499" s="71" t="s">
        <v>712</v>
      </c>
      <c r="D499" s="71" t="s">
        <v>15</v>
      </c>
      <c r="E499" s="71">
        <v>30000</v>
      </c>
      <c r="F499" s="70">
        <v>45772</v>
      </c>
      <c r="G499" s="71" t="s">
        <v>16</v>
      </c>
      <c r="H499" s="71" t="s">
        <v>19</v>
      </c>
      <c r="I499" s="13">
        <f>_xlfn.XLOOKUP(F499,'Wk no''s'!B:B,'Wk no''s'!C:C,FALSE)</f>
        <v>17</v>
      </c>
      <c r="J499" s="13">
        <f>IF(D499="GBP",1,SUMIFS('Ex Rates'!I:I,'Ex Rates'!K:K,'Weekly Closed Proposal Requests'!L499,'Ex Rates'!G:G,'Weekly Closed Proposal Requests'!D499))</f>
        <v>1</v>
      </c>
      <c r="K499" s="13">
        <f t="shared" si="8"/>
        <v>30000</v>
      </c>
      <c r="L499" s="13" t="str">
        <f>_xlfn.XLOOKUP(I499,'Wk no''s'!C:C,'Wk no''s'!E:E,0)</f>
        <v>Apr</v>
      </c>
    </row>
    <row r="500" spans="1:12" x14ac:dyDescent="0.25">
      <c r="A500" s="70">
        <v>45747</v>
      </c>
      <c r="B500" s="71" t="s">
        <v>782</v>
      </c>
      <c r="C500" s="71" t="s">
        <v>1061</v>
      </c>
      <c r="D500" s="71" t="s">
        <v>46</v>
      </c>
      <c r="E500" s="71">
        <v>100000</v>
      </c>
      <c r="F500" s="70">
        <v>45772</v>
      </c>
      <c r="G500" s="71" t="s">
        <v>47</v>
      </c>
      <c r="H500" s="71" t="s">
        <v>50</v>
      </c>
      <c r="I500" s="13">
        <f>_xlfn.XLOOKUP(F500,'Wk no''s'!B:B,'Wk no''s'!C:C,FALSE)</f>
        <v>17</v>
      </c>
      <c r="J500" s="13">
        <f>IF(D500="GBP",1,SUMIFS('Ex Rates'!I:I,'Ex Rates'!K:K,'Weekly Closed Proposal Requests'!L500,'Ex Rates'!G:G,'Weekly Closed Proposal Requests'!D500))</f>
        <v>0.75018754688672173</v>
      </c>
      <c r="K500" s="13">
        <f t="shared" si="8"/>
        <v>75018.754688672168</v>
      </c>
      <c r="L500" s="13" t="str">
        <f>_xlfn.XLOOKUP(I500,'Wk no''s'!C:C,'Wk no''s'!E:E,0)</f>
        <v>Apr</v>
      </c>
    </row>
    <row r="501" spans="1:12" x14ac:dyDescent="0.25">
      <c r="A501" s="70">
        <v>45757</v>
      </c>
      <c r="B501" s="71" t="s">
        <v>783</v>
      </c>
      <c r="C501" s="71" t="s">
        <v>418</v>
      </c>
      <c r="D501" s="71" t="s">
        <v>15</v>
      </c>
      <c r="E501" s="71">
        <v>364483.92</v>
      </c>
      <c r="F501" s="70">
        <v>45770</v>
      </c>
      <c r="G501" s="71" t="s">
        <v>47</v>
      </c>
      <c r="H501" s="71" t="s">
        <v>50</v>
      </c>
      <c r="I501" s="13">
        <f>_xlfn.XLOOKUP(F501,'Wk no''s'!B:B,'Wk no''s'!C:C,FALSE)</f>
        <v>17</v>
      </c>
      <c r="J501" s="13">
        <f>IF(D501="GBP",1,SUMIFS('Ex Rates'!I:I,'Ex Rates'!K:K,'Weekly Closed Proposal Requests'!L501,'Ex Rates'!G:G,'Weekly Closed Proposal Requests'!D501))</f>
        <v>1</v>
      </c>
      <c r="K501" s="13">
        <f t="shared" si="8"/>
        <v>364483.92</v>
      </c>
      <c r="L501" s="13" t="str">
        <f>_xlfn.XLOOKUP(I501,'Wk no''s'!C:C,'Wk no''s'!E:E,0)</f>
        <v>Apr</v>
      </c>
    </row>
    <row r="502" spans="1:12" x14ac:dyDescent="0.25">
      <c r="A502" s="70">
        <v>45768</v>
      </c>
      <c r="B502" s="71" t="s">
        <v>784</v>
      </c>
      <c r="C502" s="71" t="s">
        <v>785</v>
      </c>
      <c r="D502" s="71" t="s">
        <v>15</v>
      </c>
      <c r="E502" s="71">
        <v>60458</v>
      </c>
      <c r="F502" s="70">
        <v>45772</v>
      </c>
      <c r="G502" s="71" t="s">
        <v>47</v>
      </c>
      <c r="H502" s="71" t="s">
        <v>50</v>
      </c>
      <c r="I502" s="13">
        <f>_xlfn.XLOOKUP(F502,'Wk no''s'!B:B,'Wk no''s'!C:C,FALSE)</f>
        <v>17</v>
      </c>
      <c r="J502" s="13">
        <f>IF(D502="GBP",1,SUMIFS('Ex Rates'!I:I,'Ex Rates'!K:K,'Weekly Closed Proposal Requests'!L502,'Ex Rates'!G:G,'Weekly Closed Proposal Requests'!D502))</f>
        <v>1</v>
      </c>
      <c r="K502" s="13">
        <f t="shared" si="8"/>
        <v>60458</v>
      </c>
      <c r="L502" s="13" t="str">
        <f>_xlfn.XLOOKUP(I502,'Wk no''s'!C:C,'Wk no''s'!E:E,0)</f>
        <v>Apr</v>
      </c>
    </row>
    <row r="503" spans="1:12" x14ac:dyDescent="0.25">
      <c r="A503" s="70">
        <v>45770</v>
      </c>
      <c r="B503" s="71" t="s">
        <v>786</v>
      </c>
      <c r="C503" s="71" t="s">
        <v>228</v>
      </c>
      <c r="D503" s="71" t="s">
        <v>15</v>
      </c>
      <c r="E503" s="71">
        <v>228000</v>
      </c>
      <c r="F503" s="70">
        <v>45772</v>
      </c>
      <c r="G503" s="71" t="s">
        <v>47</v>
      </c>
      <c r="H503" s="71" t="s">
        <v>50</v>
      </c>
      <c r="I503" s="13">
        <f>_xlfn.XLOOKUP(F503,'Wk no''s'!B:B,'Wk no''s'!C:C,FALSE)</f>
        <v>17</v>
      </c>
      <c r="J503" s="13">
        <f>IF(D503="GBP",1,SUMIFS('Ex Rates'!I:I,'Ex Rates'!K:K,'Weekly Closed Proposal Requests'!L503,'Ex Rates'!G:G,'Weekly Closed Proposal Requests'!D503))</f>
        <v>1</v>
      </c>
      <c r="K503" s="13">
        <f t="shared" si="8"/>
        <v>228000</v>
      </c>
      <c r="L503" s="13" t="str">
        <f>_xlfn.XLOOKUP(I503,'Wk no''s'!C:C,'Wk no''s'!E:E,0)</f>
        <v>Apr</v>
      </c>
    </row>
    <row r="504" spans="1:12" x14ac:dyDescent="0.25">
      <c r="A504" s="70">
        <v>45762</v>
      </c>
      <c r="B504" s="71" t="s">
        <v>787</v>
      </c>
      <c r="C504" s="71" t="s">
        <v>179</v>
      </c>
      <c r="D504" s="71" t="s">
        <v>10</v>
      </c>
      <c r="E504" s="71">
        <v>1200000</v>
      </c>
      <c r="F504" s="70">
        <v>45771</v>
      </c>
      <c r="G504" s="71" t="s">
        <v>11</v>
      </c>
      <c r="H504" s="71" t="s">
        <v>50</v>
      </c>
      <c r="I504" s="13">
        <f>_xlfn.XLOOKUP(F504,'Wk no''s'!B:B,'Wk no''s'!C:C,FALSE)</f>
        <v>17</v>
      </c>
      <c r="J504" s="13">
        <f>IF(D504="GBP",1,SUMIFS('Ex Rates'!I:I,'Ex Rates'!K:K,'Weekly Closed Proposal Requests'!L504,'Ex Rates'!G:G,'Weekly Closed Proposal Requests'!D504))</f>
        <v>0.48053820278712156</v>
      </c>
      <c r="K504" s="13">
        <f t="shared" si="8"/>
        <v>576645.84334454592</v>
      </c>
      <c r="L504" s="13" t="str">
        <f>_xlfn.XLOOKUP(I504,'Wk no''s'!C:C,'Wk no''s'!E:E,0)</f>
        <v>Apr</v>
      </c>
    </row>
    <row r="505" spans="1:12" x14ac:dyDescent="0.25">
      <c r="A505" s="70">
        <v>45758</v>
      </c>
      <c r="B505" s="71" t="s">
        <v>788</v>
      </c>
      <c r="C505" s="71" t="s">
        <v>1773</v>
      </c>
      <c r="D505" s="71" t="s">
        <v>15</v>
      </c>
      <c r="E505" s="71">
        <v>300000</v>
      </c>
      <c r="F505" s="70">
        <v>45770</v>
      </c>
      <c r="G505" s="71" t="s">
        <v>72</v>
      </c>
      <c r="H505" s="71" t="s">
        <v>19</v>
      </c>
      <c r="I505" s="13">
        <f>_xlfn.XLOOKUP(F505,'Wk no''s'!B:B,'Wk no''s'!C:C,FALSE)</f>
        <v>17</v>
      </c>
      <c r="J505" s="13">
        <f>IF(D505="GBP",1,SUMIFS('Ex Rates'!I:I,'Ex Rates'!K:K,'Weekly Closed Proposal Requests'!L505,'Ex Rates'!G:G,'Weekly Closed Proposal Requests'!D505))</f>
        <v>1</v>
      </c>
      <c r="K505" s="13">
        <f t="shared" si="8"/>
        <v>300000</v>
      </c>
      <c r="L505" s="13" t="str">
        <f>_xlfn.XLOOKUP(I505,'Wk no''s'!C:C,'Wk no''s'!E:E,0)</f>
        <v>Apr</v>
      </c>
    </row>
    <row r="506" spans="1:12" x14ac:dyDescent="0.25">
      <c r="A506" s="70">
        <v>45763</v>
      </c>
      <c r="B506" s="71" t="s">
        <v>789</v>
      </c>
      <c r="C506" s="71" t="s">
        <v>136</v>
      </c>
      <c r="D506" s="71" t="s">
        <v>15</v>
      </c>
      <c r="E506" s="71">
        <v>150000</v>
      </c>
      <c r="F506" s="70">
        <v>45771</v>
      </c>
      <c r="G506" s="71" t="s">
        <v>72</v>
      </c>
      <c r="H506" s="71" t="s">
        <v>19</v>
      </c>
      <c r="I506" s="13">
        <f>_xlfn.XLOOKUP(F506,'Wk no''s'!B:B,'Wk no''s'!C:C,FALSE)</f>
        <v>17</v>
      </c>
      <c r="J506" s="13">
        <f>IF(D506="GBP",1,SUMIFS('Ex Rates'!I:I,'Ex Rates'!K:K,'Weekly Closed Proposal Requests'!L506,'Ex Rates'!G:G,'Weekly Closed Proposal Requests'!D506))</f>
        <v>1</v>
      </c>
      <c r="K506" s="13">
        <f t="shared" si="8"/>
        <v>150000</v>
      </c>
      <c r="L506" s="13" t="str">
        <f>_xlfn.XLOOKUP(I506,'Wk no''s'!C:C,'Wk no''s'!E:E,0)</f>
        <v>Apr</v>
      </c>
    </row>
    <row r="507" spans="1:12" x14ac:dyDescent="0.25">
      <c r="A507" s="70">
        <v>45778</v>
      </c>
      <c r="B507" s="71" t="s">
        <v>790</v>
      </c>
      <c r="C507" s="71" t="s">
        <v>791</v>
      </c>
      <c r="D507" s="71" t="s">
        <v>15</v>
      </c>
      <c r="E507" s="71">
        <v>450000</v>
      </c>
      <c r="F507" s="70">
        <v>45779</v>
      </c>
      <c r="G507" s="71" t="s">
        <v>16</v>
      </c>
      <c r="H507" s="71" t="s">
        <v>281</v>
      </c>
      <c r="I507" s="13">
        <f>_xlfn.XLOOKUP(F507,'Wk no''s'!B:B,'Wk no''s'!C:C,FALSE)</f>
        <v>18</v>
      </c>
      <c r="J507" s="13">
        <f>IF(D507="GBP",1,SUMIFS('Ex Rates'!I:I,'Ex Rates'!K:K,'Weekly Closed Proposal Requests'!L507,'Ex Rates'!G:G,'Weekly Closed Proposal Requests'!D507))</f>
        <v>1</v>
      </c>
      <c r="K507" s="13">
        <f t="shared" si="8"/>
        <v>450000</v>
      </c>
      <c r="L507" s="13" t="str">
        <f>_xlfn.XLOOKUP(I507,'Wk no''s'!C:C,'Wk no''s'!E:E,0)</f>
        <v>Apr</v>
      </c>
    </row>
    <row r="508" spans="1:12" x14ac:dyDescent="0.25">
      <c r="A508" s="70">
        <v>45753</v>
      </c>
      <c r="B508" s="71" t="s">
        <v>792</v>
      </c>
      <c r="C508" s="71" t="s">
        <v>793</v>
      </c>
      <c r="D508" s="71" t="s">
        <v>15</v>
      </c>
      <c r="E508" s="71">
        <v>100000</v>
      </c>
      <c r="F508" s="70">
        <v>45776</v>
      </c>
      <c r="G508" s="71" t="s">
        <v>16</v>
      </c>
      <c r="H508" s="71" t="s">
        <v>19</v>
      </c>
      <c r="I508" s="13">
        <f>_xlfn.XLOOKUP(F508,'Wk no''s'!B:B,'Wk no''s'!C:C,FALSE)</f>
        <v>18</v>
      </c>
      <c r="J508" s="13">
        <f>IF(D508="GBP",1,SUMIFS('Ex Rates'!I:I,'Ex Rates'!K:K,'Weekly Closed Proposal Requests'!L508,'Ex Rates'!G:G,'Weekly Closed Proposal Requests'!D508))</f>
        <v>1</v>
      </c>
      <c r="K508" s="13">
        <f t="shared" si="8"/>
        <v>100000</v>
      </c>
      <c r="L508" s="13" t="str">
        <f>_xlfn.XLOOKUP(I508,'Wk no''s'!C:C,'Wk no''s'!E:E,0)</f>
        <v>Apr</v>
      </c>
    </row>
    <row r="509" spans="1:12" x14ac:dyDescent="0.25">
      <c r="A509" s="70">
        <v>45762</v>
      </c>
      <c r="B509" s="71" t="s">
        <v>794</v>
      </c>
      <c r="C509" s="71" t="s">
        <v>795</v>
      </c>
      <c r="D509" s="71" t="s">
        <v>15</v>
      </c>
      <c r="E509" s="71">
        <v>284000</v>
      </c>
      <c r="F509" s="70">
        <v>45779</v>
      </c>
      <c r="G509" s="71" t="s">
        <v>16</v>
      </c>
      <c r="H509" s="71" t="s">
        <v>19</v>
      </c>
      <c r="I509" s="13">
        <f>_xlfn.XLOOKUP(F509,'Wk no''s'!B:B,'Wk no''s'!C:C,FALSE)</f>
        <v>18</v>
      </c>
      <c r="J509" s="13">
        <f>IF(D509="GBP",1,SUMIFS('Ex Rates'!I:I,'Ex Rates'!K:K,'Weekly Closed Proposal Requests'!L509,'Ex Rates'!G:G,'Weekly Closed Proposal Requests'!D509))</f>
        <v>1</v>
      </c>
      <c r="K509" s="13">
        <f t="shared" si="8"/>
        <v>284000</v>
      </c>
      <c r="L509" s="13" t="str">
        <f>_xlfn.XLOOKUP(I509,'Wk no''s'!C:C,'Wk no''s'!E:E,0)</f>
        <v>Apr</v>
      </c>
    </row>
    <row r="510" spans="1:12" x14ac:dyDescent="0.25">
      <c r="A510" s="70">
        <v>45770</v>
      </c>
      <c r="B510" s="71" t="s">
        <v>796</v>
      </c>
      <c r="C510" s="71" t="s">
        <v>660</v>
      </c>
      <c r="D510" s="71" t="s">
        <v>15</v>
      </c>
      <c r="E510" s="71">
        <v>100000</v>
      </c>
      <c r="F510" s="70">
        <v>45776</v>
      </c>
      <c r="G510" s="71" t="s">
        <v>16</v>
      </c>
      <c r="H510" s="71" t="s">
        <v>19</v>
      </c>
      <c r="I510" s="13">
        <f>_xlfn.XLOOKUP(F510,'Wk no''s'!B:B,'Wk no''s'!C:C,FALSE)</f>
        <v>18</v>
      </c>
      <c r="J510" s="13">
        <f>IF(D510="GBP",1,SUMIFS('Ex Rates'!I:I,'Ex Rates'!K:K,'Weekly Closed Proposal Requests'!L510,'Ex Rates'!G:G,'Weekly Closed Proposal Requests'!D510))</f>
        <v>1</v>
      </c>
      <c r="K510" s="13">
        <f t="shared" si="8"/>
        <v>100000</v>
      </c>
      <c r="L510" s="13" t="str">
        <f>_xlfn.XLOOKUP(I510,'Wk no''s'!C:C,'Wk no''s'!E:E,0)</f>
        <v>Apr</v>
      </c>
    </row>
    <row r="511" spans="1:12" x14ac:dyDescent="0.25">
      <c r="A511" s="70">
        <v>45772</v>
      </c>
      <c r="B511" s="71" t="s">
        <v>797</v>
      </c>
      <c r="C511" s="71" t="s">
        <v>798</v>
      </c>
      <c r="D511" s="71" t="s">
        <v>15</v>
      </c>
      <c r="E511" s="71">
        <v>10000</v>
      </c>
      <c r="F511" s="70">
        <v>45775</v>
      </c>
      <c r="G511" s="71" t="s">
        <v>16</v>
      </c>
      <c r="H511" s="71" t="s">
        <v>19</v>
      </c>
      <c r="I511" s="13">
        <f>_xlfn.XLOOKUP(F511,'Wk no''s'!B:B,'Wk no''s'!C:C,FALSE)</f>
        <v>18</v>
      </c>
      <c r="J511" s="13">
        <f>IF(D511="GBP",1,SUMIFS('Ex Rates'!I:I,'Ex Rates'!K:K,'Weekly Closed Proposal Requests'!L511,'Ex Rates'!G:G,'Weekly Closed Proposal Requests'!D511))</f>
        <v>1</v>
      </c>
      <c r="K511" s="13">
        <f t="shared" si="8"/>
        <v>10000</v>
      </c>
      <c r="L511" s="13" t="str">
        <f>_xlfn.XLOOKUP(I511,'Wk no''s'!C:C,'Wk no''s'!E:E,0)</f>
        <v>Apr</v>
      </c>
    </row>
    <row r="512" spans="1:12" x14ac:dyDescent="0.25">
      <c r="A512" s="70">
        <v>45772</v>
      </c>
      <c r="B512" s="71" t="s">
        <v>799</v>
      </c>
      <c r="C512" s="71" t="s">
        <v>780</v>
      </c>
      <c r="D512" s="71" t="s">
        <v>15</v>
      </c>
      <c r="E512" s="71">
        <v>30000</v>
      </c>
      <c r="F512" s="70">
        <v>45775</v>
      </c>
      <c r="G512" s="71" t="s">
        <v>16</v>
      </c>
      <c r="H512" s="71" t="s">
        <v>19</v>
      </c>
      <c r="I512" s="13">
        <f>_xlfn.XLOOKUP(F512,'Wk no''s'!B:B,'Wk no''s'!C:C,FALSE)</f>
        <v>18</v>
      </c>
      <c r="J512" s="13">
        <f>IF(D512="GBP",1,SUMIFS('Ex Rates'!I:I,'Ex Rates'!K:K,'Weekly Closed Proposal Requests'!L512,'Ex Rates'!G:G,'Weekly Closed Proposal Requests'!D512))</f>
        <v>1</v>
      </c>
      <c r="K512" s="13">
        <f t="shared" si="8"/>
        <v>30000</v>
      </c>
      <c r="L512" s="13" t="str">
        <f>_xlfn.XLOOKUP(I512,'Wk no''s'!C:C,'Wk no''s'!E:E,0)</f>
        <v>Apr</v>
      </c>
    </row>
    <row r="513" spans="1:12" x14ac:dyDescent="0.25">
      <c r="A513" s="70">
        <v>45774</v>
      </c>
      <c r="B513" s="71" t="s">
        <v>800</v>
      </c>
      <c r="C513" s="71" t="s">
        <v>801</v>
      </c>
      <c r="D513" s="71" t="s">
        <v>15</v>
      </c>
      <c r="E513" s="71">
        <v>50000</v>
      </c>
      <c r="F513" s="70">
        <v>45775</v>
      </c>
      <c r="G513" s="71" t="s">
        <v>16</v>
      </c>
      <c r="H513" s="71" t="s">
        <v>19</v>
      </c>
      <c r="I513" s="13">
        <f>_xlfn.XLOOKUP(F513,'Wk no''s'!B:B,'Wk no''s'!C:C,FALSE)</f>
        <v>18</v>
      </c>
      <c r="J513" s="13">
        <f>IF(D513="GBP",1,SUMIFS('Ex Rates'!I:I,'Ex Rates'!K:K,'Weekly Closed Proposal Requests'!L513,'Ex Rates'!G:G,'Weekly Closed Proposal Requests'!D513))</f>
        <v>1</v>
      </c>
      <c r="K513" s="13">
        <f t="shared" si="8"/>
        <v>50000</v>
      </c>
      <c r="L513" s="13" t="str">
        <f>_xlfn.XLOOKUP(I513,'Wk no''s'!C:C,'Wk no''s'!E:E,0)</f>
        <v>Apr</v>
      </c>
    </row>
    <row r="514" spans="1:12" x14ac:dyDescent="0.25">
      <c r="A514" s="70">
        <v>45775</v>
      </c>
      <c r="B514" s="71" t="s">
        <v>802</v>
      </c>
      <c r="C514" s="71" t="s">
        <v>374</v>
      </c>
      <c r="D514" s="71" t="s">
        <v>15</v>
      </c>
      <c r="E514" s="71">
        <v>30000</v>
      </c>
      <c r="F514" s="70">
        <v>45776</v>
      </c>
      <c r="G514" s="71" t="s">
        <v>16</v>
      </c>
      <c r="H514" s="71" t="s">
        <v>19</v>
      </c>
      <c r="I514" s="13">
        <f>_xlfn.XLOOKUP(F514,'Wk no''s'!B:B,'Wk no''s'!C:C,FALSE)</f>
        <v>18</v>
      </c>
      <c r="J514" s="13">
        <f>IF(D514="GBP",1,SUMIFS('Ex Rates'!I:I,'Ex Rates'!K:K,'Weekly Closed Proposal Requests'!L514,'Ex Rates'!G:G,'Weekly Closed Proposal Requests'!D514))</f>
        <v>1</v>
      </c>
      <c r="K514" s="13">
        <f t="shared" si="8"/>
        <v>30000</v>
      </c>
      <c r="L514" s="13" t="str">
        <f>_xlfn.XLOOKUP(I514,'Wk no''s'!C:C,'Wk no''s'!E:E,0)</f>
        <v>Apr</v>
      </c>
    </row>
    <row r="515" spans="1:12" x14ac:dyDescent="0.25">
      <c r="A515" s="70">
        <v>45775</v>
      </c>
      <c r="B515" s="71" t="s">
        <v>803</v>
      </c>
      <c r="C515" s="71" t="s">
        <v>710</v>
      </c>
      <c r="D515" s="71" t="s">
        <v>15</v>
      </c>
      <c r="E515" s="71">
        <v>50000</v>
      </c>
      <c r="F515" s="70">
        <v>45776</v>
      </c>
      <c r="G515" s="71" t="s">
        <v>16</v>
      </c>
      <c r="H515" s="71" t="s">
        <v>19</v>
      </c>
      <c r="I515" s="13">
        <f>_xlfn.XLOOKUP(F515,'Wk no''s'!B:B,'Wk no''s'!C:C,FALSE)</f>
        <v>18</v>
      </c>
      <c r="J515" s="13">
        <f>IF(D515="GBP",1,SUMIFS('Ex Rates'!I:I,'Ex Rates'!K:K,'Weekly Closed Proposal Requests'!L515,'Ex Rates'!G:G,'Weekly Closed Proposal Requests'!D515))</f>
        <v>1</v>
      </c>
      <c r="K515" s="13">
        <f t="shared" si="8"/>
        <v>50000</v>
      </c>
      <c r="L515" s="13" t="str">
        <f>_xlfn.XLOOKUP(I515,'Wk no''s'!C:C,'Wk no''s'!E:E,0)</f>
        <v>Apr</v>
      </c>
    </row>
    <row r="516" spans="1:12" x14ac:dyDescent="0.25">
      <c r="A516" s="70">
        <v>45775</v>
      </c>
      <c r="B516" s="71" t="s">
        <v>804</v>
      </c>
      <c r="C516" s="71" t="s">
        <v>805</v>
      </c>
      <c r="D516" s="71" t="s">
        <v>15</v>
      </c>
      <c r="E516" s="71">
        <v>30000</v>
      </c>
      <c r="F516" s="70">
        <v>45779</v>
      </c>
      <c r="G516" s="71" t="s">
        <v>16</v>
      </c>
      <c r="H516" s="71" t="s">
        <v>19</v>
      </c>
      <c r="I516" s="13">
        <f>_xlfn.XLOOKUP(F516,'Wk no''s'!B:B,'Wk no''s'!C:C,FALSE)</f>
        <v>18</v>
      </c>
      <c r="J516" s="13">
        <f>IF(D516="GBP",1,SUMIFS('Ex Rates'!I:I,'Ex Rates'!K:K,'Weekly Closed Proposal Requests'!L516,'Ex Rates'!G:G,'Weekly Closed Proposal Requests'!D516))</f>
        <v>1</v>
      </c>
      <c r="K516" s="13">
        <f t="shared" si="8"/>
        <v>30000</v>
      </c>
      <c r="L516" s="13" t="str">
        <f>_xlfn.XLOOKUP(I516,'Wk no''s'!C:C,'Wk no''s'!E:E,0)</f>
        <v>Apr</v>
      </c>
    </row>
    <row r="517" spans="1:12" x14ac:dyDescent="0.25">
      <c r="A517" s="70">
        <v>45776</v>
      </c>
      <c r="B517" s="71" t="s">
        <v>806</v>
      </c>
      <c r="C517" s="71" t="s">
        <v>807</v>
      </c>
      <c r="D517" s="71" t="s">
        <v>15</v>
      </c>
      <c r="E517" s="71">
        <v>50000</v>
      </c>
      <c r="F517" s="70">
        <v>45779</v>
      </c>
      <c r="G517" s="71" t="s">
        <v>16</v>
      </c>
      <c r="H517" s="71" t="s">
        <v>19</v>
      </c>
      <c r="I517" s="13">
        <f>_xlfn.XLOOKUP(F517,'Wk no''s'!B:B,'Wk no''s'!C:C,FALSE)</f>
        <v>18</v>
      </c>
      <c r="J517" s="13">
        <f>IF(D517="GBP",1,SUMIFS('Ex Rates'!I:I,'Ex Rates'!K:K,'Weekly Closed Proposal Requests'!L517,'Ex Rates'!G:G,'Weekly Closed Proposal Requests'!D517))</f>
        <v>1</v>
      </c>
      <c r="K517" s="13">
        <f t="shared" si="8"/>
        <v>50000</v>
      </c>
      <c r="L517" s="13" t="str">
        <f>_xlfn.XLOOKUP(I517,'Wk no''s'!C:C,'Wk no''s'!E:E,0)</f>
        <v>Apr</v>
      </c>
    </row>
    <row r="518" spans="1:12" x14ac:dyDescent="0.25">
      <c r="A518" s="70">
        <v>45777</v>
      </c>
      <c r="B518" s="71" t="s">
        <v>808</v>
      </c>
      <c r="C518" s="71" t="s">
        <v>809</v>
      </c>
      <c r="D518" s="71" t="s">
        <v>15</v>
      </c>
      <c r="E518" s="71">
        <v>100000</v>
      </c>
      <c r="F518" s="70">
        <v>45779</v>
      </c>
      <c r="G518" s="71" t="s">
        <v>16</v>
      </c>
      <c r="H518" s="71" t="s">
        <v>19</v>
      </c>
      <c r="I518" s="13">
        <f>_xlfn.XLOOKUP(F518,'Wk no''s'!B:B,'Wk no''s'!C:C,FALSE)</f>
        <v>18</v>
      </c>
      <c r="J518" s="13">
        <f>IF(D518="GBP",1,SUMIFS('Ex Rates'!I:I,'Ex Rates'!K:K,'Weekly Closed Proposal Requests'!L518,'Ex Rates'!G:G,'Weekly Closed Proposal Requests'!D518))</f>
        <v>1</v>
      </c>
      <c r="K518" s="13">
        <f t="shared" si="8"/>
        <v>100000</v>
      </c>
      <c r="L518" s="13" t="str">
        <f>_xlfn.XLOOKUP(I518,'Wk no''s'!C:C,'Wk no''s'!E:E,0)</f>
        <v>Apr</v>
      </c>
    </row>
    <row r="519" spans="1:12" x14ac:dyDescent="0.25">
      <c r="A519" s="70">
        <v>45778</v>
      </c>
      <c r="B519" s="71" t="s">
        <v>810</v>
      </c>
      <c r="C519" s="71" t="s">
        <v>811</v>
      </c>
      <c r="D519" s="71" t="s">
        <v>15</v>
      </c>
      <c r="E519" s="71">
        <v>50000</v>
      </c>
      <c r="F519" s="70">
        <v>45779</v>
      </c>
      <c r="G519" s="71" t="s">
        <v>16</v>
      </c>
      <c r="H519" s="71" t="s">
        <v>50</v>
      </c>
      <c r="I519" s="13">
        <f>_xlfn.XLOOKUP(F519,'Wk no''s'!B:B,'Wk no''s'!C:C,FALSE)</f>
        <v>18</v>
      </c>
      <c r="J519" s="13">
        <f>IF(D519="GBP",1,SUMIFS('Ex Rates'!I:I,'Ex Rates'!K:K,'Weekly Closed Proposal Requests'!L519,'Ex Rates'!G:G,'Weekly Closed Proposal Requests'!D519))</f>
        <v>1</v>
      </c>
      <c r="K519" s="13">
        <f t="shared" si="8"/>
        <v>50000</v>
      </c>
      <c r="L519" s="13" t="str">
        <f>_xlfn.XLOOKUP(I519,'Wk no''s'!C:C,'Wk no''s'!E:E,0)</f>
        <v>Apr</v>
      </c>
    </row>
    <row r="520" spans="1:12" x14ac:dyDescent="0.25">
      <c r="A520" s="70">
        <v>45761</v>
      </c>
      <c r="B520" s="71" t="s">
        <v>812</v>
      </c>
      <c r="C520" s="71" t="s">
        <v>813</v>
      </c>
      <c r="D520" s="71" t="s">
        <v>46</v>
      </c>
      <c r="E520" s="71">
        <v>75000</v>
      </c>
      <c r="F520" s="70">
        <v>45776</v>
      </c>
      <c r="G520" s="71" t="s">
        <v>47</v>
      </c>
      <c r="H520" s="71" t="s">
        <v>19</v>
      </c>
      <c r="I520" s="13">
        <f>_xlfn.XLOOKUP(F520,'Wk no''s'!B:B,'Wk no''s'!C:C,FALSE)</f>
        <v>18</v>
      </c>
      <c r="J520" s="13">
        <f>IF(D520="GBP",1,SUMIFS('Ex Rates'!I:I,'Ex Rates'!K:K,'Weekly Closed Proposal Requests'!L520,'Ex Rates'!G:G,'Weekly Closed Proposal Requests'!D520))</f>
        <v>0.75018754688672173</v>
      </c>
      <c r="K520" s="13">
        <f t="shared" si="8"/>
        <v>56264.066016504134</v>
      </c>
      <c r="L520" s="13" t="str">
        <f>_xlfn.XLOOKUP(I520,'Wk no''s'!C:C,'Wk no''s'!E:E,0)</f>
        <v>Apr</v>
      </c>
    </row>
    <row r="521" spans="1:12" x14ac:dyDescent="0.25">
      <c r="A521" s="70">
        <v>45770</v>
      </c>
      <c r="B521" s="71" t="s">
        <v>815</v>
      </c>
      <c r="C521" s="71" t="s">
        <v>816</v>
      </c>
      <c r="D521" s="71" t="s">
        <v>46</v>
      </c>
      <c r="E521" s="71">
        <v>300000</v>
      </c>
      <c r="F521" s="70">
        <v>45775</v>
      </c>
      <c r="G521" s="71" t="s">
        <v>47</v>
      </c>
      <c r="H521" s="71" t="s">
        <v>19</v>
      </c>
      <c r="I521" s="13">
        <f>_xlfn.XLOOKUP(F521,'Wk no''s'!B:B,'Wk no''s'!C:C,FALSE)</f>
        <v>18</v>
      </c>
      <c r="J521" s="13">
        <f>IF(D521="GBP",1,SUMIFS('Ex Rates'!I:I,'Ex Rates'!K:K,'Weekly Closed Proposal Requests'!L521,'Ex Rates'!G:G,'Weekly Closed Proposal Requests'!D521))</f>
        <v>0.75018754688672173</v>
      </c>
      <c r="K521" s="13">
        <f t="shared" si="8"/>
        <v>225056.26406601653</v>
      </c>
      <c r="L521" s="13" t="str">
        <f>_xlfn.XLOOKUP(I521,'Wk no''s'!C:C,'Wk no''s'!E:E,0)</f>
        <v>Apr</v>
      </c>
    </row>
    <row r="522" spans="1:12" x14ac:dyDescent="0.25">
      <c r="A522" s="70">
        <v>45723</v>
      </c>
      <c r="B522" s="71" t="s">
        <v>817</v>
      </c>
      <c r="C522" s="71" t="s">
        <v>512</v>
      </c>
      <c r="D522" s="71" t="s">
        <v>15</v>
      </c>
      <c r="E522" s="71">
        <v>115826.2</v>
      </c>
      <c r="F522" s="70">
        <v>45777</v>
      </c>
      <c r="G522" s="71" t="s">
        <v>47</v>
      </c>
      <c r="H522" s="71" t="s">
        <v>50</v>
      </c>
      <c r="I522" s="13">
        <f>_xlfn.XLOOKUP(F522,'Wk no''s'!B:B,'Wk no''s'!C:C,FALSE)</f>
        <v>18</v>
      </c>
      <c r="J522" s="13">
        <f>IF(D522="GBP",1,SUMIFS('Ex Rates'!I:I,'Ex Rates'!K:K,'Weekly Closed Proposal Requests'!L522,'Ex Rates'!G:G,'Weekly Closed Proposal Requests'!D522))</f>
        <v>1</v>
      </c>
      <c r="K522" s="13">
        <f t="shared" si="8"/>
        <v>115826.2</v>
      </c>
      <c r="L522" s="13" t="str">
        <f>_xlfn.XLOOKUP(I522,'Wk no''s'!C:C,'Wk no''s'!E:E,0)</f>
        <v>Apr</v>
      </c>
    </row>
    <row r="523" spans="1:12" x14ac:dyDescent="0.25">
      <c r="A523" s="70">
        <v>45754</v>
      </c>
      <c r="B523" s="71" t="s">
        <v>818</v>
      </c>
      <c r="C523" s="71" t="s">
        <v>515</v>
      </c>
      <c r="D523" s="71" t="s">
        <v>15</v>
      </c>
      <c r="E523" s="71">
        <v>10767.3</v>
      </c>
      <c r="F523" s="70">
        <v>45776</v>
      </c>
      <c r="G523" s="71" t="s">
        <v>47</v>
      </c>
      <c r="H523" s="71" t="s">
        <v>50</v>
      </c>
      <c r="I523" s="13">
        <f>_xlfn.XLOOKUP(F523,'Wk no''s'!B:B,'Wk no''s'!C:C,FALSE)</f>
        <v>18</v>
      </c>
      <c r="J523" s="13">
        <f>IF(D523="GBP",1,SUMIFS('Ex Rates'!I:I,'Ex Rates'!K:K,'Weekly Closed Proposal Requests'!L523,'Ex Rates'!G:G,'Weekly Closed Proposal Requests'!D523))</f>
        <v>1</v>
      </c>
      <c r="K523" s="13">
        <f t="shared" si="8"/>
        <v>10767.3</v>
      </c>
      <c r="L523" s="13" t="str">
        <f>_xlfn.XLOOKUP(I523,'Wk no''s'!C:C,'Wk no''s'!E:E,0)</f>
        <v>Apr</v>
      </c>
    </row>
    <row r="524" spans="1:12" x14ac:dyDescent="0.25">
      <c r="A524" s="70">
        <v>45770</v>
      </c>
      <c r="B524" s="71" t="s">
        <v>819</v>
      </c>
      <c r="C524" s="71" t="s">
        <v>117</v>
      </c>
      <c r="D524" s="71" t="s">
        <v>15</v>
      </c>
      <c r="E524" s="71">
        <v>96000</v>
      </c>
      <c r="F524" s="70">
        <v>45775</v>
      </c>
      <c r="G524" s="71" t="s">
        <v>47</v>
      </c>
      <c r="H524" s="71" t="s">
        <v>50</v>
      </c>
      <c r="I524" s="13">
        <f>_xlfn.XLOOKUP(F524,'Wk no''s'!B:B,'Wk no''s'!C:C,FALSE)</f>
        <v>18</v>
      </c>
      <c r="J524" s="13">
        <f>IF(D524="GBP",1,SUMIFS('Ex Rates'!I:I,'Ex Rates'!K:K,'Weekly Closed Proposal Requests'!L524,'Ex Rates'!G:G,'Weekly Closed Proposal Requests'!D524))</f>
        <v>1</v>
      </c>
      <c r="K524" s="13">
        <f t="shared" si="8"/>
        <v>96000</v>
      </c>
      <c r="L524" s="13" t="str">
        <f>_xlfn.XLOOKUP(I524,'Wk no''s'!C:C,'Wk no''s'!E:E,0)</f>
        <v>Apr</v>
      </c>
    </row>
    <row r="525" spans="1:12" x14ac:dyDescent="0.25">
      <c r="A525" s="70">
        <v>45772</v>
      </c>
      <c r="B525" s="71" t="s">
        <v>820</v>
      </c>
      <c r="C525" s="71" t="s">
        <v>58</v>
      </c>
      <c r="D525" s="71" t="s">
        <v>46</v>
      </c>
      <c r="E525" s="71">
        <v>75000</v>
      </c>
      <c r="F525" s="70">
        <v>45779</v>
      </c>
      <c r="G525" s="71" t="s">
        <v>47</v>
      </c>
      <c r="H525" s="71" t="s">
        <v>50</v>
      </c>
      <c r="I525" s="13">
        <f>_xlfn.XLOOKUP(F525,'Wk no''s'!B:B,'Wk no''s'!C:C,FALSE)</f>
        <v>18</v>
      </c>
      <c r="J525" s="13">
        <f>IF(D525="GBP",1,SUMIFS('Ex Rates'!I:I,'Ex Rates'!K:K,'Weekly Closed Proposal Requests'!L525,'Ex Rates'!G:G,'Weekly Closed Proposal Requests'!D525))</f>
        <v>0.75018754688672173</v>
      </c>
      <c r="K525" s="13">
        <f t="shared" si="8"/>
        <v>56264.066016504134</v>
      </c>
      <c r="L525" s="13" t="str">
        <f>_xlfn.XLOOKUP(I525,'Wk no''s'!C:C,'Wk no''s'!E:E,0)</f>
        <v>Apr</v>
      </c>
    </row>
    <row r="526" spans="1:12" x14ac:dyDescent="0.25">
      <c r="A526" s="70">
        <v>45772</v>
      </c>
      <c r="B526" s="71" t="s">
        <v>821</v>
      </c>
      <c r="C526" s="71" t="s">
        <v>508</v>
      </c>
      <c r="D526" s="71" t="s">
        <v>46</v>
      </c>
      <c r="E526" s="71">
        <v>164000</v>
      </c>
      <c r="F526" s="70">
        <v>45779</v>
      </c>
      <c r="G526" s="71" t="s">
        <v>47</v>
      </c>
      <c r="H526" s="71" t="s">
        <v>50</v>
      </c>
      <c r="I526" s="13">
        <f>_xlfn.XLOOKUP(F526,'Wk no''s'!B:B,'Wk no''s'!C:C,FALSE)</f>
        <v>18</v>
      </c>
      <c r="J526" s="13">
        <f>IF(D526="GBP",1,SUMIFS('Ex Rates'!I:I,'Ex Rates'!K:K,'Weekly Closed Proposal Requests'!L526,'Ex Rates'!G:G,'Weekly Closed Proposal Requests'!D526))</f>
        <v>0.75018754688672173</v>
      </c>
      <c r="K526" s="13">
        <f t="shared" si="8"/>
        <v>123030.75768942236</v>
      </c>
      <c r="L526" s="13" t="str">
        <f>_xlfn.XLOOKUP(I526,'Wk no''s'!C:C,'Wk no''s'!E:E,0)</f>
        <v>Apr</v>
      </c>
    </row>
    <row r="527" spans="1:12" x14ac:dyDescent="0.25">
      <c r="A527" s="70">
        <v>45776</v>
      </c>
      <c r="B527" s="71" t="s">
        <v>822</v>
      </c>
      <c r="C527" s="71" t="s">
        <v>566</v>
      </c>
      <c r="D527" s="71" t="s">
        <v>15</v>
      </c>
      <c r="E527" s="71">
        <v>5000</v>
      </c>
      <c r="F527" s="70">
        <v>45778</v>
      </c>
      <c r="G527" s="71" t="s">
        <v>47</v>
      </c>
      <c r="H527" s="71" t="s">
        <v>50</v>
      </c>
      <c r="I527" s="13">
        <f>_xlfn.XLOOKUP(F527,'Wk no''s'!B:B,'Wk no''s'!C:C,FALSE)</f>
        <v>18</v>
      </c>
      <c r="J527" s="13">
        <f>IF(D527="GBP",1,SUMIFS('Ex Rates'!I:I,'Ex Rates'!K:K,'Weekly Closed Proposal Requests'!L527,'Ex Rates'!G:G,'Weekly Closed Proposal Requests'!D527))</f>
        <v>1</v>
      </c>
      <c r="K527" s="13">
        <f t="shared" si="8"/>
        <v>5000</v>
      </c>
      <c r="L527" s="13" t="str">
        <f>_xlfn.XLOOKUP(I527,'Wk no''s'!C:C,'Wk no''s'!E:E,0)</f>
        <v>Apr</v>
      </c>
    </row>
    <row r="528" spans="1:12" x14ac:dyDescent="0.25">
      <c r="A528" s="70">
        <v>45756</v>
      </c>
      <c r="B528" s="71" t="s">
        <v>823</v>
      </c>
      <c r="C528" s="71" t="s">
        <v>619</v>
      </c>
      <c r="D528" s="71" t="s">
        <v>10</v>
      </c>
      <c r="E528" s="71">
        <v>100000</v>
      </c>
      <c r="F528" s="70">
        <v>45776</v>
      </c>
      <c r="G528" s="71" t="s">
        <v>11</v>
      </c>
      <c r="H528" s="71" t="s">
        <v>12</v>
      </c>
      <c r="I528" s="13">
        <f>_xlfn.XLOOKUP(F528,'Wk no''s'!B:B,'Wk no''s'!C:C,FALSE)</f>
        <v>18</v>
      </c>
      <c r="J528" s="13">
        <f>IF(D528="GBP",1,SUMIFS('Ex Rates'!I:I,'Ex Rates'!K:K,'Weekly Closed Proposal Requests'!L528,'Ex Rates'!G:G,'Weekly Closed Proposal Requests'!D528))</f>
        <v>0.48053820278712156</v>
      </c>
      <c r="K528" s="13">
        <f t="shared" si="8"/>
        <v>48053.820278712155</v>
      </c>
      <c r="L528" s="13" t="str">
        <f>_xlfn.XLOOKUP(I528,'Wk no''s'!C:C,'Wk no''s'!E:E,0)</f>
        <v>Apr</v>
      </c>
    </row>
    <row r="529" spans="1:12" x14ac:dyDescent="0.25">
      <c r="A529" s="70">
        <v>45776</v>
      </c>
      <c r="B529" s="71" t="s">
        <v>824</v>
      </c>
      <c r="C529" s="71" t="s">
        <v>527</v>
      </c>
      <c r="D529" s="71" t="s">
        <v>10</v>
      </c>
      <c r="E529" s="71">
        <v>800000</v>
      </c>
      <c r="F529" s="70">
        <v>45777</v>
      </c>
      <c r="G529" s="71" t="s">
        <v>11</v>
      </c>
      <c r="H529" s="71" t="s">
        <v>12</v>
      </c>
      <c r="I529" s="13">
        <f>_xlfn.XLOOKUP(F529,'Wk no''s'!B:B,'Wk no''s'!C:C,FALSE)</f>
        <v>18</v>
      </c>
      <c r="J529" s="13">
        <f>IF(D529="GBP",1,SUMIFS('Ex Rates'!I:I,'Ex Rates'!K:K,'Weekly Closed Proposal Requests'!L529,'Ex Rates'!G:G,'Weekly Closed Proposal Requests'!D529))</f>
        <v>0.48053820278712156</v>
      </c>
      <c r="K529" s="13">
        <f t="shared" si="8"/>
        <v>384430.56222969724</v>
      </c>
      <c r="L529" s="13" t="str">
        <f>_xlfn.XLOOKUP(I529,'Wk no''s'!C:C,'Wk no''s'!E:E,0)</f>
        <v>Apr</v>
      </c>
    </row>
    <row r="530" spans="1:12" x14ac:dyDescent="0.25">
      <c r="A530" s="70">
        <v>45707</v>
      </c>
      <c r="B530" s="71" t="s">
        <v>825</v>
      </c>
      <c r="C530" s="71" t="s">
        <v>233</v>
      </c>
      <c r="D530" s="71" t="s">
        <v>10</v>
      </c>
      <c r="E530" s="71">
        <v>50000</v>
      </c>
      <c r="F530" s="70">
        <v>45779</v>
      </c>
      <c r="G530" s="71" t="s">
        <v>11</v>
      </c>
      <c r="H530" s="71" t="s">
        <v>50</v>
      </c>
      <c r="I530" s="13">
        <f>_xlfn.XLOOKUP(F530,'Wk no''s'!B:B,'Wk no''s'!C:C,FALSE)</f>
        <v>18</v>
      </c>
      <c r="J530" s="13">
        <f>IF(D530="GBP",1,SUMIFS('Ex Rates'!I:I,'Ex Rates'!K:K,'Weekly Closed Proposal Requests'!L530,'Ex Rates'!G:G,'Weekly Closed Proposal Requests'!D530))</f>
        <v>0.48053820278712156</v>
      </c>
      <c r="K530" s="13">
        <f t="shared" si="8"/>
        <v>24026.910139356078</v>
      </c>
      <c r="L530" s="13" t="str">
        <f>_xlfn.XLOOKUP(I530,'Wk no''s'!C:C,'Wk no''s'!E:E,0)</f>
        <v>Apr</v>
      </c>
    </row>
    <row r="531" spans="1:12" x14ac:dyDescent="0.25">
      <c r="A531" s="70">
        <v>45748</v>
      </c>
      <c r="B531" s="71" t="s">
        <v>826</v>
      </c>
      <c r="C531" s="71" t="s">
        <v>733</v>
      </c>
      <c r="D531" s="71" t="s">
        <v>10</v>
      </c>
      <c r="E531" s="71">
        <v>300000</v>
      </c>
      <c r="F531" s="70">
        <v>45779</v>
      </c>
      <c r="G531" s="71" t="s">
        <v>11</v>
      </c>
      <c r="H531" s="71" t="s">
        <v>50</v>
      </c>
      <c r="I531" s="13">
        <f>_xlfn.XLOOKUP(F531,'Wk no''s'!B:B,'Wk no''s'!C:C,FALSE)</f>
        <v>18</v>
      </c>
      <c r="J531" s="13">
        <f>IF(D531="GBP",1,SUMIFS('Ex Rates'!I:I,'Ex Rates'!K:K,'Weekly Closed Proposal Requests'!L531,'Ex Rates'!G:G,'Weekly Closed Proposal Requests'!D531))</f>
        <v>0.48053820278712156</v>
      </c>
      <c r="K531" s="13">
        <f t="shared" si="8"/>
        <v>144161.46083613648</v>
      </c>
      <c r="L531" s="13" t="str">
        <f>_xlfn.XLOOKUP(I531,'Wk no''s'!C:C,'Wk no''s'!E:E,0)</f>
        <v>Apr</v>
      </c>
    </row>
    <row r="532" spans="1:12" x14ac:dyDescent="0.25">
      <c r="A532" s="70">
        <v>45754</v>
      </c>
      <c r="B532" s="71" t="s">
        <v>827</v>
      </c>
      <c r="C532" s="71" t="s">
        <v>828</v>
      </c>
      <c r="D532" s="71" t="s">
        <v>10</v>
      </c>
      <c r="E532" s="71">
        <v>100000</v>
      </c>
      <c r="F532" s="70">
        <v>45776</v>
      </c>
      <c r="G532" s="71" t="s">
        <v>11</v>
      </c>
      <c r="H532" s="71" t="s">
        <v>50</v>
      </c>
      <c r="I532" s="13">
        <f>_xlfn.XLOOKUP(F532,'Wk no''s'!B:B,'Wk no''s'!C:C,FALSE)</f>
        <v>18</v>
      </c>
      <c r="J532" s="13">
        <f>IF(D532="GBP",1,SUMIFS('Ex Rates'!I:I,'Ex Rates'!K:K,'Weekly Closed Proposal Requests'!L532,'Ex Rates'!G:G,'Weekly Closed Proposal Requests'!D532))</f>
        <v>0.48053820278712156</v>
      </c>
      <c r="K532" s="13">
        <f t="shared" si="8"/>
        <v>48053.820278712155</v>
      </c>
      <c r="L532" s="13" t="str">
        <f>_xlfn.XLOOKUP(I532,'Wk no''s'!C:C,'Wk no''s'!E:E,0)</f>
        <v>Apr</v>
      </c>
    </row>
    <row r="533" spans="1:12" x14ac:dyDescent="0.25">
      <c r="A533" s="70">
        <v>45760</v>
      </c>
      <c r="B533" s="71" t="s">
        <v>829</v>
      </c>
      <c r="C533" s="71" t="s">
        <v>179</v>
      </c>
      <c r="D533" s="71" t="s">
        <v>15</v>
      </c>
      <c r="E533" s="71">
        <v>1000000</v>
      </c>
      <c r="F533" s="70">
        <v>45776</v>
      </c>
      <c r="G533" s="71" t="s">
        <v>11</v>
      </c>
      <c r="H533" s="71" t="s">
        <v>50</v>
      </c>
      <c r="I533" s="13">
        <f>_xlfn.XLOOKUP(F533,'Wk no''s'!B:B,'Wk no''s'!C:C,FALSE)</f>
        <v>18</v>
      </c>
      <c r="J533" s="13">
        <f>IF(D533="GBP",1,SUMIFS('Ex Rates'!I:I,'Ex Rates'!K:K,'Weekly Closed Proposal Requests'!L533,'Ex Rates'!G:G,'Weekly Closed Proposal Requests'!D533))</f>
        <v>1</v>
      </c>
      <c r="K533" s="13">
        <f t="shared" si="8"/>
        <v>1000000</v>
      </c>
      <c r="L533" s="13" t="str">
        <f>_xlfn.XLOOKUP(I533,'Wk no''s'!C:C,'Wk no''s'!E:E,0)</f>
        <v>Apr</v>
      </c>
    </row>
    <row r="534" spans="1:12" x14ac:dyDescent="0.25">
      <c r="A534" s="70">
        <v>45763</v>
      </c>
      <c r="B534" s="71" t="s">
        <v>830</v>
      </c>
      <c r="C534" s="71" t="s">
        <v>621</v>
      </c>
      <c r="D534" s="71" t="s">
        <v>10</v>
      </c>
      <c r="E534" s="71">
        <v>120000</v>
      </c>
      <c r="F534" s="70">
        <v>45775</v>
      </c>
      <c r="G534" s="71" t="s">
        <v>11</v>
      </c>
      <c r="H534" s="71" t="s">
        <v>50</v>
      </c>
      <c r="I534" s="13">
        <f>_xlfn.XLOOKUP(F534,'Wk no''s'!B:B,'Wk no''s'!C:C,FALSE)</f>
        <v>18</v>
      </c>
      <c r="J534" s="13">
        <f>IF(D534="GBP",1,SUMIFS('Ex Rates'!I:I,'Ex Rates'!K:K,'Weekly Closed Proposal Requests'!L534,'Ex Rates'!G:G,'Weekly Closed Proposal Requests'!D534))</f>
        <v>0.48053820278712156</v>
      </c>
      <c r="K534" s="13">
        <f t="shared" si="8"/>
        <v>57664.584334454586</v>
      </c>
      <c r="L534" s="13" t="str">
        <f>_xlfn.XLOOKUP(I534,'Wk no''s'!C:C,'Wk no''s'!E:E,0)</f>
        <v>Apr</v>
      </c>
    </row>
    <row r="535" spans="1:12" x14ac:dyDescent="0.25">
      <c r="A535" s="70">
        <v>45778</v>
      </c>
      <c r="B535" s="71" t="s">
        <v>831</v>
      </c>
      <c r="C535" s="71" t="s">
        <v>525</v>
      </c>
      <c r="D535" s="71" t="s">
        <v>10</v>
      </c>
      <c r="E535" s="71">
        <v>57000</v>
      </c>
      <c r="F535" s="70">
        <v>45778</v>
      </c>
      <c r="G535" s="71" t="s">
        <v>11</v>
      </c>
      <c r="H535" s="71" t="s">
        <v>50</v>
      </c>
      <c r="I535" s="13">
        <f>_xlfn.XLOOKUP(F535,'Wk no''s'!B:B,'Wk no''s'!C:C,FALSE)</f>
        <v>18</v>
      </c>
      <c r="J535" s="13">
        <f>IF(D535="GBP",1,SUMIFS('Ex Rates'!I:I,'Ex Rates'!K:K,'Weekly Closed Proposal Requests'!L535,'Ex Rates'!G:G,'Weekly Closed Proposal Requests'!D535))</f>
        <v>0.48053820278712156</v>
      </c>
      <c r="K535" s="13">
        <f t="shared" ref="K535:K598" si="9">+E535*J535</f>
        <v>27390.677558865929</v>
      </c>
      <c r="L535" s="13" t="str">
        <f>_xlfn.XLOOKUP(I535,'Wk no''s'!C:C,'Wk no''s'!E:E,0)</f>
        <v>Apr</v>
      </c>
    </row>
    <row r="536" spans="1:12" x14ac:dyDescent="0.25">
      <c r="A536" s="70">
        <v>45763</v>
      </c>
      <c r="B536" s="71" t="s">
        <v>832</v>
      </c>
      <c r="C536" s="71" t="s">
        <v>638</v>
      </c>
      <c r="D536" s="71" t="s">
        <v>15</v>
      </c>
      <c r="E536" s="71">
        <v>10000</v>
      </c>
      <c r="F536" s="70">
        <v>45776</v>
      </c>
      <c r="G536" s="71" t="s">
        <v>72</v>
      </c>
      <c r="H536" s="71" t="s">
        <v>19</v>
      </c>
      <c r="I536" s="13">
        <f>_xlfn.XLOOKUP(F536,'Wk no''s'!B:B,'Wk no''s'!C:C,FALSE)</f>
        <v>18</v>
      </c>
      <c r="J536" s="13">
        <f>IF(D536="GBP",1,SUMIFS('Ex Rates'!I:I,'Ex Rates'!K:K,'Weekly Closed Proposal Requests'!L536,'Ex Rates'!G:G,'Weekly Closed Proposal Requests'!D536))</f>
        <v>1</v>
      </c>
      <c r="K536" s="13">
        <f t="shared" si="9"/>
        <v>10000</v>
      </c>
      <c r="L536" s="13" t="str">
        <f>_xlfn.XLOOKUP(I536,'Wk no''s'!C:C,'Wk no''s'!E:E,0)</f>
        <v>Apr</v>
      </c>
    </row>
    <row r="537" spans="1:12" x14ac:dyDescent="0.25">
      <c r="A537" s="70">
        <v>45770</v>
      </c>
      <c r="B537" s="71" t="s">
        <v>833</v>
      </c>
      <c r="C537" s="71" t="s">
        <v>289</v>
      </c>
      <c r="D537" s="71" t="s">
        <v>15</v>
      </c>
      <c r="E537" s="71">
        <v>40000</v>
      </c>
      <c r="F537" s="70">
        <v>45777</v>
      </c>
      <c r="G537" s="71" t="s">
        <v>72</v>
      </c>
      <c r="H537" s="71" t="s">
        <v>19</v>
      </c>
      <c r="I537" s="13">
        <f>_xlfn.XLOOKUP(F537,'Wk no''s'!B:B,'Wk no''s'!C:C,FALSE)</f>
        <v>18</v>
      </c>
      <c r="J537" s="13">
        <f>IF(D537="GBP",1,SUMIFS('Ex Rates'!I:I,'Ex Rates'!K:K,'Weekly Closed Proposal Requests'!L537,'Ex Rates'!G:G,'Weekly Closed Proposal Requests'!D537))</f>
        <v>1</v>
      </c>
      <c r="K537" s="13">
        <f t="shared" si="9"/>
        <v>40000</v>
      </c>
      <c r="L537" s="13" t="str">
        <f>_xlfn.XLOOKUP(I537,'Wk no''s'!C:C,'Wk no''s'!E:E,0)</f>
        <v>Apr</v>
      </c>
    </row>
    <row r="538" spans="1:12" x14ac:dyDescent="0.25">
      <c r="A538" s="70">
        <v>45771</v>
      </c>
      <c r="B538" s="71" t="s">
        <v>834</v>
      </c>
      <c r="C538" s="71" t="s">
        <v>136</v>
      </c>
      <c r="D538" s="71" t="s">
        <v>15</v>
      </c>
      <c r="E538" s="71">
        <v>150000</v>
      </c>
      <c r="F538" s="70">
        <v>45777</v>
      </c>
      <c r="G538" s="71" t="s">
        <v>72</v>
      </c>
      <c r="H538" s="71" t="s">
        <v>19</v>
      </c>
      <c r="I538" s="13">
        <f>_xlfn.XLOOKUP(F538,'Wk no''s'!B:B,'Wk no''s'!C:C,FALSE)</f>
        <v>18</v>
      </c>
      <c r="J538" s="13">
        <f>IF(D538="GBP",1,SUMIFS('Ex Rates'!I:I,'Ex Rates'!K:K,'Weekly Closed Proposal Requests'!L538,'Ex Rates'!G:G,'Weekly Closed Proposal Requests'!D538))</f>
        <v>1</v>
      </c>
      <c r="K538" s="13">
        <f t="shared" si="9"/>
        <v>150000</v>
      </c>
      <c r="L538" s="13" t="str">
        <f>_xlfn.XLOOKUP(I538,'Wk no''s'!C:C,'Wk no''s'!E:E,0)</f>
        <v>Apr</v>
      </c>
    </row>
    <row r="539" spans="1:12" x14ac:dyDescent="0.25">
      <c r="A539" s="70">
        <v>45778</v>
      </c>
      <c r="B539" s="71" t="s">
        <v>835</v>
      </c>
      <c r="C539" s="71" t="s">
        <v>836</v>
      </c>
      <c r="D539" s="71" t="s">
        <v>15</v>
      </c>
      <c r="E539" s="71">
        <v>100000</v>
      </c>
      <c r="F539" s="70">
        <v>45783</v>
      </c>
      <c r="G539" s="71" t="s">
        <v>16</v>
      </c>
      <c r="H539" s="71" t="s">
        <v>12</v>
      </c>
      <c r="I539" s="13">
        <f>_xlfn.XLOOKUP(F539,'Wk no''s'!B:B,'Wk no''s'!C:C,FALSE)</f>
        <v>19</v>
      </c>
      <c r="J539" s="13">
        <f>IF(D539="GBP",1,SUMIFS('Ex Rates'!I:I,'Ex Rates'!K:K,'Weekly Closed Proposal Requests'!L539,'Ex Rates'!G:G,'Weekly Closed Proposal Requests'!D539))</f>
        <v>1</v>
      </c>
      <c r="K539" s="13">
        <f t="shared" si="9"/>
        <v>100000</v>
      </c>
      <c r="L539" s="13" t="str">
        <f>_xlfn.XLOOKUP(I539,'Wk no''s'!C:C,'Wk no''s'!E:E,0)</f>
        <v>May</v>
      </c>
    </row>
    <row r="540" spans="1:12" x14ac:dyDescent="0.25">
      <c r="A540" s="70">
        <v>45779</v>
      </c>
      <c r="B540" s="71" t="s">
        <v>837</v>
      </c>
      <c r="C540" s="71" t="s">
        <v>838</v>
      </c>
      <c r="D540" s="71" t="s">
        <v>15</v>
      </c>
      <c r="E540" s="71">
        <v>29562.2</v>
      </c>
      <c r="F540" s="70">
        <v>45784</v>
      </c>
      <c r="G540" s="71" t="s">
        <v>16</v>
      </c>
      <c r="H540" s="71" t="s">
        <v>12</v>
      </c>
      <c r="I540" s="13">
        <f>_xlfn.XLOOKUP(F540,'Wk no''s'!B:B,'Wk no''s'!C:C,FALSE)</f>
        <v>19</v>
      </c>
      <c r="J540" s="13">
        <f>IF(D540="GBP",1,SUMIFS('Ex Rates'!I:I,'Ex Rates'!K:K,'Weekly Closed Proposal Requests'!L540,'Ex Rates'!G:G,'Weekly Closed Proposal Requests'!D540))</f>
        <v>1</v>
      </c>
      <c r="K540" s="13">
        <f t="shared" si="9"/>
        <v>29562.2</v>
      </c>
      <c r="L540" s="13" t="str">
        <f>_xlfn.XLOOKUP(I540,'Wk no''s'!C:C,'Wk no''s'!E:E,0)</f>
        <v>May</v>
      </c>
    </row>
    <row r="541" spans="1:12" x14ac:dyDescent="0.25">
      <c r="A541" s="70">
        <v>45785</v>
      </c>
      <c r="B541" s="71" t="s">
        <v>839</v>
      </c>
      <c r="C541" s="71" t="s">
        <v>836</v>
      </c>
      <c r="D541" s="71" t="s">
        <v>15</v>
      </c>
      <c r="E541" s="71">
        <v>100000</v>
      </c>
      <c r="F541" s="70">
        <v>45785</v>
      </c>
      <c r="G541" s="71" t="s">
        <v>16</v>
      </c>
      <c r="H541" s="71" t="s">
        <v>12</v>
      </c>
      <c r="I541" s="13">
        <f>_xlfn.XLOOKUP(F541,'Wk no''s'!B:B,'Wk no''s'!C:C,FALSE)</f>
        <v>19</v>
      </c>
      <c r="J541" s="13">
        <f>IF(D541="GBP",1,SUMIFS('Ex Rates'!I:I,'Ex Rates'!K:K,'Weekly Closed Proposal Requests'!L541,'Ex Rates'!G:G,'Weekly Closed Proposal Requests'!D541))</f>
        <v>1</v>
      </c>
      <c r="K541" s="13">
        <f t="shared" si="9"/>
        <v>100000</v>
      </c>
      <c r="L541" s="13" t="str">
        <f>_xlfn.XLOOKUP(I541,'Wk no''s'!C:C,'Wk no''s'!E:E,0)</f>
        <v>May</v>
      </c>
    </row>
    <row r="542" spans="1:12" x14ac:dyDescent="0.25">
      <c r="A542" s="70">
        <v>45777</v>
      </c>
      <c r="B542" s="71" t="s">
        <v>840</v>
      </c>
      <c r="C542" s="71" t="s">
        <v>841</v>
      </c>
      <c r="D542" s="71" t="s">
        <v>15</v>
      </c>
      <c r="E542" s="71">
        <v>0</v>
      </c>
      <c r="F542" s="70">
        <v>45783</v>
      </c>
      <c r="G542" s="71" t="s">
        <v>16</v>
      </c>
      <c r="H542" s="71" t="s">
        <v>19</v>
      </c>
      <c r="I542" s="13">
        <f>_xlfn.XLOOKUP(F542,'Wk no''s'!B:B,'Wk no''s'!C:C,FALSE)</f>
        <v>19</v>
      </c>
      <c r="J542" s="13">
        <f>IF(D542="GBP",1,SUMIFS('Ex Rates'!I:I,'Ex Rates'!K:K,'Weekly Closed Proposal Requests'!L542,'Ex Rates'!G:G,'Weekly Closed Proposal Requests'!D542))</f>
        <v>1</v>
      </c>
      <c r="K542" s="13">
        <f t="shared" si="9"/>
        <v>0</v>
      </c>
      <c r="L542" s="13" t="str">
        <f>_xlfn.XLOOKUP(I542,'Wk no''s'!C:C,'Wk no''s'!E:E,0)</f>
        <v>May</v>
      </c>
    </row>
    <row r="543" spans="1:12" x14ac:dyDescent="0.25">
      <c r="A543" s="70">
        <v>45778</v>
      </c>
      <c r="B543" s="71" t="s">
        <v>842</v>
      </c>
      <c r="C543" s="71" t="s">
        <v>843</v>
      </c>
      <c r="D543" s="71" t="s">
        <v>15</v>
      </c>
      <c r="E543" s="71">
        <v>300000</v>
      </c>
      <c r="F543" s="70">
        <v>45786</v>
      </c>
      <c r="G543" s="71" t="s">
        <v>16</v>
      </c>
      <c r="H543" s="71" t="s">
        <v>19</v>
      </c>
      <c r="I543" s="13">
        <f>_xlfn.XLOOKUP(F543,'Wk no''s'!B:B,'Wk no''s'!C:C,FALSE)</f>
        <v>19</v>
      </c>
      <c r="J543" s="13">
        <f>IF(D543="GBP",1,SUMIFS('Ex Rates'!I:I,'Ex Rates'!K:K,'Weekly Closed Proposal Requests'!L543,'Ex Rates'!G:G,'Weekly Closed Proposal Requests'!D543))</f>
        <v>1</v>
      </c>
      <c r="K543" s="13">
        <f t="shared" si="9"/>
        <v>300000</v>
      </c>
      <c r="L543" s="13" t="str">
        <f>_xlfn.XLOOKUP(I543,'Wk no''s'!C:C,'Wk no''s'!E:E,0)</f>
        <v>May</v>
      </c>
    </row>
    <row r="544" spans="1:12" x14ac:dyDescent="0.25">
      <c r="A544" s="70">
        <v>45778</v>
      </c>
      <c r="B544" s="71" t="s">
        <v>844</v>
      </c>
      <c r="C544" s="71" t="s">
        <v>801</v>
      </c>
      <c r="D544" s="71" t="s">
        <v>15</v>
      </c>
      <c r="E544" s="71">
        <v>50000</v>
      </c>
      <c r="F544" s="70">
        <v>45784</v>
      </c>
      <c r="G544" s="71" t="s">
        <v>16</v>
      </c>
      <c r="H544" s="71" t="s">
        <v>19</v>
      </c>
      <c r="I544" s="13">
        <f>_xlfn.XLOOKUP(F544,'Wk no''s'!B:B,'Wk no''s'!C:C,FALSE)</f>
        <v>19</v>
      </c>
      <c r="J544" s="13">
        <f>IF(D544="GBP",1,SUMIFS('Ex Rates'!I:I,'Ex Rates'!K:K,'Weekly Closed Proposal Requests'!L544,'Ex Rates'!G:G,'Weekly Closed Proposal Requests'!D544))</f>
        <v>1</v>
      </c>
      <c r="K544" s="13">
        <f t="shared" si="9"/>
        <v>50000</v>
      </c>
      <c r="L544" s="13" t="str">
        <f>_xlfn.XLOOKUP(I544,'Wk no''s'!C:C,'Wk no''s'!E:E,0)</f>
        <v>May</v>
      </c>
    </row>
    <row r="545" spans="1:12" x14ac:dyDescent="0.25">
      <c r="A545" s="70">
        <v>45778</v>
      </c>
      <c r="B545" s="71" t="s">
        <v>845</v>
      </c>
      <c r="C545" s="71" t="s">
        <v>843</v>
      </c>
      <c r="D545" s="71" t="s">
        <v>15</v>
      </c>
      <c r="E545" s="71">
        <v>200000</v>
      </c>
      <c r="F545" s="70">
        <v>45784</v>
      </c>
      <c r="G545" s="71" t="s">
        <v>16</v>
      </c>
      <c r="H545" s="71" t="s">
        <v>19</v>
      </c>
      <c r="I545" s="13">
        <f>_xlfn.XLOOKUP(F545,'Wk no''s'!B:B,'Wk no''s'!C:C,FALSE)</f>
        <v>19</v>
      </c>
      <c r="J545" s="13">
        <f>IF(D545="GBP",1,SUMIFS('Ex Rates'!I:I,'Ex Rates'!K:K,'Weekly Closed Proposal Requests'!L545,'Ex Rates'!G:G,'Weekly Closed Proposal Requests'!D545))</f>
        <v>1</v>
      </c>
      <c r="K545" s="13">
        <f t="shared" si="9"/>
        <v>200000</v>
      </c>
      <c r="L545" s="13" t="str">
        <f>_xlfn.XLOOKUP(I545,'Wk no''s'!C:C,'Wk no''s'!E:E,0)</f>
        <v>May</v>
      </c>
    </row>
    <row r="546" spans="1:12" x14ac:dyDescent="0.25">
      <c r="A546" s="70">
        <v>45779</v>
      </c>
      <c r="B546" s="71" t="s">
        <v>846</v>
      </c>
      <c r="C546" s="71" t="s">
        <v>454</v>
      </c>
      <c r="D546" s="71" t="s">
        <v>15</v>
      </c>
      <c r="E546" s="71">
        <v>100000</v>
      </c>
      <c r="F546" s="70">
        <v>45785</v>
      </c>
      <c r="G546" s="71" t="s">
        <v>16</v>
      </c>
      <c r="H546" s="71" t="s">
        <v>19</v>
      </c>
      <c r="I546" s="13">
        <f>_xlfn.XLOOKUP(F546,'Wk no''s'!B:B,'Wk no''s'!C:C,FALSE)</f>
        <v>19</v>
      </c>
      <c r="J546" s="13">
        <f>IF(D546="GBP",1,SUMIFS('Ex Rates'!I:I,'Ex Rates'!K:K,'Weekly Closed Proposal Requests'!L546,'Ex Rates'!G:G,'Weekly Closed Proposal Requests'!D546))</f>
        <v>1</v>
      </c>
      <c r="K546" s="13">
        <f t="shared" si="9"/>
        <v>100000</v>
      </c>
      <c r="L546" s="13" t="str">
        <f>_xlfn.XLOOKUP(I546,'Wk no''s'!C:C,'Wk no''s'!E:E,0)</f>
        <v>May</v>
      </c>
    </row>
    <row r="547" spans="1:12" x14ac:dyDescent="0.25">
      <c r="A547" s="70">
        <v>45779</v>
      </c>
      <c r="B547" s="71" t="s">
        <v>847</v>
      </c>
      <c r="C547" s="71" t="s">
        <v>454</v>
      </c>
      <c r="D547" s="71" t="s">
        <v>15</v>
      </c>
      <c r="E547" s="71">
        <v>100000</v>
      </c>
      <c r="F547" s="70">
        <v>45785</v>
      </c>
      <c r="G547" s="71" t="s">
        <v>16</v>
      </c>
      <c r="H547" s="71" t="s">
        <v>19</v>
      </c>
      <c r="I547" s="13">
        <f>_xlfn.XLOOKUP(F547,'Wk no''s'!B:B,'Wk no''s'!C:C,FALSE)</f>
        <v>19</v>
      </c>
      <c r="J547" s="13">
        <f>IF(D547="GBP",1,SUMIFS('Ex Rates'!I:I,'Ex Rates'!K:K,'Weekly Closed Proposal Requests'!L547,'Ex Rates'!G:G,'Weekly Closed Proposal Requests'!D547))</f>
        <v>1</v>
      </c>
      <c r="K547" s="13">
        <f t="shared" si="9"/>
        <v>100000</v>
      </c>
      <c r="L547" s="13" t="str">
        <f>_xlfn.XLOOKUP(I547,'Wk no''s'!C:C,'Wk no''s'!E:E,0)</f>
        <v>May</v>
      </c>
    </row>
    <row r="548" spans="1:12" x14ac:dyDescent="0.25">
      <c r="A548" s="70">
        <v>45779</v>
      </c>
      <c r="B548" s="71" t="s">
        <v>848</v>
      </c>
      <c r="C548" s="71" t="s">
        <v>849</v>
      </c>
      <c r="D548" s="71" t="s">
        <v>15</v>
      </c>
      <c r="E548" s="71">
        <v>75000</v>
      </c>
      <c r="F548" s="70">
        <v>45786</v>
      </c>
      <c r="G548" s="71" t="s">
        <v>16</v>
      </c>
      <c r="H548" s="71" t="s">
        <v>19</v>
      </c>
      <c r="I548" s="13">
        <f>_xlfn.XLOOKUP(F548,'Wk no''s'!B:B,'Wk no''s'!C:C,FALSE)</f>
        <v>19</v>
      </c>
      <c r="J548" s="13">
        <f>IF(D548="GBP",1,SUMIFS('Ex Rates'!I:I,'Ex Rates'!K:K,'Weekly Closed Proposal Requests'!L548,'Ex Rates'!G:G,'Weekly Closed Proposal Requests'!D548))</f>
        <v>1</v>
      </c>
      <c r="K548" s="13">
        <f t="shared" si="9"/>
        <v>75000</v>
      </c>
      <c r="L548" s="13" t="str">
        <f>_xlfn.XLOOKUP(I548,'Wk no''s'!C:C,'Wk no''s'!E:E,0)</f>
        <v>May</v>
      </c>
    </row>
    <row r="549" spans="1:12" x14ac:dyDescent="0.25">
      <c r="A549" s="70">
        <v>45784</v>
      </c>
      <c r="B549" s="71" t="s">
        <v>850</v>
      </c>
      <c r="C549" s="71" t="s">
        <v>851</v>
      </c>
      <c r="D549" s="71" t="s">
        <v>15</v>
      </c>
      <c r="E549" s="71">
        <v>28000</v>
      </c>
      <c r="F549" s="70">
        <v>45786</v>
      </c>
      <c r="G549" s="71" t="s">
        <v>16</v>
      </c>
      <c r="H549" s="71" t="s">
        <v>19</v>
      </c>
      <c r="I549" s="13">
        <f>_xlfn.XLOOKUP(F549,'Wk no''s'!B:B,'Wk no''s'!C:C,FALSE)</f>
        <v>19</v>
      </c>
      <c r="J549" s="13">
        <f>IF(D549="GBP",1,SUMIFS('Ex Rates'!I:I,'Ex Rates'!K:K,'Weekly Closed Proposal Requests'!L549,'Ex Rates'!G:G,'Weekly Closed Proposal Requests'!D549))</f>
        <v>1</v>
      </c>
      <c r="K549" s="13">
        <f t="shared" si="9"/>
        <v>28000</v>
      </c>
      <c r="L549" s="13" t="str">
        <f>_xlfn.XLOOKUP(I549,'Wk no''s'!C:C,'Wk no''s'!E:E,0)</f>
        <v>May</v>
      </c>
    </row>
    <row r="550" spans="1:12" x14ac:dyDescent="0.25">
      <c r="A550" s="70">
        <v>45784</v>
      </c>
      <c r="B550" s="71" t="s">
        <v>852</v>
      </c>
      <c r="C550" s="71" t="s">
        <v>777</v>
      </c>
      <c r="D550" s="71" t="s">
        <v>15</v>
      </c>
      <c r="E550" s="71">
        <v>20000</v>
      </c>
      <c r="F550" s="70">
        <v>45785</v>
      </c>
      <c r="G550" s="71" t="s">
        <v>16</v>
      </c>
      <c r="H550" s="71" t="s">
        <v>19</v>
      </c>
      <c r="I550" s="13">
        <f>_xlfn.XLOOKUP(F550,'Wk no''s'!B:B,'Wk no''s'!C:C,FALSE)</f>
        <v>19</v>
      </c>
      <c r="J550" s="13">
        <f>IF(D550="GBP",1,SUMIFS('Ex Rates'!I:I,'Ex Rates'!K:K,'Weekly Closed Proposal Requests'!L550,'Ex Rates'!G:G,'Weekly Closed Proposal Requests'!D550))</f>
        <v>1</v>
      </c>
      <c r="K550" s="13">
        <f t="shared" si="9"/>
        <v>20000</v>
      </c>
      <c r="L550" s="13" t="str">
        <f>_xlfn.XLOOKUP(I550,'Wk no''s'!C:C,'Wk no''s'!E:E,0)</f>
        <v>May</v>
      </c>
    </row>
    <row r="551" spans="1:12" x14ac:dyDescent="0.25">
      <c r="A551" s="70">
        <v>45785</v>
      </c>
      <c r="B551" s="71" t="s">
        <v>853</v>
      </c>
      <c r="C551" s="71" t="s">
        <v>312</v>
      </c>
      <c r="D551" s="71" t="s">
        <v>15</v>
      </c>
      <c r="E551" s="71">
        <v>20000</v>
      </c>
      <c r="F551" s="70">
        <v>45786</v>
      </c>
      <c r="G551" s="71" t="s">
        <v>16</v>
      </c>
      <c r="H551" s="71" t="s">
        <v>19</v>
      </c>
      <c r="I551" s="13">
        <f>_xlfn.XLOOKUP(F551,'Wk no''s'!B:B,'Wk no''s'!C:C,FALSE)</f>
        <v>19</v>
      </c>
      <c r="J551" s="13">
        <f>IF(D551="GBP",1,SUMIFS('Ex Rates'!I:I,'Ex Rates'!K:K,'Weekly Closed Proposal Requests'!L551,'Ex Rates'!G:G,'Weekly Closed Proposal Requests'!D551))</f>
        <v>1</v>
      </c>
      <c r="K551" s="13">
        <f t="shared" si="9"/>
        <v>20000</v>
      </c>
      <c r="L551" s="13" t="str">
        <f>_xlfn.XLOOKUP(I551,'Wk no''s'!C:C,'Wk no''s'!E:E,0)</f>
        <v>May</v>
      </c>
    </row>
    <row r="552" spans="1:12" x14ac:dyDescent="0.25">
      <c r="A552" s="70">
        <v>45771</v>
      </c>
      <c r="B552" s="71" t="s">
        <v>854</v>
      </c>
      <c r="C552" s="71" t="s">
        <v>855</v>
      </c>
      <c r="D552" s="71" t="s">
        <v>40</v>
      </c>
      <c r="E552" s="71">
        <v>25000</v>
      </c>
      <c r="F552" s="70">
        <v>45783</v>
      </c>
      <c r="G552" s="71" t="s">
        <v>41</v>
      </c>
      <c r="H552" s="71" t="s">
        <v>19</v>
      </c>
      <c r="I552" s="13">
        <f>_xlfn.XLOOKUP(F552,'Wk no''s'!B:B,'Wk no''s'!C:C,FALSE)</f>
        <v>19</v>
      </c>
      <c r="J552" s="13">
        <f>IF(D552="GBP",1,SUMIFS('Ex Rates'!I:I,'Ex Rates'!K:K,'Weekly Closed Proposal Requests'!L552,'Ex Rates'!G:G,'Weekly Closed Proposal Requests'!D552))</f>
        <v>0.84961767204757854</v>
      </c>
      <c r="K552" s="13">
        <f t="shared" si="9"/>
        <v>21240.441801189463</v>
      </c>
      <c r="L552" s="13" t="str">
        <f>_xlfn.XLOOKUP(I552,'Wk no''s'!C:C,'Wk no''s'!E:E,0)</f>
        <v>May</v>
      </c>
    </row>
    <row r="553" spans="1:12" x14ac:dyDescent="0.25">
      <c r="A553" s="70">
        <v>45621</v>
      </c>
      <c r="B553" s="71" t="s">
        <v>856</v>
      </c>
      <c r="C553" s="71" t="s">
        <v>215</v>
      </c>
      <c r="D553" s="71" t="s">
        <v>46</v>
      </c>
      <c r="E553" s="71">
        <v>1000000</v>
      </c>
      <c r="F553" s="70">
        <v>45785</v>
      </c>
      <c r="G553" s="71" t="s">
        <v>47</v>
      </c>
      <c r="H553" s="71" t="s">
        <v>19</v>
      </c>
      <c r="I553" s="13">
        <f>_xlfn.XLOOKUP(F553,'Wk no''s'!B:B,'Wk no''s'!C:C,FALSE)</f>
        <v>19</v>
      </c>
      <c r="J553" s="13">
        <f>IF(D553="GBP",1,SUMIFS('Ex Rates'!I:I,'Ex Rates'!K:K,'Weekly Closed Proposal Requests'!L553,'Ex Rates'!G:G,'Weekly Closed Proposal Requests'!D553))</f>
        <v>0.75018754688672173</v>
      </c>
      <c r="K553" s="13">
        <f t="shared" si="9"/>
        <v>750187.54688672174</v>
      </c>
      <c r="L553" s="13" t="str">
        <f>_xlfn.XLOOKUP(I553,'Wk no''s'!C:C,'Wk no''s'!E:E,0)</f>
        <v>May</v>
      </c>
    </row>
    <row r="554" spans="1:12" x14ac:dyDescent="0.25">
      <c r="A554" s="70">
        <v>45777</v>
      </c>
      <c r="B554" s="71" t="s">
        <v>857</v>
      </c>
      <c r="C554" s="71" t="s">
        <v>816</v>
      </c>
      <c r="D554" s="71" t="s">
        <v>46</v>
      </c>
      <c r="E554" s="71">
        <v>300000</v>
      </c>
      <c r="F554" s="70">
        <v>45786</v>
      </c>
      <c r="G554" s="71" t="s">
        <v>47</v>
      </c>
      <c r="H554" s="71" t="s">
        <v>19</v>
      </c>
      <c r="I554" s="13">
        <f>_xlfn.XLOOKUP(F554,'Wk no''s'!B:B,'Wk no''s'!C:C,FALSE)</f>
        <v>19</v>
      </c>
      <c r="J554" s="13">
        <f>IF(D554="GBP",1,SUMIFS('Ex Rates'!I:I,'Ex Rates'!K:K,'Weekly Closed Proposal Requests'!L554,'Ex Rates'!G:G,'Weekly Closed Proposal Requests'!D554))</f>
        <v>0.75018754688672173</v>
      </c>
      <c r="K554" s="13">
        <f t="shared" si="9"/>
        <v>225056.26406601653</v>
      </c>
      <c r="L554" s="13" t="str">
        <f>_xlfn.XLOOKUP(I554,'Wk no''s'!C:C,'Wk no''s'!E:E,0)</f>
        <v>May</v>
      </c>
    </row>
    <row r="555" spans="1:12" x14ac:dyDescent="0.25">
      <c r="A555" s="70">
        <v>45779</v>
      </c>
      <c r="B555" s="71" t="s">
        <v>858</v>
      </c>
      <c r="C555" s="71" t="s">
        <v>859</v>
      </c>
      <c r="D555" s="71" t="s">
        <v>46</v>
      </c>
      <c r="E555" s="71">
        <v>15000</v>
      </c>
      <c r="F555" s="70">
        <v>45783</v>
      </c>
      <c r="G555" s="71" t="s">
        <v>47</v>
      </c>
      <c r="H555" s="71" t="s">
        <v>19</v>
      </c>
      <c r="I555" s="13">
        <f>_xlfn.XLOOKUP(F555,'Wk no''s'!B:B,'Wk no''s'!C:C,FALSE)</f>
        <v>19</v>
      </c>
      <c r="J555" s="13">
        <f>IF(D555="GBP",1,SUMIFS('Ex Rates'!I:I,'Ex Rates'!K:K,'Weekly Closed Proposal Requests'!L555,'Ex Rates'!G:G,'Weekly Closed Proposal Requests'!D555))</f>
        <v>0.75018754688672173</v>
      </c>
      <c r="K555" s="13">
        <f t="shared" si="9"/>
        <v>11252.813203300826</v>
      </c>
      <c r="L555" s="13" t="str">
        <f>_xlfn.XLOOKUP(I555,'Wk no''s'!C:C,'Wk no''s'!E:E,0)</f>
        <v>May</v>
      </c>
    </row>
    <row r="556" spans="1:12" x14ac:dyDescent="0.25">
      <c r="A556" s="70">
        <v>45783</v>
      </c>
      <c r="B556" s="71" t="s">
        <v>860</v>
      </c>
      <c r="C556" s="71" t="s">
        <v>813</v>
      </c>
      <c r="D556" s="71" t="s">
        <v>46</v>
      </c>
      <c r="E556" s="71">
        <v>50000</v>
      </c>
      <c r="F556" s="70">
        <v>45785</v>
      </c>
      <c r="G556" s="71" t="s">
        <v>47</v>
      </c>
      <c r="H556" s="71" t="s">
        <v>19</v>
      </c>
      <c r="I556" s="13">
        <f>_xlfn.XLOOKUP(F556,'Wk no''s'!B:B,'Wk no''s'!C:C,FALSE)</f>
        <v>19</v>
      </c>
      <c r="J556" s="13">
        <f>IF(D556="GBP",1,SUMIFS('Ex Rates'!I:I,'Ex Rates'!K:K,'Weekly Closed Proposal Requests'!L556,'Ex Rates'!G:G,'Weekly Closed Proposal Requests'!D556))</f>
        <v>0.75018754688672173</v>
      </c>
      <c r="K556" s="13">
        <f t="shared" si="9"/>
        <v>37509.377344336084</v>
      </c>
      <c r="L556" s="13" t="str">
        <f>_xlfn.XLOOKUP(I556,'Wk no''s'!C:C,'Wk no''s'!E:E,0)</f>
        <v>May</v>
      </c>
    </row>
    <row r="557" spans="1:12" x14ac:dyDescent="0.25">
      <c r="A557" s="70">
        <v>45740</v>
      </c>
      <c r="B557" s="71" t="s">
        <v>861</v>
      </c>
      <c r="C557" s="71" t="s">
        <v>862</v>
      </c>
      <c r="D557" s="71" t="s">
        <v>15</v>
      </c>
      <c r="E557" s="71">
        <v>926774</v>
      </c>
      <c r="F557" s="70">
        <v>45783</v>
      </c>
      <c r="G557" s="71" t="s">
        <v>47</v>
      </c>
      <c r="H557" s="71" t="s">
        <v>50</v>
      </c>
      <c r="I557" s="13">
        <f>_xlfn.XLOOKUP(F557,'Wk no''s'!B:B,'Wk no''s'!C:C,FALSE)</f>
        <v>19</v>
      </c>
      <c r="J557" s="13">
        <f>IF(D557="GBP",1,SUMIFS('Ex Rates'!I:I,'Ex Rates'!K:K,'Weekly Closed Proposal Requests'!L557,'Ex Rates'!G:G,'Weekly Closed Proposal Requests'!D557))</f>
        <v>1</v>
      </c>
      <c r="K557" s="13">
        <f t="shared" si="9"/>
        <v>926774</v>
      </c>
      <c r="L557" s="13" t="str">
        <f>_xlfn.XLOOKUP(I557,'Wk no''s'!C:C,'Wk no''s'!E:E,0)</f>
        <v>May</v>
      </c>
    </row>
    <row r="558" spans="1:12" x14ac:dyDescent="0.25">
      <c r="A558" s="70">
        <v>45770</v>
      </c>
      <c r="B558" s="71" t="s">
        <v>863</v>
      </c>
      <c r="C558" s="71" t="s">
        <v>615</v>
      </c>
      <c r="D558" s="71" t="s">
        <v>15</v>
      </c>
      <c r="E558" s="71">
        <v>4364711</v>
      </c>
      <c r="F558" s="70">
        <v>45784</v>
      </c>
      <c r="G558" s="71" t="s">
        <v>47</v>
      </c>
      <c r="H558" s="71" t="s">
        <v>50</v>
      </c>
      <c r="I558" s="13">
        <f>_xlfn.XLOOKUP(F558,'Wk no''s'!B:B,'Wk no''s'!C:C,FALSE)</f>
        <v>19</v>
      </c>
      <c r="J558" s="13">
        <f>IF(D558="GBP",1,SUMIFS('Ex Rates'!I:I,'Ex Rates'!K:K,'Weekly Closed Proposal Requests'!L558,'Ex Rates'!G:G,'Weekly Closed Proposal Requests'!D558))</f>
        <v>1</v>
      </c>
      <c r="K558" s="13">
        <f t="shared" si="9"/>
        <v>4364711</v>
      </c>
      <c r="L558" s="13" t="str">
        <f>_xlfn.XLOOKUP(I558,'Wk no''s'!C:C,'Wk no''s'!E:E,0)</f>
        <v>May</v>
      </c>
    </row>
    <row r="559" spans="1:12" x14ac:dyDescent="0.25">
      <c r="A559" s="70">
        <v>45783</v>
      </c>
      <c r="B559" s="71" t="s">
        <v>864</v>
      </c>
      <c r="C559" s="71" t="s">
        <v>269</v>
      </c>
      <c r="D559" s="71" t="s">
        <v>15</v>
      </c>
      <c r="E559" s="71">
        <v>1920</v>
      </c>
      <c r="F559" s="70">
        <v>45784</v>
      </c>
      <c r="G559" s="71" t="s">
        <v>47</v>
      </c>
      <c r="H559" s="71" t="s">
        <v>50</v>
      </c>
      <c r="I559" s="13">
        <f>_xlfn.XLOOKUP(F559,'Wk no''s'!B:B,'Wk no''s'!C:C,FALSE)</f>
        <v>19</v>
      </c>
      <c r="J559" s="13">
        <f>IF(D559="GBP",1,SUMIFS('Ex Rates'!I:I,'Ex Rates'!K:K,'Weekly Closed Proposal Requests'!L559,'Ex Rates'!G:G,'Weekly Closed Proposal Requests'!D559))</f>
        <v>1</v>
      </c>
      <c r="K559" s="13">
        <f t="shared" si="9"/>
        <v>1920</v>
      </c>
      <c r="L559" s="13" t="str">
        <f>_xlfn.XLOOKUP(I559,'Wk no''s'!C:C,'Wk no''s'!E:E,0)</f>
        <v>May</v>
      </c>
    </row>
    <row r="560" spans="1:12" x14ac:dyDescent="0.25">
      <c r="A560" s="70">
        <v>45775</v>
      </c>
      <c r="B560" s="71" t="s">
        <v>865</v>
      </c>
      <c r="C560" s="71" t="s">
        <v>525</v>
      </c>
      <c r="D560" s="71" t="s">
        <v>10</v>
      </c>
      <c r="E560" s="71">
        <v>50000</v>
      </c>
      <c r="F560" s="70">
        <v>45784</v>
      </c>
      <c r="G560" s="71" t="s">
        <v>11</v>
      </c>
      <c r="H560" s="71" t="s">
        <v>12</v>
      </c>
      <c r="I560" s="13">
        <f>_xlfn.XLOOKUP(F560,'Wk no''s'!B:B,'Wk no''s'!C:C,FALSE)</f>
        <v>19</v>
      </c>
      <c r="J560" s="13">
        <f>IF(D560="GBP",1,SUMIFS('Ex Rates'!I:I,'Ex Rates'!K:K,'Weekly Closed Proposal Requests'!L560,'Ex Rates'!G:G,'Weekly Closed Proposal Requests'!D560))</f>
        <v>0.48053820278712156</v>
      </c>
      <c r="K560" s="13">
        <f t="shared" si="9"/>
        <v>24026.910139356078</v>
      </c>
      <c r="L560" s="13" t="str">
        <f>_xlfn.XLOOKUP(I560,'Wk no''s'!C:C,'Wk no''s'!E:E,0)</f>
        <v>May</v>
      </c>
    </row>
    <row r="561" spans="1:12" x14ac:dyDescent="0.25">
      <c r="A561" s="70">
        <v>45776</v>
      </c>
      <c r="B561" s="71" t="s">
        <v>866</v>
      </c>
      <c r="C561" s="71" t="s">
        <v>867</v>
      </c>
      <c r="D561" s="71" t="s">
        <v>10</v>
      </c>
      <c r="E561" s="71">
        <v>170000</v>
      </c>
      <c r="F561" s="70">
        <v>45786</v>
      </c>
      <c r="G561" s="71" t="s">
        <v>11</v>
      </c>
      <c r="H561" s="71" t="s">
        <v>12</v>
      </c>
      <c r="I561" s="13">
        <f>_xlfn.XLOOKUP(F561,'Wk no''s'!B:B,'Wk no''s'!C:C,FALSE)</f>
        <v>19</v>
      </c>
      <c r="J561" s="13">
        <f>IF(D561="GBP",1,SUMIFS('Ex Rates'!I:I,'Ex Rates'!K:K,'Weekly Closed Proposal Requests'!L561,'Ex Rates'!G:G,'Weekly Closed Proposal Requests'!D561))</f>
        <v>0.48053820278712156</v>
      </c>
      <c r="K561" s="13">
        <f t="shared" si="9"/>
        <v>81691.494473810671</v>
      </c>
      <c r="L561" s="13" t="str">
        <f>_xlfn.XLOOKUP(I561,'Wk no''s'!C:C,'Wk no''s'!E:E,0)</f>
        <v>May</v>
      </c>
    </row>
    <row r="562" spans="1:12" x14ac:dyDescent="0.25">
      <c r="A562" s="70">
        <v>45777</v>
      </c>
      <c r="B562" s="71" t="s">
        <v>868</v>
      </c>
      <c r="C562" s="71" t="s">
        <v>527</v>
      </c>
      <c r="D562" s="71" t="s">
        <v>10</v>
      </c>
      <c r="E562" s="71">
        <v>800000</v>
      </c>
      <c r="F562" s="70">
        <v>45785</v>
      </c>
      <c r="G562" s="71" t="s">
        <v>11</v>
      </c>
      <c r="H562" s="71" t="s">
        <v>12</v>
      </c>
      <c r="I562" s="13">
        <f>_xlfn.XLOOKUP(F562,'Wk no''s'!B:B,'Wk no''s'!C:C,FALSE)</f>
        <v>19</v>
      </c>
      <c r="J562" s="13">
        <f>IF(D562="GBP",1,SUMIFS('Ex Rates'!I:I,'Ex Rates'!K:K,'Weekly Closed Proposal Requests'!L562,'Ex Rates'!G:G,'Weekly Closed Proposal Requests'!D562))</f>
        <v>0.48053820278712156</v>
      </c>
      <c r="K562" s="13">
        <f t="shared" si="9"/>
        <v>384430.56222969724</v>
      </c>
      <c r="L562" s="13" t="str">
        <f>_xlfn.XLOOKUP(I562,'Wk no''s'!C:C,'Wk no''s'!E:E,0)</f>
        <v>May</v>
      </c>
    </row>
    <row r="563" spans="1:12" x14ac:dyDescent="0.25">
      <c r="A563" s="70">
        <v>45785</v>
      </c>
      <c r="B563" s="71" t="s">
        <v>869</v>
      </c>
      <c r="C563" s="71" t="s">
        <v>870</v>
      </c>
      <c r="D563" s="71" t="s">
        <v>10</v>
      </c>
      <c r="E563" s="71">
        <v>20000</v>
      </c>
      <c r="F563" s="70">
        <v>45786</v>
      </c>
      <c r="G563" s="71" t="s">
        <v>11</v>
      </c>
      <c r="H563" s="71" t="s">
        <v>12</v>
      </c>
      <c r="I563" s="13">
        <f>_xlfn.XLOOKUP(F563,'Wk no''s'!B:B,'Wk no''s'!C:C,FALSE)</f>
        <v>19</v>
      </c>
      <c r="J563" s="13">
        <f>IF(D563="GBP",1,SUMIFS('Ex Rates'!I:I,'Ex Rates'!K:K,'Weekly Closed Proposal Requests'!L563,'Ex Rates'!G:G,'Weekly Closed Proposal Requests'!D563))</f>
        <v>0.48053820278712156</v>
      </c>
      <c r="K563" s="13">
        <f t="shared" si="9"/>
        <v>9610.7640557424311</v>
      </c>
      <c r="L563" s="13" t="str">
        <f>_xlfn.XLOOKUP(I563,'Wk no''s'!C:C,'Wk no''s'!E:E,0)</f>
        <v>May</v>
      </c>
    </row>
    <row r="564" spans="1:12" x14ac:dyDescent="0.25">
      <c r="A564" s="70">
        <v>45741</v>
      </c>
      <c r="B564" s="71" t="s">
        <v>871</v>
      </c>
      <c r="C564" s="71" t="s">
        <v>872</v>
      </c>
      <c r="D564" s="71" t="s">
        <v>10</v>
      </c>
      <c r="E564" s="71">
        <v>123</v>
      </c>
      <c r="F564" s="70">
        <v>45785</v>
      </c>
      <c r="G564" s="71" t="s">
        <v>11</v>
      </c>
      <c r="H564" s="71" t="s">
        <v>19</v>
      </c>
      <c r="I564" s="13">
        <f>_xlfn.XLOOKUP(F564,'Wk no''s'!B:B,'Wk no''s'!C:C,FALSE)</f>
        <v>19</v>
      </c>
      <c r="J564" s="13">
        <f>IF(D564="GBP",1,SUMIFS('Ex Rates'!I:I,'Ex Rates'!K:K,'Weekly Closed Proposal Requests'!L564,'Ex Rates'!G:G,'Weekly Closed Proposal Requests'!D564))</f>
        <v>0.48053820278712156</v>
      </c>
      <c r="K564" s="13">
        <f t="shared" si="9"/>
        <v>59.106198942815951</v>
      </c>
      <c r="L564" s="13" t="str">
        <f>_xlfn.XLOOKUP(I564,'Wk no''s'!C:C,'Wk no''s'!E:E,0)</f>
        <v>May</v>
      </c>
    </row>
    <row r="565" spans="1:12" x14ac:dyDescent="0.25">
      <c r="A565" s="70">
        <v>45776</v>
      </c>
      <c r="B565" s="71" t="s">
        <v>873</v>
      </c>
      <c r="C565" s="71" t="s">
        <v>874</v>
      </c>
      <c r="D565" s="71" t="s">
        <v>10</v>
      </c>
      <c r="E565" s="71">
        <v>10000</v>
      </c>
      <c r="F565" s="70">
        <v>45785</v>
      </c>
      <c r="G565" s="71" t="s">
        <v>11</v>
      </c>
      <c r="H565" s="71" t="s">
        <v>50</v>
      </c>
      <c r="I565" s="13">
        <f>_xlfn.XLOOKUP(F565,'Wk no''s'!B:B,'Wk no''s'!C:C,FALSE)</f>
        <v>19</v>
      </c>
      <c r="J565" s="13">
        <f>IF(D565="GBP",1,SUMIFS('Ex Rates'!I:I,'Ex Rates'!K:K,'Weekly Closed Proposal Requests'!L565,'Ex Rates'!G:G,'Weekly Closed Proposal Requests'!D565))</f>
        <v>0.48053820278712156</v>
      </c>
      <c r="K565" s="13">
        <f t="shared" si="9"/>
        <v>4805.3820278712155</v>
      </c>
      <c r="L565" s="13" t="str">
        <f>_xlfn.XLOOKUP(I565,'Wk no''s'!C:C,'Wk no''s'!E:E,0)</f>
        <v>May</v>
      </c>
    </row>
    <row r="566" spans="1:12" x14ac:dyDescent="0.25">
      <c r="A566" s="70">
        <v>45776</v>
      </c>
      <c r="B566" s="71" t="s">
        <v>875</v>
      </c>
      <c r="C566" s="71" t="s">
        <v>828</v>
      </c>
      <c r="D566" s="71" t="s">
        <v>10</v>
      </c>
      <c r="E566" s="71">
        <v>100000</v>
      </c>
      <c r="F566" s="70">
        <v>45782</v>
      </c>
      <c r="G566" s="71" t="s">
        <v>11</v>
      </c>
      <c r="H566" s="71" t="s">
        <v>50</v>
      </c>
      <c r="I566" s="13">
        <f>_xlfn.XLOOKUP(F566,'Wk no''s'!B:B,'Wk no''s'!C:C,FALSE)</f>
        <v>19</v>
      </c>
      <c r="J566" s="13">
        <f>IF(D566="GBP",1,SUMIFS('Ex Rates'!I:I,'Ex Rates'!K:K,'Weekly Closed Proposal Requests'!L566,'Ex Rates'!G:G,'Weekly Closed Proposal Requests'!D566))</f>
        <v>0.48053820278712156</v>
      </c>
      <c r="K566" s="13">
        <f t="shared" si="9"/>
        <v>48053.820278712155</v>
      </c>
      <c r="L566" s="13" t="str">
        <f>_xlfn.XLOOKUP(I566,'Wk no''s'!C:C,'Wk no''s'!E:E,0)</f>
        <v>May</v>
      </c>
    </row>
    <row r="567" spans="1:12" x14ac:dyDescent="0.25">
      <c r="A567" s="70">
        <v>45778</v>
      </c>
      <c r="B567" s="71" t="s">
        <v>876</v>
      </c>
      <c r="C567" s="71" t="s">
        <v>179</v>
      </c>
      <c r="D567" s="71" t="s">
        <v>15</v>
      </c>
      <c r="E567" s="71">
        <v>1000000</v>
      </c>
      <c r="F567" s="70">
        <v>45784</v>
      </c>
      <c r="G567" s="71" t="s">
        <v>11</v>
      </c>
      <c r="H567" s="71" t="s">
        <v>50</v>
      </c>
      <c r="I567" s="13">
        <f>_xlfn.XLOOKUP(F567,'Wk no''s'!B:B,'Wk no''s'!C:C,FALSE)</f>
        <v>19</v>
      </c>
      <c r="J567" s="13">
        <f>IF(D567="GBP",1,SUMIFS('Ex Rates'!I:I,'Ex Rates'!K:K,'Weekly Closed Proposal Requests'!L567,'Ex Rates'!G:G,'Weekly Closed Proposal Requests'!D567))</f>
        <v>1</v>
      </c>
      <c r="K567" s="13">
        <f t="shared" si="9"/>
        <v>1000000</v>
      </c>
      <c r="L567" s="13" t="str">
        <f>_xlfn.XLOOKUP(I567,'Wk no''s'!C:C,'Wk no''s'!E:E,0)</f>
        <v>May</v>
      </c>
    </row>
    <row r="568" spans="1:12" x14ac:dyDescent="0.25">
      <c r="A568" s="70">
        <v>45782</v>
      </c>
      <c r="B568" s="71" t="s">
        <v>877</v>
      </c>
      <c r="C568" s="71" t="s">
        <v>878</v>
      </c>
      <c r="D568" s="71" t="s">
        <v>10</v>
      </c>
      <c r="E568" s="71">
        <v>30000</v>
      </c>
      <c r="F568" s="70">
        <v>45783</v>
      </c>
      <c r="G568" s="71" t="s">
        <v>11</v>
      </c>
      <c r="H568" s="71" t="s">
        <v>50</v>
      </c>
      <c r="I568" s="13">
        <f>_xlfn.XLOOKUP(F568,'Wk no''s'!B:B,'Wk no''s'!C:C,FALSE)</f>
        <v>19</v>
      </c>
      <c r="J568" s="13">
        <f>IF(D568="GBP",1,SUMIFS('Ex Rates'!I:I,'Ex Rates'!K:K,'Weekly Closed Proposal Requests'!L568,'Ex Rates'!G:G,'Weekly Closed Proposal Requests'!D568))</f>
        <v>0.48053820278712156</v>
      </c>
      <c r="K568" s="13">
        <f t="shared" si="9"/>
        <v>14416.146083613647</v>
      </c>
      <c r="L568" s="13" t="str">
        <f>_xlfn.XLOOKUP(I568,'Wk no''s'!C:C,'Wk no''s'!E:E,0)</f>
        <v>May</v>
      </c>
    </row>
    <row r="569" spans="1:12" x14ac:dyDescent="0.25">
      <c r="A569" s="70">
        <v>45785</v>
      </c>
      <c r="B569" s="71" t="s">
        <v>879</v>
      </c>
      <c r="C569" s="71" t="s">
        <v>880</v>
      </c>
      <c r="D569" s="71" t="s">
        <v>10</v>
      </c>
      <c r="E569" s="71">
        <v>16349.34</v>
      </c>
      <c r="F569" s="70">
        <v>45785</v>
      </c>
      <c r="G569" s="71" t="s">
        <v>11</v>
      </c>
      <c r="H569" s="71" t="s">
        <v>50</v>
      </c>
      <c r="I569" s="13">
        <f>_xlfn.XLOOKUP(F569,'Wk no''s'!B:B,'Wk no''s'!C:C,FALSE)</f>
        <v>19</v>
      </c>
      <c r="J569" s="13">
        <f>IF(D569="GBP",1,SUMIFS('Ex Rates'!I:I,'Ex Rates'!K:K,'Weekly Closed Proposal Requests'!L569,'Ex Rates'!G:G,'Weekly Closed Proposal Requests'!D569))</f>
        <v>0.48053820278712156</v>
      </c>
      <c r="K569" s="13">
        <f t="shared" si="9"/>
        <v>7856.4824603555981</v>
      </c>
      <c r="L569" s="13" t="str">
        <f>_xlfn.XLOOKUP(I569,'Wk no''s'!C:C,'Wk no''s'!E:E,0)</f>
        <v>May</v>
      </c>
    </row>
    <row r="570" spans="1:12" x14ac:dyDescent="0.25">
      <c r="A570" s="70">
        <v>45761</v>
      </c>
      <c r="B570" s="71" t="s">
        <v>881</v>
      </c>
      <c r="C570" s="71" t="s">
        <v>633</v>
      </c>
      <c r="D570" s="71" t="s">
        <v>15</v>
      </c>
      <c r="E570" s="71">
        <v>2000000</v>
      </c>
      <c r="F570" s="70">
        <v>45785</v>
      </c>
      <c r="G570" s="71" t="s">
        <v>72</v>
      </c>
      <c r="H570" s="71" t="s">
        <v>19</v>
      </c>
      <c r="I570" s="13">
        <f>_xlfn.XLOOKUP(F570,'Wk no''s'!B:B,'Wk no''s'!C:C,FALSE)</f>
        <v>19</v>
      </c>
      <c r="J570" s="13">
        <f>IF(D570="GBP",1,SUMIFS('Ex Rates'!I:I,'Ex Rates'!K:K,'Weekly Closed Proposal Requests'!L570,'Ex Rates'!G:G,'Weekly Closed Proposal Requests'!D570))</f>
        <v>1</v>
      </c>
      <c r="K570" s="13">
        <f t="shared" si="9"/>
        <v>2000000</v>
      </c>
      <c r="L570" s="13" t="str">
        <f>_xlfn.XLOOKUP(I570,'Wk no''s'!C:C,'Wk no''s'!E:E,0)</f>
        <v>May</v>
      </c>
    </row>
    <row r="571" spans="1:12" x14ac:dyDescent="0.25">
      <c r="A571" s="70">
        <v>45782</v>
      </c>
      <c r="B571" s="71" t="s">
        <v>882</v>
      </c>
      <c r="C571" s="71" t="s">
        <v>396</v>
      </c>
      <c r="D571" s="71" t="s">
        <v>15</v>
      </c>
      <c r="E571" s="71">
        <v>200000</v>
      </c>
      <c r="F571" s="70">
        <v>45785</v>
      </c>
      <c r="G571" s="71" t="s">
        <v>72</v>
      </c>
      <c r="H571" s="71" t="s">
        <v>19</v>
      </c>
      <c r="I571" s="13">
        <f>_xlfn.XLOOKUP(F571,'Wk no''s'!B:B,'Wk no''s'!C:C,FALSE)</f>
        <v>19</v>
      </c>
      <c r="J571" s="13">
        <f>IF(D571="GBP",1,SUMIFS('Ex Rates'!I:I,'Ex Rates'!K:K,'Weekly Closed Proposal Requests'!L571,'Ex Rates'!G:G,'Weekly Closed Proposal Requests'!D571))</f>
        <v>1</v>
      </c>
      <c r="K571" s="13">
        <f t="shared" si="9"/>
        <v>200000</v>
      </c>
      <c r="L571" s="13" t="str">
        <f>_xlfn.XLOOKUP(I571,'Wk no''s'!C:C,'Wk no''s'!E:E,0)</f>
        <v>May</v>
      </c>
    </row>
    <row r="572" spans="1:12" x14ac:dyDescent="0.25">
      <c r="A572" s="70">
        <v>45684</v>
      </c>
      <c r="B572" s="71" t="s">
        <v>885</v>
      </c>
      <c r="C572" s="71" t="s">
        <v>886</v>
      </c>
      <c r="D572" s="71" t="s">
        <v>15</v>
      </c>
      <c r="E572" s="71">
        <v>500000</v>
      </c>
      <c r="F572" s="70">
        <v>45785</v>
      </c>
      <c r="G572" s="71" t="s">
        <v>72</v>
      </c>
      <c r="H572" s="71" t="s">
        <v>50</v>
      </c>
      <c r="I572" s="13">
        <f>_xlfn.XLOOKUP(F572,'Wk no''s'!B:B,'Wk no''s'!C:C,FALSE)</f>
        <v>19</v>
      </c>
      <c r="J572" s="13">
        <f>IF(D572="GBP",1,SUMIFS('Ex Rates'!I:I,'Ex Rates'!K:K,'Weekly Closed Proposal Requests'!L572,'Ex Rates'!G:G,'Weekly Closed Proposal Requests'!D572))</f>
        <v>1</v>
      </c>
      <c r="K572" s="13">
        <f t="shared" si="9"/>
        <v>500000</v>
      </c>
      <c r="L572" s="13" t="str">
        <f>_xlfn.XLOOKUP(I572,'Wk no''s'!C:C,'Wk no''s'!E:E,0)</f>
        <v>May</v>
      </c>
    </row>
    <row r="573" spans="1:12" x14ac:dyDescent="0.25">
      <c r="A573" s="70">
        <v>45785</v>
      </c>
      <c r="B573" s="71" t="s">
        <v>911</v>
      </c>
      <c r="C573" s="71" t="s">
        <v>1182</v>
      </c>
      <c r="D573" s="71" t="s">
        <v>15</v>
      </c>
      <c r="E573" s="71">
        <v>100000</v>
      </c>
      <c r="F573" s="70">
        <v>45789</v>
      </c>
      <c r="G573" s="71" t="s">
        <v>16</v>
      </c>
      <c r="H573" s="71" t="s">
        <v>19</v>
      </c>
      <c r="I573" s="13">
        <f>_xlfn.XLOOKUP(F573,'Wk no''s'!B:B,'Wk no''s'!C:C,FALSE)</f>
        <v>20</v>
      </c>
      <c r="J573" s="13">
        <f>IF(D573="GBP",1,SUMIFS('Ex Rates'!I:I,'Ex Rates'!K:K,'Weekly Closed Proposal Requests'!L573,'Ex Rates'!G:G,'Weekly Closed Proposal Requests'!D573))</f>
        <v>1</v>
      </c>
      <c r="K573" s="13">
        <f t="shared" si="9"/>
        <v>100000</v>
      </c>
      <c r="L573" s="13" t="str">
        <f>_xlfn.XLOOKUP(I573,'Wk no''s'!C:C,'Wk no''s'!E:E,0)</f>
        <v>May</v>
      </c>
    </row>
    <row r="574" spans="1:12" x14ac:dyDescent="0.25">
      <c r="A574" s="70">
        <v>45785</v>
      </c>
      <c r="B574" s="71" t="s">
        <v>912</v>
      </c>
      <c r="C574" s="71" t="s">
        <v>843</v>
      </c>
      <c r="D574" s="71" t="s">
        <v>15</v>
      </c>
      <c r="E574" s="71">
        <v>200000</v>
      </c>
      <c r="F574" s="70">
        <v>45790</v>
      </c>
      <c r="G574" s="71" t="s">
        <v>16</v>
      </c>
      <c r="H574" s="71" t="s">
        <v>19</v>
      </c>
      <c r="I574" s="13">
        <f>_xlfn.XLOOKUP(F574,'Wk no''s'!B:B,'Wk no''s'!C:C,FALSE)</f>
        <v>20</v>
      </c>
      <c r="J574" s="13">
        <f>IF(D574="GBP",1,SUMIFS('Ex Rates'!I:I,'Ex Rates'!K:K,'Weekly Closed Proposal Requests'!L574,'Ex Rates'!G:G,'Weekly Closed Proposal Requests'!D574))</f>
        <v>1</v>
      </c>
      <c r="K574" s="13">
        <f t="shared" si="9"/>
        <v>200000</v>
      </c>
      <c r="L574" s="13" t="str">
        <f>_xlfn.XLOOKUP(I574,'Wk no''s'!C:C,'Wk no''s'!E:E,0)</f>
        <v>May</v>
      </c>
    </row>
    <row r="575" spans="1:12" x14ac:dyDescent="0.25">
      <c r="A575" s="70">
        <v>45785</v>
      </c>
      <c r="B575" s="71" t="s">
        <v>913</v>
      </c>
      <c r="C575" s="71" t="s">
        <v>248</v>
      </c>
      <c r="D575" s="71" t="s">
        <v>15</v>
      </c>
      <c r="E575" s="71">
        <v>50000</v>
      </c>
      <c r="F575" s="70">
        <v>45791</v>
      </c>
      <c r="G575" s="71" t="s">
        <v>16</v>
      </c>
      <c r="H575" s="71" t="s">
        <v>19</v>
      </c>
      <c r="I575" s="13">
        <f>_xlfn.XLOOKUP(F575,'Wk no''s'!B:B,'Wk no''s'!C:C,FALSE)</f>
        <v>20</v>
      </c>
      <c r="J575" s="13">
        <f>IF(D575="GBP",1,SUMIFS('Ex Rates'!I:I,'Ex Rates'!K:K,'Weekly Closed Proposal Requests'!L575,'Ex Rates'!G:G,'Weekly Closed Proposal Requests'!D575))</f>
        <v>1</v>
      </c>
      <c r="K575" s="13">
        <f t="shared" si="9"/>
        <v>50000</v>
      </c>
      <c r="L575" s="13" t="str">
        <f>_xlfn.XLOOKUP(I575,'Wk no''s'!C:C,'Wk no''s'!E:E,0)</f>
        <v>May</v>
      </c>
    </row>
    <row r="576" spans="1:12" x14ac:dyDescent="0.25">
      <c r="A576" s="70">
        <v>45786</v>
      </c>
      <c r="B576" s="71" t="s">
        <v>914</v>
      </c>
      <c r="C576" s="71" t="s">
        <v>780</v>
      </c>
      <c r="D576" s="71" t="s">
        <v>15</v>
      </c>
      <c r="E576" s="71">
        <v>30000</v>
      </c>
      <c r="F576" s="70">
        <v>45789</v>
      </c>
      <c r="G576" s="71" t="s">
        <v>16</v>
      </c>
      <c r="H576" s="71" t="s">
        <v>19</v>
      </c>
      <c r="I576" s="13">
        <f>_xlfn.XLOOKUP(F576,'Wk no''s'!B:B,'Wk no''s'!C:C,FALSE)</f>
        <v>20</v>
      </c>
      <c r="J576" s="13">
        <f>IF(D576="GBP",1,SUMIFS('Ex Rates'!I:I,'Ex Rates'!K:K,'Weekly Closed Proposal Requests'!L576,'Ex Rates'!G:G,'Weekly Closed Proposal Requests'!D576))</f>
        <v>1</v>
      </c>
      <c r="K576" s="13">
        <f t="shared" si="9"/>
        <v>30000</v>
      </c>
      <c r="L576" s="13" t="str">
        <f>_xlfn.XLOOKUP(I576,'Wk no''s'!C:C,'Wk no''s'!E:E,0)</f>
        <v>May</v>
      </c>
    </row>
    <row r="577" spans="1:12" x14ac:dyDescent="0.25">
      <c r="A577" s="70">
        <v>45786</v>
      </c>
      <c r="B577" s="71" t="s">
        <v>915</v>
      </c>
      <c r="C577" s="71" t="s">
        <v>916</v>
      </c>
      <c r="D577" s="71" t="s">
        <v>15</v>
      </c>
      <c r="E577" s="71">
        <v>75000</v>
      </c>
      <c r="F577" s="70">
        <v>45793</v>
      </c>
      <c r="G577" s="71" t="s">
        <v>16</v>
      </c>
      <c r="H577" s="71" t="s">
        <v>19</v>
      </c>
      <c r="I577" s="13">
        <f>_xlfn.XLOOKUP(F577,'Wk no''s'!B:B,'Wk no''s'!C:C,FALSE)</f>
        <v>20</v>
      </c>
      <c r="J577" s="13">
        <f>IF(D577="GBP",1,SUMIFS('Ex Rates'!I:I,'Ex Rates'!K:K,'Weekly Closed Proposal Requests'!L577,'Ex Rates'!G:G,'Weekly Closed Proposal Requests'!D577))</f>
        <v>1</v>
      </c>
      <c r="K577" s="13">
        <f t="shared" si="9"/>
        <v>75000</v>
      </c>
      <c r="L577" s="13" t="str">
        <f>_xlfn.XLOOKUP(I577,'Wk no''s'!C:C,'Wk no''s'!E:E,0)</f>
        <v>May</v>
      </c>
    </row>
    <row r="578" spans="1:12" x14ac:dyDescent="0.25">
      <c r="A578" s="70">
        <v>45789</v>
      </c>
      <c r="B578" s="71" t="s">
        <v>917</v>
      </c>
      <c r="C578" s="71" t="s">
        <v>494</v>
      </c>
      <c r="D578" s="71" t="s">
        <v>15</v>
      </c>
      <c r="E578" s="71">
        <v>150000</v>
      </c>
      <c r="F578" s="70">
        <v>45792</v>
      </c>
      <c r="G578" s="71" t="s">
        <v>16</v>
      </c>
      <c r="H578" s="71" t="s">
        <v>19</v>
      </c>
      <c r="I578" s="13">
        <f>_xlfn.XLOOKUP(F578,'Wk no''s'!B:B,'Wk no''s'!C:C,FALSE)</f>
        <v>20</v>
      </c>
      <c r="J578" s="13">
        <f>IF(D578="GBP",1,SUMIFS('Ex Rates'!I:I,'Ex Rates'!K:K,'Weekly Closed Proposal Requests'!L578,'Ex Rates'!G:G,'Weekly Closed Proposal Requests'!D578))</f>
        <v>1</v>
      </c>
      <c r="K578" s="13">
        <f t="shared" si="9"/>
        <v>150000</v>
      </c>
      <c r="L578" s="13" t="str">
        <f>_xlfn.XLOOKUP(I578,'Wk no''s'!C:C,'Wk no''s'!E:E,0)</f>
        <v>May</v>
      </c>
    </row>
    <row r="579" spans="1:12" x14ac:dyDescent="0.25">
      <c r="A579" s="70">
        <v>45789</v>
      </c>
      <c r="B579" s="71" t="s">
        <v>918</v>
      </c>
      <c r="C579" s="71" t="s">
        <v>919</v>
      </c>
      <c r="D579" s="71" t="s">
        <v>15</v>
      </c>
      <c r="E579" s="71">
        <v>25000</v>
      </c>
      <c r="F579" s="70">
        <v>45792</v>
      </c>
      <c r="G579" s="71" t="s">
        <v>16</v>
      </c>
      <c r="H579" s="71" t="s">
        <v>19</v>
      </c>
      <c r="I579" s="13">
        <f>_xlfn.XLOOKUP(F579,'Wk no''s'!B:B,'Wk no''s'!C:C,FALSE)</f>
        <v>20</v>
      </c>
      <c r="J579" s="13">
        <f>IF(D579="GBP",1,SUMIFS('Ex Rates'!I:I,'Ex Rates'!K:K,'Weekly Closed Proposal Requests'!L579,'Ex Rates'!G:G,'Weekly Closed Proposal Requests'!D579))</f>
        <v>1</v>
      </c>
      <c r="K579" s="13">
        <f t="shared" si="9"/>
        <v>25000</v>
      </c>
      <c r="L579" s="13" t="str">
        <f>_xlfn.XLOOKUP(I579,'Wk no''s'!C:C,'Wk no''s'!E:E,0)</f>
        <v>May</v>
      </c>
    </row>
    <row r="580" spans="1:12" x14ac:dyDescent="0.25">
      <c r="A580" s="70">
        <v>45790</v>
      </c>
      <c r="B580" s="71" t="s">
        <v>920</v>
      </c>
      <c r="C580" s="71" t="s">
        <v>851</v>
      </c>
      <c r="D580" s="71" t="s">
        <v>15</v>
      </c>
      <c r="E580" s="71">
        <v>30000</v>
      </c>
      <c r="F580" s="70">
        <v>45791</v>
      </c>
      <c r="G580" s="71" t="s">
        <v>16</v>
      </c>
      <c r="H580" s="71" t="s">
        <v>19</v>
      </c>
      <c r="I580" s="13">
        <f>_xlfn.XLOOKUP(F580,'Wk no''s'!B:B,'Wk no''s'!C:C,FALSE)</f>
        <v>20</v>
      </c>
      <c r="J580" s="13">
        <f>IF(D580="GBP",1,SUMIFS('Ex Rates'!I:I,'Ex Rates'!K:K,'Weekly Closed Proposal Requests'!L580,'Ex Rates'!G:G,'Weekly Closed Proposal Requests'!D580))</f>
        <v>1</v>
      </c>
      <c r="K580" s="13">
        <f t="shared" si="9"/>
        <v>30000</v>
      </c>
      <c r="L580" s="13" t="str">
        <f>_xlfn.XLOOKUP(I580,'Wk no''s'!C:C,'Wk no''s'!E:E,0)</f>
        <v>May</v>
      </c>
    </row>
    <row r="581" spans="1:12" x14ac:dyDescent="0.25">
      <c r="A581" s="70">
        <v>45790</v>
      </c>
      <c r="B581" s="71" t="s">
        <v>921</v>
      </c>
      <c r="C581" s="71" t="s">
        <v>801</v>
      </c>
      <c r="D581" s="71" t="s">
        <v>15</v>
      </c>
      <c r="E581" s="71">
        <v>50000</v>
      </c>
      <c r="F581" s="70">
        <v>45793</v>
      </c>
      <c r="G581" s="71" t="s">
        <v>16</v>
      </c>
      <c r="H581" s="71" t="s">
        <v>19</v>
      </c>
      <c r="I581" s="13">
        <f>_xlfn.XLOOKUP(F581,'Wk no''s'!B:B,'Wk no''s'!C:C,FALSE)</f>
        <v>20</v>
      </c>
      <c r="J581" s="13">
        <f>IF(D581="GBP",1,SUMIFS('Ex Rates'!I:I,'Ex Rates'!K:K,'Weekly Closed Proposal Requests'!L581,'Ex Rates'!G:G,'Weekly Closed Proposal Requests'!D581))</f>
        <v>1</v>
      </c>
      <c r="K581" s="13">
        <f t="shared" si="9"/>
        <v>50000</v>
      </c>
      <c r="L581" s="13" t="str">
        <f>_xlfn.XLOOKUP(I581,'Wk no''s'!C:C,'Wk no''s'!E:E,0)</f>
        <v>May</v>
      </c>
    </row>
    <row r="582" spans="1:12" x14ac:dyDescent="0.25">
      <c r="A582" s="70">
        <v>45791</v>
      </c>
      <c r="B582" s="71" t="s">
        <v>922</v>
      </c>
      <c r="C582" s="71" t="s">
        <v>449</v>
      </c>
      <c r="D582" s="71" t="s">
        <v>15</v>
      </c>
      <c r="E582" s="71">
        <v>200000</v>
      </c>
      <c r="F582" s="70">
        <v>45793</v>
      </c>
      <c r="G582" s="71" t="s">
        <v>16</v>
      </c>
      <c r="H582" s="71" t="s">
        <v>19</v>
      </c>
      <c r="I582" s="13">
        <f>_xlfn.XLOOKUP(F582,'Wk no''s'!B:B,'Wk no''s'!C:C,FALSE)</f>
        <v>20</v>
      </c>
      <c r="J582" s="13">
        <f>IF(D582="GBP",1,SUMIFS('Ex Rates'!I:I,'Ex Rates'!K:K,'Weekly Closed Proposal Requests'!L582,'Ex Rates'!G:G,'Weekly Closed Proposal Requests'!D582))</f>
        <v>1</v>
      </c>
      <c r="K582" s="13">
        <f t="shared" si="9"/>
        <v>200000</v>
      </c>
      <c r="L582" s="13" t="str">
        <f>_xlfn.XLOOKUP(I582,'Wk no''s'!C:C,'Wk no''s'!E:E,0)</f>
        <v>May</v>
      </c>
    </row>
    <row r="583" spans="1:12" x14ac:dyDescent="0.25">
      <c r="A583" s="70">
        <v>45792</v>
      </c>
      <c r="B583" s="71" t="s">
        <v>923</v>
      </c>
      <c r="C583" s="71" t="s">
        <v>660</v>
      </c>
      <c r="D583" s="71" t="s">
        <v>15</v>
      </c>
      <c r="E583" s="71">
        <v>2000</v>
      </c>
      <c r="F583" s="70">
        <v>45793</v>
      </c>
      <c r="G583" s="71" t="s">
        <v>16</v>
      </c>
      <c r="H583" s="71" t="s">
        <v>19</v>
      </c>
      <c r="I583" s="13">
        <f>_xlfn.XLOOKUP(F583,'Wk no''s'!B:B,'Wk no''s'!C:C,FALSE)</f>
        <v>20</v>
      </c>
      <c r="J583" s="13">
        <f>IF(D583="GBP",1,SUMIFS('Ex Rates'!I:I,'Ex Rates'!K:K,'Weekly Closed Proposal Requests'!L583,'Ex Rates'!G:G,'Weekly Closed Proposal Requests'!D583))</f>
        <v>1</v>
      </c>
      <c r="K583" s="13">
        <f t="shared" si="9"/>
        <v>2000</v>
      </c>
      <c r="L583" s="13" t="str">
        <f>_xlfn.XLOOKUP(I583,'Wk no''s'!C:C,'Wk no''s'!E:E,0)</f>
        <v>May</v>
      </c>
    </row>
    <row r="584" spans="1:12" x14ac:dyDescent="0.25">
      <c r="A584" s="70">
        <v>45792</v>
      </c>
      <c r="B584" s="71" t="s">
        <v>924</v>
      </c>
      <c r="C584" s="71" t="s">
        <v>851</v>
      </c>
      <c r="D584" s="71" t="s">
        <v>15</v>
      </c>
      <c r="E584" s="71">
        <v>20000</v>
      </c>
      <c r="F584" s="70">
        <v>45793</v>
      </c>
      <c r="G584" s="71" t="s">
        <v>16</v>
      </c>
      <c r="H584" s="71" t="s">
        <v>19</v>
      </c>
      <c r="I584" s="13">
        <f>_xlfn.XLOOKUP(F584,'Wk no''s'!B:B,'Wk no''s'!C:C,FALSE)</f>
        <v>20</v>
      </c>
      <c r="J584" s="13">
        <f>IF(D584="GBP",1,SUMIFS('Ex Rates'!I:I,'Ex Rates'!K:K,'Weekly Closed Proposal Requests'!L584,'Ex Rates'!G:G,'Weekly Closed Proposal Requests'!D584))</f>
        <v>1</v>
      </c>
      <c r="K584" s="13">
        <f t="shared" si="9"/>
        <v>20000</v>
      </c>
      <c r="L584" s="13" t="str">
        <f>_xlfn.XLOOKUP(I584,'Wk no''s'!C:C,'Wk no''s'!E:E,0)</f>
        <v>May</v>
      </c>
    </row>
    <row r="585" spans="1:12" x14ac:dyDescent="0.25">
      <c r="A585" s="70">
        <v>45792</v>
      </c>
      <c r="B585" s="71" t="s">
        <v>925</v>
      </c>
      <c r="C585" s="71" t="s">
        <v>899</v>
      </c>
      <c r="D585" s="71" t="s">
        <v>15</v>
      </c>
      <c r="E585" s="71">
        <v>50000</v>
      </c>
      <c r="F585" s="70">
        <v>45793</v>
      </c>
      <c r="G585" s="71" t="s">
        <v>16</v>
      </c>
      <c r="H585" s="71" t="s">
        <v>19</v>
      </c>
      <c r="I585" s="13">
        <f>_xlfn.XLOOKUP(F585,'Wk no''s'!B:B,'Wk no''s'!C:C,FALSE)</f>
        <v>20</v>
      </c>
      <c r="J585" s="13">
        <f>IF(D585="GBP",1,SUMIFS('Ex Rates'!I:I,'Ex Rates'!K:K,'Weekly Closed Proposal Requests'!L585,'Ex Rates'!G:G,'Weekly Closed Proposal Requests'!D585))</f>
        <v>1</v>
      </c>
      <c r="K585" s="13">
        <f t="shared" si="9"/>
        <v>50000</v>
      </c>
      <c r="L585" s="13" t="str">
        <f>_xlfn.XLOOKUP(I585,'Wk no''s'!C:C,'Wk no''s'!E:E,0)</f>
        <v>May</v>
      </c>
    </row>
    <row r="586" spans="1:12" x14ac:dyDescent="0.25">
      <c r="A586" s="70">
        <v>45790</v>
      </c>
      <c r="B586" s="71" t="s">
        <v>926</v>
      </c>
      <c r="C586" s="71" t="s">
        <v>461</v>
      </c>
      <c r="D586" s="71" t="s">
        <v>40</v>
      </c>
      <c r="E586" s="71">
        <v>205000</v>
      </c>
      <c r="F586" s="70">
        <v>45792</v>
      </c>
      <c r="G586" s="71" t="s">
        <v>41</v>
      </c>
      <c r="H586" s="71" t="s">
        <v>19</v>
      </c>
      <c r="I586" s="13">
        <f>_xlfn.XLOOKUP(F586,'Wk no''s'!B:B,'Wk no''s'!C:C,FALSE)</f>
        <v>20</v>
      </c>
      <c r="J586" s="13">
        <f>IF(D586="GBP",1,SUMIFS('Ex Rates'!I:I,'Ex Rates'!K:K,'Weekly Closed Proposal Requests'!L586,'Ex Rates'!G:G,'Weekly Closed Proposal Requests'!D586))</f>
        <v>0.84961767204757854</v>
      </c>
      <c r="K586" s="13">
        <f t="shared" si="9"/>
        <v>174171.62276975359</v>
      </c>
      <c r="L586" s="13" t="str">
        <f>_xlfn.XLOOKUP(I586,'Wk no''s'!C:C,'Wk no''s'!E:E,0)</f>
        <v>May</v>
      </c>
    </row>
    <row r="587" spans="1:12" x14ac:dyDescent="0.25">
      <c r="A587" s="70">
        <v>45741</v>
      </c>
      <c r="B587" s="71" t="s">
        <v>927</v>
      </c>
      <c r="C587" s="71" t="s">
        <v>465</v>
      </c>
      <c r="D587" s="71" t="s">
        <v>46</v>
      </c>
      <c r="E587" s="71">
        <v>1000000</v>
      </c>
      <c r="F587" s="70">
        <v>45793</v>
      </c>
      <c r="G587" s="71" t="s">
        <v>47</v>
      </c>
      <c r="H587" s="71" t="s">
        <v>50</v>
      </c>
      <c r="I587" s="13">
        <f>_xlfn.XLOOKUP(F587,'Wk no''s'!B:B,'Wk no''s'!C:C,FALSE)</f>
        <v>20</v>
      </c>
      <c r="J587" s="13">
        <f>IF(D587="GBP",1,SUMIFS('Ex Rates'!I:I,'Ex Rates'!K:K,'Weekly Closed Proposal Requests'!L587,'Ex Rates'!G:G,'Weekly Closed Proposal Requests'!D587))</f>
        <v>0.75018754688672173</v>
      </c>
      <c r="K587" s="13">
        <f t="shared" si="9"/>
        <v>750187.54688672174</v>
      </c>
      <c r="L587" s="13" t="str">
        <f>_xlfn.XLOOKUP(I587,'Wk no''s'!C:C,'Wk no''s'!E:E,0)</f>
        <v>May</v>
      </c>
    </row>
    <row r="588" spans="1:12" x14ac:dyDescent="0.25">
      <c r="A588" s="70">
        <v>45764</v>
      </c>
      <c r="B588" s="71" t="s">
        <v>928</v>
      </c>
      <c r="C588" s="71" t="s">
        <v>512</v>
      </c>
      <c r="D588" s="71" t="s">
        <v>15</v>
      </c>
      <c r="E588" s="71">
        <v>115826.2</v>
      </c>
      <c r="F588" s="70">
        <v>45791</v>
      </c>
      <c r="G588" s="71" t="s">
        <v>47</v>
      </c>
      <c r="H588" s="71" t="s">
        <v>50</v>
      </c>
      <c r="I588" s="13">
        <f>_xlfn.XLOOKUP(F588,'Wk no''s'!B:B,'Wk no''s'!C:C,FALSE)</f>
        <v>20</v>
      </c>
      <c r="J588" s="13">
        <f>IF(D588="GBP",1,SUMIFS('Ex Rates'!I:I,'Ex Rates'!K:K,'Weekly Closed Proposal Requests'!L588,'Ex Rates'!G:G,'Weekly Closed Proposal Requests'!D588))</f>
        <v>1</v>
      </c>
      <c r="K588" s="13">
        <f t="shared" si="9"/>
        <v>115826.2</v>
      </c>
      <c r="L588" s="13" t="str">
        <f>_xlfn.XLOOKUP(I588,'Wk no''s'!C:C,'Wk no''s'!E:E,0)</f>
        <v>May</v>
      </c>
    </row>
    <row r="589" spans="1:12" x14ac:dyDescent="0.25">
      <c r="A589" s="70">
        <v>45776</v>
      </c>
      <c r="B589" s="71" t="s">
        <v>929</v>
      </c>
      <c r="C589" s="71" t="s">
        <v>211</v>
      </c>
      <c r="D589" s="71" t="s">
        <v>15</v>
      </c>
      <c r="E589" s="71">
        <v>575353</v>
      </c>
      <c r="F589" s="70">
        <v>45791</v>
      </c>
      <c r="G589" s="71" t="s">
        <v>47</v>
      </c>
      <c r="H589" s="71" t="s">
        <v>50</v>
      </c>
      <c r="I589" s="13">
        <f>_xlfn.XLOOKUP(F589,'Wk no''s'!B:B,'Wk no''s'!C:C,FALSE)</f>
        <v>20</v>
      </c>
      <c r="J589" s="13">
        <f>IF(D589="GBP",1,SUMIFS('Ex Rates'!I:I,'Ex Rates'!K:K,'Weekly Closed Proposal Requests'!L589,'Ex Rates'!G:G,'Weekly Closed Proposal Requests'!D589))</f>
        <v>1</v>
      </c>
      <c r="K589" s="13">
        <f t="shared" si="9"/>
        <v>575353</v>
      </c>
      <c r="L589" s="13" t="str">
        <f>_xlfn.XLOOKUP(I589,'Wk no''s'!C:C,'Wk no''s'!E:E,0)</f>
        <v>May</v>
      </c>
    </row>
    <row r="590" spans="1:12" x14ac:dyDescent="0.25">
      <c r="A590" s="70">
        <v>45776</v>
      </c>
      <c r="B590" s="71" t="s">
        <v>930</v>
      </c>
      <c r="C590" s="71" t="s">
        <v>421</v>
      </c>
      <c r="D590" s="71" t="s">
        <v>46</v>
      </c>
      <c r="E590" s="71">
        <v>105000</v>
      </c>
      <c r="F590" s="70">
        <v>45793</v>
      </c>
      <c r="G590" s="71" t="s">
        <v>47</v>
      </c>
      <c r="H590" s="71" t="s">
        <v>50</v>
      </c>
      <c r="I590" s="13">
        <f>_xlfn.XLOOKUP(F590,'Wk no''s'!B:B,'Wk no''s'!C:C,FALSE)</f>
        <v>20</v>
      </c>
      <c r="J590" s="13">
        <f>IF(D590="GBP",1,SUMIFS('Ex Rates'!I:I,'Ex Rates'!K:K,'Weekly Closed Proposal Requests'!L590,'Ex Rates'!G:G,'Weekly Closed Proposal Requests'!D590))</f>
        <v>0.75018754688672173</v>
      </c>
      <c r="K590" s="13">
        <f t="shared" si="9"/>
        <v>78769.692423105778</v>
      </c>
      <c r="L590" s="13" t="str">
        <f>_xlfn.XLOOKUP(I590,'Wk no''s'!C:C,'Wk no''s'!E:E,0)</f>
        <v>May</v>
      </c>
    </row>
    <row r="591" spans="1:12" x14ac:dyDescent="0.25">
      <c r="A591" s="70">
        <v>45783</v>
      </c>
      <c r="B591" s="71" t="s">
        <v>931</v>
      </c>
      <c r="C591" s="71" t="s">
        <v>508</v>
      </c>
      <c r="D591" s="71" t="s">
        <v>15</v>
      </c>
      <c r="E591" s="71">
        <v>164220</v>
      </c>
      <c r="F591" s="70">
        <v>45793</v>
      </c>
      <c r="G591" s="71" t="s">
        <v>47</v>
      </c>
      <c r="H591" s="71" t="s">
        <v>50</v>
      </c>
      <c r="I591" s="13">
        <f>_xlfn.XLOOKUP(F591,'Wk no''s'!B:B,'Wk no''s'!C:C,FALSE)</f>
        <v>20</v>
      </c>
      <c r="J591" s="13">
        <f>IF(D591="GBP",1,SUMIFS('Ex Rates'!I:I,'Ex Rates'!K:K,'Weekly Closed Proposal Requests'!L591,'Ex Rates'!G:G,'Weekly Closed Proposal Requests'!D591))</f>
        <v>1</v>
      </c>
      <c r="K591" s="13">
        <f t="shared" si="9"/>
        <v>164220</v>
      </c>
      <c r="L591" s="13" t="str">
        <f>_xlfn.XLOOKUP(I591,'Wk no''s'!C:C,'Wk no''s'!E:E,0)</f>
        <v>May</v>
      </c>
    </row>
    <row r="592" spans="1:12" x14ac:dyDescent="0.25">
      <c r="A592" s="70">
        <v>45784</v>
      </c>
      <c r="B592" s="71" t="s">
        <v>932</v>
      </c>
      <c r="C592" s="71" t="s">
        <v>576</v>
      </c>
      <c r="D592" s="71" t="s">
        <v>46</v>
      </c>
      <c r="E592" s="71">
        <v>82000</v>
      </c>
      <c r="F592" s="70">
        <v>45790</v>
      </c>
      <c r="G592" s="71" t="s">
        <v>47</v>
      </c>
      <c r="H592" s="71" t="s">
        <v>50</v>
      </c>
      <c r="I592" s="13">
        <f>_xlfn.XLOOKUP(F592,'Wk no''s'!B:B,'Wk no''s'!C:C,FALSE)</f>
        <v>20</v>
      </c>
      <c r="J592" s="13">
        <f>IF(D592="GBP",1,SUMIFS('Ex Rates'!I:I,'Ex Rates'!K:K,'Weekly Closed Proposal Requests'!L592,'Ex Rates'!G:G,'Weekly Closed Proposal Requests'!D592))</f>
        <v>0.75018754688672173</v>
      </c>
      <c r="K592" s="13">
        <f t="shared" si="9"/>
        <v>61515.37884471118</v>
      </c>
      <c r="L592" s="13" t="str">
        <f>_xlfn.XLOOKUP(I592,'Wk no''s'!C:C,'Wk no''s'!E:E,0)</f>
        <v>May</v>
      </c>
    </row>
    <row r="593" spans="1:12" x14ac:dyDescent="0.25">
      <c r="A593" s="70">
        <v>45785</v>
      </c>
      <c r="B593" s="71" t="s">
        <v>933</v>
      </c>
      <c r="C593" s="71" t="s">
        <v>126</v>
      </c>
      <c r="D593" s="71" t="s">
        <v>15</v>
      </c>
      <c r="E593" s="71">
        <v>380000</v>
      </c>
      <c r="F593" s="70">
        <v>45789</v>
      </c>
      <c r="G593" s="71" t="s">
        <v>47</v>
      </c>
      <c r="H593" s="71" t="s">
        <v>50</v>
      </c>
      <c r="I593" s="13">
        <f>_xlfn.XLOOKUP(F593,'Wk no''s'!B:B,'Wk no''s'!C:C,FALSE)</f>
        <v>20</v>
      </c>
      <c r="J593" s="13">
        <f>IF(D593="GBP",1,SUMIFS('Ex Rates'!I:I,'Ex Rates'!K:K,'Weekly Closed Proposal Requests'!L593,'Ex Rates'!G:G,'Weekly Closed Proposal Requests'!D593))</f>
        <v>1</v>
      </c>
      <c r="K593" s="13">
        <f t="shared" si="9"/>
        <v>380000</v>
      </c>
      <c r="L593" s="13" t="str">
        <f>_xlfn.XLOOKUP(I593,'Wk no''s'!C:C,'Wk no''s'!E:E,0)</f>
        <v>May</v>
      </c>
    </row>
    <row r="594" spans="1:12" x14ac:dyDescent="0.25">
      <c r="A594" s="70">
        <v>45792</v>
      </c>
      <c r="B594" s="71" t="s">
        <v>934</v>
      </c>
      <c r="C594" s="71" t="s">
        <v>325</v>
      </c>
      <c r="D594" s="71" t="s">
        <v>15</v>
      </c>
      <c r="E594" s="71">
        <v>337000</v>
      </c>
      <c r="F594" s="70">
        <v>45792</v>
      </c>
      <c r="G594" s="71" t="s">
        <v>47</v>
      </c>
      <c r="H594" s="71" t="s">
        <v>50</v>
      </c>
      <c r="I594" s="13">
        <f>_xlfn.XLOOKUP(F594,'Wk no''s'!B:B,'Wk no''s'!C:C,FALSE)</f>
        <v>20</v>
      </c>
      <c r="J594" s="13">
        <f>IF(D594="GBP",1,SUMIFS('Ex Rates'!I:I,'Ex Rates'!K:K,'Weekly Closed Proposal Requests'!L594,'Ex Rates'!G:G,'Weekly Closed Proposal Requests'!D594))</f>
        <v>1</v>
      </c>
      <c r="K594" s="13">
        <f t="shared" si="9"/>
        <v>337000</v>
      </c>
      <c r="L594" s="13" t="str">
        <f>_xlfn.XLOOKUP(I594,'Wk no''s'!C:C,'Wk no''s'!E:E,0)</f>
        <v>May</v>
      </c>
    </row>
    <row r="595" spans="1:12" x14ac:dyDescent="0.25">
      <c r="A595" s="70">
        <v>45791</v>
      </c>
      <c r="B595" s="71" t="s">
        <v>935</v>
      </c>
      <c r="C595" s="71" t="s">
        <v>619</v>
      </c>
      <c r="D595" s="71" t="s">
        <v>10</v>
      </c>
      <c r="E595" s="71">
        <v>100000</v>
      </c>
      <c r="F595" s="70">
        <v>45792</v>
      </c>
      <c r="G595" s="71" t="s">
        <v>11</v>
      </c>
      <c r="H595" s="71" t="s">
        <v>12</v>
      </c>
      <c r="I595" s="13">
        <f>_xlfn.XLOOKUP(F595,'Wk no''s'!B:B,'Wk no''s'!C:C,FALSE)</f>
        <v>20</v>
      </c>
      <c r="J595" s="13">
        <f>IF(D595="GBP",1,SUMIFS('Ex Rates'!I:I,'Ex Rates'!K:K,'Weekly Closed Proposal Requests'!L595,'Ex Rates'!G:G,'Weekly Closed Proposal Requests'!D595))</f>
        <v>0.48053820278712156</v>
      </c>
      <c r="K595" s="13">
        <f t="shared" si="9"/>
        <v>48053.820278712155</v>
      </c>
      <c r="L595" s="13" t="str">
        <f>_xlfn.XLOOKUP(I595,'Wk no''s'!C:C,'Wk no''s'!E:E,0)</f>
        <v>May</v>
      </c>
    </row>
    <row r="596" spans="1:12" x14ac:dyDescent="0.25">
      <c r="A596" s="70">
        <v>45792</v>
      </c>
      <c r="B596" s="71" t="s">
        <v>936</v>
      </c>
      <c r="C596" s="71" t="s">
        <v>897</v>
      </c>
      <c r="D596" s="71" t="s">
        <v>10</v>
      </c>
      <c r="E596" s="71">
        <v>35000</v>
      </c>
      <c r="F596" s="70">
        <v>45792</v>
      </c>
      <c r="G596" s="71" t="s">
        <v>11</v>
      </c>
      <c r="H596" s="71" t="s">
        <v>12</v>
      </c>
      <c r="I596" s="13">
        <f>_xlfn.XLOOKUP(F596,'Wk no''s'!B:B,'Wk no''s'!C:C,FALSE)</f>
        <v>20</v>
      </c>
      <c r="J596" s="13">
        <f>IF(D596="GBP",1,SUMIFS('Ex Rates'!I:I,'Ex Rates'!K:K,'Weekly Closed Proposal Requests'!L596,'Ex Rates'!G:G,'Weekly Closed Proposal Requests'!D596))</f>
        <v>0.48053820278712156</v>
      </c>
      <c r="K596" s="13">
        <f t="shared" si="9"/>
        <v>16818.837097549254</v>
      </c>
      <c r="L596" s="13" t="str">
        <f>_xlfn.XLOOKUP(I596,'Wk no''s'!C:C,'Wk no''s'!E:E,0)</f>
        <v>May</v>
      </c>
    </row>
    <row r="597" spans="1:12" x14ac:dyDescent="0.25">
      <c r="A597" s="70">
        <v>45786</v>
      </c>
      <c r="B597" s="71" t="s">
        <v>937</v>
      </c>
      <c r="C597" s="71" t="s">
        <v>938</v>
      </c>
      <c r="D597" s="71" t="s">
        <v>10</v>
      </c>
      <c r="E597" s="71">
        <v>10000</v>
      </c>
      <c r="F597" s="70">
        <v>45789</v>
      </c>
      <c r="G597" s="71" t="s">
        <v>11</v>
      </c>
      <c r="H597" s="71" t="s">
        <v>19</v>
      </c>
      <c r="I597" s="13">
        <f>_xlfn.XLOOKUP(F597,'Wk no''s'!B:B,'Wk no''s'!C:C,FALSE)</f>
        <v>20</v>
      </c>
      <c r="J597" s="13">
        <f>IF(D597="GBP",1,SUMIFS('Ex Rates'!I:I,'Ex Rates'!K:K,'Weekly Closed Proposal Requests'!L597,'Ex Rates'!G:G,'Weekly Closed Proposal Requests'!D597))</f>
        <v>0.48053820278712156</v>
      </c>
      <c r="K597" s="13">
        <f t="shared" si="9"/>
        <v>4805.3820278712155</v>
      </c>
      <c r="L597" s="13" t="str">
        <f>_xlfn.XLOOKUP(I597,'Wk no''s'!C:C,'Wk no''s'!E:E,0)</f>
        <v>May</v>
      </c>
    </row>
    <row r="598" spans="1:12" x14ac:dyDescent="0.25">
      <c r="A598" s="70">
        <v>45782</v>
      </c>
      <c r="B598" s="71" t="s">
        <v>939</v>
      </c>
      <c r="C598" s="71" t="s">
        <v>179</v>
      </c>
      <c r="D598" s="71" t="s">
        <v>15</v>
      </c>
      <c r="E598" s="71">
        <v>1000000</v>
      </c>
      <c r="F598" s="70">
        <v>45789</v>
      </c>
      <c r="G598" s="71" t="s">
        <v>11</v>
      </c>
      <c r="H598" s="71" t="s">
        <v>50</v>
      </c>
      <c r="I598" s="13">
        <f>_xlfn.XLOOKUP(F598,'Wk no''s'!B:B,'Wk no''s'!C:C,FALSE)</f>
        <v>20</v>
      </c>
      <c r="J598" s="13">
        <f>IF(D598="GBP",1,SUMIFS('Ex Rates'!I:I,'Ex Rates'!K:K,'Weekly Closed Proposal Requests'!L598,'Ex Rates'!G:G,'Weekly Closed Proposal Requests'!D598))</f>
        <v>1</v>
      </c>
      <c r="K598" s="13">
        <f t="shared" si="9"/>
        <v>1000000</v>
      </c>
      <c r="L598" s="13" t="str">
        <f>_xlfn.XLOOKUP(I598,'Wk no''s'!C:C,'Wk no''s'!E:E,0)</f>
        <v>May</v>
      </c>
    </row>
    <row r="599" spans="1:12" x14ac:dyDescent="0.25">
      <c r="A599" s="70">
        <v>45785</v>
      </c>
      <c r="B599" s="71" t="s">
        <v>940</v>
      </c>
      <c r="C599" s="71" t="s">
        <v>941</v>
      </c>
      <c r="D599" s="71" t="s">
        <v>10</v>
      </c>
      <c r="E599" s="71">
        <v>35000</v>
      </c>
      <c r="F599" s="70">
        <v>45791</v>
      </c>
      <c r="G599" s="71" t="s">
        <v>11</v>
      </c>
      <c r="H599" s="71" t="s">
        <v>50</v>
      </c>
      <c r="I599" s="13">
        <f>_xlfn.XLOOKUP(F599,'Wk no''s'!B:B,'Wk no''s'!C:C,FALSE)</f>
        <v>20</v>
      </c>
      <c r="J599" s="13">
        <f>IF(D599="GBP",1,SUMIFS('Ex Rates'!I:I,'Ex Rates'!K:K,'Weekly Closed Proposal Requests'!L599,'Ex Rates'!G:G,'Weekly Closed Proposal Requests'!D599))</f>
        <v>0.48053820278712156</v>
      </c>
      <c r="K599" s="13">
        <f t="shared" ref="K599:K662" si="10">+E599*J599</f>
        <v>16818.837097549254</v>
      </c>
      <c r="L599" s="13" t="str">
        <f>_xlfn.XLOOKUP(I599,'Wk no''s'!C:C,'Wk no''s'!E:E,0)</f>
        <v>May</v>
      </c>
    </row>
    <row r="600" spans="1:12" x14ac:dyDescent="0.25">
      <c r="A600" s="70">
        <v>45786</v>
      </c>
      <c r="B600" s="71" t="s">
        <v>942</v>
      </c>
      <c r="C600" s="71" t="s">
        <v>943</v>
      </c>
      <c r="D600" s="71" t="s">
        <v>10</v>
      </c>
      <c r="E600" s="71">
        <v>160000</v>
      </c>
      <c r="F600" s="70">
        <v>45793</v>
      </c>
      <c r="G600" s="71" t="s">
        <v>11</v>
      </c>
      <c r="H600" s="71" t="s">
        <v>50</v>
      </c>
      <c r="I600" s="13">
        <f>_xlfn.XLOOKUP(F600,'Wk no''s'!B:B,'Wk no''s'!C:C,FALSE)</f>
        <v>20</v>
      </c>
      <c r="J600" s="13">
        <f>IF(D600="GBP",1,SUMIFS('Ex Rates'!I:I,'Ex Rates'!K:K,'Weekly Closed Proposal Requests'!L600,'Ex Rates'!G:G,'Weekly Closed Proposal Requests'!D600))</f>
        <v>0.48053820278712156</v>
      </c>
      <c r="K600" s="13">
        <f t="shared" si="10"/>
        <v>76886.112445939449</v>
      </c>
      <c r="L600" s="13" t="str">
        <f>_xlfn.XLOOKUP(I600,'Wk no''s'!C:C,'Wk no''s'!E:E,0)</f>
        <v>May</v>
      </c>
    </row>
    <row r="601" spans="1:12" x14ac:dyDescent="0.25">
      <c r="A601" s="70">
        <v>45790</v>
      </c>
      <c r="B601" s="71" t="s">
        <v>944</v>
      </c>
      <c r="C601" s="71" t="s">
        <v>897</v>
      </c>
      <c r="D601" s="71" t="s">
        <v>10</v>
      </c>
      <c r="E601" s="71">
        <v>39509</v>
      </c>
      <c r="F601" s="70">
        <v>45791</v>
      </c>
      <c r="G601" s="71" t="s">
        <v>11</v>
      </c>
      <c r="H601" s="71" t="s">
        <v>50</v>
      </c>
      <c r="I601" s="13">
        <f>_xlfn.XLOOKUP(F601,'Wk no''s'!B:B,'Wk no''s'!C:C,FALSE)</f>
        <v>20</v>
      </c>
      <c r="J601" s="13">
        <f>IF(D601="GBP",1,SUMIFS('Ex Rates'!I:I,'Ex Rates'!K:K,'Weekly Closed Proposal Requests'!L601,'Ex Rates'!G:G,'Weekly Closed Proposal Requests'!D601))</f>
        <v>0.48053820278712156</v>
      </c>
      <c r="K601" s="13">
        <f t="shared" si="10"/>
        <v>18985.583853916385</v>
      </c>
      <c r="L601" s="13" t="str">
        <f>_xlfn.XLOOKUP(I601,'Wk no''s'!C:C,'Wk no''s'!E:E,0)</f>
        <v>May</v>
      </c>
    </row>
    <row r="602" spans="1:12" x14ac:dyDescent="0.25">
      <c r="A602" s="70">
        <v>45755</v>
      </c>
      <c r="B602" s="71" t="s">
        <v>945</v>
      </c>
      <c r="C602" s="71" t="s">
        <v>946</v>
      </c>
      <c r="D602" s="71" t="s">
        <v>15</v>
      </c>
      <c r="E602" s="71">
        <v>1500000</v>
      </c>
      <c r="F602" s="70">
        <v>45789</v>
      </c>
      <c r="G602" s="71" t="s">
        <v>72</v>
      </c>
      <c r="H602" s="71" t="s">
        <v>19</v>
      </c>
      <c r="I602" s="13">
        <f>_xlfn.XLOOKUP(F602,'Wk no''s'!B:B,'Wk no''s'!C:C,FALSE)</f>
        <v>20</v>
      </c>
      <c r="J602" s="13">
        <f>IF(D602="GBP",1,SUMIFS('Ex Rates'!I:I,'Ex Rates'!K:K,'Weekly Closed Proposal Requests'!L602,'Ex Rates'!G:G,'Weekly Closed Proposal Requests'!D602))</f>
        <v>1</v>
      </c>
      <c r="K602" s="13">
        <f t="shared" si="10"/>
        <v>1500000</v>
      </c>
      <c r="L602" s="13" t="str">
        <f>_xlfn.XLOOKUP(I602,'Wk no''s'!C:C,'Wk no''s'!E:E,0)</f>
        <v>May</v>
      </c>
    </row>
    <row r="603" spans="1:12" x14ac:dyDescent="0.25">
      <c r="A603" s="70">
        <v>45776</v>
      </c>
      <c r="B603" s="71" t="s">
        <v>947</v>
      </c>
      <c r="C603" s="71" t="s">
        <v>948</v>
      </c>
      <c r="D603" s="71" t="s">
        <v>15</v>
      </c>
      <c r="E603" s="71">
        <v>200000</v>
      </c>
      <c r="F603" s="70">
        <v>45793</v>
      </c>
      <c r="G603" s="71" t="s">
        <v>72</v>
      </c>
      <c r="H603" s="71" t="s">
        <v>19</v>
      </c>
      <c r="I603" s="13">
        <f>_xlfn.XLOOKUP(F603,'Wk no''s'!B:B,'Wk no''s'!C:C,FALSE)</f>
        <v>20</v>
      </c>
      <c r="J603" s="13">
        <f>IF(D603="GBP",1,SUMIFS('Ex Rates'!I:I,'Ex Rates'!K:K,'Weekly Closed Proposal Requests'!L603,'Ex Rates'!G:G,'Weekly Closed Proposal Requests'!D603))</f>
        <v>1</v>
      </c>
      <c r="K603" s="13">
        <f t="shared" si="10"/>
        <v>200000</v>
      </c>
      <c r="L603" s="13" t="str">
        <f>_xlfn.XLOOKUP(I603,'Wk no''s'!C:C,'Wk no''s'!E:E,0)</f>
        <v>May</v>
      </c>
    </row>
    <row r="604" spans="1:12" x14ac:dyDescent="0.25">
      <c r="A604" s="70">
        <v>45784</v>
      </c>
      <c r="B604" s="71" t="s">
        <v>883</v>
      </c>
      <c r="C604" s="71" t="s">
        <v>884</v>
      </c>
      <c r="D604" s="71" t="s">
        <v>15</v>
      </c>
      <c r="E604" s="71">
        <v>300000</v>
      </c>
      <c r="F604" s="70">
        <v>45790</v>
      </c>
      <c r="G604" s="71" t="s">
        <v>72</v>
      </c>
      <c r="H604" s="71" t="s">
        <v>19</v>
      </c>
      <c r="I604" s="13">
        <f>_xlfn.XLOOKUP(F604,'Wk no''s'!B:B,'Wk no''s'!C:C,FALSE)</f>
        <v>20</v>
      </c>
      <c r="J604" s="13">
        <f>IF(D604="GBP",1,SUMIFS('Ex Rates'!I:I,'Ex Rates'!K:K,'Weekly Closed Proposal Requests'!L604,'Ex Rates'!G:G,'Weekly Closed Proposal Requests'!D604))</f>
        <v>1</v>
      </c>
      <c r="K604" s="13">
        <f t="shared" si="10"/>
        <v>300000</v>
      </c>
      <c r="L604" s="13" t="str">
        <f>_xlfn.XLOOKUP(I604,'Wk no''s'!C:C,'Wk no''s'!E:E,0)</f>
        <v>May</v>
      </c>
    </row>
    <row r="605" spans="1:12" x14ac:dyDescent="0.25">
      <c r="A605" s="70">
        <v>45785</v>
      </c>
      <c r="B605" s="71" t="s">
        <v>949</v>
      </c>
      <c r="C605" s="71" t="s">
        <v>896</v>
      </c>
      <c r="D605" s="71" t="s">
        <v>15</v>
      </c>
      <c r="E605" s="71">
        <v>59674</v>
      </c>
      <c r="F605" s="70">
        <v>45792</v>
      </c>
      <c r="G605" s="71" t="s">
        <v>72</v>
      </c>
      <c r="H605" s="71" t="s">
        <v>19</v>
      </c>
      <c r="I605" s="13">
        <f>_xlfn.XLOOKUP(F605,'Wk no''s'!B:B,'Wk no''s'!C:C,FALSE)</f>
        <v>20</v>
      </c>
      <c r="J605" s="13">
        <f>IF(D605="GBP",1,SUMIFS('Ex Rates'!I:I,'Ex Rates'!K:K,'Weekly Closed Proposal Requests'!L605,'Ex Rates'!G:G,'Weekly Closed Proposal Requests'!D605))</f>
        <v>1</v>
      </c>
      <c r="K605" s="13">
        <f t="shared" si="10"/>
        <v>59674</v>
      </c>
      <c r="L605" s="13" t="str">
        <f>_xlfn.XLOOKUP(I605,'Wk no''s'!C:C,'Wk no''s'!E:E,0)</f>
        <v>May</v>
      </c>
    </row>
    <row r="606" spans="1:12" x14ac:dyDescent="0.25">
      <c r="A606" s="70">
        <v>45786</v>
      </c>
      <c r="B606" s="71" t="s">
        <v>950</v>
      </c>
      <c r="C606" s="71" t="s">
        <v>951</v>
      </c>
      <c r="D606" s="71" t="s">
        <v>15</v>
      </c>
      <c r="E606" s="71">
        <v>300000</v>
      </c>
      <c r="F606" s="70">
        <v>45792</v>
      </c>
      <c r="G606" s="71" t="s">
        <v>72</v>
      </c>
      <c r="H606" s="71" t="s">
        <v>19</v>
      </c>
      <c r="I606" s="13">
        <f>_xlfn.XLOOKUP(F606,'Wk no''s'!B:B,'Wk no''s'!C:C,FALSE)</f>
        <v>20</v>
      </c>
      <c r="J606" s="13">
        <f>IF(D606="GBP",1,SUMIFS('Ex Rates'!I:I,'Ex Rates'!K:K,'Weekly Closed Proposal Requests'!L606,'Ex Rates'!G:G,'Weekly Closed Proposal Requests'!D606))</f>
        <v>1</v>
      </c>
      <c r="K606" s="13">
        <f t="shared" si="10"/>
        <v>300000</v>
      </c>
      <c r="L606" s="13" t="str">
        <f>_xlfn.XLOOKUP(I606,'Wk no''s'!C:C,'Wk no''s'!E:E,0)</f>
        <v>May</v>
      </c>
    </row>
    <row r="607" spans="1:12" x14ac:dyDescent="0.25">
      <c r="A607" s="70">
        <v>45789</v>
      </c>
      <c r="B607" s="71" t="s">
        <v>952</v>
      </c>
      <c r="C607" s="71" t="s">
        <v>396</v>
      </c>
      <c r="D607" s="71" t="s">
        <v>15</v>
      </c>
      <c r="E607" s="71">
        <v>100000</v>
      </c>
      <c r="F607" s="70">
        <v>45792</v>
      </c>
      <c r="G607" s="71" t="s">
        <v>72</v>
      </c>
      <c r="H607" s="71" t="s">
        <v>19</v>
      </c>
      <c r="I607" s="13">
        <f>_xlfn.XLOOKUP(F607,'Wk no''s'!B:B,'Wk no''s'!C:C,FALSE)</f>
        <v>20</v>
      </c>
      <c r="J607" s="13">
        <f>IF(D607="GBP",1,SUMIFS('Ex Rates'!I:I,'Ex Rates'!K:K,'Weekly Closed Proposal Requests'!L607,'Ex Rates'!G:G,'Weekly Closed Proposal Requests'!D607))</f>
        <v>1</v>
      </c>
      <c r="K607" s="13">
        <f t="shared" si="10"/>
        <v>100000</v>
      </c>
      <c r="L607" s="13" t="str">
        <f>_xlfn.XLOOKUP(I607,'Wk no''s'!C:C,'Wk no''s'!E:E,0)</f>
        <v>May</v>
      </c>
    </row>
    <row r="608" spans="1:12" x14ac:dyDescent="0.25">
      <c r="A608" s="70">
        <v>45785</v>
      </c>
      <c r="B608" s="71" t="s">
        <v>953</v>
      </c>
      <c r="C608" s="71" t="s">
        <v>898</v>
      </c>
      <c r="D608" s="71" t="s">
        <v>15</v>
      </c>
      <c r="E608" s="71">
        <v>32000</v>
      </c>
      <c r="F608" s="70">
        <v>45792</v>
      </c>
      <c r="G608" s="71" t="s">
        <v>72</v>
      </c>
      <c r="H608" s="71" t="s">
        <v>50</v>
      </c>
      <c r="I608" s="13">
        <f>_xlfn.XLOOKUP(F608,'Wk no''s'!B:B,'Wk no''s'!C:C,FALSE)</f>
        <v>20</v>
      </c>
      <c r="J608" s="13">
        <f>IF(D608="GBP",1,SUMIFS('Ex Rates'!I:I,'Ex Rates'!K:K,'Weekly Closed Proposal Requests'!L608,'Ex Rates'!G:G,'Weekly Closed Proposal Requests'!D608))</f>
        <v>1</v>
      </c>
      <c r="K608" s="13">
        <f t="shared" si="10"/>
        <v>32000</v>
      </c>
      <c r="L608" s="13" t="str">
        <f>_xlfn.XLOOKUP(I608,'Wk no''s'!C:C,'Wk no''s'!E:E,0)</f>
        <v>May</v>
      </c>
    </row>
    <row r="609" spans="1:12" x14ac:dyDescent="0.25">
      <c r="A609" s="70">
        <v>45786</v>
      </c>
      <c r="B609" s="71" t="s">
        <v>954</v>
      </c>
      <c r="C609" s="71" t="s">
        <v>895</v>
      </c>
      <c r="D609" s="71" t="s">
        <v>15</v>
      </c>
      <c r="E609" s="71">
        <v>55000</v>
      </c>
      <c r="F609" s="70">
        <v>45791</v>
      </c>
      <c r="G609" s="71" t="s">
        <v>72</v>
      </c>
      <c r="H609" s="71" t="s">
        <v>50</v>
      </c>
      <c r="I609" s="13">
        <f>_xlfn.XLOOKUP(F609,'Wk no''s'!B:B,'Wk no''s'!C:C,FALSE)</f>
        <v>20</v>
      </c>
      <c r="J609" s="13">
        <f>IF(D609="GBP",1,SUMIFS('Ex Rates'!I:I,'Ex Rates'!K:K,'Weekly Closed Proposal Requests'!L609,'Ex Rates'!G:G,'Weekly Closed Proposal Requests'!D609))</f>
        <v>1</v>
      </c>
      <c r="K609" s="13">
        <f t="shared" si="10"/>
        <v>55000</v>
      </c>
      <c r="L609" s="13" t="str">
        <f>_xlfn.XLOOKUP(I609,'Wk no''s'!C:C,'Wk no''s'!E:E,0)</f>
        <v>May</v>
      </c>
    </row>
    <row r="610" spans="1:12" x14ac:dyDescent="0.25">
      <c r="A610" s="70">
        <v>45796</v>
      </c>
      <c r="B610" s="71" t="s">
        <v>1036</v>
      </c>
      <c r="C610" s="71" t="s">
        <v>1062</v>
      </c>
      <c r="D610" s="71" t="s">
        <v>15</v>
      </c>
      <c r="E610" s="71">
        <v>10000</v>
      </c>
      <c r="F610" s="70">
        <v>45799</v>
      </c>
      <c r="G610" s="71" t="s">
        <v>16</v>
      </c>
      <c r="H610" s="71" t="s">
        <v>281</v>
      </c>
      <c r="I610" s="13">
        <f>_xlfn.XLOOKUP(F610,'Wk no''s'!B:B,'Wk no''s'!C:C,FALSE)</f>
        <v>21</v>
      </c>
      <c r="J610" s="13">
        <f>IF(D610="GBP",1,SUMIFS('Ex Rates'!I:I,'Ex Rates'!K:K,'Weekly Closed Proposal Requests'!L610,'Ex Rates'!G:G,'Weekly Closed Proposal Requests'!D610))</f>
        <v>1</v>
      </c>
      <c r="K610" s="13">
        <f t="shared" si="10"/>
        <v>10000</v>
      </c>
      <c r="L610" s="13" t="str">
        <f>_xlfn.XLOOKUP(I610,'Wk no''s'!C:C,'Wk no''s'!E:E,0)</f>
        <v>May</v>
      </c>
    </row>
    <row r="611" spans="1:12" x14ac:dyDescent="0.25">
      <c r="A611" s="70">
        <v>45800</v>
      </c>
      <c r="B611" s="71" t="s">
        <v>1041</v>
      </c>
      <c r="C611" s="71" t="s">
        <v>1063</v>
      </c>
      <c r="D611" s="71" t="s">
        <v>15</v>
      </c>
      <c r="E611" s="71">
        <v>30000</v>
      </c>
      <c r="F611" s="70">
        <v>45800</v>
      </c>
      <c r="G611" s="71" t="s">
        <v>16</v>
      </c>
      <c r="H611" s="71" t="s">
        <v>281</v>
      </c>
      <c r="I611" s="13">
        <f>_xlfn.XLOOKUP(F611,'Wk no''s'!B:B,'Wk no''s'!C:C,FALSE)</f>
        <v>21</v>
      </c>
      <c r="J611" s="13">
        <f>IF(D611="GBP",1,SUMIFS('Ex Rates'!I:I,'Ex Rates'!K:K,'Weekly Closed Proposal Requests'!L611,'Ex Rates'!G:G,'Weekly Closed Proposal Requests'!D611))</f>
        <v>1</v>
      </c>
      <c r="K611" s="13">
        <f t="shared" si="10"/>
        <v>30000</v>
      </c>
      <c r="L611" s="13" t="str">
        <f>_xlfn.XLOOKUP(I611,'Wk no''s'!C:C,'Wk no''s'!E:E,0)</f>
        <v>May</v>
      </c>
    </row>
    <row r="612" spans="1:12" x14ac:dyDescent="0.25">
      <c r="A612" s="70">
        <v>45790</v>
      </c>
      <c r="B612" s="71" t="s">
        <v>1028</v>
      </c>
      <c r="C612" s="71" t="s">
        <v>454</v>
      </c>
      <c r="D612" s="71" t="s">
        <v>15</v>
      </c>
      <c r="E612" s="71">
        <v>100000</v>
      </c>
      <c r="F612" s="70">
        <v>45797</v>
      </c>
      <c r="G612" s="71" t="s">
        <v>16</v>
      </c>
      <c r="H612" s="71" t="s">
        <v>19</v>
      </c>
      <c r="I612" s="13">
        <f>_xlfn.XLOOKUP(F612,'Wk no''s'!B:B,'Wk no''s'!C:C,FALSE)</f>
        <v>21</v>
      </c>
      <c r="J612" s="13">
        <f>IF(D612="GBP",1,SUMIFS('Ex Rates'!I:I,'Ex Rates'!K:K,'Weekly Closed Proposal Requests'!L612,'Ex Rates'!G:G,'Weekly Closed Proposal Requests'!D612))</f>
        <v>1</v>
      </c>
      <c r="K612" s="13">
        <f t="shared" si="10"/>
        <v>100000</v>
      </c>
      <c r="L612" s="13" t="str">
        <f>_xlfn.XLOOKUP(I612,'Wk no''s'!C:C,'Wk no''s'!E:E,0)</f>
        <v>May</v>
      </c>
    </row>
    <row r="613" spans="1:12" x14ac:dyDescent="0.25">
      <c r="A613" s="70">
        <v>45790</v>
      </c>
      <c r="B613" s="71" t="s">
        <v>1025</v>
      </c>
      <c r="C613" s="71" t="s">
        <v>1182</v>
      </c>
      <c r="D613" s="71" t="s">
        <v>15</v>
      </c>
      <c r="E613" s="71">
        <v>100000</v>
      </c>
      <c r="F613" s="70">
        <v>45799</v>
      </c>
      <c r="G613" s="71" t="s">
        <v>16</v>
      </c>
      <c r="H613" s="71" t="s">
        <v>19</v>
      </c>
      <c r="I613" s="13">
        <f>_xlfn.XLOOKUP(F613,'Wk no''s'!B:B,'Wk no''s'!C:C,FALSE)</f>
        <v>21</v>
      </c>
      <c r="J613" s="13">
        <f>IF(D613="GBP",1,SUMIFS('Ex Rates'!I:I,'Ex Rates'!K:K,'Weekly Closed Proposal Requests'!L613,'Ex Rates'!G:G,'Weekly Closed Proposal Requests'!D613))</f>
        <v>1</v>
      </c>
      <c r="K613" s="13">
        <f t="shared" si="10"/>
        <v>100000</v>
      </c>
      <c r="L613" s="13" t="str">
        <f>_xlfn.XLOOKUP(I613,'Wk no''s'!C:C,'Wk no''s'!E:E,0)</f>
        <v>May</v>
      </c>
    </row>
    <row r="614" spans="1:12" x14ac:dyDescent="0.25">
      <c r="A614" s="70">
        <v>45790</v>
      </c>
      <c r="B614" s="71" t="s">
        <v>1029</v>
      </c>
      <c r="C614" s="71" t="s">
        <v>836</v>
      </c>
      <c r="D614" s="71" t="s">
        <v>15</v>
      </c>
      <c r="E614" s="71">
        <v>100000</v>
      </c>
      <c r="F614" s="70">
        <v>45800</v>
      </c>
      <c r="G614" s="71" t="s">
        <v>16</v>
      </c>
      <c r="H614" s="71" t="s">
        <v>19</v>
      </c>
      <c r="I614" s="13">
        <f>_xlfn.XLOOKUP(F614,'Wk no''s'!B:B,'Wk no''s'!C:C,FALSE)</f>
        <v>21</v>
      </c>
      <c r="J614" s="13">
        <f>IF(D614="GBP",1,SUMIFS('Ex Rates'!I:I,'Ex Rates'!K:K,'Weekly Closed Proposal Requests'!L614,'Ex Rates'!G:G,'Weekly Closed Proposal Requests'!D614))</f>
        <v>1</v>
      </c>
      <c r="K614" s="13">
        <f t="shared" si="10"/>
        <v>100000</v>
      </c>
      <c r="L614" s="13" t="str">
        <f>_xlfn.XLOOKUP(I614,'Wk no''s'!C:C,'Wk no''s'!E:E,0)</f>
        <v>May</v>
      </c>
    </row>
    <row r="615" spans="1:12" x14ac:dyDescent="0.25">
      <c r="A615" s="70">
        <v>45790</v>
      </c>
      <c r="B615" s="71" t="s">
        <v>1030</v>
      </c>
      <c r="C615" s="71" t="s">
        <v>1064</v>
      </c>
      <c r="D615" s="71" t="s">
        <v>15</v>
      </c>
      <c r="E615" s="71">
        <v>50000</v>
      </c>
      <c r="F615" s="70">
        <v>45797</v>
      </c>
      <c r="G615" s="71" t="s">
        <v>16</v>
      </c>
      <c r="H615" s="71" t="s">
        <v>19</v>
      </c>
      <c r="I615" s="13">
        <f>_xlfn.XLOOKUP(F615,'Wk no''s'!B:B,'Wk no''s'!C:C,FALSE)</f>
        <v>21</v>
      </c>
      <c r="J615" s="13">
        <f>IF(D615="GBP",1,SUMIFS('Ex Rates'!I:I,'Ex Rates'!K:K,'Weekly Closed Proposal Requests'!L615,'Ex Rates'!G:G,'Weekly Closed Proposal Requests'!D615))</f>
        <v>1</v>
      </c>
      <c r="K615" s="13">
        <f t="shared" si="10"/>
        <v>50000</v>
      </c>
      <c r="L615" s="13" t="str">
        <f>_xlfn.XLOOKUP(I615,'Wk no''s'!C:C,'Wk no''s'!E:E,0)</f>
        <v>May</v>
      </c>
    </row>
    <row r="616" spans="1:12" x14ac:dyDescent="0.25">
      <c r="A616" s="70">
        <v>45792</v>
      </c>
      <c r="B616" s="71" t="s">
        <v>1026</v>
      </c>
      <c r="C616" s="71" t="s">
        <v>1065</v>
      </c>
      <c r="D616" s="71" t="s">
        <v>15</v>
      </c>
      <c r="E616" s="71">
        <v>20000</v>
      </c>
      <c r="F616" s="70">
        <v>45799</v>
      </c>
      <c r="G616" s="71" t="s">
        <v>16</v>
      </c>
      <c r="H616" s="71" t="s">
        <v>19</v>
      </c>
      <c r="I616" s="13">
        <f>_xlfn.XLOOKUP(F616,'Wk no''s'!B:B,'Wk no''s'!C:C,FALSE)</f>
        <v>21</v>
      </c>
      <c r="J616" s="13">
        <f>IF(D616="GBP",1,SUMIFS('Ex Rates'!I:I,'Ex Rates'!K:K,'Weekly Closed Proposal Requests'!L616,'Ex Rates'!G:G,'Weekly Closed Proposal Requests'!D616))</f>
        <v>1</v>
      </c>
      <c r="K616" s="13">
        <f t="shared" si="10"/>
        <v>20000</v>
      </c>
      <c r="L616" s="13" t="str">
        <f>_xlfn.XLOOKUP(I616,'Wk no''s'!C:C,'Wk no''s'!E:E,0)</f>
        <v>May</v>
      </c>
    </row>
    <row r="617" spans="1:12" x14ac:dyDescent="0.25">
      <c r="A617" s="70">
        <v>45793</v>
      </c>
      <c r="B617" s="71" t="s">
        <v>1031</v>
      </c>
      <c r="C617" s="71" t="s">
        <v>410</v>
      </c>
      <c r="D617" s="71" t="s">
        <v>15</v>
      </c>
      <c r="E617" s="71">
        <v>100000</v>
      </c>
      <c r="F617" s="70">
        <v>45797</v>
      </c>
      <c r="G617" s="71" t="s">
        <v>16</v>
      </c>
      <c r="H617" s="71" t="s">
        <v>19</v>
      </c>
      <c r="I617" s="13">
        <f>_xlfn.XLOOKUP(F617,'Wk no''s'!B:B,'Wk no''s'!C:C,FALSE)</f>
        <v>21</v>
      </c>
      <c r="J617" s="13">
        <f>IF(D617="GBP",1,SUMIFS('Ex Rates'!I:I,'Ex Rates'!K:K,'Weekly Closed Proposal Requests'!L617,'Ex Rates'!G:G,'Weekly Closed Proposal Requests'!D617))</f>
        <v>1</v>
      </c>
      <c r="K617" s="13">
        <f t="shared" si="10"/>
        <v>100000</v>
      </c>
      <c r="L617" s="13" t="str">
        <f>_xlfn.XLOOKUP(I617,'Wk no''s'!C:C,'Wk no''s'!E:E,0)</f>
        <v>May</v>
      </c>
    </row>
    <row r="618" spans="1:12" x14ac:dyDescent="0.25">
      <c r="A618" s="70">
        <v>45793</v>
      </c>
      <c r="B618" s="71" t="s">
        <v>1032</v>
      </c>
      <c r="C618" s="71" t="s">
        <v>1066</v>
      </c>
      <c r="D618" s="71" t="s">
        <v>15</v>
      </c>
      <c r="E618" s="71">
        <v>140000</v>
      </c>
      <c r="F618" s="70">
        <v>45796</v>
      </c>
      <c r="G618" s="71" t="s">
        <v>16</v>
      </c>
      <c r="H618" s="71" t="s">
        <v>19</v>
      </c>
      <c r="I618" s="13">
        <f>_xlfn.XLOOKUP(F618,'Wk no''s'!B:B,'Wk no''s'!C:C,FALSE)</f>
        <v>21</v>
      </c>
      <c r="J618" s="13">
        <f>IF(D618="GBP",1,SUMIFS('Ex Rates'!I:I,'Ex Rates'!K:K,'Weekly Closed Proposal Requests'!L618,'Ex Rates'!G:G,'Weekly Closed Proposal Requests'!D618))</f>
        <v>1</v>
      </c>
      <c r="K618" s="13">
        <f t="shared" si="10"/>
        <v>140000</v>
      </c>
      <c r="L618" s="13" t="str">
        <f>_xlfn.XLOOKUP(I618,'Wk no''s'!C:C,'Wk no''s'!E:E,0)</f>
        <v>May</v>
      </c>
    </row>
    <row r="619" spans="1:12" x14ac:dyDescent="0.25">
      <c r="A619" s="70">
        <v>45796</v>
      </c>
      <c r="B619" s="71" t="s">
        <v>1034</v>
      </c>
      <c r="C619" s="71" t="s">
        <v>1067</v>
      </c>
      <c r="D619" s="71" t="s">
        <v>15</v>
      </c>
      <c r="E619" s="71">
        <v>25000</v>
      </c>
      <c r="F619" s="70">
        <v>45797</v>
      </c>
      <c r="G619" s="71" t="s">
        <v>16</v>
      </c>
      <c r="H619" s="71" t="s">
        <v>19</v>
      </c>
      <c r="I619" s="13">
        <f>_xlfn.XLOOKUP(F619,'Wk no''s'!B:B,'Wk no''s'!C:C,FALSE)</f>
        <v>21</v>
      </c>
      <c r="J619" s="13">
        <f>IF(D619="GBP",1,SUMIFS('Ex Rates'!I:I,'Ex Rates'!K:K,'Weekly Closed Proposal Requests'!L619,'Ex Rates'!G:G,'Weekly Closed Proposal Requests'!D619))</f>
        <v>1</v>
      </c>
      <c r="K619" s="13">
        <f t="shared" si="10"/>
        <v>25000</v>
      </c>
      <c r="L619" s="13" t="str">
        <f>_xlfn.XLOOKUP(I619,'Wk no''s'!C:C,'Wk no''s'!E:E,0)</f>
        <v>May</v>
      </c>
    </row>
    <row r="620" spans="1:12" x14ac:dyDescent="0.25">
      <c r="A620" s="70">
        <v>45796</v>
      </c>
      <c r="B620" s="71" t="s">
        <v>1035</v>
      </c>
      <c r="C620" s="71" t="s">
        <v>1068</v>
      </c>
      <c r="D620" s="71" t="s">
        <v>15</v>
      </c>
      <c r="E620" s="71">
        <v>100000</v>
      </c>
      <c r="F620" s="70">
        <v>45799</v>
      </c>
      <c r="G620" s="71" t="s">
        <v>16</v>
      </c>
      <c r="H620" s="71" t="s">
        <v>19</v>
      </c>
      <c r="I620" s="13">
        <f>_xlfn.XLOOKUP(F620,'Wk no''s'!B:B,'Wk no''s'!C:C,FALSE)</f>
        <v>21</v>
      </c>
      <c r="J620" s="13">
        <f>IF(D620="GBP",1,SUMIFS('Ex Rates'!I:I,'Ex Rates'!K:K,'Weekly Closed Proposal Requests'!L620,'Ex Rates'!G:G,'Weekly Closed Proposal Requests'!D620))</f>
        <v>1</v>
      </c>
      <c r="K620" s="13">
        <f t="shared" si="10"/>
        <v>100000</v>
      </c>
      <c r="L620" s="13" t="str">
        <f>_xlfn.XLOOKUP(I620,'Wk no''s'!C:C,'Wk no''s'!E:E,0)</f>
        <v>May</v>
      </c>
    </row>
    <row r="621" spans="1:12" x14ac:dyDescent="0.25">
      <c r="A621" s="70">
        <v>45797</v>
      </c>
      <c r="B621" s="71" t="s">
        <v>1027</v>
      </c>
      <c r="C621" s="71" t="s">
        <v>312</v>
      </c>
      <c r="D621" s="71" t="s">
        <v>15</v>
      </c>
      <c r="E621" s="71">
        <v>50000</v>
      </c>
      <c r="F621" s="70">
        <v>45800</v>
      </c>
      <c r="G621" s="71" t="s">
        <v>16</v>
      </c>
      <c r="H621" s="71" t="s">
        <v>19</v>
      </c>
      <c r="I621" s="13">
        <f>_xlfn.XLOOKUP(F621,'Wk no''s'!B:B,'Wk no''s'!C:C,FALSE)</f>
        <v>21</v>
      </c>
      <c r="J621" s="13">
        <f>IF(D621="GBP",1,SUMIFS('Ex Rates'!I:I,'Ex Rates'!K:K,'Weekly Closed Proposal Requests'!L621,'Ex Rates'!G:G,'Weekly Closed Proposal Requests'!D621))</f>
        <v>1</v>
      </c>
      <c r="K621" s="13">
        <f t="shared" si="10"/>
        <v>50000</v>
      </c>
      <c r="L621" s="13" t="str">
        <f>_xlfn.XLOOKUP(I621,'Wk no''s'!C:C,'Wk no''s'!E:E,0)</f>
        <v>May</v>
      </c>
    </row>
    <row r="622" spans="1:12" x14ac:dyDescent="0.25">
      <c r="A622" s="70">
        <v>45797</v>
      </c>
      <c r="B622" s="71" t="s">
        <v>1037</v>
      </c>
      <c r="C622" s="71" t="s">
        <v>801</v>
      </c>
      <c r="D622" s="71" t="s">
        <v>15</v>
      </c>
      <c r="E622" s="71">
        <v>50000</v>
      </c>
      <c r="F622" s="70">
        <v>45800</v>
      </c>
      <c r="G622" s="71" t="s">
        <v>16</v>
      </c>
      <c r="H622" s="71" t="s">
        <v>19</v>
      </c>
      <c r="I622" s="13">
        <f>_xlfn.XLOOKUP(F622,'Wk no''s'!B:B,'Wk no''s'!C:C,FALSE)</f>
        <v>21</v>
      </c>
      <c r="J622" s="13">
        <f>IF(D622="GBP",1,SUMIFS('Ex Rates'!I:I,'Ex Rates'!K:K,'Weekly Closed Proposal Requests'!L622,'Ex Rates'!G:G,'Weekly Closed Proposal Requests'!D622))</f>
        <v>1</v>
      </c>
      <c r="K622" s="13">
        <f t="shared" si="10"/>
        <v>50000</v>
      </c>
      <c r="L622" s="13" t="str">
        <f>_xlfn.XLOOKUP(I622,'Wk no''s'!C:C,'Wk no''s'!E:E,0)</f>
        <v>May</v>
      </c>
    </row>
    <row r="623" spans="1:12" x14ac:dyDescent="0.25">
      <c r="A623" s="70">
        <v>45799</v>
      </c>
      <c r="B623" s="71" t="s">
        <v>1038</v>
      </c>
      <c r="C623" s="71" t="s">
        <v>851</v>
      </c>
      <c r="D623" s="71" t="s">
        <v>15</v>
      </c>
      <c r="E623" s="71">
        <v>20000</v>
      </c>
      <c r="F623" s="70">
        <v>45799</v>
      </c>
      <c r="G623" s="71" t="s">
        <v>16</v>
      </c>
      <c r="H623" s="71" t="s">
        <v>19</v>
      </c>
      <c r="I623" s="13">
        <f>_xlfn.XLOOKUP(F623,'Wk no''s'!B:B,'Wk no''s'!C:C,FALSE)</f>
        <v>21</v>
      </c>
      <c r="J623" s="13">
        <f>IF(D623="GBP",1,SUMIFS('Ex Rates'!I:I,'Ex Rates'!K:K,'Weekly Closed Proposal Requests'!L623,'Ex Rates'!G:G,'Weekly Closed Proposal Requests'!D623))</f>
        <v>1</v>
      </c>
      <c r="K623" s="13">
        <f t="shared" si="10"/>
        <v>20000</v>
      </c>
      <c r="L623" s="13" t="str">
        <f>_xlfn.XLOOKUP(I623,'Wk no''s'!C:C,'Wk no''s'!E:E,0)</f>
        <v>May</v>
      </c>
    </row>
    <row r="624" spans="1:12" x14ac:dyDescent="0.25">
      <c r="A624" s="70">
        <v>45799</v>
      </c>
      <c r="B624" s="71" t="s">
        <v>1039</v>
      </c>
      <c r="C624" s="71" t="s">
        <v>1069</v>
      </c>
      <c r="D624" s="71" t="s">
        <v>15</v>
      </c>
      <c r="E624" s="71">
        <v>30000</v>
      </c>
      <c r="F624" s="70">
        <v>45800</v>
      </c>
      <c r="G624" s="71" t="s">
        <v>16</v>
      </c>
      <c r="H624" s="71" t="s">
        <v>19</v>
      </c>
      <c r="I624" s="13">
        <f>_xlfn.XLOOKUP(F624,'Wk no''s'!B:B,'Wk no''s'!C:C,FALSE)</f>
        <v>21</v>
      </c>
      <c r="J624" s="13">
        <f>IF(D624="GBP",1,SUMIFS('Ex Rates'!I:I,'Ex Rates'!K:K,'Weekly Closed Proposal Requests'!L624,'Ex Rates'!G:G,'Weekly Closed Proposal Requests'!D624))</f>
        <v>1</v>
      </c>
      <c r="K624" s="13">
        <f t="shared" si="10"/>
        <v>30000</v>
      </c>
      <c r="L624" s="13" t="str">
        <f>_xlfn.XLOOKUP(I624,'Wk no''s'!C:C,'Wk no''s'!E:E,0)</f>
        <v>May</v>
      </c>
    </row>
    <row r="625" spans="1:12" x14ac:dyDescent="0.25">
      <c r="A625" s="70">
        <v>45800</v>
      </c>
      <c r="B625" s="71" t="s">
        <v>1040</v>
      </c>
      <c r="C625" s="71" t="s">
        <v>805</v>
      </c>
      <c r="D625" s="71" t="s">
        <v>15</v>
      </c>
      <c r="E625" s="71">
        <v>25000</v>
      </c>
      <c r="F625" s="70">
        <v>45800</v>
      </c>
      <c r="G625" s="71" t="s">
        <v>16</v>
      </c>
      <c r="H625" s="71" t="s">
        <v>19</v>
      </c>
      <c r="I625" s="13">
        <f>_xlfn.XLOOKUP(F625,'Wk no''s'!B:B,'Wk no''s'!C:C,FALSE)</f>
        <v>21</v>
      </c>
      <c r="J625" s="13">
        <f>IF(D625="GBP",1,SUMIFS('Ex Rates'!I:I,'Ex Rates'!K:K,'Weekly Closed Proposal Requests'!L625,'Ex Rates'!G:G,'Weekly Closed Proposal Requests'!D625))</f>
        <v>1</v>
      </c>
      <c r="K625" s="13">
        <f t="shared" si="10"/>
        <v>25000</v>
      </c>
      <c r="L625" s="13" t="str">
        <f>_xlfn.XLOOKUP(I625,'Wk no''s'!C:C,'Wk no''s'!E:E,0)</f>
        <v>May</v>
      </c>
    </row>
    <row r="626" spans="1:12" x14ac:dyDescent="0.25">
      <c r="A626" s="70">
        <v>45796</v>
      </c>
      <c r="B626" s="71" t="s">
        <v>1033</v>
      </c>
      <c r="C626" s="71" t="s">
        <v>1070</v>
      </c>
      <c r="D626" s="71" t="s">
        <v>15</v>
      </c>
      <c r="E626" s="71">
        <v>300000</v>
      </c>
      <c r="F626" s="70">
        <v>45800</v>
      </c>
      <c r="G626" s="71" t="s">
        <v>16</v>
      </c>
      <c r="H626" s="71" t="s">
        <v>50</v>
      </c>
      <c r="I626" s="13">
        <f>_xlfn.XLOOKUP(F626,'Wk no''s'!B:B,'Wk no''s'!C:C,FALSE)</f>
        <v>21</v>
      </c>
      <c r="J626" s="13">
        <f>IF(D626="GBP",1,SUMIFS('Ex Rates'!I:I,'Ex Rates'!K:K,'Weekly Closed Proposal Requests'!L626,'Ex Rates'!G:G,'Weekly Closed Proposal Requests'!D626))</f>
        <v>1</v>
      </c>
      <c r="K626" s="13">
        <f t="shared" si="10"/>
        <v>300000</v>
      </c>
      <c r="L626" s="13" t="str">
        <f>_xlfn.XLOOKUP(I626,'Wk no''s'!C:C,'Wk no''s'!E:E,0)</f>
        <v>May</v>
      </c>
    </row>
    <row r="627" spans="1:12" x14ac:dyDescent="0.25">
      <c r="A627" s="70">
        <v>45783</v>
      </c>
      <c r="B627" s="71" t="s">
        <v>1046</v>
      </c>
      <c r="C627" s="71" t="s">
        <v>814</v>
      </c>
      <c r="D627" s="71" t="s">
        <v>46</v>
      </c>
      <c r="E627" s="71">
        <v>700000</v>
      </c>
      <c r="F627" s="70">
        <v>45799</v>
      </c>
      <c r="G627" s="71" t="s">
        <v>47</v>
      </c>
      <c r="H627" s="71" t="s">
        <v>19</v>
      </c>
      <c r="I627" s="13">
        <f>_xlfn.XLOOKUP(F627,'Wk no''s'!B:B,'Wk no''s'!C:C,FALSE)</f>
        <v>21</v>
      </c>
      <c r="J627" s="13">
        <f>IF(D627="GBP",1,SUMIFS('Ex Rates'!I:I,'Ex Rates'!K:K,'Weekly Closed Proposal Requests'!L627,'Ex Rates'!G:G,'Weekly Closed Proposal Requests'!D627))</f>
        <v>0.75018754688672173</v>
      </c>
      <c r="K627" s="13">
        <f t="shared" si="10"/>
        <v>525131.28282070521</v>
      </c>
      <c r="L627" s="13" t="str">
        <f>_xlfn.XLOOKUP(I627,'Wk no''s'!C:C,'Wk no''s'!E:E,0)</f>
        <v>May</v>
      </c>
    </row>
    <row r="628" spans="1:12" x14ac:dyDescent="0.25">
      <c r="A628" s="70">
        <v>45790</v>
      </c>
      <c r="B628" s="71" t="s">
        <v>1047</v>
      </c>
      <c r="C628" s="71" t="s">
        <v>1071</v>
      </c>
      <c r="D628" s="71" t="s">
        <v>46</v>
      </c>
      <c r="E628" s="71">
        <v>100000</v>
      </c>
      <c r="F628" s="70">
        <v>45800</v>
      </c>
      <c r="G628" s="71" t="s">
        <v>47</v>
      </c>
      <c r="H628" s="71" t="s">
        <v>19</v>
      </c>
      <c r="I628" s="13">
        <f>_xlfn.XLOOKUP(F628,'Wk no''s'!B:B,'Wk no''s'!C:C,FALSE)</f>
        <v>21</v>
      </c>
      <c r="J628" s="13">
        <f>IF(D628="GBP",1,SUMIFS('Ex Rates'!I:I,'Ex Rates'!K:K,'Weekly Closed Proposal Requests'!L628,'Ex Rates'!G:G,'Weekly Closed Proposal Requests'!D628))</f>
        <v>0.75018754688672173</v>
      </c>
      <c r="K628" s="13">
        <f t="shared" si="10"/>
        <v>75018.754688672168</v>
      </c>
      <c r="L628" s="13" t="str">
        <f>_xlfn.XLOOKUP(I628,'Wk no''s'!C:C,'Wk no''s'!E:E,0)</f>
        <v>May</v>
      </c>
    </row>
    <row r="629" spans="1:12" x14ac:dyDescent="0.25">
      <c r="A629" s="70">
        <v>45762</v>
      </c>
      <c r="B629" s="71" t="s">
        <v>1043</v>
      </c>
      <c r="C629" s="71" t="s">
        <v>265</v>
      </c>
      <c r="D629" s="71" t="s">
        <v>15</v>
      </c>
      <c r="E629" s="71">
        <v>184086</v>
      </c>
      <c r="F629" s="70">
        <v>45799</v>
      </c>
      <c r="G629" s="71" t="s">
        <v>47</v>
      </c>
      <c r="H629" s="71" t="s">
        <v>50</v>
      </c>
      <c r="I629" s="13">
        <f>_xlfn.XLOOKUP(F629,'Wk no''s'!B:B,'Wk no''s'!C:C,FALSE)</f>
        <v>21</v>
      </c>
      <c r="J629" s="13">
        <f>IF(D629="GBP",1,SUMIFS('Ex Rates'!I:I,'Ex Rates'!K:K,'Weekly Closed Proposal Requests'!L629,'Ex Rates'!G:G,'Weekly Closed Proposal Requests'!D629))</f>
        <v>1</v>
      </c>
      <c r="K629" s="13">
        <f t="shared" si="10"/>
        <v>184086</v>
      </c>
      <c r="L629" s="13" t="str">
        <f>_xlfn.XLOOKUP(I629,'Wk no''s'!C:C,'Wk no''s'!E:E,0)</f>
        <v>May</v>
      </c>
    </row>
    <row r="630" spans="1:12" x14ac:dyDescent="0.25">
      <c r="A630" s="70">
        <v>45768</v>
      </c>
      <c r="B630" s="71" t="s">
        <v>1044</v>
      </c>
      <c r="C630" s="71" t="s">
        <v>255</v>
      </c>
      <c r="D630" s="71" t="s">
        <v>15</v>
      </c>
      <c r="E630" s="71">
        <v>101242</v>
      </c>
      <c r="F630" s="70">
        <v>45800</v>
      </c>
      <c r="G630" s="71" t="s">
        <v>47</v>
      </c>
      <c r="H630" s="71" t="s">
        <v>50</v>
      </c>
      <c r="I630" s="13">
        <f>_xlfn.XLOOKUP(F630,'Wk no''s'!B:B,'Wk no''s'!C:C,FALSE)</f>
        <v>21</v>
      </c>
      <c r="J630" s="13">
        <f>IF(D630="GBP",1,SUMIFS('Ex Rates'!I:I,'Ex Rates'!K:K,'Weekly Closed Proposal Requests'!L630,'Ex Rates'!G:G,'Weekly Closed Proposal Requests'!D630))</f>
        <v>1</v>
      </c>
      <c r="K630" s="13">
        <f t="shared" si="10"/>
        <v>101242</v>
      </c>
      <c r="L630" s="13" t="str">
        <f>_xlfn.XLOOKUP(I630,'Wk no''s'!C:C,'Wk no''s'!E:E,0)</f>
        <v>May</v>
      </c>
    </row>
    <row r="631" spans="1:12" x14ac:dyDescent="0.25">
      <c r="A631" s="70">
        <v>45779</v>
      </c>
      <c r="B631" s="71" t="s">
        <v>1045</v>
      </c>
      <c r="C631" s="71" t="s">
        <v>1072</v>
      </c>
      <c r="D631" s="71" t="s">
        <v>15</v>
      </c>
      <c r="E631" s="71">
        <v>46000</v>
      </c>
      <c r="F631" s="70">
        <v>45799</v>
      </c>
      <c r="G631" s="71" t="s">
        <v>47</v>
      </c>
      <c r="H631" s="71" t="s">
        <v>50</v>
      </c>
      <c r="I631" s="13">
        <f>_xlfn.XLOOKUP(F631,'Wk no''s'!B:B,'Wk no''s'!C:C,FALSE)</f>
        <v>21</v>
      </c>
      <c r="J631" s="13">
        <f>IF(D631="GBP",1,SUMIFS('Ex Rates'!I:I,'Ex Rates'!K:K,'Weekly Closed Proposal Requests'!L631,'Ex Rates'!G:G,'Weekly Closed Proposal Requests'!D631))</f>
        <v>1</v>
      </c>
      <c r="K631" s="13">
        <f t="shared" si="10"/>
        <v>46000</v>
      </c>
      <c r="L631" s="13" t="str">
        <f>_xlfn.XLOOKUP(I631,'Wk no''s'!C:C,'Wk no''s'!E:E,0)</f>
        <v>May</v>
      </c>
    </row>
    <row r="632" spans="1:12" x14ac:dyDescent="0.25">
      <c r="A632" s="70">
        <v>45789</v>
      </c>
      <c r="B632" s="71" t="s">
        <v>1042</v>
      </c>
      <c r="C632" s="71" t="s">
        <v>1073</v>
      </c>
      <c r="D632" s="71" t="s">
        <v>15</v>
      </c>
      <c r="E632" s="71">
        <v>17877</v>
      </c>
      <c r="F632" s="70">
        <v>45798</v>
      </c>
      <c r="G632" s="71" t="s">
        <v>47</v>
      </c>
      <c r="H632" s="71" t="s">
        <v>50</v>
      </c>
      <c r="I632" s="13">
        <f>_xlfn.XLOOKUP(F632,'Wk no''s'!B:B,'Wk no''s'!C:C,FALSE)</f>
        <v>21</v>
      </c>
      <c r="J632" s="13">
        <f>IF(D632="GBP",1,SUMIFS('Ex Rates'!I:I,'Ex Rates'!K:K,'Weekly Closed Proposal Requests'!L632,'Ex Rates'!G:G,'Weekly Closed Proposal Requests'!D632))</f>
        <v>1</v>
      </c>
      <c r="K632" s="13">
        <f t="shared" si="10"/>
        <v>17877</v>
      </c>
      <c r="L632" s="13" t="str">
        <f>_xlfn.XLOOKUP(I632,'Wk no''s'!C:C,'Wk no''s'!E:E,0)</f>
        <v>May</v>
      </c>
    </row>
    <row r="633" spans="1:12" x14ac:dyDescent="0.25">
      <c r="A633" s="70">
        <v>45798</v>
      </c>
      <c r="B633" s="71" t="s">
        <v>1048</v>
      </c>
      <c r="C633" s="71" t="s">
        <v>325</v>
      </c>
      <c r="D633" s="71" t="s">
        <v>15</v>
      </c>
      <c r="E633" s="71">
        <v>337000</v>
      </c>
      <c r="F633" s="70">
        <v>45799</v>
      </c>
      <c r="G633" s="71" t="s">
        <v>47</v>
      </c>
      <c r="H633" s="71" t="s">
        <v>50</v>
      </c>
      <c r="I633" s="13">
        <f>_xlfn.XLOOKUP(F633,'Wk no''s'!B:B,'Wk no''s'!C:C,FALSE)</f>
        <v>21</v>
      </c>
      <c r="J633" s="13">
        <f>IF(D633="GBP",1,SUMIFS('Ex Rates'!I:I,'Ex Rates'!K:K,'Weekly Closed Proposal Requests'!L633,'Ex Rates'!G:G,'Weekly Closed Proposal Requests'!D633))</f>
        <v>1</v>
      </c>
      <c r="K633" s="13">
        <f t="shared" si="10"/>
        <v>337000</v>
      </c>
      <c r="L633" s="13" t="str">
        <f>_xlfn.XLOOKUP(I633,'Wk no''s'!C:C,'Wk no''s'!E:E,0)</f>
        <v>May</v>
      </c>
    </row>
    <row r="634" spans="1:12" x14ac:dyDescent="0.25">
      <c r="A634" s="70">
        <v>45778</v>
      </c>
      <c r="B634" s="71" t="s">
        <v>1052</v>
      </c>
      <c r="C634" s="71" t="s">
        <v>179</v>
      </c>
      <c r="D634" s="71" t="s">
        <v>10</v>
      </c>
      <c r="E634" s="71">
        <v>1000000</v>
      </c>
      <c r="F634" s="70">
        <v>45800</v>
      </c>
      <c r="G634" s="71" t="s">
        <v>11</v>
      </c>
      <c r="H634" s="71" t="s">
        <v>50</v>
      </c>
      <c r="I634" s="13">
        <f>_xlfn.XLOOKUP(F634,'Wk no''s'!B:B,'Wk no''s'!C:C,FALSE)</f>
        <v>21</v>
      </c>
      <c r="J634" s="13">
        <f>IF(D634="GBP",1,SUMIFS('Ex Rates'!I:I,'Ex Rates'!K:K,'Weekly Closed Proposal Requests'!L634,'Ex Rates'!G:G,'Weekly Closed Proposal Requests'!D634))</f>
        <v>0.48053820278712156</v>
      </c>
      <c r="K634" s="13">
        <f t="shared" si="10"/>
        <v>480538.20278712158</v>
      </c>
      <c r="L634" s="13" t="str">
        <f>_xlfn.XLOOKUP(I634,'Wk no''s'!C:C,'Wk no''s'!E:E,0)</f>
        <v>May</v>
      </c>
    </row>
    <row r="635" spans="1:12" x14ac:dyDescent="0.25">
      <c r="A635" s="70">
        <v>45784</v>
      </c>
      <c r="B635" s="71" t="s">
        <v>1049</v>
      </c>
      <c r="C635" s="71" t="s">
        <v>828</v>
      </c>
      <c r="D635" s="71" t="s">
        <v>10</v>
      </c>
      <c r="E635" s="71">
        <v>150000</v>
      </c>
      <c r="F635" s="70">
        <v>45797</v>
      </c>
      <c r="G635" s="71" t="s">
        <v>11</v>
      </c>
      <c r="H635" s="71" t="s">
        <v>50</v>
      </c>
      <c r="I635" s="13">
        <f>_xlfn.XLOOKUP(F635,'Wk no''s'!B:B,'Wk no''s'!C:C,FALSE)</f>
        <v>21</v>
      </c>
      <c r="J635" s="13">
        <f>IF(D635="GBP",1,SUMIFS('Ex Rates'!I:I,'Ex Rates'!K:K,'Weekly Closed Proposal Requests'!L635,'Ex Rates'!G:G,'Weekly Closed Proposal Requests'!D635))</f>
        <v>0.48053820278712156</v>
      </c>
      <c r="K635" s="13">
        <f t="shared" si="10"/>
        <v>72080.73041806824</v>
      </c>
      <c r="L635" s="13" t="str">
        <f>_xlfn.XLOOKUP(I635,'Wk no''s'!C:C,'Wk no''s'!E:E,0)</f>
        <v>May</v>
      </c>
    </row>
    <row r="636" spans="1:12" x14ac:dyDescent="0.25">
      <c r="A636" s="70">
        <v>45790</v>
      </c>
      <c r="B636" s="71" t="s">
        <v>1053</v>
      </c>
      <c r="C636" s="71" t="s">
        <v>733</v>
      </c>
      <c r="D636" s="71" t="s">
        <v>10</v>
      </c>
      <c r="E636" s="71">
        <v>300000</v>
      </c>
      <c r="F636" s="70">
        <v>45800</v>
      </c>
      <c r="G636" s="71" t="s">
        <v>11</v>
      </c>
      <c r="H636" s="71" t="s">
        <v>50</v>
      </c>
      <c r="I636" s="13">
        <f>_xlfn.XLOOKUP(F636,'Wk no''s'!B:B,'Wk no''s'!C:C,FALSE)</f>
        <v>21</v>
      </c>
      <c r="J636" s="13">
        <f>IF(D636="GBP",1,SUMIFS('Ex Rates'!I:I,'Ex Rates'!K:K,'Weekly Closed Proposal Requests'!L636,'Ex Rates'!G:G,'Weekly Closed Proposal Requests'!D636))</f>
        <v>0.48053820278712156</v>
      </c>
      <c r="K636" s="13">
        <f t="shared" si="10"/>
        <v>144161.46083613648</v>
      </c>
      <c r="L636" s="13" t="str">
        <f>_xlfn.XLOOKUP(I636,'Wk no''s'!C:C,'Wk no''s'!E:E,0)</f>
        <v>May</v>
      </c>
    </row>
    <row r="637" spans="1:12" x14ac:dyDescent="0.25">
      <c r="A637" s="70">
        <v>45795</v>
      </c>
      <c r="B637" s="71" t="s">
        <v>1050</v>
      </c>
      <c r="C637" s="71" t="s">
        <v>874</v>
      </c>
      <c r="D637" s="71" t="s">
        <v>10</v>
      </c>
      <c r="E637" s="71">
        <v>10000</v>
      </c>
      <c r="F637" s="70">
        <v>45796</v>
      </c>
      <c r="G637" s="71" t="s">
        <v>11</v>
      </c>
      <c r="H637" s="71" t="s">
        <v>50</v>
      </c>
      <c r="I637" s="13">
        <f>_xlfn.XLOOKUP(F637,'Wk no''s'!B:B,'Wk no''s'!C:C,FALSE)</f>
        <v>21</v>
      </c>
      <c r="J637" s="13">
        <f>IF(D637="GBP",1,SUMIFS('Ex Rates'!I:I,'Ex Rates'!K:K,'Weekly Closed Proposal Requests'!L637,'Ex Rates'!G:G,'Weekly Closed Proposal Requests'!D637))</f>
        <v>0.48053820278712156</v>
      </c>
      <c r="K637" s="13">
        <f t="shared" si="10"/>
        <v>4805.3820278712155</v>
      </c>
      <c r="L637" s="13" t="str">
        <f>_xlfn.XLOOKUP(I637,'Wk no''s'!C:C,'Wk no''s'!E:E,0)</f>
        <v>May</v>
      </c>
    </row>
    <row r="638" spans="1:12" x14ac:dyDescent="0.25">
      <c r="A638" s="70">
        <v>45796</v>
      </c>
      <c r="B638" s="71" t="s">
        <v>1054</v>
      </c>
      <c r="C638" s="71" t="s">
        <v>1074</v>
      </c>
      <c r="D638" s="71" t="s">
        <v>10</v>
      </c>
      <c r="E638" s="71">
        <v>13000</v>
      </c>
      <c r="F638" s="70">
        <v>45797</v>
      </c>
      <c r="G638" s="71" t="s">
        <v>11</v>
      </c>
      <c r="H638" s="71" t="s">
        <v>50</v>
      </c>
      <c r="I638" s="13">
        <f>_xlfn.XLOOKUP(F638,'Wk no''s'!B:B,'Wk no''s'!C:C,FALSE)</f>
        <v>21</v>
      </c>
      <c r="J638" s="13">
        <f>IF(D638="GBP",1,SUMIFS('Ex Rates'!I:I,'Ex Rates'!K:K,'Weekly Closed Proposal Requests'!L638,'Ex Rates'!G:G,'Weekly Closed Proposal Requests'!D638))</f>
        <v>0.48053820278712156</v>
      </c>
      <c r="K638" s="13">
        <f t="shared" si="10"/>
        <v>6246.9966362325804</v>
      </c>
      <c r="L638" s="13" t="str">
        <f>_xlfn.XLOOKUP(I638,'Wk no''s'!C:C,'Wk no''s'!E:E,0)</f>
        <v>May</v>
      </c>
    </row>
    <row r="639" spans="1:12" x14ac:dyDescent="0.25">
      <c r="A639" s="70">
        <v>45796</v>
      </c>
      <c r="B639" s="71" t="s">
        <v>1055</v>
      </c>
      <c r="C639" s="71" t="s">
        <v>897</v>
      </c>
      <c r="D639" s="71" t="s">
        <v>10</v>
      </c>
      <c r="E639" s="71">
        <v>38530</v>
      </c>
      <c r="F639" s="70">
        <v>45797</v>
      </c>
      <c r="G639" s="71" t="s">
        <v>11</v>
      </c>
      <c r="H639" s="71" t="s">
        <v>50</v>
      </c>
      <c r="I639" s="13">
        <f>_xlfn.XLOOKUP(F639,'Wk no''s'!B:B,'Wk no''s'!C:C,FALSE)</f>
        <v>21</v>
      </c>
      <c r="J639" s="13">
        <f>IF(D639="GBP",1,SUMIFS('Ex Rates'!I:I,'Ex Rates'!K:K,'Weekly Closed Proposal Requests'!L639,'Ex Rates'!G:G,'Weekly Closed Proposal Requests'!D639))</f>
        <v>0.48053820278712156</v>
      </c>
      <c r="K639" s="13">
        <f t="shared" si="10"/>
        <v>18515.136953387795</v>
      </c>
      <c r="L639" s="13" t="str">
        <f>_xlfn.XLOOKUP(I639,'Wk no''s'!C:C,'Wk no''s'!E:E,0)</f>
        <v>May</v>
      </c>
    </row>
    <row r="640" spans="1:12" x14ac:dyDescent="0.25">
      <c r="A640" s="70">
        <v>45796</v>
      </c>
      <c r="B640" s="71" t="s">
        <v>1056</v>
      </c>
      <c r="C640" s="71" t="s">
        <v>897</v>
      </c>
      <c r="D640" s="71" t="s">
        <v>10</v>
      </c>
      <c r="E640" s="71">
        <v>38530</v>
      </c>
      <c r="F640" s="70">
        <v>45796</v>
      </c>
      <c r="G640" s="71" t="s">
        <v>11</v>
      </c>
      <c r="H640" s="71" t="s">
        <v>50</v>
      </c>
      <c r="I640" s="13">
        <f>_xlfn.XLOOKUP(F640,'Wk no''s'!B:B,'Wk no''s'!C:C,FALSE)</f>
        <v>21</v>
      </c>
      <c r="J640" s="13">
        <f>IF(D640="GBP",1,SUMIFS('Ex Rates'!I:I,'Ex Rates'!K:K,'Weekly Closed Proposal Requests'!L640,'Ex Rates'!G:G,'Weekly Closed Proposal Requests'!D640))</f>
        <v>0.48053820278712156</v>
      </c>
      <c r="K640" s="13">
        <f t="shared" si="10"/>
        <v>18515.136953387795</v>
      </c>
      <c r="L640" s="13" t="str">
        <f>_xlfn.XLOOKUP(I640,'Wk no''s'!C:C,'Wk no''s'!E:E,0)</f>
        <v>May</v>
      </c>
    </row>
    <row r="641" spans="1:12" x14ac:dyDescent="0.25">
      <c r="A641" s="70">
        <v>45797</v>
      </c>
      <c r="B641" s="71" t="s">
        <v>1057</v>
      </c>
      <c r="C641" s="71" t="s">
        <v>621</v>
      </c>
      <c r="D641" s="71" t="s">
        <v>10</v>
      </c>
      <c r="E641" s="71">
        <v>150000</v>
      </c>
      <c r="F641" s="70">
        <v>45799</v>
      </c>
      <c r="G641" s="71" t="s">
        <v>11</v>
      </c>
      <c r="H641" s="71" t="s">
        <v>50</v>
      </c>
      <c r="I641" s="13">
        <f>_xlfn.XLOOKUP(F641,'Wk no''s'!B:B,'Wk no''s'!C:C,FALSE)</f>
        <v>21</v>
      </c>
      <c r="J641" s="13">
        <f>IF(D641="GBP",1,SUMIFS('Ex Rates'!I:I,'Ex Rates'!K:K,'Weekly Closed Proposal Requests'!L641,'Ex Rates'!G:G,'Weekly Closed Proposal Requests'!D641))</f>
        <v>0.48053820278712156</v>
      </c>
      <c r="K641" s="13">
        <f t="shared" si="10"/>
        <v>72080.73041806824</v>
      </c>
      <c r="L641" s="13" t="str">
        <f>_xlfn.XLOOKUP(I641,'Wk no''s'!C:C,'Wk no''s'!E:E,0)</f>
        <v>May</v>
      </c>
    </row>
    <row r="642" spans="1:12" x14ac:dyDescent="0.25">
      <c r="A642" s="70">
        <v>45797</v>
      </c>
      <c r="B642" s="71" t="s">
        <v>1051</v>
      </c>
      <c r="C642" s="71" t="s">
        <v>130</v>
      </c>
      <c r="D642" s="71" t="s">
        <v>10</v>
      </c>
      <c r="E642" s="71">
        <v>50000</v>
      </c>
      <c r="F642" s="70">
        <v>45797</v>
      </c>
      <c r="G642" s="71" t="s">
        <v>11</v>
      </c>
      <c r="H642" s="71" t="s">
        <v>50</v>
      </c>
      <c r="I642" s="13">
        <f>_xlfn.XLOOKUP(F642,'Wk no''s'!B:B,'Wk no''s'!C:C,FALSE)</f>
        <v>21</v>
      </c>
      <c r="J642" s="13">
        <f>IF(D642="GBP",1,SUMIFS('Ex Rates'!I:I,'Ex Rates'!K:K,'Weekly Closed Proposal Requests'!L642,'Ex Rates'!G:G,'Weekly Closed Proposal Requests'!D642))</f>
        <v>0.48053820278712156</v>
      </c>
      <c r="K642" s="13">
        <f t="shared" si="10"/>
        <v>24026.910139356078</v>
      </c>
      <c r="L642" s="13" t="str">
        <f>_xlfn.XLOOKUP(I642,'Wk no''s'!C:C,'Wk no''s'!E:E,0)</f>
        <v>May</v>
      </c>
    </row>
    <row r="643" spans="1:12" x14ac:dyDescent="0.25">
      <c r="A643" s="70">
        <v>45798</v>
      </c>
      <c r="B643" s="71" t="s">
        <v>1058</v>
      </c>
      <c r="C643" s="71" t="s">
        <v>897</v>
      </c>
      <c r="D643" s="71" t="s">
        <v>10</v>
      </c>
      <c r="E643" s="71">
        <v>38000</v>
      </c>
      <c r="F643" s="70">
        <v>45798</v>
      </c>
      <c r="G643" s="71" t="s">
        <v>11</v>
      </c>
      <c r="H643" s="71" t="s">
        <v>50</v>
      </c>
      <c r="I643" s="13">
        <f>_xlfn.XLOOKUP(F643,'Wk no''s'!B:B,'Wk no''s'!C:C,FALSE)</f>
        <v>21</v>
      </c>
      <c r="J643" s="13">
        <f>IF(D643="GBP",1,SUMIFS('Ex Rates'!I:I,'Ex Rates'!K:K,'Weekly Closed Proposal Requests'!L643,'Ex Rates'!G:G,'Weekly Closed Proposal Requests'!D643))</f>
        <v>0.48053820278712156</v>
      </c>
      <c r="K643" s="13">
        <f t="shared" si="10"/>
        <v>18260.451705910618</v>
      </c>
      <c r="L643" s="13" t="str">
        <f>_xlfn.XLOOKUP(I643,'Wk no''s'!C:C,'Wk no''s'!E:E,0)</f>
        <v>May</v>
      </c>
    </row>
    <row r="644" spans="1:12" x14ac:dyDescent="0.25">
      <c r="A644" s="70">
        <v>45790</v>
      </c>
      <c r="B644" s="71" t="s">
        <v>1059</v>
      </c>
      <c r="C644" s="71" t="s">
        <v>946</v>
      </c>
      <c r="D644" s="71" t="s">
        <v>15</v>
      </c>
      <c r="E644" s="71">
        <v>900000</v>
      </c>
      <c r="F644" s="70">
        <v>45800</v>
      </c>
      <c r="G644" s="71" t="s">
        <v>72</v>
      </c>
      <c r="H644" s="71" t="s">
        <v>19</v>
      </c>
      <c r="I644" s="13">
        <f>_xlfn.XLOOKUP(F644,'Wk no''s'!B:B,'Wk no''s'!C:C,FALSE)</f>
        <v>21</v>
      </c>
      <c r="J644" s="13">
        <f>IF(D644="GBP",1,SUMIFS('Ex Rates'!I:I,'Ex Rates'!K:K,'Weekly Closed Proposal Requests'!L644,'Ex Rates'!G:G,'Weekly Closed Proposal Requests'!D644))</f>
        <v>1</v>
      </c>
      <c r="K644" s="13">
        <f t="shared" si="10"/>
        <v>900000</v>
      </c>
      <c r="L644" s="13" t="str">
        <f>_xlfn.XLOOKUP(I644,'Wk no''s'!C:C,'Wk no''s'!E:E,0)</f>
        <v>May</v>
      </c>
    </row>
    <row r="645" spans="1:12" x14ac:dyDescent="0.25">
      <c r="A645" s="70">
        <v>45791</v>
      </c>
      <c r="B645" s="71" t="s">
        <v>1060</v>
      </c>
      <c r="C645" s="71" t="s">
        <v>396</v>
      </c>
      <c r="D645" s="71" t="s">
        <v>15</v>
      </c>
      <c r="E645" s="71">
        <v>100000</v>
      </c>
      <c r="F645" s="70">
        <v>45800</v>
      </c>
      <c r="G645" s="71" t="s">
        <v>72</v>
      </c>
      <c r="H645" s="71" t="s">
        <v>19</v>
      </c>
      <c r="I645" s="13">
        <f>_xlfn.XLOOKUP(F645,'Wk no''s'!B:B,'Wk no''s'!C:C,FALSE)</f>
        <v>21</v>
      </c>
      <c r="J645" s="13">
        <f>IF(D645="GBP",1,SUMIFS('Ex Rates'!I:I,'Ex Rates'!K:K,'Weekly Closed Proposal Requests'!L645,'Ex Rates'!G:G,'Weekly Closed Proposal Requests'!D645))</f>
        <v>1</v>
      </c>
      <c r="K645" s="13">
        <f t="shared" si="10"/>
        <v>100000</v>
      </c>
      <c r="L645" s="13" t="str">
        <f>_xlfn.XLOOKUP(I645,'Wk no''s'!C:C,'Wk no''s'!E:E,0)</f>
        <v>May</v>
      </c>
    </row>
    <row r="646" spans="1:12" x14ac:dyDescent="0.25">
      <c r="A646" s="70">
        <v>45790</v>
      </c>
      <c r="B646" s="71" t="s">
        <v>1087</v>
      </c>
      <c r="C646" s="71" t="s">
        <v>1108</v>
      </c>
      <c r="D646" s="71" t="s">
        <v>15</v>
      </c>
      <c r="E646" s="71">
        <v>600000</v>
      </c>
      <c r="F646" s="70">
        <v>45807</v>
      </c>
      <c r="G646" s="71" t="s">
        <v>16</v>
      </c>
      <c r="H646" s="71" t="s">
        <v>19</v>
      </c>
      <c r="I646" s="13">
        <f>_xlfn.XLOOKUP(F646,'Wk no''s'!B:B,'Wk no''s'!C:C,FALSE)</f>
        <v>22</v>
      </c>
      <c r="J646" s="13">
        <f>IF(D646="GBP",1,SUMIFS('Ex Rates'!I:I,'Ex Rates'!K:K,'Weekly Closed Proposal Requests'!L646,'Ex Rates'!G:G,'Weekly Closed Proposal Requests'!D646))</f>
        <v>1</v>
      </c>
      <c r="K646" s="13">
        <f t="shared" si="10"/>
        <v>600000</v>
      </c>
      <c r="L646" s="13" t="str">
        <f>_xlfn.XLOOKUP(I646,'Wk no''s'!C:C,'Wk no''s'!E:E,0)</f>
        <v>May</v>
      </c>
    </row>
    <row r="647" spans="1:12" x14ac:dyDescent="0.25">
      <c r="A647" s="70">
        <v>45796</v>
      </c>
      <c r="B647" s="71" t="s">
        <v>1091</v>
      </c>
      <c r="C647" s="71" t="s">
        <v>1070</v>
      </c>
      <c r="D647" s="71" t="s">
        <v>15</v>
      </c>
      <c r="E647" s="71">
        <v>300000</v>
      </c>
      <c r="F647" s="70">
        <v>45804</v>
      </c>
      <c r="G647" s="71" t="s">
        <v>16</v>
      </c>
      <c r="H647" s="71" t="s">
        <v>19</v>
      </c>
      <c r="I647" s="13">
        <f>_xlfn.XLOOKUP(F647,'Wk no''s'!B:B,'Wk no''s'!C:C,FALSE)</f>
        <v>22</v>
      </c>
      <c r="J647" s="13">
        <f>IF(D647="GBP",1,SUMIFS('Ex Rates'!I:I,'Ex Rates'!K:K,'Weekly Closed Proposal Requests'!L647,'Ex Rates'!G:G,'Weekly Closed Proposal Requests'!D647))</f>
        <v>1</v>
      </c>
      <c r="K647" s="13">
        <f t="shared" si="10"/>
        <v>300000</v>
      </c>
      <c r="L647" s="13" t="str">
        <f>_xlfn.XLOOKUP(I647,'Wk no''s'!C:C,'Wk no''s'!E:E,0)</f>
        <v>May</v>
      </c>
    </row>
    <row r="648" spans="1:12" x14ac:dyDescent="0.25">
      <c r="A648" s="70">
        <v>45798</v>
      </c>
      <c r="B648" s="71" t="s">
        <v>1092</v>
      </c>
      <c r="C648" s="71" t="s">
        <v>1109</v>
      </c>
      <c r="D648" s="71" t="s">
        <v>15</v>
      </c>
      <c r="E648" s="71">
        <v>30000</v>
      </c>
      <c r="F648" s="70">
        <v>45804</v>
      </c>
      <c r="G648" s="71" t="s">
        <v>16</v>
      </c>
      <c r="H648" s="71" t="s">
        <v>19</v>
      </c>
      <c r="I648" s="13">
        <f>_xlfn.XLOOKUP(F648,'Wk no''s'!B:B,'Wk no''s'!C:C,FALSE)</f>
        <v>22</v>
      </c>
      <c r="J648" s="13">
        <f>IF(D648="GBP",1,SUMIFS('Ex Rates'!I:I,'Ex Rates'!K:K,'Weekly Closed Proposal Requests'!L648,'Ex Rates'!G:G,'Weekly Closed Proposal Requests'!D648))</f>
        <v>1</v>
      </c>
      <c r="K648" s="13">
        <f t="shared" si="10"/>
        <v>30000</v>
      </c>
      <c r="L648" s="13" t="str">
        <f>_xlfn.XLOOKUP(I648,'Wk no''s'!C:C,'Wk no''s'!E:E,0)</f>
        <v>May</v>
      </c>
    </row>
    <row r="649" spans="1:12" x14ac:dyDescent="0.25">
      <c r="A649" s="70">
        <v>45798</v>
      </c>
      <c r="B649" s="71" t="s">
        <v>1093</v>
      </c>
      <c r="C649" s="71" t="s">
        <v>702</v>
      </c>
      <c r="D649" s="71" t="s">
        <v>15</v>
      </c>
      <c r="E649" s="71">
        <v>10000</v>
      </c>
      <c r="F649" s="70">
        <v>45807</v>
      </c>
      <c r="G649" s="71" t="s">
        <v>16</v>
      </c>
      <c r="H649" s="71" t="s">
        <v>19</v>
      </c>
      <c r="I649" s="13">
        <f>_xlfn.XLOOKUP(F649,'Wk no''s'!B:B,'Wk no''s'!C:C,FALSE)</f>
        <v>22</v>
      </c>
      <c r="J649" s="13">
        <f>IF(D649="GBP",1,SUMIFS('Ex Rates'!I:I,'Ex Rates'!K:K,'Weekly Closed Proposal Requests'!L649,'Ex Rates'!G:G,'Weekly Closed Proposal Requests'!D649))</f>
        <v>1</v>
      </c>
      <c r="K649" s="13">
        <f t="shared" si="10"/>
        <v>10000</v>
      </c>
      <c r="L649" s="13" t="str">
        <f>_xlfn.XLOOKUP(I649,'Wk no''s'!C:C,'Wk no''s'!E:E,0)</f>
        <v>May</v>
      </c>
    </row>
    <row r="650" spans="1:12" x14ac:dyDescent="0.25">
      <c r="A650" s="70">
        <v>45804</v>
      </c>
      <c r="B650" s="71" t="s">
        <v>1088</v>
      </c>
      <c r="C650" s="71" t="s">
        <v>772</v>
      </c>
      <c r="D650" s="71" t="s">
        <v>15</v>
      </c>
      <c r="E650" s="71">
        <v>500000</v>
      </c>
      <c r="F650" s="70">
        <v>45807</v>
      </c>
      <c r="G650" s="71" t="s">
        <v>16</v>
      </c>
      <c r="H650" s="71" t="s">
        <v>19</v>
      </c>
      <c r="I650" s="13">
        <f>_xlfn.XLOOKUP(F650,'Wk no''s'!B:B,'Wk no''s'!C:C,FALSE)</f>
        <v>22</v>
      </c>
      <c r="J650" s="13">
        <f>IF(D650="GBP",1,SUMIFS('Ex Rates'!I:I,'Ex Rates'!K:K,'Weekly Closed Proposal Requests'!L650,'Ex Rates'!G:G,'Weekly Closed Proposal Requests'!D650))</f>
        <v>1</v>
      </c>
      <c r="K650" s="13">
        <f t="shared" si="10"/>
        <v>500000</v>
      </c>
      <c r="L650" s="13" t="str">
        <f>_xlfn.XLOOKUP(I650,'Wk no''s'!C:C,'Wk no''s'!E:E,0)</f>
        <v>May</v>
      </c>
    </row>
    <row r="651" spans="1:12" x14ac:dyDescent="0.25">
      <c r="A651" s="70">
        <v>45804</v>
      </c>
      <c r="B651" s="71" t="s">
        <v>1094</v>
      </c>
      <c r="C651" s="71" t="s">
        <v>21</v>
      </c>
      <c r="D651" s="71" t="s">
        <v>15</v>
      </c>
      <c r="E651" s="71">
        <v>200000</v>
      </c>
      <c r="F651" s="70">
        <v>45807</v>
      </c>
      <c r="G651" s="71" t="s">
        <v>16</v>
      </c>
      <c r="H651" s="71" t="s">
        <v>19</v>
      </c>
      <c r="I651" s="13">
        <f>_xlfn.XLOOKUP(F651,'Wk no''s'!B:B,'Wk no''s'!C:C,FALSE)</f>
        <v>22</v>
      </c>
      <c r="J651" s="13">
        <f>IF(D651="GBP",1,SUMIFS('Ex Rates'!I:I,'Ex Rates'!K:K,'Weekly Closed Proposal Requests'!L651,'Ex Rates'!G:G,'Weekly Closed Proposal Requests'!D651))</f>
        <v>1</v>
      </c>
      <c r="K651" s="13">
        <f t="shared" si="10"/>
        <v>200000</v>
      </c>
      <c r="L651" s="13" t="str">
        <f>_xlfn.XLOOKUP(I651,'Wk no''s'!C:C,'Wk no''s'!E:E,0)</f>
        <v>May</v>
      </c>
    </row>
    <row r="652" spans="1:12" x14ac:dyDescent="0.25">
      <c r="A652" s="70">
        <v>45783</v>
      </c>
      <c r="B652" s="71" t="s">
        <v>1089</v>
      </c>
      <c r="C652" s="71" t="s">
        <v>791</v>
      </c>
      <c r="D652" s="71" t="s">
        <v>15</v>
      </c>
      <c r="E652" s="71">
        <v>450000</v>
      </c>
      <c r="F652" s="70">
        <v>45807</v>
      </c>
      <c r="G652" s="71" t="s">
        <v>16</v>
      </c>
      <c r="H652" s="71" t="s">
        <v>50</v>
      </c>
      <c r="I652" s="13">
        <f>_xlfn.XLOOKUP(F652,'Wk no''s'!B:B,'Wk no''s'!C:C,FALSE)</f>
        <v>22</v>
      </c>
      <c r="J652" s="13">
        <f>IF(D652="GBP",1,SUMIFS('Ex Rates'!I:I,'Ex Rates'!K:K,'Weekly Closed Proposal Requests'!L652,'Ex Rates'!G:G,'Weekly Closed Proposal Requests'!D652))</f>
        <v>1</v>
      </c>
      <c r="K652" s="13">
        <f t="shared" si="10"/>
        <v>450000</v>
      </c>
      <c r="L652" s="13" t="str">
        <f>_xlfn.XLOOKUP(I652,'Wk no''s'!C:C,'Wk no''s'!E:E,0)</f>
        <v>May</v>
      </c>
    </row>
    <row r="653" spans="1:12" x14ac:dyDescent="0.25">
      <c r="A653" s="70">
        <v>45785</v>
      </c>
      <c r="B653" s="71" t="s">
        <v>1090</v>
      </c>
      <c r="C653" s="71" t="s">
        <v>791</v>
      </c>
      <c r="D653" s="71" t="s">
        <v>15</v>
      </c>
      <c r="E653" s="71">
        <v>450000</v>
      </c>
      <c r="F653" s="70">
        <v>45807</v>
      </c>
      <c r="G653" s="71" t="s">
        <v>16</v>
      </c>
      <c r="H653" s="71" t="s">
        <v>50</v>
      </c>
      <c r="I653" s="13">
        <f>_xlfn.XLOOKUP(F653,'Wk no''s'!B:B,'Wk no''s'!C:C,FALSE)</f>
        <v>22</v>
      </c>
      <c r="J653" s="13">
        <f>IF(D653="GBP",1,SUMIFS('Ex Rates'!I:I,'Ex Rates'!K:K,'Weekly Closed Proposal Requests'!L653,'Ex Rates'!G:G,'Weekly Closed Proposal Requests'!D653))</f>
        <v>1</v>
      </c>
      <c r="K653" s="13">
        <f t="shared" si="10"/>
        <v>450000</v>
      </c>
      <c r="L653" s="13" t="str">
        <f>_xlfn.XLOOKUP(I653,'Wk no''s'!C:C,'Wk no''s'!E:E,0)</f>
        <v>May</v>
      </c>
    </row>
    <row r="654" spans="1:12" x14ac:dyDescent="0.25">
      <c r="A654" s="70">
        <v>45806</v>
      </c>
      <c r="B654" s="71" t="s">
        <v>1103</v>
      </c>
      <c r="C654" s="71" t="s">
        <v>1110</v>
      </c>
      <c r="D654" s="71" t="s">
        <v>10</v>
      </c>
      <c r="E654" s="71">
        <v>600000</v>
      </c>
      <c r="F654" s="70">
        <v>45807</v>
      </c>
      <c r="G654" s="71" t="s">
        <v>11</v>
      </c>
      <c r="H654" s="71" t="s">
        <v>12</v>
      </c>
      <c r="I654" s="13">
        <f>_xlfn.XLOOKUP(F654,'Wk no''s'!B:B,'Wk no''s'!C:C,FALSE)</f>
        <v>22</v>
      </c>
      <c r="J654" s="13">
        <f>IF(D654="GBP",1,SUMIFS('Ex Rates'!I:I,'Ex Rates'!K:K,'Weekly Closed Proposal Requests'!L654,'Ex Rates'!G:G,'Weekly Closed Proposal Requests'!D654))</f>
        <v>0.48053820278712156</v>
      </c>
      <c r="K654" s="13">
        <f t="shared" si="10"/>
        <v>288322.92167227296</v>
      </c>
      <c r="L654" s="13" t="str">
        <f>_xlfn.XLOOKUP(I654,'Wk no''s'!C:C,'Wk no''s'!E:E,0)</f>
        <v>May</v>
      </c>
    </row>
    <row r="655" spans="1:12" x14ac:dyDescent="0.25">
      <c r="A655" s="70">
        <v>45791</v>
      </c>
      <c r="B655" s="71" t="s">
        <v>1095</v>
      </c>
      <c r="C655" s="71" t="s">
        <v>1111</v>
      </c>
      <c r="D655" s="71" t="s">
        <v>10</v>
      </c>
      <c r="E655" s="71">
        <v>40000</v>
      </c>
      <c r="F655" s="70">
        <v>45804</v>
      </c>
      <c r="G655" s="71" t="s">
        <v>11</v>
      </c>
      <c r="H655" s="71" t="s">
        <v>19</v>
      </c>
      <c r="I655" s="13">
        <f>_xlfn.XLOOKUP(F655,'Wk no''s'!B:B,'Wk no''s'!C:C,FALSE)</f>
        <v>22</v>
      </c>
      <c r="J655" s="13">
        <f>IF(D655="GBP",1,SUMIFS('Ex Rates'!I:I,'Ex Rates'!K:K,'Weekly Closed Proposal Requests'!L655,'Ex Rates'!G:G,'Weekly Closed Proposal Requests'!D655))</f>
        <v>0.48053820278712156</v>
      </c>
      <c r="K655" s="13">
        <f t="shared" si="10"/>
        <v>19221.528111484862</v>
      </c>
      <c r="L655" s="13" t="str">
        <f>_xlfn.XLOOKUP(I655,'Wk no''s'!C:C,'Wk no''s'!E:E,0)</f>
        <v>May</v>
      </c>
    </row>
    <row r="656" spans="1:12" x14ac:dyDescent="0.25">
      <c r="A656" s="70">
        <v>45786</v>
      </c>
      <c r="B656" s="71" t="s">
        <v>1096</v>
      </c>
      <c r="C656" s="71" t="s">
        <v>621</v>
      </c>
      <c r="D656" s="71" t="s">
        <v>10</v>
      </c>
      <c r="E656" s="71">
        <v>150000</v>
      </c>
      <c r="F656" s="70">
        <v>45804</v>
      </c>
      <c r="G656" s="71" t="s">
        <v>11</v>
      </c>
      <c r="H656" s="71" t="s">
        <v>50</v>
      </c>
      <c r="I656" s="13">
        <f>_xlfn.XLOOKUP(F656,'Wk no''s'!B:B,'Wk no''s'!C:C,FALSE)</f>
        <v>22</v>
      </c>
      <c r="J656" s="13">
        <f>IF(D656="GBP",1,SUMIFS('Ex Rates'!I:I,'Ex Rates'!K:K,'Weekly Closed Proposal Requests'!L656,'Ex Rates'!G:G,'Weekly Closed Proposal Requests'!D656))</f>
        <v>0.48053820278712156</v>
      </c>
      <c r="K656" s="13">
        <f t="shared" si="10"/>
        <v>72080.73041806824</v>
      </c>
      <c r="L656" s="13" t="str">
        <f>_xlfn.XLOOKUP(I656,'Wk no''s'!C:C,'Wk no''s'!E:E,0)</f>
        <v>May</v>
      </c>
    </row>
    <row r="657" spans="1:12" x14ac:dyDescent="0.25">
      <c r="A657" s="70">
        <v>45803</v>
      </c>
      <c r="B657" s="71" t="s">
        <v>1097</v>
      </c>
      <c r="C657" s="71" t="s">
        <v>392</v>
      </c>
      <c r="D657" s="71" t="s">
        <v>10</v>
      </c>
      <c r="E657" s="71">
        <v>5000000</v>
      </c>
      <c r="F657" s="70">
        <v>45805</v>
      </c>
      <c r="G657" s="71" t="s">
        <v>11</v>
      </c>
      <c r="H657" s="71" t="s">
        <v>50</v>
      </c>
      <c r="I657" s="13">
        <f>_xlfn.XLOOKUP(F657,'Wk no''s'!B:B,'Wk no''s'!C:C,FALSE)</f>
        <v>22</v>
      </c>
      <c r="J657" s="13">
        <f>IF(D657="GBP",1,SUMIFS('Ex Rates'!I:I,'Ex Rates'!K:K,'Weekly Closed Proposal Requests'!L657,'Ex Rates'!G:G,'Weekly Closed Proposal Requests'!D657))</f>
        <v>0.48053820278712156</v>
      </c>
      <c r="K657" s="13">
        <f t="shared" si="10"/>
        <v>2402691.0139356079</v>
      </c>
      <c r="L657" s="13" t="str">
        <f>_xlfn.XLOOKUP(I657,'Wk no''s'!C:C,'Wk no''s'!E:E,0)</f>
        <v>May</v>
      </c>
    </row>
    <row r="658" spans="1:12" x14ac:dyDescent="0.25">
      <c r="A658" s="70">
        <v>45804</v>
      </c>
      <c r="B658" s="71" t="s">
        <v>1098</v>
      </c>
      <c r="C658" s="71" t="s">
        <v>130</v>
      </c>
      <c r="D658" s="71" t="s">
        <v>10</v>
      </c>
      <c r="E658" s="71">
        <v>60000</v>
      </c>
      <c r="F658" s="70">
        <v>45805</v>
      </c>
      <c r="G658" s="71" t="s">
        <v>11</v>
      </c>
      <c r="H658" s="71" t="s">
        <v>50</v>
      </c>
      <c r="I658" s="13">
        <f>_xlfn.XLOOKUP(F658,'Wk no''s'!B:B,'Wk no''s'!C:C,FALSE)</f>
        <v>22</v>
      </c>
      <c r="J658" s="13">
        <f>IF(D658="GBP",1,SUMIFS('Ex Rates'!I:I,'Ex Rates'!K:K,'Weekly Closed Proposal Requests'!L658,'Ex Rates'!G:G,'Weekly Closed Proposal Requests'!D658))</f>
        <v>0.48053820278712156</v>
      </c>
      <c r="K658" s="13">
        <f t="shared" si="10"/>
        <v>28832.292167227293</v>
      </c>
      <c r="L658" s="13" t="str">
        <f>_xlfn.XLOOKUP(I658,'Wk no''s'!C:C,'Wk no''s'!E:E,0)</f>
        <v>May</v>
      </c>
    </row>
    <row r="659" spans="1:12" x14ac:dyDescent="0.25">
      <c r="A659" s="70">
        <v>45804</v>
      </c>
      <c r="B659" s="71" t="s">
        <v>1099</v>
      </c>
      <c r="C659" s="71" t="s">
        <v>878</v>
      </c>
      <c r="D659" s="71" t="s">
        <v>10</v>
      </c>
      <c r="E659" s="71">
        <v>150000</v>
      </c>
      <c r="F659" s="70">
        <v>45804</v>
      </c>
      <c r="G659" s="71" t="s">
        <v>11</v>
      </c>
      <c r="H659" s="71" t="s">
        <v>50</v>
      </c>
      <c r="I659" s="13">
        <f>_xlfn.XLOOKUP(F659,'Wk no''s'!B:B,'Wk no''s'!C:C,FALSE)</f>
        <v>22</v>
      </c>
      <c r="J659" s="13">
        <f>IF(D659="GBP",1,SUMIFS('Ex Rates'!I:I,'Ex Rates'!K:K,'Weekly Closed Proposal Requests'!L659,'Ex Rates'!G:G,'Weekly Closed Proposal Requests'!D659))</f>
        <v>0.48053820278712156</v>
      </c>
      <c r="K659" s="13">
        <f t="shared" si="10"/>
        <v>72080.73041806824</v>
      </c>
      <c r="L659" s="13" t="str">
        <f>_xlfn.XLOOKUP(I659,'Wk no''s'!C:C,'Wk no''s'!E:E,0)</f>
        <v>May</v>
      </c>
    </row>
    <row r="660" spans="1:12" x14ac:dyDescent="0.25">
      <c r="A660" s="70">
        <v>45804</v>
      </c>
      <c r="B660" s="71" t="s">
        <v>1100</v>
      </c>
      <c r="C660" s="71" t="s">
        <v>525</v>
      </c>
      <c r="D660" s="71" t="s">
        <v>10</v>
      </c>
      <c r="E660" s="71">
        <v>57000</v>
      </c>
      <c r="F660" s="70">
        <v>45805</v>
      </c>
      <c r="G660" s="71" t="s">
        <v>11</v>
      </c>
      <c r="H660" s="71" t="s">
        <v>50</v>
      </c>
      <c r="I660" s="13">
        <f>_xlfn.XLOOKUP(F660,'Wk no''s'!B:B,'Wk no''s'!C:C,FALSE)</f>
        <v>22</v>
      </c>
      <c r="J660" s="13">
        <f>IF(D660="GBP",1,SUMIFS('Ex Rates'!I:I,'Ex Rates'!K:K,'Weekly Closed Proposal Requests'!L660,'Ex Rates'!G:G,'Weekly Closed Proposal Requests'!D660))</f>
        <v>0.48053820278712156</v>
      </c>
      <c r="K660" s="13">
        <f t="shared" si="10"/>
        <v>27390.677558865929</v>
      </c>
      <c r="L660" s="13" t="str">
        <f>_xlfn.XLOOKUP(I660,'Wk no''s'!C:C,'Wk no''s'!E:E,0)</f>
        <v>May</v>
      </c>
    </row>
    <row r="661" spans="1:12" x14ac:dyDescent="0.25">
      <c r="A661" s="70">
        <v>45804</v>
      </c>
      <c r="B661" s="71" t="s">
        <v>1101</v>
      </c>
      <c r="C661" s="71" t="s">
        <v>733</v>
      </c>
      <c r="D661" s="71" t="s">
        <v>10</v>
      </c>
      <c r="E661" s="71">
        <v>300000</v>
      </c>
      <c r="F661" s="70">
        <v>45807</v>
      </c>
      <c r="G661" s="71" t="s">
        <v>11</v>
      </c>
      <c r="H661" s="71" t="s">
        <v>50</v>
      </c>
      <c r="I661" s="13">
        <f>_xlfn.XLOOKUP(F661,'Wk no''s'!B:B,'Wk no''s'!C:C,FALSE)</f>
        <v>22</v>
      </c>
      <c r="J661" s="13">
        <f>IF(D661="GBP",1,SUMIFS('Ex Rates'!I:I,'Ex Rates'!K:K,'Weekly Closed Proposal Requests'!L661,'Ex Rates'!G:G,'Weekly Closed Proposal Requests'!D661))</f>
        <v>0.48053820278712156</v>
      </c>
      <c r="K661" s="13">
        <f t="shared" si="10"/>
        <v>144161.46083613648</v>
      </c>
      <c r="L661" s="13" t="str">
        <f>_xlfn.XLOOKUP(I661,'Wk no''s'!C:C,'Wk no''s'!E:E,0)</f>
        <v>May</v>
      </c>
    </row>
    <row r="662" spans="1:12" x14ac:dyDescent="0.25">
      <c r="A662" s="70">
        <v>45805</v>
      </c>
      <c r="B662" s="71" t="s">
        <v>1102</v>
      </c>
      <c r="C662" s="71" t="s">
        <v>938</v>
      </c>
      <c r="D662" s="71" t="s">
        <v>10</v>
      </c>
      <c r="E662" s="71">
        <v>10000</v>
      </c>
      <c r="F662" s="70">
        <v>45806</v>
      </c>
      <c r="G662" s="71" t="s">
        <v>11</v>
      </c>
      <c r="H662" s="71" t="s">
        <v>50</v>
      </c>
      <c r="I662" s="13">
        <f>_xlfn.XLOOKUP(F662,'Wk no''s'!B:B,'Wk no''s'!C:C,FALSE)</f>
        <v>22</v>
      </c>
      <c r="J662" s="13">
        <f>IF(D662="GBP",1,SUMIFS('Ex Rates'!I:I,'Ex Rates'!K:K,'Weekly Closed Proposal Requests'!L662,'Ex Rates'!G:G,'Weekly Closed Proposal Requests'!D662))</f>
        <v>0.48053820278712156</v>
      </c>
      <c r="K662" s="13">
        <f t="shared" si="10"/>
        <v>4805.3820278712155</v>
      </c>
      <c r="L662" s="13" t="str">
        <f>_xlfn.XLOOKUP(I662,'Wk no''s'!C:C,'Wk no''s'!E:E,0)</f>
        <v>May</v>
      </c>
    </row>
    <row r="663" spans="1:12" x14ac:dyDescent="0.25">
      <c r="A663" s="70">
        <v>45799</v>
      </c>
      <c r="B663" s="71" t="s">
        <v>1104</v>
      </c>
      <c r="C663" s="71" t="s">
        <v>1446</v>
      </c>
      <c r="D663" s="71" t="s">
        <v>15</v>
      </c>
      <c r="E663" s="71">
        <v>5000</v>
      </c>
      <c r="F663" s="70">
        <v>45805</v>
      </c>
      <c r="G663" s="71" t="s">
        <v>72</v>
      </c>
      <c r="H663" s="71" t="s">
        <v>19</v>
      </c>
      <c r="I663" s="13">
        <f>_xlfn.XLOOKUP(F663,'Wk no''s'!B:B,'Wk no''s'!C:C,FALSE)</f>
        <v>22</v>
      </c>
      <c r="J663" s="13">
        <f>IF(D663="GBP",1,SUMIFS('Ex Rates'!I:I,'Ex Rates'!K:K,'Weekly Closed Proposal Requests'!L663,'Ex Rates'!G:G,'Weekly Closed Proposal Requests'!D663))</f>
        <v>1</v>
      </c>
      <c r="K663" s="13">
        <f t="shared" ref="K663:K726" si="11">+E663*J663</f>
        <v>5000</v>
      </c>
      <c r="L663" s="13" t="str">
        <f>_xlfn.XLOOKUP(I663,'Wk no''s'!C:C,'Wk no''s'!E:E,0)</f>
        <v>May</v>
      </c>
    </row>
    <row r="664" spans="1:12" x14ac:dyDescent="0.25">
      <c r="A664" s="70">
        <v>45800</v>
      </c>
      <c r="B664" s="71" t="s">
        <v>1105</v>
      </c>
      <c r="C664" s="71" t="s">
        <v>289</v>
      </c>
      <c r="D664" s="71" t="s">
        <v>15</v>
      </c>
      <c r="E664" s="71">
        <v>50000</v>
      </c>
      <c r="F664" s="70">
        <v>45804</v>
      </c>
      <c r="G664" s="71" t="s">
        <v>72</v>
      </c>
      <c r="H664" s="71" t="s">
        <v>19</v>
      </c>
      <c r="I664" s="13">
        <f>_xlfn.XLOOKUP(F664,'Wk no''s'!B:B,'Wk no''s'!C:C,FALSE)</f>
        <v>22</v>
      </c>
      <c r="J664" s="13">
        <f>IF(D664="GBP",1,SUMIFS('Ex Rates'!I:I,'Ex Rates'!K:K,'Weekly Closed Proposal Requests'!L664,'Ex Rates'!G:G,'Weekly Closed Proposal Requests'!D664))</f>
        <v>1</v>
      </c>
      <c r="K664" s="13">
        <f t="shared" si="11"/>
        <v>50000</v>
      </c>
      <c r="L664" s="13" t="str">
        <f>_xlfn.XLOOKUP(I664,'Wk no''s'!C:C,'Wk no''s'!E:E,0)</f>
        <v>May</v>
      </c>
    </row>
    <row r="665" spans="1:12" x14ac:dyDescent="0.25">
      <c r="A665" s="70">
        <v>45805</v>
      </c>
      <c r="B665" s="71" t="s">
        <v>1106</v>
      </c>
      <c r="C665" s="71" t="s">
        <v>898</v>
      </c>
      <c r="D665" s="71" t="s">
        <v>15</v>
      </c>
      <c r="E665" s="71">
        <v>20000</v>
      </c>
      <c r="F665" s="70">
        <v>45807</v>
      </c>
      <c r="G665" s="71" t="s">
        <v>72</v>
      </c>
      <c r="H665" s="71" t="s">
        <v>19</v>
      </c>
      <c r="I665" s="13">
        <f>_xlfn.XLOOKUP(F665,'Wk no''s'!B:B,'Wk no''s'!C:C,FALSE)</f>
        <v>22</v>
      </c>
      <c r="J665" s="13">
        <f>IF(D665="GBP",1,SUMIFS('Ex Rates'!I:I,'Ex Rates'!K:K,'Weekly Closed Proposal Requests'!L665,'Ex Rates'!G:G,'Weekly Closed Proposal Requests'!D665))</f>
        <v>1</v>
      </c>
      <c r="K665" s="13">
        <f t="shared" si="11"/>
        <v>20000</v>
      </c>
      <c r="L665" s="13" t="str">
        <f>_xlfn.XLOOKUP(I665,'Wk no''s'!C:C,'Wk no''s'!E:E,0)</f>
        <v>May</v>
      </c>
    </row>
    <row r="666" spans="1:12" x14ac:dyDescent="0.25">
      <c r="A666" s="70">
        <v>45798</v>
      </c>
      <c r="B666" s="71" t="s">
        <v>1112</v>
      </c>
      <c r="C666" s="71" t="s">
        <v>1113</v>
      </c>
      <c r="D666" s="71" t="s">
        <v>15</v>
      </c>
      <c r="E666" s="71">
        <v>15000</v>
      </c>
      <c r="F666" s="70">
        <v>45813</v>
      </c>
      <c r="G666" s="71" t="s">
        <v>16</v>
      </c>
      <c r="H666" s="71" t="s">
        <v>19</v>
      </c>
      <c r="I666" s="13">
        <f>_xlfn.XLOOKUP(F666,'Wk no''s'!B:B,'Wk no''s'!C:C,FALSE)</f>
        <v>23</v>
      </c>
      <c r="J666" s="13">
        <f>IF(D666="GBP",1,SUMIFS('Ex Rates'!I:I,'Ex Rates'!K:K,'Weekly Closed Proposal Requests'!L666,'Ex Rates'!G:G,'Weekly Closed Proposal Requests'!D666))</f>
        <v>1</v>
      </c>
      <c r="K666" s="13">
        <f t="shared" si="11"/>
        <v>15000</v>
      </c>
      <c r="L666" s="13" t="str">
        <f>_xlfn.XLOOKUP(I666,'Wk no''s'!C:C,'Wk no''s'!E:E,0)</f>
        <v>May</v>
      </c>
    </row>
    <row r="667" spans="1:12" x14ac:dyDescent="0.25">
      <c r="A667" s="70">
        <v>45799</v>
      </c>
      <c r="B667" s="71" t="s">
        <v>1114</v>
      </c>
      <c r="C667" s="71" t="s">
        <v>1115</v>
      </c>
      <c r="D667" s="71" t="s">
        <v>15</v>
      </c>
      <c r="E667" s="71">
        <v>100000</v>
      </c>
      <c r="F667" s="70">
        <v>45810</v>
      </c>
      <c r="G667" s="71" t="s">
        <v>16</v>
      </c>
      <c r="H667" s="71" t="s">
        <v>19</v>
      </c>
      <c r="I667" s="13">
        <f>_xlfn.XLOOKUP(F667,'Wk no''s'!B:B,'Wk no''s'!C:C,FALSE)</f>
        <v>23</v>
      </c>
      <c r="J667" s="13">
        <f>IF(D667="GBP",1,SUMIFS('Ex Rates'!I:I,'Ex Rates'!K:K,'Weekly Closed Proposal Requests'!L667,'Ex Rates'!G:G,'Weekly Closed Proposal Requests'!D667))</f>
        <v>1</v>
      </c>
      <c r="K667" s="13">
        <f t="shared" si="11"/>
        <v>100000</v>
      </c>
      <c r="L667" s="13" t="str">
        <f>_xlfn.XLOOKUP(I667,'Wk no''s'!C:C,'Wk no''s'!E:E,0)</f>
        <v>May</v>
      </c>
    </row>
    <row r="668" spans="1:12" x14ac:dyDescent="0.25">
      <c r="A668" s="70">
        <v>45805</v>
      </c>
      <c r="B668" s="71" t="s">
        <v>1116</v>
      </c>
      <c r="C668" s="71" t="s">
        <v>899</v>
      </c>
      <c r="D668" s="71" t="s">
        <v>15</v>
      </c>
      <c r="E668" s="71">
        <v>46000</v>
      </c>
      <c r="F668" s="70">
        <v>45810</v>
      </c>
      <c r="G668" s="71" t="s">
        <v>16</v>
      </c>
      <c r="H668" s="71" t="s">
        <v>19</v>
      </c>
      <c r="I668" s="13">
        <f>_xlfn.XLOOKUP(F668,'Wk no''s'!B:B,'Wk no''s'!C:C,FALSE)</f>
        <v>23</v>
      </c>
      <c r="J668" s="13">
        <f>IF(D668="GBP",1,SUMIFS('Ex Rates'!I:I,'Ex Rates'!K:K,'Weekly Closed Proposal Requests'!L668,'Ex Rates'!G:G,'Weekly Closed Proposal Requests'!D668))</f>
        <v>1</v>
      </c>
      <c r="K668" s="13">
        <f t="shared" si="11"/>
        <v>46000</v>
      </c>
      <c r="L668" s="13" t="str">
        <f>_xlfn.XLOOKUP(I668,'Wk no''s'!C:C,'Wk no''s'!E:E,0)</f>
        <v>May</v>
      </c>
    </row>
    <row r="669" spans="1:12" x14ac:dyDescent="0.25">
      <c r="A669" s="70">
        <v>45806</v>
      </c>
      <c r="B669" s="71" t="s">
        <v>1117</v>
      </c>
      <c r="C669" s="71" t="s">
        <v>851</v>
      </c>
      <c r="D669" s="71" t="s">
        <v>15</v>
      </c>
      <c r="E669" s="71">
        <v>30000</v>
      </c>
      <c r="F669" s="70">
        <v>45810</v>
      </c>
      <c r="G669" s="71" t="s">
        <v>16</v>
      </c>
      <c r="H669" s="71" t="s">
        <v>19</v>
      </c>
      <c r="I669" s="13">
        <f>_xlfn.XLOOKUP(F669,'Wk no''s'!B:B,'Wk no''s'!C:C,FALSE)</f>
        <v>23</v>
      </c>
      <c r="J669" s="13">
        <f>IF(D669="GBP",1,SUMIFS('Ex Rates'!I:I,'Ex Rates'!K:K,'Weekly Closed Proposal Requests'!L669,'Ex Rates'!G:G,'Weekly Closed Proposal Requests'!D669))</f>
        <v>1</v>
      </c>
      <c r="K669" s="13">
        <f t="shared" si="11"/>
        <v>30000</v>
      </c>
      <c r="L669" s="13" t="str">
        <f>_xlfn.XLOOKUP(I669,'Wk no''s'!C:C,'Wk no''s'!E:E,0)</f>
        <v>May</v>
      </c>
    </row>
    <row r="670" spans="1:12" x14ac:dyDescent="0.25">
      <c r="A670" s="70">
        <v>45807</v>
      </c>
      <c r="B670" s="71" t="s">
        <v>1118</v>
      </c>
      <c r="C670" s="71" t="s">
        <v>1119</v>
      </c>
      <c r="D670" s="71" t="s">
        <v>15</v>
      </c>
      <c r="E670" s="71">
        <v>20000</v>
      </c>
      <c r="F670" s="70">
        <v>45812</v>
      </c>
      <c r="G670" s="71" t="s">
        <v>16</v>
      </c>
      <c r="H670" s="71" t="s">
        <v>19</v>
      </c>
      <c r="I670" s="13">
        <f>_xlfn.XLOOKUP(F670,'Wk no''s'!B:B,'Wk no''s'!C:C,FALSE)</f>
        <v>23</v>
      </c>
      <c r="J670" s="13">
        <f>IF(D670="GBP",1,SUMIFS('Ex Rates'!I:I,'Ex Rates'!K:K,'Weekly Closed Proposal Requests'!L670,'Ex Rates'!G:G,'Weekly Closed Proposal Requests'!D670))</f>
        <v>1</v>
      </c>
      <c r="K670" s="13">
        <f t="shared" si="11"/>
        <v>20000</v>
      </c>
      <c r="L670" s="13" t="str">
        <f>_xlfn.XLOOKUP(I670,'Wk no''s'!C:C,'Wk no''s'!E:E,0)</f>
        <v>May</v>
      </c>
    </row>
    <row r="671" spans="1:12" x14ac:dyDescent="0.25">
      <c r="A671" s="70">
        <v>45807</v>
      </c>
      <c r="B671" s="71" t="s">
        <v>1120</v>
      </c>
      <c r="C671" s="71" t="s">
        <v>1068</v>
      </c>
      <c r="D671" s="71" t="s">
        <v>15</v>
      </c>
      <c r="E671" s="71">
        <v>100000</v>
      </c>
      <c r="F671" s="70">
        <v>45812</v>
      </c>
      <c r="G671" s="71" t="s">
        <v>16</v>
      </c>
      <c r="H671" s="71" t="s">
        <v>19</v>
      </c>
      <c r="I671" s="13">
        <f>_xlfn.XLOOKUP(F671,'Wk no''s'!B:B,'Wk no''s'!C:C,FALSE)</f>
        <v>23</v>
      </c>
      <c r="J671" s="13">
        <f>IF(D671="GBP",1,SUMIFS('Ex Rates'!I:I,'Ex Rates'!K:K,'Weekly Closed Proposal Requests'!L671,'Ex Rates'!G:G,'Weekly Closed Proposal Requests'!D671))</f>
        <v>1</v>
      </c>
      <c r="K671" s="13">
        <f t="shared" si="11"/>
        <v>100000</v>
      </c>
      <c r="L671" s="13" t="str">
        <f>_xlfn.XLOOKUP(I671,'Wk no''s'!C:C,'Wk no''s'!E:E,0)</f>
        <v>May</v>
      </c>
    </row>
    <row r="672" spans="1:12" x14ac:dyDescent="0.25">
      <c r="A672" s="70">
        <v>45810</v>
      </c>
      <c r="B672" s="71" t="s">
        <v>1121</v>
      </c>
      <c r="C672" s="71" t="s">
        <v>1122</v>
      </c>
      <c r="D672" s="71" t="s">
        <v>15</v>
      </c>
      <c r="E672" s="71">
        <v>120000</v>
      </c>
      <c r="F672" s="70">
        <v>45812</v>
      </c>
      <c r="G672" s="71" t="s">
        <v>16</v>
      </c>
      <c r="H672" s="71" t="s">
        <v>19</v>
      </c>
      <c r="I672" s="13">
        <f>_xlfn.XLOOKUP(F672,'Wk no''s'!B:B,'Wk no''s'!C:C,FALSE)</f>
        <v>23</v>
      </c>
      <c r="J672" s="13">
        <f>IF(D672="GBP",1,SUMIFS('Ex Rates'!I:I,'Ex Rates'!K:K,'Weekly Closed Proposal Requests'!L672,'Ex Rates'!G:G,'Weekly Closed Proposal Requests'!D672))</f>
        <v>1</v>
      </c>
      <c r="K672" s="13">
        <f t="shared" si="11"/>
        <v>120000</v>
      </c>
      <c r="L672" s="13" t="str">
        <f>_xlfn.XLOOKUP(I672,'Wk no''s'!C:C,'Wk no''s'!E:E,0)</f>
        <v>May</v>
      </c>
    </row>
    <row r="673" spans="1:12" x14ac:dyDescent="0.25">
      <c r="A673" s="70">
        <v>45811</v>
      </c>
      <c r="B673" s="71" t="s">
        <v>1123</v>
      </c>
      <c r="C673" s="71" t="s">
        <v>248</v>
      </c>
      <c r="D673" s="71" t="s">
        <v>15</v>
      </c>
      <c r="E673" s="71">
        <v>65000</v>
      </c>
      <c r="F673" s="70">
        <v>45813</v>
      </c>
      <c r="G673" s="71" t="s">
        <v>16</v>
      </c>
      <c r="H673" s="71" t="s">
        <v>19</v>
      </c>
      <c r="I673" s="13">
        <f>_xlfn.XLOOKUP(F673,'Wk no''s'!B:B,'Wk no''s'!C:C,FALSE)</f>
        <v>23</v>
      </c>
      <c r="J673" s="13">
        <f>IF(D673="GBP",1,SUMIFS('Ex Rates'!I:I,'Ex Rates'!K:K,'Weekly Closed Proposal Requests'!L673,'Ex Rates'!G:G,'Weekly Closed Proposal Requests'!D673))</f>
        <v>1</v>
      </c>
      <c r="K673" s="13">
        <f t="shared" si="11"/>
        <v>65000</v>
      </c>
      <c r="L673" s="13" t="str">
        <f>_xlfn.XLOOKUP(I673,'Wk no''s'!C:C,'Wk no''s'!E:E,0)</f>
        <v>May</v>
      </c>
    </row>
    <row r="674" spans="1:12" x14ac:dyDescent="0.25">
      <c r="A674" s="70">
        <v>45812</v>
      </c>
      <c r="B674" s="71" t="s">
        <v>1124</v>
      </c>
      <c r="C674" s="71" t="s">
        <v>410</v>
      </c>
      <c r="D674" s="71" t="s">
        <v>15</v>
      </c>
      <c r="E674" s="71">
        <v>100000</v>
      </c>
      <c r="F674" s="70">
        <v>45814</v>
      </c>
      <c r="G674" s="71" t="s">
        <v>16</v>
      </c>
      <c r="H674" s="71" t="s">
        <v>19</v>
      </c>
      <c r="I674" s="13">
        <f>_xlfn.XLOOKUP(F674,'Wk no''s'!B:B,'Wk no''s'!C:C,FALSE)</f>
        <v>23</v>
      </c>
      <c r="J674" s="13">
        <f>IF(D674="GBP",1,SUMIFS('Ex Rates'!I:I,'Ex Rates'!K:K,'Weekly Closed Proposal Requests'!L674,'Ex Rates'!G:G,'Weekly Closed Proposal Requests'!D674))</f>
        <v>1</v>
      </c>
      <c r="K674" s="13">
        <f t="shared" si="11"/>
        <v>100000</v>
      </c>
      <c r="L674" s="13" t="str">
        <f>_xlfn.XLOOKUP(I674,'Wk no''s'!C:C,'Wk no''s'!E:E,0)</f>
        <v>May</v>
      </c>
    </row>
    <row r="675" spans="1:12" x14ac:dyDescent="0.25">
      <c r="A675" s="70">
        <v>45784</v>
      </c>
      <c r="B675" s="71" t="s">
        <v>1125</v>
      </c>
      <c r="C675" s="71" t="s">
        <v>1262</v>
      </c>
      <c r="D675" s="71" t="s">
        <v>46</v>
      </c>
      <c r="E675" s="71">
        <v>200000</v>
      </c>
      <c r="F675" s="70">
        <v>45812</v>
      </c>
      <c r="G675" s="71" t="s">
        <v>47</v>
      </c>
      <c r="H675" s="71" t="s">
        <v>19</v>
      </c>
      <c r="I675" s="13">
        <f>_xlfn.XLOOKUP(F675,'Wk no''s'!B:B,'Wk no''s'!C:C,FALSE)</f>
        <v>23</v>
      </c>
      <c r="J675" s="13">
        <f>IF(D675="GBP",1,SUMIFS('Ex Rates'!I:I,'Ex Rates'!K:K,'Weekly Closed Proposal Requests'!L675,'Ex Rates'!G:G,'Weekly Closed Proposal Requests'!D675))</f>
        <v>0.75018754688672173</v>
      </c>
      <c r="K675" s="13">
        <f t="shared" si="11"/>
        <v>150037.50937734434</v>
      </c>
      <c r="L675" s="13" t="str">
        <f>_xlfn.XLOOKUP(I675,'Wk no''s'!C:C,'Wk no''s'!E:E,0)</f>
        <v>May</v>
      </c>
    </row>
    <row r="676" spans="1:12" x14ac:dyDescent="0.25">
      <c r="A676" s="70">
        <v>45789</v>
      </c>
      <c r="B676" s="71" t="s">
        <v>1126</v>
      </c>
      <c r="C676" s="71" t="s">
        <v>1127</v>
      </c>
      <c r="D676" s="71" t="s">
        <v>46</v>
      </c>
      <c r="E676" s="71">
        <v>1300000</v>
      </c>
      <c r="F676" s="70">
        <v>45813</v>
      </c>
      <c r="G676" s="71" t="s">
        <v>47</v>
      </c>
      <c r="H676" s="71" t="s">
        <v>19</v>
      </c>
      <c r="I676" s="13">
        <f>_xlfn.XLOOKUP(F676,'Wk no''s'!B:B,'Wk no''s'!C:C,FALSE)</f>
        <v>23</v>
      </c>
      <c r="J676" s="13">
        <f>IF(D676="GBP",1,SUMIFS('Ex Rates'!I:I,'Ex Rates'!K:K,'Weekly Closed Proposal Requests'!L676,'Ex Rates'!G:G,'Weekly Closed Proposal Requests'!D676))</f>
        <v>0.75018754688672173</v>
      </c>
      <c r="K676" s="13">
        <f t="shared" si="11"/>
        <v>975243.81095273828</v>
      </c>
      <c r="L676" s="13" t="str">
        <f>_xlfn.XLOOKUP(I676,'Wk no''s'!C:C,'Wk no''s'!E:E,0)</f>
        <v>May</v>
      </c>
    </row>
    <row r="677" spans="1:12" x14ac:dyDescent="0.25">
      <c r="A677" s="70">
        <v>45804</v>
      </c>
      <c r="B677" s="71" t="s">
        <v>1128</v>
      </c>
      <c r="C677" s="71" t="s">
        <v>1129</v>
      </c>
      <c r="D677" s="71" t="s">
        <v>46</v>
      </c>
      <c r="E677" s="71">
        <v>50000</v>
      </c>
      <c r="F677" s="70">
        <v>45811</v>
      </c>
      <c r="G677" s="71" t="s">
        <v>47</v>
      </c>
      <c r="H677" s="71" t="s">
        <v>19</v>
      </c>
      <c r="I677" s="13">
        <f>_xlfn.XLOOKUP(F677,'Wk no''s'!B:B,'Wk no''s'!C:C,FALSE)</f>
        <v>23</v>
      </c>
      <c r="J677" s="13">
        <f>IF(D677="GBP",1,SUMIFS('Ex Rates'!I:I,'Ex Rates'!K:K,'Weekly Closed Proposal Requests'!L677,'Ex Rates'!G:G,'Weekly Closed Proposal Requests'!D677))</f>
        <v>0.75018754688672173</v>
      </c>
      <c r="K677" s="13">
        <f t="shared" si="11"/>
        <v>37509.377344336084</v>
      </c>
      <c r="L677" s="13" t="str">
        <f>_xlfn.XLOOKUP(I677,'Wk no''s'!C:C,'Wk no''s'!E:E,0)</f>
        <v>May</v>
      </c>
    </row>
    <row r="678" spans="1:12" x14ac:dyDescent="0.25">
      <c r="A678" s="70">
        <v>45806</v>
      </c>
      <c r="B678" s="71" t="s">
        <v>1130</v>
      </c>
      <c r="C678" s="71" t="s">
        <v>1131</v>
      </c>
      <c r="D678" s="71" t="s">
        <v>46</v>
      </c>
      <c r="E678" s="71">
        <v>60000</v>
      </c>
      <c r="F678" s="70">
        <v>45813</v>
      </c>
      <c r="G678" s="71" t="s">
        <v>47</v>
      </c>
      <c r="H678" s="71" t="s">
        <v>19</v>
      </c>
      <c r="I678" s="13">
        <f>_xlfn.XLOOKUP(F678,'Wk no''s'!B:B,'Wk no''s'!C:C,FALSE)</f>
        <v>23</v>
      </c>
      <c r="J678" s="13">
        <f>IF(D678="GBP",1,SUMIFS('Ex Rates'!I:I,'Ex Rates'!K:K,'Weekly Closed Proposal Requests'!L678,'Ex Rates'!G:G,'Weekly Closed Proposal Requests'!D678))</f>
        <v>0.75018754688672173</v>
      </c>
      <c r="K678" s="13">
        <f t="shared" si="11"/>
        <v>45011.252813203304</v>
      </c>
      <c r="L678" s="13" t="str">
        <f>_xlfn.XLOOKUP(I678,'Wk no''s'!C:C,'Wk no''s'!E:E,0)</f>
        <v>May</v>
      </c>
    </row>
    <row r="679" spans="1:12" x14ac:dyDescent="0.25">
      <c r="A679" s="70">
        <v>45786</v>
      </c>
      <c r="B679" s="71" t="s">
        <v>1132</v>
      </c>
      <c r="C679" s="71" t="s">
        <v>1133</v>
      </c>
      <c r="D679" s="71" t="s">
        <v>46</v>
      </c>
      <c r="E679" s="71">
        <v>0</v>
      </c>
      <c r="F679" s="70">
        <v>45813</v>
      </c>
      <c r="G679" s="71" t="s">
        <v>47</v>
      </c>
      <c r="H679" s="71" t="s">
        <v>50</v>
      </c>
      <c r="I679" s="13">
        <f>_xlfn.XLOOKUP(F679,'Wk no''s'!B:B,'Wk no''s'!C:C,FALSE)</f>
        <v>23</v>
      </c>
      <c r="J679" s="13">
        <f>IF(D679="GBP",1,SUMIFS('Ex Rates'!I:I,'Ex Rates'!K:K,'Weekly Closed Proposal Requests'!L679,'Ex Rates'!G:G,'Weekly Closed Proposal Requests'!D679))</f>
        <v>0.75018754688672173</v>
      </c>
      <c r="K679" s="13">
        <f t="shared" si="11"/>
        <v>0</v>
      </c>
      <c r="L679" s="13" t="str">
        <f>_xlfn.XLOOKUP(I679,'Wk no''s'!C:C,'Wk no''s'!E:E,0)</f>
        <v>May</v>
      </c>
    </row>
    <row r="680" spans="1:12" x14ac:dyDescent="0.25">
      <c r="A680" s="70">
        <v>45804</v>
      </c>
      <c r="B680" s="71" t="s">
        <v>1134</v>
      </c>
      <c r="C680" s="71" t="s">
        <v>418</v>
      </c>
      <c r="D680" s="71" t="s">
        <v>15</v>
      </c>
      <c r="E680" s="71">
        <v>301939</v>
      </c>
      <c r="F680" s="70">
        <v>45812</v>
      </c>
      <c r="G680" s="71" t="s">
        <v>47</v>
      </c>
      <c r="H680" s="71" t="s">
        <v>50</v>
      </c>
      <c r="I680" s="13">
        <f>_xlfn.XLOOKUP(F680,'Wk no''s'!B:B,'Wk no''s'!C:C,FALSE)</f>
        <v>23</v>
      </c>
      <c r="J680" s="13">
        <f>IF(D680="GBP",1,SUMIFS('Ex Rates'!I:I,'Ex Rates'!K:K,'Weekly Closed Proposal Requests'!L680,'Ex Rates'!G:G,'Weekly Closed Proposal Requests'!D680))</f>
        <v>1</v>
      </c>
      <c r="K680" s="13">
        <f t="shared" si="11"/>
        <v>301939</v>
      </c>
      <c r="L680" s="13" t="str">
        <f>_xlfn.XLOOKUP(I680,'Wk no''s'!C:C,'Wk no''s'!E:E,0)</f>
        <v>May</v>
      </c>
    </row>
    <row r="681" spans="1:12" x14ac:dyDescent="0.25">
      <c r="A681" s="70">
        <v>45804</v>
      </c>
      <c r="B681" s="71" t="s">
        <v>1135</v>
      </c>
      <c r="C681" s="71" t="s">
        <v>862</v>
      </c>
      <c r="D681" s="71" t="s">
        <v>15</v>
      </c>
      <c r="E681" s="71">
        <v>926774</v>
      </c>
      <c r="F681" s="70">
        <v>45812</v>
      </c>
      <c r="G681" s="71" t="s">
        <v>47</v>
      </c>
      <c r="H681" s="71" t="s">
        <v>50</v>
      </c>
      <c r="I681" s="13">
        <f>_xlfn.XLOOKUP(F681,'Wk no''s'!B:B,'Wk no''s'!C:C,FALSE)</f>
        <v>23</v>
      </c>
      <c r="J681" s="13">
        <f>IF(D681="GBP",1,SUMIFS('Ex Rates'!I:I,'Ex Rates'!K:K,'Weekly Closed Proposal Requests'!L681,'Ex Rates'!G:G,'Weekly Closed Proposal Requests'!D681))</f>
        <v>1</v>
      </c>
      <c r="K681" s="13">
        <f t="shared" si="11"/>
        <v>926774</v>
      </c>
      <c r="L681" s="13" t="str">
        <f>_xlfn.XLOOKUP(I681,'Wk no''s'!C:C,'Wk no''s'!E:E,0)</f>
        <v>May</v>
      </c>
    </row>
    <row r="682" spans="1:12" x14ac:dyDescent="0.25">
      <c r="A682" s="70">
        <v>45809</v>
      </c>
      <c r="B682" s="71" t="s">
        <v>1136</v>
      </c>
      <c r="C682" s="71" t="s">
        <v>325</v>
      </c>
      <c r="D682" s="71" t="s">
        <v>15</v>
      </c>
      <c r="E682" s="71">
        <v>337000</v>
      </c>
      <c r="F682" s="70">
        <v>45810</v>
      </c>
      <c r="G682" s="71" t="s">
        <v>47</v>
      </c>
      <c r="H682" s="71" t="s">
        <v>50</v>
      </c>
      <c r="I682" s="13">
        <f>_xlfn.XLOOKUP(F682,'Wk no''s'!B:B,'Wk no''s'!C:C,FALSE)</f>
        <v>23</v>
      </c>
      <c r="J682" s="13">
        <f>IF(D682="GBP",1,SUMIFS('Ex Rates'!I:I,'Ex Rates'!K:K,'Weekly Closed Proposal Requests'!L682,'Ex Rates'!G:G,'Weekly Closed Proposal Requests'!D682))</f>
        <v>1</v>
      </c>
      <c r="K682" s="13">
        <f t="shared" si="11"/>
        <v>337000</v>
      </c>
      <c r="L682" s="13" t="str">
        <f>_xlfn.XLOOKUP(I682,'Wk no''s'!C:C,'Wk no''s'!E:E,0)</f>
        <v>May</v>
      </c>
    </row>
    <row r="683" spans="1:12" x14ac:dyDescent="0.25">
      <c r="A683" s="70">
        <v>45810</v>
      </c>
      <c r="B683" s="71" t="s">
        <v>1137</v>
      </c>
      <c r="C683" s="71" t="s">
        <v>228</v>
      </c>
      <c r="D683" s="71" t="s">
        <v>15</v>
      </c>
      <c r="E683" s="71">
        <v>228000</v>
      </c>
      <c r="F683" s="70">
        <v>45810</v>
      </c>
      <c r="G683" s="71" t="s">
        <v>47</v>
      </c>
      <c r="H683" s="71" t="s">
        <v>50</v>
      </c>
      <c r="I683" s="13">
        <f>_xlfn.XLOOKUP(F683,'Wk no''s'!B:B,'Wk no''s'!C:C,FALSE)</f>
        <v>23</v>
      </c>
      <c r="J683" s="13">
        <f>IF(D683="GBP",1,SUMIFS('Ex Rates'!I:I,'Ex Rates'!K:K,'Weekly Closed Proposal Requests'!L683,'Ex Rates'!G:G,'Weekly Closed Proposal Requests'!D683))</f>
        <v>1</v>
      </c>
      <c r="K683" s="13">
        <f t="shared" si="11"/>
        <v>228000</v>
      </c>
      <c r="L683" s="13" t="str">
        <f>_xlfn.XLOOKUP(I683,'Wk no''s'!C:C,'Wk no''s'!E:E,0)</f>
        <v>May</v>
      </c>
    </row>
    <row r="684" spans="1:12" x14ac:dyDescent="0.25">
      <c r="A684" s="70">
        <v>45812</v>
      </c>
      <c r="B684" s="71" t="s">
        <v>1138</v>
      </c>
      <c r="C684" s="71" t="s">
        <v>615</v>
      </c>
      <c r="D684" s="71" t="s">
        <v>15</v>
      </c>
      <c r="E684" s="71">
        <v>4364711</v>
      </c>
      <c r="F684" s="70">
        <v>45814</v>
      </c>
      <c r="G684" s="71" t="s">
        <v>47</v>
      </c>
      <c r="H684" s="71" t="s">
        <v>50</v>
      </c>
      <c r="I684" s="13">
        <f>_xlfn.XLOOKUP(F684,'Wk no''s'!B:B,'Wk no''s'!C:C,FALSE)</f>
        <v>23</v>
      </c>
      <c r="J684" s="13">
        <f>IF(D684="GBP",1,SUMIFS('Ex Rates'!I:I,'Ex Rates'!K:K,'Weekly Closed Proposal Requests'!L684,'Ex Rates'!G:G,'Weekly Closed Proposal Requests'!D684))</f>
        <v>1</v>
      </c>
      <c r="K684" s="13">
        <f t="shared" si="11"/>
        <v>4364711</v>
      </c>
      <c r="L684" s="13" t="str">
        <f>_xlfn.XLOOKUP(I684,'Wk no''s'!C:C,'Wk no''s'!E:E,0)</f>
        <v>May</v>
      </c>
    </row>
    <row r="685" spans="1:12" x14ac:dyDescent="0.25">
      <c r="A685" s="70">
        <v>45812</v>
      </c>
      <c r="B685" s="71" t="s">
        <v>1139</v>
      </c>
      <c r="C685" s="71" t="s">
        <v>1140</v>
      </c>
      <c r="D685" s="71" t="s">
        <v>10</v>
      </c>
      <c r="E685" s="71">
        <v>25000</v>
      </c>
      <c r="F685" s="70">
        <v>45812</v>
      </c>
      <c r="G685" s="71" t="s">
        <v>11</v>
      </c>
      <c r="H685" s="71" t="s">
        <v>12</v>
      </c>
      <c r="I685" s="13">
        <f>_xlfn.XLOOKUP(F685,'Wk no''s'!B:B,'Wk no''s'!C:C,FALSE)</f>
        <v>23</v>
      </c>
      <c r="J685" s="13">
        <f>IF(D685="GBP",1,SUMIFS('Ex Rates'!I:I,'Ex Rates'!K:K,'Weekly Closed Proposal Requests'!L685,'Ex Rates'!G:G,'Weekly Closed Proposal Requests'!D685))</f>
        <v>0.48053820278712156</v>
      </c>
      <c r="K685" s="13">
        <f t="shared" si="11"/>
        <v>12013.455069678039</v>
      </c>
      <c r="L685" s="13" t="str">
        <f>_xlfn.XLOOKUP(I685,'Wk no''s'!C:C,'Wk no''s'!E:E,0)</f>
        <v>May</v>
      </c>
    </row>
    <row r="686" spans="1:12" x14ac:dyDescent="0.25">
      <c r="A686" s="70">
        <v>45812</v>
      </c>
      <c r="B686" s="71" t="s">
        <v>1141</v>
      </c>
      <c r="C686" s="71" t="s">
        <v>1111</v>
      </c>
      <c r="D686" s="71" t="s">
        <v>10</v>
      </c>
      <c r="E686" s="71">
        <v>40000</v>
      </c>
      <c r="F686" s="70">
        <v>45813</v>
      </c>
      <c r="G686" s="71" t="s">
        <v>11</v>
      </c>
      <c r="H686" s="71" t="s">
        <v>19</v>
      </c>
      <c r="I686" s="13">
        <f>_xlfn.XLOOKUP(F686,'Wk no''s'!B:B,'Wk no''s'!C:C,FALSE)</f>
        <v>23</v>
      </c>
      <c r="J686" s="13">
        <f>IF(D686="GBP",1,SUMIFS('Ex Rates'!I:I,'Ex Rates'!K:K,'Weekly Closed Proposal Requests'!L686,'Ex Rates'!G:G,'Weekly Closed Proposal Requests'!D686))</f>
        <v>0.48053820278712156</v>
      </c>
      <c r="K686" s="13">
        <f t="shared" si="11"/>
        <v>19221.528111484862</v>
      </c>
      <c r="L686" s="13" t="str">
        <f>_xlfn.XLOOKUP(I686,'Wk no''s'!C:C,'Wk no''s'!E:E,0)</f>
        <v>May</v>
      </c>
    </row>
    <row r="687" spans="1:12" x14ac:dyDescent="0.25">
      <c r="A687" s="70">
        <v>45800</v>
      </c>
      <c r="B687" s="71" t="s">
        <v>1142</v>
      </c>
      <c r="C687" s="71" t="s">
        <v>179</v>
      </c>
      <c r="D687" s="71" t="s">
        <v>10</v>
      </c>
      <c r="E687" s="71">
        <v>1000000</v>
      </c>
      <c r="F687" s="70">
        <v>45811</v>
      </c>
      <c r="G687" s="71" t="s">
        <v>11</v>
      </c>
      <c r="H687" s="71" t="s">
        <v>50</v>
      </c>
      <c r="I687" s="13">
        <f>_xlfn.XLOOKUP(F687,'Wk no''s'!B:B,'Wk no''s'!C:C,FALSE)</f>
        <v>23</v>
      </c>
      <c r="J687" s="13">
        <f>IF(D687="GBP",1,SUMIFS('Ex Rates'!I:I,'Ex Rates'!K:K,'Weekly Closed Proposal Requests'!L687,'Ex Rates'!G:G,'Weekly Closed Proposal Requests'!D687))</f>
        <v>0.48053820278712156</v>
      </c>
      <c r="K687" s="13">
        <f t="shared" si="11"/>
        <v>480538.20278712158</v>
      </c>
      <c r="L687" s="13" t="str">
        <f>_xlfn.XLOOKUP(I687,'Wk no''s'!C:C,'Wk no''s'!E:E,0)</f>
        <v>May</v>
      </c>
    </row>
    <row r="688" spans="1:12" x14ac:dyDescent="0.25">
      <c r="A688" s="70">
        <v>45803</v>
      </c>
      <c r="B688" s="71" t="s">
        <v>1143</v>
      </c>
      <c r="C688" s="71" t="s">
        <v>943</v>
      </c>
      <c r="D688" s="71" t="s">
        <v>10</v>
      </c>
      <c r="E688" s="71">
        <v>150000</v>
      </c>
      <c r="F688" s="70">
        <v>45811</v>
      </c>
      <c r="G688" s="71" t="s">
        <v>11</v>
      </c>
      <c r="H688" s="71" t="s">
        <v>50</v>
      </c>
      <c r="I688" s="13">
        <f>_xlfn.XLOOKUP(F688,'Wk no''s'!B:B,'Wk no''s'!C:C,FALSE)</f>
        <v>23</v>
      </c>
      <c r="J688" s="13">
        <f>IF(D688="GBP",1,SUMIFS('Ex Rates'!I:I,'Ex Rates'!K:K,'Weekly Closed Proposal Requests'!L688,'Ex Rates'!G:G,'Weekly Closed Proposal Requests'!D688))</f>
        <v>0.48053820278712156</v>
      </c>
      <c r="K688" s="13">
        <f t="shared" si="11"/>
        <v>72080.73041806824</v>
      </c>
      <c r="L688" s="13" t="str">
        <f>_xlfn.XLOOKUP(I688,'Wk no''s'!C:C,'Wk no''s'!E:E,0)</f>
        <v>May</v>
      </c>
    </row>
    <row r="689" spans="1:12" x14ac:dyDescent="0.25">
      <c r="A689" s="70">
        <v>45810</v>
      </c>
      <c r="B689" s="71" t="s">
        <v>1144</v>
      </c>
      <c r="C689" s="71" t="s">
        <v>621</v>
      </c>
      <c r="D689" s="71" t="s">
        <v>10</v>
      </c>
      <c r="E689" s="71">
        <v>180000</v>
      </c>
      <c r="F689" s="70">
        <v>45814</v>
      </c>
      <c r="G689" s="71" t="s">
        <v>11</v>
      </c>
      <c r="H689" s="71" t="s">
        <v>50</v>
      </c>
      <c r="I689" s="13">
        <f>_xlfn.XLOOKUP(F689,'Wk no''s'!B:B,'Wk no''s'!C:C,FALSE)</f>
        <v>23</v>
      </c>
      <c r="J689" s="13">
        <f>IF(D689="GBP",1,SUMIFS('Ex Rates'!I:I,'Ex Rates'!K:K,'Weekly Closed Proposal Requests'!L689,'Ex Rates'!G:G,'Weekly Closed Proposal Requests'!D689))</f>
        <v>0.48053820278712156</v>
      </c>
      <c r="K689" s="13">
        <f t="shared" si="11"/>
        <v>86496.87650168188</v>
      </c>
      <c r="L689" s="13" t="str">
        <f>_xlfn.XLOOKUP(I689,'Wk no''s'!C:C,'Wk no''s'!E:E,0)</f>
        <v>May</v>
      </c>
    </row>
    <row r="690" spans="1:12" x14ac:dyDescent="0.25">
      <c r="A690" s="70">
        <v>45811</v>
      </c>
      <c r="B690" s="71" t="s">
        <v>1145</v>
      </c>
      <c r="C690" s="71" t="s">
        <v>938</v>
      </c>
      <c r="D690" s="71" t="s">
        <v>10</v>
      </c>
      <c r="E690" s="71">
        <v>15000</v>
      </c>
      <c r="F690" s="70">
        <v>45812</v>
      </c>
      <c r="G690" s="71" t="s">
        <v>11</v>
      </c>
      <c r="H690" s="71" t="s">
        <v>50</v>
      </c>
      <c r="I690" s="13">
        <f>_xlfn.XLOOKUP(F690,'Wk no''s'!B:B,'Wk no''s'!C:C,FALSE)</f>
        <v>23</v>
      </c>
      <c r="J690" s="13">
        <f>IF(D690="GBP",1,SUMIFS('Ex Rates'!I:I,'Ex Rates'!K:K,'Weekly Closed Proposal Requests'!L690,'Ex Rates'!G:G,'Weekly Closed Proposal Requests'!D690))</f>
        <v>0.48053820278712156</v>
      </c>
      <c r="K690" s="13">
        <f t="shared" si="11"/>
        <v>7208.0730418068233</v>
      </c>
      <c r="L690" s="13" t="str">
        <f>_xlfn.XLOOKUP(I690,'Wk no''s'!C:C,'Wk no''s'!E:E,0)</f>
        <v>May</v>
      </c>
    </row>
    <row r="691" spans="1:12" x14ac:dyDescent="0.25">
      <c r="A691" s="70">
        <v>45800</v>
      </c>
      <c r="B691" s="71" t="s">
        <v>1146</v>
      </c>
      <c r="C691" s="71" t="s">
        <v>1147</v>
      </c>
      <c r="D691" s="71" t="s">
        <v>15</v>
      </c>
      <c r="E691" s="71">
        <v>1</v>
      </c>
      <c r="F691" s="70">
        <v>45812</v>
      </c>
      <c r="G691" s="71" t="s">
        <v>1148</v>
      </c>
      <c r="H691" s="71" t="s">
        <v>50</v>
      </c>
      <c r="I691" s="13">
        <f>_xlfn.XLOOKUP(F691,'Wk no''s'!B:B,'Wk no''s'!C:C,FALSE)</f>
        <v>23</v>
      </c>
      <c r="J691" s="13">
        <f>IF(D691="GBP",1,SUMIFS('Ex Rates'!I:I,'Ex Rates'!K:K,'Weekly Closed Proposal Requests'!L691,'Ex Rates'!G:G,'Weekly Closed Proposal Requests'!D691))</f>
        <v>1</v>
      </c>
      <c r="K691" s="13">
        <f t="shared" si="11"/>
        <v>1</v>
      </c>
      <c r="L691" s="13" t="str">
        <f>_xlfn.XLOOKUP(I691,'Wk no''s'!C:C,'Wk no''s'!E:E,0)</f>
        <v>May</v>
      </c>
    </row>
    <row r="692" spans="1:12" x14ac:dyDescent="0.25">
      <c r="A692" s="70">
        <v>45800</v>
      </c>
      <c r="B692" s="71" t="s">
        <v>1149</v>
      </c>
      <c r="C692" s="71" t="s">
        <v>1150</v>
      </c>
      <c r="D692" s="71" t="s">
        <v>15</v>
      </c>
      <c r="E692" s="71">
        <v>200000</v>
      </c>
      <c r="F692" s="70">
        <v>45811</v>
      </c>
      <c r="G692" s="71" t="s">
        <v>72</v>
      </c>
      <c r="H692" s="71" t="s">
        <v>19</v>
      </c>
      <c r="I692" s="13">
        <f>_xlfn.XLOOKUP(F692,'Wk no''s'!B:B,'Wk no''s'!C:C,FALSE)</f>
        <v>23</v>
      </c>
      <c r="J692" s="13">
        <f>IF(D692="GBP",1,SUMIFS('Ex Rates'!I:I,'Ex Rates'!K:K,'Weekly Closed Proposal Requests'!L692,'Ex Rates'!G:G,'Weekly Closed Proposal Requests'!D692))</f>
        <v>1</v>
      </c>
      <c r="K692" s="13">
        <f t="shared" si="11"/>
        <v>200000</v>
      </c>
      <c r="L692" s="13" t="str">
        <f>_xlfn.XLOOKUP(I692,'Wk no''s'!C:C,'Wk no''s'!E:E,0)</f>
        <v>May</v>
      </c>
    </row>
    <row r="693" spans="1:12" x14ac:dyDescent="0.25">
      <c r="A693" s="70">
        <v>45800</v>
      </c>
      <c r="B693" s="71" t="s">
        <v>1151</v>
      </c>
      <c r="C693" s="71" t="s">
        <v>396</v>
      </c>
      <c r="D693" s="71" t="s">
        <v>15</v>
      </c>
      <c r="E693" s="71">
        <v>300000</v>
      </c>
      <c r="F693" s="70">
        <v>45810</v>
      </c>
      <c r="G693" s="71" t="s">
        <v>72</v>
      </c>
      <c r="H693" s="71" t="s">
        <v>19</v>
      </c>
      <c r="I693" s="13">
        <f>_xlfn.XLOOKUP(F693,'Wk no''s'!B:B,'Wk no''s'!C:C,FALSE)</f>
        <v>23</v>
      </c>
      <c r="J693" s="13">
        <f>IF(D693="GBP",1,SUMIFS('Ex Rates'!I:I,'Ex Rates'!K:K,'Weekly Closed Proposal Requests'!L693,'Ex Rates'!G:G,'Weekly Closed Proposal Requests'!D693))</f>
        <v>1</v>
      </c>
      <c r="K693" s="13">
        <f t="shared" si="11"/>
        <v>300000</v>
      </c>
      <c r="L693" s="13" t="str">
        <f>_xlfn.XLOOKUP(I693,'Wk no''s'!C:C,'Wk no''s'!E:E,0)</f>
        <v>May</v>
      </c>
    </row>
    <row r="694" spans="1:12" x14ac:dyDescent="0.25">
      <c r="A694" s="70">
        <v>45805</v>
      </c>
      <c r="B694" s="71" t="s">
        <v>1152</v>
      </c>
      <c r="C694" s="71" t="s">
        <v>84</v>
      </c>
      <c r="D694" s="71" t="s">
        <v>15</v>
      </c>
      <c r="E694" s="71">
        <v>100000</v>
      </c>
      <c r="F694" s="70">
        <v>45812</v>
      </c>
      <c r="G694" s="71" t="s">
        <v>72</v>
      </c>
      <c r="H694" s="71" t="s">
        <v>19</v>
      </c>
      <c r="I694" s="13">
        <f>_xlfn.XLOOKUP(F694,'Wk no''s'!B:B,'Wk no''s'!C:C,FALSE)</f>
        <v>23</v>
      </c>
      <c r="J694" s="13">
        <f>IF(D694="GBP",1,SUMIFS('Ex Rates'!I:I,'Ex Rates'!K:K,'Weekly Closed Proposal Requests'!L694,'Ex Rates'!G:G,'Weekly Closed Proposal Requests'!D694))</f>
        <v>1</v>
      </c>
      <c r="K694" s="13">
        <f t="shared" si="11"/>
        <v>100000</v>
      </c>
      <c r="L694" s="13" t="str">
        <f>_xlfn.XLOOKUP(I694,'Wk no''s'!C:C,'Wk no''s'!E:E,0)</f>
        <v>May</v>
      </c>
    </row>
    <row r="695" spans="1:12" x14ac:dyDescent="0.25">
      <c r="A695" s="70">
        <v>45805</v>
      </c>
      <c r="B695" s="71" t="s">
        <v>1153</v>
      </c>
      <c r="C695" s="71" t="s">
        <v>352</v>
      </c>
      <c r="D695" s="71" t="s">
        <v>15</v>
      </c>
      <c r="E695" s="71">
        <v>10000</v>
      </c>
      <c r="F695" s="70">
        <v>45810</v>
      </c>
      <c r="G695" s="71" t="s">
        <v>72</v>
      </c>
      <c r="H695" s="71" t="s">
        <v>19</v>
      </c>
      <c r="I695" s="13">
        <f>_xlfn.XLOOKUP(F695,'Wk no''s'!B:B,'Wk no''s'!C:C,FALSE)</f>
        <v>23</v>
      </c>
      <c r="J695" s="13">
        <f>IF(D695="GBP",1,SUMIFS('Ex Rates'!I:I,'Ex Rates'!K:K,'Weekly Closed Proposal Requests'!L695,'Ex Rates'!G:G,'Weekly Closed Proposal Requests'!D695))</f>
        <v>1</v>
      </c>
      <c r="K695" s="13">
        <f t="shared" si="11"/>
        <v>10000</v>
      </c>
      <c r="L695" s="13" t="str">
        <f>_xlfn.XLOOKUP(I695,'Wk no''s'!C:C,'Wk no''s'!E:E,0)</f>
        <v>May</v>
      </c>
    </row>
    <row r="696" spans="1:12" x14ac:dyDescent="0.25">
      <c r="A696" s="70">
        <v>45807</v>
      </c>
      <c r="B696" s="71" t="s">
        <v>1154</v>
      </c>
      <c r="C696" s="71" t="s">
        <v>691</v>
      </c>
      <c r="D696" s="71" t="s">
        <v>15</v>
      </c>
      <c r="E696" s="71">
        <v>30000</v>
      </c>
      <c r="F696" s="70">
        <v>45813</v>
      </c>
      <c r="G696" s="71" t="s">
        <v>72</v>
      </c>
      <c r="H696" s="71" t="s">
        <v>19</v>
      </c>
      <c r="I696" s="13">
        <f>_xlfn.XLOOKUP(F696,'Wk no''s'!B:B,'Wk no''s'!C:C,FALSE)</f>
        <v>23</v>
      </c>
      <c r="J696" s="13">
        <f>IF(D696="GBP",1,SUMIFS('Ex Rates'!I:I,'Ex Rates'!K:K,'Weekly Closed Proposal Requests'!L696,'Ex Rates'!G:G,'Weekly Closed Proposal Requests'!D696))</f>
        <v>1</v>
      </c>
      <c r="K696" s="13">
        <f t="shared" si="11"/>
        <v>30000</v>
      </c>
      <c r="L696" s="13" t="str">
        <f>_xlfn.XLOOKUP(I696,'Wk no''s'!C:C,'Wk no''s'!E:E,0)</f>
        <v>May</v>
      </c>
    </row>
    <row r="697" spans="1:12" x14ac:dyDescent="0.25">
      <c r="A697" s="70">
        <v>45810</v>
      </c>
      <c r="B697" s="71" t="s">
        <v>1157</v>
      </c>
      <c r="C697" s="71" t="s">
        <v>396</v>
      </c>
      <c r="D697" s="71" t="s">
        <v>15</v>
      </c>
      <c r="E697" s="71">
        <v>300000</v>
      </c>
      <c r="F697" s="70">
        <v>45814</v>
      </c>
      <c r="G697" s="71" t="s">
        <v>72</v>
      </c>
      <c r="H697" s="71" t="s">
        <v>19</v>
      </c>
      <c r="I697" s="13">
        <f>_xlfn.XLOOKUP(F697,'Wk no''s'!B:B,'Wk no''s'!C:C,FALSE)</f>
        <v>23</v>
      </c>
      <c r="J697" s="13">
        <f>IF(D697="GBP",1,SUMIFS('Ex Rates'!I:I,'Ex Rates'!K:K,'Weekly Closed Proposal Requests'!L697,'Ex Rates'!G:G,'Weekly Closed Proposal Requests'!D697))</f>
        <v>1</v>
      </c>
      <c r="K697" s="13">
        <f t="shared" si="11"/>
        <v>300000</v>
      </c>
      <c r="L697" s="13" t="str">
        <f>_xlfn.XLOOKUP(I697,'Wk no''s'!C:C,'Wk no''s'!E:E,0)</f>
        <v>May</v>
      </c>
    </row>
    <row r="698" spans="1:12" x14ac:dyDescent="0.25">
      <c r="A698" s="70">
        <v>45813</v>
      </c>
      <c r="B698" s="71" t="s">
        <v>1158</v>
      </c>
      <c r="C698" s="71" t="s">
        <v>84</v>
      </c>
      <c r="D698" s="71" t="s">
        <v>15</v>
      </c>
      <c r="E698" s="71">
        <v>80000</v>
      </c>
      <c r="F698" s="70">
        <v>45814</v>
      </c>
      <c r="G698" s="71" t="s">
        <v>72</v>
      </c>
      <c r="H698" s="71" t="s">
        <v>19</v>
      </c>
      <c r="I698" s="13">
        <f>_xlfn.XLOOKUP(F698,'Wk no''s'!B:B,'Wk no''s'!C:C,FALSE)</f>
        <v>23</v>
      </c>
      <c r="J698" s="13">
        <f>IF(D698="GBP",1,SUMIFS('Ex Rates'!I:I,'Ex Rates'!K:K,'Weekly Closed Proposal Requests'!L698,'Ex Rates'!G:G,'Weekly Closed Proposal Requests'!D698))</f>
        <v>1</v>
      </c>
      <c r="K698" s="13">
        <f t="shared" si="11"/>
        <v>80000</v>
      </c>
      <c r="L698" s="13" t="str">
        <f>_xlfn.XLOOKUP(I698,'Wk no''s'!C:C,'Wk no''s'!E:E,0)</f>
        <v>May</v>
      </c>
    </row>
    <row r="699" spans="1:12" x14ac:dyDescent="0.25">
      <c r="A699" s="70">
        <v>45802</v>
      </c>
      <c r="B699" s="71" t="s">
        <v>1161</v>
      </c>
      <c r="C699" s="71" t="s">
        <v>1183</v>
      </c>
      <c r="D699" s="71" t="s">
        <v>15</v>
      </c>
      <c r="E699" s="71">
        <v>50000</v>
      </c>
      <c r="F699" s="70">
        <v>45821</v>
      </c>
      <c r="G699" s="71" t="s">
        <v>16</v>
      </c>
      <c r="H699" s="71" t="s">
        <v>281</v>
      </c>
      <c r="I699" s="13">
        <f>_xlfn.XLOOKUP(F699,'Wk no''s'!B:B,'Wk no''s'!C:C,FALSE)</f>
        <v>24</v>
      </c>
      <c r="J699" s="13">
        <f>IF(D699="GBP",1,SUMIFS('Ex Rates'!I:I,'Ex Rates'!K:K,'Weekly Closed Proposal Requests'!L699,'Ex Rates'!G:G,'Weekly Closed Proposal Requests'!D699))</f>
        <v>1</v>
      </c>
      <c r="K699" s="13">
        <f t="shared" si="11"/>
        <v>50000</v>
      </c>
      <c r="L699" s="13" t="str">
        <f>_xlfn.XLOOKUP(I699,'Wk no''s'!C:C,'Wk no''s'!E:E,0)</f>
        <v>Jun</v>
      </c>
    </row>
    <row r="700" spans="1:12" x14ac:dyDescent="0.25">
      <c r="A700" s="70">
        <v>45812</v>
      </c>
      <c r="B700" s="71" t="s">
        <v>1159</v>
      </c>
      <c r="C700" s="71" t="s">
        <v>1184</v>
      </c>
      <c r="D700" s="71" t="s">
        <v>15</v>
      </c>
      <c r="E700" s="71">
        <v>200000</v>
      </c>
      <c r="F700" s="70">
        <v>45820</v>
      </c>
      <c r="G700" s="71" t="s">
        <v>16</v>
      </c>
      <c r="H700" s="71" t="s">
        <v>19</v>
      </c>
      <c r="I700" s="13">
        <f>_xlfn.XLOOKUP(F700,'Wk no''s'!B:B,'Wk no''s'!C:C,FALSE)</f>
        <v>24</v>
      </c>
      <c r="J700" s="13">
        <f>IF(D700="GBP",1,SUMIFS('Ex Rates'!I:I,'Ex Rates'!K:K,'Weekly Closed Proposal Requests'!L700,'Ex Rates'!G:G,'Weekly Closed Proposal Requests'!D700))</f>
        <v>1</v>
      </c>
      <c r="K700" s="13">
        <f t="shared" si="11"/>
        <v>200000</v>
      </c>
      <c r="L700" s="13" t="str">
        <f>_xlfn.XLOOKUP(I700,'Wk no''s'!C:C,'Wk no''s'!E:E,0)</f>
        <v>Jun</v>
      </c>
    </row>
    <row r="701" spans="1:12" x14ac:dyDescent="0.25">
      <c r="A701" s="70">
        <v>45813</v>
      </c>
      <c r="B701" s="71" t="s">
        <v>1162</v>
      </c>
      <c r="C701" s="71" t="s">
        <v>795</v>
      </c>
      <c r="D701" s="71" t="s">
        <v>15</v>
      </c>
      <c r="E701" s="71">
        <v>280000</v>
      </c>
      <c r="F701" s="70">
        <v>45821</v>
      </c>
      <c r="G701" s="71" t="s">
        <v>16</v>
      </c>
      <c r="H701" s="71" t="s">
        <v>19</v>
      </c>
      <c r="I701" s="13">
        <f>_xlfn.XLOOKUP(F701,'Wk no''s'!B:B,'Wk no''s'!C:C,FALSE)</f>
        <v>24</v>
      </c>
      <c r="J701" s="13">
        <f>IF(D701="GBP",1,SUMIFS('Ex Rates'!I:I,'Ex Rates'!K:K,'Weekly Closed Proposal Requests'!L701,'Ex Rates'!G:G,'Weekly Closed Proposal Requests'!D701))</f>
        <v>1</v>
      </c>
      <c r="K701" s="13">
        <f t="shared" si="11"/>
        <v>280000</v>
      </c>
      <c r="L701" s="13" t="str">
        <f>_xlfn.XLOOKUP(I701,'Wk no''s'!C:C,'Wk no''s'!E:E,0)</f>
        <v>Jun</v>
      </c>
    </row>
    <row r="702" spans="1:12" x14ac:dyDescent="0.25">
      <c r="A702" s="70">
        <v>45813</v>
      </c>
      <c r="B702" s="71" t="s">
        <v>1160</v>
      </c>
      <c r="C702" s="71" t="s">
        <v>1185</v>
      </c>
      <c r="D702" s="71" t="s">
        <v>15</v>
      </c>
      <c r="E702" s="71">
        <v>100000</v>
      </c>
      <c r="F702" s="70">
        <v>45820</v>
      </c>
      <c r="G702" s="71" t="s">
        <v>16</v>
      </c>
      <c r="H702" s="71" t="s">
        <v>19</v>
      </c>
      <c r="I702" s="13">
        <f>_xlfn.XLOOKUP(F702,'Wk no''s'!B:B,'Wk no''s'!C:C,FALSE)</f>
        <v>24</v>
      </c>
      <c r="J702" s="13">
        <f>IF(D702="GBP",1,SUMIFS('Ex Rates'!I:I,'Ex Rates'!K:K,'Weekly Closed Proposal Requests'!L702,'Ex Rates'!G:G,'Weekly Closed Proposal Requests'!D702))</f>
        <v>1</v>
      </c>
      <c r="K702" s="13">
        <f t="shared" si="11"/>
        <v>100000</v>
      </c>
      <c r="L702" s="13" t="str">
        <f>_xlfn.XLOOKUP(I702,'Wk no''s'!C:C,'Wk no''s'!E:E,0)</f>
        <v>Jun</v>
      </c>
    </row>
    <row r="703" spans="1:12" x14ac:dyDescent="0.25">
      <c r="A703" s="70">
        <v>45820</v>
      </c>
      <c r="B703" s="71" t="s">
        <v>1163</v>
      </c>
      <c r="C703" s="71" t="s">
        <v>1182</v>
      </c>
      <c r="D703" s="71" t="s">
        <v>15</v>
      </c>
      <c r="E703" s="71">
        <v>100000</v>
      </c>
      <c r="F703" s="70">
        <v>45821</v>
      </c>
      <c r="G703" s="71" t="s">
        <v>16</v>
      </c>
      <c r="H703" s="71" t="s">
        <v>19</v>
      </c>
      <c r="I703" s="13">
        <f>_xlfn.XLOOKUP(F703,'Wk no''s'!B:B,'Wk no''s'!C:C,FALSE)</f>
        <v>24</v>
      </c>
      <c r="J703" s="13">
        <f>IF(D703="GBP",1,SUMIFS('Ex Rates'!I:I,'Ex Rates'!K:K,'Weekly Closed Proposal Requests'!L703,'Ex Rates'!G:G,'Weekly Closed Proposal Requests'!D703))</f>
        <v>1</v>
      </c>
      <c r="K703" s="13">
        <f t="shared" si="11"/>
        <v>100000</v>
      </c>
      <c r="L703" s="13" t="str">
        <f>_xlfn.XLOOKUP(I703,'Wk no''s'!C:C,'Wk no''s'!E:E,0)</f>
        <v>Jun</v>
      </c>
    </row>
    <row r="704" spans="1:12" x14ac:dyDescent="0.25">
      <c r="A704" s="70">
        <v>45804</v>
      </c>
      <c r="B704" s="71" t="s">
        <v>1165</v>
      </c>
      <c r="C704" s="71" t="s">
        <v>1213</v>
      </c>
      <c r="D704" s="71" t="s">
        <v>46</v>
      </c>
      <c r="E704" s="71">
        <v>15000</v>
      </c>
      <c r="F704" s="70">
        <v>45821</v>
      </c>
      <c r="G704" s="71" t="s">
        <v>47</v>
      </c>
      <c r="H704" s="71" t="s">
        <v>19</v>
      </c>
      <c r="I704" s="13">
        <f>_xlfn.XLOOKUP(F704,'Wk no''s'!B:B,'Wk no''s'!C:C,FALSE)</f>
        <v>24</v>
      </c>
      <c r="J704" s="13">
        <f>IF(D704="GBP",1,SUMIFS('Ex Rates'!I:I,'Ex Rates'!K:K,'Weekly Closed Proposal Requests'!L704,'Ex Rates'!G:G,'Weekly Closed Proposal Requests'!D704))</f>
        <v>0.74239049740163332</v>
      </c>
      <c r="K704" s="13">
        <f t="shared" si="11"/>
        <v>11135.8574610245</v>
      </c>
      <c r="L704" s="13" t="str">
        <f>_xlfn.XLOOKUP(I704,'Wk no''s'!C:C,'Wk no''s'!E:E,0)</f>
        <v>Jun</v>
      </c>
    </row>
    <row r="705" spans="1:12" x14ac:dyDescent="0.25">
      <c r="A705" s="70">
        <v>45806</v>
      </c>
      <c r="B705" s="71" t="s">
        <v>1167</v>
      </c>
      <c r="C705" s="71" t="s">
        <v>1186</v>
      </c>
      <c r="D705" s="71" t="s">
        <v>46</v>
      </c>
      <c r="E705" s="71">
        <v>100000</v>
      </c>
      <c r="F705" s="70">
        <v>45818</v>
      </c>
      <c r="G705" s="71" t="s">
        <v>47</v>
      </c>
      <c r="H705" s="71" t="s">
        <v>19</v>
      </c>
      <c r="I705" s="13">
        <f>_xlfn.XLOOKUP(F705,'Wk no''s'!B:B,'Wk no''s'!C:C,FALSE)</f>
        <v>24</v>
      </c>
      <c r="J705" s="13">
        <f>IF(D705="GBP",1,SUMIFS('Ex Rates'!I:I,'Ex Rates'!K:K,'Weekly Closed Proposal Requests'!L705,'Ex Rates'!G:G,'Weekly Closed Proposal Requests'!D705))</f>
        <v>0.74239049740163332</v>
      </c>
      <c r="K705" s="13">
        <f t="shared" si="11"/>
        <v>74239.049740163333</v>
      </c>
      <c r="L705" s="13" t="str">
        <f>_xlfn.XLOOKUP(I705,'Wk no''s'!C:C,'Wk no''s'!E:E,0)</f>
        <v>Jun</v>
      </c>
    </row>
    <row r="706" spans="1:12" x14ac:dyDescent="0.25">
      <c r="A706" s="70">
        <v>45783</v>
      </c>
      <c r="B706" s="71" t="s">
        <v>1164</v>
      </c>
      <c r="C706" s="71" t="s">
        <v>1187</v>
      </c>
      <c r="D706" s="71" t="s">
        <v>15</v>
      </c>
      <c r="E706" s="71">
        <v>31000</v>
      </c>
      <c r="F706" s="70">
        <v>45821</v>
      </c>
      <c r="G706" s="71" t="s">
        <v>47</v>
      </c>
      <c r="H706" s="71" t="s">
        <v>50</v>
      </c>
      <c r="I706" s="13">
        <f>_xlfn.XLOOKUP(F706,'Wk no''s'!B:B,'Wk no''s'!C:C,FALSE)</f>
        <v>24</v>
      </c>
      <c r="J706" s="13">
        <f>IF(D706="GBP",1,SUMIFS('Ex Rates'!I:I,'Ex Rates'!K:K,'Weekly Closed Proposal Requests'!L706,'Ex Rates'!G:G,'Weekly Closed Proposal Requests'!D706))</f>
        <v>1</v>
      </c>
      <c r="K706" s="13">
        <f t="shared" si="11"/>
        <v>31000</v>
      </c>
      <c r="L706" s="13" t="str">
        <f>_xlfn.XLOOKUP(I706,'Wk no''s'!C:C,'Wk no''s'!E:E,0)</f>
        <v>Jun</v>
      </c>
    </row>
    <row r="707" spans="1:12" x14ac:dyDescent="0.25">
      <c r="A707" s="70">
        <v>45805</v>
      </c>
      <c r="B707" s="71" t="s">
        <v>1166</v>
      </c>
      <c r="C707" s="71" t="s">
        <v>1188</v>
      </c>
      <c r="D707" s="71" t="s">
        <v>15</v>
      </c>
      <c r="E707" s="71">
        <v>167941</v>
      </c>
      <c r="F707" s="70">
        <v>45821</v>
      </c>
      <c r="G707" s="71" t="s">
        <v>47</v>
      </c>
      <c r="H707" s="71" t="s">
        <v>50</v>
      </c>
      <c r="I707" s="13">
        <f>_xlfn.XLOOKUP(F707,'Wk no''s'!B:B,'Wk no''s'!C:C,FALSE)</f>
        <v>24</v>
      </c>
      <c r="J707" s="13">
        <f>IF(D707="GBP",1,SUMIFS('Ex Rates'!I:I,'Ex Rates'!K:K,'Weekly Closed Proposal Requests'!L707,'Ex Rates'!G:G,'Weekly Closed Proposal Requests'!D707))</f>
        <v>1</v>
      </c>
      <c r="K707" s="13">
        <f t="shared" si="11"/>
        <v>167941</v>
      </c>
      <c r="L707" s="13" t="str">
        <f>_xlfn.XLOOKUP(I707,'Wk no''s'!C:C,'Wk no''s'!E:E,0)</f>
        <v>Jun</v>
      </c>
    </row>
    <row r="708" spans="1:12" x14ac:dyDescent="0.25">
      <c r="A708" s="70">
        <v>45811</v>
      </c>
      <c r="B708" s="71" t="s">
        <v>1168</v>
      </c>
      <c r="C708" s="71" t="s">
        <v>515</v>
      </c>
      <c r="D708" s="71" t="s">
        <v>46</v>
      </c>
      <c r="E708" s="71">
        <v>10700</v>
      </c>
      <c r="F708" s="70">
        <v>45817</v>
      </c>
      <c r="G708" s="71" t="s">
        <v>47</v>
      </c>
      <c r="H708" s="71" t="s">
        <v>50</v>
      </c>
      <c r="I708" s="13">
        <f>_xlfn.XLOOKUP(F708,'Wk no''s'!B:B,'Wk no''s'!C:C,FALSE)</f>
        <v>24</v>
      </c>
      <c r="J708" s="13">
        <f>IF(D708="GBP",1,SUMIFS('Ex Rates'!I:I,'Ex Rates'!K:K,'Weekly Closed Proposal Requests'!L708,'Ex Rates'!G:G,'Weekly Closed Proposal Requests'!D708))</f>
        <v>0.74239049740163332</v>
      </c>
      <c r="K708" s="13">
        <f t="shared" si="11"/>
        <v>7943.5783221974762</v>
      </c>
      <c r="L708" s="13" t="str">
        <f>_xlfn.XLOOKUP(I708,'Wk no''s'!C:C,'Wk no''s'!E:E,0)</f>
        <v>Jun</v>
      </c>
    </row>
    <row r="709" spans="1:12" x14ac:dyDescent="0.25">
      <c r="A709" s="70">
        <v>45817</v>
      </c>
      <c r="B709" s="71" t="s">
        <v>1169</v>
      </c>
      <c r="C709" s="71" t="s">
        <v>124</v>
      </c>
      <c r="D709" s="71" t="s">
        <v>46</v>
      </c>
      <c r="E709" s="71">
        <v>200000</v>
      </c>
      <c r="F709" s="70">
        <v>45821</v>
      </c>
      <c r="G709" s="71" t="s">
        <v>47</v>
      </c>
      <c r="H709" s="71" t="s">
        <v>50</v>
      </c>
      <c r="I709" s="13">
        <f>_xlfn.XLOOKUP(F709,'Wk no''s'!B:B,'Wk no''s'!C:C,FALSE)</f>
        <v>24</v>
      </c>
      <c r="J709" s="13">
        <f>IF(D709="GBP",1,SUMIFS('Ex Rates'!I:I,'Ex Rates'!K:K,'Weekly Closed Proposal Requests'!L709,'Ex Rates'!G:G,'Weekly Closed Proposal Requests'!D709))</f>
        <v>0.74239049740163332</v>
      </c>
      <c r="K709" s="13">
        <f t="shared" si="11"/>
        <v>148478.09948032667</v>
      </c>
      <c r="L709" s="13" t="str">
        <f>_xlfn.XLOOKUP(I709,'Wk no''s'!C:C,'Wk no''s'!E:E,0)</f>
        <v>Jun</v>
      </c>
    </row>
    <row r="710" spans="1:12" x14ac:dyDescent="0.25">
      <c r="A710" s="70">
        <v>45818</v>
      </c>
      <c r="B710" s="71" t="s">
        <v>1173</v>
      </c>
      <c r="C710" s="71" t="s">
        <v>828</v>
      </c>
      <c r="D710" s="71" t="s">
        <v>10</v>
      </c>
      <c r="E710" s="71">
        <v>150000</v>
      </c>
      <c r="F710" s="70">
        <v>45818</v>
      </c>
      <c r="G710" s="71" t="s">
        <v>11</v>
      </c>
      <c r="H710" s="71" t="s">
        <v>12</v>
      </c>
      <c r="I710" s="13">
        <f>_xlfn.XLOOKUP(F710,'Wk no''s'!B:B,'Wk no''s'!C:C,FALSE)</f>
        <v>24</v>
      </c>
      <c r="J710" s="13">
        <f>IF(D710="GBP",1,SUMIFS('Ex Rates'!I:I,'Ex Rates'!K:K,'Weekly Closed Proposal Requests'!L710,'Ex Rates'!G:G,'Weekly Closed Proposal Requests'!D710))</f>
        <v>0.47755491881566381</v>
      </c>
      <c r="K710" s="13">
        <f t="shared" si="11"/>
        <v>71633.237822349576</v>
      </c>
      <c r="L710" s="13" t="str">
        <f>_xlfn.XLOOKUP(I710,'Wk no''s'!C:C,'Wk no''s'!E:E,0)</f>
        <v>Jun</v>
      </c>
    </row>
    <row r="711" spans="1:12" x14ac:dyDescent="0.25">
      <c r="A711" s="70">
        <v>45813</v>
      </c>
      <c r="B711" s="71" t="s">
        <v>1191</v>
      </c>
      <c r="C711" s="71" t="s">
        <v>1214</v>
      </c>
      <c r="D711" s="71" t="s">
        <v>10</v>
      </c>
      <c r="E711" s="71">
        <v>450000</v>
      </c>
      <c r="F711" s="70">
        <v>45823</v>
      </c>
      <c r="G711" s="71" t="s">
        <v>11</v>
      </c>
      <c r="H711" s="71" t="s">
        <v>19</v>
      </c>
      <c r="I711" s="13">
        <f>_xlfn.XLOOKUP(F711,'Wk no''s'!B:B,'Wk no''s'!C:C,FALSE)</f>
        <v>25</v>
      </c>
      <c r="J711" s="13">
        <f>IF(D711="GBP",1,SUMIFS('Ex Rates'!I:I,'Ex Rates'!K:K,'Weekly Closed Proposal Requests'!L711,'Ex Rates'!G:G,'Weekly Closed Proposal Requests'!D711))</f>
        <v>0.47755491881566381</v>
      </c>
      <c r="K711" s="13">
        <f t="shared" si="11"/>
        <v>214899.71346704871</v>
      </c>
      <c r="L711" s="13" t="str">
        <f>_xlfn.XLOOKUP(I711,'Wk no''s'!C:C,'Wk no''s'!E:E,0)</f>
        <v>Jun</v>
      </c>
    </row>
    <row r="712" spans="1:12" x14ac:dyDescent="0.25">
      <c r="A712" s="70">
        <v>45800</v>
      </c>
      <c r="B712" s="71" t="s">
        <v>1170</v>
      </c>
      <c r="C712" s="71" t="s">
        <v>179</v>
      </c>
      <c r="D712" s="71" t="s">
        <v>10</v>
      </c>
      <c r="E712" s="71">
        <v>1000000</v>
      </c>
      <c r="F712" s="70">
        <v>45821</v>
      </c>
      <c r="G712" s="71" t="s">
        <v>11</v>
      </c>
      <c r="H712" s="71" t="s">
        <v>50</v>
      </c>
      <c r="I712" s="13">
        <f>_xlfn.XLOOKUP(F712,'Wk no''s'!B:B,'Wk no''s'!C:C,FALSE)</f>
        <v>24</v>
      </c>
      <c r="J712" s="13">
        <f>IF(D712="GBP",1,SUMIFS('Ex Rates'!I:I,'Ex Rates'!K:K,'Weekly Closed Proposal Requests'!L712,'Ex Rates'!G:G,'Weekly Closed Proposal Requests'!D712))</f>
        <v>0.47755491881566381</v>
      </c>
      <c r="K712" s="13">
        <f t="shared" si="11"/>
        <v>477554.91881566378</v>
      </c>
      <c r="L712" s="13" t="str">
        <f>_xlfn.XLOOKUP(I712,'Wk no''s'!C:C,'Wk no''s'!E:E,0)</f>
        <v>Jun</v>
      </c>
    </row>
    <row r="713" spans="1:12" x14ac:dyDescent="0.25">
      <c r="A713" s="70">
        <v>45811</v>
      </c>
      <c r="B713" s="71" t="s">
        <v>1171</v>
      </c>
      <c r="C713" s="71" t="s">
        <v>733</v>
      </c>
      <c r="D713" s="71" t="s">
        <v>10</v>
      </c>
      <c r="E713" s="71">
        <v>300000</v>
      </c>
      <c r="F713" s="70">
        <v>45821</v>
      </c>
      <c r="G713" s="71" t="s">
        <v>11</v>
      </c>
      <c r="H713" s="71" t="s">
        <v>50</v>
      </c>
      <c r="I713" s="13">
        <f>_xlfn.XLOOKUP(F713,'Wk no''s'!B:B,'Wk no''s'!C:C,FALSE)</f>
        <v>24</v>
      </c>
      <c r="J713" s="13">
        <f>IF(D713="GBP",1,SUMIFS('Ex Rates'!I:I,'Ex Rates'!K:K,'Weekly Closed Proposal Requests'!L713,'Ex Rates'!G:G,'Weekly Closed Proposal Requests'!D713))</f>
        <v>0.47755491881566381</v>
      </c>
      <c r="K713" s="13">
        <f t="shared" si="11"/>
        <v>143266.47564469915</v>
      </c>
      <c r="L713" s="13" t="str">
        <f>_xlfn.XLOOKUP(I713,'Wk no''s'!C:C,'Wk no''s'!E:E,0)</f>
        <v>Jun</v>
      </c>
    </row>
    <row r="714" spans="1:12" x14ac:dyDescent="0.25">
      <c r="A714" s="70">
        <v>45817</v>
      </c>
      <c r="B714" s="71" t="s">
        <v>1172</v>
      </c>
      <c r="C714" s="71" t="s">
        <v>621</v>
      </c>
      <c r="D714" s="71" t="s">
        <v>10</v>
      </c>
      <c r="E714" s="71">
        <v>180000</v>
      </c>
      <c r="F714" s="70">
        <v>45819</v>
      </c>
      <c r="G714" s="71" t="s">
        <v>11</v>
      </c>
      <c r="H714" s="71" t="s">
        <v>50</v>
      </c>
      <c r="I714" s="13">
        <f>_xlfn.XLOOKUP(F714,'Wk no''s'!B:B,'Wk no''s'!C:C,FALSE)</f>
        <v>24</v>
      </c>
      <c r="J714" s="13">
        <f>IF(D714="GBP",1,SUMIFS('Ex Rates'!I:I,'Ex Rates'!K:K,'Weekly Closed Proposal Requests'!L714,'Ex Rates'!G:G,'Weekly Closed Proposal Requests'!D714))</f>
        <v>0.47755491881566381</v>
      </c>
      <c r="K714" s="13">
        <f t="shared" si="11"/>
        <v>85959.885386819486</v>
      </c>
      <c r="L714" s="13" t="str">
        <f>_xlfn.XLOOKUP(I714,'Wk no''s'!C:C,'Wk no''s'!E:E,0)</f>
        <v>Jun</v>
      </c>
    </row>
    <row r="715" spans="1:12" x14ac:dyDescent="0.25">
      <c r="A715" s="70">
        <v>45818</v>
      </c>
      <c r="B715" s="71" t="s">
        <v>1174</v>
      </c>
      <c r="C715" s="71" t="s">
        <v>938</v>
      </c>
      <c r="D715" s="71" t="s">
        <v>10</v>
      </c>
      <c r="E715" s="71">
        <v>15000</v>
      </c>
      <c r="F715" s="70">
        <v>45820</v>
      </c>
      <c r="G715" s="71" t="s">
        <v>11</v>
      </c>
      <c r="H715" s="71" t="s">
        <v>50</v>
      </c>
      <c r="I715" s="13">
        <f>_xlfn.XLOOKUP(F715,'Wk no''s'!B:B,'Wk no''s'!C:C,FALSE)</f>
        <v>24</v>
      </c>
      <c r="J715" s="13">
        <f>IF(D715="GBP",1,SUMIFS('Ex Rates'!I:I,'Ex Rates'!K:K,'Weekly Closed Proposal Requests'!L715,'Ex Rates'!G:G,'Weekly Closed Proposal Requests'!D715))</f>
        <v>0.47755491881566381</v>
      </c>
      <c r="K715" s="13">
        <f t="shared" si="11"/>
        <v>7163.3237822349574</v>
      </c>
      <c r="L715" s="13" t="str">
        <f>_xlfn.XLOOKUP(I715,'Wk no''s'!C:C,'Wk no''s'!E:E,0)</f>
        <v>Jun</v>
      </c>
    </row>
    <row r="716" spans="1:12" x14ac:dyDescent="0.25">
      <c r="A716" s="70">
        <v>45819</v>
      </c>
      <c r="B716" s="71" t="s">
        <v>1175</v>
      </c>
      <c r="C716" s="71" t="s">
        <v>1189</v>
      </c>
      <c r="D716" s="71" t="s">
        <v>10</v>
      </c>
      <c r="E716" s="71">
        <v>50000</v>
      </c>
      <c r="F716" s="70">
        <v>45821</v>
      </c>
      <c r="G716" s="71" t="s">
        <v>11</v>
      </c>
      <c r="H716" s="71" t="s">
        <v>50</v>
      </c>
      <c r="I716" s="13">
        <f>_xlfn.XLOOKUP(F716,'Wk no''s'!B:B,'Wk no''s'!C:C,FALSE)</f>
        <v>24</v>
      </c>
      <c r="J716" s="13">
        <f>IF(D716="GBP",1,SUMIFS('Ex Rates'!I:I,'Ex Rates'!K:K,'Weekly Closed Proposal Requests'!L716,'Ex Rates'!G:G,'Weekly Closed Proposal Requests'!D716))</f>
        <v>0.47755491881566381</v>
      </c>
      <c r="K716" s="13">
        <f t="shared" si="11"/>
        <v>23877.745940783192</v>
      </c>
      <c r="L716" s="13" t="str">
        <f>_xlfn.XLOOKUP(I716,'Wk no''s'!C:C,'Wk no''s'!E:E,0)</f>
        <v>Jun</v>
      </c>
    </row>
    <row r="717" spans="1:12" x14ac:dyDescent="0.25">
      <c r="A717" s="70">
        <v>45810</v>
      </c>
      <c r="B717" s="71" t="s">
        <v>1155</v>
      </c>
      <c r="C717" s="71" t="s">
        <v>1156</v>
      </c>
      <c r="D717" s="71" t="s">
        <v>15</v>
      </c>
      <c r="E717" s="71">
        <v>300000</v>
      </c>
      <c r="F717" s="70">
        <v>45821</v>
      </c>
      <c r="G717" s="71" t="s">
        <v>72</v>
      </c>
      <c r="H717" s="71" t="s">
        <v>19</v>
      </c>
      <c r="I717" s="13">
        <f>_xlfn.XLOOKUP(F717,'Wk no''s'!B:B,'Wk no''s'!C:C,FALSE)</f>
        <v>24</v>
      </c>
      <c r="J717" s="13">
        <f>IF(D717="GBP",1,SUMIFS('Ex Rates'!I:I,'Ex Rates'!K:K,'Weekly Closed Proposal Requests'!L717,'Ex Rates'!G:G,'Weekly Closed Proposal Requests'!D717))</f>
        <v>1</v>
      </c>
      <c r="K717" s="13">
        <f t="shared" si="11"/>
        <v>300000</v>
      </c>
      <c r="L717" s="13" t="str">
        <f>_xlfn.XLOOKUP(I717,'Wk no''s'!C:C,'Wk no''s'!E:E,0)</f>
        <v>Jun</v>
      </c>
    </row>
    <row r="718" spans="1:12" x14ac:dyDescent="0.25">
      <c r="A718" s="70">
        <v>45810</v>
      </c>
      <c r="B718" s="71" t="s">
        <v>1176</v>
      </c>
      <c r="C718" s="71" t="s">
        <v>1190</v>
      </c>
      <c r="D718" s="71" t="s">
        <v>15</v>
      </c>
      <c r="E718" s="71">
        <v>100000</v>
      </c>
      <c r="F718" s="70">
        <v>45817</v>
      </c>
      <c r="G718" s="71" t="s">
        <v>72</v>
      </c>
      <c r="H718" s="71" t="s">
        <v>19</v>
      </c>
      <c r="I718" s="13">
        <f>_xlfn.XLOOKUP(F718,'Wk no''s'!B:B,'Wk no''s'!C:C,FALSE)</f>
        <v>24</v>
      </c>
      <c r="J718" s="13">
        <f>IF(D718="GBP",1,SUMIFS('Ex Rates'!I:I,'Ex Rates'!K:K,'Weekly Closed Proposal Requests'!L718,'Ex Rates'!G:G,'Weekly Closed Proposal Requests'!D718))</f>
        <v>1</v>
      </c>
      <c r="K718" s="13">
        <f t="shared" si="11"/>
        <v>100000</v>
      </c>
      <c r="L718" s="13" t="str">
        <f>_xlfn.XLOOKUP(I718,'Wk no''s'!C:C,'Wk no''s'!E:E,0)</f>
        <v>Jun</v>
      </c>
    </row>
    <row r="719" spans="1:12" x14ac:dyDescent="0.25">
      <c r="A719" s="70">
        <v>45814</v>
      </c>
      <c r="B719" s="71" t="s">
        <v>1177</v>
      </c>
      <c r="C719" s="71" t="s">
        <v>396</v>
      </c>
      <c r="D719" s="71" t="s">
        <v>15</v>
      </c>
      <c r="E719" s="71">
        <v>300000</v>
      </c>
      <c r="F719" s="70">
        <v>45821</v>
      </c>
      <c r="G719" s="71" t="s">
        <v>72</v>
      </c>
      <c r="H719" s="71" t="s">
        <v>19</v>
      </c>
      <c r="I719" s="13">
        <f>_xlfn.XLOOKUP(F719,'Wk no''s'!B:B,'Wk no''s'!C:C,FALSE)</f>
        <v>24</v>
      </c>
      <c r="J719" s="13">
        <f>IF(D719="GBP",1,SUMIFS('Ex Rates'!I:I,'Ex Rates'!K:K,'Weekly Closed Proposal Requests'!L719,'Ex Rates'!G:G,'Weekly Closed Proposal Requests'!D719))</f>
        <v>1</v>
      </c>
      <c r="K719" s="13">
        <f t="shared" si="11"/>
        <v>300000</v>
      </c>
      <c r="L719" s="13" t="str">
        <f>_xlfn.XLOOKUP(I719,'Wk no''s'!C:C,'Wk no''s'!E:E,0)</f>
        <v>Jun</v>
      </c>
    </row>
    <row r="720" spans="1:12" x14ac:dyDescent="0.25">
      <c r="A720" s="70">
        <v>45814</v>
      </c>
      <c r="B720" s="71" t="s">
        <v>1178</v>
      </c>
      <c r="C720" s="71" t="s">
        <v>884</v>
      </c>
      <c r="D720" s="71" t="s">
        <v>15</v>
      </c>
      <c r="E720" s="71">
        <v>200000</v>
      </c>
      <c r="F720" s="70">
        <v>45820</v>
      </c>
      <c r="G720" s="71" t="s">
        <v>72</v>
      </c>
      <c r="H720" s="71" t="s">
        <v>19</v>
      </c>
      <c r="I720" s="13">
        <f>_xlfn.XLOOKUP(F720,'Wk no''s'!B:B,'Wk no''s'!C:C,FALSE)</f>
        <v>24</v>
      </c>
      <c r="J720" s="13">
        <f>IF(D720="GBP",1,SUMIFS('Ex Rates'!I:I,'Ex Rates'!K:K,'Weekly Closed Proposal Requests'!L720,'Ex Rates'!G:G,'Weekly Closed Proposal Requests'!D720))</f>
        <v>1</v>
      </c>
      <c r="K720" s="13">
        <f t="shared" si="11"/>
        <v>200000</v>
      </c>
      <c r="L720" s="13" t="str">
        <f>_xlfn.XLOOKUP(I720,'Wk no''s'!C:C,'Wk no''s'!E:E,0)</f>
        <v>Jun</v>
      </c>
    </row>
    <row r="721" spans="1:12" x14ac:dyDescent="0.25">
      <c r="A721" s="70">
        <v>45814</v>
      </c>
      <c r="B721" s="71" t="s">
        <v>1179</v>
      </c>
      <c r="C721" s="71" t="s">
        <v>635</v>
      </c>
      <c r="D721" s="71" t="s">
        <v>15</v>
      </c>
      <c r="E721" s="71">
        <v>50000</v>
      </c>
      <c r="F721" s="70">
        <v>45821</v>
      </c>
      <c r="G721" s="71" t="s">
        <v>72</v>
      </c>
      <c r="H721" s="71" t="s">
        <v>19</v>
      </c>
      <c r="I721" s="13">
        <f>_xlfn.XLOOKUP(F721,'Wk no''s'!B:B,'Wk no''s'!C:C,FALSE)</f>
        <v>24</v>
      </c>
      <c r="J721" s="13">
        <f>IF(D721="GBP",1,SUMIFS('Ex Rates'!I:I,'Ex Rates'!K:K,'Weekly Closed Proposal Requests'!L721,'Ex Rates'!G:G,'Weekly Closed Proposal Requests'!D721))</f>
        <v>1</v>
      </c>
      <c r="K721" s="13">
        <f t="shared" si="11"/>
        <v>50000</v>
      </c>
      <c r="L721" s="13" t="str">
        <f>_xlfn.XLOOKUP(I721,'Wk no''s'!C:C,'Wk no''s'!E:E,0)</f>
        <v>Jun</v>
      </c>
    </row>
    <row r="722" spans="1:12" x14ac:dyDescent="0.25">
      <c r="A722" s="70">
        <v>45814</v>
      </c>
      <c r="B722" s="71" t="s">
        <v>1180</v>
      </c>
      <c r="C722" s="71" t="s">
        <v>396</v>
      </c>
      <c r="D722" s="71" t="s">
        <v>15</v>
      </c>
      <c r="E722" s="71">
        <v>300000</v>
      </c>
      <c r="F722" s="70">
        <v>45818</v>
      </c>
      <c r="G722" s="71" t="s">
        <v>72</v>
      </c>
      <c r="H722" s="71" t="s">
        <v>19</v>
      </c>
      <c r="I722" s="13">
        <f>_xlfn.XLOOKUP(F722,'Wk no''s'!B:B,'Wk no''s'!C:C,FALSE)</f>
        <v>24</v>
      </c>
      <c r="J722" s="13">
        <f>IF(D722="GBP",1,SUMIFS('Ex Rates'!I:I,'Ex Rates'!K:K,'Weekly Closed Proposal Requests'!L722,'Ex Rates'!G:G,'Weekly Closed Proposal Requests'!D722))</f>
        <v>1</v>
      </c>
      <c r="K722" s="13">
        <f t="shared" si="11"/>
        <v>300000</v>
      </c>
      <c r="L722" s="13" t="str">
        <f>_xlfn.XLOOKUP(I722,'Wk no''s'!C:C,'Wk no''s'!E:E,0)</f>
        <v>Jun</v>
      </c>
    </row>
    <row r="723" spans="1:12" x14ac:dyDescent="0.25">
      <c r="A723" s="70">
        <v>45818</v>
      </c>
      <c r="B723" s="71" t="s">
        <v>1181</v>
      </c>
      <c r="C723" s="71" t="s">
        <v>84</v>
      </c>
      <c r="D723" s="71" t="s">
        <v>15</v>
      </c>
      <c r="E723" s="71">
        <v>820000</v>
      </c>
      <c r="F723" s="70">
        <v>45818</v>
      </c>
      <c r="G723" s="71" t="s">
        <v>72</v>
      </c>
      <c r="H723" s="71" t="s">
        <v>19</v>
      </c>
      <c r="I723" s="13">
        <f>_xlfn.XLOOKUP(F723,'Wk no''s'!B:B,'Wk no''s'!C:C,FALSE)</f>
        <v>24</v>
      </c>
      <c r="J723" s="13">
        <f>IF(D723="GBP",1,SUMIFS('Ex Rates'!I:I,'Ex Rates'!K:K,'Weekly Closed Proposal Requests'!L723,'Ex Rates'!G:G,'Weekly Closed Proposal Requests'!D723))</f>
        <v>1</v>
      </c>
      <c r="K723" s="13">
        <f t="shared" si="11"/>
        <v>820000</v>
      </c>
      <c r="L723" s="13" t="str">
        <f>_xlfn.XLOOKUP(I723,'Wk no''s'!C:C,'Wk no''s'!E:E,0)</f>
        <v>Jun</v>
      </c>
    </row>
    <row r="724" spans="1:12" x14ac:dyDescent="0.25">
      <c r="A724" s="70">
        <v>45800</v>
      </c>
      <c r="B724" s="71" t="s">
        <v>1197</v>
      </c>
      <c r="C724" s="71" t="s">
        <v>1215</v>
      </c>
      <c r="D724" s="71" t="s">
        <v>15</v>
      </c>
      <c r="E724" s="71">
        <v>40000</v>
      </c>
      <c r="F724" s="70">
        <v>45826</v>
      </c>
      <c r="G724" s="71" t="s">
        <v>16</v>
      </c>
      <c r="H724" s="71" t="s">
        <v>19</v>
      </c>
      <c r="I724" s="13">
        <f>_xlfn.XLOOKUP(F724,'Wk no''s'!B:B,'Wk no''s'!C:C,FALSE)</f>
        <v>25</v>
      </c>
      <c r="J724" s="13">
        <f>IF(D724="GBP",1,SUMIFS('Ex Rates'!I:I,'Ex Rates'!K:K,'Weekly Closed Proposal Requests'!L724,'Ex Rates'!G:G,'Weekly Closed Proposal Requests'!D724))</f>
        <v>1</v>
      </c>
      <c r="K724" s="13">
        <f t="shared" si="11"/>
        <v>40000</v>
      </c>
      <c r="L724" s="13" t="str">
        <f>_xlfn.XLOOKUP(I724,'Wk no''s'!C:C,'Wk no''s'!E:E,0)</f>
        <v>Jun</v>
      </c>
    </row>
    <row r="725" spans="1:12" x14ac:dyDescent="0.25">
      <c r="A725" s="70">
        <v>45806</v>
      </c>
      <c r="B725" s="71" t="s">
        <v>1192</v>
      </c>
      <c r="C725" s="71" t="s">
        <v>1216</v>
      </c>
      <c r="D725" s="71" t="s">
        <v>15</v>
      </c>
      <c r="E725" s="71">
        <v>30000</v>
      </c>
      <c r="F725" s="70">
        <v>45824</v>
      </c>
      <c r="G725" s="71" t="s">
        <v>16</v>
      </c>
      <c r="H725" s="71" t="s">
        <v>19</v>
      </c>
      <c r="I725" s="13">
        <f>_xlfn.XLOOKUP(F725,'Wk no''s'!B:B,'Wk no''s'!C:C,FALSE)</f>
        <v>25</v>
      </c>
      <c r="J725" s="13">
        <f>IF(D725="GBP",1,SUMIFS('Ex Rates'!I:I,'Ex Rates'!K:K,'Weekly Closed Proposal Requests'!L725,'Ex Rates'!G:G,'Weekly Closed Proposal Requests'!D725))</f>
        <v>1</v>
      </c>
      <c r="K725" s="13">
        <f t="shared" si="11"/>
        <v>30000</v>
      </c>
      <c r="L725" s="13" t="str">
        <f>_xlfn.XLOOKUP(I725,'Wk no''s'!C:C,'Wk no''s'!E:E,0)</f>
        <v>Jun</v>
      </c>
    </row>
    <row r="726" spans="1:12" x14ac:dyDescent="0.25">
      <c r="A726" s="70">
        <v>45811</v>
      </c>
      <c r="B726" s="71" t="s">
        <v>1193</v>
      </c>
      <c r="C726" s="71" t="s">
        <v>769</v>
      </c>
      <c r="D726" s="71" t="s">
        <v>15</v>
      </c>
      <c r="E726" s="71">
        <v>50000</v>
      </c>
      <c r="F726" s="70">
        <v>45827</v>
      </c>
      <c r="G726" s="71" t="s">
        <v>16</v>
      </c>
      <c r="H726" s="71" t="s">
        <v>19</v>
      </c>
      <c r="I726" s="13">
        <f>_xlfn.XLOOKUP(F726,'Wk no''s'!B:B,'Wk no''s'!C:C,FALSE)</f>
        <v>25</v>
      </c>
      <c r="J726" s="13">
        <f>IF(D726="GBP",1,SUMIFS('Ex Rates'!I:I,'Ex Rates'!K:K,'Weekly Closed Proposal Requests'!L726,'Ex Rates'!G:G,'Weekly Closed Proposal Requests'!D726))</f>
        <v>1</v>
      </c>
      <c r="K726" s="13">
        <f t="shared" si="11"/>
        <v>50000</v>
      </c>
      <c r="L726" s="13" t="str">
        <f>_xlfn.XLOOKUP(I726,'Wk no''s'!C:C,'Wk no''s'!E:E,0)</f>
        <v>Jun</v>
      </c>
    </row>
    <row r="727" spans="1:12" x14ac:dyDescent="0.25">
      <c r="A727" s="70">
        <v>45813</v>
      </c>
      <c r="B727" s="71" t="s">
        <v>1198</v>
      </c>
      <c r="C727" s="71" t="s">
        <v>1217</v>
      </c>
      <c r="D727" s="71" t="s">
        <v>15</v>
      </c>
      <c r="E727" s="71">
        <v>160000</v>
      </c>
      <c r="F727" s="70">
        <v>45827</v>
      </c>
      <c r="G727" s="71" t="s">
        <v>16</v>
      </c>
      <c r="H727" s="71" t="s">
        <v>19</v>
      </c>
      <c r="I727" s="13">
        <f>_xlfn.XLOOKUP(F727,'Wk no''s'!B:B,'Wk no''s'!C:C,FALSE)</f>
        <v>25</v>
      </c>
      <c r="J727" s="13">
        <f>IF(D727="GBP",1,SUMIFS('Ex Rates'!I:I,'Ex Rates'!K:K,'Weekly Closed Proposal Requests'!L727,'Ex Rates'!G:G,'Weekly Closed Proposal Requests'!D727))</f>
        <v>1</v>
      </c>
      <c r="K727" s="13">
        <f t="shared" ref="K727:K790" si="12">+E727*J727</f>
        <v>160000</v>
      </c>
      <c r="L727" s="13" t="str">
        <f>_xlfn.XLOOKUP(I727,'Wk no''s'!C:C,'Wk no''s'!E:E,0)</f>
        <v>Jun</v>
      </c>
    </row>
    <row r="728" spans="1:12" x14ac:dyDescent="0.25">
      <c r="A728" s="70">
        <v>45817</v>
      </c>
      <c r="B728" s="71" t="s">
        <v>1194</v>
      </c>
      <c r="C728" s="71" t="s">
        <v>1218</v>
      </c>
      <c r="D728" s="71" t="s">
        <v>15</v>
      </c>
      <c r="E728" s="71">
        <v>100000</v>
      </c>
      <c r="F728" s="70">
        <v>45828</v>
      </c>
      <c r="G728" s="71" t="s">
        <v>16</v>
      </c>
      <c r="H728" s="71" t="s">
        <v>19</v>
      </c>
      <c r="I728" s="13">
        <f>_xlfn.XLOOKUP(F728,'Wk no''s'!B:B,'Wk no''s'!C:C,FALSE)</f>
        <v>25</v>
      </c>
      <c r="J728" s="13">
        <f>IF(D728="GBP",1,SUMIFS('Ex Rates'!I:I,'Ex Rates'!K:K,'Weekly Closed Proposal Requests'!L728,'Ex Rates'!G:G,'Weekly Closed Proposal Requests'!D728))</f>
        <v>1</v>
      </c>
      <c r="K728" s="13">
        <f t="shared" si="12"/>
        <v>100000</v>
      </c>
      <c r="L728" s="13" t="str">
        <f>_xlfn.XLOOKUP(I728,'Wk no''s'!C:C,'Wk no''s'!E:E,0)</f>
        <v>Jun</v>
      </c>
    </row>
    <row r="729" spans="1:12" x14ac:dyDescent="0.25">
      <c r="A729" s="70">
        <v>45819</v>
      </c>
      <c r="B729" s="71" t="s">
        <v>1195</v>
      </c>
      <c r="C729" s="71" t="s">
        <v>1108</v>
      </c>
      <c r="D729" s="71" t="s">
        <v>15</v>
      </c>
      <c r="E729" s="71">
        <v>600000</v>
      </c>
      <c r="F729" s="70">
        <v>45826</v>
      </c>
      <c r="G729" s="71" t="s">
        <v>16</v>
      </c>
      <c r="H729" s="71" t="s">
        <v>19</v>
      </c>
      <c r="I729" s="13">
        <f>_xlfn.XLOOKUP(F729,'Wk no''s'!B:B,'Wk no''s'!C:C,FALSE)</f>
        <v>25</v>
      </c>
      <c r="J729" s="13">
        <f>IF(D729="GBP",1,SUMIFS('Ex Rates'!I:I,'Ex Rates'!K:K,'Weekly Closed Proposal Requests'!L729,'Ex Rates'!G:G,'Weekly Closed Proposal Requests'!D729))</f>
        <v>1</v>
      </c>
      <c r="K729" s="13">
        <f t="shared" si="12"/>
        <v>600000</v>
      </c>
      <c r="L729" s="13" t="str">
        <f>_xlfn.XLOOKUP(I729,'Wk no''s'!C:C,'Wk no''s'!E:E,0)</f>
        <v>Jun</v>
      </c>
    </row>
    <row r="730" spans="1:12" x14ac:dyDescent="0.25">
      <c r="A730" s="70">
        <v>45821</v>
      </c>
      <c r="B730" s="71" t="s">
        <v>1199</v>
      </c>
      <c r="C730" s="71" t="s">
        <v>374</v>
      </c>
      <c r="D730" s="71" t="s">
        <v>15</v>
      </c>
      <c r="E730" s="71">
        <v>50000</v>
      </c>
      <c r="F730" s="70">
        <v>45824</v>
      </c>
      <c r="G730" s="71" t="s">
        <v>16</v>
      </c>
      <c r="H730" s="71" t="s">
        <v>19</v>
      </c>
      <c r="I730" s="13">
        <f>_xlfn.XLOOKUP(F730,'Wk no''s'!B:B,'Wk no''s'!C:C,FALSE)</f>
        <v>25</v>
      </c>
      <c r="J730" s="13">
        <f>IF(D730="GBP",1,SUMIFS('Ex Rates'!I:I,'Ex Rates'!K:K,'Weekly Closed Proposal Requests'!L730,'Ex Rates'!G:G,'Weekly Closed Proposal Requests'!D730))</f>
        <v>1</v>
      </c>
      <c r="K730" s="13">
        <f t="shared" si="12"/>
        <v>50000</v>
      </c>
      <c r="L730" s="13" t="str">
        <f>_xlfn.XLOOKUP(I730,'Wk no''s'!C:C,'Wk no''s'!E:E,0)</f>
        <v>Jun</v>
      </c>
    </row>
    <row r="731" spans="1:12" x14ac:dyDescent="0.25">
      <c r="A731" s="70">
        <v>45821</v>
      </c>
      <c r="B731" s="71" t="s">
        <v>1196</v>
      </c>
      <c r="C731" s="71" t="s">
        <v>1460</v>
      </c>
      <c r="D731" s="71" t="s">
        <v>15</v>
      </c>
      <c r="E731" s="71">
        <v>50000</v>
      </c>
      <c r="F731" s="70">
        <v>45828</v>
      </c>
      <c r="G731" s="71" t="s">
        <v>16</v>
      </c>
      <c r="H731" s="71" t="s">
        <v>19</v>
      </c>
      <c r="I731" s="13">
        <f>_xlfn.XLOOKUP(F731,'Wk no''s'!B:B,'Wk no''s'!C:C,FALSE)</f>
        <v>25</v>
      </c>
      <c r="J731" s="13">
        <f>IF(D731="GBP",1,SUMIFS('Ex Rates'!I:I,'Ex Rates'!K:K,'Weekly Closed Proposal Requests'!L731,'Ex Rates'!G:G,'Weekly Closed Proposal Requests'!D731))</f>
        <v>1</v>
      </c>
      <c r="K731" s="13">
        <f t="shared" si="12"/>
        <v>50000</v>
      </c>
      <c r="L731" s="13" t="str">
        <f>_xlfn.XLOOKUP(I731,'Wk no''s'!C:C,'Wk no''s'!E:E,0)</f>
        <v>Jun</v>
      </c>
    </row>
    <row r="732" spans="1:12" x14ac:dyDescent="0.25">
      <c r="A732" s="70">
        <v>45825</v>
      </c>
      <c r="B732" s="71" t="s">
        <v>1200</v>
      </c>
      <c r="C732" s="71" t="s">
        <v>1185</v>
      </c>
      <c r="D732" s="71" t="s">
        <v>15</v>
      </c>
      <c r="E732" s="71">
        <v>50000</v>
      </c>
      <c r="F732" s="70">
        <v>45828</v>
      </c>
      <c r="G732" s="71" t="s">
        <v>16</v>
      </c>
      <c r="H732" s="71" t="s">
        <v>19</v>
      </c>
      <c r="I732" s="13">
        <f>_xlfn.XLOOKUP(F732,'Wk no''s'!B:B,'Wk no''s'!C:C,FALSE)</f>
        <v>25</v>
      </c>
      <c r="J732" s="13">
        <f>IF(D732="GBP",1,SUMIFS('Ex Rates'!I:I,'Ex Rates'!K:K,'Weekly Closed Proposal Requests'!L732,'Ex Rates'!G:G,'Weekly Closed Proposal Requests'!D732))</f>
        <v>1</v>
      </c>
      <c r="K732" s="13">
        <f t="shared" si="12"/>
        <v>50000</v>
      </c>
      <c r="L732" s="13" t="str">
        <f>_xlfn.XLOOKUP(I732,'Wk no''s'!C:C,'Wk no''s'!E:E,0)</f>
        <v>Jun</v>
      </c>
    </row>
    <row r="733" spans="1:12" x14ac:dyDescent="0.25">
      <c r="A733" s="70">
        <v>45826</v>
      </c>
      <c r="B733" s="71" t="s">
        <v>1201</v>
      </c>
      <c r="C733" s="71" t="s">
        <v>1219</v>
      </c>
      <c r="D733" s="71" t="s">
        <v>15</v>
      </c>
      <c r="E733" s="71">
        <v>30000</v>
      </c>
      <c r="F733" s="70">
        <v>45828</v>
      </c>
      <c r="G733" s="71" t="s">
        <v>16</v>
      </c>
      <c r="H733" s="71" t="s">
        <v>19</v>
      </c>
      <c r="I733" s="13">
        <f>_xlfn.XLOOKUP(F733,'Wk no''s'!B:B,'Wk no''s'!C:C,FALSE)</f>
        <v>25</v>
      </c>
      <c r="J733" s="13">
        <f>IF(D733="GBP",1,SUMIFS('Ex Rates'!I:I,'Ex Rates'!K:K,'Weekly Closed Proposal Requests'!L733,'Ex Rates'!G:G,'Weekly Closed Proposal Requests'!D733))</f>
        <v>1</v>
      </c>
      <c r="K733" s="13">
        <f t="shared" si="12"/>
        <v>30000</v>
      </c>
      <c r="L733" s="13" t="str">
        <f>_xlfn.XLOOKUP(I733,'Wk no''s'!C:C,'Wk no''s'!E:E,0)</f>
        <v>Jun</v>
      </c>
    </row>
    <row r="734" spans="1:12" x14ac:dyDescent="0.25">
      <c r="A734" s="70">
        <v>45828</v>
      </c>
      <c r="B734" s="71" t="s">
        <v>1202</v>
      </c>
      <c r="C734" s="71" t="s">
        <v>843</v>
      </c>
      <c r="D734" s="71" t="s">
        <v>15</v>
      </c>
      <c r="E734" s="71">
        <v>400000</v>
      </c>
      <c r="F734" s="70">
        <v>45828</v>
      </c>
      <c r="G734" s="71" t="s">
        <v>16</v>
      </c>
      <c r="H734" s="71" t="s">
        <v>19</v>
      </c>
      <c r="I734" s="13">
        <f>_xlfn.XLOOKUP(F734,'Wk no''s'!B:B,'Wk no''s'!C:C,FALSE)</f>
        <v>25</v>
      </c>
      <c r="J734" s="13">
        <f>IF(D734="GBP",1,SUMIFS('Ex Rates'!I:I,'Ex Rates'!K:K,'Weekly Closed Proposal Requests'!L734,'Ex Rates'!G:G,'Weekly Closed Proposal Requests'!D734))</f>
        <v>1</v>
      </c>
      <c r="K734" s="13">
        <f t="shared" si="12"/>
        <v>400000</v>
      </c>
      <c r="L734" s="13" t="str">
        <f>_xlfn.XLOOKUP(I734,'Wk no''s'!C:C,'Wk no''s'!E:E,0)</f>
        <v>Jun</v>
      </c>
    </row>
    <row r="735" spans="1:12" x14ac:dyDescent="0.25">
      <c r="A735" s="70">
        <v>45810</v>
      </c>
      <c r="B735" s="71" t="s">
        <v>1203</v>
      </c>
      <c r="C735" s="71" t="s">
        <v>1461</v>
      </c>
      <c r="D735" s="71" t="s">
        <v>46</v>
      </c>
      <c r="E735" s="71">
        <v>2000000</v>
      </c>
      <c r="F735" s="70">
        <v>45827</v>
      </c>
      <c r="G735" s="71" t="s">
        <v>47</v>
      </c>
      <c r="H735" s="71" t="s">
        <v>19</v>
      </c>
      <c r="I735" s="13">
        <f>_xlfn.XLOOKUP(F735,'Wk no''s'!B:B,'Wk no''s'!C:C,FALSE)</f>
        <v>25</v>
      </c>
      <c r="J735" s="13">
        <f>IF(D735="GBP",1,SUMIFS('Ex Rates'!I:I,'Ex Rates'!K:K,'Weekly Closed Proposal Requests'!L735,'Ex Rates'!G:G,'Weekly Closed Proposal Requests'!D735))</f>
        <v>0.74239049740163332</v>
      </c>
      <c r="K735" s="13">
        <f t="shared" si="12"/>
        <v>1484780.9948032666</v>
      </c>
      <c r="L735" s="13" t="str">
        <f>_xlfn.XLOOKUP(I735,'Wk no''s'!C:C,'Wk no''s'!E:E,0)</f>
        <v>Jun</v>
      </c>
    </row>
    <row r="736" spans="1:12" x14ac:dyDescent="0.25">
      <c r="A736" s="70">
        <v>45813</v>
      </c>
      <c r="B736" s="71" t="s">
        <v>1204</v>
      </c>
      <c r="C736" s="71" t="s">
        <v>512</v>
      </c>
      <c r="D736" s="71" t="s">
        <v>46</v>
      </c>
      <c r="E736" s="71">
        <v>116000</v>
      </c>
      <c r="F736" s="70">
        <v>45827</v>
      </c>
      <c r="G736" s="71" t="s">
        <v>47</v>
      </c>
      <c r="H736" s="71" t="s">
        <v>50</v>
      </c>
      <c r="I736" s="13">
        <f>_xlfn.XLOOKUP(F736,'Wk no''s'!B:B,'Wk no''s'!C:C,FALSE)</f>
        <v>25</v>
      </c>
      <c r="J736" s="13">
        <f>IF(D736="GBP",1,SUMIFS('Ex Rates'!I:I,'Ex Rates'!K:K,'Weekly Closed Proposal Requests'!L736,'Ex Rates'!G:G,'Weekly Closed Proposal Requests'!D736))</f>
        <v>0.74239049740163332</v>
      </c>
      <c r="K736" s="13">
        <f t="shared" si="12"/>
        <v>86117.297698589464</v>
      </c>
      <c r="L736" s="13" t="str">
        <f>_xlfn.XLOOKUP(I736,'Wk no''s'!C:C,'Wk no''s'!E:E,0)</f>
        <v>Jun</v>
      </c>
    </row>
    <row r="737" spans="1:12" x14ac:dyDescent="0.25">
      <c r="A737" s="70">
        <v>45819</v>
      </c>
      <c r="B737" s="71" t="s">
        <v>1209</v>
      </c>
      <c r="C737" s="71" t="s">
        <v>1220</v>
      </c>
      <c r="D737" s="71" t="s">
        <v>10</v>
      </c>
      <c r="E737" s="71">
        <v>20000</v>
      </c>
      <c r="F737" s="70">
        <v>45824</v>
      </c>
      <c r="G737" s="71" t="s">
        <v>11</v>
      </c>
      <c r="H737" s="71" t="s">
        <v>12</v>
      </c>
      <c r="I737" s="13">
        <f>_xlfn.XLOOKUP(F737,'Wk no''s'!B:B,'Wk no''s'!C:C,FALSE)</f>
        <v>25</v>
      </c>
      <c r="J737" s="13">
        <f>IF(D737="GBP",1,SUMIFS('Ex Rates'!I:I,'Ex Rates'!K:K,'Weekly Closed Proposal Requests'!L737,'Ex Rates'!G:G,'Weekly Closed Proposal Requests'!D737))</f>
        <v>0.47755491881566381</v>
      </c>
      <c r="K737" s="13">
        <f t="shared" si="12"/>
        <v>9551.0983763132754</v>
      </c>
      <c r="L737" s="13" t="str">
        <f>_xlfn.XLOOKUP(I737,'Wk no''s'!C:C,'Wk no''s'!E:E,0)</f>
        <v>Jun</v>
      </c>
    </row>
    <row r="738" spans="1:12" x14ac:dyDescent="0.25">
      <c r="A738" s="70">
        <v>45825</v>
      </c>
      <c r="B738" s="71" t="s">
        <v>1205</v>
      </c>
      <c r="C738" s="71" t="s">
        <v>1221</v>
      </c>
      <c r="D738" s="71" t="s">
        <v>10</v>
      </c>
      <c r="E738" s="71">
        <v>60000</v>
      </c>
      <c r="F738" s="70">
        <v>45828</v>
      </c>
      <c r="G738" s="71" t="s">
        <v>11</v>
      </c>
      <c r="H738" s="71" t="s">
        <v>12</v>
      </c>
      <c r="I738" s="13">
        <f>_xlfn.XLOOKUP(F738,'Wk no''s'!B:B,'Wk no''s'!C:C,FALSE)</f>
        <v>25</v>
      </c>
      <c r="J738" s="13">
        <f>IF(D738="GBP",1,SUMIFS('Ex Rates'!I:I,'Ex Rates'!K:K,'Weekly Closed Proposal Requests'!L738,'Ex Rates'!G:G,'Weekly Closed Proposal Requests'!D738))</f>
        <v>0.47755491881566381</v>
      </c>
      <c r="K738" s="13">
        <f t="shared" si="12"/>
        <v>28653.29512893983</v>
      </c>
      <c r="L738" s="13" t="str">
        <f>_xlfn.XLOOKUP(I738,'Wk no''s'!C:C,'Wk no''s'!E:E,0)</f>
        <v>Jun</v>
      </c>
    </row>
    <row r="739" spans="1:12" x14ac:dyDescent="0.25">
      <c r="A739" s="70">
        <v>45810</v>
      </c>
      <c r="B739" s="71" t="s">
        <v>1207</v>
      </c>
      <c r="C739" s="71" t="s">
        <v>1110</v>
      </c>
      <c r="D739" s="71" t="s">
        <v>10</v>
      </c>
      <c r="E739" s="71">
        <v>600000</v>
      </c>
      <c r="F739" s="70">
        <v>45826</v>
      </c>
      <c r="G739" s="71" t="s">
        <v>11</v>
      </c>
      <c r="H739" s="71" t="s">
        <v>19</v>
      </c>
      <c r="I739" s="13">
        <f>_xlfn.XLOOKUP(F739,'Wk no''s'!B:B,'Wk no''s'!C:C,FALSE)</f>
        <v>25</v>
      </c>
      <c r="J739" s="13">
        <f>IF(D739="GBP",1,SUMIFS('Ex Rates'!I:I,'Ex Rates'!K:K,'Weekly Closed Proposal Requests'!L739,'Ex Rates'!G:G,'Weekly Closed Proposal Requests'!D739))</f>
        <v>0.47755491881566381</v>
      </c>
      <c r="K739" s="13">
        <f t="shared" si="12"/>
        <v>286532.9512893983</v>
      </c>
      <c r="L739" s="13" t="str">
        <f>_xlfn.XLOOKUP(I739,'Wk no''s'!C:C,'Wk no''s'!E:E,0)</f>
        <v>Jun</v>
      </c>
    </row>
    <row r="740" spans="1:12" x14ac:dyDescent="0.25">
      <c r="A740" s="70">
        <v>45824</v>
      </c>
      <c r="B740" s="71" t="s">
        <v>1225</v>
      </c>
      <c r="C740" s="71" t="s">
        <v>1214</v>
      </c>
      <c r="D740" s="71" t="s">
        <v>10</v>
      </c>
      <c r="E740" s="71">
        <v>450000</v>
      </c>
      <c r="F740" s="70">
        <v>45830</v>
      </c>
      <c r="G740" s="71" t="s">
        <v>11</v>
      </c>
      <c r="H740" s="71" t="s">
        <v>19</v>
      </c>
      <c r="I740" s="13">
        <f>_xlfn.XLOOKUP(F740,'Wk no''s'!B:B,'Wk no''s'!C:C,FALSE)</f>
        <v>26</v>
      </c>
      <c r="J740" s="13">
        <f>IF(D740="GBP",1,SUMIFS('Ex Rates'!I:I,'Ex Rates'!K:K,'Weekly Closed Proposal Requests'!L740,'Ex Rates'!G:G,'Weekly Closed Proposal Requests'!D740))</f>
        <v>0.47755491881566381</v>
      </c>
      <c r="K740" s="13">
        <f t="shared" si="12"/>
        <v>214899.71346704871</v>
      </c>
      <c r="L740" s="13" t="str">
        <f>_xlfn.XLOOKUP(I740,'Wk no''s'!C:C,'Wk no''s'!E:E,0)</f>
        <v>Jun</v>
      </c>
    </row>
    <row r="741" spans="1:12" x14ac:dyDescent="0.25">
      <c r="A741" s="70">
        <v>45828</v>
      </c>
      <c r="B741" s="71" t="s">
        <v>1206</v>
      </c>
      <c r="C741" s="71" t="s">
        <v>1214</v>
      </c>
      <c r="D741" s="71" t="s">
        <v>10</v>
      </c>
      <c r="E741" s="71">
        <v>450000</v>
      </c>
      <c r="F741" s="70">
        <v>45828</v>
      </c>
      <c r="G741" s="71" t="s">
        <v>11</v>
      </c>
      <c r="H741" s="71" t="s">
        <v>19</v>
      </c>
      <c r="I741" s="13">
        <f>_xlfn.XLOOKUP(F741,'Wk no''s'!B:B,'Wk no''s'!C:C,FALSE)</f>
        <v>25</v>
      </c>
      <c r="J741" s="13">
        <f>IF(D741="GBP",1,SUMIFS('Ex Rates'!I:I,'Ex Rates'!K:K,'Weekly Closed Proposal Requests'!L741,'Ex Rates'!G:G,'Weekly Closed Proposal Requests'!D741))</f>
        <v>0.47755491881566381</v>
      </c>
      <c r="K741" s="13">
        <f t="shared" si="12"/>
        <v>214899.71346704871</v>
      </c>
      <c r="L741" s="13" t="str">
        <f>_xlfn.XLOOKUP(I741,'Wk no''s'!C:C,'Wk no''s'!E:E,0)</f>
        <v>Jun</v>
      </c>
    </row>
    <row r="742" spans="1:12" x14ac:dyDescent="0.25">
      <c r="A742" s="70">
        <v>45818</v>
      </c>
      <c r="B742" s="71" t="s">
        <v>1208</v>
      </c>
      <c r="C742" s="71" t="s">
        <v>1222</v>
      </c>
      <c r="D742" s="71" t="s">
        <v>10</v>
      </c>
      <c r="E742" s="71">
        <v>1</v>
      </c>
      <c r="F742" s="70">
        <v>45825</v>
      </c>
      <c r="G742" s="71" t="s">
        <v>11</v>
      </c>
      <c r="H742" s="71" t="s">
        <v>50</v>
      </c>
      <c r="I742" s="13">
        <f>_xlfn.XLOOKUP(F742,'Wk no''s'!B:B,'Wk no''s'!C:C,FALSE)</f>
        <v>25</v>
      </c>
      <c r="J742" s="13">
        <f>IF(D742="GBP",1,SUMIFS('Ex Rates'!I:I,'Ex Rates'!K:K,'Weekly Closed Proposal Requests'!L742,'Ex Rates'!G:G,'Weekly Closed Proposal Requests'!D742))</f>
        <v>0.47755491881566381</v>
      </c>
      <c r="K742" s="13">
        <f t="shared" si="12"/>
        <v>0.47755491881566381</v>
      </c>
      <c r="L742" s="13" t="str">
        <f>_xlfn.XLOOKUP(I742,'Wk no''s'!C:C,'Wk no''s'!E:E,0)</f>
        <v>Jun</v>
      </c>
    </row>
    <row r="743" spans="1:12" x14ac:dyDescent="0.25">
      <c r="A743" s="70">
        <v>45664</v>
      </c>
      <c r="B743" s="71" t="s">
        <v>1210</v>
      </c>
      <c r="C743" s="71" t="s">
        <v>138</v>
      </c>
      <c r="D743" s="71" t="s">
        <v>15</v>
      </c>
      <c r="E743" s="71">
        <v>0</v>
      </c>
      <c r="F743" s="70">
        <v>45826</v>
      </c>
      <c r="G743" s="71" t="s">
        <v>72</v>
      </c>
      <c r="H743" s="71" t="s">
        <v>19</v>
      </c>
      <c r="I743" s="13">
        <f>_xlfn.XLOOKUP(F743,'Wk no''s'!B:B,'Wk no''s'!C:C,FALSE)</f>
        <v>25</v>
      </c>
      <c r="J743" s="13">
        <f>IF(D743="GBP",1,SUMIFS('Ex Rates'!I:I,'Ex Rates'!K:K,'Weekly Closed Proposal Requests'!L743,'Ex Rates'!G:G,'Weekly Closed Proposal Requests'!D743))</f>
        <v>1</v>
      </c>
      <c r="K743" s="13">
        <f t="shared" si="12"/>
        <v>0</v>
      </c>
      <c r="L743" s="13" t="str">
        <f>_xlfn.XLOOKUP(I743,'Wk no''s'!C:C,'Wk no''s'!E:E,0)</f>
        <v>Jun</v>
      </c>
    </row>
    <row r="744" spans="1:12" x14ac:dyDescent="0.25">
      <c r="A744" s="70">
        <v>45822</v>
      </c>
      <c r="B744" s="71" t="s">
        <v>1211</v>
      </c>
      <c r="C744" s="71" t="s">
        <v>1156</v>
      </c>
      <c r="D744" s="71" t="s">
        <v>15</v>
      </c>
      <c r="E744" s="71">
        <v>300000</v>
      </c>
      <c r="F744" s="70">
        <v>45825</v>
      </c>
      <c r="G744" s="71" t="s">
        <v>72</v>
      </c>
      <c r="H744" s="71" t="s">
        <v>19</v>
      </c>
      <c r="I744" s="13">
        <f>_xlfn.XLOOKUP(F744,'Wk no''s'!B:B,'Wk no''s'!C:C,FALSE)</f>
        <v>25</v>
      </c>
      <c r="J744" s="13">
        <f>IF(D744="GBP",1,SUMIFS('Ex Rates'!I:I,'Ex Rates'!K:K,'Weekly Closed Proposal Requests'!L744,'Ex Rates'!G:G,'Weekly Closed Proposal Requests'!D744))</f>
        <v>1</v>
      </c>
      <c r="K744" s="13">
        <f t="shared" si="12"/>
        <v>300000</v>
      </c>
      <c r="L744" s="13" t="str">
        <f>_xlfn.XLOOKUP(I744,'Wk no''s'!C:C,'Wk no''s'!E:E,0)</f>
        <v>Jun</v>
      </c>
    </row>
    <row r="745" spans="1:12" x14ac:dyDescent="0.25">
      <c r="A745" s="70">
        <v>45824</v>
      </c>
      <c r="B745" s="71" t="s">
        <v>1212</v>
      </c>
      <c r="C745" s="71" t="s">
        <v>635</v>
      </c>
      <c r="D745" s="71" t="s">
        <v>15</v>
      </c>
      <c r="E745" s="71">
        <v>45000</v>
      </c>
      <c r="F745" s="70">
        <v>45828</v>
      </c>
      <c r="G745" s="71" t="s">
        <v>72</v>
      </c>
      <c r="H745" s="71" t="s">
        <v>19</v>
      </c>
      <c r="I745" s="13">
        <f>_xlfn.XLOOKUP(F745,'Wk no''s'!B:B,'Wk no''s'!C:C,FALSE)</f>
        <v>25</v>
      </c>
      <c r="J745" s="13">
        <f>IF(D745="GBP",1,SUMIFS('Ex Rates'!I:I,'Ex Rates'!K:K,'Weekly Closed Proposal Requests'!L745,'Ex Rates'!G:G,'Weekly Closed Proposal Requests'!D745))</f>
        <v>1</v>
      </c>
      <c r="K745" s="13">
        <f t="shared" si="12"/>
        <v>45000</v>
      </c>
      <c r="L745" s="13" t="str">
        <f>_xlfn.XLOOKUP(I745,'Wk no''s'!C:C,'Wk no''s'!E:E,0)</f>
        <v>Jun</v>
      </c>
    </row>
    <row r="746" spans="1:12" x14ac:dyDescent="0.25">
      <c r="A746" s="70">
        <v>45827</v>
      </c>
      <c r="B746" s="71" t="s">
        <v>1239</v>
      </c>
      <c r="C746" s="71" t="s">
        <v>1263</v>
      </c>
      <c r="D746" s="71" t="s">
        <v>15</v>
      </c>
      <c r="E746" s="71">
        <v>8000</v>
      </c>
      <c r="F746" s="70">
        <v>45835</v>
      </c>
      <c r="G746" s="71" t="s">
        <v>16</v>
      </c>
      <c r="H746" s="71" t="s">
        <v>12</v>
      </c>
      <c r="I746" s="13">
        <f>_xlfn.XLOOKUP(F746,'Wk no''s'!B:B,'Wk no''s'!C:C,FALSE)</f>
        <v>26</v>
      </c>
      <c r="J746" s="13">
        <f>IF(D746="GBP",1,SUMIFS('Ex Rates'!I:I,'Ex Rates'!K:K,'Weekly Closed Proposal Requests'!L746,'Ex Rates'!G:G,'Weekly Closed Proposal Requests'!D746))</f>
        <v>1</v>
      </c>
      <c r="K746" s="13">
        <f t="shared" si="12"/>
        <v>8000</v>
      </c>
      <c r="L746" s="13" t="str">
        <f>_xlfn.XLOOKUP(I746,'Wk no''s'!C:C,'Wk no''s'!E:E,0)</f>
        <v>Jun</v>
      </c>
    </row>
    <row r="747" spans="1:12" x14ac:dyDescent="0.25">
      <c r="A747" s="70">
        <v>45810</v>
      </c>
      <c r="B747" s="71" t="s">
        <v>1232</v>
      </c>
      <c r="C747" s="71" t="s">
        <v>1264</v>
      </c>
      <c r="D747" s="71" t="s">
        <v>15</v>
      </c>
      <c r="E747" s="71">
        <v>50000</v>
      </c>
      <c r="F747" s="70">
        <v>45834</v>
      </c>
      <c r="G747" s="71" t="s">
        <v>16</v>
      </c>
      <c r="H747" s="71" t="s">
        <v>19</v>
      </c>
      <c r="I747" s="13">
        <f>_xlfn.XLOOKUP(F747,'Wk no''s'!B:B,'Wk no''s'!C:C,FALSE)</f>
        <v>26</v>
      </c>
      <c r="J747" s="13">
        <f>IF(D747="GBP",1,SUMIFS('Ex Rates'!I:I,'Ex Rates'!K:K,'Weekly Closed Proposal Requests'!L747,'Ex Rates'!G:G,'Weekly Closed Proposal Requests'!D747))</f>
        <v>1</v>
      </c>
      <c r="K747" s="13">
        <f t="shared" si="12"/>
        <v>50000</v>
      </c>
      <c r="L747" s="13" t="str">
        <f>_xlfn.XLOOKUP(I747,'Wk no''s'!C:C,'Wk no''s'!E:E,0)</f>
        <v>Jun</v>
      </c>
    </row>
    <row r="748" spans="1:12" x14ac:dyDescent="0.25">
      <c r="A748" s="70">
        <v>45813</v>
      </c>
      <c r="B748" s="71" t="s">
        <v>1233</v>
      </c>
      <c r="C748" s="71" t="s">
        <v>1265</v>
      </c>
      <c r="D748" s="71" t="s">
        <v>15</v>
      </c>
      <c r="E748" s="71">
        <v>8000</v>
      </c>
      <c r="F748" s="70">
        <v>45832</v>
      </c>
      <c r="G748" s="71" t="s">
        <v>16</v>
      </c>
      <c r="H748" s="71" t="s">
        <v>19</v>
      </c>
      <c r="I748" s="13">
        <f>_xlfn.XLOOKUP(F748,'Wk no''s'!B:B,'Wk no''s'!C:C,FALSE)</f>
        <v>26</v>
      </c>
      <c r="J748" s="13">
        <f>IF(D748="GBP",1,SUMIFS('Ex Rates'!I:I,'Ex Rates'!K:K,'Weekly Closed Proposal Requests'!L748,'Ex Rates'!G:G,'Weekly Closed Proposal Requests'!D748))</f>
        <v>1</v>
      </c>
      <c r="K748" s="13">
        <f t="shared" si="12"/>
        <v>8000</v>
      </c>
      <c r="L748" s="13" t="str">
        <f>_xlfn.XLOOKUP(I748,'Wk no''s'!C:C,'Wk no''s'!E:E,0)</f>
        <v>Jun</v>
      </c>
    </row>
    <row r="749" spans="1:12" x14ac:dyDescent="0.25">
      <c r="A749" s="70">
        <v>45820</v>
      </c>
      <c r="B749" s="71" t="s">
        <v>1234</v>
      </c>
      <c r="C749" s="71" t="s">
        <v>791</v>
      </c>
      <c r="D749" s="71" t="s">
        <v>15</v>
      </c>
      <c r="E749" s="71">
        <v>450000</v>
      </c>
      <c r="F749" s="70">
        <v>45833</v>
      </c>
      <c r="G749" s="71" t="s">
        <v>16</v>
      </c>
      <c r="H749" s="71" t="s">
        <v>19</v>
      </c>
      <c r="I749" s="13">
        <f>_xlfn.XLOOKUP(F749,'Wk no''s'!B:B,'Wk no''s'!C:C,FALSE)</f>
        <v>26</v>
      </c>
      <c r="J749" s="13">
        <f>IF(D749="GBP",1,SUMIFS('Ex Rates'!I:I,'Ex Rates'!K:K,'Weekly Closed Proposal Requests'!L749,'Ex Rates'!G:G,'Weekly Closed Proposal Requests'!D749))</f>
        <v>1</v>
      </c>
      <c r="K749" s="13">
        <f t="shared" si="12"/>
        <v>450000</v>
      </c>
      <c r="L749" s="13" t="str">
        <f>_xlfn.XLOOKUP(I749,'Wk no''s'!C:C,'Wk no''s'!E:E,0)</f>
        <v>Jun</v>
      </c>
    </row>
    <row r="750" spans="1:12" x14ac:dyDescent="0.25">
      <c r="A750" s="70">
        <v>45820</v>
      </c>
      <c r="B750" s="71" t="s">
        <v>1226</v>
      </c>
      <c r="C750" s="71" t="s">
        <v>97</v>
      </c>
      <c r="D750" s="71" t="s">
        <v>15</v>
      </c>
      <c r="E750" s="71">
        <v>30000</v>
      </c>
      <c r="F750" s="70">
        <v>45834</v>
      </c>
      <c r="G750" s="71" t="s">
        <v>16</v>
      </c>
      <c r="H750" s="71" t="s">
        <v>19</v>
      </c>
      <c r="I750" s="13">
        <f>_xlfn.XLOOKUP(F750,'Wk no''s'!B:B,'Wk no''s'!C:C,FALSE)</f>
        <v>26</v>
      </c>
      <c r="J750" s="13">
        <f>IF(D750="GBP",1,SUMIFS('Ex Rates'!I:I,'Ex Rates'!K:K,'Weekly Closed Proposal Requests'!L750,'Ex Rates'!G:G,'Weekly Closed Proposal Requests'!D750))</f>
        <v>1</v>
      </c>
      <c r="K750" s="13">
        <f t="shared" si="12"/>
        <v>30000</v>
      </c>
      <c r="L750" s="13" t="str">
        <f>_xlfn.XLOOKUP(I750,'Wk no''s'!C:C,'Wk no''s'!E:E,0)</f>
        <v>Jun</v>
      </c>
    </row>
    <row r="751" spans="1:12" x14ac:dyDescent="0.25">
      <c r="A751" s="70">
        <v>45823</v>
      </c>
      <c r="B751" s="71" t="s">
        <v>1227</v>
      </c>
      <c r="C751" s="71" t="s">
        <v>1556</v>
      </c>
      <c r="D751" s="71" t="s">
        <v>15</v>
      </c>
      <c r="E751" s="71">
        <v>50000</v>
      </c>
      <c r="F751" s="70">
        <v>45832</v>
      </c>
      <c r="G751" s="71" t="s">
        <v>16</v>
      </c>
      <c r="H751" s="71" t="s">
        <v>19</v>
      </c>
      <c r="I751" s="13">
        <f>_xlfn.XLOOKUP(F751,'Wk no''s'!B:B,'Wk no''s'!C:C,FALSE)</f>
        <v>26</v>
      </c>
      <c r="J751" s="13">
        <f>IF(D751="GBP",1,SUMIFS('Ex Rates'!I:I,'Ex Rates'!K:K,'Weekly Closed Proposal Requests'!L751,'Ex Rates'!G:G,'Weekly Closed Proposal Requests'!D751))</f>
        <v>1</v>
      </c>
      <c r="K751" s="13">
        <f t="shared" si="12"/>
        <v>50000</v>
      </c>
      <c r="L751" s="13" t="str">
        <f>_xlfn.XLOOKUP(I751,'Wk no''s'!C:C,'Wk no''s'!E:E,0)</f>
        <v>Jun</v>
      </c>
    </row>
    <row r="752" spans="1:12" x14ac:dyDescent="0.25">
      <c r="A752" s="70">
        <v>45824</v>
      </c>
      <c r="B752" s="71" t="s">
        <v>1236</v>
      </c>
      <c r="C752" s="71" t="s">
        <v>1267</v>
      </c>
      <c r="D752" s="71" t="s">
        <v>15</v>
      </c>
      <c r="E752" s="71">
        <v>250000</v>
      </c>
      <c r="F752" s="70">
        <v>45835</v>
      </c>
      <c r="G752" s="71" t="s">
        <v>16</v>
      </c>
      <c r="H752" s="71" t="s">
        <v>19</v>
      </c>
      <c r="I752" s="13">
        <f>_xlfn.XLOOKUP(F752,'Wk no''s'!B:B,'Wk no''s'!C:C,FALSE)</f>
        <v>26</v>
      </c>
      <c r="J752" s="13">
        <f>IF(D752="GBP",1,SUMIFS('Ex Rates'!I:I,'Ex Rates'!K:K,'Weekly Closed Proposal Requests'!L752,'Ex Rates'!G:G,'Weekly Closed Proposal Requests'!D752))</f>
        <v>1</v>
      </c>
      <c r="K752" s="13">
        <f t="shared" si="12"/>
        <v>250000</v>
      </c>
      <c r="L752" s="13" t="str">
        <f>_xlfn.XLOOKUP(I752,'Wk no''s'!C:C,'Wk no''s'!E:E,0)</f>
        <v>Jun</v>
      </c>
    </row>
    <row r="753" spans="1:12" x14ac:dyDescent="0.25">
      <c r="A753" s="70">
        <v>45824</v>
      </c>
      <c r="B753" s="71" t="s">
        <v>1228</v>
      </c>
      <c r="C753" s="71" t="s">
        <v>1267</v>
      </c>
      <c r="D753" s="71" t="s">
        <v>15</v>
      </c>
      <c r="E753" s="71">
        <v>200000</v>
      </c>
      <c r="F753" s="70">
        <v>45835</v>
      </c>
      <c r="G753" s="71" t="s">
        <v>16</v>
      </c>
      <c r="H753" s="71" t="s">
        <v>19</v>
      </c>
      <c r="I753" s="13">
        <f>_xlfn.XLOOKUP(F753,'Wk no''s'!B:B,'Wk no''s'!C:C,FALSE)</f>
        <v>26</v>
      </c>
      <c r="J753" s="13">
        <f>IF(D753="GBP",1,SUMIFS('Ex Rates'!I:I,'Ex Rates'!K:K,'Weekly Closed Proposal Requests'!L753,'Ex Rates'!G:G,'Weekly Closed Proposal Requests'!D753))</f>
        <v>1</v>
      </c>
      <c r="K753" s="13">
        <f t="shared" si="12"/>
        <v>200000</v>
      </c>
      <c r="L753" s="13" t="str">
        <f>_xlfn.XLOOKUP(I753,'Wk no''s'!C:C,'Wk no''s'!E:E,0)</f>
        <v>Jun</v>
      </c>
    </row>
    <row r="754" spans="1:12" x14ac:dyDescent="0.25">
      <c r="A754" s="70">
        <v>45825</v>
      </c>
      <c r="B754" s="71" t="s">
        <v>1237</v>
      </c>
      <c r="C754" s="71" t="s">
        <v>1268</v>
      </c>
      <c r="D754" s="71" t="s">
        <v>15</v>
      </c>
      <c r="E754" s="71">
        <v>20000</v>
      </c>
      <c r="F754" s="70">
        <v>45833</v>
      </c>
      <c r="G754" s="71" t="s">
        <v>16</v>
      </c>
      <c r="H754" s="71" t="s">
        <v>19</v>
      </c>
      <c r="I754" s="13">
        <f>_xlfn.XLOOKUP(F754,'Wk no''s'!B:B,'Wk no''s'!C:C,FALSE)</f>
        <v>26</v>
      </c>
      <c r="J754" s="13">
        <f>IF(D754="GBP",1,SUMIFS('Ex Rates'!I:I,'Ex Rates'!K:K,'Weekly Closed Proposal Requests'!L754,'Ex Rates'!G:G,'Weekly Closed Proposal Requests'!D754))</f>
        <v>1</v>
      </c>
      <c r="K754" s="13">
        <f t="shared" si="12"/>
        <v>20000</v>
      </c>
      <c r="L754" s="13" t="str">
        <f>_xlfn.XLOOKUP(I754,'Wk no''s'!C:C,'Wk no''s'!E:E,0)</f>
        <v>Jun</v>
      </c>
    </row>
    <row r="755" spans="1:12" x14ac:dyDescent="0.25">
      <c r="A755" s="70">
        <v>45825</v>
      </c>
      <c r="B755" s="71" t="s">
        <v>1229</v>
      </c>
      <c r="C755" s="71" t="s">
        <v>1269</v>
      </c>
      <c r="D755" s="71" t="s">
        <v>15</v>
      </c>
      <c r="E755" s="71">
        <v>20000</v>
      </c>
      <c r="F755" s="70">
        <v>45833</v>
      </c>
      <c r="G755" s="71" t="s">
        <v>16</v>
      </c>
      <c r="H755" s="71" t="s">
        <v>19</v>
      </c>
      <c r="I755" s="13">
        <f>_xlfn.XLOOKUP(F755,'Wk no''s'!B:B,'Wk no''s'!C:C,FALSE)</f>
        <v>26</v>
      </c>
      <c r="J755" s="13">
        <f>IF(D755="GBP",1,SUMIFS('Ex Rates'!I:I,'Ex Rates'!K:K,'Weekly Closed Proposal Requests'!L755,'Ex Rates'!G:G,'Weekly Closed Proposal Requests'!D755))</f>
        <v>1</v>
      </c>
      <c r="K755" s="13">
        <f t="shared" si="12"/>
        <v>20000</v>
      </c>
      <c r="L755" s="13" t="str">
        <f>_xlfn.XLOOKUP(I755,'Wk no''s'!C:C,'Wk no''s'!E:E,0)</f>
        <v>Jun</v>
      </c>
    </row>
    <row r="756" spans="1:12" x14ac:dyDescent="0.25">
      <c r="A756" s="70">
        <v>45826</v>
      </c>
      <c r="B756" s="71" t="s">
        <v>1238</v>
      </c>
      <c r="C756" s="71" t="s">
        <v>809</v>
      </c>
      <c r="D756" s="71" t="s">
        <v>15</v>
      </c>
      <c r="E756" s="71">
        <v>100000</v>
      </c>
      <c r="F756" s="70">
        <v>45831</v>
      </c>
      <c r="G756" s="71" t="s">
        <v>16</v>
      </c>
      <c r="H756" s="71" t="s">
        <v>19</v>
      </c>
      <c r="I756" s="13">
        <f>_xlfn.XLOOKUP(F756,'Wk no''s'!B:B,'Wk no''s'!C:C,FALSE)</f>
        <v>26</v>
      </c>
      <c r="J756" s="13">
        <f>IF(D756="GBP",1,SUMIFS('Ex Rates'!I:I,'Ex Rates'!K:K,'Weekly Closed Proposal Requests'!L756,'Ex Rates'!G:G,'Weekly Closed Proposal Requests'!D756))</f>
        <v>1</v>
      </c>
      <c r="K756" s="13">
        <f t="shared" si="12"/>
        <v>100000</v>
      </c>
      <c r="L756" s="13" t="str">
        <f>_xlfn.XLOOKUP(I756,'Wk no''s'!C:C,'Wk no''s'!E:E,0)</f>
        <v>Jun</v>
      </c>
    </row>
    <row r="757" spans="1:12" x14ac:dyDescent="0.25">
      <c r="A757" s="70">
        <v>45828</v>
      </c>
      <c r="B757" s="71" t="s">
        <v>1230</v>
      </c>
      <c r="C757" s="71" t="s">
        <v>1066</v>
      </c>
      <c r="D757" s="71" t="s">
        <v>15</v>
      </c>
      <c r="E757" s="71">
        <v>150000</v>
      </c>
      <c r="F757" s="70">
        <v>45834</v>
      </c>
      <c r="G757" s="71" t="s">
        <v>16</v>
      </c>
      <c r="H757" s="71" t="s">
        <v>19</v>
      </c>
      <c r="I757" s="13">
        <f>_xlfn.XLOOKUP(F757,'Wk no''s'!B:B,'Wk no''s'!C:C,FALSE)</f>
        <v>26</v>
      </c>
      <c r="J757" s="13">
        <f>IF(D757="GBP",1,SUMIFS('Ex Rates'!I:I,'Ex Rates'!K:K,'Weekly Closed Proposal Requests'!L757,'Ex Rates'!G:G,'Weekly Closed Proposal Requests'!D757))</f>
        <v>1</v>
      </c>
      <c r="K757" s="13">
        <f t="shared" si="12"/>
        <v>150000</v>
      </c>
      <c r="L757" s="13" t="str">
        <f>_xlfn.XLOOKUP(I757,'Wk no''s'!C:C,'Wk no''s'!E:E,0)</f>
        <v>Jun</v>
      </c>
    </row>
    <row r="758" spans="1:12" x14ac:dyDescent="0.25">
      <c r="A758" s="70">
        <v>45828</v>
      </c>
      <c r="B758" s="71" t="s">
        <v>1240</v>
      </c>
      <c r="C758" s="71" t="s">
        <v>843</v>
      </c>
      <c r="D758" s="71" t="s">
        <v>15</v>
      </c>
      <c r="E758" s="71">
        <v>200000</v>
      </c>
      <c r="F758" s="70">
        <v>45831</v>
      </c>
      <c r="G758" s="71" t="s">
        <v>16</v>
      </c>
      <c r="H758" s="71" t="s">
        <v>19</v>
      </c>
      <c r="I758" s="13">
        <f>_xlfn.XLOOKUP(F758,'Wk no''s'!B:B,'Wk no''s'!C:C,FALSE)</f>
        <v>26</v>
      </c>
      <c r="J758" s="13">
        <f>IF(D758="GBP",1,SUMIFS('Ex Rates'!I:I,'Ex Rates'!K:K,'Weekly Closed Proposal Requests'!L758,'Ex Rates'!G:G,'Weekly Closed Proposal Requests'!D758))</f>
        <v>1</v>
      </c>
      <c r="K758" s="13">
        <f t="shared" si="12"/>
        <v>200000</v>
      </c>
      <c r="L758" s="13" t="str">
        <f>_xlfn.XLOOKUP(I758,'Wk no''s'!C:C,'Wk no''s'!E:E,0)</f>
        <v>Jun</v>
      </c>
    </row>
    <row r="759" spans="1:12" x14ac:dyDescent="0.25">
      <c r="A759" s="70">
        <v>45828</v>
      </c>
      <c r="B759" s="71" t="s">
        <v>1231</v>
      </c>
      <c r="C759" s="71" t="s">
        <v>1270</v>
      </c>
      <c r="D759" s="71" t="s">
        <v>15</v>
      </c>
      <c r="E759" s="71">
        <v>1000</v>
      </c>
      <c r="F759" s="70">
        <v>45835</v>
      </c>
      <c r="G759" s="71" t="s">
        <v>16</v>
      </c>
      <c r="H759" s="71" t="s">
        <v>19</v>
      </c>
      <c r="I759" s="13">
        <f>_xlfn.XLOOKUP(F759,'Wk no''s'!B:B,'Wk no''s'!C:C,FALSE)</f>
        <v>26</v>
      </c>
      <c r="J759" s="13">
        <f>IF(D759="GBP",1,SUMIFS('Ex Rates'!I:I,'Ex Rates'!K:K,'Weekly Closed Proposal Requests'!L759,'Ex Rates'!G:G,'Weekly Closed Proposal Requests'!D759))</f>
        <v>1</v>
      </c>
      <c r="K759" s="13">
        <f t="shared" si="12"/>
        <v>1000</v>
      </c>
      <c r="L759" s="13" t="str">
        <f>_xlfn.XLOOKUP(I759,'Wk no''s'!C:C,'Wk no''s'!E:E,0)</f>
        <v>Jun</v>
      </c>
    </row>
    <row r="760" spans="1:12" x14ac:dyDescent="0.25">
      <c r="A760" s="70">
        <v>45831</v>
      </c>
      <c r="B760" s="71" t="s">
        <v>1241</v>
      </c>
      <c r="C760" s="71" t="s">
        <v>1271</v>
      </c>
      <c r="D760" s="71" t="s">
        <v>15</v>
      </c>
      <c r="E760" s="71">
        <v>10000</v>
      </c>
      <c r="F760" s="70">
        <v>45835</v>
      </c>
      <c r="G760" s="71" t="s">
        <v>16</v>
      </c>
      <c r="H760" s="71" t="s">
        <v>19</v>
      </c>
      <c r="I760" s="13">
        <f>_xlfn.XLOOKUP(F760,'Wk no''s'!B:B,'Wk no''s'!C:C,FALSE)</f>
        <v>26</v>
      </c>
      <c r="J760" s="13">
        <f>IF(D760="GBP",1,SUMIFS('Ex Rates'!I:I,'Ex Rates'!K:K,'Weekly Closed Proposal Requests'!L760,'Ex Rates'!G:G,'Weekly Closed Proposal Requests'!D760))</f>
        <v>1</v>
      </c>
      <c r="K760" s="13">
        <f t="shared" si="12"/>
        <v>10000</v>
      </c>
      <c r="L760" s="13" t="str">
        <f>_xlfn.XLOOKUP(I760,'Wk no''s'!C:C,'Wk no''s'!E:E,0)</f>
        <v>Jun</v>
      </c>
    </row>
    <row r="761" spans="1:12" x14ac:dyDescent="0.25">
      <c r="A761" s="70">
        <v>45813</v>
      </c>
      <c r="B761" s="71" t="s">
        <v>1243</v>
      </c>
      <c r="C761" s="71" t="s">
        <v>1272</v>
      </c>
      <c r="D761" s="71" t="s">
        <v>46</v>
      </c>
      <c r="E761" s="71">
        <v>45000</v>
      </c>
      <c r="F761" s="70">
        <v>45832</v>
      </c>
      <c r="G761" s="71" t="s">
        <v>47</v>
      </c>
      <c r="H761" s="71" t="s">
        <v>19</v>
      </c>
      <c r="I761" s="13">
        <f>_xlfn.XLOOKUP(F761,'Wk no''s'!B:B,'Wk no''s'!C:C,FALSE)</f>
        <v>26</v>
      </c>
      <c r="J761" s="13">
        <f>IF(D761="GBP",1,SUMIFS('Ex Rates'!I:I,'Ex Rates'!K:K,'Weekly Closed Proposal Requests'!L761,'Ex Rates'!G:G,'Weekly Closed Proposal Requests'!D761))</f>
        <v>0.74239049740163332</v>
      </c>
      <c r="K761" s="13">
        <f t="shared" si="12"/>
        <v>33407.572383073501</v>
      </c>
      <c r="L761" s="13" t="str">
        <f>_xlfn.XLOOKUP(I761,'Wk no''s'!C:C,'Wk no''s'!E:E,0)</f>
        <v>Jun</v>
      </c>
    </row>
    <row r="762" spans="1:12" x14ac:dyDescent="0.25">
      <c r="A762" s="70">
        <v>45825</v>
      </c>
      <c r="B762" s="71" t="s">
        <v>1242</v>
      </c>
      <c r="C762" s="71" t="s">
        <v>1511</v>
      </c>
      <c r="D762" s="71" t="s">
        <v>46</v>
      </c>
      <c r="E762" s="71">
        <v>100000</v>
      </c>
      <c r="F762" s="70">
        <v>45833</v>
      </c>
      <c r="G762" s="71" t="s">
        <v>47</v>
      </c>
      <c r="H762" s="71" t="s">
        <v>19</v>
      </c>
      <c r="I762" s="13">
        <f>_xlfn.XLOOKUP(F762,'Wk no''s'!B:B,'Wk no''s'!C:C,FALSE)</f>
        <v>26</v>
      </c>
      <c r="J762" s="13">
        <f>IF(D762="GBP",1,SUMIFS('Ex Rates'!I:I,'Ex Rates'!K:K,'Weekly Closed Proposal Requests'!L762,'Ex Rates'!G:G,'Weekly Closed Proposal Requests'!D762))</f>
        <v>0.74239049740163332</v>
      </c>
      <c r="K762" s="13">
        <f t="shared" si="12"/>
        <v>74239.049740163333</v>
      </c>
      <c r="L762" s="13" t="str">
        <f>_xlfn.XLOOKUP(I762,'Wk no''s'!C:C,'Wk no''s'!E:E,0)</f>
        <v>Jun</v>
      </c>
    </row>
    <row r="763" spans="1:12" x14ac:dyDescent="0.25">
      <c r="A763" s="70">
        <v>45818</v>
      </c>
      <c r="B763" s="71" t="s">
        <v>1244</v>
      </c>
      <c r="C763" s="71" t="s">
        <v>1274</v>
      </c>
      <c r="D763" s="71" t="s">
        <v>46</v>
      </c>
      <c r="E763" s="71">
        <v>118000</v>
      </c>
      <c r="F763" s="70">
        <v>45832</v>
      </c>
      <c r="G763" s="71" t="s">
        <v>47</v>
      </c>
      <c r="H763" s="71" t="s">
        <v>50</v>
      </c>
      <c r="I763" s="13">
        <f>_xlfn.XLOOKUP(F763,'Wk no''s'!B:B,'Wk no''s'!C:C,FALSE)</f>
        <v>26</v>
      </c>
      <c r="J763" s="13">
        <f>IF(D763="GBP",1,SUMIFS('Ex Rates'!I:I,'Ex Rates'!K:K,'Weekly Closed Proposal Requests'!L763,'Ex Rates'!G:G,'Weekly Closed Proposal Requests'!D763))</f>
        <v>0.74239049740163332</v>
      </c>
      <c r="K763" s="13">
        <f t="shared" si="12"/>
        <v>87602.07869339273</v>
      </c>
      <c r="L763" s="13" t="str">
        <f>_xlfn.XLOOKUP(I763,'Wk no''s'!C:C,'Wk no''s'!E:E,0)</f>
        <v>Jun</v>
      </c>
    </row>
    <row r="764" spans="1:12" x14ac:dyDescent="0.25">
      <c r="A764" s="70">
        <v>45821</v>
      </c>
      <c r="B764" s="71" t="s">
        <v>1245</v>
      </c>
      <c r="C764" s="71" t="s">
        <v>615</v>
      </c>
      <c r="D764" s="71" t="s">
        <v>15</v>
      </c>
      <c r="E764" s="71">
        <v>4364711</v>
      </c>
      <c r="F764" s="70">
        <v>45832</v>
      </c>
      <c r="G764" s="71" t="s">
        <v>47</v>
      </c>
      <c r="H764" s="71" t="s">
        <v>50</v>
      </c>
      <c r="I764" s="13">
        <f>_xlfn.XLOOKUP(F764,'Wk no''s'!B:B,'Wk no''s'!C:C,FALSE)</f>
        <v>26</v>
      </c>
      <c r="J764" s="13">
        <f>IF(D764="GBP",1,SUMIFS('Ex Rates'!I:I,'Ex Rates'!K:K,'Weekly Closed Proposal Requests'!L764,'Ex Rates'!G:G,'Weekly Closed Proposal Requests'!D764))</f>
        <v>1</v>
      </c>
      <c r="K764" s="13">
        <f t="shared" si="12"/>
        <v>4364711</v>
      </c>
      <c r="L764" s="13" t="str">
        <f>_xlfn.XLOOKUP(I764,'Wk no''s'!C:C,'Wk no''s'!E:E,0)</f>
        <v>Jun</v>
      </c>
    </row>
    <row r="765" spans="1:12" x14ac:dyDescent="0.25">
      <c r="A765" s="70">
        <v>45825</v>
      </c>
      <c r="B765" s="71" t="s">
        <v>1246</v>
      </c>
      <c r="C765" s="71" t="s">
        <v>1275</v>
      </c>
      <c r="D765" s="71" t="s">
        <v>15</v>
      </c>
      <c r="E765" s="71">
        <v>44173</v>
      </c>
      <c r="F765" s="70">
        <v>45832</v>
      </c>
      <c r="G765" s="71" t="s">
        <v>47</v>
      </c>
      <c r="H765" s="71" t="s">
        <v>50</v>
      </c>
      <c r="I765" s="13">
        <f>_xlfn.XLOOKUP(F765,'Wk no''s'!B:B,'Wk no''s'!C:C,FALSE)</f>
        <v>26</v>
      </c>
      <c r="J765" s="13">
        <f>IF(D765="GBP",1,SUMIFS('Ex Rates'!I:I,'Ex Rates'!K:K,'Weekly Closed Proposal Requests'!L765,'Ex Rates'!G:G,'Weekly Closed Proposal Requests'!D765))</f>
        <v>1</v>
      </c>
      <c r="K765" s="13">
        <f t="shared" si="12"/>
        <v>44173</v>
      </c>
      <c r="L765" s="13" t="str">
        <f>_xlfn.XLOOKUP(I765,'Wk no''s'!C:C,'Wk no''s'!E:E,0)</f>
        <v>Jun</v>
      </c>
    </row>
    <row r="766" spans="1:12" x14ac:dyDescent="0.25">
      <c r="A766" s="70">
        <v>45826</v>
      </c>
      <c r="B766" s="71" t="s">
        <v>1247</v>
      </c>
      <c r="C766" s="71" t="s">
        <v>1187</v>
      </c>
      <c r="D766" s="71" t="s">
        <v>15</v>
      </c>
      <c r="E766" s="71">
        <v>31000</v>
      </c>
      <c r="F766" s="70">
        <v>45833</v>
      </c>
      <c r="G766" s="71" t="s">
        <v>47</v>
      </c>
      <c r="H766" s="71" t="s">
        <v>50</v>
      </c>
      <c r="I766" s="13">
        <f>_xlfn.XLOOKUP(F766,'Wk no''s'!B:B,'Wk no''s'!C:C,FALSE)</f>
        <v>26</v>
      </c>
      <c r="J766" s="13">
        <f>IF(D766="GBP",1,SUMIFS('Ex Rates'!I:I,'Ex Rates'!K:K,'Weekly Closed Proposal Requests'!L766,'Ex Rates'!G:G,'Weekly Closed Proposal Requests'!D766))</f>
        <v>1</v>
      </c>
      <c r="K766" s="13">
        <f t="shared" si="12"/>
        <v>31000</v>
      </c>
      <c r="L766" s="13" t="str">
        <f>_xlfn.XLOOKUP(I766,'Wk no''s'!C:C,'Wk no''s'!E:E,0)</f>
        <v>Jun</v>
      </c>
    </row>
    <row r="767" spans="1:12" x14ac:dyDescent="0.25">
      <c r="A767" s="70">
        <v>45827</v>
      </c>
      <c r="B767" s="71" t="s">
        <v>1248</v>
      </c>
      <c r="C767" s="71" t="s">
        <v>515</v>
      </c>
      <c r="D767" s="71" t="s">
        <v>15</v>
      </c>
      <c r="E767" s="71">
        <v>10767</v>
      </c>
      <c r="F767" s="70">
        <v>45835</v>
      </c>
      <c r="G767" s="71" t="s">
        <v>47</v>
      </c>
      <c r="H767" s="71" t="s">
        <v>50</v>
      </c>
      <c r="I767" s="13">
        <f>_xlfn.XLOOKUP(F767,'Wk no''s'!B:B,'Wk no''s'!C:C,FALSE)</f>
        <v>26</v>
      </c>
      <c r="J767" s="13">
        <f>IF(D767="GBP",1,SUMIFS('Ex Rates'!I:I,'Ex Rates'!K:K,'Weekly Closed Proposal Requests'!L767,'Ex Rates'!G:G,'Weekly Closed Proposal Requests'!D767))</f>
        <v>1</v>
      </c>
      <c r="K767" s="13">
        <f t="shared" si="12"/>
        <v>10767</v>
      </c>
      <c r="L767" s="13" t="str">
        <f>_xlfn.XLOOKUP(I767,'Wk no''s'!C:C,'Wk no''s'!E:E,0)</f>
        <v>Jun</v>
      </c>
    </row>
    <row r="768" spans="1:12" x14ac:dyDescent="0.25">
      <c r="A768" s="70">
        <v>45827</v>
      </c>
      <c r="B768" s="71" t="s">
        <v>1252</v>
      </c>
      <c r="C768" s="71" t="s">
        <v>1276</v>
      </c>
      <c r="D768" s="71" t="s">
        <v>10</v>
      </c>
      <c r="E768" s="71">
        <v>50000</v>
      </c>
      <c r="F768" s="70">
        <v>45832</v>
      </c>
      <c r="G768" s="71" t="s">
        <v>11</v>
      </c>
      <c r="H768" s="71" t="s">
        <v>12</v>
      </c>
      <c r="I768" s="13">
        <f>_xlfn.XLOOKUP(F768,'Wk no''s'!B:B,'Wk no''s'!C:C,FALSE)</f>
        <v>26</v>
      </c>
      <c r="J768" s="13">
        <f>IF(D768="GBP",1,SUMIFS('Ex Rates'!I:I,'Ex Rates'!K:K,'Weekly Closed Proposal Requests'!L768,'Ex Rates'!G:G,'Weekly Closed Proposal Requests'!D768))</f>
        <v>0.47755491881566381</v>
      </c>
      <c r="K768" s="13">
        <f t="shared" si="12"/>
        <v>23877.745940783192</v>
      </c>
      <c r="L768" s="13" t="str">
        <f>_xlfn.XLOOKUP(I768,'Wk no''s'!C:C,'Wk no''s'!E:E,0)</f>
        <v>Jun</v>
      </c>
    </row>
    <row r="769" spans="1:12" x14ac:dyDescent="0.25">
      <c r="A769" s="70">
        <v>45831</v>
      </c>
      <c r="B769" s="71" t="s">
        <v>1254</v>
      </c>
      <c r="C769" s="71" t="s">
        <v>1277</v>
      </c>
      <c r="D769" s="71" t="s">
        <v>10</v>
      </c>
      <c r="E769" s="71">
        <v>142999.6</v>
      </c>
      <c r="F769" s="70">
        <v>45831</v>
      </c>
      <c r="G769" s="71" t="s">
        <v>11</v>
      </c>
      <c r="H769" s="71" t="s">
        <v>12</v>
      </c>
      <c r="I769" s="13">
        <f>_xlfn.XLOOKUP(F769,'Wk no''s'!B:B,'Wk no''s'!C:C,FALSE)</f>
        <v>26</v>
      </c>
      <c r="J769" s="13">
        <f>IF(D769="GBP",1,SUMIFS('Ex Rates'!I:I,'Ex Rates'!K:K,'Weekly Closed Proposal Requests'!L769,'Ex Rates'!G:G,'Weekly Closed Proposal Requests'!D769))</f>
        <v>0.47755491881566381</v>
      </c>
      <c r="K769" s="13">
        <f t="shared" si="12"/>
        <v>68290.162368672405</v>
      </c>
      <c r="L769" s="13" t="str">
        <f>_xlfn.XLOOKUP(I769,'Wk no''s'!C:C,'Wk no''s'!E:E,0)</f>
        <v>Jun</v>
      </c>
    </row>
    <row r="770" spans="1:12" x14ac:dyDescent="0.25">
      <c r="A770" s="70">
        <v>45833</v>
      </c>
      <c r="B770" s="71" t="s">
        <v>1257</v>
      </c>
      <c r="C770" s="71" t="s">
        <v>344</v>
      </c>
      <c r="D770" s="71" t="s">
        <v>10</v>
      </c>
      <c r="E770" s="71">
        <v>100000</v>
      </c>
      <c r="F770" s="70">
        <v>45833</v>
      </c>
      <c r="G770" s="71" t="s">
        <v>11</v>
      </c>
      <c r="H770" s="71" t="s">
        <v>12</v>
      </c>
      <c r="I770" s="13">
        <f>_xlfn.XLOOKUP(F770,'Wk no''s'!B:B,'Wk no''s'!C:C,FALSE)</f>
        <v>26</v>
      </c>
      <c r="J770" s="13">
        <f>IF(D770="GBP",1,SUMIFS('Ex Rates'!I:I,'Ex Rates'!K:K,'Weekly Closed Proposal Requests'!L770,'Ex Rates'!G:G,'Weekly Closed Proposal Requests'!D770))</f>
        <v>0.47755491881566381</v>
      </c>
      <c r="K770" s="13">
        <f t="shared" si="12"/>
        <v>47755.491881566384</v>
      </c>
      <c r="L770" s="13" t="str">
        <f>_xlfn.XLOOKUP(I770,'Wk no''s'!C:C,'Wk no''s'!E:E,0)</f>
        <v>Jun</v>
      </c>
    </row>
    <row r="771" spans="1:12" x14ac:dyDescent="0.25">
      <c r="A771" s="70">
        <v>45790</v>
      </c>
      <c r="B771" s="71" t="s">
        <v>1251</v>
      </c>
      <c r="C771" s="71" t="s">
        <v>872</v>
      </c>
      <c r="D771" s="71" t="s">
        <v>10</v>
      </c>
      <c r="E771" s="71">
        <v>30000</v>
      </c>
      <c r="F771" s="70">
        <v>45834</v>
      </c>
      <c r="G771" s="71" t="s">
        <v>11</v>
      </c>
      <c r="H771" s="71" t="s">
        <v>50</v>
      </c>
      <c r="I771" s="13">
        <f>_xlfn.XLOOKUP(F771,'Wk no''s'!B:B,'Wk no''s'!C:C,FALSE)</f>
        <v>26</v>
      </c>
      <c r="J771" s="13">
        <f>IF(D771="GBP",1,SUMIFS('Ex Rates'!I:I,'Ex Rates'!K:K,'Weekly Closed Proposal Requests'!L771,'Ex Rates'!G:G,'Weekly Closed Proposal Requests'!D771))</f>
        <v>0.47755491881566381</v>
      </c>
      <c r="K771" s="13">
        <f t="shared" si="12"/>
        <v>14326.647564469915</v>
      </c>
      <c r="L771" s="13" t="str">
        <f>_xlfn.XLOOKUP(I771,'Wk no''s'!C:C,'Wk no''s'!E:E,0)</f>
        <v>Jun</v>
      </c>
    </row>
    <row r="772" spans="1:12" x14ac:dyDescent="0.25">
      <c r="A772" s="70">
        <v>45824</v>
      </c>
      <c r="B772" s="71" t="s">
        <v>1249</v>
      </c>
      <c r="C772" s="71" t="s">
        <v>828</v>
      </c>
      <c r="D772" s="71" t="s">
        <v>10</v>
      </c>
      <c r="E772" s="71">
        <v>150000</v>
      </c>
      <c r="F772" s="70">
        <v>45831</v>
      </c>
      <c r="G772" s="71" t="s">
        <v>11</v>
      </c>
      <c r="H772" s="71" t="s">
        <v>50</v>
      </c>
      <c r="I772" s="13">
        <f>_xlfn.XLOOKUP(F772,'Wk no''s'!B:B,'Wk no''s'!C:C,FALSE)</f>
        <v>26</v>
      </c>
      <c r="J772" s="13">
        <f>IF(D772="GBP",1,SUMIFS('Ex Rates'!I:I,'Ex Rates'!K:K,'Weekly Closed Proposal Requests'!L772,'Ex Rates'!G:G,'Weekly Closed Proposal Requests'!D772))</f>
        <v>0.47755491881566381</v>
      </c>
      <c r="K772" s="13">
        <f t="shared" si="12"/>
        <v>71633.237822349576</v>
      </c>
      <c r="L772" s="13" t="str">
        <f>_xlfn.XLOOKUP(I772,'Wk no''s'!C:C,'Wk no''s'!E:E,0)</f>
        <v>Jun</v>
      </c>
    </row>
    <row r="773" spans="1:12" x14ac:dyDescent="0.25">
      <c r="A773" s="70">
        <v>45830</v>
      </c>
      <c r="B773" s="71" t="s">
        <v>1253</v>
      </c>
      <c r="C773" s="71" t="s">
        <v>179</v>
      </c>
      <c r="D773" s="71" t="s">
        <v>10</v>
      </c>
      <c r="E773" s="71">
        <v>1000000</v>
      </c>
      <c r="F773" s="70">
        <v>45831</v>
      </c>
      <c r="G773" s="71" t="s">
        <v>11</v>
      </c>
      <c r="H773" s="71" t="s">
        <v>50</v>
      </c>
      <c r="I773" s="13">
        <f>_xlfn.XLOOKUP(F773,'Wk no''s'!B:B,'Wk no''s'!C:C,FALSE)</f>
        <v>26</v>
      </c>
      <c r="J773" s="13">
        <f>IF(D773="GBP",1,SUMIFS('Ex Rates'!I:I,'Ex Rates'!K:K,'Weekly Closed Proposal Requests'!L773,'Ex Rates'!G:G,'Weekly Closed Proposal Requests'!D773))</f>
        <v>0.47755491881566381</v>
      </c>
      <c r="K773" s="13">
        <f t="shared" si="12"/>
        <v>477554.91881566378</v>
      </c>
      <c r="L773" s="13" t="str">
        <f>_xlfn.XLOOKUP(I773,'Wk no''s'!C:C,'Wk no''s'!E:E,0)</f>
        <v>Jun</v>
      </c>
    </row>
    <row r="774" spans="1:12" x14ac:dyDescent="0.25">
      <c r="A774" s="70">
        <v>45831</v>
      </c>
      <c r="B774" s="71" t="s">
        <v>1250</v>
      </c>
      <c r="C774" s="71" t="s">
        <v>828</v>
      </c>
      <c r="D774" s="71" t="s">
        <v>10</v>
      </c>
      <c r="E774" s="71">
        <v>150000</v>
      </c>
      <c r="F774" s="70">
        <v>45833</v>
      </c>
      <c r="G774" s="71" t="s">
        <v>11</v>
      </c>
      <c r="H774" s="71" t="s">
        <v>50</v>
      </c>
      <c r="I774" s="13">
        <f>_xlfn.XLOOKUP(F774,'Wk no''s'!B:B,'Wk no''s'!C:C,FALSE)</f>
        <v>26</v>
      </c>
      <c r="J774" s="13">
        <f>IF(D774="GBP",1,SUMIFS('Ex Rates'!I:I,'Ex Rates'!K:K,'Weekly Closed Proposal Requests'!L774,'Ex Rates'!G:G,'Weekly Closed Proposal Requests'!D774))</f>
        <v>0.47755491881566381</v>
      </c>
      <c r="K774" s="13">
        <f t="shared" si="12"/>
        <v>71633.237822349576</v>
      </c>
      <c r="L774" s="13" t="str">
        <f>_xlfn.XLOOKUP(I774,'Wk no''s'!C:C,'Wk no''s'!E:E,0)</f>
        <v>Jun</v>
      </c>
    </row>
    <row r="775" spans="1:12" x14ac:dyDescent="0.25">
      <c r="A775" s="70">
        <v>45831</v>
      </c>
      <c r="B775" s="71" t="s">
        <v>1255</v>
      </c>
      <c r="C775" s="71" t="s">
        <v>179</v>
      </c>
      <c r="D775" s="71" t="s">
        <v>10</v>
      </c>
      <c r="E775" s="71">
        <v>1000000</v>
      </c>
      <c r="F775" s="70">
        <v>45834</v>
      </c>
      <c r="G775" s="71" t="s">
        <v>11</v>
      </c>
      <c r="H775" s="71" t="s">
        <v>50</v>
      </c>
      <c r="I775" s="13">
        <f>_xlfn.XLOOKUP(F775,'Wk no''s'!B:B,'Wk no''s'!C:C,FALSE)</f>
        <v>26</v>
      </c>
      <c r="J775" s="13">
        <f>IF(D775="GBP",1,SUMIFS('Ex Rates'!I:I,'Ex Rates'!K:K,'Weekly Closed Proposal Requests'!L775,'Ex Rates'!G:G,'Weekly Closed Proposal Requests'!D775))</f>
        <v>0.47755491881566381</v>
      </c>
      <c r="K775" s="13">
        <f t="shared" si="12"/>
        <v>477554.91881566378</v>
      </c>
      <c r="L775" s="13" t="str">
        <f>_xlfn.XLOOKUP(I775,'Wk no''s'!C:C,'Wk no''s'!E:E,0)</f>
        <v>Jun</v>
      </c>
    </row>
    <row r="776" spans="1:12" x14ac:dyDescent="0.25">
      <c r="A776" s="70">
        <v>45833</v>
      </c>
      <c r="B776" s="71" t="s">
        <v>1256</v>
      </c>
      <c r="C776" s="71" t="s">
        <v>621</v>
      </c>
      <c r="D776" s="71" t="s">
        <v>10</v>
      </c>
      <c r="E776" s="71">
        <v>180000</v>
      </c>
      <c r="F776" s="70">
        <v>45833</v>
      </c>
      <c r="G776" s="71" t="s">
        <v>11</v>
      </c>
      <c r="H776" s="71" t="s">
        <v>50</v>
      </c>
      <c r="I776" s="13">
        <f>_xlfn.XLOOKUP(F776,'Wk no''s'!B:B,'Wk no''s'!C:C,FALSE)</f>
        <v>26</v>
      </c>
      <c r="J776" s="13">
        <f>IF(D776="GBP",1,SUMIFS('Ex Rates'!I:I,'Ex Rates'!K:K,'Weekly Closed Proposal Requests'!L776,'Ex Rates'!G:G,'Weekly Closed Proposal Requests'!D776))</f>
        <v>0.47755491881566381</v>
      </c>
      <c r="K776" s="13">
        <f t="shared" si="12"/>
        <v>85959.885386819486</v>
      </c>
      <c r="L776" s="13" t="str">
        <f>_xlfn.XLOOKUP(I776,'Wk no''s'!C:C,'Wk no''s'!E:E,0)</f>
        <v>Jun</v>
      </c>
    </row>
    <row r="777" spans="1:12" x14ac:dyDescent="0.25">
      <c r="A777" s="70">
        <v>45835</v>
      </c>
      <c r="B777" s="71" t="s">
        <v>1278</v>
      </c>
      <c r="C777" s="71" t="s">
        <v>1279</v>
      </c>
      <c r="D777" s="71" t="s">
        <v>10</v>
      </c>
      <c r="E777" s="71">
        <v>27000</v>
      </c>
      <c r="F777" s="70">
        <v>45837</v>
      </c>
      <c r="G777" s="71" t="s">
        <v>11</v>
      </c>
      <c r="H777" s="71" t="s">
        <v>50</v>
      </c>
      <c r="I777" s="13">
        <f>_xlfn.XLOOKUP(F777,'Wk no''s'!B:B,'Wk no''s'!C:C,FALSE)</f>
        <v>27</v>
      </c>
      <c r="J777" s="13">
        <f>IF(D777="GBP",1,SUMIFS('Ex Rates'!I:I,'Ex Rates'!K:K,'Weekly Closed Proposal Requests'!L777,'Ex Rates'!G:G,'Weekly Closed Proposal Requests'!D777))</f>
        <v>0.47755491881566381</v>
      </c>
      <c r="K777" s="13">
        <f t="shared" si="12"/>
        <v>12893.982808022924</v>
      </c>
      <c r="L777" s="13" t="str">
        <f>_xlfn.XLOOKUP(I777,'Wk no''s'!C:C,'Wk no''s'!E:E,0)</f>
        <v>Jun</v>
      </c>
    </row>
    <row r="778" spans="1:12" x14ac:dyDescent="0.25">
      <c r="A778" s="70">
        <v>45826</v>
      </c>
      <c r="B778" s="71" t="s">
        <v>1258</v>
      </c>
      <c r="C778" s="71" t="s">
        <v>136</v>
      </c>
      <c r="D778" s="71" t="s">
        <v>15</v>
      </c>
      <c r="E778" s="71">
        <v>100000</v>
      </c>
      <c r="F778" s="70">
        <v>45833</v>
      </c>
      <c r="G778" s="71" t="s">
        <v>72</v>
      </c>
      <c r="H778" s="71" t="s">
        <v>19</v>
      </c>
      <c r="I778" s="13">
        <f>_xlfn.XLOOKUP(F778,'Wk no''s'!B:B,'Wk no''s'!C:C,FALSE)</f>
        <v>26</v>
      </c>
      <c r="J778" s="13">
        <f>IF(D778="GBP",1,SUMIFS('Ex Rates'!I:I,'Ex Rates'!K:K,'Weekly Closed Proposal Requests'!L778,'Ex Rates'!G:G,'Weekly Closed Proposal Requests'!D778))</f>
        <v>1</v>
      </c>
      <c r="K778" s="13">
        <f t="shared" si="12"/>
        <v>100000</v>
      </c>
      <c r="L778" s="13" t="str">
        <f>_xlfn.XLOOKUP(I778,'Wk no''s'!C:C,'Wk no''s'!E:E,0)</f>
        <v>Jun</v>
      </c>
    </row>
    <row r="779" spans="1:12" x14ac:dyDescent="0.25">
      <c r="A779" s="70">
        <v>45826</v>
      </c>
      <c r="B779" s="71" t="s">
        <v>1259</v>
      </c>
      <c r="C779" s="71" t="s">
        <v>694</v>
      </c>
      <c r="D779" s="71" t="s">
        <v>15</v>
      </c>
      <c r="E779" s="71">
        <v>2000000</v>
      </c>
      <c r="F779" s="70">
        <v>45831</v>
      </c>
      <c r="G779" s="71" t="s">
        <v>72</v>
      </c>
      <c r="H779" s="71" t="s">
        <v>19</v>
      </c>
      <c r="I779" s="13">
        <f>_xlfn.XLOOKUP(F779,'Wk no''s'!B:B,'Wk no''s'!C:C,FALSE)</f>
        <v>26</v>
      </c>
      <c r="J779" s="13">
        <f>IF(D779="GBP",1,SUMIFS('Ex Rates'!I:I,'Ex Rates'!K:K,'Weekly Closed Proposal Requests'!L779,'Ex Rates'!G:G,'Weekly Closed Proposal Requests'!D779))</f>
        <v>1</v>
      </c>
      <c r="K779" s="13">
        <f t="shared" si="12"/>
        <v>2000000</v>
      </c>
      <c r="L779" s="13" t="str">
        <f>_xlfn.XLOOKUP(I779,'Wk no''s'!C:C,'Wk no''s'!E:E,0)</f>
        <v>Jun</v>
      </c>
    </row>
    <row r="780" spans="1:12" x14ac:dyDescent="0.25">
      <c r="A780" s="70">
        <v>45826</v>
      </c>
      <c r="B780" s="71" t="s">
        <v>1260</v>
      </c>
      <c r="C780" s="71" t="s">
        <v>138</v>
      </c>
      <c r="D780" s="71" t="s">
        <v>15</v>
      </c>
      <c r="E780" s="71">
        <v>19000000</v>
      </c>
      <c r="F780" s="70">
        <v>45831</v>
      </c>
      <c r="G780" s="71" t="s">
        <v>72</v>
      </c>
      <c r="H780" s="71" t="s">
        <v>19</v>
      </c>
      <c r="I780" s="13">
        <f>_xlfn.XLOOKUP(F780,'Wk no''s'!B:B,'Wk no''s'!C:C,FALSE)</f>
        <v>26</v>
      </c>
      <c r="J780" s="13">
        <f>IF(D780="GBP",1,SUMIFS('Ex Rates'!I:I,'Ex Rates'!K:K,'Weekly Closed Proposal Requests'!L780,'Ex Rates'!G:G,'Weekly Closed Proposal Requests'!D780))</f>
        <v>1</v>
      </c>
      <c r="K780" s="13">
        <f t="shared" si="12"/>
        <v>19000000</v>
      </c>
      <c r="L780" s="13" t="str">
        <f>_xlfn.XLOOKUP(I780,'Wk no''s'!C:C,'Wk no''s'!E:E,0)</f>
        <v>Jun</v>
      </c>
    </row>
    <row r="781" spans="1:12" x14ac:dyDescent="0.25">
      <c r="A781" s="70">
        <v>45828</v>
      </c>
      <c r="B781" s="71" t="s">
        <v>1261</v>
      </c>
      <c r="C781" s="71" t="s">
        <v>1462</v>
      </c>
      <c r="D781" s="71" t="s">
        <v>15</v>
      </c>
      <c r="E781" s="71">
        <v>10000</v>
      </c>
      <c r="F781" s="70">
        <v>45835</v>
      </c>
      <c r="G781" s="71" t="s">
        <v>72</v>
      </c>
      <c r="H781" s="71" t="s">
        <v>19</v>
      </c>
      <c r="I781" s="13">
        <f>_xlfn.XLOOKUP(F781,'Wk no''s'!B:B,'Wk no''s'!C:C,FALSE)</f>
        <v>26</v>
      </c>
      <c r="J781" s="13">
        <f>IF(D781="GBP",1,SUMIFS('Ex Rates'!I:I,'Ex Rates'!K:K,'Weekly Closed Proposal Requests'!L781,'Ex Rates'!G:G,'Weekly Closed Proposal Requests'!D781))</f>
        <v>1</v>
      </c>
      <c r="K781" s="13">
        <f t="shared" si="12"/>
        <v>10000</v>
      </c>
      <c r="L781" s="13" t="str">
        <f>_xlfn.XLOOKUP(I781,'Wk no''s'!C:C,'Wk no''s'!E:E,0)</f>
        <v>Jun</v>
      </c>
    </row>
    <row r="782" spans="1:12" x14ac:dyDescent="0.25">
      <c r="A782" s="1">
        <v>45833</v>
      </c>
      <c r="B782" t="s">
        <v>1280</v>
      </c>
      <c r="C782" t="s">
        <v>1281</v>
      </c>
      <c r="D782" t="s">
        <v>15</v>
      </c>
      <c r="E782">
        <v>65000</v>
      </c>
      <c r="F782" s="1">
        <v>45840</v>
      </c>
      <c r="G782" t="s">
        <v>16</v>
      </c>
      <c r="H782" t="s">
        <v>12</v>
      </c>
      <c r="I782" s="13">
        <f>_xlfn.XLOOKUP(F782,'Wk no''s'!B:B,'Wk no''s'!C:C,FALSE)</f>
        <v>27</v>
      </c>
      <c r="J782" s="13">
        <f>IF(D782="GBP",1,SUMIFS('Ex Rates'!I:I,'Ex Rates'!K:K,'Weekly Closed Proposal Requests'!L782,'Ex Rates'!G:G,'Weekly Closed Proposal Requests'!D782))</f>
        <v>1</v>
      </c>
      <c r="K782" s="13">
        <f t="shared" si="12"/>
        <v>65000</v>
      </c>
      <c r="L782" s="13" t="str">
        <f>_xlfn.XLOOKUP(I782,'Wk no''s'!C:C,'Wk no''s'!E:E,0)</f>
        <v>Jun</v>
      </c>
    </row>
    <row r="783" spans="1:12" x14ac:dyDescent="0.25">
      <c r="A783" s="1">
        <v>45841</v>
      </c>
      <c r="B783" t="s">
        <v>1282</v>
      </c>
      <c r="C783" t="s">
        <v>1281</v>
      </c>
      <c r="D783" t="s">
        <v>15</v>
      </c>
      <c r="E783">
        <v>65000</v>
      </c>
      <c r="F783" s="1">
        <v>45841</v>
      </c>
      <c r="G783" t="s">
        <v>16</v>
      </c>
      <c r="H783" t="s">
        <v>12</v>
      </c>
      <c r="I783" s="13">
        <f>_xlfn.XLOOKUP(F783,'Wk no''s'!B:B,'Wk no''s'!C:C,FALSE)</f>
        <v>27</v>
      </c>
      <c r="J783" s="13">
        <f>IF(D783="GBP",1,SUMIFS('Ex Rates'!I:I,'Ex Rates'!K:K,'Weekly Closed Proposal Requests'!L783,'Ex Rates'!G:G,'Weekly Closed Proposal Requests'!D783))</f>
        <v>1</v>
      </c>
      <c r="K783" s="13">
        <f t="shared" si="12"/>
        <v>65000</v>
      </c>
      <c r="L783" s="13" t="str">
        <f>_xlfn.XLOOKUP(I783,'Wk no''s'!C:C,'Wk no''s'!E:E,0)</f>
        <v>Jun</v>
      </c>
    </row>
    <row r="784" spans="1:12" x14ac:dyDescent="0.25">
      <c r="A784" s="1">
        <v>45825</v>
      </c>
      <c r="B784" t="s">
        <v>1285</v>
      </c>
      <c r="C784" t="s">
        <v>712</v>
      </c>
      <c r="D784" t="s">
        <v>15</v>
      </c>
      <c r="E784">
        <v>50000</v>
      </c>
      <c r="F784" s="1">
        <v>45839</v>
      </c>
      <c r="G784" t="s">
        <v>16</v>
      </c>
      <c r="H784" t="s">
        <v>19</v>
      </c>
      <c r="I784" s="13">
        <f>_xlfn.XLOOKUP(F784,'Wk no''s'!B:B,'Wk no''s'!C:C,FALSE)</f>
        <v>27</v>
      </c>
      <c r="J784" s="13">
        <f>IF(D784="GBP",1,SUMIFS('Ex Rates'!I:I,'Ex Rates'!K:K,'Weekly Closed Proposal Requests'!L784,'Ex Rates'!G:G,'Weekly Closed Proposal Requests'!D784))</f>
        <v>1</v>
      </c>
      <c r="K784" s="13">
        <f t="shared" si="12"/>
        <v>50000</v>
      </c>
      <c r="L784" s="13" t="str">
        <f>_xlfn.XLOOKUP(I784,'Wk no''s'!C:C,'Wk no''s'!E:E,0)</f>
        <v>Jun</v>
      </c>
    </row>
    <row r="785" spans="1:12" x14ac:dyDescent="0.25">
      <c r="A785" s="1">
        <v>45833</v>
      </c>
      <c r="B785" t="s">
        <v>1286</v>
      </c>
      <c r="C785" t="s">
        <v>1804</v>
      </c>
      <c r="D785" t="s">
        <v>15</v>
      </c>
      <c r="E785">
        <v>150000</v>
      </c>
      <c r="F785" s="1">
        <v>45841</v>
      </c>
      <c r="G785" t="s">
        <v>16</v>
      </c>
      <c r="H785" t="s">
        <v>19</v>
      </c>
      <c r="I785" s="13">
        <f>_xlfn.XLOOKUP(F785,'Wk no''s'!B:B,'Wk no''s'!C:C,FALSE)</f>
        <v>27</v>
      </c>
      <c r="J785" s="13">
        <f>IF(D785="GBP",1,SUMIFS('Ex Rates'!I:I,'Ex Rates'!K:K,'Weekly Closed Proposal Requests'!L785,'Ex Rates'!G:G,'Weekly Closed Proposal Requests'!D785))</f>
        <v>1</v>
      </c>
      <c r="K785" s="13">
        <f t="shared" si="12"/>
        <v>150000</v>
      </c>
      <c r="L785" s="13" t="str">
        <f>_xlfn.XLOOKUP(I785,'Wk no''s'!C:C,'Wk no''s'!E:E,0)</f>
        <v>Jun</v>
      </c>
    </row>
    <row r="786" spans="1:12" x14ac:dyDescent="0.25">
      <c r="A786" s="1">
        <v>45834</v>
      </c>
      <c r="B786" t="s">
        <v>1287</v>
      </c>
      <c r="C786" t="s">
        <v>1288</v>
      </c>
      <c r="D786" t="s">
        <v>15</v>
      </c>
      <c r="E786">
        <v>45000</v>
      </c>
      <c r="F786" s="1">
        <v>45842</v>
      </c>
      <c r="G786" t="s">
        <v>16</v>
      </c>
      <c r="H786" t="s">
        <v>19</v>
      </c>
      <c r="I786" s="13">
        <f>_xlfn.XLOOKUP(F786,'Wk no''s'!B:B,'Wk no''s'!C:C,FALSE)</f>
        <v>27</v>
      </c>
      <c r="J786" s="13">
        <f>IF(D786="GBP",1,SUMIFS('Ex Rates'!I:I,'Ex Rates'!K:K,'Weekly Closed Proposal Requests'!L786,'Ex Rates'!G:G,'Weekly Closed Proposal Requests'!D786))</f>
        <v>1</v>
      </c>
      <c r="K786" s="13">
        <f t="shared" si="12"/>
        <v>45000</v>
      </c>
      <c r="L786" s="13" t="str">
        <f>_xlfn.XLOOKUP(I786,'Wk no''s'!C:C,'Wk no''s'!E:E,0)</f>
        <v>Jun</v>
      </c>
    </row>
    <row r="787" spans="1:12" x14ac:dyDescent="0.25">
      <c r="A787" s="1">
        <v>45835</v>
      </c>
      <c r="B787" t="s">
        <v>1289</v>
      </c>
      <c r="C787" t="s">
        <v>1215</v>
      </c>
      <c r="D787" t="s">
        <v>15</v>
      </c>
      <c r="E787">
        <v>50000</v>
      </c>
      <c r="F787" s="1">
        <v>45840</v>
      </c>
      <c r="G787" t="s">
        <v>16</v>
      </c>
      <c r="H787" t="s">
        <v>19</v>
      </c>
      <c r="I787" s="13">
        <f>_xlfn.XLOOKUP(F787,'Wk no''s'!B:B,'Wk no''s'!C:C,FALSE)</f>
        <v>27</v>
      </c>
      <c r="J787" s="13">
        <f>IF(D787="GBP",1,SUMIFS('Ex Rates'!I:I,'Ex Rates'!K:K,'Weekly Closed Proposal Requests'!L787,'Ex Rates'!G:G,'Weekly Closed Proposal Requests'!D787))</f>
        <v>1</v>
      </c>
      <c r="K787" s="13">
        <f t="shared" si="12"/>
        <v>50000</v>
      </c>
      <c r="L787" s="13" t="str">
        <f>_xlfn.XLOOKUP(I787,'Wk no''s'!C:C,'Wk no''s'!E:E,0)</f>
        <v>Jun</v>
      </c>
    </row>
    <row r="788" spans="1:12" x14ac:dyDescent="0.25">
      <c r="A788" s="1">
        <v>45835</v>
      </c>
      <c r="B788" t="s">
        <v>1290</v>
      </c>
      <c r="C788" t="s">
        <v>1291</v>
      </c>
      <c r="D788" t="s">
        <v>15</v>
      </c>
      <c r="E788">
        <v>240000</v>
      </c>
      <c r="F788" s="1">
        <v>45842</v>
      </c>
      <c r="G788" t="s">
        <v>16</v>
      </c>
      <c r="H788" t="s">
        <v>19</v>
      </c>
      <c r="I788" s="13">
        <f>_xlfn.XLOOKUP(F788,'Wk no''s'!B:B,'Wk no''s'!C:C,FALSE)</f>
        <v>27</v>
      </c>
      <c r="J788" s="13">
        <f>IF(D788="GBP",1,SUMIFS('Ex Rates'!I:I,'Ex Rates'!K:K,'Weekly Closed Proposal Requests'!L788,'Ex Rates'!G:G,'Weekly Closed Proposal Requests'!D788))</f>
        <v>1</v>
      </c>
      <c r="K788" s="13">
        <f t="shared" si="12"/>
        <v>240000</v>
      </c>
      <c r="L788" s="13" t="str">
        <f>_xlfn.XLOOKUP(I788,'Wk no''s'!C:C,'Wk no''s'!E:E,0)</f>
        <v>Jun</v>
      </c>
    </row>
    <row r="789" spans="1:12" x14ac:dyDescent="0.25">
      <c r="A789" s="1">
        <v>45839</v>
      </c>
      <c r="B789" t="s">
        <v>1292</v>
      </c>
      <c r="C789" t="s">
        <v>1284</v>
      </c>
      <c r="D789" t="s">
        <v>15</v>
      </c>
      <c r="E789">
        <v>300000</v>
      </c>
      <c r="F789" s="1">
        <v>45841</v>
      </c>
      <c r="G789" t="s">
        <v>16</v>
      </c>
      <c r="H789" t="s">
        <v>19</v>
      </c>
      <c r="I789" s="13">
        <f>_xlfn.XLOOKUP(F789,'Wk no''s'!B:B,'Wk no''s'!C:C,FALSE)</f>
        <v>27</v>
      </c>
      <c r="J789" s="13">
        <f>IF(D789="GBP",1,SUMIFS('Ex Rates'!I:I,'Ex Rates'!K:K,'Weekly Closed Proposal Requests'!L789,'Ex Rates'!G:G,'Weekly Closed Proposal Requests'!D789))</f>
        <v>1</v>
      </c>
      <c r="K789" s="13">
        <f t="shared" si="12"/>
        <v>300000</v>
      </c>
      <c r="L789" s="13" t="str">
        <f>_xlfn.XLOOKUP(I789,'Wk no''s'!C:C,'Wk no''s'!E:E,0)</f>
        <v>Jun</v>
      </c>
    </row>
    <row r="790" spans="1:12" x14ac:dyDescent="0.25">
      <c r="A790" s="1">
        <v>45839</v>
      </c>
      <c r="B790" t="s">
        <v>1293</v>
      </c>
      <c r="C790" t="s">
        <v>1294</v>
      </c>
      <c r="D790" t="s">
        <v>15</v>
      </c>
      <c r="E790">
        <v>500000</v>
      </c>
      <c r="F790" s="1">
        <v>45842</v>
      </c>
      <c r="G790" t="s">
        <v>16</v>
      </c>
      <c r="H790" t="s">
        <v>19</v>
      </c>
      <c r="I790" s="13">
        <f>_xlfn.XLOOKUP(F790,'Wk no''s'!B:B,'Wk no''s'!C:C,FALSE)</f>
        <v>27</v>
      </c>
      <c r="J790" s="13">
        <f>IF(D790="GBP",1,SUMIFS('Ex Rates'!I:I,'Ex Rates'!K:K,'Weekly Closed Proposal Requests'!L790,'Ex Rates'!G:G,'Weekly Closed Proposal Requests'!D790))</f>
        <v>1</v>
      </c>
      <c r="K790" s="13">
        <f t="shared" si="12"/>
        <v>500000</v>
      </c>
      <c r="L790" s="13" t="str">
        <f>_xlfn.XLOOKUP(I790,'Wk no''s'!C:C,'Wk no''s'!E:E,0)</f>
        <v>Jun</v>
      </c>
    </row>
    <row r="791" spans="1:12" x14ac:dyDescent="0.25">
      <c r="A791" s="1">
        <v>45839</v>
      </c>
      <c r="B791" t="s">
        <v>1295</v>
      </c>
      <c r="C791" t="s">
        <v>1283</v>
      </c>
      <c r="D791" t="s">
        <v>15</v>
      </c>
      <c r="E791">
        <v>20000</v>
      </c>
      <c r="F791" s="1">
        <v>45842</v>
      </c>
      <c r="G791" t="s">
        <v>16</v>
      </c>
      <c r="H791" t="s">
        <v>19</v>
      </c>
      <c r="I791" s="13">
        <f>_xlfn.XLOOKUP(F791,'Wk no''s'!B:B,'Wk no''s'!C:C,FALSE)</f>
        <v>27</v>
      </c>
      <c r="J791" s="13">
        <f>IF(D791="GBP",1,SUMIFS('Ex Rates'!I:I,'Ex Rates'!K:K,'Weekly Closed Proposal Requests'!L791,'Ex Rates'!G:G,'Weekly Closed Proposal Requests'!D791))</f>
        <v>1</v>
      </c>
      <c r="K791" s="13">
        <f t="shared" ref="K791:K854" si="13">+E791*J791</f>
        <v>20000</v>
      </c>
      <c r="L791" s="13" t="str">
        <f>_xlfn.XLOOKUP(I791,'Wk no''s'!C:C,'Wk no''s'!E:E,0)</f>
        <v>Jun</v>
      </c>
    </row>
    <row r="792" spans="1:12" x14ac:dyDescent="0.25">
      <c r="A792" s="1">
        <v>45840</v>
      </c>
      <c r="B792" t="s">
        <v>1296</v>
      </c>
      <c r="C792" t="s">
        <v>304</v>
      </c>
      <c r="D792" t="s">
        <v>15</v>
      </c>
      <c r="E792">
        <v>40000</v>
      </c>
      <c r="F792" s="1">
        <v>45841</v>
      </c>
      <c r="G792" t="s">
        <v>16</v>
      </c>
      <c r="H792" t="s">
        <v>19</v>
      </c>
      <c r="I792" s="13">
        <f>_xlfn.XLOOKUP(F792,'Wk no''s'!B:B,'Wk no''s'!C:C,FALSE)</f>
        <v>27</v>
      </c>
      <c r="J792" s="13">
        <f>IF(D792="GBP",1,SUMIFS('Ex Rates'!I:I,'Ex Rates'!K:K,'Weekly Closed Proposal Requests'!L792,'Ex Rates'!G:G,'Weekly Closed Proposal Requests'!D792))</f>
        <v>1</v>
      </c>
      <c r="K792" s="13">
        <f t="shared" si="13"/>
        <v>40000</v>
      </c>
      <c r="L792" s="13" t="str">
        <f>_xlfn.XLOOKUP(I792,'Wk no''s'!C:C,'Wk no''s'!E:E,0)</f>
        <v>Jun</v>
      </c>
    </row>
    <row r="793" spans="1:12" x14ac:dyDescent="0.25">
      <c r="A793" s="1">
        <v>45834</v>
      </c>
      <c r="B793" t="s">
        <v>1297</v>
      </c>
      <c r="C793" t="s">
        <v>795</v>
      </c>
      <c r="D793" t="s">
        <v>15</v>
      </c>
      <c r="E793">
        <v>240000</v>
      </c>
      <c r="F793" s="1">
        <v>45841</v>
      </c>
      <c r="G793" t="s">
        <v>16</v>
      </c>
      <c r="H793" t="s">
        <v>50</v>
      </c>
      <c r="I793" s="13">
        <f>_xlfn.XLOOKUP(F793,'Wk no''s'!B:B,'Wk no''s'!C:C,FALSE)</f>
        <v>27</v>
      </c>
      <c r="J793" s="13">
        <f>IF(D793="GBP",1,SUMIFS('Ex Rates'!I:I,'Ex Rates'!K:K,'Weekly Closed Proposal Requests'!L793,'Ex Rates'!G:G,'Weekly Closed Proposal Requests'!D793))</f>
        <v>1</v>
      </c>
      <c r="K793" s="13">
        <f t="shared" si="13"/>
        <v>240000</v>
      </c>
      <c r="L793" s="13" t="str">
        <f>_xlfn.XLOOKUP(I793,'Wk no''s'!C:C,'Wk no''s'!E:E,0)</f>
        <v>Jun</v>
      </c>
    </row>
    <row r="794" spans="1:12" x14ac:dyDescent="0.25">
      <c r="A794" s="1">
        <v>45840</v>
      </c>
      <c r="B794" t="s">
        <v>1298</v>
      </c>
      <c r="C794" t="s">
        <v>1299</v>
      </c>
      <c r="D794" t="s">
        <v>15</v>
      </c>
      <c r="E794">
        <v>15000</v>
      </c>
      <c r="F794" s="1">
        <v>45841</v>
      </c>
      <c r="G794" t="s">
        <v>16</v>
      </c>
      <c r="H794" t="s">
        <v>50</v>
      </c>
      <c r="I794" s="13">
        <f>_xlfn.XLOOKUP(F794,'Wk no''s'!B:B,'Wk no''s'!C:C,FALSE)</f>
        <v>27</v>
      </c>
      <c r="J794" s="13">
        <f>IF(D794="GBP",1,SUMIFS('Ex Rates'!I:I,'Ex Rates'!K:K,'Weekly Closed Proposal Requests'!L794,'Ex Rates'!G:G,'Weekly Closed Proposal Requests'!D794))</f>
        <v>1</v>
      </c>
      <c r="K794" s="13">
        <f t="shared" si="13"/>
        <v>15000</v>
      </c>
      <c r="L794" s="13" t="str">
        <f>_xlfn.XLOOKUP(I794,'Wk no''s'!C:C,'Wk no''s'!E:E,0)</f>
        <v>Jun</v>
      </c>
    </row>
    <row r="795" spans="1:12" x14ac:dyDescent="0.25">
      <c r="A795" s="1">
        <v>45834</v>
      </c>
      <c r="B795" t="s">
        <v>1300</v>
      </c>
      <c r="C795" t="s">
        <v>1301</v>
      </c>
      <c r="D795" t="s">
        <v>40</v>
      </c>
      <c r="E795">
        <v>150000</v>
      </c>
      <c r="F795" s="1">
        <v>45839</v>
      </c>
      <c r="G795" t="s">
        <v>41</v>
      </c>
      <c r="H795" t="s">
        <v>19</v>
      </c>
      <c r="I795" s="13">
        <f>_xlfn.XLOOKUP(F795,'Wk no''s'!B:B,'Wk no''s'!C:C,FALSE)</f>
        <v>27</v>
      </c>
      <c r="J795" s="13">
        <f>IF(D795="GBP",1,SUMIFS('Ex Rates'!I:I,'Ex Rates'!K:K,'Weekly Closed Proposal Requests'!L795,'Ex Rates'!G:G,'Weekly Closed Proposal Requests'!D795))</f>
        <v>0.84245998315080028</v>
      </c>
      <c r="K795" s="13">
        <f t="shared" si="13"/>
        <v>126368.99747262005</v>
      </c>
      <c r="L795" s="13" t="str">
        <f>_xlfn.XLOOKUP(I795,'Wk no''s'!C:C,'Wk no''s'!E:E,0)</f>
        <v>Jun</v>
      </c>
    </row>
    <row r="796" spans="1:12" x14ac:dyDescent="0.25">
      <c r="A796" s="1">
        <v>45834</v>
      </c>
      <c r="B796" t="s">
        <v>1302</v>
      </c>
      <c r="C796" t="s">
        <v>1303</v>
      </c>
      <c r="D796" t="s">
        <v>15</v>
      </c>
      <c r="E796">
        <v>5000000</v>
      </c>
      <c r="F796" s="1">
        <v>45840</v>
      </c>
      <c r="G796" t="s">
        <v>47</v>
      </c>
      <c r="H796" t="s">
        <v>19</v>
      </c>
      <c r="I796" s="13">
        <f>_xlfn.XLOOKUP(F796,'Wk no''s'!B:B,'Wk no''s'!C:C,FALSE)</f>
        <v>27</v>
      </c>
      <c r="J796" s="13">
        <f>IF(D796="GBP",1,SUMIFS('Ex Rates'!I:I,'Ex Rates'!K:K,'Weekly Closed Proposal Requests'!L796,'Ex Rates'!G:G,'Weekly Closed Proposal Requests'!D796))</f>
        <v>1</v>
      </c>
      <c r="K796" s="13">
        <f t="shared" si="13"/>
        <v>5000000</v>
      </c>
      <c r="L796" s="13" t="str">
        <f>_xlfn.XLOOKUP(I796,'Wk no''s'!C:C,'Wk no''s'!E:E,0)</f>
        <v>Jun</v>
      </c>
    </row>
    <row r="797" spans="1:12" x14ac:dyDescent="0.25">
      <c r="A797" s="1">
        <v>45839</v>
      </c>
      <c r="B797" t="s">
        <v>1304</v>
      </c>
      <c r="C797" t="s">
        <v>1305</v>
      </c>
      <c r="D797" t="s">
        <v>46</v>
      </c>
      <c r="E797">
        <v>3000000</v>
      </c>
      <c r="F797" s="1">
        <v>45840</v>
      </c>
      <c r="G797" t="s">
        <v>47</v>
      </c>
      <c r="H797" t="s">
        <v>19</v>
      </c>
      <c r="I797" s="13">
        <f>_xlfn.XLOOKUP(F797,'Wk no''s'!B:B,'Wk no''s'!C:C,FALSE)</f>
        <v>27</v>
      </c>
      <c r="J797" s="13">
        <f>IF(D797="GBP",1,SUMIFS('Ex Rates'!I:I,'Ex Rates'!K:K,'Weekly Closed Proposal Requests'!L797,'Ex Rates'!G:G,'Weekly Closed Proposal Requests'!D797))</f>
        <v>0.74239049740163332</v>
      </c>
      <c r="K797" s="13">
        <f t="shared" si="13"/>
        <v>2227171.4922048999</v>
      </c>
      <c r="L797" s="13" t="str">
        <f>_xlfn.XLOOKUP(I797,'Wk no''s'!C:C,'Wk no''s'!E:E,0)</f>
        <v>Jun</v>
      </c>
    </row>
    <row r="798" spans="1:12" x14ac:dyDescent="0.25">
      <c r="A798" s="1">
        <v>45681</v>
      </c>
      <c r="B798" t="s">
        <v>1306</v>
      </c>
      <c r="C798" t="s">
        <v>1447</v>
      </c>
      <c r="D798" t="s">
        <v>46</v>
      </c>
      <c r="E798">
        <v>80000</v>
      </c>
      <c r="F798" s="1">
        <v>45839</v>
      </c>
      <c r="G798" t="s">
        <v>47</v>
      </c>
      <c r="H798" t="s">
        <v>50</v>
      </c>
      <c r="I798" s="13">
        <f>_xlfn.XLOOKUP(F798,'Wk no''s'!B:B,'Wk no''s'!C:C,FALSE)</f>
        <v>27</v>
      </c>
      <c r="J798" s="13">
        <f>IF(D798="GBP",1,SUMIFS('Ex Rates'!I:I,'Ex Rates'!K:K,'Weekly Closed Proposal Requests'!L798,'Ex Rates'!G:G,'Weekly Closed Proposal Requests'!D798))</f>
        <v>0.74239049740163332</v>
      </c>
      <c r="K798" s="13">
        <f t="shared" si="13"/>
        <v>59391.239792130669</v>
      </c>
      <c r="L798" s="13" t="str">
        <f>_xlfn.XLOOKUP(I798,'Wk no''s'!C:C,'Wk no''s'!E:E,0)</f>
        <v>Jun</v>
      </c>
    </row>
    <row r="799" spans="1:12" x14ac:dyDescent="0.25">
      <c r="A799" s="1">
        <v>45827</v>
      </c>
      <c r="B799" t="s">
        <v>1307</v>
      </c>
      <c r="C799" t="s">
        <v>859</v>
      </c>
      <c r="D799" t="s">
        <v>15</v>
      </c>
      <c r="E799">
        <v>20815.22</v>
      </c>
      <c r="F799" s="1">
        <v>45842</v>
      </c>
      <c r="G799" t="s">
        <v>47</v>
      </c>
      <c r="H799" t="s">
        <v>50</v>
      </c>
      <c r="I799" s="13">
        <f>_xlfn.XLOOKUP(F799,'Wk no''s'!B:B,'Wk no''s'!C:C,FALSE)</f>
        <v>27</v>
      </c>
      <c r="J799" s="13">
        <f>IF(D799="GBP",1,SUMIFS('Ex Rates'!I:I,'Ex Rates'!K:K,'Weekly Closed Proposal Requests'!L799,'Ex Rates'!G:G,'Weekly Closed Proposal Requests'!D799))</f>
        <v>1</v>
      </c>
      <c r="K799" s="13">
        <f t="shared" si="13"/>
        <v>20815.22</v>
      </c>
      <c r="L799" s="13" t="str">
        <f>_xlfn.XLOOKUP(I799,'Wk no''s'!C:C,'Wk no''s'!E:E,0)</f>
        <v>Jun</v>
      </c>
    </row>
    <row r="800" spans="1:12" x14ac:dyDescent="0.25">
      <c r="A800" s="1">
        <v>45831</v>
      </c>
      <c r="B800" t="s">
        <v>1308</v>
      </c>
      <c r="C800" t="s">
        <v>1309</v>
      </c>
      <c r="D800" t="s">
        <v>15</v>
      </c>
      <c r="E800">
        <v>31547</v>
      </c>
      <c r="F800" s="1">
        <v>45842</v>
      </c>
      <c r="G800" t="s">
        <v>47</v>
      </c>
      <c r="H800" t="s">
        <v>50</v>
      </c>
      <c r="I800" s="13">
        <f>_xlfn.XLOOKUP(F800,'Wk no''s'!B:B,'Wk no''s'!C:C,FALSE)</f>
        <v>27</v>
      </c>
      <c r="J800" s="13">
        <f>IF(D800="GBP",1,SUMIFS('Ex Rates'!I:I,'Ex Rates'!K:K,'Weekly Closed Proposal Requests'!L800,'Ex Rates'!G:G,'Weekly Closed Proposal Requests'!D800))</f>
        <v>1</v>
      </c>
      <c r="K800" s="13">
        <f t="shared" si="13"/>
        <v>31547</v>
      </c>
      <c r="L800" s="13" t="str">
        <f>_xlfn.XLOOKUP(I800,'Wk no''s'!C:C,'Wk no''s'!E:E,0)</f>
        <v>Jun</v>
      </c>
    </row>
    <row r="801" spans="1:12" x14ac:dyDescent="0.25">
      <c r="A801" s="1">
        <v>45832</v>
      </c>
      <c r="B801" t="s">
        <v>1310</v>
      </c>
      <c r="C801" t="s">
        <v>265</v>
      </c>
      <c r="D801" t="s">
        <v>46</v>
      </c>
      <c r="E801">
        <v>185000</v>
      </c>
      <c r="F801" s="1">
        <v>45840</v>
      </c>
      <c r="G801" t="s">
        <v>47</v>
      </c>
      <c r="H801" t="s">
        <v>50</v>
      </c>
      <c r="I801" s="13">
        <f>_xlfn.XLOOKUP(F801,'Wk no''s'!B:B,'Wk no''s'!C:C,FALSE)</f>
        <v>27</v>
      </c>
      <c r="J801" s="13">
        <f>IF(D801="GBP",1,SUMIFS('Ex Rates'!I:I,'Ex Rates'!K:K,'Weekly Closed Proposal Requests'!L801,'Ex Rates'!G:G,'Weekly Closed Proposal Requests'!D801))</f>
        <v>0.74239049740163332</v>
      </c>
      <c r="K801" s="13">
        <f t="shared" si="13"/>
        <v>137342.24201930215</v>
      </c>
      <c r="L801" s="13" t="str">
        <f>_xlfn.XLOOKUP(I801,'Wk no''s'!C:C,'Wk no''s'!E:E,0)</f>
        <v>Jun</v>
      </c>
    </row>
    <row r="802" spans="1:12" x14ac:dyDescent="0.25">
      <c r="A802" s="1">
        <v>45839</v>
      </c>
      <c r="B802" t="s">
        <v>1311</v>
      </c>
      <c r="C802" t="s">
        <v>1312</v>
      </c>
      <c r="D802" t="s">
        <v>10</v>
      </c>
      <c r="E802">
        <v>3000</v>
      </c>
      <c r="F802" s="1">
        <v>45839</v>
      </c>
      <c r="G802" t="s">
        <v>11</v>
      </c>
      <c r="H802" t="s">
        <v>12</v>
      </c>
      <c r="I802" s="13">
        <f>_xlfn.XLOOKUP(F802,'Wk no''s'!B:B,'Wk no''s'!C:C,FALSE)</f>
        <v>27</v>
      </c>
      <c r="J802" s="13">
        <f>IF(D802="GBP",1,SUMIFS('Ex Rates'!I:I,'Ex Rates'!K:K,'Weekly Closed Proposal Requests'!L802,'Ex Rates'!G:G,'Weekly Closed Proposal Requests'!D802))</f>
        <v>0.47755491881566381</v>
      </c>
      <c r="K802" s="13">
        <f t="shared" si="13"/>
        <v>1432.6647564469915</v>
      </c>
      <c r="L802" s="13" t="str">
        <f>_xlfn.XLOOKUP(I802,'Wk no''s'!C:C,'Wk no''s'!E:E,0)</f>
        <v>Jun</v>
      </c>
    </row>
    <row r="803" spans="1:12" x14ac:dyDescent="0.25">
      <c r="A803" s="1">
        <v>45835</v>
      </c>
      <c r="B803" t="s">
        <v>1313</v>
      </c>
      <c r="C803" t="s">
        <v>1314</v>
      </c>
      <c r="D803" t="s">
        <v>10</v>
      </c>
      <c r="E803">
        <v>288600</v>
      </c>
      <c r="F803" s="1">
        <v>45839</v>
      </c>
      <c r="G803" t="s">
        <v>11</v>
      </c>
      <c r="H803" t="s">
        <v>19</v>
      </c>
      <c r="I803" s="13">
        <f>_xlfn.XLOOKUP(F803,'Wk no''s'!B:B,'Wk no''s'!C:C,FALSE)</f>
        <v>27</v>
      </c>
      <c r="J803" s="13">
        <f>IF(D803="GBP",1,SUMIFS('Ex Rates'!I:I,'Ex Rates'!K:K,'Weekly Closed Proposal Requests'!L803,'Ex Rates'!G:G,'Weekly Closed Proposal Requests'!D803))</f>
        <v>0.47755491881566381</v>
      </c>
      <c r="K803" s="13">
        <f t="shared" si="13"/>
        <v>137822.34957020057</v>
      </c>
      <c r="L803" s="13" t="str">
        <f>_xlfn.XLOOKUP(I803,'Wk no''s'!C:C,'Wk no''s'!E:E,0)</f>
        <v>Jun</v>
      </c>
    </row>
    <row r="804" spans="1:12" x14ac:dyDescent="0.25">
      <c r="A804" s="1">
        <v>45840</v>
      </c>
      <c r="B804" t="s">
        <v>1315</v>
      </c>
      <c r="C804" t="s">
        <v>1316</v>
      </c>
      <c r="D804" t="s">
        <v>10</v>
      </c>
      <c r="E804">
        <v>40000</v>
      </c>
      <c r="F804" s="1">
        <v>45841</v>
      </c>
      <c r="G804" t="s">
        <v>11</v>
      </c>
      <c r="H804" t="s">
        <v>19</v>
      </c>
      <c r="I804" s="13">
        <f>_xlfn.XLOOKUP(F804,'Wk no''s'!B:B,'Wk no''s'!C:C,FALSE)</f>
        <v>27</v>
      </c>
      <c r="J804" s="13">
        <f>IF(D804="GBP",1,SUMIFS('Ex Rates'!I:I,'Ex Rates'!K:K,'Weekly Closed Proposal Requests'!L804,'Ex Rates'!G:G,'Weekly Closed Proposal Requests'!D804))</f>
        <v>0.47755491881566381</v>
      </c>
      <c r="K804" s="13">
        <f t="shared" si="13"/>
        <v>19102.196752626551</v>
      </c>
      <c r="L804" s="13" t="str">
        <f>_xlfn.XLOOKUP(I804,'Wk no''s'!C:C,'Wk no''s'!E:E,0)</f>
        <v>Jun</v>
      </c>
    </row>
    <row r="805" spans="1:12" x14ac:dyDescent="0.25">
      <c r="A805" s="1">
        <v>45832</v>
      </c>
      <c r="B805" t="s">
        <v>1317</v>
      </c>
      <c r="C805" t="s">
        <v>179</v>
      </c>
      <c r="D805" t="s">
        <v>15</v>
      </c>
      <c r="E805">
        <v>1000000</v>
      </c>
      <c r="F805" s="1">
        <v>45840</v>
      </c>
      <c r="G805" t="s">
        <v>11</v>
      </c>
      <c r="H805" t="s">
        <v>50</v>
      </c>
      <c r="I805" s="13">
        <f>_xlfn.XLOOKUP(F805,'Wk no''s'!B:B,'Wk no''s'!C:C,FALSE)</f>
        <v>27</v>
      </c>
      <c r="J805" s="13">
        <f>IF(D805="GBP",1,SUMIFS('Ex Rates'!I:I,'Ex Rates'!K:K,'Weekly Closed Proposal Requests'!L805,'Ex Rates'!G:G,'Weekly Closed Proposal Requests'!D805))</f>
        <v>1</v>
      </c>
      <c r="K805" s="13">
        <f t="shared" si="13"/>
        <v>1000000</v>
      </c>
      <c r="L805" s="13" t="str">
        <f>_xlfn.XLOOKUP(I805,'Wk no''s'!C:C,'Wk no''s'!E:E,0)</f>
        <v>Jun</v>
      </c>
    </row>
    <row r="806" spans="1:12" x14ac:dyDescent="0.25">
      <c r="A806" s="1">
        <v>45837</v>
      </c>
      <c r="B806" t="s">
        <v>1318</v>
      </c>
      <c r="C806" t="s">
        <v>625</v>
      </c>
      <c r="D806" t="s">
        <v>10</v>
      </c>
      <c r="E806">
        <v>30000</v>
      </c>
      <c r="F806" s="1">
        <v>45841</v>
      </c>
      <c r="G806" t="s">
        <v>11</v>
      </c>
      <c r="H806" t="s">
        <v>50</v>
      </c>
      <c r="I806" s="13">
        <f>_xlfn.XLOOKUP(F806,'Wk no''s'!B:B,'Wk no''s'!C:C,FALSE)</f>
        <v>27</v>
      </c>
      <c r="J806" s="13">
        <f>IF(D806="GBP",1,SUMIFS('Ex Rates'!I:I,'Ex Rates'!K:K,'Weekly Closed Proposal Requests'!L806,'Ex Rates'!G:G,'Weekly Closed Proposal Requests'!D806))</f>
        <v>0.47755491881566381</v>
      </c>
      <c r="K806" s="13">
        <f t="shared" si="13"/>
        <v>14326.647564469915</v>
      </c>
      <c r="L806" s="13" t="str">
        <f>_xlfn.XLOOKUP(I806,'Wk no''s'!C:C,'Wk no''s'!E:E,0)</f>
        <v>Jun</v>
      </c>
    </row>
    <row r="807" spans="1:12" x14ac:dyDescent="0.25">
      <c r="A807" s="1">
        <v>45841</v>
      </c>
      <c r="B807" t="s">
        <v>1319</v>
      </c>
      <c r="C807" t="s">
        <v>66</v>
      </c>
      <c r="D807" t="s">
        <v>15</v>
      </c>
      <c r="E807">
        <v>250000</v>
      </c>
      <c r="F807" s="1">
        <v>45842</v>
      </c>
      <c r="G807" t="s">
        <v>11</v>
      </c>
      <c r="H807" t="s">
        <v>50</v>
      </c>
      <c r="I807" s="13">
        <f>_xlfn.XLOOKUP(F807,'Wk no''s'!B:B,'Wk no''s'!C:C,FALSE)</f>
        <v>27</v>
      </c>
      <c r="J807" s="13">
        <f>IF(D807="GBP",1,SUMIFS('Ex Rates'!I:I,'Ex Rates'!K:K,'Weekly Closed Proposal Requests'!L807,'Ex Rates'!G:G,'Weekly Closed Proposal Requests'!D807))</f>
        <v>1</v>
      </c>
      <c r="K807" s="13">
        <f t="shared" si="13"/>
        <v>250000</v>
      </c>
      <c r="L807" s="13" t="str">
        <f>_xlfn.XLOOKUP(I807,'Wk no''s'!C:C,'Wk no''s'!E:E,0)</f>
        <v>Jun</v>
      </c>
    </row>
    <row r="808" spans="1:12" x14ac:dyDescent="0.25">
      <c r="A808" s="1">
        <v>45811</v>
      </c>
      <c r="B808" t="s">
        <v>1320</v>
      </c>
      <c r="C808" t="s">
        <v>74</v>
      </c>
      <c r="D808" t="s">
        <v>15</v>
      </c>
      <c r="E808">
        <v>300000</v>
      </c>
      <c r="F808" s="1">
        <v>45840</v>
      </c>
      <c r="G808" t="s">
        <v>72</v>
      </c>
      <c r="H808" t="s">
        <v>19</v>
      </c>
      <c r="I808" s="13">
        <f>_xlfn.XLOOKUP(F808,'Wk no''s'!B:B,'Wk no''s'!C:C,FALSE)</f>
        <v>27</v>
      </c>
      <c r="J808" s="13">
        <f>IF(D808="GBP",1,SUMIFS('Ex Rates'!I:I,'Ex Rates'!K:K,'Weekly Closed Proposal Requests'!L808,'Ex Rates'!G:G,'Weekly Closed Proposal Requests'!D808))</f>
        <v>1</v>
      </c>
      <c r="K808" s="13">
        <f t="shared" si="13"/>
        <v>300000</v>
      </c>
      <c r="L808" s="13" t="str">
        <f>_xlfn.XLOOKUP(I808,'Wk no''s'!C:C,'Wk no''s'!E:E,0)</f>
        <v>Jun</v>
      </c>
    </row>
    <row r="809" spans="1:12" x14ac:dyDescent="0.25">
      <c r="A809" s="1">
        <v>45827</v>
      </c>
      <c r="B809" t="s">
        <v>1321</v>
      </c>
      <c r="C809" t="s">
        <v>396</v>
      </c>
      <c r="D809" t="s">
        <v>15</v>
      </c>
      <c r="E809">
        <v>300000</v>
      </c>
      <c r="F809" s="1">
        <v>45839</v>
      </c>
      <c r="G809" t="s">
        <v>72</v>
      </c>
      <c r="H809" t="s">
        <v>19</v>
      </c>
      <c r="I809" s="13">
        <f>_xlfn.XLOOKUP(F809,'Wk no''s'!B:B,'Wk no''s'!C:C,FALSE)</f>
        <v>27</v>
      </c>
      <c r="J809" s="13">
        <f>IF(D809="GBP",1,SUMIFS('Ex Rates'!I:I,'Ex Rates'!K:K,'Weekly Closed Proposal Requests'!L809,'Ex Rates'!G:G,'Weekly Closed Proposal Requests'!D809))</f>
        <v>1</v>
      </c>
      <c r="K809" s="13">
        <f t="shared" si="13"/>
        <v>300000</v>
      </c>
      <c r="L809" s="13" t="str">
        <f>_xlfn.XLOOKUP(I809,'Wk no''s'!C:C,'Wk no''s'!E:E,0)</f>
        <v>Jun</v>
      </c>
    </row>
    <row r="810" spans="1:12" x14ac:dyDescent="0.25">
      <c r="A810" s="1">
        <v>45833</v>
      </c>
      <c r="B810" t="s">
        <v>1322</v>
      </c>
      <c r="C810" t="s">
        <v>396</v>
      </c>
      <c r="D810" t="s">
        <v>15</v>
      </c>
      <c r="E810">
        <v>300000</v>
      </c>
      <c r="F810" s="1">
        <v>45839</v>
      </c>
      <c r="G810" t="s">
        <v>72</v>
      </c>
      <c r="H810" t="s">
        <v>19</v>
      </c>
      <c r="I810" s="13">
        <f>_xlfn.XLOOKUP(F810,'Wk no''s'!B:B,'Wk no''s'!C:C,FALSE)</f>
        <v>27</v>
      </c>
      <c r="J810" s="13">
        <f>IF(D810="GBP",1,SUMIFS('Ex Rates'!I:I,'Ex Rates'!K:K,'Weekly Closed Proposal Requests'!L810,'Ex Rates'!G:G,'Weekly Closed Proposal Requests'!D810))</f>
        <v>1</v>
      </c>
      <c r="K810" s="13">
        <f t="shared" si="13"/>
        <v>300000</v>
      </c>
      <c r="L810" s="13" t="str">
        <f>_xlfn.XLOOKUP(I810,'Wk no''s'!C:C,'Wk no''s'!E:E,0)</f>
        <v>Jun</v>
      </c>
    </row>
    <row r="811" spans="1:12" x14ac:dyDescent="0.25">
      <c r="A811" s="1">
        <v>45833</v>
      </c>
      <c r="B811" t="s">
        <v>1323</v>
      </c>
      <c r="C811" t="s">
        <v>1446</v>
      </c>
      <c r="D811" t="s">
        <v>15</v>
      </c>
      <c r="E811">
        <v>5000</v>
      </c>
      <c r="F811" s="1">
        <v>45840</v>
      </c>
      <c r="G811" t="s">
        <v>72</v>
      </c>
      <c r="H811" t="s">
        <v>19</v>
      </c>
      <c r="I811" s="13">
        <f>_xlfn.XLOOKUP(F811,'Wk no''s'!B:B,'Wk no''s'!C:C,FALSE)</f>
        <v>27</v>
      </c>
      <c r="J811" s="13">
        <f>IF(D811="GBP",1,SUMIFS('Ex Rates'!I:I,'Ex Rates'!K:K,'Weekly Closed Proposal Requests'!L811,'Ex Rates'!G:G,'Weekly Closed Proposal Requests'!D811))</f>
        <v>1</v>
      </c>
      <c r="K811" s="13">
        <f t="shared" si="13"/>
        <v>5000</v>
      </c>
      <c r="L811" s="13" t="str">
        <f>_xlfn.XLOOKUP(I811,'Wk no''s'!C:C,'Wk no''s'!E:E,0)</f>
        <v>Jun</v>
      </c>
    </row>
    <row r="812" spans="1:12" x14ac:dyDescent="0.25">
      <c r="A812" s="1">
        <v>45834</v>
      </c>
      <c r="B812" t="s">
        <v>1324</v>
      </c>
      <c r="C812" t="s">
        <v>1325</v>
      </c>
      <c r="D812" t="s">
        <v>15</v>
      </c>
      <c r="E812">
        <v>5000</v>
      </c>
      <c r="F812" s="1">
        <v>45842</v>
      </c>
      <c r="G812" t="s">
        <v>72</v>
      </c>
      <c r="H812" t="s">
        <v>19</v>
      </c>
      <c r="I812" s="13">
        <f>_xlfn.XLOOKUP(F812,'Wk no''s'!B:B,'Wk no''s'!C:C,FALSE)</f>
        <v>27</v>
      </c>
      <c r="J812" s="13">
        <f>IF(D812="GBP",1,SUMIFS('Ex Rates'!I:I,'Ex Rates'!K:K,'Weekly Closed Proposal Requests'!L812,'Ex Rates'!G:G,'Weekly Closed Proposal Requests'!D812))</f>
        <v>1</v>
      </c>
      <c r="K812" s="13">
        <f t="shared" si="13"/>
        <v>5000</v>
      </c>
      <c r="L812" s="13" t="str">
        <f>_xlfn.XLOOKUP(I812,'Wk no''s'!C:C,'Wk no''s'!E:E,0)</f>
        <v>Jun</v>
      </c>
    </row>
    <row r="813" spans="1:12" x14ac:dyDescent="0.25">
      <c r="A813" s="1">
        <v>45838</v>
      </c>
      <c r="B813" t="s">
        <v>1326</v>
      </c>
      <c r="C813" t="s">
        <v>396</v>
      </c>
      <c r="D813" t="s">
        <v>15</v>
      </c>
      <c r="E813">
        <v>300000</v>
      </c>
      <c r="F813" s="1">
        <v>45841</v>
      </c>
      <c r="G813" t="s">
        <v>72</v>
      </c>
      <c r="H813" t="s">
        <v>19</v>
      </c>
      <c r="I813" s="13">
        <f>_xlfn.XLOOKUP(F813,'Wk no''s'!B:B,'Wk no''s'!C:C,FALSE)</f>
        <v>27</v>
      </c>
      <c r="J813" s="13">
        <f>IF(D813="GBP",1,SUMIFS('Ex Rates'!I:I,'Ex Rates'!K:K,'Weekly Closed Proposal Requests'!L813,'Ex Rates'!G:G,'Weekly Closed Proposal Requests'!D813))</f>
        <v>1</v>
      </c>
      <c r="K813" s="13">
        <f t="shared" si="13"/>
        <v>300000</v>
      </c>
      <c r="L813" s="13" t="str">
        <f>_xlfn.XLOOKUP(I813,'Wk no''s'!C:C,'Wk no''s'!E:E,0)</f>
        <v>Jun</v>
      </c>
    </row>
    <row r="814" spans="1:12" x14ac:dyDescent="0.25">
      <c r="A814" s="1">
        <v>45813</v>
      </c>
      <c r="B814" t="s">
        <v>1327</v>
      </c>
      <c r="C814" t="s">
        <v>1357</v>
      </c>
      <c r="D814" t="s">
        <v>15</v>
      </c>
      <c r="E814">
        <v>0</v>
      </c>
      <c r="F814" s="1">
        <v>45839</v>
      </c>
      <c r="G814" t="s">
        <v>645</v>
      </c>
      <c r="H814" t="s">
        <v>19</v>
      </c>
      <c r="I814" s="13">
        <f>_xlfn.XLOOKUP(F814,'Wk no''s'!B:B,'Wk no''s'!C:C,FALSE)</f>
        <v>27</v>
      </c>
      <c r="J814" s="13">
        <f>IF(D814="GBP",1,SUMIFS('Ex Rates'!I:I,'Ex Rates'!K:K,'Weekly Closed Proposal Requests'!L814,'Ex Rates'!G:G,'Weekly Closed Proposal Requests'!D814))</f>
        <v>1</v>
      </c>
      <c r="K814" s="13">
        <f t="shared" si="13"/>
        <v>0</v>
      </c>
      <c r="L814" s="13" t="str">
        <f>_xlfn.XLOOKUP(I814,'Wk no''s'!C:C,'Wk no''s'!E:E,0)</f>
        <v>Jun</v>
      </c>
    </row>
    <row r="815" spans="1:12" x14ac:dyDescent="0.25">
      <c r="A815" s="1">
        <v>45841</v>
      </c>
      <c r="B815" t="s">
        <v>1334</v>
      </c>
      <c r="C815" t="s">
        <v>1358</v>
      </c>
      <c r="D815" t="s">
        <v>15</v>
      </c>
      <c r="E815">
        <v>25000</v>
      </c>
      <c r="F815" s="1">
        <v>45846</v>
      </c>
      <c r="G815" t="s">
        <v>16</v>
      </c>
      <c r="H815" t="s">
        <v>281</v>
      </c>
      <c r="I815" s="13">
        <f>_xlfn.XLOOKUP(F815,'Wk no''s'!B:B,'Wk no''s'!C:C,FALSE)</f>
        <v>28</v>
      </c>
      <c r="J815" s="13">
        <f>IF(D815="GBP",1,SUMIFS('Ex Rates'!I:I,'Ex Rates'!K:K,'Weekly Closed Proposal Requests'!L815,'Ex Rates'!G:G,'Weekly Closed Proposal Requests'!D815))</f>
        <v>1</v>
      </c>
      <c r="K815" s="13">
        <f t="shared" si="13"/>
        <v>25000</v>
      </c>
      <c r="L815" s="13" t="str">
        <f>_xlfn.XLOOKUP(I815,'Wk no''s'!C:C,'Wk no''s'!E:E,0)</f>
        <v>Jul</v>
      </c>
    </row>
    <row r="816" spans="1:12" x14ac:dyDescent="0.25">
      <c r="A816" s="1">
        <v>45835</v>
      </c>
      <c r="B816" t="s">
        <v>1328</v>
      </c>
      <c r="C816" t="s">
        <v>1070</v>
      </c>
      <c r="D816" t="s">
        <v>15</v>
      </c>
      <c r="E816">
        <v>300000</v>
      </c>
      <c r="F816" s="1">
        <v>45848</v>
      </c>
      <c r="G816" t="s">
        <v>16</v>
      </c>
      <c r="H816" t="s">
        <v>19</v>
      </c>
      <c r="I816" s="13">
        <f>_xlfn.XLOOKUP(F816,'Wk no''s'!B:B,'Wk no''s'!C:C,FALSE)</f>
        <v>28</v>
      </c>
      <c r="J816" s="13">
        <f>IF(D816="GBP",1,SUMIFS('Ex Rates'!I:I,'Ex Rates'!K:K,'Weekly Closed Proposal Requests'!L816,'Ex Rates'!G:G,'Weekly Closed Proposal Requests'!D816))</f>
        <v>1</v>
      </c>
      <c r="K816" s="13">
        <f t="shared" si="13"/>
        <v>300000</v>
      </c>
      <c r="L816" s="13" t="str">
        <f>_xlfn.XLOOKUP(I816,'Wk no''s'!C:C,'Wk no''s'!E:E,0)</f>
        <v>Jul</v>
      </c>
    </row>
    <row r="817" spans="1:12" x14ac:dyDescent="0.25">
      <c r="A817" s="1">
        <v>45838</v>
      </c>
      <c r="B817" t="s">
        <v>1329</v>
      </c>
      <c r="C817" t="s">
        <v>1359</v>
      </c>
      <c r="D817" t="s">
        <v>15</v>
      </c>
      <c r="E817">
        <v>10000</v>
      </c>
      <c r="F817" s="1">
        <v>45849</v>
      </c>
      <c r="G817" t="s">
        <v>16</v>
      </c>
      <c r="H817" t="s">
        <v>19</v>
      </c>
      <c r="I817" s="13">
        <f>_xlfn.XLOOKUP(F817,'Wk no''s'!B:B,'Wk no''s'!C:C,FALSE)</f>
        <v>28</v>
      </c>
      <c r="J817" s="13">
        <f>IF(D817="GBP",1,SUMIFS('Ex Rates'!I:I,'Ex Rates'!K:K,'Weekly Closed Proposal Requests'!L817,'Ex Rates'!G:G,'Weekly Closed Proposal Requests'!D817))</f>
        <v>1</v>
      </c>
      <c r="K817" s="13">
        <f t="shared" si="13"/>
        <v>10000</v>
      </c>
      <c r="L817" s="13" t="str">
        <f>_xlfn.XLOOKUP(I817,'Wk no''s'!C:C,'Wk no''s'!E:E,0)</f>
        <v>Jul</v>
      </c>
    </row>
    <row r="818" spans="1:12" x14ac:dyDescent="0.25">
      <c r="A818" s="1">
        <v>45839</v>
      </c>
      <c r="B818" t="s">
        <v>1332</v>
      </c>
      <c r="C818" t="s">
        <v>1360</v>
      </c>
      <c r="D818" t="s">
        <v>15</v>
      </c>
      <c r="E818">
        <v>500000</v>
      </c>
      <c r="F818" s="1">
        <v>45845</v>
      </c>
      <c r="G818" t="s">
        <v>16</v>
      </c>
      <c r="H818" t="s">
        <v>19</v>
      </c>
      <c r="I818" s="13">
        <f>_xlfn.XLOOKUP(F818,'Wk no''s'!B:B,'Wk no''s'!C:C,FALSE)</f>
        <v>28</v>
      </c>
      <c r="J818" s="13">
        <f>IF(D818="GBP",1,SUMIFS('Ex Rates'!I:I,'Ex Rates'!K:K,'Weekly Closed Proposal Requests'!L818,'Ex Rates'!G:G,'Weekly Closed Proposal Requests'!D818))</f>
        <v>1</v>
      </c>
      <c r="K818" s="13">
        <f t="shared" si="13"/>
        <v>500000</v>
      </c>
      <c r="L818" s="13" t="str">
        <f>_xlfn.XLOOKUP(I818,'Wk no''s'!C:C,'Wk no''s'!E:E,0)</f>
        <v>Jul</v>
      </c>
    </row>
    <row r="819" spans="1:12" x14ac:dyDescent="0.25">
      <c r="A819" s="1">
        <v>45840</v>
      </c>
      <c r="B819" t="s">
        <v>1333</v>
      </c>
      <c r="C819" t="s">
        <v>97</v>
      </c>
      <c r="D819" t="s">
        <v>15</v>
      </c>
      <c r="E819">
        <v>30000</v>
      </c>
      <c r="F819" s="1">
        <v>45846</v>
      </c>
      <c r="G819" t="s">
        <v>16</v>
      </c>
      <c r="H819" t="s">
        <v>19</v>
      </c>
      <c r="I819" s="13">
        <f>_xlfn.XLOOKUP(F819,'Wk no''s'!B:B,'Wk no''s'!C:C,FALSE)</f>
        <v>28</v>
      </c>
      <c r="J819" s="13">
        <f>IF(D819="GBP",1,SUMIFS('Ex Rates'!I:I,'Ex Rates'!K:K,'Weekly Closed Proposal Requests'!L819,'Ex Rates'!G:G,'Weekly Closed Proposal Requests'!D819))</f>
        <v>1</v>
      </c>
      <c r="K819" s="13">
        <f t="shared" si="13"/>
        <v>30000</v>
      </c>
      <c r="L819" s="13" t="str">
        <f>_xlfn.XLOOKUP(I819,'Wk no''s'!C:C,'Wk no''s'!E:E,0)</f>
        <v>Jul</v>
      </c>
    </row>
    <row r="820" spans="1:12" x14ac:dyDescent="0.25">
      <c r="A820" s="1">
        <v>45841</v>
      </c>
      <c r="B820" t="s">
        <v>1330</v>
      </c>
      <c r="C820" t="s">
        <v>1269</v>
      </c>
      <c r="D820" t="s">
        <v>15</v>
      </c>
      <c r="E820">
        <v>20000</v>
      </c>
      <c r="F820" s="1">
        <v>45846</v>
      </c>
      <c r="G820" t="s">
        <v>16</v>
      </c>
      <c r="H820" t="s">
        <v>19</v>
      </c>
      <c r="I820" s="13">
        <f>_xlfn.XLOOKUP(F820,'Wk no''s'!B:B,'Wk no''s'!C:C,FALSE)</f>
        <v>28</v>
      </c>
      <c r="J820" s="13">
        <f>IF(D820="GBP",1,SUMIFS('Ex Rates'!I:I,'Ex Rates'!K:K,'Weekly Closed Proposal Requests'!L820,'Ex Rates'!G:G,'Weekly Closed Proposal Requests'!D820))</f>
        <v>1</v>
      </c>
      <c r="K820" s="13">
        <f t="shared" si="13"/>
        <v>20000</v>
      </c>
      <c r="L820" s="13" t="str">
        <f>_xlfn.XLOOKUP(I820,'Wk no''s'!C:C,'Wk no''s'!E:E,0)</f>
        <v>Jul</v>
      </c>
    </row>
    <row r="821" spans="1:12" x14ac:dyDescent="0.25">
      <c r="A821" s="1">
        <v>45841</v>
      </c>
      <c r="B821" t="s">
        <v>1331</v>
      </c>
      <c r="C821" t="s">
        <v>1361</v>
      </c>
      <c r="D821" t="s">
        <v>15</v>
      </c>
      <c r="E821">
        <v>50000</v>
      </c>
      <c r="F821" s="1">
        <v>45847</v>
      </c>
      <c r="G821" t="s">
        <v>16</v>
      </c>
      <c r="H821" t="s">
        <v>19</v>
      </c>
      <c r="I821" s="13">
        <f>_xlfn.XLOOKUP(F821,'Wk no''s'!B:B,'Wk no''s'!C:C,FALSE)</f>
        <v>28</v>
      </c>
      <c r="J821" s="13">
        <f>IF(D821="GBP",1,SUMIFS('Ex Rates'!I:I,'Ex Rates'!K:K,'Weekly Closed Proposal Requests'!L821,'Ex Rates'!G:G,'Weekly Closed Proposal Requests'!D821))</f>
        <v>1</v>
      </c>
      <c r="K821" s="13">
        <f t="shared" si="13"/>
        <v>50000</v>
      </c>
      <c r="L821" s="13" t="str">
        <f>_xlfn.XLOOKUP(I821,'Wk no''s'!C:C,'Wk no''s'!E:E,0)</f>
        <v>Jul</v>
      </c>
    </row>
    <row r="822" spans="1:12" x14ac:dyDescent="0.25">
      <c r="A822" s="1">
        <v>45842</v>
      </c>
      <c r="B822" t="s">
        <v>1335</v>
      </c>
      <c r="C822" t="s">
        <v>151</v>
      </c>
      <c r="D822" t="s">
        <v>15</v>
      </c>
      <c r="E822">
        <v>600000</v>
      </c>
      <c r="F822" s="1">
        <v>45847</v>
      </c>
      <c r="G822" t="s">
        <v>16</v>
      </c>
      <c r="H822" t="s">
        <v>19</v>
      </c>
      <c r="I822" s="13">
        <f>_xlfn.XLOOKUP(F822,'Wk no''s'!B:B,'Wk no''s'!C:C,FALSE)</f>
        <v>28</v>
      </c>
      <c r="J822" s="13">
        <f>IF(D822="GBP",1,SUMIFS('Ex Rates'!I:I,'Ex Rates'!K:K,'Weekly Closed Proposal Requests'!L822,'Ex Rates'!G:G,'Weekly Closed Proposal Requests'!D822))</f>
        <v>1</v>
      </c>
      <c r="K822" s="13">
        <f t="shared" si="13"/>
        <v>600000</v>
      </c>
      <c r="L822" s="13" t="str">
        <f>_xlfn.XLOOKUP(I822,'Wk no''s'!C:C,'Wk no''s'!E:E,0)</f>
        <v>Jul</v>
      </c>
    </row>
    <row r="823" spans="1:12" x14ac:dyDescent="0.25">
      <c r="A823" s="1">
        <v>45846</v>
      </c>
      <c r="B823" t="s">
        <v>1336</v>
      </c>
      <c r="C823" t="s">
        <v>1064</v>
      </c>
      <c r="D823" t="s">
        <v>15</v>
      </c>
      <c r="E823">
        <v>200000</v>
      </c>
      <c r="F823" s="1">
        <v>45849</v>
      </c>
      <c r="G823" t="s">
        <v>16</v>
      </c>
      <c r="H823" t="s">
        <v>19</v>
      </c>
      <c r="I823" s="13">
        <f>_xlfn.XLOOKUP(F823,'Wk no''s'!B:B,'Wk no''s'!C:C,FALSE)</f>
        <v>28</v>
      </c>
      <c r="J823" s="13">
        <f>IF(D823="GBP",1,SUMIFS('Ex Rates'!I:I,'Ex Rates'!K:K,'Weekly Closed Proposal Requests'!L823,'Ex Rates'!G:G,'Weekly Closed Proposal Requests'!D823))</f>
        <v>1</v>
      </c>
      <c r="K823" s="13">
        <f t="shared" si="13"/>
        <v>200000</v>
      </c>
      <c r="L823" s="13" t="str">
        <f>_xlfn.XLOOKUP(I823,'Wk no''s'!C:C,'Wk no''s'!E:E,0)</f>
        <v>Jul</v>
      </c>
    </row>
    <row r="824" spans="1:12" x14ac:dyDescent="0.25">
      <c r="A824" s="1">
        <v>45847</v>
      </c>
      <c r="B824" t="s">
        <v>1337</v>
      </c>
      <c r="C824" t="s">
        <v>1271</v>
      </c>
      <c r="D824" t="s">
        <v>15</v>
      </c>
      <c r="E824">
        <v>10000</v>
      </c>
      <c r="F824" s="1">
        <v>45847</v>
      </c>
      <c r="G824" t="s">
        <v>16</v>
      </c>
      <c r="H824" t="s">
        <v>19</v>
      </c>
      <c r="I824" s="13">
        <f>_xlfn.XLOOKUP(F824,'Wk no''s'!B:B,'Wk no''s'!C:C,FALSE)</f>
        <v>28</v>
      </c>
      <c r="J824" s="13">
        <f>IF(D824="GBP",1,SUMIFS('Ex Rates'!I:I,'Ex Rates'!K:K,'Weekly Closed Proposal Requests'!L824,'Ex Rates'!G:G,'Weekly Closed Proposal Requests'!D824))</f>
        <v>1</v>
      </c>
      <c r="K824" s="13">
        <f t="shared" si="13"/>
        <v>10000</v>
      </c>
      <c r="L824" s="13" t="str">
        <f>_xlfn.XLOOKUP(I824,'Wk no''s'!C:C,'Wk no''s'!E:E,0)</f>
        <v>Jul</v>
      </c>
    </row>
    <row r="825" spans="1:12" x14ac:dyDescent="0.25">
      <c r="A825" s="1">
        <v>45841</v>
      </c>
      <c r="B825" t="s">
        <v>1338</v>
      </c>
      <c r="C825" t="s">
        <v>1362</v>
      </c>
      <c r="D825" t="s">
        <v>15</v>
      </c>
      <c r="E825">
        <v>10000</v>
      </c>
      <c r="F825" s="1">
        <v>45848</v>
      </c>
      <c r="G825" t="s">
        <v>41</v>
      </c>
      <c r="H825" t="s">
        <v>19</v>
      </c>
      <c r="I825" s="13">
        <f>_xlfn.XLOOKUP(F825,'Wk no''s'!B:B,'Wk no''s'!C:C,FALSE)</f>
        <v>28</v>
      </c>
      <c r="J825" s="13">
        <f>IF(D825="GBP",1,SUMIFS('Ex Rates'!I:I,'Ex Rates'!K:K,'Weekly Closed Proposal Requests'!L825,'Ex Rates'!G:G,'Weekly Closed Proposal Requests'!D825))</f>
        <v>1</v>
      </c>
      <c r="K825" s="13">
        <f t="shared" si="13"/>
        <v>10000</v>
      </c>
      <c r="L825" s="13" t="str">
        <f>_xlfn.XLOOKUP(I825,'Wk no''s'!C:C,'Wk no''s'!E:E,0)</f>
        <v>Jul</v>
      </c>
    </row>
    <row r="826" spans="1:12" x14ac:dyDescent="0.25">
      <c r="A826" s="1">
        <v>45842</v>
      </c>
      <c r="B826" t="s">
        <v>1339</v>
      </c>
      <c r="C826" t="s">
        <v>1363</v>
      </c>
      <c r="D826" t="s">
        <v>40</v>
      </c>
      <c r="E826">
        <v>75000</v>
      </c>
      <c r="F826" s="1">
        <v>45848</v>
      </c>
      <c r="G826" t="s">
        <v>41</v>
      </c>
      <c r="H826" t="s">
        <v>19</v>
      </c>
      <c r="I826" s="13">
        <f>_xlfn.XLOOKUP(F826,'Wk no''s'!B:B,'Wk no''s'!C:C,FALSE)</f>
        <v>28</v>
      </c>
      <c r="J826" s="13">
        <f>IF(D826="GBP",1,SUMIFS('Ex Rates'!I:I,'Ex Rates'!K:K,'Weekly Closed Proposal Requests'!L826,'Ex Rates'!G:G,'Weekly Closed Proposal Requests'!D826))</f>
        <v>0.86655112651646449</v>
      </c>
      <c r="K826" s="13">
        <f t="shared" si="13"/>
        <v>64991.334488734836</v>
      </c>
      <c r="L826" s="13" t="str">
        <f>_xlfn.XLOOKUP(I826,'Wk no''s'!C:C,'Wk no''s'!E:E,0)</f>
        <v>Jul</v>
      </c>
    </row>
    <row r="827" spans="1:12" x14ac:dyDescent="0.25">
      <c r="A827" s="1">
        <v>45824</v>
      </c>
      <c r="B827" t="s">
        <v>1343</v>
      </c>
      <c r="C827" t="s">
        <v>1364</v>
      </c>
      <c r="D827" t="s">
        <v>46</v>
      </c>
      <c r="E827">
        <v>1300000</v>
      </c>
      <c r="F827" s="1">
        <v>45849</v>
      </c>
      <c r="G827" t="s">
        <v>47</v>
      </c>
      <c r="H827" t="s">
        <v>19</v>
      </c>
      <c r="I827" s="13">
        <f>_xlfn.XLOOKUP(F827,'Wk no''s'!B:B,'Wk no''s'!C:C,FALSE)</f>
        <v>28</v>
      </c>
      <c r="J827" s="13">
        <f>IF(D827="GBP",1,SUMIFS('Ex Rates'!I:I,'Ex Rates'!K:K,'Weekly Closed Proposal Requests'!L827,'Ex Rates'!G:G,'Weekly Closed Proposal Requests'!D827))</f>
        <v>0.75757575757575757</v>
      </c>
      <c r="K827" s="13">
        <f t="shared" si="13"/>
        <v>984848.48484848486</v>
      </c>
      <c r="L827" s="13" t="str">
        <f>_xlfn.XLOOKUP(I827,'Wk no''s'!C:C,'Wk no''s'!E:E,0)</f>
        <v>Jul</v>
      </c>
    </row>
    <row r="828" spans="1:12" x14ac:dyDescent="0.25">
      <c r="A828" s="1">
        <v>45826</v>
      </c>
      <c r="B828" t="s">
        <v>1344</v>
      </c>
      <c r="C828" t="s">
        <v>1213</v>
      </c>
      <c r="D828" t="s">
        <v>46</v>
      </c>
      <c r="E828">
        <v>30000</v>
      </c>
      <c r="F828" s="1">
        <v>45847</v>
      </c>
      <c r="G828" t="s">
        <v>47</v>
      </c>
      <c r="H828" t="s">
        <v>19</v>
      </c>
      <c r="I828" s="13">
        <f>_xlfn.XLOOKUP(F828,'Wk no''s'!B:B,'Wk no''s'!C:C,FALSE)</f>
        <v>28</v>
      </c>
      <c r="J828" s="13">
        <f>IF(D828="GBP",1,SUMIFS('Ex Rates'!I:I,'Ex Rates'!K:K,'Weekly Closed Proposal Requests'!L828,'Ex Rates'!G:G,'Weekly Closed Proposal Requests'!D828))</f>
        <v>0.75757575757575757</v>
      </c>
      <c r="K828" s="13">
        <f t="shared" si="13"/>
        <v>22727.272727272728</v>
      </c>
      <c r="L828" s="13" t="str">
        <f>_xlfn.XLOOKUP(I828,'Wk no''s'!C:C,'Wk no''s'!E:E,0)</f>
        <v>Jul</v>
      </c>
    </row>
    <row r="829" spans="1:12" x14ac:dyDescent="0.25">
      <c r="A829" s="1">
        <v>45532</v>
      </c>
      <c r="B829" t="s">
        <v>1342</v>
      </c>
      <c r="C829" t="s">
        <v>1365</v>
      </c>
      <c r="D829" t="s">
        <v>46</v>
      </c>
      <c r="E829">
        <v>32000000</v>
      </c>
      <c r="F829" s="1">
        <v>45848</v>
      </c>
      <c r="G829" t="s">
        <v>47</v>
      </c>
      <c r="H829" t="s">
        <v>50</v>
      </c>
      <c r="I829" s="13">
        <f>_xlfn.XLOOKUP(F829,'Wk no''s'!B:B,'Wk no''s'!C:C,FALSE)</f>
        <v>28</v>
      </c>
      <c r="J829" s="13">
        <f>IF(D829="GBP",1,SUMIFS('Ex Rates'!I:I,'Ex Rates'!K:K,'Weekly Closed Proposal Requests'!L829,'Ex Rates'!G:G,'Weekly Closed Proposal Requests'!D829))</f>
        <v>0.75757575757575757</v>
      </c>
      <c r="K829" s="13">
        <f t="shared" si="13"/>
        <v>24242424.242424242</v>
      </c>
      <c r="L829" s="13" t="str">
        <f>_xlfn.XLOOKUP(I829,'Wk no''s'!C:C,'Wk no''s'!E:E,0)</f>
        <v>Jul</v>
      </c>
    </row>
    <row r="830" spans="1:12" x14ac:dyDescent="0.25">
      <c r="A830" s="1">
        <v>45804</v>
      </c>
      <c r="B830" t="s">
        <v>1340</v>
      </c>
      <c r="C830" t="s">
        <v>1366</v>
      </c>
      <c r="D830" t="s">
        <v>15</v>
      </c>
      <c r="E830">
        <v>970477.24</v>
      </c>
      <c r="F830" s="1">
        <v>45849</v>
      </c>
      <c r="G830" t="s">
        <v>47</v>
      </c>
      <c r="H830" t="s">
        <v>50</v>
      </c>
      <c r="I830" s="13">
        <f>_xlfn.XLOOKUP(F830,'Wk no''s'!B:B,'Wk no''s'!C:C,FALSE)</f>
        <v>28</v>
      </c>
      <c r="J830" s="13">
        <f>IF(D830="GBP",1,SUMIFS('Ex Rates'!I:I,'Ex Rates'!K:K,'Weekly Closed Proposal Requests'!L830,'Ex Rates'!G:G,'Weekly Closed Proposal Requests'!D830))</f>
        <v>1</v>
      </c>
      <c r="K830" s="13">
        <f t="shared" si="13"/>
        <v>970477.24</v>
      </c>
      <c r="L830" s="13" t="str">
        <f>_xlfn.XLOOKUP(I830,'Wk no''s'!C:C,'Wk no''s'!E:E,0)</f>
        <v>Jul</v>
      </c>
    </row>
    <row r="831" spans="1:12" x14ac:dyDescent="0.25">
      <c r="A831" s="1">
        <v>45831</v>
      </c>
      <c r="B831" t="s">
        <v>1341</v>
      </c>
      <c r="C831" t="s">
        <v>1367</v>
      </c>
      <c r="D831" t="s">
        <v>15</v>
      </c>
      <c r="E831">
        <v>229667</v>
      </c>
      <c r="F831" s="1">
        <v>45847</v>
      </c>
      <c r="G831" t="s">
        <v>47</v>
      </c>
      <c r="H831" t="s">
        <v>50</v>
      </c>
      <c r="I831" s="13">
        <f>_xlfn.XLOOKUP(F831,'Wk no''s'!B:B,'Wk no''s'!C:C,FALSE)</f>
        <v>28</v>
      </c>
      <c r="J831" s="13">
        <f>IF(D831="GBP",1,SUMIFS('Ex Rates'!I:I,'Ex Rates'!K:K,'Weekly Closed Proposal Requests'!L831,'Ex Rates'!G:G,'Weekly Closed Proposal Requests'!D831))</f>
        <v>1</v>
      </c>
      <c r="K831" s="13">
        <f t="shared" si="13"/>
        <v>229667</v>
      </c>
      <c r="L831" s="13" t="str">
        <f>_xlfn.XLOOKUP(I831,'Wk no''s'!C:C,'Wk no''s'!E:E,0)</f>
        <v>Jul</v>
      </c>
    </row>
    <row r="832" spans="1:12" x14ac:dyDescent="0.25">
      <c r="A832" s="1">
        <v>45833</v>
      </c>
      <c r="B832" t="s">
        <v>1345</v>
      </c>
      <c r="C832" t="s">
        <v>672</v>
      </c>
      <c r="D832" t="s">
        <v>15</v>
      </c>
      <c r="E832">
        <v>28212.55</v>
      </c>
      <c r="F832" s="1">
        <v>45849</v>
      </c>
      <c r="G832" t="s">
        <v>47</v>
      </c>
      <c r="H832" t="s">
        <v>50</v>
      </c>
      <c r="I832" s="13">
        <f>_xlfn.XLOOKUP(F832,'Wk no''s'!B:B,'Wk no''s'!C:C,FALSE)</f>
        <v>28</v>
      </c>
      <c r="J832" s="13">
        <f>IF(D832="GBP",1,SUMIFS('Ex Rates'!I:I,'Ex Rates'!K:K,'Weekly Closed Proposal Requests'!L832,'Ex Rates'!G:G,'Weekly Closed Proposal Requests'!D832))</f>
        <v>1</v>
      </c>
      <c r="K832" s="13">
        <f t="shared" si="13"/>
        <v>28212.55</v>
      </c>
      <c r="L832" s="13" t="str">
        <f>_xlfn.XLOOKUP(I832,'Wk no''s'!C:C,'Wk no''s'!E:E,0)</f>
        <v>Jul</v>
      </c>
    </row>
    <row r="833" spans="1:12" x14ac:dyDescent="0.25">
      <c r="A833" s="1">
        <v>45840</v>
      </c>
      <c r="B833" t="s">
        <v>1370</v>
      </c>
      <c r="C833" t="s">
        <v>265</v>
      </c>
      <c r="D833" t="s">
        <v>15</v>
      </c>
      <c r="E833">
        <v>184086.19</v>
      </c>
      <c r="F833" s="1">
        <v>45851</v>
      </c>
      <c r="G833" t="s">
        <v>47</v>
      </c>
      <c r="H833" t="s">
        <v>50</v>
      </c>
      <c r="I833" s="13">
        <f>_xlfn.XLOOKUP(F833,'Wk no''s'!B:B,'Wk no''s'!C:C,FALSE)</f>
        <v>29</v>
      </c>
      <c r="J833" s="13">
        <f>IF(D833="GBP",1,SUMIFS('Ex Rates'!I:I,'Ex Rates'!K:K,'Weekly Closed Proposal Requests'!L833,'Ex Rates'!G:G,'Weekly Closed Proposal Requests'!D833))</f>
        <v>1</v>
      </c>
      <c r="K833" s="13">
        <f t="shared" si="13"/>
        <v>184086.19</v>
      </c>
      <c r="L833" s="13" t="str">
        <f>_xlfn.XLOOKUP(I833,'Wk no''s'!C:C,'Wk no''s'!E:E,0)</f>
        <v>Jul</v>
      </c>
    </row>
    <row r="834" spans="1:12" x14ac:dyDescent="0.25">
      <c r="A834" s="1">
        <v>45847</v>
      </c>
      <c r="B834" t="s">
        <v>1346</v>
      </c>
      <c r="C834" t="s">
        <v>384</v>
      </c>
      <c r="D834" t="s">
        <v>46</v>
      </c>
      <c r="E834">
        <v>173000</v>
      </c>
      <c r="F834" s="1">
        <v>45848</v>
      </c>
      <c r="G834" t="s">
        <v>47</v>
      </c>
      <c r="H834" t="s">
        <v>50</v>
      </c>
      <c r="I834" s="13">
        <f>_xlfn.XLOOKUP(F834,'Wk no''s'!B:B,'Wk no''s'!C:C,FALSE)</f>
        <v>28</v>
      </c>
      <c r="J834" s="13">
        <f>IF(D834="GBP",1,SUMIFS('Ex Rates'!I:I,'Ex Rates'!K:K,'Weekly Closed Proposal Requests'!L834,'Ex Rates'!G:G,'Weekly Closed Proposal Requests'!D834))</f>
        <v>0.75757575757575757</v>
      </c>
      <c r="K834" s="13">
        <f t="shared" si="13"/>
        <v>131060.60606060606</v>
      </c>
      <c r="L834" s="13" t="str">
        <f>_xlfn.XLOOKUP(I834,'Wk no''s'!C:C,'Wk no''s'!E:E,0)</f>
        <v>Jul</v>
      </c>
    </row>
    <row r="835" spans="1:12" x14ac:dyDescent="0.25">
      <c r="A835" s="1">
        <v>45848</v>
      </c>
      <c r="B835" t="s">
        <v>1347</v>
      </c>
      <c r="C835" t="s">
        <v>1366</v>
      </c>
      <c r="D835" t="s">
        <v>46</v>
      </c>
      <c r="E835">
        <v>900000</v>
      </c>
      <c r="F835" s="1">
        <v>45848</v>
      </c>
      <c r="G835" t="s">
        <v>47</v>
      </c>
      <c r="H835" t="s">
        <v>50</v>
      </c>
      <c r="I835" s="13">
        <f>_xlfn.XLOOKUP(F835,'Wk no''s'!B:B,'Wk no''s'!C:C,FALSE)</f>
        <v>28</v>
      </c>
      <c r="J835" s="13">
        <f>IF(D835="GBP",1,SUMIFS('Ex Rates'!I:I,'Ex Rates'!K:K,'Weekly Closed Proposal Requests'!L835,'Ex Rates'!G:G,'Weekly Closed Proposal Requests'!D835))</f>
        <v>0.75757575757575757</v>
      </c>
      <c r="K835" s="13">
        <f t="shared" si="13"/>
        <v>681818.18181818177</v>
      </c>
      <c r="L835" s="13" t="str">
        <f>_xlfn.XLOOKUP(I835,'Wk no''s'!C:C,'Wk no''s'!E:E,0)</f>
        <v>Jul</v>
      </c>
    </row>
    <row r="836" spans="1:12" x14ac:dyDescent="0.25">
      <c r="A836" s="1">
        <v>45847</v>
      </c>
      <c r="B836" t="s">
        <v>1350</v>
      </c>
      <c r="C836" t="s">
        <v>1368</v>
      </c>
      <c r="D836" t="s">
        <v>10</v>
      </c>
      <c r="E836">
        <v>40000</v>
      </c>
      <c r="F836" s="1">
        <v>45848</v>
      </c>
      <c r="G836" t="s">
        <v>11</v>
      </c>
      <c r="H836" t="s">
        <v>12</v>
      </c>
      <c r="I836" s="13">
        <f>_xlfn.XLOOKUP(F836,'Wk no''s'!B:B,'Wk no''s'!C:C,FALSE)</f>
        <v>28</v>
      </c>
      <c r="J836" s="13">
        <f>IF(D836="GBP",1,SUMIFS('Ex Rates'!I:I,'Ex Rates'!K:K,'Weekly Closed Proposal Requests'!L836,'Ex Rates'!G:G,'Weekly Closed Proposal Requests'!D836))</f>
        <v>0.48732943469785572</v>
      </c>
      <c r="K836" s="13">
        <f t="shared" si="13"/>
        <v>19493.177387914227</v>
      </c>
      <c r="L836" s="13" t="str">
        <f>_xlfn.XLOOKUP(I836,'Wk no''s'!C:C,'Wk no''s'!E:E,0)</f>
        <v>Jul</v>
      </c>
    </row>
    <row r="837" spans="1:12" x14ac:dyDescent="0.25">
      <c r="A837" s="1">
        <v>45834</v>
      </c>
      <c r="B837" t="s">
        <v>1348</v>
      </c>
      <c r="C837" t="s">
        <v>66</v>
      </c>
      <c r="D837" t="s">
        <v>15</v>
      </c>
      <c r="E837">
        <v>250000</v>
      </c>
      <c r="F837" s="1">
        <v>45849</v>
      </c>
      <c r="G837" t="s">
        <v>11</v>
      </c>
      <c r="H837" t="s">
        <v>50</v>
      </c>
      <c r="I837" s="13">
        <f>_xlfn.XLOOKUP(F837,'Wk no''s'!B:B,'Wk no''s'!C:C,FALSE)</f>
        <v>28</v>
      </c>
      <c r="J837" s="13">
        <f>IF(D837="GBP",1,SUMIFS('Ex Rates'!I:I,'Ex Rates'!K:K,'Weekly Closed Proposal Requests'!L837,'Ex Rates'!G:G,'Weekly Closed Proposal Requests'!D837))</f>
        <v>1</v>
      </c>
      <c r="K837" s="13">
        <f t="shared" si="13"/>
        <v>250000</v>
      </c>
      <c r="L837" s="13" t="str">
        <f>_xlfn.XLOOKUP(I837,'Wk no''s'!C:C,'Wk no''s'!E:E,0)</f>
        <v>Jul</v>
      </c>
    </row>
    <row r="838" spans="1:12" x14ac:dyDescent="0.25">
      <c r="A838" s="1">
        <v>45845</v>
      </c>
      <c r="B838" t="s">
        <v>1349</v>
      </c>
      <c r="C838" t="s">
        <v>179</v>
      </c>
      <c r="D838" t="s">
        <v>15</v>
      </c>
      <c r="E838">
        <v>1000000</v>
      </c>
      <c r="F838" s="1">
        <v>45846</v>
      </c>
      <c r="G838" t="s">
        <v>11</v>
      </c>
      <c r="H838" t="s">
        <v>50</v>
      </c>
      <c r="I838" s="13">
        <f>_xlfn.XLOOKUP(F838,'Wk no''s'!B:B,'Wk no''s'!C:C,FALSE)</f>
        <v>28</v>
      </c>
      <c r="J838" s="13">
        <f>IF(D838="GBP",1,SUMIFS('Ex Rates'!I:I,'Ex Rates'!K:K,'Weekly Closed Proposal Requests'!L838,'Ex Rates'!G:G,'Weekly Closed Proposal Requests'!D838))</f>
        <v>1</v>
      </c>
      <c r="K838" s="13">
        <f t="shared" si="13"/>
        <v>1000000</v>
      </c>
      <c r="L838" s="13" t="str">
        <f>_xlfn.XLOOKUP(I838,'Wk no''s'!C:C,'Wk no''s'!E:E,0)</f>
        <v>Jul</v>
      </c>
    </row>
    <row r="839" spans="1:12" x14ac:dyDescent="0.25">
      <c r="A839" s="1">
        <v>45835</v>
      </c>
      <c r="B839" t="s">
        <v>1353</v>
      </c>
      <c r="C839" t="s">
        <v>84</v>
      </c>
      <c r="D839" t="s">
        <v>15</v>
      </c>
      <c r="E839">
        <v>100000</v>
      </c>
      <c r="F839" s="1">
        <v>45848</v>
      </c>
      <c r="G839" t="s">
        <v>72</v>
      </c>
      <c r="H839" t="s">
        <v>19</v>
      </c>
      <c r="I839" s="13">
        <f>_xlfn.XLOOKUP(F839,'Wk no''s'!B:B,'Wk no''s'!C:C,FALSE)</f>
        <v>28</v>
      </c>
      <c r="J839" s="13">
        <f>IF(D839="GBP",1,SUMIFS('Ex Rates'!I:I,'Ex Rates'!K:K,'Weekly Closed Proposal Requests'!L839,'Ex Rates'!G:G,'Weekly Closed Proposal Requests'!D839))</f>
        <v>1</v>
      </c>
      <c r="K839" s="13">
        <f t="shared" si="13"/>
        <v>100000</v>
      </c>
      <c r="L839" s="13" t="str">
        <f>_xlfn.XLOOKUP(I839,'Wk no''s'!C:C,'Wk no''s'!E:E,0)</f>
        <v>Jul</v>
      </c>
    </row>
    <row r="840" spans="1:12" x14ac:dyDescent="0.25">
      <c r="A840" s="1">
        <v>45839</v>
      </c>
      <c r="B840" t="s">
        <v>1354</v>
      </c>
      <c r="C840" t="s">
        <v>396</v>
      </c>
      <c r="D840" t="s">
        <v>15</v>
      </c>
      <c r="E840">
        <v>300000</v>
      </c>
      <c r="F840" s="1">
        <v>45848</v>
      </c>
      <c r="G840" t="s">
        <v>72</v>
      </c>
      <c r="H840" t="s">
        <v>19</v>
      </c>
      <c r="I840" s="13">
        <f>_xlfn.XLOOKUP(F840,'Wk no''s'!B:B,'Wk no''s'!C:C,FALSE)</f>
        <v>28</v>
      </c>
      <c r="J840" s="13">
        <f>IF(D840="GBP",1,SUMIFS('Ex Rates'!I:I,'Ex Rates'!K:K,'Weekly Closed Proposal Requests'!L840,'Ex Rates'!G:G,'Weekly Closed Proposal Requests'!D840))</f>
        <v>1</v>
      </c>
      <c r="K840" s="13">
        <f t="shared" si="13"/>
        <v>300000</v>
      </c>
      <c r="L840" s="13" t="str">
        <f>_xlfn.XLOOKUP(I840,'Wk no''s'!C:C,'Wk no''s'!E:E,0)</f>
        <v>Jul</v>
      </c>
    </row>
    <row r="841" spans="1:12" x14ac:dyDescent="0.25">
      <c r="A841" s="1">
        <v>45840</v>
      </c>
      <c r="B841" t="s">
        <v>1351</v>
      </c>
      <c r="C841" t="s">
        <v>691</v>
      </c>
      <c r="D841" t="s">
        <v>15</v>
      </c>
      <c r="E841">
        <v>60000</v>
      </c>
      <c r="F841" s="1">
        <v>45848</v>
      </c>
      <c r="G841" t="s">
        <v>72</v>
      </c>
      <c r="H841" t="s">
        <v>19</v>
      </c>
      <c r="I841" s="13">
        <f>_xlfn.XLOOKUP(F841,'Wk no''s'!B:B,'Wk no''s'!C:C,FALSE)</f>
        <v>28</v>
      </c>
      <c r="J841" s="13">
        <f>IF(D841="GBP",1,SUMIFS('Ex Rates'!I:I,'Ex Rates'!K:K,'Weekly Closed Proposal Requests'!L841,'Ex Rates'!G:G,'Weekly Closed Proposal Requests'!D841))</f>
        <v>1</v>
      </c>
      <c r="K841" s="13">
        <f t="shared" si="13"/>
        <v>60000</v>
      </c>
      <c r="L841" s="13" t="str">
        <f>_xlfn.XLOOKUP(I841,'Wk no''s'!C:C,'Wk no''s'!E:E,0)</f>
        <v>Jul</v>
      </c>
    </row>
    <row r="842" spans="1:12" x14ac:dyDescent="0.25">
      <c r="A842" s="1">
        <v>45840</v>
      </c>
      <c r="B842" t="s">
        <v>1352</v>
      </c>
      <c r="C842" t="s">
        <v>948</v>
      </c>
      <c r="D842" t="s">
        <v>15</v>
      </c>
      <c r="E842">
        <v>200000</v>
      </c>
      <c r="F842" s="1">
        <v>45848</v>
      </c>
      <c r="G842" t="s">
        <v>72</v>
      </c>
      <c r="H842" t="s">
        <v>19</v>
      </c>
      <c r="I842" s="13">
        <f>_xlfn.XLOOKUP(F842,'Wk no''s'!B:B,'Wk no''s'!C:C,FALSE)</f>
        <v>28</v>
      </c>
      <c r="J842" s="13">
        <f>IF(D842="GBP",1,SUMIFS('Ex Rates'!I:I,'Ex Rates'!K:K,'Weekly Closed Proposal Requests'!L842,'Ex Rates'!G:G,'Weekly Closed Proposal Requests'!D842))</f>
        <v>1</v>
      </c>
      <c r="K842" s="13">
        <f t="shared" si="13"/>
        <v>200000</v>
      </c>
      <c r="L842" s="13" t="str">
        <f>_xlfn.XLOOKUP(I842,'Wk no''s'!C:C,'Wk no''s'!E:E,0)</f>
        <v>Jul</v>
      </c>
    </row>
    <row r="843" spans="1:12" x14ac:dyDescent="0.25">
      <c r="A843" s="1">
        <v>45846</v>
      </c>
      <c r="B843" t="s">
        <v>1355</v>
      </c>
      <c r="C843" t="s">
        <v>1325</v>
      </c>
      <c r="D843" t="s">
        <v>15</v>
      </c>
      <c r="E843">
        <v>80000</v>
      </c>
      <c r="F843" s="1">
        <v>45849</v>
      </c>
      <c r="G843" t="s">
        <v>72</v>
      </c>
      <c r="H843" t="s">
        <v>19</v>
      </c>
      <c r="I843" s="13">
        <f>_xlfn.XLOOKUP(F843,'Wk no''s'!B:B,'Wk no''s'!C:C,FALSE)</f>
        <v>28</v>
      </c>
      <c r="J843" s="13">
        <f>IF(D843="GBP",1,SUMIFS('Ex Rates'!I:I,'Ex Rates'!K:K,'Weekly Closed Proposal Requests'!L843,'Ex Rates'!G:G,'Weekly Closed Proposal Requests'!D843))</f>
        <v>1</v>
      </c>
      <c r="K843" s="13">
        <f t="shared" si="13"/>
        <v>80000</v>
      </c>
      <c r="L843" s="13" t="str">
        <f>_xlfn.XLOOKUP(I843,'Wk no''s'!C:C,'Wk no''s'!E:E,0)</f>
        <v>Jul</v>
      </c>
    </row>
    <row r="844" spans="1:12" x14ac:dyDescent="0.25">
      <c r="A844" s="1">
        <v>45847</v>
      </c>
      <c r="B844" t="s">
        <v>1356</v>
      </c>
      <c r="C844" t="s">
        <v>1325</v>
      </c>
      <c r="D844" t="s">
        <v>15</v>
      </c>
      <c r="E844">
        <v>100000</v>
      </c>
      <c r="F844" s="1">
        <v>45849</v>
      </c>
      <c r="G844" t="s">
        <v>72</v>
      </c>
      <c r="H844" t="s">
        <v>19</v>
      </c>
      <c r="I844" s="13">
        <f>_xlfn.XLOOKUP(F844,'Wk no''s'!B:B,'Wk no''s'!C:C,FALSE)</f>
        <v>28</v>
      </c>
      <c r="J844" s="13">
        <f>IF(D844="GBP",1,SUMIFS('Ex Rates'!I:I,'Ex Rates'!K:K,'Weekly Closed Proposal Requests'!L844,'Ex Rates'!G:G,'Weekly Closed Proposal Requests'!D844))</f>
        <v>1</v>
      </c>
      <c r="K844" s="13">
        <f t="shared" si="13"/>
        <v>100000</v>
      </c>
      <c r="L844" s="13" t="str">
        <f>_xlfn.XLOOKUP(I844,'Wk no''s'!C:C,'Wk no''s'!E:E,0)</f>
        <v>Jul</v>
      </c>
    </row>
    <row r="845" spans="1:12" x14ac:dyDescent="0.25">
      <c r="A845" s="1">
        <v>45848</v>
      </c>
      <c r="B845" t="s">
        <v>1373</v>
      </c>
      <c r="C845" t="s">
        <v>1395</v>
      </c>
      <c r="D845" t="s">
        <v>15</v>
      </c>
      <c r="E845">
        <v>15000</v>
      </c>
      <c r="F845" s="1">
        <v>45853</v>
      </c>
      <c r="G845" t="s">
        <v>16</v>
      </c>
      <c r="H845" t="s">
        <v>12</v>
      </c>
      <c r="I845" s="13">
        <f>_xlfn.XLOOKUP(F845,'Wk no''s'!B:B,'Wk no''s'!C:C,FALSE)</f>
        <v>29</v>
      </c>
      <c r="J845" s="13">
        <f>IF(D845="GBP",1,SUMIFS('Ex Rates'!I:I,'Ex Rates'!K:K,'Weekly Closed Proposal Requests'!L845,'Ex Rates'!G:G,'Weekly Closed Proposal Requests'!D845))</f>
        <v>1</v>
      </c>
      <c r="K845" s="13">
        <f t="shared" si="13"/>
        <v>15000</v>
      </c>
      <c r="L845" s="13" t="str">
        <f>_xlfn.XLOOKUP(I845,'Wk no''s'!C:C,'Wk no''s'!E:E,0)</f>
        <v>Jul</v>
      </c>
    </row>
    <row r="846" spans="1:12" x14ac:dyDescent="0.25">
      <c r="A846" s="1">
        <v>45798</v>
      </c>
      <c r="B846" t="s">
        <v>1374</v>
      </c>
      <c r="C846" t="s">
        <v>248</v>
      </c>
      <c r="D846" t="s">
        <v>15</v>
      </c>
      <c r="E846">
        <v>65000</v>
      </c>
      <c r="F846" s="1">
        <v>45856</v>
      </c>
      <c r="G846" t="s">
        <v>16</v>
      </c>
      <c r="H846" t="s">
        <v>19</v>
      </c>
      <c r="I846" s="13">
        <f>_xlfn.XLOOKUP(F846,'Wk no''s'!B:B,'Wk no''s'!C:C,FALSE)</f>
        <v>29</v>
      </c>
      <c r="J846" s="13">
        <f>IF(D846="GBP",1,SUMIFS('Ex Rates'!I:I,'Ex Rates'!K:K,'Weekly Closed Proposal Requests'!L846,'Ex Rates'!G:G,'Weekly Closed Proposal Requests'!D846))</f>
        <v>1</v>
      </c>
      <c r="K846" s="13">
        <f t="shared" si="13"/>
        <v>65000</v>
      </c>
      <c r="L846" s="13" t="str">
        <f>_xlfn.XLOOKUP(I846,'Wk no''s'!C:C,'Wk no''s'!E:E,0)</f>
        <v>Jul</v>
      </c>
    </row>
    <row r="847" spans="1:12" x14ac:dyDescent="0.25">
      <c r="A847" s="1">
        <v>45835</v>
      </c>
      <c r="B847" t="s">
        <v>1375</v>
      </c>
      <c r="C847" t="s">
        <v>1396</v>
      </c>
      <c r="D847" t="s">
        <v>15</v>
      </c>
      <c r="E847">
        <v>20000</v>
      </c>
      <c r="F847" s="1">
        <v>45855</v>
      </c>
      <c r="G847" t="s">
        <v>16</v>
      </c>
      <c r="H847" t="s">
        <v>19</v>
      </c>
      <c r="I847" s="13">
        <f>_xlfn.XLOOKUP(F847,'Wk no''s'!B:B,'Wk no''s'!C:C,FALSE)</f>
        <v>29</v>
      </c>
      <c r="J847" s="13">
        <f>IF(D847="GBP",1,SUMIFS('Ex Rates'!I:I,'Ex Rates'!K:K,'Weekly Closed Proposal Requests'!L847,'Ex Rates'!G:G,'Weekly Closed Proposal Requests'!D847))</f>
        <v>1</v>
      </c>
      <c r="K847" s="13">
        <f t="shared" si="13"/>
        <v>20000</v>
      </c>
      <c r="L847" s="13" t="str">
        <f>_xlfn.XLOOKUP(I847,'Wk no''s'!C:C,'Wk no''s'!E:E,0)</f>
        <v>Jul</v>
      </c>
    </row>
    <row r="848" spans="1:12" x14ac:dyDescent="0.25">
      <c r="A848" s="1">
        <v>45845</v>
      </c>
      <c r="B848" t="s">
        <v>1371</v>
      </c>
      <c r="C848" t="s">
        <v>1397</v>
      </c>
      <c r="D848" t="s">
        <v>15</v>
      </c>
      <c r="E848">
        <v>10000</v>
      </c>
      <c r="F848" s="1">
        <v>45856</v>
      </c>
      <c r="G848" t="s">
        <v>16</v>
      </c>
      <c r="H848" t="s">
        <v>19</v>
      </c>
      <c r="I848" s="13">
        <f>_xlfn.XLOOKUP(F848,'Wk no''s'!B:B,'Wk no''s'!C:C,FALSE)</f>
        <v>29</v>
      </c>
      <c r="J848" s="13">
        <f>IF(D848="GBP",1,SUMIFS('Ex Rates'!I:I,'Ex Rates'!K:K,'Weekly Closed Proposal Requests'!L848,'Ex Rates'!G:G,'Weekly Closed Proposal Requests'!D848))</f>
        <v>1</v>
      </c>
      <c r="K848" s="13">
        <f t="shared" si="13"/>
        <v>10000</v>
      </c>
      <c r="L848" s="13" t="str">
        <f>_xlfn.XLOOKUP(I848,'Wk no''s'!C:C,'Wk no''s'!E:E,0)</f>
        <v>Jul</v>
      </c>
    </row>
    <row r="849" spans="1:12" x14ac:dyDescent="0.25">
      <c r="A849" s="1">
        <v>45846</v>
      </c>
      <c r="B849" t="s">
        <v>1376</v>
      </c>
      <c r="C849" t="s">
        <v>1294</v>
      </c>
      <c r="D849" t="s">
        <v>15</v>
      </c>
      <c r="E849">
        <v>200000</v>
      </c>
      <c r="F849" s="1">
        <v>45855</v>
      </c>
      <c r="G849" t="s">
        <v>16</v>
      </c>
      <c r="H849" t="s">
        <v>19</v>
      </c>
      <c r="I849" s="13">
        <f>_xlfn.XLOOKUP(F849,'Wk no''s'!B:B,'Wk no''s'!C:C,FALSE)</f>
        <v>29</v>
      </c>
      <c r="J849" s="13">
        <f>IF(D849="GBP",1,SUMIFS('Ex Rates'!I:I,'Ex Rates'!K:K,'Weekly Closed Proposal Requests'!L849,'Ex Rates'!G:G,'Weekly Closed Proposal Requests'!D849))</f>
        <v>1</v>
      </c>
      <c r="K849" s="13">
        <f t="shared" si="13"/>
        <v>200000</v>
      </c>
      <c r="L849" s="13" t="str">
        <f>_xlfn.XLOOKUP(I849,'Wk no''s'!C:C,'Wk no''s'!E:E,0)</f>
        <v>Jul</v>
      </c>
    </row>
    <row r="850" spans="1:12" x14ac:dyDescent="0.25">
      <c r="A850" s="1">
        <v>45848</v>
      </c>
      <c r="B850" t="s">
        <v>1372</v>
      </c>
      <c r="C850" t="s">
        <v>1398</v>
      </c>
      <c r="D850" t="s">
        <v>15</v>
      </c>
      <c r="E850">
        <v>121886.72</v>
      </c>
      <c r="F850" s="1">
        <v>45853</v>
      </c>
      <c r="G850" t="s">
        <v>16</v>
      </c>
      <c r="H850" t="s">
        <v>19</v>
      </c>
      <c r="I850" s="13">
        <f>_xlfn.XLOOKUP(F850,'Wk no''s'!B:B,'Wk no''s'!C:C,FALSE)</f>
        <v>29</v>
      </c>
      <c r="J850" s="13">
        <f>IF(D850="GBP",1,SUMIFS('Ex Rates'!I:I,'Ex Rates'!K:K,'Weekly Closed Proposal Requests'!L850,'Ex Rates'!G:G,'Weekly Closed Proposal Requests'!D850))</f>
        <v>1</v>
      </c>
      <c r="K850" s="13">
        <f t="shared" si="13"/>
        <v>121886.72</v>
      </c>
      <c r="L850" s="13" t="str">
        <f>_xlfn.XLOOKUP(I850,'Wk no''s'!C:C,'Wk no''s'!E:E,0)</f>
        <v>Jul</v>
      </c>
    </row>
    <row r="851" spans="1:12" x14ac:dyDescent="0.25">
      <c r="A851" s="1">
        <v>45849</v>
      </c>
      <c r="B851" t="s">
        <v>1377</v>
      </c>
      <c r="C851" t="s">
        <v>97</v>
      </c>
      <c r="D851" t="s">
        <v>15</v>
      </c>
      <c r="E851">
        <v>50000</v>
      </c>
      <c r="F851" s="1">
        <v>45855</v>
      </c>
      <c r="G851" t="s">
        <v>16</v>
      </c>
      <c r="H851" t="s">
        <v>19</v>
      </c>
      <c r="I851" s="13">
        <f>_xlfn.XLOOKUP(F851,'Wk no''s'!B:B,'Wk no''s'!C:C,FALSE)</f>
        <v>29</v>
      </c>
      <c r="J851" s="13">
        <f>IF(D851="GBP",1,SUMIFS('Ex Rates'!I:I,'Ex Rates'!K:K,'Weekly Closed Proposal Requests'!L851,'Ex Rates'!G:G,'Weekly Closed Proposal Requests'!D851))</f>
        <v>1</v>
      </c>
      <c r="K851" s="13">
        <f t="shared" si="13"/>
        <v>50000</v>
      </c>
      <c r="L851" s="13" t="str">
        <f>_xlfn.XLOOKUP(I851,'Wk no''s'!C:C,'Wk no''s'!E:E,0)</f>
        <v>Jul</v>
      </c>
    </row>
    <row r="852" spans="1:12" x14ac:dyDescent="0.25">
      <c r="A852" s="1">
        <v>45853</v>
      </c>
      <c r="B852" t="s">
        <v>1378</v>
      </c>
      <c r="C852" t="s">
        <v>849</v>
      </c>
      <c r="D852" t="s">
        <v>15</v>
      </c>
      <c r="E852">
        <v>50000</v>
      </c>
      <c r="F852" s="1">
        <v>45855</v>
      </c>
      <c r="G852" t="s">
        <v>16</v>
      </c>
      <c r="H852" t="s">
        <v>50</v>
      </c>
      <c r="I852" s="13">
        <f>_xlfn.XLOOKUP(F852,'Wk no''s'!B:B,'Wk no''s'!C:C,FALSE)</f>
        <v>29</v>
      </c>
      <c r="J852" s="13">
        <f>IF(D852="GBP",1,SUMIFS('Ex Rates'!I:I,'Ex Rates'!K:K,'Weekly Closed Proposal Requests'!L852,'Ex Rates'!G:G,'Weekly Closed Proposal Requests'!D852))</f>
        <v>1</v>
      </c>
      <c r="K852" s="13">
        <f t="shared" si="13"/>
        <v>50000</v>
      </c>
      <c r="L852" s="13" t="str">
        <f>_xlfn.XLOOKUP(I852,'Wk no''s'!C:C,'Wk no''s'!E:E,0)</f>
        <v>Jul</v>
      </c>
    </row>
    <row r="853" spans="1:12" x14ac:dyDescent="0.25">
      <c r="A853" s="1">
        <v>45853</v>
      </c>
      <c r="B853" t="s">
        <v>1379</v>
      </c>
      <c r="C853" t="s">
        <v>1399</v>
      </c>
      <c r="D853" t="s">
        <v>40</v>
      </c>
      <c r="E853">
        <v>30000</v>
      </c>
      <c r="F853" s="1">
        <v>45856</v>
      </c>
      <c r="G853" t="s">
        <v>41</v>
      </c>
      <c r="H853" t="s">
        <v>19</v>
      </c>
      <c r="I853" s="13">
        <f>_xlfn.XLOOKUP(F853,'Wk no''s'!B:B,'Wk no''s'!C:C,FALSE)</f>
        <v>29</v>
      </c>
      <c r="J853" s="13">
        <f>IF(D853="GBP",1,SUMIFS('Ex Rates'!I:I,'Ex Rates'!K:K,'Weekly Closed Proposal Requests'!L853,'Ex Rates'!G:G,'Weekly Closed Proposal Requests'!D853))</f>
        <v>0.86655112651646449</v>
      </c>
      <c r="K853" s="13">
        <f t="shared" si="13"/>
        <v>25996.533795493935</v>
      </c>
      <c r="L853" s="13" t="str">
        <f>_xlfn.XLOOKUP(I853,'Wk no''s'!C:C,'Wk no''s'!E:E,0)</f>
        <v>Jul</v>
      </c>
    </row>
    <row r="854" spans="1:12" x14ac:dyDescent="0.25">
      <c r="A854" s="1">
        <v>45846</v>
      </c>
      <c r="B854" t="s">
        <v>1382</v>
      </c>
      <c r="C854" t="s">
        <v>1400</v>
      </c>
      <c r="D854" t="s">
        <v>46</v>
      </c>
      <c r="E854">
        <v>160000</v>
      </c>
      <c r="F854" s="1">
        <v>45855</v>
      </c>
      <c r="G854" t="s">
        <v>47</v>
      </c>
      <c r="H854" t="s">
        <v>19</v>
      </c>
      <c r="I854" s="13">
        <f>_xlfn.XLOOKUP(F854,'Wk no''s'!B:B,'Wk no''s'!C:C,FALSE)</f>
        <v>29</v>
      </c>
      <c r="J854" s="13">
        <f>IF(D854="GBP",1,SUMIFS('Ex Rates'!I:I,'Ex Rates'!K:K,'Weekly Closed Proposal Requests'!L854,'Ex Rates'!G:G,'Weekly Closed Proposal Requests'!D854))</f>
        <v>0.75757575757575757</v>
      </c>
      <c r="K854" s="13">
        <f t="shared" si="13"/>
        <v>121212.12121212122</v>
      </c>
      <c r="L854" s="13" t="str">
        <f>_xlfn.XLOOKUP(I854,'Wk no''s'!C:C,'Wk no''s'!E:E,0)</f>
        <v>Jul</v>
      </c>
    </row>
    <row r="855" spans="1:12" x14ac:dyDescent="0.25">
      <c r="A855" s="1">
        <v>45849</v>
      </c>
      <c r="B855" t="s">
        <v>1385</v>
      </c>
      <c r="C855" t="s">
        <v>1401</v>
      </c>
      <c r="D855" t="s">
        <v>46</v>
      </c>
      <c r="E855">
        <v>300000</v>
      </c>
      <c r="F855" s="1">
        <v>45853</v>
      </c>
      <c r="G855" t="s">
        <v>47</v>
      </c>
      <c r="H855" t="s">
        <v>19</v>
      </c>
      <c r="I855" s="13">
        <f>_xlfn.XLOOKUP(F855,'Wk no''s'!B:B,'Wk no''s'!C:C,FALSE)</f>
        <v>29</v>
      </c>
      <c r="J855" s="13">
        <f>IF(D855="GBP",1,SUMIFS('Ex Rates'!I:I,'Ex Rates'!K:K,'Weekly Closed Proposal Requests'!L855,'Ex Rates'!G:G,'Weekly Closed Proposal Requests'!D855))</f>
        <v>0.75757575757575757</v>
      </c>
      <c r="K855" s="13">
        <f t="shared" ref="K855:K918" si="14">+E855*J855</f>
        <v>227272.72727272726</v>
      </c>
      <c r="L855" s="13" t="str">
        <f>_xlfn.XLOOKUP(I855,'Wk no''s'!C:C,'Wk no''s'!E:E,0)</f>
        <v>Jul</v>
      </c>
    </row>
    <row r="856" spans="1:12" x14ac:dyDescent="0.25">
      <c r="A856" s="1">
        <v>45855</v>
      </c>
      <c r="B856" t="s">
        <v>1386</v>
      </c>
      <c r="C856" t="s">
        <v>1511</v>
      </c>
      <c r="D856" t="s">
        <v>46</v>
      </c>
      <c r="E856">
        <v>100000</v>
      </c>
      <c r="F856" s="1">
        <v>45855</v>
      </c>
      <c r="G856" t="s">
        <v>47</v>
      </c>
      <c r="H856" t="s">
        <v>19</v>
      </c>
      <c r="I856" s="13">
        <f>_xlfn.XLOOKUP(F856,'Wk no''s'!B:B,'Wk no''s'!C:C,FALSE)</f>
        <v>29</v>
      </c>
      <c r="J856" s="13">
        <f>IF(D856="GBP",1,SUMIFS('Ex Rates'!I:I,'Ex Rates'!K:K,'Weekly Closed Proposal Requests'!L856,'Ex Rates'!G:G,'Weekly Closed Proposal Requests'!D856))</f>
        <v>0.75757575757575757</v>
      </c>
      <c r="K856" s="13">
        <f t="shared" si="14"/>
        <v>75757.57575757576</v>
      </c>
      <c r="L856" s="13" t="str">
        <f>_xlfn.XLOOKUP(I856,'Wk no''s'!C:C,'Wk no''s'!E:E,0)</f>
        <v>Jul</v>
      </c>
    </row>
    <row r="857" spans="1:12" x14ac:dyDescent="0.25">
      <c r="A857" s="1">
        <v>45613</v>
      </c>
      <c r="B857" t="s">
        <v>1380</v>
      </c>
      <c r="C857" t="s">
        <v>1402</v>
      </c>
      <c r="D857" t="s">
        <v>46</v>
      </c>
      <c r="E857">
        <v>750000</v>
      </c>
      <c r="F857" s="1">
        <v>45852</v>
      </c>
      <c r="G857" t="s">
        <v>47</v>
      </c>
      <c r="H857" t="s">
        <v>50</v>
      </c>
      <c r="I857" s="13">
        <f>_xlfn.XLOOKUP(F857,'Wk no''s'!B:B,'Wk no''s'!C:C,FALSE)</f>
        <v>29</v>
      </c>
      <c r="J857" s="13">
        <f>IF(D857="GBP",1,SUMIFS('Ex Rates'!I:I,'Ex Rates'!K:K,'Weekly Closed Proposal Requests'!L857,'Ex Rates'!G:G,'Weekly Closed Proposal Requests'!D857))</f>
        <v>0.75757575757575757</v>
      </c>
      <c r="K857" s="13">
        <f t="shared" si="14"/>
        <v>568181.81818181823</v>
      </c>
      <c r="L857" s="13" t="str">
        <f>_xlfn.XLOOKUP(I857,'Wk no''s'!C:C,'Wk no''s'!E:E,0)</f>
        <v>Jul</v>
      </c>
    </row>
    <row r="858" spans="1:12" x14ac:dyDescent="0.25">
      <c r="A858" s="1">
        <v>45821</v>
      </c>
      <c r="B858" t="s">
        <v>1381</v>
      </c>
      <c r="C858" t="s">
        <v>1402</v>
      </c>
      <c r="D858" t="s">
        <v>46</v>
      </c>
      <c r="E858">
        <v>750000</v>
      </c>
      <c r="F858" s="1">
        <v>45852</v>
      </c>
      <c r="G858" t="s">
        <v>47</v>
      </c>
      <c r="H858" t="s">
        <v>50</v>
      </c>
      <c r="I858" s="13">
        <f>_xlfn.XLOOKUP(F858,'Wk no''s'!B:B,'Wk no''s'!C:C,FALSE)</f>
        <v>29</v>
      </c>
      <c r="J858" s="13">
        <f>IF(D858="GBP",1,SUMIFS('Ex Rates'!I:I,'Ex Rates'!K:K,'Weekly Closed Proposal Requests'!L858,'Ex Rates'!G:G,'Weekly Closed Proposal Requests'!D858))</f>
        <v>0.75757575757575757</v>
      </c>
      <c r="K858" s="13">
        <f t="shared" si="14"/>
        <v>568181.81818181823</v>
      </c>
      <c r="L858" s="13" t="str">
        <f>_xlfn.XLOOKUP(I858,'Wk no''s'!C:C,'Wk no''s'!E:E,0)</f>
        <v>Jul</v>
      </c>
    </row>
    <row r="859" spans="1:12" x14ac:dyDescent="0.25">
      <c r="A859" s="1">
        <v>45848</v>
      </c>
      <c r="B859" t="s">
        <v>1383</v>
      </c>
      <c r="C859" t="s">
        <v>515</v>
      </c>
      <c r="D859" t="s">
        <v>46</v>
      </c>
      <c r="E859">
        <v>11000</v>
      </c>
      <c r="F859" s="1">
        <v>45855</v>
      </c>
      <c r="G859" t="s">
        <v>47</v>
      </c>
      <c r="H859" t="s">
        <v>50</v>
      </c>
      <c r="I859" s="13">
        <f>_xlfn.XLOOKUP(F859,'Wk no''s'!B:B,'Wk no''s'!C:C,FALSE)</f>
        <v>29</v>
      </c>
      <c r="J859" s="13">
        <f>IF(D859="GBP",1,SUMIFS('Ex Rates'!I:I,'Ex Rates'!K:K,'Weekly Closed Proposal Requests'!L859,'Ex Rates'!G:G,'Weekly Closed Proposal Requests'!D859))</f>
        <v>0.75757575757575757</v>
      </c>
      <c r="K859" s="13">
        <f t="shared" si="14"/>
        <v>8333.3333333333339</v>
      </c>
      <c r="L859" s="13" t="str">
        <f>_xlfn.XLOOKUP(I859,'Wk no''s'!C:C,'Wk no''s'!E:E,0)</f>
        <v>Jul</v>
      </c>
    </row>
    <row r="860" spans="1:12" x14ac:dyDescent="0.25">
      <c r="A860" s="1">
        <v>45848</v>
      </c>
      <c r="B860" t="s">
        <v>1384</v>
      </c>
      <c r="C860" t="s">
        <v>1073</v>
      </c>
      <c r="D860" t="s">
        <v>15</v>
      </c>
      <c r="E860">
        <v>19464.39</v>
      </c>
      <c r="F860" s="1">
        <v>45856</v>
      </c>
      <c r="G860" t="s">
        <v>47</v>
      </c>
      <c r="H860" t="s">
        <v>50</v>
      </c>
      <c r="I860" s="13">
        <f>_xlfn.XLOOKUP(F860,'Wk no''s'!B:B,'Wk no''s'!C:C,FALSE)</f>
        <v>29</v>
      </c>
      <c r="J860" s="13">
        <f>IF(D860="GBP",1,SUMIFS('Ex Rates'!I:I,'Ex Rates'!K:K,'Weekly Closed Proposal Requests'!L860,'Ex Rates'!G:G,'Weekly Closed Proposal Requests'!D860))</f>
        <v>1</v>
      </c>
      <c r="K860" s="13">
        <f t="shared" si="14"/>
        <v>19464.39</v>
      </c>
      <c r="L860" s="13" t="str">
        <f>_xlfn.XLOOKUP(I860,'Wk no''s'!C:C,'Wk no''s'!E:E,0)</f>
        <v>Jul</v>
      </c>
    </row>
    <row r="861" spans="1:12" x14ac:dyDescent="0.25">
      <c r="A861" s="1">
        <v>45854</v>
      </c>
      <c r="B861" t="s">
        <v>1389</v>
      </c>
      <c r="C861" t="s">
        <v>1221</v>
      </c>
      <c r="D861" t="s">
        <v>10</v>
      </c>
      <c r="E861">
        <v>60000</v>
      </c>
      <c r="F861" s="1">
        <v>45855</v>
      </c>
      <c r="G861" t="s">
        <v>11</v>
      </c>
      <c r="H861" t="s">
        <v>12</v>
      </c>
      <c r="I861" s="13">
        <f>_xlfn.XLOOKUP(F861,'Wk no''s'!B:B,'Wk no''s'!C:C,FALSE)</f>
        <v>29</v>
      </c>
      <c r="J861" s="13">
        <f>IF(D861="GBP",1,SUMIFS('Ex Rates'!I:I,'Ex Rates'!K:K,'Weekly Closed Proposal Requests'!L861,'Ex Rates'!G:G,'Weekly Closed Proposal Requests'!D861))</f>
        <v>0.48732943469785572</v>
      </c>
      <c r="K861" s="13">
        <f t="shared" si="14"/>
        <v>29239.766081871345</v>
      </c>
      <c r="L861" s="13" t="str">
        <f>_xlfn.XLOOKUP(I861,'Wk no''s'!C:C,'Wk no''s'!E:E,0)</f>
        <v>Jul</v>
      </c>
    </row>
    <row r="862" spans="1:12" x14ac:dyDescent="0.25">
      <c r="A862" s="1">
        <v>45845</v>
      </c>
      <c r="B862" t="s">
        <v>1387</v>
      </c>
      <c r="C862" t="s">
        <v>828</v>
      </c>
      <c r="D862" t="s">
        <v>10</v>
      </c>
      <c r="E862">
        <v>50000</v>
      </c>
      <c r="F862" s="1">
        <v>45854</v>
      </c>
      <c r="G862" t="s">
        <v>11</v>
      </c>
      <c r="H862" t="s">
        <v>50</v>
      </c>
      <c r="I862" s="13">
        <f>_xlfn.XLOOKUP(F862,'Wk no''s'!B:B,'Wk no''s'!C:C,FALSE)</f>
        <v>29</v>
      </c>
      <c r="J862" s="13">
        <f>IF(D862="GBP",1,SUMIFS('Ex Rates'!I:I,'Ex Rates'!K:K,'Weekly Closed Proposal Requests'!L862,'Ex Rates'!G:G,'Weekly Closed Proposal Requests'!D862))</f>
        <v>0.48732943469785572</v>
      </c>
      <c r="K862" s="13">
        <f t="shared" si="14"/>
        <v>24366.471734892788</v>
      </c>
      <c r="L862" s="13" t="str">
        <f>_xlfn.XLOOKUP(I862,'Wk no''s'!C:C,'Wk no''s'!E:E,0)</f>
        <v>Jul</v>
      </c>
    </row>
    <row r="863" spans="1:12" x14ac:dyDescent="0.25">
      <c r="A863" s="1">
        <v>45849</v>
      </c>
      <c r="B863" t="s">
        <v>1388</v>
      </c>
      <c r="C863" t="s">
        <v>525</v>
      </c>
      <c r="D863" t="s">
        <v>10</v>
      </c>
      <c r="E863">
        <v>10000</v>
      </c>
      <c r="F863" s="1">
        <v>45854</v>
      </c>
      <c r="G863" t="s">
        <v>11</v>
      </c>
      <c r="H863" t="s">
        <v>50</v>
      </c>
      <c r="I863" s="13">
        <f>_xlfn.XLOOKUP(F863,'Wk no''s'!B:B,'Wk no''s'!C:C,FALSE)</f>
        <v>29</v>
      </c>
      <c r="J863" s="13">
        <f>IF(D863="GBP",1,SUMIFS('Ex Rates'!I:I,'Ex Rates'!K:K,'Weekly Closed Proposal Requests'!L863,'Ex Rates'!G:G,'Weekly Closed Proposal Requests'!D863))</f>
        <v>0.48732943469785572</v>
      </c>
      <c r="K863" s="13">
        <f t="shared" si="14"/>
        <v>4873.2943469785569</v>
      </c>
      <c r="L863" s="13" t="str">
        <f>_xlfn.XLOOKUP(I863,'Wk no''s'!C:C,'Wk no''s'!E:E,0)</f>
        <v>Jul</v>
      </c>
    </row>
    <row r="864" spans="1:12" x14ac:dyDescent="0.25">
      <c r="A864" s="1">
        <v>45831</v>
      </c>
      <c r="B864" t="s">
        <v>1392</v>
      </c>
      <c r="C864" t="s">
        <v>1403</v>
      </c>
      <c r="D864" t="s">
        <v>15</v>
      </c>
      <c r="E864">
        <v>50000</v>
      </c>
      <c r="F864" s="1">
        <v>45855</v>
      </c>
      <c r="G864" t="s">
        <v>72</v>
      </c>
      <c r="H864" t="s">
        <v>19</v>
      </c>
      <c r="I864" s="13">
        <f>_xlfn.XLOOKUP(F864,'Wk no''s'!B:B,'Wk no''s'!C:C,FALSE)</f>
        <v>29</v>
      </c>
      <c r="J864" s="13">
        <f>IF(D864="GBP",1,SUMIFS('Ex Rates'!I:I,'Ex Rates'!K:K,'Weekly Closed Proposal Requests'!L864,'Ex Rates'!G:G,'Weekly Closed Proposal Requests'!D864))</f>
        <v>1</v>
      </c>
      <c r="K864" s="13">
        <f t="shared" si="14"/>
        <v>50000</v>
      </c>
      <c r="L864" s="13" t="str">
        <f>_xlfn.XLOOKUP(I864,'Wk no''s'!C:C,'Wk no''s'!E:E,0)</f>
        <v>Jul</v>
      </c>
    </row>
    <row r="865" spans="1:12" x14ac:dyDescent="0.25">
      <c r="A865" s="1">
        <v>45839</v>
      </c>
      <c r="B865" t="s">
        <v>1390</v>
      </c>
      <c r="C865" t="s">
        <v>136</v>
      </c>
      <c r="D865" t="s">
        <v>15</v>
      </c>
      <c r="E865">
        <v>200000</v>
      </c>
      <c r="F865" s="1">
        <v>45855</v>
      </c>
      <c r="G865" t="s">
        <v>72</v>
      </c>
      <c r="H865" t="s">
        <v>19</v>
      </c>
      <c r="I865" s="13">
        <f>_xlfn.XLOOKUP(F865,'Wk no''s'!B:B,'Wk no''s'!C:C,FALSE)</f>
        <v>29</v>
      </c>
      <c r="J865" s="13">
        <f>IF(D865="GBP",1,SUMIFS('Ex Rates'!I:I,'Ex Rates'!K:K,'Weekly Closed Proposal Requests'!L865,'Ex Rates'!G:G,'Weekly Closed Proposal Requests'!D865))</f>
        <v>1</v>
      </c>
      <c r="K865" s="13">
        <f t="shared" si="14"/>
        <v>200000</v>
      </c>
      <c r="L865" s="13" t="str">
        <f>_xlfn.XLOOKUP(I865,'Wk no''s'!C:C,'Wk no''s'!E:E,0)</f>
        <v>Jul</v>
      </c>
    </row>
    <row r="866" spans="1:12" x14ac:dyDescent="0.25">
      <c r="A866" s="1">
        <v>45842</v>
      </c>
      <c r="B866" t="s">
        <v>1393</v>
      </c>
      <c r="C866" t="s">
        <v>1404</v>
      </c>
      <c r="D866" t="s">
        <v>15</v>
      </c>
      <c r="E866">
        <v>200000</v>
      </c>
      <c r="F866" s="1">
        <v>45854</v>
      </c>
      <c r="G866" t="s">
        <v>72</v>
      </c>
      <c r="H866" t="s">
        <v>19</v>
      </c>
      <c r="I866" s="13">
        <f>_xlfn.XLOOKUP(F866,'Wk no''s'!B:B,'Wk no''s'!C:C,FALSE)</f>
        <v>29</v>
      </c>
      <c r="J866" s="13">
        <f>IF(D866="GBP",1,SUMIFS('Ex Rates'!I:I,'Ex Rates'!K:K,'Weekly Closed Proposal Requests'!L866,'Ex Rates'!G:G,'Weekly Closed Proposal Requests'!D866))</f>
        <v>1</v>
      </c>
      <c r="K866" s="13">
        <f t="shared" si="14"/>
        <v>200000</v>
      </c>
      <c r="L866" s="13" t="str">
        <f>_xlfn.XLOOKUP(I866,'Wk no''s'!C:C,'Wk no''s'!E:E,0)</f>
        <v>Jul</v>
      </c>
    </row>
    <row r="867" spans="1:12" x14ac:dyDescent="0.25">
      <c r="A867" s="1">
        <v>45848</v>
      </c>
      <c r="B867" t="s">
        <v>1394</v>
      </c>
      <c r="C867" t="s">
        <v>1150</v>
      </c>
      <c r="D867" t="s">
        <v>15</v>
      </c>
      <c r="E867">
        <v>200000</v>
      </c>
      <c r="F867" s="1">
        <v>45855</v>
      </c>
      <c r="G867" t="s">
        <v>72</v>
      </c>
      <c r="H867" t="s">
        <v>19</v>
      </c>
      <c r="I867" s="13">
        <f>_xlfn.XLOOKUP(F867,'Wk no''s'!B:B,'Wk no''s'!C:C,FALSE)</f>
        <v>29</v>
      </c>
      <c r="J867" s="13">
        <f>IF(D867="GBP",1,SUMIFS('Ex Rates'!I:I,'Ex Rates'!K:K,'Weekly Closed Proposal Requests'!L867,'Ex Rates'!G:G,'Weekly Closed Proposal Requests'!D867))</f>
        <v>1</v>
      </c>
      <c r="K867" s="13">
        <f t="shared" si="14"/>
        <v>200000</v>
      </c>
      <c r="L867" s="13" t="str">
        <f>_xlfn.XLOOKUP(I867,'Wk no''s'!C:C,'Wk no''s'!E:E,0)</f>
        <v>Jul</v>
      </c>
    </row>
    <row r="868" spans="1:12" x14ac:dyDescent="0.25">
      <c r="A868" s="1">
        <v>45855</v>
      </c>
      <c r="B868" t="s">
        <v>1391</v>
      </c>
      <c r="C868" t="s">
        <v>1150</v>
      </c>
      <c r="D868" t="s">
        <v>15</v>
      </c>
      <c r="E868">
        <v>200000</v>
      </c>
      <c r="F868" s="1">
        <v>45856</v>
      </c>
      <c r="G868" t="s">
        <v>72</v>
      </c>
      <c r="H868" t="s">
        <v>19</v>
      </c>
      <c r="I868" s="13">
        <f>_xlfn.XLOOKUP(F868,'Wk no''s'!B:B,'Wk no''s'!C:C,FALSE)</f>
        <v>29</v>
      </c>
      <c r="J868" s="13">
        <f>IF(D868="GBP",1,SUMIFS('Ex Rates'!I:I,'Ex Rates'!K:K,'Weekly Closed Proposal Requests'!L868,'Ex Rates'!G:G,'Weekly Closed Proposal Requests'!D868))</f>
        <v>1</v>
      </c>
      <c r="K868" s="13">
        <f t="shared" si="14"/>
        <v>200000</v>
      </c>
      <c r="L868" s="13" t="str">
        <f>_xlfn.XLOOKUP(I868,'Wk no''s'!C:C,'Wk no''s'!E:E,0)</f>
        <v>Jul</v>
      </c>
    </row>
    <row r="869" spans="1:12" x14ac:dyDescent="0.25">
      <c r="A869" s="1">
        <v>45849</v>
      </c>
      <c r="B869" t="s">
        <v>1411</v>
      </c>
      <c r="C869" t="s">
        <v>1183</v>
      </c>
      <c r="D869" t="s">
        <v>15</v>
      </c>
      <c r="E869">
        <v>30000</v>
      </c>
      <c r="F869" s="1">
        <v>45862</v>
      </c>
      <c r="G869" t="s">
        <v>16</v>
      </c>
      <c r="H869" t="s">
        <v>12</v>
      </c>
      <c r="I869" s="13">
        <f>_xlfn.XLOOKUP(F869,'Wk no''s'!B:B,'Wk no''s'!C:C,FALSE)</f>
        <v>30</v>
      </c>
      <c r="J869" s="13">
        <f>IF(D869="GBP",1,SUMIFS('Ex Rates'!I:I,'Ex Rates'!K:K,'Weekly Closed Proposal Requests'!L869,'Ex Rates'!G:G,'Weekly Closed Proposal Requests'!D869))</f>
        <v>1</v>
      </c>
      <c r="K869" s="13">
        <f t="shared" si="14"/>
        <v>30000</v>
      </c>
      <c r="L869" s="13" t="str">
        <f>_xlfn.XLOOKUP(I869,'Wk no''s'!C:C,'Wk no''s'!E:E,0)</f>
        <v>Jul</v>
      </c>
    </row>
    <row r="870" spans="1:12" x14ac:dyDescent="0.25">
      <c r="A870" s="1">
        <v>45854</v>
      </c>
      <c r="B870" t="s">
        <v>1412</v>
      </c>
      <c r="C870" t="s">
        <v>1395</v>
      </c>
      <c r="D870" t="s">
        <v>15</v>
      </c>
      <c r="E870">
        <v>15000</v>
      </c>
      <c r="F870" s="1">
        <v>45861</v>
      </c>
      <c r="G870" t="s">
        <v>16</v>
      </c>
      <c r="H870" t="s">
        <v>12</v>
      </c>
      <c r="I870" s="13">
        <f>_xlfn.XLOOKUP(F870,'Wk no''s'!B:B,'Wk no''s'!C:C,FALSE)</f>
        <v>30</v>
      </c>
      <c r="J870" s="13">
        <f>IF(D870="GBP",1,SUMIFS('Ex Rates'!I:I,'Ex Rates'!K:K,'Weekly Closed Proposal Requests'!L870,'Ex Rates'!G:G,'Weekly Closed Proposal Requests'!D870))</f>
        <v>1</v>
      </c>
      <c r="K870" s="13">
        <f t="shared" si="14"/>
        <v>15000</v>
      </c>
      <c r="L870" s="13" t="str">
        <f>_xlfn.XLOOKUP(I870,'Wk no''s'!C:C,'Wk no''s'!E:E,0)</f>
        <v>Jul</v>
      </c>
    </row>
    <row r="871" spans="1:12" x14ac:dyDescent="0.25">
      <c r="A871" s="1">
        <v>45859</v>
      </c>
      <c r="B871" t="s">
        <v>1416</v>
      </c>
      <c r="C871" t="s">
        <v>1448</v>
      </c>
      <c r="D871" t="s">
        <v>15</v>
      </c>
      <c r="E871">
        <v>15000</v>
      </c>
      <c r="F871" s="1">
        <v>45862</v>
      </c>
      <c r="G871" t="s">
        <v>16</v>
      </c>
      <c r="H871" t="s">
        <v>12</v>
      </c>
      <c r="I871" s="13">
        <f>_xlfn.XLOOKUP(F871,'Wk no''s'!B:B,'Wk no''s'!C:C,FALSE)</f>
        <v>30</v>
      </c>
      <c r="J871" s="13">
        <f>IF(D871="GBP",1,SUMIFS('Ex Rates'!I:I,'Ex Rates'!K:K,'Weekly Closed Proposal Requests'!L871,'Ex Rates'!G:G,'Weekly Closed Proposal Requests'!D871))</f>
        <v>1</v>
      </c>
      <c r="K871" s="13">
        <f t="shared" si="14"/>
        <v>15000</v>
      </c>
      <c r="L871" s="13" t="str">
        <f>_xlfn.XLOOKUP(I871,'Wk no''s'!C:C,'Wk no''s'!E:E,0)</f>
        <v>Jul</v>
      </c>
    </row>
    <row r="872" spans="1:12" x14ac:dyDescent="0.25">
      <c r="A872" s="1">
        <v>45826</v>
      </c>
      <c r="B872" t="s">
        <v>1405</v>
      </c>
      <c r="C872" t="s">
        <v>454</v>
      </c>
      <c r="D872" t="s">
        <v>15</v>
      </c>
      <c r="E872">
        <v>200000</v>
      </c>
      <c r="F872" s="1">
        <v>45863</v>
      </c>
      <c r="G872" t="s">
        <v>16</v>
      </c>
      <c r="H872" t="s">
        <v>19</v>
      </c>
      <c r="I872" s="13">
        <f>_xlfn.XLOOKUP(F872,'Wk no''s'!B:B,'Wk no''s'!C:C,FALSE)</f>
        <v>30</v>
      </c>
      <c r="J872" s="13">
        <f>IF(D872="GBP",1,SUMIFS('Ex Rates'!I:I,'Ex Rates'!K:K,'Weekly Closed Proposal Requests'!L872,'Ex Rates'!G:G,'Weekly Closed Proposal Requests'!D872))</f>
        <v>1</v>
      </c>
      <c r="K872" s="13">
        <f t="shared" si="14"/>
        <v>200000</v>
      </c>
      <c r="L872" s="13" t="str">
        <f>_xlfn.XLOOKUP(I872,'Wk no''s'!C:C,'Wk no''s'!E:E,0)</f>
        <v>Jul</v>
      </c>
    </row>
    <row r="873" spans="1:12" x14ac:dyDescent="0.25">
      <c r="A873" s="1">
        <v>45841</v>
      </c>
      <c r="B873" t="s">
        <v>1406</v>
      </c>
      <c r="C873" t="s">
        <v>1512</v>
      </c>
      <c r="D873" t="s">
        <v>15</v>
      </c>
      <c r="E873">
        <v>100000</v>
      </c>
      <c r="F873" s="1">
        <v>45860</v>
      </c>
      <c r="G873" t="s">
        <v>16</v>
      </c>
      <c r="H873" t="s">
        <v>19</v>
      </c>
      <c r="I873" s="13">
        <f>_xlfn.XLOOKUP(F873,'Wk no''s'!B:B,'Wk no''s'!C:C,FALSE)</f>
        <v>30</v>
      </c>
      <c r="J873" s="13">
        <f>IF(D873="GBP",1,SUMIFS('Ex Rates'!I:I,'Ex Rates'!K:K,'Weekly Closed Proposal Requests'!L873,'Ex Rates'!G:G,'Weekly Closed Proposal Requests'!D873))</f>
        <v>1</v>
      </c>
      <c r="K873" s="13">
        <f t="shared" si="14"/>
        <v>100000</v>
      </c>
      <c r="L873" s="13" t="str">
        <f>_xlfn.XLOOKUP(I873,'Wk no''s'!C:C,'Wk no''s'!E:E,0)</f>
        <v>Jul</v>
      </c>
    </row>
    <row r="874" spans="1:12" x14ac:dyDescent="0.25">
      <c r="A874" s="1">
        <v>45845</v>
      </c>
      <c r="B874" t="s">
        <v>1407</v>
      </c>
      <c r="C874" t="s">
        <v>795</v>
      </c>
      <c r="D874" t="s">
        <v>15</v>
      </c>
      <c r="E874">
        <v>240000</v>
      </c>
      <c r="F874" s="1">
        <v>45862</v>
      </c>
      <c r="G874" t="s">
        <v>16</v>
      </c>
      <c r="H874" t="s">
        <v>19</v>
      </c>
      <c r="I874" s="13">
        <f>_xlfn.XLOOKUP(F874,'Wk no''s'!B:B,'Wk no''s'!C:C,FALSE)</f>
        <v>30</v>
      </c>
      <c r="J874" s="13">
        <f>IF(D874="GBP",1,SUMIFS('Ex Rates'!I:I,'Ex Rates'!K:K,'Weekly Closed Proposal Requests'!L874,'Ex Rates'!G:G,'Weekly Closed Proposal Requests'!D874))</f>
        <v>1</v>
      </c>
      <c r="K874" s="13">
        <f t="shared" si="14"/>
        <v>240000</v>
      </c>
      <c r="L874" s="13" t="str">
        <f>_xlfn.XLOOKUP(I874,'Wk no''s'!C:C,'Wk no''s'!E:E,0)</f>
        <v>Jul</v>
      </c>
    </row>
    <row r="875" spans="1:12" x14ac:dyDescent="0.25">
      <c r="A875" s="1">
        <v>45849</v>
      </c>
      <c r="B875" t="s">
        <v>1410</v>
      </c>
      <c r="C875" t="s">
        <v>1183</v>
      </c>
      <c r="D875" t="s">
        <v>15</v>
      </c>
      <c r="E875">
        <v>20000</v>
      </c>
      <c r="F875" s="1">
        <v>45859</v>
      </c>
      <c r="G875" t="s">
        <v>16</v>
      </c>
      <c r="H875" t="s">
        <v>19</v>
      </c>
      <c r="I875" s="13">
        <f>_xlfn.XLOOKUP(F875,'Wk no''s'!B:B,'Wk no''s'!C:C,FALSE)</f>
        <v>30</v>
      </c>
      <c r="J875" s="13">
        <f>IF(D875="GBP",1,SUMIFS('Ex Rates'!I:I,'Ex Rates'!K:K,'Weekly Closed Proposal Requests'!L875,'Ex Rates'!G:G,'Weekly Closed Proposal Requests'!D875))</f>
        <v>1</v>
      </c>
      <c r="K875" s="13">
        <f t="shared" si="14"/>
        <v>20000</v>
      </c>
      <c r="L875" s="13" t="str">
        <f>_xlfn.XLOOKUP(I875,'Wk no''s'!C:C,'Wk no''s'!E:E,0)</f>
        <v>Jul</v>
      </c>
    </row>
    <row r="876" spans="1:12" x14ac:dyDescent="0.25">
      <c r="A876" s="1">
        <v>45854</v>
      </c>
      <c r="B876" t="s">
        <v>1413</v>
      </c>
      <c r="C876" t="s">
        <v>148</v>
      </c>
      <c r="D876" t="s">
        <v>15</v>
      </c>
      <c r="E876">
        <v>50000</v>
      </c>
      <c r="F876" s="1">
        <v>45862</v>
      </c>
      <c r="G876" t="s">
        <v>16</v>
      </c>
      <c r="H876" t="s">
        <v>19</v>
      </c>
      <c r="I876" s="13">
        <f>_xlfn.XLOOKUP(F876,'Wk no''s'!B:B,'Wk no''s'!C:C,FALSE)</f>
        <v>30</v>
      </c>
      <c r="J876" s="13">
        <f>IF(D876="GBP",1,SUMIFS('Ex Rates'!I:I,'Ex Rates'!K:K,'Weekly Closed Proposal Requests'!L876,'Ex Rates'!G:G,'Weekly Closed Proposal Requests'!D876))</f>
        <v>1</v>
      </c>
      <c r="K876" s="13">
        <f t="shared" si="14"/>
        <v>50000</v>
      </c>
      <c r="L876" s="13" t="str">
        <f>_xlfn.XLOOKUP(I876,'Wk no''s'!C:C,'Wk no''s'!E:E,0)</f>
        <v>Jul</v>
      </c>
    </row>
    <row r="877" spans="1:12" x14ac:dyDescent="0.25">
      <c r="A877" s="1">
        <v>45855</v>
      </c>
      <c r="B877" t="s">
        <v>1414</v>
      </c>
      <c r="C877" t="s">
        <v>1556</v>
      </c>
      <c r="D877" t="s">
        <v>15</v>
      </c>
      <c r="E877">
        <v>50000</v>
      </c>
      <c r="F877" s="1">
        <v>45862</v>
      </c>
      <c r="G877" t="s">
        <v>16</v>
      </c>
      <c r="H877" t="s">
        <v>19</v>
      </c>
      <c r="I877" s="13">
        <f>_xlfn.XLOOKUP(F877,'Wk no''s'!B:B,'Wk no''s'!C:C,FALSE)</f>
        <v>30</v>
      </c>
      <c r="J877" s="13">
        <f>IF(D877="GBP",1,SUMIFS('Ex Rates'!I:I,'Ex Rates'!K:K,'Weekly Closed Proposal Requests'!L877,'Ex Rates'!G:G,'Weekly Closed Proposal Requests'!D877))</f>
        <v>1</v>
      </c>
      <c r="K877" s="13">
        <f t="shared" si="14"/>
        <v>50000</v>
      </c>
      <c r="L877" s="13" t="str">
        <f>_xlfn.XLOOKUP(I877,'Wk no''s'!C:C,'Wk no''s'!E:E,0)</f>
        <v>Jul</v>
      </c>
    </row>
    <row r="878" spans="1:12" x14ac:dyDescent="0.25">
      <c r="A878" s="1">
        <v>45859</v>
      </c>
      <c r="B878" t="s">
        <v>1409</v>
      </c>
      <c r="C878" t="s">
        <v>1359</v>
      </c>
      <c r="D878" t="s">
        <v>15</v>
      </c>
      <c r="E878">
        <v>3500</v>
      </c>
      <c r="F878" s="1">
        <v>45862</v>
      </c>
      <c r="G878" t="s">
        <v>16</v>
      </c>
      <c r="H878" t="s">
        <v>19</v>
      </c>
      <c r="I878" s="13">
        <f>_xlfn.XLOOKUP(F878,'Wk no''s'!B:B,'Wk no''s'!C:C,FALSE)</f>
        <v>30</v>
      </c>
      <c r="J878" s="13">
        <f>IF(D878="GBP",1,SUMIFS('Ex Rates'!I:I,'Ex Rates'!K:K,'Weekly Closed Proposal Requests'!L878,'Ex Rates'!G:G,'Weekly Closed Proposal Requests'!D878))</f>
        <v>1</v>
      </c>
      <c r="K878" s="13">
        <f t="shared" si="14"/>
        <v>3500</v>
      </c>
      <c r="L878" s="13" t="str">
        <f>_xlfn.XLOOKUP(I878,'Wk no''s'!C:C,'Wk no''s'!E:E,0)</f>
        <v>Jul</v>
      </c>
    </row>
    <row r="879" spans="1:12" x14ac:dyDescent="0.25">
      <c r="A879" s="1">
        <v>45860</v>
      </c>
      <c r="B879" t="s">
        <v>1417</v>
      </c>
      <c r="C879" t="s">
        <v>454</v>
      </c>
      <c r="D879" t="s">
        <v>15</v>
      </c>
      <c r="E879">
        <v>200000</v>
      </c>
      <c r="F879" s="1">
        <v>45863</v>
      </c>
      <c r="G879" t="s">
        <v>16</v>
      </c>
      <c r="H879" t="s">
        <v>19</v>
      </c>
      <c r="I879" s="13">
        <f>_xlfn.XLOOKUP(F879,'Wk no''s'!B:B,'Wk no''s'!C:C,FALSE)</f>
        <v>30</v>
      </c>
      <c r="J879" s="13">
        <f>IF(D879="GBP",1,SUMIFS('Ex Rates'!I:I,'Ex Rates'!K:K,'Weekly Closed Proposal Requests'!L879,'Ex Rates'!G:G,'Weekly Closed Proposal Requests'!D879))</f>
        <v>1</v>
      </c>
      <c r="K879" s="13">
        <f t="shared" si="14"/>
        <v>200000</v>
      </c>
      <c r="L879" s="13" t="str">
        <f>_xlfn.XLOOKUP(I879,'Wk no''s'!C:C,'Wk no''s'!E:E,0)</f>
        <v>Jul</v>
      </c>
    </row>
    <row r="880" spans="1:12" x14ac:dyDescent="0.25">
      <c r="A880" s="1">
        <v>45859</v>
      </c>
      <c r="B880" t="s">
        <v>1408</v>
      </c>
      <c r="C880" t="s">
        <v>849</v>
      </c>
      <c r="D880" t="s">
        <v>15</v>
      </c>
      <c r="E880">
        <v>50000</v>
      </c>
      <c r="F880" s="1">
        <v>45862</v>
      </c>
      <c r="G880" t="s">
        <v>16</v>
      </c>
      <c r="H880" t="s">
        <v>50</v>
      </c>
      <c r="I880" s="13">
        <f>_xlfn.XLOOKUP(F880,'Wk no''s'!B:B,'Wk no''s'!C:C,FALSE)</f>
        <v>30</v>
      </c>
      <c r="J880" s="13">
        <f>IF(D880="GBP",1,SUMIFS('Ex Rates'!I:I,'Ex Rates'!K:K,'Weekly Closed Proposal Requests'!L880,'Ex Rates'!G:G,'Weekly Closed Proposal Requests'!D880))</f>
        <v>1</v>
      </c>
      <c r="K880" s="13">
        <f t="shared" si="14"/>
        <v>50000</v>
      </c>
      <c r="L880" s="13" t="str">
        <f>_xlfn.XLOOKUP(I880,'Wk no''s'!C:C,'Wk no''s'!E:E,0)</f>
        <v>Jul</v>
      </c>
    </row>
    <row r="881" spans="1:12" x14ac:dyDescent="0.25">
      <c r="A881" s="1">
        <v>45862</v>
      </c>
      <c r="B881" t="s">
        <v>1418</v>
      </c>
      <c r="C881" t="s">
        <v>1450</v>
      </c>
      <c r="D881" t="s">
        <v>15</v>
      </c>
      <c r="E881">
        <v>5000</v>
      </c>
      <c r="F881" s="1">
        <v>45863</v>
      </c>
      <c r="G881" t="s">
        <v>16</v>
      </c>
      <c r="H881" t="s">
        <v>50</v>
      </c>
      <c r="I881" s="13">
        <f>_xlfn.XLOOKUP(F881,'Wk no''s'!B:B,'Wk no''s'!C:C,FALSE)</f>
        <v>30</v>
      </c>
      <c r="J881" s="13">
        <f>IF(D881="GBP",1,SUMIFS('Ex Rates'!I:I,'Ex Rates'!K:K,'Weekly Closed Proposal Requests'!L881,'Ex Rates'!G:G,'Weekly Closed Proposal Requests'!D881))</f>
        <v>1</v>
      </c>
      <c r="K881" s="13">
        <f t="shared" si="14"/>
        <v>5000</v>
      </c>
      <c r="L881" s="13" t="str">
        <f>_xlfn.XLOOKUP(I881,'Wk no''s'!C:C,'Wk no''s'!E:E,0)</f>
        <v>Jul</v>
      </c>
    </row>
    <row r="882" spans="1:12" x14ac:dyDescent="0.25">
      <c r="A882" s="1">
        <v>45855</v>
      </c>
      <c r="B882" t="s">
        <v>1419</v>
      </c>
      <c r="C882" t="s">
        <v>463</v>
      </c>
      <c r="D882" t="s">
        <v>40</v>
      </c>
      <c r="E882">
        <v>55000</v>
      </c>
      <c r="F882" s="1">
        <v>45862</v>
      </c>
      <c r="G882" t="s">
        <v>41</v>
      </c>
      <c r="H882" t="s">
        <v>19</v>
      </c>
      <c r="I882" s="13">
        <f>_xlfn.XLOOKUP(F882,'Wk no''s'!B:B,'Wk no''s'!C:C,FALSE)</f>
        <v>30</v>
      </c>
      <c r="J882" s="13">
        <f>IF(D882="GBP",1,SUMIFS('Ex Rates'!I:I,'Ex Rates'!K:K,'Weekly Closed Proposal Requests'!L882,'Ex Rates'!G:G,'Weekly Closed Proposal Requests'!D882))</f>
        <v>0.86655112651646449</v>
      </c>
      <c r="K882" s="13">
        <f t="shared" si="14"/>
        <v>47660.311958405546</v>
      </c>
      <c r="L882" s="13" t="str">
        <f>_xlfn.XLOOKUP(I882,'Wk no''s'!C:C,'Wk no''s'!E:E,0)</f>
        <v>Jul</v>
      </c>
    </row>
    <row r="883" spans="1:12" x14ac:dyDescent="0.25">
      <c r="A883" s="1">
        <v>45819</v>
      </c>
      <c r="B883" t="s">
        <v>1422</v>
      </c>
      <c r="C883" t="s">
        <v>465</v>
      </c>
      <c r="D883" t="s">
        <v>46</v>
      </c>
      <c r="E883">
        <v>1500000</v>
      </c>
      <c r="F883" s="1">
        <v>45863</v>
      </c>
      <c r="G883" t="s">
        <v>47</v>
      </c>
      <c r="H883" t="s">
        <v>19</v>
      </c>
      <c r="I883" s="13">
        <f>_xlfn.XLOOKUP(F883,'Wk no''s'!B:B,'Wk no''s'!C:C,FALSE)</f>
        <v>30</v>
      </c>
      <c r="J883" s="13">
        <f>IF(D883="GBP",1,SUMIFS('Ex Rates'!I:I,'Ex Rates'!K:K,'Weekly Closed Proposal Requests'!L883,'Ex Rates'!G:G,'Weekly Closed Proposal Requests'!D883))</f>
        <v>0.75757575757575757</v>
      </c>
      <c r="K883" s="13">
        <f t="shared" si="14"/>
        <v>1136363.6363636365</v>
      </c>
      <c r="L883" s="13" t="str">
        <f>_xlfn.XLOOKUP(I883,'Wk no''s'!C:C,'Wk no''s'!E:E,0)</f>
        <v>Jul</v>
      </c>
    </row>
    <row r="884" spans="1:12" x14ac:dyDescent="0.25">
      <c r="A884" s="1">
        <v>45855</v>
      </c>
      <c r="B884" t="s">
        <v>1425</v>
      </c>
      <c r="C884" t="s">
        <v>1262</v>
      </c>
      <c r="D884" t="s">
        <v>46</v>
      </c>
      <c r="E884">
        <v>67000</v>
      </c>
      <c r="F884" s="1">
        <v>45859</v>
      </c>
      <c r="G884" t="s">
        <v>47</v>
      </c>
      <c r="H884" t="s">
        <v>19</v>
      </c>
      <c r="I884" s="13">
        <f>_xlfn.XLOOKUP(F884,'Wk no''s'!B:B,'Wk no''s'!C:C,FALSE)</f>
        <v>30</v>
      </c>
      <c r="J884" s="13">
        <f>IF(D884="GBP",1,SUMIFS('Ex Rates'!I:I,'Ex Rates'!K:K,'Weekly Closed Proposal Requests'!L884,'Ex Rates'!G:G,'Weekly Closed Proposal Requests'!D884))</f>
        <v>0.75757575757575757</v>
      </c>
      <c r="K884" s="13">
        <f t="shared" si="14"/>
        <v>50757.57575757576</v>
      </c>
      <c r="L884" s="13" t="str">
        <f>_xlfn.XLOOKUP(I884,'Wk no''s'!C:C,'Wk no''s'!E:E,0)</f>
        <v>Jul</v>
      </c>
    </row>
    <row r="885" spans="1:12" x14ac:dyDescent="0.25">
      <c r="A885" s="1">
        <v>45855</v>
      </c>
      <c r="B885" t="s">
        <v>1426</v>
      </c>
      <c r="C885" t="s">
        <v>217</v>
      </c>
      <c r="D885" t="s">
        <v>46</v>
      </c>
      <c r="E885">
        <v>600000</v>
      </c>
      <c r="F885" s="1">
        <v>45859</v>
      </c>
      <c r="G885" t="s">
        <v>47</v>
      </c>
      <c r="H885" t="s">
        <v>19</v>
      </c>
      <c r="I885" s="13">
        <f>_xlfn.XLOOKUP(F885,'Wk no''s'!B:B,'Wk no''s'!C:C,FALSE)</f>
        <v>30</v>
      </c>
      <c r="J885" s="13">
        <f>IF(D885="GBP",1,SUMIFS('Ex Rates'!I:I,'Ex Rates'!K:K,'Weekly Closed Proposal Requests'!L885,'Ex Rates'!G:G,'Weekly Closed Proposal Requests'!D885))</f>
        <v>0.75757575757575757</v>
      </c>
      <c r="K885" s="13">
        <f t="shared" si="14"/>
        <v>454545.45454545453</v>
      </c>
      <c r="L885" s="13" t="str">
        <f>_xlfn.XLOOKUP(I885,'Wk no''s'!C:C,'Wk no''s'!E:E,0)</f>
        <v>Jul</v>
      </c>
    </row>
    <row r="886" spans="1:12" x14ac:dyDescent="0.25">
      <c r="A886" s="1">
        <v>45859</v>
      </c>
      <c r="B886" t="s">
        <v>1427</v>
      </c>
      <c r="C886" t="s">
        <v>1451</v>
      </c>
      <c r="D886" t="s">
        <v>46</v>
      </c>
      <c r="E886">
        <v>25000</v>
      </c>
      <c r="F886" s="1">
        <v>45859</v>
      </c>
      <c r="G886" t="s">
        <v>47</v>
      </c>
      <c r="H886" t="s">
        <v>19</v>
      </c>
      <c r="I886" s="13">
        <f>_xlfn.XLOOKUP(F886,'Wk no''s'!B:B,'Wk no''s'!C:C,FALSE)</f>
        <v>30</v>
      </c>
      <c r="J886" s="13">
        <f>IF(D886="GBP",1,SUMIFS('Ex Rates'!I:I,'Ex Rates'!K:K,'Weekly Closed Proposal Requests'!L886,'Ex Rates'!G:G,'Weekly Closed Proposal Requests'!D886))</f>
        <v>0.75757575757575757</v>
      </c>
      <c r="K886" s="13">
        <f t="shared" si="14"/>
        <v>18939.39393939394</v>
      </c>
      <c r="L886" s="13" t="str">
        <f>_xlfn.XLOOKUP(I886,'Wk no''s'!C:C,'Wk no''s'!E:E,0)</f>
        <v>Jul</v>
      </c>
    </row>
    <row r="887" spans="1:12" x14ac:dyDescent="0.25">
      <c r="A887" s="1">
        <v>45861</v>
      </c>
      <c r="B887" t="s">
        <v>1428</v>
      </c>
      <c r="C887" t="s">
        <v>217</v>
      </c>
      <c r="D887" t="s">
        <v>46</v>
      </c>
      <c r="E887">
        <v>600000</v>
      </c>
      <c r="F887" s="1">
        <v>45861</v>
      </c>
      <c r="G887" t="s">
        <v>47</v>
      </c>
      <c r="H887" t="s">
        <v>19</v>
      </c>
      <c r="I887" s="13">
        <f>_xlfn.XLOOKUP(F887,'Wk no''s'!B:B,'Wk no''s'!C:C,FALSE)</f>
        <v>30</v>
      </c>
      <c r="J887" s="13">
        <f>IF(D887="GBP",1,SUMIFS('Ex Rates'!I:I,'Ex Rates'!K:K,'Weekly Closed Proposal Requests'!L887,'Ex Rates'!G:G,'Weekly Closed Proposal Requests'!D887))</f>
        <v>0.75757575757575757</v>
      </c>
      <c r="K887" s="13">
        <f t="shared" si="14"/>
        <v>454545.45454545453</v>
      </c>
      <c r="L887" s="13" t="str">
        <f>_xlfn.XLOOKUP(I887,'Wk no''s'!C:C,'Wk no''s'!E:E,0)</f>
        <v>Jul</v>
      </c>
    </row>
    <row r="888" spans="1:12" x14ac:dyDescent="0.25">
      <c r="A888" s="1">
        <v>45779</v>
      </c>
      <c r="B888" t="s">
        <v>1420</v>
      </c>
      <c r="C888" t="s">
        <v>1452</v>
      </c>
      <c r="D888" t="s">
        <v>15</v>
      </c>
      <c r="E888">
        <v>16000</v>
      </c>
      <c r="F888" s="1">
        <v>45863</v>
      </c>
      <c r="G888" t="s">
        <v>47</v>
      </c>
      <c r="H888" t="s">
        <v>50</v>
      </c>
      <c r="I888" s="13">
        <f>_xlfn.XLOOKUP(F888,'Wk no''s'!B:B,'Wk no''s'!C:C,FALSE)</f>
        <v>30</v>
      </c>
      <c r="J888" s="13">
        <f>IF(D888="GBP",1,SUMIFS('Ex Rates'!I:I,'Ex Rates'!K:K,'Weekly Closed Proposal Requests'!L888,'Ex Rates'!G:G,'Weekly Closed Proposal Requests'!D888))</f>
        <v>1</v>
      </c>
      <c r="K888" s="13">
        <f t="shared" si="14"/>
        <v>16000</v>
      </c>
      <c r="L888" s="13" t="str">
        <f>_xlfn.XLOOKUP(I888,'Wk no''s'!C:C,'Wk no''s'!E:E,0)</f>
        <v>Jul</v>
      </c>
    </row>
    <row r="889" spans="1:12" x14ac:dyDescent="0.25">
      <c r="A889" s="1">
        <v>45798</v>
      </c>
      <c r="B889" t="s">
        <v>1421</v>
      </c>
      <c r="C889" t="s">
        <v>215</v>
      </c>
      <c r="D889" t="s">
        <v>15</v>
      </c>
      <c r="E889">
        <v>63000</v>
      </c>
      <c r="F889" s="1">
        <v>45861</v>
      </c>
      <c r="G889" t="s">
        <v>47</v>
      </c>
      <c r="H889" t="s">
        <v>50</v>
      </c>
      <c r="I889" s="13">
        <f>_xlfn.XLOOKUP(F889,'Wk no''s'!B:B,'Wk no''s'!C:C,FALSE)</f>
        <v>30</v>
      </c>
      <c r="J889" s="13">
        <f>IF(D889="GBP",1,SUMIFS('Ex Rates'!I:I,'Ex Rates'!K:K,'Weekly Closed Proposal Requests'!L889,'Ex Rates'!G:G,'Weekly Closed Proposal Requests'!D889))</f>
        <v>1</v>
      </c>
      <c r="K889" s="13">
        <f t="shared" si="14"/>
        <v>63000</v>
      </c>
      <c r="L889" s="13" t="str">
        <f>_xlfn.XLOOKUP(I889,'Wk no''s'!C:C,'Wk no''s'!E:E,0)</f>
        <v>Jul</v>
      </c>
    </row>
    <row r="890" spans="1:12" x14ac:dyDescent="0.25">
      <c r="A890" s="1">
        <v>45840</v>
      </c>
      <c r="B890" t="s">
        <v>1424</v>
      </c>
      <c r="C890" t="s">
        <v>1274</v>
      </c>
      <c r="D890" t="s">
        <v>15</v>
      </c>
      <c r="E890">
        <v>112741.06</v>
      </c>
      <c r="F890" s="1">
        <v>45863</v>
      </c>
      <c r="G890" t="s">
        <v>47</v>
      </c>
      <c r="H890" t="s">
        <v>50</v>
      </c>
      <c r="I890" s="13">
        <f>_xlfn.XLOOKUP(F890,'Wk no''s'!B:B,'Wk no''s'!C:C,FALSE)</f>
        <v>30</v>
      </c>
      <c r="J890" s="13">
        <f>IF(D890="GBP",1,SUMIFS('Ex Rates'!I:I,'Ex Rates'!K:K,'Weekly Closed Proposal Requests'!L890,'Ex Rates'!G:G,'Weekly Closed Proposal Requests'!D890))</f>
        <v>1</v>
      </c>
      <c r="K890" s="13">
        <f t="shared" si="14"/>
        <v>112741.06</v>
      </c>
      <c r="L890" s="13" t="str">
        <f>_xlfn.XLOOKUP(I890,'Wk no''s'!C:C,'Wk no''s'!E:E,0)</f>
        <v>Jul</v>
      </c>
    </row>
    <row r="891" spans="1:12" x14ac:dyDescent="0.25">
      <c r="A891" s="1">
        <v>45856</v>
      </c>
      <c r="B891" t="s">
        <v>1423</v>
      </c>
      <c r="C891" t="s">
        <v>1073</v>
      </c>
      <c r="D891" t="s">
        <v>15</v>
      </c>
      <c r="E891">
        <v>19464.39</v>
      </c>
      <c r="F891" s="1">
        <v>45861</v>
      </c>
      <c r="G891" t="s">
        <v>47</v>
      </c>
      <c r="H891" t="s">
        <v>50</v>
      </c>
      <c r="I891" s="13">
        <f>_xlfn.XLOOKUP(F891,'Wk no''s'!B:B,'Wk no''s'!C:C,FALSE)</f>
        <v>30</v>
      </c>
      <c r="J891" s="13">
        <f>IF(D891="GBP",1,SUMIFS('Ex Rates'!I:I,'Ex Rates'!K:K,'Weekly Closed Proposal Requests'!L891,'Ex Rates'!G:G,'Weekly Closed Proposal Requests'!D891))</f>
        <v>1</v>
      </c>
      <c r="K891" s="13">
        <f t="shared" si="14"/>
        <v>19464.39</v>
      </c>
      <c r="L891" s="13" t="str">
        <f>_xlfn.XLOOKUP(I891,'Wk no''s'!C:C,'Wk no''s'!E:E,0)</f>
        <v>Jul</v>
      </c>
    </row>
    <row r="892" spans="1:12" x14ac:dyDescent="0.25">
      <c r="A892" s="1">
        <v>45862</v>
      </c>
      <c r="B892" t="s">
        <v>1429</v>
      </c>
      <c r="C892" t="s">
        <v>859</v>
      </c>
      <c r="D892" t="s">
        <v>15</v>
      </c>
      <c r="E892">
        <v>20815.22</v>
      </c>
      <c r="F892" s="1">
        <v>45863</v>
      </c>
      <c r="G892" t="s">
        <v>47</v>
      </c>
      <c r="H892" t="s">
        <v>50</v>
      </c>
      <c r="I892" s="13">
        <f>_xlfn.XLOOKUP(F892,'Wk no''s'!B:B,'Wk no''s'!C:C,FALSE)</f>
        <v>30</v>
      </c>
      <c r="J892" s="13">
        <f>IF(D892="GBP",1,SUMIFS('Ex Rates'!I:I,'Ex Rates'!K:K,'Weekly Closed Proposal Requests'!L892,'Ex Rates'!G:G,'Weekly Closed Proposal Requests'!D892))</f>
        <v>1</v>
      </c>
      <c r="K892" s="13">
        <f t="shared" si="14"/>
        <v>20815.22</v>
      </c>
      <c r="L892" s="13" t="str">
        <f>_xlfn.XLOOKUP(I892,'Wk no''s'!C:C,'Wk no''s'!E:E,0)</f>
        <v>Jul</v>
      </c>
    </row>
    <row r="893" spans="1:12" x14ac:dyDescent="0.25">
      <c r="A893" s="1">
        <v>45859</v>
      </c>
      <c r="B893" t="s">
        <v>1434</v>
      </c>
      <c r="C893" t="s">
        <v>1453</v>
      </c>
      <c r="D893" t="s">
        <v>10</v>
      </c>
      <c r="E893">
        <v>40000</v>
      </c>
      <c r="F893" s="1">
        <v>45860</v>
      </c>
      <c r="G893" t="s">
        <v>11</v>
      </c>
      <c r="H893" t="s">
        <v>12</v>
      </c>
      <c r="I893" s="13">
        <f>_xlfn.XLOOKUP(F893,'Wk no''s'!B:B,'Wk no''s'!C:C,FALSE)</f>
        <v>30</v>
      </c>
      <c r="J893" s="13">
        <f>IF(D893="GBP",1,SUMIFS('Ex Rates'!I:I,'Ex Rates'!K:K,'Weekly Closed Proposal Requests'!L893,'Ex Rates'!G:G,'Weekly Closed Proposal Requests'!D893))</f>
        <v>0.48732943469785572</v>
      </c>
      <c r="K893" s="13">
        <f t="shared" si="14"/>
        <v>19493.177387914227</v>
      </c>
      <c r="L893" s="13" t="str">
        <f>_xlfn.XLOOKUP(I893,'Wk no''s'!C:C,'Wk no''s'!E:E,0)</f>
        <v>Jul</v>
      </c>
    </row>
    <row r="894" spans="1:12" x14ac:dyDescent="0.25">
      <c r="A894" s="1">
        <v>45862</v>
      </c>
      <c r="B894" t="s">
        <v>1435</v>
      </c>
      <c r="C894" t="s">
        <v>1454</v>
      </c>
      <c r="D894" t="s">
        <v>10</v>
      </c>
      <c r="E894">
        <v>12000</v>
      </c>
      <c r="F894" s="1">
        <v>45863</v>
      </c>
      <c r="G894" t="s">
        <v>11</v>
      </c>
      <c r="H894" t="s">
        <v>12</v>
      </c>
      <c r="I894" s="13">
        <f>_xlfn.XLOOKUP(F894,'Wk no''s'!B:B,'Wk no''s'!C:C,FALSE)</f>
        <v>30</v>
      </c>
      <c r="J894" s="13">
        <f>IF(D894="GBP",1,SUMIFS('Ex Rates'!I:I,'Ex Rates'!K:K,'Weekly Closed Proposal Requests'!L894,'Ex Rates'!G:G,'Weekly Closed Proposal Requests'!D894))</f>
        <v>0.48732943469785572</v>
      </c>
      <c r="K894" s="13">
        <f t="shared" si="14"/>
        <v>5847.9532163742688</v>
      </c>
      <c r="L894" s="13" t="str">
        <f>_xlfn.XLOOKUP(I894,'Wk no''s'!C:C,'Wk no''s'!E:E,0)</f>
        <v>Jul</v>
      </c>
    </row>
    <row r="895" spans="1:12" x14ac:dyDescent="0.25">
      <c r="A895" s="1">
        <v>45862</v>
      </c>
      <c r="B895" t="s">
        <v>1437</v>
      </c>
      <c r="C895" t="s">
        <v>1455</v>
      </c>
      <c r="D895" t="s">
        <v>10</v>
      </c>
      <c r="E895">
        <v>10000</v>
      </c>
      <c r="F895" s="1">
        <v>45862</v>
      </c>
      <c r="G895" t="s">
        <v>11</v>
      </c>
      <c r="H895" t="s">
        <v>12</v>
      </c>
      <c r="I895" s="13">
        <f>_xlfn.XLOOKUP(F895,'Wk no''s'!B:B,'Wk no''s'!C:C,FALSE)</f>
        <v>30</v>
      </c>
      <c r="J895" s="13">
        <f>IF(D895="GBP",1,SUMIFS('Ex Rates'!I:I,'Ex Rates'!K:K,'Weekly Closed Proposal Requests'!L895,'Ex Rates'!G:G,'Weekly Closed Proposal Requests'!D895))</f>
        <v>0.48732943469785572</v>
      </c>
      <c r="K895" s="13">
        <f t="shared" si="14"/>
        <v>4873.2943469785569</v>
      </c>
      <c r="L895" s="13" t="str">
        <f>_xlfn.XLOOKUP(I895,'Wk no''s'!C:C,'Wk no''s'!E:E,0)</f>
        <v>Jul</v>
      </c>
    </row>
    <row r="896" spans="1:12" x14ac:dyDescent="0.25">
      <c r="A896" s="1">
        <v>45863</v>
      </c>
      <c r="B896" t="s">
        <v>1438</v>
      </c>
      <c r="C896" t="s">
        <v>1456</v>
      </c>
      <c r="D896" t="s">
        <v>10</v>
      </c>
      <c r="E896">
        <v>12000</v>
      </c>
      <c r="F896" s="1">
        <v>45863</v>
      </c>
      <c r="G896" t="s">
        <v>11</v>
      </c>
      <c r="H896" t="s">
        <v>12</v>
      </c>
      <c r="I896" s="13">
        <f>_xlfn.XLOOKUP(F896,'Wk no''s'!B:B,'Wk no''s'!C:C,FALSE)</f>
        <v>30</v>
      </c>
      <c r="J896" s="13">
        <f>IF(D896="GBP",1,SUMIFS('Ex Rates'!I:I,'Ex Rates'!K:K,'Weekly Closed Proposal Requests'!L896,'Ex Rates'!G:G,'Weekly Closed Proposal Requests'!D896))</f>
        <v>0.48732943469785572</v>
      </c>
      <c r="K896" s="13">
        <f t="shared" si="14"/>
        <v>5847.9532163742688</v>
      </c>
      <c r="L896" s="13" t="str">
        <f>_xlfn.XLOOKUP(I896,'Wk no''s'!C:C,'Wk no''s'!E:E,0)</f>
        <v>Jul</v>
      </c>
    </row>
    <row r="897" spans="1:12" x14ac:dyDescent="0.25">
      <c r="A897" s="1">
        <v>45865</v>
      </c>
      <c r="B897" t="s">
        <v>1463</v>
      </c>
      <c r="C897" t="s">
        <v>342</v>
      </c>
      <c r="D897" t="s">
        <v>10</v>
      </c>
      <c r="E897">
        <v>100000</v>
      </c>
      <c r="F897" s="1">
        <v>45865</v>
      </c>
      <c r="G897" t="s">
        <v>11</v>
      </c>
      <c r="H897" t="s">
        <v>12</v>
      </c>
      <c r="I897" s="13">
        <f>_xlfn.XLOOKUP(F897,'Wk no''s'!B:B,'Wk no''s'!C:C,FALSE)</f>
        <v>31</v>
      </c>
      <c r="J897" s="13">
        <f>IF(D897="GBP",1,SUMIFS('Ex Rates'!I:I,'Ex Rates'!K:K,'Weekly Closed Proposal Requests'!L897,'Ex Rates'!G:G,'Weekly Closed Proposal Requests'!D897))</f>
        <v>0.48732943469785572</v>
      </c>
      <c r="K897" s="13">
        <f t="shared" si="14"/>
        <v>48732.943469785576</v>
      </c>
      <c r="L897" s="13" t="str">
        <f>_xlfn.XLOOKUP(I897,'Wk no''s'!C:C,'Wk no''s'!E:E,0)</f>
        <v>Jul</v>
      </c>
    </row>
    <row r="898" spans="1:12" x14ac:dyDescent="0.25">
      <c r="A898" s="1">
        <v>45848</v>
      </c>
      <c r="B898" t="s">
        <v>1430</v>
      </c>
      <c r="C898" t="s">
        <v>1457</v>
      </c>
      <c r="D898" t="s">
        <v>10</v>
      </c>
      <c r="E898">
        <v>30000</v>
      </c>
      <c r="F898" s="1">
        <v>45859</v>
      </c>
      <c r="G898" t="s">
        <v>11</v>
      </c>
      <c r="H898" t="s">
        <v>19</v>
      </c>
      <c r="I898" s="13">
        <f>_xlfn.XLOOKUP(F898,'Wk no''s'!B:B,'Wk no''s'!C:C,FALSE)</f>
        <v>30</v>
      </c>
      <c r="J898" s="13">
        <f>IF(D898="GBP",1,SUMIFS('Ex Rates'!I:I,'Ex Rates'!K:K,'Weekly Closed Proposal Requests'!L898,'Ex Rates'!G:G,'Weekly Closed Proposal Requests'!D898))</f>
        <v>0.48732943469785572</v>
      </c>
      <c r="K898" s="13">
        <f t="shared" si="14"/>
        <v>14619.883040935672</v>
      </c>
      <c r="L898" s="13" t="str">
        <f>_xlfn.XLOOKUP(I898,'Wk no''s'!C:C,'Wk no''s'!E:E,0)</f>
        <v>Jul</v>
      </c>
    </row>
    <row r="899" spans="1:12" x14ac:dyDescent="0.25">
      <c r="A899" s="1">
        <v>45858</v>
      </c>
      <c r="B899" t="s">
        <v>1464</v>
      </c>
      <c r="C899" t="s">
        <v>432</v>
      </c>
      <c r="D899" t="s">
        <v>10</v>
      </c>
      <c r="E899">
        <v>900000</v>
      </c>
      <c r="F899" s="1">
        <v>45862</v>
      </c>
      <c r="G899" t="s">
        <v>11</v>
      </c>
      <c r="H899" t="s">
        <v>19</v>
      </c>
      <c r="I899" s="13">
        <f>_xlfn.XLOOKUP(F899,'Wk no''s'!B:B,'Wk no''s'!C:C,FALSE)</f>
        <v>30</v>
      </c>
      <c r="J899" s="13">
        <f>IF(D899="GBP",1,SUMIFS('Ex Rates'!I:I,'Ex Rates'!K:K,'Weekly Closed Proposal Requests'!L899,'Ex Rates'!G:G,'Weekly Closed Proposal Requests'!D899))</f>
        <v>0.48732943469785572</v>
      </c>
      <c r="K899" s="13">
        <f t="shared" si="14"/>
        <v>438596.49122807017</v>
      </c>
      <c r="L899" s="13" t="str">
        <f>_xlfn.XLOOKUP(I899,'Wk no''s'!C:C,'Wk no''s'!E:E,0)</f>
        <v>Jul</v>
      </c>
    </row>
    <row r="900" spans="1:12" x14ac:dyDescent="0.25">
      <c r="A900" s="1">
        <v>45854</v>
      </c>
      <c r="B900" t="s">
        <v>1431</v>
      </c>
      <c r="C900" t="s">
        <v>1458</v>
      </c>
      <c r="D900" t="s">
        <v>10</v>
      </c>
      <c r="E900">
        <v>10000</v>
      </c>
      <c r="F900" s="1">
        <v>45861</v>
      </c>
      <c r="G900" t="s">
        <v>11</v>
      </c>
      <c r="H900" t="s">
        <v>50</v>
      </c>
      <c r="I900" s="13">
        <f>_xlfn.XLOOKUP(F900,'Wk no''s'!B:B,'Wk no''s'!C:C,FALSE)</f>
        <v>30</v>
      </c>
      <c r="J900" s="13">
        <f>IF(D900="GBP",1,SUMIFS('Ex Rates'!I:I,'Ex Rates'!K:K,'Weekly Closed Proposal Requests'!L900,'Ex Rates'!G:G,'Weekly Closed Proposal Requests'!D900))</f>
        <v>0.48732943469785572</v>
      </c>
      <c r="K900" s="13">
        <f t="shared" si="14"/>
        <v>4873.2943469785569</v>
      </c>
      <c r="L900" s="13" t="str">
        <f>_xlfn.XLOOKUP(I900,'Wk no''s'!C:C,'Wk no''s'!E:E,0)</f>
        <v>Jul</v>
      </c>
    </row>
    <row r="901" spans="1:12" x14ac:dyDescent="0.25">
      <c r="A901" s="1">
        <v>45854</v>
      </c>
      <c r="B901" t="s">
        <v>1432</v>
      </c>
      <c r="C901" t="s">
        <v>1455</v>
      </c>
      <c r="D901" t="s">
        <v>10</v>
      </c>
      <c r="E901">
        <v>22000</v>
      </c>
      <c r="F901" s="1">
        <v>45861</v>
      </c>
      <c r="G901" t="s">
        <v>11</v>
      </c>
      <c r="H901" t="s">
        <v>50</v>
      </c>
      <c r="I901" s="13">
        <f>_xlfn.XLOOKUP(F901,'Wk no''s'!B:B,'Wk no''s'!C:C,FALSE)</f>
        <v>30</v>
      </c>
      <c r="J901" s="13">
        <f>IF(D901="GBP",1,SUMIFS('Ex Rates'!I:I,'Ex Rates'!K:K,'Weekly Closed Proposal Requests'!L901,'Ex Rates'!G:G,'Weekly Closed Proposal Requests'!D901))</f>
        <v>0.48732943469785572</v>
      </c>
      <c r="K901" s="13">
        <f t="shared" si="14"/>
        <v>10721.247563352827</v>
      </c>
      <c r="L901" s="13" t="str">
        <f>_xlfn.XLOOKUP(I901,'Wk no''s'!C:C,'Wk no''s'!E:E,0)</f>
        <v>Jul</v>
      </c>
    </row>
    <row r="902" spans="1:12" x14ac:dyDescent="0.25">
      <c r="A902" s="1">
        <v>45854</v>
      </c>
      <c r="B902" t="s">
        <v>1433</v>
      </c>
      <c r="C902" t="s">
        <v>66</v>
      </c>
      <c r="D902" t="s">
        <v>15</v>
      </c>
      <c r="E902">
        <v>250000</v>
      </c>
      <c r="F902" s="1">
        <v>45859</v>
      </c>
      <c r="G902" t="s">
        <v>11</v>
      </c>
      <c r="H902" t="s">
        <v>50</v>
      </c>
      <c r="I902" s="13">
        <f>_xlfn.XLOOKUP(F902,'Wk no''s'!B:B,'Wk no''s'!C:C,FALSE)</f>
        <v>30</v>
      </c>
      <c r="J902" s="13">
        <f>IF(D902="GBP",1,SUMIFS('Ex Rates'!I:I,'Ex Rates'!K:K,'Weekly Closed Proposal Requests'!L902,'Ex Rates'!G:G,'Weekly Closed Proposal Requests'!D902))</f>
        <v>1</v>
      </c>
      <c r="K902" s="13">
        <f t="shared" si="14"/>
        <v>250000</v>
      </c>
      <c r="L902" s="13" t="str">
        <f>_xlfn.XLOOKUP(I902,'Wk no''s'!C:C,'Wk no''s'!E:E,0)</f>
        <v>Jul</v>
      </c>
    </row>
    <row r="903" spans="1:12" x14ac:dyDescent="0.25">
      <c r="A903" s="1">
        <v>45862</v>
      </c>
      <c r="B903" t="s">
        <v>1436</v>
      </c>
      <c r="C903" t="s">
        <v>625</v>
      </c>
      <c r="D903" t="s">
        <v>10</v>
      </c>
      <c r="E903">
        <v>300000</v>
      </c>
      <c r="F903" s="1">
        <v>45862</v>
      </c>
      <c r="G903" t="s">
        <v>11</v>
      </c>
      <c r="H903" t="s">
        <v>50</v>
      </c>
      <c r="I903" s="13">
        <f>_xlfn.XLOOKUP(F903,'Wk no''s'!B:B,'Wk no''s'!C:C,FALSE)</f>
        <v>30</v>
      </c>
      <c r="J903" s="13">
        <f>IF(D903="GBP",1,SUMIFS('Ex Rates'!I:I,'Ex Rates'!K:K,'Weekly Closed Proposal Requests'!L903,'Ex Rates'!G:G,'Weekly Closed Proposal Requests'!D903))</f>
        <v>0.48732943469785572</v>
      </c>
      <c r="K903" s="13">
        <f t="shared" si="14"/>
        <v>146198.83040935671</v>
      </c>
      <c r="L903" s="13" t="str">
        <f>_xlfn.XLOOKUP(I903,'Wk no''s'!C:C,'Wk no''s'!E:E,0)</f>
        <v>Jul</v>
      </c>
    </row>
    <row r="904" spans="1:12" x14ac:dyDescent="0.25">
      <c r="A904" s="1">
        <v>45845</v>
      </c>
      <c r="B904" t="s">
        <v>1439</v>
      </c>
      <c r="C904" t="s">
        <v>1446</v>
      </c>
      <c r="D904" t="s">
        <v>15</v>
      </c>
      <c r="E904">
        <v>200000</v>
      </c>
      <c r="F904" s="1">
        <v>45862</v>
      </c>
      <c r="G904" t="s">
        <v>72</v>
      </c>
      <c r="H904" t="s">
        <v>19</v>
      </c>
      <c r="I904" s="13">
        <f>_xlfn.XLOOKUP(F904,'Wk no''s'!B:B,'Wk no''s'!C:C,FALSE)</f>
        <v>30</v>
      </c>
      <c r="J904" s="13">
        <f>IF(D904="GBP",1,SUMIFS('Ex Rates'!I:I,'Ex Rates'!K:K,'Weekly Closed Proposal Requests'!L904,'Ex Rates'!G:G,'Weekly Closed Proposal Requests'!D904))</f>
        <v>1</v>
      </c>
      <c r="K904" s="13">
        <f t="shared" si="14"/>
        <v>200000</v>
      </c>
      <c r="L904" s="13" t="str">
        <f>_xlfn.XLOOKUP(I904,'Wk no''s'!C:C,'Wk no''s'!E:E,0)</f>
        <v>Jul</v>
      </c>
    </row>
    <row r="905" spans="1:12" x14ac:dyDescent="0.25">
      <c r="A905" s="1">
        <v>45847</v>
      </c>
      <c r="B905" t="s">
        <v>1442</v>
      </c>
      <c r="C905" t="s">
        <v>1459</v>
      </c>
      <c r="D905" t="s">
        <v>15</v>
      </c>
      <c r="E905">
        <v>150000</v>
      </c>
      <c r="F905" s="1">
        <v>45862</v>
      </c>
      <c r="G905" t="s">
        <v>72</v>
      </c>
      <c r="H905" t="s">
        <v>19</v>
      </c>
      <c r="I905" s="13">
        <f>_xlfn.XLOOKUP(F905,'Wk no''s'!B:B,'Wk no''s'!C:C,FALSE)</f>
        <v>30</v>
      </c>
      <c r="J905" s="13">
        <f>IF(D905="GBP",1,SUMIFS('Ex Rates'!I:I,'Ex Rates'!K:K,'Weekly Closed Proposal Requests'!L905,'Ex Rates'!G:G,'Weekly Closed Proposal Requests'!D905))</f>
        <v>1</v>
      </c>
      <c r="K905" s="13">
        <f t="shared" si="14"/>
        <v>150000</v>
      </c>
      <c r="L905" s="13" t="str">
        <f>_xlfn.XLOOKUP(I905,'Wk no''s'!C:C,'Wk no''s'!E:E,0)</f>
        <v>Jul</v>
      </c>
    </row>
    <row r="906" spans="1:12" x14ac:dyDescent="0.25">
      <c r="A906" s="1">
        <v>45847</v>
      </c>
      <c r="B906" t="s">
        <v>1440</v>
      </c>
      <c r="C906" t="s">
        <v>352</v>
      </c>
      <c r="D906" t="s">
        <v>15</v>
      </c>
      <c r="E906">
        <v>15000</v>
      </c>
      <c r="F906" s="1">
        <v>45860</v>
      </c>
      <c r="G906" t="s">
        <v>72</v>
      </c>
      <c r="H906" t="s">
        <v>19</v>
      </c>
      <c r="I906" s="13">
        <f>_xlfn.XLOOKUP(F906,'Wk no''s'!B:B,'Wk no''s'!C:C,FALSE)</f>
        <v>30</v>
      </c>
      <c r="J906" s="13">
        <f>IF(D906="GBP",1,SUMIFS('Ex Rates'!I:I,'Ex Rates'!K:K,'Weekly Closed Proposal Requests'!L906,'Ex Rates'!G:G,'Weekly Closed Proposal Requests'!D906))</f>
        <v>1</v>
      </c>
      <c r="K906" s="13">
        <f t="shared" si="14"/>
        <v>15000</v>
      </c>
      <c r="L906" s="13" t="str">
        <f>_xlfn.XLOOKUP(I906,'Wk no''s'!C:C,'Wk no''s'!E:E,0)</f>
        <v>Jul</v>
      </c>
    </row>
    <row r="907" spans="1:12" x14ac:dyDescent="0.25">
      <c r="A907" s="1">
        <v>45848</v>
      </c>
      <c r="B907" t="s">
        <v>1441</v>
      </c>
      <c r="C907" t="s">
        <v>396</v>
      </c>
      <c r="D907" t="s">
        <v>15</v>
      </c>
      <c r="E907">
        <v>300000</v>
      </c>
      <c r="F907" s="1">
        <v>45862</v>
      </c>
      <c r="G907" t="s">
        <v>72</v>
      </c>
      <c r="H907" t="s">
        <v>19</v>
      </c>
      <c r="I907" s="13">
        <f>_xlfn.XLOOKUP(F907,'Wk no''s'!B:B,'Wk no''s'!C:C,FALSE)</f>
        <v>30</v>
      </c>
      <c r="J907" s="13">
        <f>IF(D907="GBP",1,SUMIFS('Ex Rates'!I:I,'Ex Rates'!K:K,'Weekly Closed Proposal Requests'!L907,'Ex Rates'!G:G,'Weekly Closed Proposal Requests'!D907))</f>
        <v>1</v>
      </c>
      <c r="K907" s="13">
        <f t="shared" si="14"/>
        <v>300000</v>
      </c>
      <c r="L907" s="13" t="str">
        <f>_xlfn.XLOOKUP(I907,'Wk no''s'!C:C,'Wk no''s'!E:E,0)</f>
        <v>Jul</v>
      </c>
    </row>
    <row r="908" spans="1:12" x14ac:dyDescent="0.25">
      <c r="A908" s="1">
        <v>45852</v>
      </c>
      <c r="B908" t="s">
        <v>1443</v>
      </c>
      <c r="C908" t="s">
        <v>1842</v>
      </c>
      <c r="D908" t="s">
        <v>15</v>
      </c>
      <c r="E908">
        <v>3000000</v>
      </c>
      <c r="F908" s="1">
        <v>45862</v>
      </c>
      <c r="G908" t="s">
        <v>72</v>
      </c>
      <c r="H908" t="s">
        <v>19</v>
      </c>
      <c r="I908" s="13">
        <f>_xlfn.XLOOKUP(F908,'Wk no''s'!B:B,'Wk no''s'!C:C,FALSE)</f>
        <v>30</v>
      </c>
      <c r="J908" s="13">
        <f>IF(D908="GBP",1,SUMIFS('Ex Rates'!I:I,'Ex Rates'!K:K,'Weekly Closed Proposal Requests'!L908,'Ex Rates'!G:G,'Weekly Closed Proposal Requests'!D908))</f>
        <v>1</v>
      </c>
      <c r="K908" s="13">
        <f t="shared" si="14"/>
        <v>3000000</v>
      </c>
      <c r="L908" s="13" t="str">
        <f>_xlfn.XLOOKUP(I908,'Wk no''s'!C:C,'Wk no''s'!E:E,0)</f>
        <v>Jul</v>
      </c>
    </row>
    <row r="909" spans="1:12" x14ac:dyDescent="0.25">
      <c r="A909" s="1">
        <v>45852</v>
      </c>
      <c r="B909" t="s">
        <v>1444</v>
      </c>
      <c r="C909" t="s">
        <v>584</v>
      </c>
      <c r="D909" t="s">
        <v>15</v>
      </c>
      <c r="E909">
        <v>200000</v>
      </c>
      <c r="F909" s="1">
        <v>45860</v>
      </c>
      <c r="G909" t="s">
        <v>72</v>
      </c>
      <c r="H909" t="s">
        <v>19</v>
      </c>
      <c r="I909" s="13">
        <f>_xlfn.XLOOKUP(F909,'Wk no''s'!B:B,'Wk no''s'!C:C,FALSE)</f>
        <v>30</v>
      </c>
      <c r="J909" s="13">
        <f>IF(D909="GBP",1,SUMIFS('Ex Rates'!I:I,'Ex Rates'!K:K,'Weekly Closed Proposal Requests'!L909,'Ex Rates'!G:G,'Weekly Closed Proposal Requests'!D909))</f>
        <v>1</v>
      </c>
      <c r="K909" s="13">
        <f t="shared" si="14"/>
        <v>200000</v>
      </c>
      <c r="L909" s="13" t="str">
        <f>_xlfn.XLOOKUP(I909,'Wk no''s'!C:C,'Wk no''s'!E:E,0)</f>
        <v>Jul</v>
      </c>
    </row>
    <row r="910" spans="1:12" x14ac:dyDescent="0.25">
      <c r="A910" s="1">
        <v>45849</v>
      </c>
      <c r="B910" t="s">
        <v>1445</v>
      </c>
      <c r="C910" t="s">
        <v>1357</v>
      </c>
      <c r="D910" t="s">
        <v>15</v>
      </c>
      <c r="E910">
        <v>0</v>
      </c>
      <c r="F910" s="1">
        <v>45859</v>
      </c>
      <c r="G910" t="s">
        <v>645</v>
      </c>
      <c r="H910" t="s">
        <v>19</v>
      </c>
      <c r="I910" s="13">
        <f>_xlfn.XLOOKUP(F910,'Wk no''s'!B:B,'Wk no''s'!C:C,FALSE)</f>
        <v>30</v>
      </c>
      <c r="J910" s="13">
        <f>IF(D910="GBP",1,SUMIFS('Ex Rates'!I:I,'Ex Rates'!K:K,'Weekly Closed Proposal Requests'!L910,'Ex Rates'!G:G,'Weekly Closed Proposal Requests'!D910))</f>
        <v>1</v>
      </c>
      <c r="K910" s="13">
        <f t="shared" si="14"/>
        <v>0</v>
      </c>
      <c r="L910" s="13" t="str">
        <f>_xlfn.XLOOKUP(I910,'Wk no''s'!C:C,'Wk no''s'!E:E,0)</f>
        <v>Jul</v>
      </c>
    </row>
    <row r="911" spans="1:12" x14ac:dyDescent="0.25">
      <c r="A911" s="1">
        <v>45864</v>
      </c>
      <c r="B911" t="s">
        <v>1465</v>
      </c>
      <c r="C911" t="s">
        <v>1466</v>
      </c>
      <c r="D911" t="s">
        <v>15</v>
      </c>
      <c r="E911">
        <v>5000</v>
      </c>
      <c r="F911" s="1">
        <v>45866</v>
      </c>
      <c r="G911" t="s">
        <v>16</v>
      </c>
      <c r="H911" t="s">
        <v>12</v>
      </c>
      <c r="I911" s="13">
        <f>_xlfn.XLOOKUP(F911,'Wk no''s'!B:B,'Wk no''s'!C:C,FALSE)</f>
        <v>31</v>
      </c>
      <c r="J911" s="13">
        <f>IF(D911="GBP",1,SUMIFS('Ex Rates'!I:I,'Ex Rates'!K:K,'Weekly Closed Proposal Requests'!L911,'Ex Rates'!G:G,'Weekly Closed Proposal Requests'!D911))</f>
        <v>1</v>
      </c>
      <c r="K911" s="13">
        <f t="shared" si="14"/>
        <v>5000</v>
      </c>
      <c r="L911" s="13" t="str">
        <f>_xlfn.XLOOKUP(I911,'Wk no''s'!C:C,'Wk no''s'!E:E,0)</f>
        <v>Jul</v>
      </c>
    </row>
    <row r="912" spans="1:12" x14ac:dyDescent="0.25">
      <c r="A912" s="1">
        <v>45852</v>
      </c>
      <c r="B912" t="s">
        <v>1467</v>
      </c>
      <c r="C912" t="s">
        <v>1468</v>
      </c>
      <c r="D912" t="s">
        <v>15</v>
      </c>
      <c r="E912">
        <v>45000</v>
      </c>
      <c r="F912" s="1">
        <v>45868</v>
      </c>
      <c r="G912" t="s">
        <v>16</v>
      </c>
      <c r="H912" t="s">
        <v>19</v>
      </c>
      <c r="I912" s="13">
        <f>_xlfn.XLOOKUP(F912,'Wk no''s'!B:B,'Wk no''s'!C:C,FALSE)</f>
        <v>31</v>
      </c>
      <c r="J912" s="13">
        <f>IF(D912="GBP",1,SUMIFS('Ex Rates'!I:I,'Ex Rates'!K:K,'Weekly Closed Proposal Requests'!L912,'Ex Rates'!G:G,'Weekly Closed Proposal Requests'!D912))</f>
        <v>1</v>
      </c>
      <c r="K912" s="13">
        <f t="shared" si="14"/>
        <v>45000</v>
      </c>
      <c r="L912" s="13" t="str">
        <f>_xlfn.XLOOKUP(I912,'Wk no''s'!C:C,'Wk no''s'!E:E,0)</f>
        <v>Jul</v>
      </c>
    </row>
    <row r="913" spans="1:12" x14ac:dyDescent="0.25">
      <c r="A913" s="1">
        <v>45855</v>
      </c>
      <c r="B913" t="s">
        <v>1469</v>
      </c>
      <c r="C913" t="s">
        <v>1470</v>
      </c>
      <c r="D913" t="s">
        <v>15</v>
      </c>
      <c r="E913">
        <v>6000</v>
      </c>
      <c r="F913" s="1">
        <v>45870</v>
      </c>
      <c r="G913" t="s">
        <v>16</v>
      </c>
      <c r="H913" t="s">
        <v>19</v>
      </c>
      <c r="I913" s="13">
        <f>_xlfn.XLOOKUP(F913,'Wk no''s'!B:B,'Wk no''s'!C:C,FALSE)</f>
        <v>31</v>
      </c>
      <c r="J913" s="13">
        <f>IF(D913="GBP",1,SUMIFS('Ex Rates'!I:I,'Ex Rates'!K:K,'Weekly Closed Proposal Requests'!L913,'Ex Rates'!G:G,'Weekly Closed Proposal Requests'!D913))</f>
        <v>1</v>
      </c>
      <c r="K913" s="13">
        <f t="shared" si="14"/>
        <v>6000</v>
      </c>
      <c r="L913" s="13" t="str">
        <f>_xlfn.XLOOKUP(I913,'Wk no''s'!C:C,'Wk no''s'!E:E,0)</f>
        <v>Jul</v>
      </c>
    </row>
    <row r="914" spans="1:12" x14ac:dyDescent="0.25">
      <c r="A914" s="1">
        <v>45855</v>
      </c>
      <c r="B914" t="s">
        <v>1471</v>
      </c>
      <c r="C914" t="s">
        <v>1472</v>
      </c>
      <c r="D914" t="s">
        <v>15</v>
      </c>
      <c r="E914">
        <v>10000</v>
      </c>
      <c r="F914" s="1">
        <v>45866</v>
      </c>
      <c r="G914" t="s">
        <v>16</v>
      </c>
      <c r="H914" t="s">
        <v>19</v>
      </c>
      <c r="I914" s="13">
        <f>_xlfn.XLOOKUP(F914,'Wk no''s'!B:B,'Wk no''s'!C:C,FALSE)</f>
        <v>31</v>
      </c>
      <c r="J914" s="13">
        <f>IF(D914="GBP",1,SUMIFS('Ex Rates'!I:I,'Ex Rates'!K:K,'Weekly Closed Proposal Requests'!L914,'Ex Rates'!G:G,'Weekly Closed Proposal Requests'!D914))</f>
        <v>1</v>
      </c>
      <c r="K914" s="13">
        <f t="shared" si="14"/>
        <v>10000</v>
      </c>
      <c r="L914" s="13" t="str">
        <f>_xlfn.XLOOKUP(I914,'Wk no''s'!C:C,'Wk no''s'!E:E,0)</f>
        <v>Jul</v>
      </c>
    </row>
    <row r="915" spans="1:12" x14ac:dyDescent="0.25">
      <c r="A915" s="1">
        <v>45856</v>
      </c>
      <c r="B915" t="s">
        <v>1415</v>
      </c>
      <c r="C915" t="s">
        <v>1449</v>
      </c>
      <c r="D915" t="s">
        <v>15</v>
      </c>
      <c r="E915">
        <v>50000</v>
      </c>
      <c r="F915" s="1">
        <v>45867</v>
      </c>
      <c r="G915" t="s">
        <v>16</v>
      </c>
      <c r="H915" t="s">
        <v>19</v>
      </c>
      <c r="I915" s="13">
        <f>_xlfn.XLOOKUP(F915,'Wk no''s'!B:B,'Wk no''s'!C:C,FALSE)</f>
        <v>31</v>
      </c>
      <c r="J915" s="13">
        <f>IF(D915="GBP",1,SUMIFS('Ex Rates'!I:I,'Ex Rates'!K:K,'Weekly Closed Proposal Requests'!L915,'Ex Rates'!G:G,'Weekly Closed Proposal Requests'!D915))</f>
        <v>1</v>
      </c>
      <c r="K915" s="13">
        <f t="shared" si="14"/>
        <v>50000</v>
      </c>
      <c r="L915" s="13" t="str">
        <f>_xlfn.XLOOKUP(I915,'Wk no''s'!C:C,'Wk no''s'!E:E,0)</f>
        <v>Jul</v>
      </c>
    </row>
    <row r="916" spans="1:12" x14ac:dyDescent="0.25">
      <c r="A916" s="1">
        <v>45860</v>
      </c>
      <c r="B916" t="s">
        <v>1473</v>
      </c>
      <c r="C916" t="s">
        <v>1284</v>
      </c>
      <c r="D916" t="s">
        <v>15</v>
      </c>
      <c r="E916">
        <v>300000</v>
      </c>
      <c r="F916" s="1">
        <v>45869</v>
      </c>
      <c r="G916" t="s">
        <v>16</v>
      </c>
      <c r="H916" t="s">
        <v>19</v>
      </c>
      <c r="I916" s="13">
        <f>_xlfn.XLOOKUP(F916,'Wk no''s'!B:B,'Wk no''s'!C:C,FALSE)</f>
        <v>31</v>
      </c>
      <c r="J916" s="13">
        <f>IF(D916="GBP",1,SUMIFS('Ex Rates'!I:I,'Ex Rates'!K:K,'Weekly Closed Proposal Requests'!L916,'Ex Rates'!G:G,'Weekly Closed Proposal Requests'!D916))</f>
        <v>1</v>
      </c>
      <c r="K916" s="13">
        <f t="shared" si="14"/>
        <v>300000</v>
      </c>
      <c r="L916" s="13" t="str">
        <f>_xlfn.XLOOKUP(I916,'Wk no''s'!C:C,'Wk no''s'!E:E,0)</f>
        <v>Jul</v>
      </c>
    </row>
    <row r="917" spans="1:12" x14ac:dyDescent="0.25">
      <c r="A917" s="1">
        <v>45862</v>
      </c>
      <c r="B917" t="s">
        <v>1474</v>
      </c>
      <c r="C917" t="s">
        <v>1475</v>
      </c>
      <c r="D917" t="s">
        <v>15</v>
      </c>
      <c r="E917">
        <v>500000</v>
      </c>
      <c r="F917" s="1">
        <v>45870</v>
      </c>
      <c r="G917" t="s">
        <v>16</v>
      </c>
      <c r="H917" t="s">
        <v>19</v>
      </c>
      <c r="I917" s="13">
        <f>_xlfn.XLOOKUP(F917,'Wk no''s'!B:B,'Wk no''s'!C:C,FALSE)</f>
        <v>31</v>
      </c>
      <c r="J917" s="13">
        <f>IF(D917="GBP",1,SUMIFS('Ex Rates'!I:I,'Ex Rates'!K:K,'Weekly Closed Proposal Requests'!L917,'Ex Rates'!G:G,'Weekly Closed Proposal Requests'!D917))</f>
        <v>1</v>
      </c>
      <c r="K917" s="13">
        <f t="shared" si="14"/>
        <v>500000</v>
      </c>
      <c r="L917" s="13" t="str">
        <f>_xlfn.XLOOKUP(I917,'Wk no''s'!C:C,'Wk no''s'!E:E,0)</f>
        <v>Jul</v>
      </c>
    </row>
    <row r="918" spans="1:12" x14ac:dyDescent="0.25">
      <c r="A918" s="1">
        <v>45862</v>
      </c>
      <c r="B918" t="s">
        <v>1476</v>
      </c>
      <c r="C918" t="s">
        <v>1267</v>
      </c>
      <c r="D918" t="s">
        <v>15</v>
      </c>
      <c r="E918">
        <v>250000</v>
      </c>
      <c r="F918" s="1">
        <v>45866</v>
      </c>
      <c r="G918" t="s">
        <v>16</v>
      </c>
      <c r="H918" t="s">
        <v>19</v>
      </c>
      <c r="I918" s="13">
        <f>_xlfn.XLOOKUP(F918,'Wk no''s'!B:B,'Wk no''s'!C:C,FALSE)</f>
        <v>31</v>
      </c>
      <c r="J918" s="13">
        <f>IF(D918="GBP",1,SUMIFS('Ex Rates'!I:I,'Ex Rates'!K:K,'Weekly Closed Proposal Requests'!L918,'Ex Rates'!G:G,'Weekly Closed Proposal Requests'!D918))</f>
        <v>1</v>
      </c>
      <c r="K918" s="13">
        <f t="shared" si="14"/>
        <v>250000</v>
      </c>
      <c r="L918" s="13" t="str">
        <f>_xlfn.XLOOKUP(I918,'Wk no''s'!C:C,'Wk no''s'!E:E,0)</f>
        <v>Jul</v>
      </c>
    </row>
    <row r="919" spans="1:12" x14ac:dyDescent="0.25">
      <c r="A919" s="1">
        <v>45866</v>
      </c>
      <c r="B919" t="s">
        <v>1477</v>
      </c>
      <c r="C919" t="s">
        <v>1070</v>
      </c>
      <c r="D919" t="s">
        <v>15</v>
      </c>
      <c r="E919">
        <v>20000</v>
      </c>
      <c r="F919" s="1">
        <v>45867</v>
      </c>
      <c r="G919" t="s">
        <v>16</v>
      </c>
      <c r="H919" t="s">
        <v>19</v>
      </c>
      <c r="I919" s="13">
        <f>_xlfn.XLOOKUP(F919,'Wk no''s'!B:B,'Wk no''s'!C:C,FALSE)</f>
        <v>31</v>
      </c>
      <c r="J919" s="13">
        <f>IF(D919="GBP",1,SUMIFS('Ex Rates'!I:I,'Ex Rates'!K:K,'Weekly Closed Proposal Requests'!L919,'Ex Rates'!G:G,'Weekly Closed Proposal Requests'!D919))</f>
        <v>1</v>
      </c>
      <c r="K919" s="13">
        <f t="shared" ref="K919:K982" si="15">+E919*J919</f>
        <v>20000</v>
      </c>
      <c r="L919" s="13" t="str">
        <f>_xlfn.XLOOKUP(I919,'Wk no''s'!C:C,'Wk no''s'!E:E,0)</f>
        <v>Jul</v>
      </c>
    </row>
    <row r="920" spans="1:12" x14ac:dyDescent="0.25">
      <c r="A920" s="1">
        <v>45866</v>
      </c>
      <c r="B920" t="s">
        <v>1478</v>
      </c>
      <c r="C920" t="s">
        <v>1479</v>
      </c>
      <c r="D920" t="s">
        <v>15</v>
      </c>
      <c r="E920">
        <v>50000</v>
      </c>
      <c r="F920" s="1">
        <v>45870</v>
      </c>
      <c r="G920" t="s">
        <v>16</v>
      </c>
      <c r="H920" t="s">
        <v>19</v>
      </c>
      <c r="I920" s="13">
        <f>_xlfn.XLOOKUP(F920,'Wk no''s'!B:B,'Wk no''s'!C:C,FALSE)</f>
        <v>31</v>
      </c>
      <c r="J920" s="13">
        <f>IF(D920="GBP",1,SUMIFS('Ex Rates'!I:I,'Ex Rates'!K:K,'Weekly Closed Proposal Requests'!L920,'Ex Rates'!G:G,'Weekly Closed Proposal Requests'!D920))</f>
        <v>1</v>
      </c>
      <c r="K920" s="13">
        <f t="shared" si="15"/>
        <v>50000</v>
      </c>
      <c r="L920" s="13" t="str">
        <f>_xlfn.XLOOKUP(I920,'Wk no''s'!C:C,'Wk no''s'!E:E,0)</f>
        <v>Jul</v>
      </c>
    </row>
    <row r="921" spans="1:12" x14ac:dyDescent="0.25">
      <c r="A921" s="1">
        <v>45867</v>
      </c>
      <c r="B921" t="s">
        <v>1480</v>
      </c>
      <c r="C921" t="s">
        <v>1481</v>
      </c>
      <c r="D921" t="s">
        <v>15</v>
      </c>
      <c r="E921">
        <v>100000</v>
      </c>
      <c r="F921" s="1">
        <v>45867</v>
      </c>
      <c r="G921" t="s">
        <v>16</v>
      </c>
      <c r="H921" t="s">
        <v>19</v>
      </c>
      <c r="I921" s="13">
        <f>_xlfn.XLOOKUP(F921,'Wk no''s'!B:B,'Wk no''s'!C:C,FALSE)</f>
        <v>31</v>
      </c>
      <c r="J921" s="13">
        <f>IF(D921="GBP",1,SUMIFS('Ex Rates'!I:I,'Ex Rates'!K:K,'Weekly Closed Proposal Requests'!L921,'Ex Rates'!G:G,'Weekly Closed Proposal Requests'!D921))</f>
        <v>1</v>
      </c>
      <c r="K921" s="13">
        <f t="shared" si="15"/>
        <v>100000</v>
      </c>
      <c r="L921" s="13" t="str">
        <f>_xlfn.XLOOKUP(I921,'Wk no''s'!C:C,'Wk no''s'!E:E,0)</f>
        <v>Jul</v>
      </c>
    </row>
    <row r="922" spans="1:12" x14ac:dyDescent="0.25">
      <c r="A922" s="1">
        <v>45867</v>
      </c>
      <c r="B922" t="s">
        <v>1482</v>
      </c>
      <c r="C922" t="s">
        <v>1483</v>
      </c>
      <c r="D922" t="s">
        <v>15</v>
      </c>
      <c r="E922">
        <v>40000</v>
      </c>
      <c r="F922" s="1">
        <v>45870</v>
      </c>
      <c r="G922" t="s">
        <v>16</v>
      </c>
      <c r="H922" t="s">
        <v>19</v>
      </c>
      <c r="I922" s="13">
        <f>_xlfn.XLOOKUP(F922,'Wk no''s'!B:B,'Wk no''s'!C:C,FALSE)</f>
        <v>31</v>
      </c>
      <c r="J922" s="13">
        <f>IF(D922="GBP",1,SUMIFS('Ex Rates'!I:I,'Ex Rates'!K:K,'Weekly Closed Proposal Requests'!L922,'Ex Rates'!G:G,'Weekly Closed Proposal Requests'!D922))</f>
        <v>1</v>
      </c>
      <c r="K922" s="13">
        <f t="shared" si="15"/>
        <v>40000</v>
      </c>
      <c r="L922" s="13" t="str">
        <f>_xlfn.XLOOKUP(I922,'Wk no''s'!C:C,'Wk no''s'!E:E,0)</f>
        <v>Jul</v>
      </c>
    </row>
    <row r="923" spans="1:12" x14ac:dyDescent="0.25">
      <c r="A923" s="1">
        <v>45868</v>
      </c>
      <c r="B923" t="s">
        <v>1484</v>
      </c>
      <c r="C923" t="s">
        <v>1485</v>
      </c>
      <c r="D923" t="s">
        <v>15</v>
      </c>
      <c r="E923">
        <v>120000</v>
      </c>
      <c r="F923" s="1">
        <v>45869</v>
      </c>
      <c r="G923" t="s">
        <v>16</v>
      </c>
      <c r="H923" t="s">
        <v>19</v>
      </c>
      <c r="I923" s="13">
        <f>_xlfn.XLOOKUP(F923,'Wk no''s'!B:B,'Wk no''s'!C:C,FALSE)</f>
        <v>31</v>
      </c>
      <c r="J923" s="13">
        <f>IF(D923="GBP",1,SUMIFS('Ex Rates'!I:I,'Ex Rates'!K:K,'Weekly Closed Proposal Requests'!L923,'Ex Rates'!G:G,'Weekly Closed Proposal Requests'!D923))</f>
        <v>1</v>
      </c>
      <c r="K923" s="13">
        <f t="shared" si="15"/>
        <v>120000</v>
      </c>
      <c r="L923" s="13" t="str">
        <f>_xlfn.XLOOKUP(I923,'Wk no''s'!C:C,'Wk no''s'!E:E,0)</f>
        <v>Jul</v>
      </c>
    </row>
    <row r="924" spans="1:12" x14ac:dyDescent="0.25">
      <c r="A924" s="1">
        <v>45868</v>
      </c>
      <c r="B924" t="s">
        <v>1486</v>
      </c>
      <c r="C924" t="s">
        <v>1485</v>
      </c>
      <c r="D924" t="s">
        <v>15</v>
      </c>
      <c r="E924">
        <v>120000</v>
      </c>
      <c r="F924" s="1">
        <v>45869</v>
      </c>
      <c r="G924" t="s">
        <v>16</v>
      </c>
      <c r="H924" t="s">
        <v>19</v>
      </c>
      <c r="I924" s="13">
        <f>_xlfn.XLOOKUP(F924,'Wk no''s'!B:B,'Wk no''s'!C:C,FALSE)</f>
        <v>31</v>
      </c>
      <c r="J924" s="13">
        <f>IF(D924="GBP",1,SUMIFS('Ex Rates'!I:I,'Ex Rates'!K:K,'Weekly Closed Proposal Requests'!L924,'Ex Rates'!G:G,'Weekly Closed Proposal Requests'!D924))</f>
        <v>1</v>
      </c>
      <c r="K924" s="13">
        <f t="shared" si="15"/>
        <v>120000</v>
      </c>
      <c r="L924" s="13" t="str">
        <f>_xlfn.XLOOKUP(I924,'Wk no''s'!C:C,'Wk no''s'!E:E,0)</f>
        <v>Jul</v>
      </c>
    </row>
    <row r="925" spans="1:12" x14ac:dyDescent="0.25">
      <c r="A925" s="1">
        <v>45852</v>
      </c>
      <c r="B925" t="s">
        <v>1487</v>
      </c>
      <c r="C925" t="s">
        <v>45</v>
      </c>
      <c r="D925" t="s">
        <v>46</v>
      </c>
      <c r="E925">
        <v>5000</v>
      </c>
      <c r="F925" s="1">
        <v>45869</v>
      </c>
      <c r="G925" t="s">
        <v>47</v>
      </c>
      <c r="H925" t="s">
        <v>19</v>
      </c>
      <c r="I925" s="13">
        <f>_xlfn.XLOOKUP(F925,'Wk no''s'!B:B,'Wk no''s'!C:C,FALSE)</f>
        <v>31</v>
      </c>
      <c r="J925" s="13">
        <f>IF(D925="GBP",1,SUMIFS('Ex Rates'!I:I,'Ex Rates'!K:K,'Weekly Closed Proposal Requests'!L925,'Ex Rates'!G:G,'Weekly Closed Proposal Requests'!D925))</f>
        <v>0.75757575757575757</v>
      </c>
      <c r="K925" s="13">
        <f t="shared" si="15"/>
        <v>3787.878787878788</v>
      </c>
      <c r="L925" s="13" t="str">
        <f>_xlfn.XLOOKUP(I925,'Wk no''s'!C:C,'Wk no''s'!E:E,0)</f>
        <v>Jul</v>
      </c>
    </row>
    <row r="926" spans="1:12" x14ac:dyDescent="0.25">
      <c r="A926" s="1">
        <v>45853</v>
      </c>
      <c r="B926" t="s">
        <v>1488</v>
      </c>
      <c r="C926" t="s">
        <v>1489</v>
      </c>
      <c r="D926" t="s">
        <v>46</v>
      </c>
      <c r="E926">
        <v>200000</v>
      </c>
      <c r="F926" s="1">
        <v>45868</v>
      </c>
      <c r="G926" t="s">
        <v>47</v>
      </c>
      <c r="H926" t="s">
        <v>19</v>
      </c>
      <c r="I926" s="13">
        <f>_xlfn.XLOOKUP(F926,'Wk no''s'!B:B,'Wk no''s'!C:C,FALSE)</f>
        <v>31</v>
      </c>
      <c r="J926" s="13">
        <f>IF(D926="GBP",1,SUMIFS('Ex Rates'!I:I,'Ex Rates'!K:K,'Weekly Closed Proposal Requests'!L926,'Ex Rates'!G:G,'Weekly Closed Proposal Requests'!D926))</f>
        <v>0.75757575757575757</v>
      </c>
      <c r="K926" s="13">
        <f t="shared" si="15"/>
        <v>151515.15151515152</v>
      </c>
      <c r="L926" s="13" t="str">
        <f>_xlfn.XLOOKUP(I926,'Wk no''s'!C:C,'Wk no''s'!E:E,0)</f>
        <v>Jul</v>
      </c>
    </row>
    <row r="927" spans="1:12" x14ac:dyDescent="0.25">
      <c r="A927" s="1">
        <v>45854</v>
      </c>
      <c r="B927" t="s">
        <v>1490</v>
      </c>
      <c r="C927" t="s">
        <v>1511</v>
      </c>
      <c r="D927" t="s">
        <v>46</v>
      </c>
      <c r="E927">
        <v>450000</v>
      </c>
      <c r="F927" s="1">
        <v>45867</v>
      </c>
      <c r="G927" t="s">
        <v>47</v>
      </c>
      <c r="H927" t="s">
        <v>19</v>
      </c>
      <c r="I927" s="13">
        <f>_xlfn.XLOOKUP(F927,'Wk no''s'!B:B,'Wk no''s'!C:C,FALSE)</f>
        <v>31</v>
      </c>
      <c r="J927" s="13">
        <f>IF(D927="GBP",1,SUMIFS('Ex Rates'!I:I,'Ex Rates'!K:K,'Weekly Closed Proposal Requests'!L927,'Ex Rates'!G:G,'Weekly Closed Proposal Requests'!D927))</f>
        <v>0.75757575757575757</v>
      </c>
      <c r="K927" s="13">
        <f t="shared" si="15"/>
        <v>340909.09090909088</v>
      </c>
      <c r="L927" s="13" t="str">
        <f>_xlfn.XLOOKUP(I927,'Wk no''s'!C:C,'Wk no''s'!E:E,0)</f>
        <v>Jul</v>
      </c>
    </row>
    <row r="928" spans="1:12" x14ac:dyDescent="0.25">
      <c r="A928" s="1">
        <v>45863</v>
      </c>
      <c r="B928" t="s">
        <v>1491</v>
      </c>
      <c r="C928" t="s">
        <v>328</v>
      </c>
      <c r="D928" t="s">
        <v>15</v>
      </c>
      <c r="E928">
        <v>425923</v>
      </c>
      <c r="F928" s="1">
        <v>45868</v>
      </c>
      <c r="G928" t="s">
        <v>47</v>
      </c>
      <c r="H928" t="s">
        <v>50</v>
      </c>
      <c r="I928" s="13">
        <f>_xlfn.XLOOKUP(F928,'Wk no''s'!B:B,'Wk no''s'!C:C,FALSE)</f>
        <v>31</v>
      </c>
      <c r="J928" s="13">
        <f>IF(D928="GBP",1,SUMIFS('Ex Rates'!I:I,'Ex Rates'!K:K,'Weekly Closed Proposal Requests'!L928,'Ex Rates'!G:G,'Weekly Closed Proposal Requests'!D928))</f>
        <v>1</v>
      </c>
      <c r="K928" s="13">
        <f t="shared" si="15"/>
        <v>425923</v>
      </c>
      <c r="L928" s="13" t="str">
        <f>_xlfn.XLOOKUP(I928,'Wk no''s'!C:C,'Wk no''s'!E:E,0)</f>
        <v>Jul</v>
      </c>
    </row>
    <row r="929" spans="1:12" x14ac:dyDescent="0.25">
      <c r="A929" s="1">
        <v>45866</v>
      </c>
      <c r="B929" t="s">
        <v>1492</v>
      </c>
      <c r="C929" t="s">
        <v>1275</v>
      </c>
      <c r="D929" t="s">
        <v>15</v>
      </c>
      <c r="E929">
        <v>44173.26</v>
      </c>
      <c r="F929" s="1">
        <v>45868</v>
      </c>
      <c r="G929" t="s">
        <v>47</v>
      </c>
      <c r="H929" t="s">
        <v>50</v>
      </c>
      <c r="I929" s="13">
        <f>_xlfn.XLOOKUP(F929,'Wk no''s'!B:B,'Wk no''s'!C:C,FALSE)</f>
        <v>31</v>
      </c>
      <c r="J929" s="13">
        <f>IF(D929="GBP",1,SUMIFS('Ex Rates'!I:I,'Ex Rates'!K:K,'Weekly Closed Proposal Requests'!L929,'Ex Rates'!G:G,'Weekly Closed Proposal Requests'!D929))</f>
        <v>1</v>
      </c>
      <c r="K929" s="13">
        <f t="shared" si="15"/>
        <v>44173.26</v>
      </c>
      <c r="L929" s="13" t="str">
        <f>_xlfn.XLOOKUP(I929,'Wk no''s'!C:C,'Wk no''s'!E:E,0)</f>
        <v>Jul</v>
      </c>
    </row>
    <row r="930" spans="1:12" x14ac:dyDescent="0.25">
      <c r="A930" s="1">
        <v>45867</v>
      </c>
      <c r="B930" t="s">
        <v>1493</v>
      </c>
      <c r="C930" t="s">
        <v>1189</v>
      </c>
      <c r="D930" t="s">
        <v>10</v>
      </c>
      <c r="E930">
        <v>10000</v>
      </c>
      <c r="F930" s="1">
        <v>45869</v>
      </c>
      <c r="G930" t="s">
        <v>11</v>
      </c>
      <c r="H930" t="s">
        <v>12</v>
      </c>
      <c r="I930" s="13">
        <f>_xlfn.XLOOKUP(F930,'Wk no''s'!B:B,'Wk no''s'!C:C,FALSE)</f>
        <v>31</v>
      </c>
      <c r="J930" s="13">
        <f>IF(D930="GBP",1,SUMIFS('Ex Rates'!I:I,'Ex Rates'!K:K,'Weekly Closed Proposal Requests'!L930,'Ex Rates'!G:G,'Weekly Closed Proposal Requests'!D930))</f>
        <v>0.48732943469785572</v>
      </c>
      <c r="K930" s="13">
        <f t="shared" si="15"/>
        <v>4873.2943469785569</v>
      </c>
      <c r="L930" s="13" t="str">
        <f>_xlfn.XLOOKUP(I930,'Wk no''s'!C:C,'Wk no''s'!E:E,0)</f>
        <v>Jul</v>
      </c>
    </row>
    <row r="931" spans="1:12" x14ac:dyDescent="0.25">
      <c r="A931" s="1">
        <v>45870</v>
      </c>
      <c r="B931" t="s">
        <v>1494</v>
      </c>
      <c r="C931" t="s">
        <v>1495</v>
      </c>
      <c r="D931" t="s">
        <v>10</v>
      </c>
      <c r="E931">
        <v>10000</v>
      </c>
      <c r="F931" s="1">
        <v>45870</v>
      </c>
      <c r="G931" t="s">
        <v>11</v>
      </c>
      <c r="H931" t="s">
        <v>12</v>
      </c>
      <c r="I931" s="13">
        <f>_xlfn.XLOOKUP(F931,'Wk no''s'!B:B,'Wk no''s'!C:C,FALSE)</f>
        <v>31</v>
      </c>
      <c r="J931" s="13">
        <f>IF(D931="GBP",1,SUMIFS('Ex Rates'!I:I,'Ex Rates'!K:K,'Weekly Closed Proposal Requests'!L931,'Ex Rates'!G:G,'Weekly Closed Proposal Requests'!D931))</f>
        <v>0.48732943469785572</v>
      </c>
      <c r="K931" s="13">
        <f t="shared" si="15"/>
        <v>4873.2943469785569</v>
      </c>
      <c r="L931" s="13" t="str">
        <f>_xlfn.XLOOKUP(I931,'Wk no''s'!C:C,'Wk no''s'!E:E,0)</f>
        <v>Jul</v>
      </c>
    </row>
    <row r="932" spans="1:12" x14ac:dyDescent="0.25">
      <c r="A932" s="1">
        <v>45862</v>
      </c>
      <c r="B932" t="s">
        <v>1496</v>
      </c>
      <c r="C932" t="s">
        <v>66</v>
      </c>
      <c r="D932" t="s">
        <v>15</v>
      </c>
      <c r="E932">
        <v>250000</v>
      </c>
      <c r="F932" s="1">
        <v>45867</v>
      </c>
      <c r="G932" t="s">
        <v>11</v>
      </c>
      <c r="H932" t="s">
        <v>50</v>
      </c>
      <c r="I932" s="13">
        <f>_xlfn.XLOOKUP(F932,'Wk no''s'!B:B,'Wk no''s'!C:C,FALSE)</f>
        <v>31</v>
      </c>
      <c r="J932" s="13">
        <f>IF(D932="GBP",1,SUMIFS('Ex Rates'!I:I,'Ex Rates'!K:K,'Weekly Closed Proposal Requests'!L932,'Ex Rates'!G:G,'Weekly Closed Proposal Requests'!D932))</f>
        <v>1</v>
      </c>
      <c r="K932" s="13">
        <f t="shared" si="15"/>
        <v>250000</v>
      </c>
      <c r="L932" s="13" t="str">
        <f>_xlfn.XLOOKUP(I932,'Wk no''s'!C:C,'Wk no''s'!E:E,0)</f>
        <v>Jul</v>
      </c>
    </row>
    <row r="933" spans="1:12" x14ac:dyDescent="0.25">
      <c r="A933" s="1">
        <v>45866</v>
      </c>
      <c r="B933" t="s">
        <v>1497</v>
      </c>
      <c r="C933" t="s">
        <v>1314</v>
      </c>
      <c r="D933" t="s">
        <v>10</v>
      </c>
      <c r="E933">
        <v>23000</v>
      </c>
      <c r="F933" s="1">
        <v>45869</v>
      </c>
      <c r="G933" t="s">
        <v>11</v>
      </c>
      <c r="H933" t="s">
        <v>50</v>
      </c>
      <c r="I933" s="13">
        <f>_xlfn.XLOOKUP(F933,'Wk no''s'!B:B,'Wk no''s'!C:C,FALSE)</f>
        <v>31</v>
      </c>
      <c r="J933" s="13">
        <f>IF(D933="GBP",1,SUMIFS('Ex Rates'!I:I,'Ex Rates'!K:K,'Weekly Closed Proposal Requests'!L933,'Ex Rates'!G:G,'Weekly Closed Proposal Requests'!D933))</f>
        <v>0.48732943469785572</v>
      </c>
      <c r="K933" s="13">
        <f t="shared" si="15"/>
        <v>11208.576998050681</v>
      </c>
      <c r="L933" s="13" t="str">
        <f>_xlfn.XLOOKUP(I933,'Wk no''s'!C:C,'Wk no''s'!E:E,0)</f>
        <v>Jul</v>
      </c>
    </row>
    <row r="934" spans="1:12" x14ac:dyDescent="0.25">
      <c r="A934" s="1">
        <v>45866</v>
      </c>
      <c r="B934" t="s">
        <v>1498</v>
      </c>
      <c r="C934" t="s">
        <v>1458</v>
      </c>
      <c r="D934" t="s">
        <v>10</v>
      </c>
      <c r="E934">
        <v>15000</v>
      </c>
      <c r="F934" s="1">
        <v>45866</v>
      </c>
      <c r="G934" t="s">
        <v>11</v>
      </c>
      <c r="H934" t="s">
        <v>50</v>
      </c>
      <c r="I934" s="13">
        <f>_xlfn.XLOOKUP(F934,'Wk no''s'!B:B,'Wk no''s'!C:C,FALSE)</f>
        <v>31</v>
      </c>
      <c r="J934" s="13">
        <f>IF(D934="GBP",1,SUMIFS('Ex Rates'!I:I,'Ex Rates'!K:K,'Weekly Closed Proposal Requests'!L934,'Ex Rates'!G:G,'Weekly Closed Proposal Requests'!D934))</f>
        <v>0.48732943469785572</v>
      </c>
      <c r="K934" s="13">
        <f t="shared" si="15"/>
        <v>7309.9415204678362</v>
      </c>
      <c r="L934" s="13" t="str">
        <f>_xlfn.XLOOKUP(I934,'Wk no''s'!C:C,'Wk no''s'!E:E,0)</f>
        <v>Jul</v>
      </c>
    </row>
    <row r="935" spans="1:12" x14ac:dyDescent="0.25">
      <c r="A935" s="1">
        <v>45866</v>
      </c>
      <c r="B935" t="s">
        <v>1499</v>
      </c>
      <c r="C935" t="s">
        <v>1221</v>
      </c>
      <c r="D935" t="s">
        <v>10</v>
      </c>
      <c r="E935">
        <v>60000</v>
      </c>
      <c r="F935" s="1">
        <v>45870</v>
      </c>
      <c r="G935" t="s">
        <v>11</v>
      </c>
      <c r="H935" t="s">
        <v>50</v>
      </c>
      <c r="I935" s="13">
        <f>_xlfn.XLOOKUP(F935,'Wk no''s'!B:B,'Wk no''s'!C:C,FALSE)</f>
        <v>31</v>
      </c>
      <c r="J935" s="13">
        <f>IF(D935="GBP",1,SUMIFS('Ex Rates'!I:I,'Ex Rates'!K:K,'Weekly Closed Proposal Requests'!L935,'Ex Rates'!G:G,'Weekly Closed Proposal Requests'!D935))</f>
        <v>0.48732943469785572</v>
      </c>
      <c r="K935" s="13">
        <f t="shared" si="15"/>
        <v>29239.766081871345</v>
      </c>
      <c r="L935" s="13" t="str">
        <f>_xlfn.XLOOKUP(I935,'Wk no''s'!C:C,'Wk no''s'!E:E,0)</f>
        <v>Jul</v>
      </c>
    </row>
    <row r="936" spans="1:12" x14ac:dyDescent="0.25">
      <c r="A936" s="1">
        <v>45868</v>
      </c>
      <c r="B936" t="s">
        <v>1500</v>
      </c>
      <c r="C936" t="s">
        <v>1457</v>
      </c>
      <c r="D936" t="s">
        <v>10</v>
      </c>
      <c r="E936">
        <v>60000</v>
      </c>
      <c r="F936" s="1">
        <v>45869</v>
      </c>
      <c r="G936" t="s">
        <v>11</v>
      </c>
      <c r="H936" t="s">
        <v>50</v>
      </c>
      <c r="I936" s="13">
        <f>_xlfn.XLOOKUP(F936,'Wk no''s'!B:B,'Wk no''s'!C:C,FALSE)</f>
        <v>31</v>
      </c>
      <c r="J936" s="13">
        <f>IF(D936="GBP",1,SUMIFS('Ex Rates'!I:I,'Ex Rates'!K:K,'Weekly Closed Proposal Requests'!L936,'Ex Rates'!G:G,'Weekly Closed Proposal Requests'!D936))</f>
        <v>0.48732943469785572</v>
      </c>
      <c r="K936" s="13">
        <f t="shared" si="15"/>
        <v>29239.766081871345</v>
      </c>
      <c r="L936" s="13" t="str">
        <f>_xlfn.XLOOKUP(I936,'Wk no''s'!C:C,'Wk no''s'!E:E,0)</f>
        <v>Jul</v>
      </c>
    </row>
    <row r="937" spans="1:12" x14ac:dyDescent="0.25">
      <c r="A937" s="1">
        <v>45868</v>
      </c>
      <c r="B937" t="s">
        <v>1501</v>
      </c>
      <c r="C937" t="s">
        <v>1221</v>
      </c>
      <c r="D937" t="s">
        <v>10</v>
      </c>
      <c r="E937">
        <v>60000</v>
      </c>
      <c r="F937" s="1">
        <v>45870</v>
      </c>
      <c r="G937" t="s">
        <v>11</v>
      </c>
      <c r="H937" t="s">
        <v>50</v>
      </c>
      <c r="I937" s="13">
        <f>_xlfn.XLOOKUP(F937,'Wk no''s'!B:B,'Wk no''s'!C:C,FALSE)</f>
        <v>31</v>
      </c>
      <c r="J937" s="13">
        <f>IF(D937="GBP",1,SUMIFS('Ex Rates'!I:I,'Ex Rates'!K:K,'Weekly Closed Proposal Requests'!L937,'Ex Rates'!G:G,'Weekly Closed Proposal Requests'!D937))</f>
        <v>0.48732943469785572</v>
      </c>
      <c r="K937" s="13">
        <f t="shared" si="15"/>
        <v>29239.766081871345</v>
      </c>
      <c r="L937" s="13" t="str">
        <f>_xlfn.XLOOKUP(I937,'Wk no''s'!C:C,'Wk no''s'!E:E,0)</f>
        <v>Jul</v>
      </c>
    </row>
    <row r="938" spans="1:12" x14ac:dyDescent="0.25">
      <c r="A938" s="1">
        <v>45866</v>
      </c>
      <c r="B938" t="s">
        <v>1503</v>
      </c>
      <c r="C938" t="s">
        <v>1504</v>
      </c>
      <c r="D938" t="s">
        <v>15</v>
      </c>
      <c r="E938">
        <v>60000</v>
      </c>
      <c r="F938" s="1">
        <v>45869</v>
      </c>
      <c r="G938" t="s">
        <v>72</v>
      </c>
      <c r="H938" t="s">
        <v>12</v>
      </c>
      <c r="I938" s="13">
        <f>_xlfn.XLOOKUP(F938,'Wk no''s'!B:B,'Wk no''s'!C:C,FALSE)</f>
        <v>31</v>
      </c>
      <c r="J938" s="13">
        <f>IF(D938="GBP",1,SUMIFS('Ex Rates'!I:I,'Ex Rates'!K:K,'Weekly Closed Proposal Requests'!L938,'Ex Rates'!G:G,'Weekly Closed Proposal Requests'!D938))</f>
        <v>1</v>
      </c>
      <c r="K938" s="13">
        <f t="shared" si="15"/>
        <v>60000</v>
      </c>
      <c r="L938" s="13" t="str">
        <f>_xlfn.XLOOKUP(I938,'Wk no''s'!C:C,'Wk no''s'!E:E,0)</f>
        <v>Jul</v>
      </c>
    </row>
    <row r="939" spans="1:12" x14ac:dyDescent="0.25">
      <c r="A939" s="1">
        <v>45842</v>
      </c>
      <c r="B939" t="s">
        <v>1505</v>
      </c>
      <c r="C939" t="s">
        <v>188</v>
      </c>
      <c r="D939" t="s">
        <v>15</v>
      </c>
      <c r="E939">
        <v>250000</v>
      </c>
      <c r="F939" s="1">
        <v>45868</v>
      </c>
      <c r="G939" t="s">
        <v>72</v>
      </c>
      <c r="H939" t="s">
        <v>19</v>
      </c>
      <c r="I939" s="13">
        <f>_xlfn.XLOOKUP(F939,'Wk no''s'!B:B,'Wk no''s'!C:C,FALSE)</f>
        <v>31</v>
      </c>
      <c r="J939" s="13">
        <f>IF(D939="GBP",1,SUMIFS('Ex Rates'!I:I,'Ex Rates'!K:K,'Weekly Closed Proposal Requests'!L939,'Ex Rates'!G:G,'Weekly Closed Proposal Requests'!D939))</f>
        <v>1</v>
      </c>
      <c r="K939" s="13">
        <f t="shared" si="15"/>
        <v>250000</v>
      </c>
      <c r="L939" s="13" t="str">
        <f>_xlfn.XLOOKUP(I939,'Wk no''s'!C:C,'Wk no''s'!E:E,0)</f>
        <v>Jul</v>
      </c>
    </row>
    <row r="940" spans="1:12" x14ac:dyDescent="0.25">
      <c r="A940" s="1">
        <v>45856</v>
      </c>
      <c r="B940" t="s">
        <v>1508</v>
      </c>
      <c r="C940" t="s">
        <v>1150</v>
      </c>
      <c r="D940" t="s">
        <v>15</v>
      </c>
      <c r="E940">
        <v>200000</v>
      </c>
      <c r="F940" s="1">
        <v>45866</v>
      </c>
      <c r="G940" t="s">
        <v>72</v>
      </c>
      <c r="H940" t="s">
        <v>19</v>
      </c>
      <c r="I940" s="13">
        <f>_xlfn.XLOOKUP(F940,'Wk no''s'!B:B,'Wk no''s'!C:C,FALSE)</f>
        <v>31</v>
      </c>
      <c r="J940" s="13">
        <f>IF(D940="GBP",1,SUMIFS('Ex Rates'!I:I,'Ex Rates'!K:K,'Weekly Closed Proposal Requests'!L940,'Ex Rates'!G:G,'Weekly Closed Proposal Requests'!D940))</f>
        <v>1</v>
      </c>
      <c r="K940" s="13">
        <f t="shared" si="15"/>
        <v>200000</v>
      </c>
      <c r="L940" s="13" t="str">
        <f>_xlfn.XLOOKUP(I940,'Wk no''s'!C:C,'Wk no''s'!E:E,0)</f>
        <v>Jul</v>
      </c>
    </row>
    <row r="941" spans="1:12" x14ac:dyDescent="0.25">
      <c r="A941" s="1">
        <v>45867</v>
      </c>
      <c r="B941" t="s">
        <v>1509</v>
      </c>
      <c r="C941" t="s">
        <v>1510</v>
      </c>
      <c r="D941" t="s">
        <v>15</v>
      </c>
      <c r="E941">
        <v>30000</v>
      </c>
      <c r="F941" s="1">
        <v>45869</v>
      </c>
      <c r="G941" t="s">
        <v>72</v>
      </c>
      <c r="H941" t="s">
        <v>50</v>
      </c>
      <c r="I941" s="13">
        <f>_xlfn.XLOOKUP(F941,'Wk no''s'!B:B,'Wk no''s'!C:C,FALSE)</f>
        <v>31</v>
      </c>
      <c r="J941" s="13">
        <f>IF(D941="GBP",1,SUMIFS('Ex Rates'!I:I,'Ex Rates'!K:K,'Weekly Closed Proposal Requests'!L941,'Ex Rates'!G:G,'Weekly Closed Proposal Requests'!D941))</f>
        <v>1</v>
      </c>
      <c r="K941" s="13">
        <f t="shared" si="15"/>
        <v>30000</v>
      </c>
      <c r="L941" s="13" t="str">
        <f>_xlfn.XLOOKUP(I941,'Wk no''s'!C:C,'Wk no''s'!E:E,0)</f>
        <v>Jul</v>
      </c>
    </row>
    <row r="942" spans="1:12" x14ac:dyDescent="0.25">
      <c r="A942" s="1">
        <v>45859</v>
      </c>
      <c r="B942" t="s">
        <v>1513</v>
      </c>
      <c r="C942" t="s">
        <v>1514</v>
      </c>
      <c r="D942" t="s">
        <v>15</v>
      </c>
      <c r="E942">
        <v>50000</v>
      </c>
      <c r="F942" s="1">
        <v>45877</v>
      </c>
      <c r="G942" t="s">
        <v>16</v>
      </c>
      <c r="H942" t="s">
        <v>19</v>
      </c>
      <c r="I942" s="13">
        <f>_xlfn.XLOOKUP(F942,'Wk no''s'!B:B,'Wk no''s'!C:C,FALSE)</f>
        <v>32</v>
      </c>
      <c r="J942" s="13">
        <f>IF(D942="GBP",1,SUMIFS('Ex Rates'!I:I,'Ex Rates'!K:K,'Weekly Closed Proposal Requests'!L942,'Ex Rates'!G:G,'Weekly Closed Proposal Requests'!D942))</f>
        <v>1</v>
      </c>
      <c r="K942" s="13">
        <f t="shared" si="15"/>
        <v>50000</v>
      </c>
      <c r="L942" s="13" t="str">
        <f>_xlfn.XLOOKUP(I942,'Wk no''s'!C:C,'Wk no''s'!E:E,0)</f>
        <v>Aug</v>
      </c>
    </row>
    <row r="943" spans="1:12" x14ac:dyDescent="0.25">
      <c r="A943" s="1">
        <v>45860</v>
      </c>
      <c r="B943" t="s">
        <v>1515</v>
      </c>
      <c r="C943" t="s">
        <v>1516</v>
      </c>
      <c r="D943" t="s">
        <v>15</v>
      </c>
      <c r="E943">
        <v>50000</v>
      </c>
      <c r="F943" s="1">
        <v>45876</v>
      </c>
      <c r="G943" t="s">
        <v>16</v>
      </c>
      <c r="H943" t="s">
        <v>19</v>
      </c>
      <c r="I943" s="13">
        <f>_xlfn.XLOOKUP(F943,'Wk no''s'!B:B,'Wk no''s'!C:C,FALSE)</f>
        <v>32</v>
      </c>
      <c r="J943" s="13">
        <f>IF(D943="GBP",1,SUMIFS('Ex Rates'!I:I,'Ex Rates'!K:K,'Weekly Closed Proposal Requests'!L943,'Ex Rates'!G:G,'Weekly Closed Proposal Requests'!D943))</f>
        <v>1</v>
      </c>
      <c r="K943" s="13">
        <f t="shared" si="15"/>
        <v>50000</v>
      </c>
      <c r="L943" s="13" t="str">
        <f>_xlfn.XLOOKUP(I943,'Wk no''s'!C:C,'Wk no''s'!E:E,0)</f>
        <v>Aug</v>
      </c>
    </row>
    <row r="944" spans="1:12" x14ac:dyDescent="0.25">
      <c r="A944" s="1">
        <v>45862</v>
      </c>
      <c r="B944" t="s">
        <v>1517</v>
      </c>
      <c r="C944" t="s">
        <v>801</v>
      </c>
      <c r="D944" t="s">
        <v>15</v>
      </c>
      <c r="E944">
        <v>50000</v>
      </c>
      <c r="F944" s="1">
        <v>45875</v>
      </c>
      <c r="G944" t="s">
        <v>16</v>
      </c>
      <c r="H944" t="s">
        <v>19</v>
      </c>
      <c r="I944" s="13">
        <f>_xlfn.XLOOKUP(F944,'Wk no''s'!B:B,'Wk no''s'!C:C,FALSE)</f>
        <v>32</v>
      </c>
      <c r="J944" s="13">
        <f>IF(D944="GBP",1,SUMIFS('Ex Rates'!I:I,'Ex Rates'!K:K,'Weekly Closed Proposal Requests'!L944,'Ex Rates'!G:G,'Weekly Closed Proposal Requests'!D944))</f>
        <v>1</v>
      </c>
      <c r="K944" s="13">
        <f t="shared" si="15"/>
        <v>50000</v>
      </c>
      <c r="L944" s="13" t="str">
        <f>_xlfn.XLOOKUP(I944,'Wk no''s'!C:C,'Wk no''s'!E:E,0)</f>
        <v>Aug</v>
      </c>
    </row>
    <row r="945" spans="1:12" x14ac:dyDescent="0.25">
      <c r="A945" s="1">
        <v>45864</v>
      </c>
      <c r="B945" t="s">
        <v>1518</v>
      </c>
      <c r="C945" t="s">
        <v>1708</v>
      </c>
      <c r="D945" t="s">
        <v>15</v>
      </c>
      <c r="E945">
        <v>15000</v>
      </c>
      <c r="F945" s="1">
        <v>45873</v>
      </c>
      <c r="G945" t="s">
        <v>16</v>
      </c>
      <c r="H945" t="s">
        <v>19</v>
      </c>
      <c r="I945" s="13">
        <f>_xlfn.XLOOKUP(F945,'Wk no''s'!B:B,'Wk no''s'!C:C,FALSE)</f>
        <v>32</v>
      </c>
      <c r="J945" s="13">
        <f>IF(D945="GBP",1,SUMIFS('Ex Rates'!I:I,'Ex Rates'!K:K,'Weekly Closed Proposal Requests'!L945,'Ex Rates'!G:G,'Weekly Closed Proposal Requests'!D945))</f>
        <v>1</v>
      </c>
      <c r="K945" s="13">
        <f t="shared" si="15"/>
        <v>15000</v>
      </c>
      <c r="L945" s="13" t="str">
        <f>_xlfn.XLOOKUP(I945,'Wk no''s'!C:C,'Wk no''s'!E:E,0)</f>
        <v>Aug</v>
      </c>
    </row>
    <row r="946" spans="1:12" x14ac:dyDescent="0.25">
      <c r="A946" s="1">
        <v>45866</v>
      </c>
      <c r="B946" t="s">
        <v>1519</v>
      </c>
      <c r="C946" t="s">
        <v>1520</v>
      </c>
      <c r="D946" t="s">
        <v>15</v>
      </c>
      <c r="E946">
        <v>20000</v>
      </c>
      <c r="F946" s="1">
        <v>45877</v>
      </c>
      <c r="G946" t="s">
        <v>16</v>
      </c>
      <c r="H946" t="s">
        <v>19</v>
      </c>
      <c r="I946" s="13">
        <f>_xlfn.XLOOKUP(F946,'Wk no''s'!B:B,'Wk no''s'!C:C,FALSE)</f>
        <v>32</v>
      </c>
      <c r="J946" s="13">
        <f>IF(D946="GBP",1,SUMIFS('Ex Rates'!I:I,'Ex Rates'!K:K,'Weekly Closed Proposal Requests'!L946,'Ex Rates'!G:G,'Weekly Closed Proposal Requests'!D946))</f>
        <v>1</v>
      </c>
      <c r="K946" s="13">
        <f t="shared" si="15"/>
        <v>20000</v>
      </c>
      <c r="L946" s="13" t="str">
        <f>_xlfn.XLOOKUP(I946,'Wk no''s'!C:C,'Wk no''s'!E:E,0)</f>
        <v>Aug</v>
      </c>
    </row>
    <row r="947" spans="1:12" x14ac:dyDescent="0.25">
      <c r="A947" s="1">
        <v>45866</v>
      </c>
      <c r="B947" t="s">
        <v>1521</v>
      </c>
      <c r="C947" t="s">
        <v>1267</v>
      </c>
      <c r="D947" t="s">
        <v>15</v>
      </c>
      <c r="E947">
        <v>20000</v>
      </c>
      <c r="F947" s="1">
        <v>45876</v>
      </c>
      <c r="G947" t="s">
        <v>16</v>
      </c>
      <c r="H947" t="s">
        <v>19</v>
      </c>
      <c r="I947" s="13">
        <f>_xlfn.XLOOKUP(F947,'Wk no''s'!B:B,'Wk no''s'!C:C,FALSE)</f>
        <v>32</v>
      </c>
      <c r="J947" s="13">
        <f>IF(D947="GBP",1,SUMIFS('Ex Rates'!I:I,'Ex Rates'!K:K,'Weekly Closed Proposal Requests'!L947,'Ex Rates'!G:G,'Weekly Closed Proposal Requests'!D947))</f>
        <v>1</v>
      </c>
      <c r="K947" s="13">
        <f t="shared" si="15"/>
        <v>20000</v>
      </c>
      <c r="L947" s="13" t="str">
        <f>_xlfn.XLOOKUP(I947,'Wk no''s'!C:C,'Wk no''s'!E:E,0)</f>
        <v>Aug</v>
      </c>
    </row>
    <row r="948" spans="1:12" x14ac:dyDescent="0.25">
      <c r="A948" s="1">
        <v>45867</v>
      </c>
      <c r="B948" t="s">
        <v>1522</v>
      </c>
      <c r="C948" t="s">
        <v>1523</v>
      </c>
      <c r="D948" t="s">
        <v>15</v>
      </c>
      <c r="E948">
        <v>10000</v>
      </c>
      <c r="F948" s="1">
        <v>45874</v>
      </c>
      <c r="G948" t="s">
        <v>16</v>
      </c>
      <c r="H948" t="s">
        <v>19</v>
      </c>
      <c r="I948" s="13">
        <f>_xlfn.XLOOKUP(F948,'Wk no''s'!B:B,'Wk no''s'!C:C,FALSE)</f>
        <v>32</v>
      </c>
      <c r="J948" s="13">
        <f>IF(D948="GBP",1,SUMIFS('Ex Rates'!I:I,'Ex Rates'!K:K,'Weekly Closed Proposal Requests'!L948,'Ex Rates'!G:G,'Weekly Closed Proposal Requests'!D948))</f>
        <v>1</v>
      </c>
      <c r="K948" s="13">
        <f t="shared" si="15"/>
        <v>10000</v>
      </c>
      <c r="L948" s="13" t="str">
        <f>_xlfn.XLOOKUP(I948,'Wk no''s'!C:C,'Wk no''s'!E:E,0)</f>
        <v>Aug</v>
      </c>
    </row>
    <row r="949" spans="1:12" x14ac:dyDescent="0.25">
      <c r="A949" s="1">
        <v>45867</v>
      </c>
      <c r="B949" t="s">
        <v>1524</v>
      </c>
      <c r="C949" t="s">
        <v>791</v>
      </c>
      <c r="D949" t="s">
        <v>15</v>
      </c>
      <c r="E949">
        <v>450000</v>
      </c>
      <c r="F949" s="1">
        <v>45875</v>
      </c>
      <c r="G949" t="s">
        <v>16</v>
      </c>
      <c r="H949" t="s">
        <v>19</v>
      </c>
      <c r="I949" s="13">
        <f>_xlfn.XLOOKUP(F949,'Wk no''s'!B:B,'Wk no''s'!C:C,FALSE)</f>
        <v>32</v>
      </c>
      <c r="J949" s="13">
        <f>IF(D949="GBP",1,SUMIFS('Ex Rates'!I:I,'Ex Rates'!K:K,'Weekly Closed Proposal Requests'!L949,'Ex Rates'!G:G,'Weekly Closed Proposal Requests'!D949))</f>
        <v>1</v>
      </c>
      <c r="K949" s="13">
        <f t="shared" si="15"/>
        <v>450000</v>
      </c>
      <c r="L949" s="13" t="str">
        <f>_xlfn.XLOOKUP(I949,'Wk no''s'!C:C,'Wk no''s'!E:E,0)</f>
        <v>Aug</v>
      </c>
    </row>
    <row r="950" spans="1:12" x14ac:dyDescent="0.25">
      <c r="A950" s="1">
        <v>45868</v>
      </c>
      <c r="B950" t="s">
        <v>1525</v>
      </c>
      <c r="C950" t="s">
        <v>1526</v>
      </c>
      <c r="D950" t="s">
        <v>15</v>
      </c>
      <c r="E950">
        <v>50000</v>
      </c>
      <c r="F950" s="1">
        <v>45875</v>
      </c>
      <c r="G950" t="s">
        <v>16</v>
      </c>
      <c r="H950" t="s">
        <v>19</v>
      </c>
      <c r="I950" s="13">
        <f>_xlfn.XLOOKUP(F950,'Wk no''s'!B:B,'Wk no''s'!C:C,FALSE)</f>
        <v>32</v>
      </c>
      <c r="J950" s="13">
        <f>IF(D950="GBP",1,SUMIFS('Ex Rates'!I:I,'Ex Rates'!K:K,'Weekly Closed Proposal Requests'!L950,'Ex Rates'!G:G,'Weekly Closed Proposal Requests'!D950))</f>
        <v>1</v>
      </c>
      <c r="K950" s="13">
        <f t="shared" si="15"/>
        <v>50000</v>
      </c>
      <c r="L950" s="13" t="str">
        <f>_xlfn.XLOOKUP(I950,'Wk no''s'!C:C,'Wk no''s'!E:E,0)</f>
        <v>Aug</v>
      </c>
    </row>
    <row r="951" spans="1:12" x14ac:dyDescent="0.25">
      <c r="A951" s="1">
        <v>45868</v>
      </c>
      <c r="B951" t="s">
        <v>1527</v>
      </c>
      <c r="C951" t="s">
        <v>1119</v>
      </c>
      <c r="D951" t="s">
        <v>15</v>
      </c>
      <c r="E951">
        <v>15000</v>
      </c>
      <c r="F951" s="1">
        <v>45875</v>
      </c>
      <c r="G951" t="s">
        <v>16</v>
      </c>
      <c r="H951" t="s">
        <v>19</v>
      </c>
      <c r="I951" s="13">
        <f>_xlfn.XLOOKUP(F951,'Wk no''s'!B:B,'Wk no''s'!C:C,FALSE)</f>
        <v>32</v>
      </c>
      <c r="J951" s="13">
        <f>IF(D951="GBP",1,SUMIFS('Ex Rates'!I:I,'Ex Rates'!K:K,'Weekly Closed Proposal Requests'!L951,'Ex Rates'!G:G,'Weekly Closed Proposal Requests'!D951))</f>
        <v>1</v>
      </c>
      <c r="K951" s="13">
        <f t="shared" si="15"/>
        <v>15000</v>
      </c>
      <c r="L951" s="13" t="str">
        <f>_xlfn.XLOOKUP(I951,'Wk no''s'!C:C,'Wk no''s'!E:E,0)</f>
        <v>Aug</v>
      </c>
    </row>
    <row r="952" spans="1:12" x14ac:dyDescent="0.25">
      <c r="A952" s="1">
        <v>45868</v>
      </c>
      <c r="B952" t="s">
        <v>1528</v>
      </c>
      <c r="C952" t="s">
        <v>1529</v>
      </c>
      <c r="D952" t="s">
        <v>15</v>
      </c>
      <c r="E952">
        <v>20000</v>
      </c>
      <c r="F952" s="1">
        <v>45875</v>
      </c>
      <c r="G952" t="s">
        <v>16</v>
      </c>
      <c r="H952" t="s">
        <v>19</v>
      </c>
      <c r="I952" s="13">
        <f>_xlfn.XLOOKUP(F952,'Wk no''s'!B:B,'Wk no''s'!C:C,FALSE)</f>
        <v>32</v>
      </c>
      <c r="J952" s="13">
        <f>IF(D952="GBP",1,SUMIFS('Ex Rates'!I:I,'Ex Rates'!K:K,'Weekly Closed Proposal Requests'!L952,'Ex Rates'!G:G,'Weekly Closed Proposal Requests'!D952))</f>
        <v>1</v>
      </c>
      <c r="K952" s="13">
        <f t="shared" si="15"/>
        <v>20000</v>
      </c>
      <c r="L952" s="13" t="str">
        <f>_xlfn.XLOOKUP(I952,'Wk no''s'!C:C,'Wk no''s'!E:E,0)</f>
        <v>Aug</v>
      </c>
    </row>
    <row r="953" spans="1:12" x14ac:dyDescent="0.25">
      <c r="A953" s="1">
        <v>45869</v>
      </c>
      <c r="B953" t="s">
        <v>1530</v>
      </c>
      <c r="C953" t="s">
        <v>1512</v>
      </c>
      <c r="D953" t="s">
        <v>15</v>
      </c>
      <c r="E953">
        <v>30000</v>
      </c>
      <c r="F953" s="1">
        <v>45873</v>
      </c>
      <c r="G953" t="s">
        <v>16</v>
      </c>
      <c r="H953" t="s">
        <v>19</v>
      </c>
      <c r="I953" s="13">
        <f>_xlfn.XLOOKUP(F953,'Wk no''s'!B:B,'Wk no''s'!C:C,FALSE)</f>
        <v>32</v>
      </c>
      <c r="J953" s="13">
        <f>IF(D953="GBP",1,SUMIFS('Ex Rates'!I:I,'Ex Rates'!K:K,'Weekly Closed Proposal Requests'!L953,'Ex Rates'!G:G,'Weekly Closed Proposal Requests'!D953))</f>
        <v>1</v>
      </c>
      <c r="K953" s="13">
        <f t="shared" si="15"/>
        <v>30000</v>
      </c>
      <c r="L953" s="13" t="str">
        <f>_xlfn.XLOOKUP(I953,'Wk no''s'!C:C,'Wk no''s'!E:E,0)</f>
        <v>Aug</v>
      </c>
    </row>
    <row r="954" spans="1:12" x14ac:dyDescent="0.25">
      <c r="A954" s="1">
        <v>45869</v>
      </c>
      <c r="B954" t="s">
        <v>1531</v>
      </c>
      <c r="C954" t="s">
        <v>1805</v>
      </c>
      <c r="D954" t="s">
        <v>15</v>
      </c>
      <c r="E954">
        <v>100000</v>
      </c>
      <c r="F954" s="1">
        <v>45875</v>
      </c>
      <c r="G954" t="s">
        <v>16</v>
      </c>
      <c r="H954" t="s">
        <v>19</v>
      </c>
      <c r="I954" s="13">
        <f>_xlfn.XLOOKUP(F954,'Wk no''s'!B:B,'Wk no''s'!C:C,FALSE)</f>
        <v>32</v>
      </c>
      <c r="J954" s="13">
        <f>IF(D954="GBP",1,SUMIFS('Ex Rates'!I:I,'Ex Rates'!K:K,'Weekly Closed Proposal Requests'!L954,'Ex Rates'!G:G,'Weekly Closed Proposal Requests'!D954))</f>
        <v>1</v>
      </c>
      <c r="K954" s="13">
        <f t="shared" si="15"/>
        <v>100000</v>
      </c>
      <c r="L954" s="13" t="str">
        <f>_xlfn.XLOOKUP(I954,'Wk no''s'!C:C,'Wk no''s'!E:E,0)</f>
        <v>Aug</v>
      </c>
    </row>
    <row r="955" spans="1:12" x14ac:dyDescent="0.25">
      <c r="A955" s="1">
        <v>45869</v>
      </c>
      <c r="B955" t="s">
        <v>1532</v>
      </c>
      <c r="C955" t="s">
        <v>1533</v>
      </c>
      <c r="D955" t="s">
        <v>15</v>
      </c>
      <c r="E955">
        <v>700000</v>
      </c>
      <c r="F955" s="1">
        <v>45875</v>
      </c>
      <c r="G955" t="s">
        <v>16</v>
      </c>
      <c r="H955" t="s">
        <v>19</v>
      </c>
      <c r="I955" s="13">
        <f>_xlfn.XLOOKUP(F955,'Wk no''s'!B:B,'Wk no''s'!C:C,FALSE)</f>
        <v>32</v>
      </c>
      <c r="J955" s="13">
        <f>IF(D955="GBP",1,SUMIFS('Ex Rates'!I:I,'Ex Rates'!K:K,'Weekly Closed Proposal Requests'!L955,'Ex Rates'!G:G,'Weekly Closed Proposal Requests'!D955))</f>
        <v>1</v>
      </c>
      <c r="K955" s="13">
        <f t="shared" si="15"/>
        <v>700000</v>
      </c>
      <c r="L955" s="13" t="str">
        <f>_xlfn.XLOOKUP(I955,'Wk no''s'!C:C,'Wk no''s'!E:E,0)</f>
        <v>Aug</v>
      </c>
    </row>
    <row r="956" spans="1:12" x14ac:dyDescent="0.25">
      <c r="A956" s="1">
        <v>45875</v>
      </c>
      <c r="B956" t="s">
        <v>1534</v>
      </c>
      <c r="C956" t="s">
        <v>849</v>
      </c>
      <c r="D956" t="s">
        <v>15</v>
      </c>
      <c r="E956">
        <v>50000</v>
      </c>
      <c r="F956" s="1">
        <v>45875</v>
      </c>
      <c r="G956" t="s">
        <v>16</v>
      </c>
      <c r="H956" t="s">
        <v>19</v>
      </c>
      <c r="I956" s="13">
        <f>_xlfn.XLOOKUP(F956,'Wk no''s'!B:B,'Wk no''s'!C:C,FALSE)</f>
        <v>32</v>
      </c>
      <c r="J956" s="13">
        <f>IF(D956="GBP",1,SUMIFS('Ex Rates'!I:I,'Ex Rates'!K:K,'Weekly Closed Proposal Requests'!L956,'Ex Rates'!G:G,'Weekly Closed Proposal Requests'!D956))</f>
        <v>1</v>
      </c>
      <c r="K956" s="13">
        <f t="shared" si="15"/>
        <v>50000</v>
      </c>
      <c r="L956" s="13" t="str">
        <f>_xlfn.XLOOKUP(I956,'Wk no''s'!C:C,'Wk no''s'!E:E,0)</f>
        <v>Aug</v>
      </c>
    </row>
    <row r="957" spans="1:12" x14ac:dyDescent="0.25">
      <c r="A957" s="1">
        <v>45875</v>
      </c>
      <c r="B957" t="s">
        <v>1535</v>
      </c>
      <c r="C957" t="s">
        <v>843</v>
      </c>
      <c r="D957" t="s">
        <v>15</v>
      </c>
      <c r="E957">
        <v>100000</v>
      </c>
      <c r="F957" s="1">
        <v>45876</v>
      </c>
      <c r="G957" t="s">
        <v>16</v>
      </c>
      <c r="H957" t="s">
        <v>19</v>
      </c>
      <c r="I957" s="13">
        <f>_xlfn.XLOOKUP(F957,'Wk no''s'!B:B,'Wk no''s'!C:C,FALSE)</f>
        <v>32</v>
      </c>
      <c r="J957" s="13">
        <f>IF(D957="GBP",1,SUMIFS('Ex Rates'!I:I,'Ex Rates'!K:K,'Weekly Closed Proposal Requests'!L957,'Ex Rates'!G:G,'Weekly Closed Proposal Requests'!D957))</f>
        <v>1</v>
      </c>
      <c r="K957" s="13">
        <f t="shared" si="15"/>
        <v>100000</v>
      </c>
      <c r="L957" s="13" t="str">
        <f>_xlfn.XLOOKUP(I957,'Wk no''s'!C:C,'Wk no''s'!E:E,0)</f>
        <v>Aug</v>
      </c>
    </row>
    <row r="958" spans="1:12" x14ac:dyDescent="0.25">
      <c r="A958" s="1">
        <v>45868</v>
      </c>
      <c r="B958" t="s">
        <v>1536</v>
      </c>
      <c r="C958" t="s">
        <v>320</v>
      </c>
      <c r="D958" t="s">
        <v>40</v>
      </c>
      <c r="E958">
        <v>20000</v>
      </c>
      <c r="F958" s="1">
        <v>45874</v>
      </c>
      <c r="G958" t="s">
        <v>41</v>
      </c>
      <c r="H958" t="s">
        <v>19</v>
      </c>
      <c r="I958" s="13">
        <f>_xlfn.XLOOKUP(F958,'Wk no''s'!B:B,'Wk no''s'!C:C,FALSE)</f>
        <v>32</v>
      </c>
      <c r="J958" s="13">
        <f>IF(D958="GBP",1,SUMIFS('Ex Rates'!I:I,'Ex Rates'!K:K,'Weekly Closed Proposal Requests'!L958,'Ex Rates'!G:G,'Weekly Closed Proposal Requests'!D958))</f>
        <v>0.86655112651646449</v>
      </c>
      <c r="K958" s="13">
        <f t="shared" si="15"/>
        <v>17331.02253032929</v>
      </c>
      <c r="L958" s="13" t="str">
        <f>_xlfn.XLOOKUP(I958,'Wk no''s'!C:C,'Wk no''s'!E:E,0)</f>
        <v>Aug</v>
      </c>
    </row>
    <row r="959" spans="1:12" x14ac:dyDescent="0.25">
      <c r="A959" s="1">
        <v>45854</v>
      </c>
      <c r="B959" t="s">
        <v>1537</v>
      </c>
      <c r="C959" t="s">
        <v>1538</v>
      </c>
      <c r="D959" t="s">
        <v>46</v>
      </c>
      <c r="E959">
        <v>1000000</v>
      </c>
      <c r="F959" s="1">
        <v>45875</v>
      </c>
      <c r="G959" t="s">
        <v>47</v>
      </c>
      <c r="H959" t="s">
        <v>19</v>
      </c>
      <c r="I959" s="13">
        <f>_xlfn.XLOOKUP(F959,'Wk no''s'!B:B,'Wk no''s'!C:C,FALSE)</f>
        <v>32</v>
      </c>
      <c r="J959" s="13">
        <f>IF(D959="GBP",1,SUMIFS('Ex Rates'!I:I,'Ex Rates'!K:K,'Weekly Closed Proposal Requests'!L959,'Ex Rates'!G:G,'Weekly Closed Proposal Requests'!D959))</f>
        <v>0.75757575757575757</v>
      </c>
      <c r="K959" s="13">
        <f t="shared" si="15"/>
        <v>757575.75757575757</v>
      </c>
      <c r="L959" s="13" t="str">
        <f>_xlfn.XLOOKUP(I959,'Wk no''s'!C:C,'Wk no''s'!E:E,0)</f>
        <v>Aug</v>
      </c>
    </row>
    <row r="960" spans="1:12" x14ac:dyDescent="0.25">
      <c r="A960" s="1">
        <v>45869</v>
      </c>
      <c r="B960" t="s">
        <v>1539</v>
      </c>
      <c r="C960" t="s">
        <v>1400</v>
      </c>
      <c r="D960" t="s">
        <v>46</v>
      </c>
      <c r="E960">
        <v>160000</v>
      </c>
      <c r="F960" s="1">
        <v>45874</v>
      </c>
      <c r="G960" t="s">
        <v>47</v>
      </c>
      <c r="H960" t="s">
        <v>19</v>
      </c>
      <c r="I960" s="13">
        <f>_xlfn.XLOOKUP(F960,'Wk no''s'!B:B,'Wk no''s'!C:C,FALSE)</f>
        <v>32</v>
      </c>
      <c r="J960" s="13">
        <f>IF(D960="GBP",1,SUMIFS('Ex Rates'!I:I,'Ex Rates'!K:K,'Weekly Closed Proposal Requests'!L960,'Ex Rates'!G:G,'Weekly Closed Proposal Requests'!D960))</f>
        <v>0.75757575757575757</v>
      </c>
      <c r="K960" s="13">
        <f t="shared" si="15"/>
        <v>121212.12121212122</v>
      </c>
      <c r="L960" s="13" t="str">
        <f>_xlfn.XLOOKUP(I960,'Wk no''s'!C:C,'Wk no''s'!E:E,0)</f>
        <v>Aug</v>
      </c>
    </row>
    <row r="961" spans="1:12" x14ac:dyDescent="0.25">
      <c r="A961" s="1">
        <v>45874</v>
      </c>
      <c r="B961" t="s">
        <v>1540</v>
      </c>
      <c r="C961" t="s">
        <v>1511</v>
      </c>
      <c r="D961" t="s">
        <v>46</v>
      </c>
      <c r="E961">
        <v>300000</v>
      </c>
      <c r="F961" s="1">
        <v>45876</v>
      </c>
      <c r="G961" t="s">
        <v>47</v>
      </c>
      <c r="H961" t="s">
        <v>19</v>
      </c>
      <c r="I961" s="13">
        <f>_xlfn.XLOOKUP(F961,'Wk no''s'!B:B,'Wk no''s'!C:C,FALSE)</f>
        <v>32</v>
      </c>
      <c r="J961" s="13">
        <f>IF(D961="GBP",1,SUMIFS('Ex Rates'!I:I,'Ex Rates'!K:K,'Weekly Closed Proposal Requests'!L961,'Ex Rates'!G:G,'Weekly Closed Proposal Requests'!D961))</f>
        <v>0.75757575757575757</v>
      </c>
      <c r="K961" s="13">
        <f t="shared" si="15"/>
        <v>227272.72727272726</v>
      </c>
      <c r="L961" s="13" t="str">
        <f>_xlfn.XLOOKUP(I961,'Wk no''s'!C:C,'Wk no''s'!E:E,0)</f>
        <v>Aug</v>
      </c>
    </row>
    <row r="962" spans="1:12" x14ac:dyDescent="0.25">
      <c r="A962" s="1">
        <v>45867</v>
      </c>
      <c r="B962" t="s">
        <v>1541</v>
      </c>
      <c r="C962" t="s">
        <v>1073</v>
      </c>
      <c r="D962" t="s">
        <v>15</v>
      </c>
      <c r="E962">
        <v>19464.39</v>
      </c>
      <c r="F962" s="1">
        <v>45873</v>
      </c>
      <c r="G962" t="s">
        <v>47</v>
      </c>
      <c r="H962" t="s">
        <v>50</v>
      </c>
      <c r="I962" s="13">
        <f>_xlfn.XLOOKUP(F962,'Wk no''s'!B:B,'Wk no''s'!C:C,FALSE)</f>
        <v>32</v>
      </c>
      <c r="J962" s="13">
        <f>IF(D962="GBP",1,SUMIFS('Ex Rates'!I:I,'Ex Rates'!K:K,'Weekly Closed Proposal Requests'!L962,'Ex Rates'!G:G,'Weekly Closed Proposal Requests'!D962))</f>
        <v>1</v>
      </c>
      <c r="K962" s="13">
        <f t="shared" si="15"/>
        <v>19464.39</v>
      </c>
      <c r="L962" s="13" t="str">
        <f>_xlfn.XLOOKUP(I962,'Wk no''s'!C:C,'Wk no''s'!E:E,0)</f>
        <v>Aug</v>
      </c>
    </row>
    <row r="963" spans="1:12" x14ac:dyDescent="0.25">
      <c r="A963" s="1">
        <v>45867</v>
      </c>
      <c r="B963" t="s">
        <v>1542</v>
      </c>
      <c r="C963" t="s">
        <v>1543</v>
      </c>
      <c r="D963" t="s">
        <v>15</v>
      </c>
      <c r="E963">
        <v>34001.800000000003</v>
      </c>
      <c r="F963" s="1">
        <v>45874</v>
      </c>
      <c r="G963" t="s">
        <v>47</v>
      </c>
      <c r="H963" t="s">
        <v>50</v>
      </c>
      <c r="I963" s="13">
        <f>_xlfn.XLOOKUP(F963,'Wk no''s'!B:B,'Wk no''s'!C:C,FALSE)</f>
        <v>32</v>
      </c>
      <c r="J963" s="13">
        <f>IF(D963="GBP",1,SUMIFS('Ex Rates'!I:I,'Ex Rates'!K:K,'Weekly Closed Proposal Requests'!L963,'Ex Rates'!G:G,'Weekly Closed Proposal Requests'!D963))</f>
        <v>1</v>
      </c>
      <c r="K963" s="13">
        <f t="shared" si="15"/>
        <v>34001.800000000003</v>
      </c>
      <c r="L963" s="13" t="str">
        <f>_xlfn.XLOOKUP(I963,'Wk no''s'!C:C,'Wk no''s'!E:E,0)</f>
        <v>Aug</v>
      </c>
    </row>
    <row r="964" spans="1:12" x14ac:dyDescent="0.25">
      <c r="A964" s="1">
        <v>45874</v>
      </c>
      <c r="B964" t="s">
        <v>1544</v>
      </c>
      <c r="C964" t="s">
        <v>1072</v>
      </c>
      <c r="D964" t="s">
        <v>15</v>
      </c>
      <c r="E964">
        <v>46000</v>
      </c>
      <c r="F964" s="1">
        <v>45875</v>
      </c>
      <c r="G964" t="s">
        <v>47</v>
      </c>
      <c r="H964" t="s">
        <v>50</v>
      </c>
      <c r="I964" s="13">
        <f>_xlfn.XLOOKUP(F964,'Wk no''s'!B:B,'Wk no''s'!C:C,FALSE)</f>
        <v>32</v>
      </c>
      <c r="J964" s="13">
        <f>IF(D964="GBP",1,SUMIFS('Ex Rates'!I:I,'Ex Rates'!K:K,'Weekly Closed Proposal Requests'!L964,'Ex Rates'!G:G,'Weekly Closed Proposal Requests'!D964))</f>
        <v>1</v>
      </c>
      <c r="K964" s="13">
        <f t="shared" si="15"/>
        <v>46000</v>
      </c>
      <c r="L964" s="13" t="str">
        <f>_xlfn.XLOOKUP(I964,'Wk no''s'!C:C,'Wk no''s'!E:E,0)</f>
        <v>Aug</v>
      </c>
    </row>
    <row r="965" spans="1:12" x14ac:dyDescent="0.25">
      <c r="A965" s="1">
        <v>45875</v>
      </c>
      <c r="B965" t="s">
        <v>1545</v>
      </c>
      <c r="C965" t="s">
        <v>117</v>
      </c>
      <c r="D965" t="s">
        <v>15</v>
      </c>
      <c r="E965">
        <v>96000</v>
      </c>
      <c r="F965" s="1">
        <v>45876</v>
      </c>
      <c r="G965" t="s">
        <v>47</v>
      </c>
      <c r="H965" t="s">
        <v>50</v>
      </c>
      <c r="I965" s="13">
        <f>_xlfn.XLOOKUP(F965,'Wk no''s'!B:B,'Wk no''s'!C:C,FALSE)</f>
        <v>32</v>
      </c>
      <c r="J965" s="13">
        <f>IF(D965="GBP",1,SUMIFS('Ex Rates'!I:I,'Ex Rates'!K:K,'Weekly Closed Proposal Requests'!L965,'Ex Rates'!G:G,'Weekly Closed Proposal Requests'!D965))</f>
        <v>1</v>
      </c>
      <c r="K965" s="13">
        <f t="shared" si="15"/>
        <v>96000</v>
      </c>
      <c r="L965" s="13" t="str">
        <f>_xlfn.XLOOKUP(I965,'Wk no''s'!C:C,'Wk no''s'!E:E,0)</f>
        <v>Aug</v>
      </c>
    </row>
    <row r="966" spans="1:12" x14ac:dyDescent="0.25">
      <c r="A966" s="1">
        <v>45870</v>
      </c>
      <c r="B966" t="s">
        <v>1546</v>
      </c>
      <c r="C966" t="s">
        <v>1455</v>
      </c>
      <c r="D966" t="s">
        <v>10</v>
      </c>
      <c r="E966">
        <v>20000</v>
      </c>
      <c r="F966" s="1">
        <v>45873</v>
      </c>
      <c r="G966" t="s">
        <v>11</v>
      </c>
      <c r="H966" t="s">
        <v>12</v>
      </c>
      <c r="I966" s="13">
        <f>_xlfn.XLOOKUP(F966,'Wk no''s'!B:B,'Wk no''s'!C:C,FALSE)</f>
        <v>32</v>
      </c>
      <c r="J966" s="13">
        <f>IF(D966="GBP",1,SUMIFS('Ex Rates'!I:I,'Ex Rates'!K:K,'Weekly Closed Proposal Requests'!L966,'Ex Rates'!G:G,'Weekly Closed Proposal Requests'!D966))</f>
        <v>0.48732943469785572</v>
      </c>
      <c r="K966" s="13">
        <f t="shared" si="15"/>
        <v>9746.5886939571137</v>
      </c>
      <c r="L966" s="13" t="str">
        <f>_xlfn.XLOOKUP(I966,'Wk no''s'!C:C,'Wk no''s'!E:E,0)</f>
        <v>Aug</v>
      </c>
    </row>
    <row r="967" spans="1:12" x14ac:dyDescent="0.25">
      <c r="A967" s="1">
        <v>45870</v>
      </c>
      <c r="B967" t="s">
        <v>1502</v>
      </c>
      <c r="C967" t="s">
        <v>1457</v>
      </c>
      <c r="D967" t="s">
        <v>10</v>
      </c>
      <c r="E967">
        <v>25000</v>
      </c>
      <c r="F967" s="1">
        <v>45875</v>
      </c>
      <c r="G967" t="s">
        <v>11</v>
      </c>
      <c r="H967" t="s">
        <v>50</v>
      </c>
      <c r="I967" s="13">
        <f>_xlfn.XLOOKUP(F967,'Wk no''s'!B:B,'Wk no''s'!C:C,FALSE)</f>
        <v>32</v>
      </c>
      <c r="J967" s="13">
        <f>IF(D967="GBP",1,SUMIFS('Ex Rates'!I:I,'Ex Rates'!K:K,'Weekly Closed Proposal Requests'!L967,'Ex Rates'!G:G,'Weekly Closed Proposal Requests'!D967))</f>
        <v>0.48732943469785572</v>
      </c>
      <c r="K967" s="13">
        <f t="shared" si="15"/>
        <v>12183.235867446394</v>
      </c>
      <c r="L967" s="13" t="str">
        <f>_xlfn.XLOOKUP(I967,'Wk no''s'!C:C,'Wk no''s'!E:E,0)</f>
        <v>Aug</v>
      </c>
    </row>
    <row r="968" spans="1:12" x14ac:dyDescent="0.25">
      <c r="A968" s="1">
        <v>45873</v>
      </c>
      <c r="B968" t="s">
        <v>1547</v>
      </c>
      <c r="C968" t="s">
        <v>625</v>
      </c>
      <c r="D968" t="s">
        <v>10</v>
      </c>
      <c r="E968">
        <v>30000</v>
      </c>
      <c r="F968" s="1">
        <v>45877</v>
      </c>
      <c r="G968" t="s">
        <v>11</v>
      </c>
      <c r="H968" t="s">
        <v>50</v>
      </c>
      <c r="I968" s="13">
        <f>_xlfn.XLOOKUP(F968,'Wk no''s'!B:B,'Wk no''s'!C:C,FALSE)</f>
        <v>32</v>
      </c>
      <c r="J968" s="13">
        <f>IF(D968="GBP",1,SUMIFS('Ex Rates'!I:I,'Ex Rates'!K:K,'Weekly Closed Proposal Requests'!L968,'Ex Rates'!G:G,'Weekly Closed Proposal Requests'!D968))</f>
        <v>0.48732943469785572</v>
      </c>
      <c r="K968" s="13">
        <f t="shared" si="15"/>
        <v>14619.883040935672</v>
      </c>
      <c r="L968" s="13" t="str">
        <f>_xlfn.XLOOKUP(I968,'Wk no''s'!C:C,'Wk no''s'!E:E,0)</f>
        <v>Aug</v>
      </c>
    </row>
    <row r="969" spans="1:12" x14ac:dyDescent="0.25">
      <c r="A969" s="1">
        <v>45874</v>
      </c>
      <c r="B969" t="s">
        <v>1548</v>
      </c>
      <c r="C969" t="s">
        <v>1549</v>
      </c>
      <c r="D969" t="s">
        <v>10</v>
      </c>
      <c r="E969">
        <v>40000</v>
      </c>
      <c r="F969" s="1">
        <v>45875</v>
      </c>
      <c r="G969" t="s">
        <v>11</v>
      </c>
      <c r="H969" t="s">
        <v>50</v>
      </c>
      <c r="I969" s="13">
        <f>_xlfn.XLOOKUP(F969,'Wk no''s'!B:B,'Wk no''s'!C:C,FALSE)</f>
        <v>32</v>
      </c>
      <c r="J969" s="13">
        <f>IF(D969="GBP",1,SUMIFS('Ex Rates'!I:I,'Ex Rates'!K:K,'Weekly Closed Proposal Requests'!L969,'Ex Rates'!G:G,'Weekly Closed Proposal Requests'!D969))</f>
        <v>0.48732943469785572</v>
      </c>
      <c r="K969" s="13">
        <f t="shared" si="15"/>
        <v>19493.177387914227</v>
      </c>
      <c r="L969" s="13" t="str">
        <f>_xlfn.XLOOKUP(I969,'Wk no''s'!C:C,'Wk no''s'!E:E,0)</f>
        <v>Aug</v>
      </c>
    </row>
    <row r="970" spans="1:12" x14ac:dyDescent="0.25">
      <c r="A970" s="1">
        <v>45876</v>
      </c>
      <c r="B970" t="s">
        <v>1550</v>
      </c>
      <c r="C970" t="s">
        <v>66</v>
      </c>
      <c r="D970" t="s">
        <v>10</v>
      </c>
      <c r="E970">
        <v>100000</v>
      </c>
      <c r="F970" s="1">
        <v>45877</v>
      </c>
      <c r="G970" t="s">
        <v>11</v>
      </c>
      <c r="H970" t="s">
        <v>50</v>
      </c>
      <c r="I970" s="13">
        <f>_xlfn.XLOOKUP(F970,'Wk no''s'!B:B,'Wk no''s'!C:C,FALSE)</f>
        <v>32</v>
      </c>
      <c r="J970" s="13">
        <f>IF(D970="GBP",1,SUMIFS('Ex Rates'!I:I,'Ex Rates'!K:K,'Weekly Closed Proposal Requests'!L970,'Ex Rates'!G:G,'Weekly Closed Proposal Requests'!D970))</f>
        <v>0.48732943469785572</v>
      </c>
      <c r="K970" s="13">
        <f t="shared" si="15"/>
        <v>48732.943469785576</v>
      </c>
      <c r="L970" s="13" t="str">
        <f>_xlfn.XLOOKUP(I970,'Wk no''s'!C:C,'Wk no''s'!E:E,0)</f>
        <v>Aug</v>
      </c>
    </row>
    <row r="971" spans="1:12" x14ac:dyDescent="0.25">
      <c r="A971" s="1">
        <v>45821</v>
      </c>
      <c r="B971" t="s">
        <v>1551</v>
      </c>
      <c r="C971" t="s">
        <v>1552</v>
      </c>
      <c r="D971" t="s">
        <v>15</v>
      </c>
      <c r="E971">
        <v>200000</v>
      </c>
      <c r="F971" s="1">
        <v>45877</v>
      </c>
      <c r="G971" t="s">
        <v>72</v>
      </c>
      <c r="H971" t="s">
        <v>19</v>
      </c>
      <c r="I971" s="13">
        <f>_xlfn.XLOOKUP(F971,'Wk no''s'!B:B,'Wk no''s'!C:C,FALSE)</f>
        <v>32</v>
      </c>
      <c r="J971" s="13">
        <f>IF(D971="GBP",1,SUMIFS('Ex Rates'!I:I,'Ex Rates'!K:K,'Weekly Closed Proposal Requests'!L971,'Ex Rates'!G:G,'Weekly Closed Proposal Requests'!D971))</f>
        <v>1</v>
      </c>
      <c r="K971" s="13">
        <f t="shared" si="15"/>
        <v>200000</v>
      </c>
      <c r="L971" s="13" t="str">
        <f>_xlfn.XLOOKUP(I971,'Wk no''s'!C:C,'Wk no''s'!E:E,0)</f>
        <v>Aug</v>
      </c>
    </row>
    <row r="972" spans="1:12" x14ac:dyDescent="0.25">
      <c r="A972" s="1">
        <v>45848</v>
      </c>
      <c r="B972" t="s">
        <v>1506</v>
      </c>
      <c r="C972" t="s">
        <v>1507</v>
      </c>
      <c r="D972" t="s">
        <v>15</v>
      </c>
      <c r="E972">
        <v>100000</v>
      </c>
      <c r="F972" s="1">
        <v>45874</v>
      </c>
      <c r="G972" t="s">
        <v>72</v>
      </c>
      <c r="H972" t="s">
        <v>19</v>
      </c>
      <c r="I972" s="13">
        <f>_xlfn.XLOOKUP(F972,'Wk no''s'!B:B,'Wk no''s'!C:C,FALSE)</f>
        <v>32</v>
      </c>
      <c r="J972" s="13">
        <f>IF(D972="GBP",1,SUMIFS('Ex Rates'!I:I,'Ex Rates'!K:K,'Weekly Closed Proposal Requests'!L972,'Ex Rates'!G:G,'Weekly Closed Proposal Requests'!D972))</f>
        <v>1</v>
      </c>
      <c r="K972" s="13">
        <f t="shared" si="15"/>
        <v>100000</v>
      </c>
      <c r="L972" s="13" t="str">
        <f>_xlfn.XLOOKUP(I972,'Wk no''s'!C:C,'Wk no''s'!E:E,0)</f>
        <v>Aug</v>
      </c>
    </row>
    <row r="973" spans="1:12" x14ac:dyDescent="0.25">
      <c r="A973" s="1">
        <v>45861</v>
      </c>
      <c r="B973" t="s">
        <v>1553</v>
      </c>
      <c r="C973" t="s">
        <v>1554</v>
      </c>
      <c r="D973" t="s">
        <v>15</v>
      </c>
      <c r="E973">
        <v>30000</v>
      </c>
      <c r="F973" s="1">
        <v>45874</v>
      </c>
      <c r="G973" t="s">
        <v>72</v>
      </c>
      <c r="H973" t="s">
        <v>50</v>
      </c>
      <c r="I973" s="13">
        <f>_xlfn.XLOOKUP(F973,'Wk no''s'!B:B,'Wk no''s'!C:C,FALSE)</f>
        <v>32</v>
      </c>
      <c r="J973" s="13">
        <f>IF(D973="GBP",1,SUMIFS('Ex Rates'!I:I,'Ex Rates'!K:K,'Weekly Closed Proposal Requests'!L973,'Ex Rates'!G:G,'Weekly Closed Proposal Requests'!D973))</f>
        <v>1</v>
      </c>
      <c r="K973" s="13">
        <f t="shared" si="15"/>
        <v>30000</v>
      </c>
      <c r="L973" s="13" t="str">
        <f>_xlfn.XLOOKUP(I973,'Wk no''s'!C:C,'Wk no''s'!E:E,0)</f>
        <v>Aug</v>
      </c>
    </row>
    <row r="974" spans="1:12" x14ac:dyDescent="0.25">
      <c r="A974" s="1">
        <v>45875</v>
      </c>
      <c r="B974" t="s">
        <v>1555</v>
      </c>
      <c r="C974" t="s">
        <v>1357</v>
      </c>
      <c r="D974" t="s">
        <v>15</v>
      </c>
      <c r="E974">
        <v>0</v>
      </c>
      <c r="F974" s="1">
        <v>45877</v>
      </c>
      <c r="G974" t="s">
        <v>645</v>
      </c>
      <c r="H974" t="s">
        <v>19</v>
      </c>
      <c r="I974" s="13">
        <f>_xlfn.XLOOKUP(F974,'Wk no''s'!B:B,'Wk no''s'!C:C,FALSE)</f>
        <v>32</v>
      </c>
      <c r="J974" s="13">
        <f>IF(D974="GBP",1,SUMIFS('Ex Rates'!I:I,'Ex Rates'!K:K,'Weekly Closed Proposal Requests'!L974,'Ex Rates'!G:G,'Weekly Closed Proposal Requests'!D974))</f>
        <v>1</v>
      </c>
      <c r="K974" s="13">
        <f t="shared" si="15"/>
        <v>0</v>
      </c>
      <c r="L974" s="13" t="str">
        <f>_xlfn.XLOOKUP(I974,'Wk no''s'!C:C,'Wk no''s'!E:E,0)</f>
        <v>Aug</v>
      </c>
    </row>
    <row r="975" spans="1:12" x14ac:dyDescent="0.25">
      <c r="A975" s="1">
        <v>45875</v>
      </c>
      <c r="B975" t="s">
        <v>1559</v>
      </c>
      <c r="C975" t="s">
        <v>1452</v>
      </c>
      <c r="D975" t="s">
        <v>15</v>
      </c>
      <c r="E975">
        <v>16000</v>
      </c>
      <c r="F975" s="1">
        <v>45880</v>
      </c>
      <c r="G975" t="s">
        <v>47</v>
      </c>
      <c r="H975" t="s">
        <v>50</v>
      </c>
      <c r="I975" s="13">
        <f>_xlfn.XLOOKUP(F975,'Wk no''s'!B:B,'Wk no''s'!C:C,FALSE)</f>
        <v>33</v>
      </c>
      <c r="J975" s="13">
        <f>IF(D975="GBP",1,SUMIFS('Ex Rates'!I:I,'Ex Rates'!K:K,'Weekly Closed Proposal Requests'!L975,'Ex Rates'!G:G,'Weekly Closed Proposal Requests'!D975))</f>
        <v>1</v>
      </c>
      <c r="K975" s="13">
        <f t="shared" si="15"/>
        <v>16000</v>
      </c>
      <c r="L975" s="13" t="str">
        <f>_xlfn.XLOOKUP(I975,'Wk no''s'!C:C,'Wk no''s'!E:E,0)</f>
        <v>Aug</v>
      </c>
    </row>
    <row r="976" spans="1:12" x14ac:dyDescent="0.25">
      <c r="A976" s="1">
        <v>45882</v>
      </c>
      <c r="B976" t="s">
        <v>1560</v>
      </c>
      <c r="C976" t="s">
        <v>1072</v>
      </c>
      <c r="D976" t="s">
        <v>15</v>
      </c>
      <c r="E976">
        <v>46000</v>
      </c>
      <c r="F976" s="1">
        <v>45884</v>
      </c>
      <c r="G976" t="s">
        <v>47</v>
      </c>
      <c r="H976" t="s">
        <v>50</v>
      </c>
      <c r="I976" s="13">
        <f>_xlfn.XLOOKUP(F976,'Wk no''s'!B:B,'Wk no''s'!C:C,FALSE)</f>
        <v>33</v>
      </c>
      <c r="J976" s="13">
        <f>IF(D976="GBP",1,SUMIFS('Ex Rates'!I:I,'Ex Rates'!K:K,'Weekly Closed Proposal Requests'!L976,'Ex Rates'!G:G,'Weekly Closed Proposal Requests'!D976))</f>
        <v>1</v>
      </c>
      <c r="K976" s="13">
        <f t="shared" si="15"/>
        <v>46000</v>
      </c>
      <c r="L976" s="13" t="str">
        <f>_xlfn.XLOOKUP(I976,'Wk no''s'!C:C,'Wk no''s'!E:E,0)</f>
        <v>Aug</v>
      </c>
    </row>
    <row r="977" spans="1:12" x14ac:dyDescent="0.25">
      <c r="A977" s="1">
        <v>45880</v>
      </c>
      <c r="B977" t="s">
        <v>1561</v>
      </c>
      <c r="C977" t="s">
        <v>1562</v>
      </c>
      <c r="D977" t="s">
        <v>10</v>
      </c>
      <c r="E977">
        <v>2400</v>
      </c>
      <c r="F977" s="1">
        <v>45880</v>
      </c>
      <c r="G977" t="s">
        <v>11</v>
      </c>
      <c r="H977" t="s">
        <v>12</v>
      </c>
      <c r="I977" s="13">
        <f>_xlfn.XLOOKUP(F977,'Wk no''s'!B:B,'Wk no''s'!C:C,FALSE)</f>
        <v>33</v>
      </c>
      <c r="J977" s="13">
        <f>IF(D977="GBP",1,SUMIFS('Ex Rates'!I:I,'Ex Rates'!K:K,'Weekly Closed Proposal Requests'!L977,'Ex Rates'!G:G,'Weekly Closed Proposal Requests'!D977))</f>
        <v>0.48732943469785572</v>
      </c>
      <c r="K977" s="13">
        <f t="shared" si="15"/>
        <v>1169.5906432748538</v>
      </c>
      <c r="L977" s="13" t="str">
        <f>_xlfn.XLOOKUP(I977,'Wk no''s'!C:C,'Wk no''s'!E:E,0)</f>
        <v>Aug</v>
      </c>
    </row>
    <row r="978" spans="1:12" x14ac:dyDescent="0.25">
      <c r="A978" s="1">
        <v>45882</v>
      </c>
      <c r="B978" t="s">
        <v>1563</v>
      </c>
      <c r="C978" t="s">
        <v>1564</v>
      </c>
      <c r="D978" t="s">
        <v>10</v>
      </c>
      <c r="E978">
        <v>300</v>
      </c>
      <c r="F978" s="1">
        <v>45883</v>
      </c>
      <c r="G978" t="s">
        <v>11</v>
      </c>
      <c r="H978" t="s">
        <v>12</v>
      </c>
      <c r="I978" s="13">
        <f>_xlfn.XLOOKUP(F978,'Wk no''s'!B:B,'Wk no''s'!C:C,FALSE)</f>
        <v>33</v>
      </c>
      <c r="J978" s="13">
        <f>IF(D978="GBP",1,SUMIFS('Ex Rates'!I:I,'Ex Rates'!K:K,'Weekly Closed Proposal Requests'!L978,'Ex Rates'!G:G,'Weekly Closed Proposal Requests'!D978))</f>
        <v>0.48732943469785572</v>
      </c>
      <c r="K978" s="13">
        <f t="shared" si="15"/>
        <v>146.19883040935673</v>
      </c>
      <c r="L978" s="13" t="str">
        <f>_xlfn.XLOOKUP(I978,'Wk no''s'!C:C,'Wk no''s'!E:E,0)</f>
        <v>Aug</v>
      </c>
    </row>
    <row r="979" spans="1:12" x14ac:dyDescent="0.25">
      <c r="A979" s="1">
        <v>45883</v>
      </c>
      <c r="B979" t="s">
        <v>1565</v>
      </c>
      <c r="C979" t="s">
        <v>1566</v>
      </c>
      <c r="D979" t="s">
        <v>10</v>
      </c>
      <c r="E979">
        <v>40000</v>
      </c>
      <c r="F979" s="1">
        <v>45883</v>
      </c>
      <c r="G979" t="s">
        <v>11</v>
      </c>
      <c r="H979" t="s">
        <v>12</v>
      </c>
      <c r="I979" s="13">
        <f>_xlfn.XLOOKUP(F979,'Wk no''s'!B:B,'Wk no''s'!C:C,FALSE)</f>
        <v>33</v>
      </c>
      <c r="J979" s="13">
        <f>IF(D979="GBP",1,SUMIFS('Ex Rates'!I:I,'Ex Rates'!K:K,'Weekly Closed Proposal Requests'!L979,'Ex Rates'!G:G,'Weekly Closed Proposal Requests'!D979))</f>
        <v>0.48732943469785572</v>
      </c>
      <c r="K979" s="13">
        <f t="shared" si="15"/>
        <v>19493.177387914227</v>
      </c>
      <c r="L979" s="13" t="str">
        <f>_xlfn.XLOOKUP(I979,'Wk no''s'!C:C,'Wk no''s'!E:E,0)</f>
        <v>Aug</v>
      </c>
    </row>
    <row r="980" spans="1:12" x14ac:dyDescent="0.25">
      <c r="A980" s="1">
        <v>45863</v>
      </c>
      <c r="B980" t="s">
        <v>1567</v>
      </c>
      <c r="C980" t="s">
        <v>344</v>
      </c>
      <c r="D980" t="s">
        <v>10</v>
      </c>
      <c r="E980">
        <v>140000</v>
      </c>
      <c r="F980" s="1">
        <v>45882</v>
      </c>
      <c r="G980" t="s">
        <v>11</v>
      </c>
      <c r="H980" t="s">
        <v>50</v>
      </c>
      <c r="I980" s="13">
        <f>_xlfn.XLOOKUP(F980,'Wk no''s'!B:B,'Wk no''s'!C:C,FALSE)</f>
        <v>33</v>
      </c>
      <c r="J980" s="13">
        <f>IF(D980="GBP",1,SUMIFS('Ex Rates'!I:I,'Ex Rates'!K:K,'Weekly Closed Proposal Requests'!L980,'Ex Rates'!G:G,'Weekly Closed Proposal Requests'!D980))</f>
        <v>0.48732943469785572</v>
      </c>
      <c r="K980" s="13">
        <f t="shared" si="15"/>
        <v>68226.120857699803</v>
      </c>
      <c r="L980" s="13" t="str">
        <f>_xlfn.XLOOKUP(I980,'Wk no''s'!C:C,'Wk no''s'!E:E,0)</f>
        <v>Aug</v>
      </c>
    </row>
    <row r="981" spans="1:12" x14ac:dyDescent="0.25">
      <c r="A981" s="1">
        <v>45876</v>
      </c>
      <c r="B981" t="s">
        <v>1568</v>
      </c>
      <c r="C981" t="s">
        <v>1457</v>
      </c>
      <c r="D981" t="s">
        <v>10</v>
      </c>
      <c r="E981">
        <v>30000</v>
      </c>
      <c r="F981" s="1">
        <v>45884</v>
      </c>
      <c r="G981" t="s">
        <v>11</v>
      </c>
      <c r="H981" t="s">
        <v>50</v>
      </c>
      <c r="I981" s="13">
        <f>_xlfn.XLOOKUP(F981,'Wk no''s'!B:B,'Wk no''s'!C:C,FALSE)</f>
        <v>33</v>
      </c>
      <c r="J981" s="13">
        <f>IF(D981="GBP",1,SUMIFS('Ex Rates'!I:I,'Ex Rates'!K:K,'Weekly Closed Proposal Requests'!L981,'Ex Rates'!G:G,'Weekly Closed Proposal Requests'!D981))</f>
        <v>0.48732943469785572</v>
      </c>
      <c r="K981" s="13">
        <f t="shared" si="15"/>
        <v>14619.883040935672</v>
      </c>
      <c r="L981" s="13" t="str">
        <f>_xlfn.XLOOKUP(I981,'Wk no''s'!C:C,'Wk no''s'!E:E,0)</f>
        <v>Aug</v>
      </c>
    </row>
    <row r="982" spans="1:12" x14ac:dyDescent="0.25">
      <c r="A982" s="1">
        <v>45880</v>
      </c>
      <c r="B982" t="s">
        <v>1569</v>
      </c>
      <c r="C982" t="s">
        <v>1458</v>
      </c>
      <c r="D982" t="s">
        <v>10</v>
      </c>
      <c r="E982">
        <v>11000</v>
      </c>
      <c r="F982" s="1">
        <v>45881</v>
      </c>
      <c r="G982" t="s">
        <v>11</v>
      </c>
      <c r="H982" t="s">
        <v>50</v>
      </c>
      <c r="I982" s="13">
        <f>_xlfn.XLOOKUP(F982,'Wk no''s'!B:B,'Wk no''s'!C:C,FALSE)</f>
        <v>33</v>
      </c>
      <c r="J982" s="13">
        <f>IF(D982="GBP",1,SUMIFS('Ex Rates'!I:I,'Ex Rates'!K:K,'Weekly Closed Proposal Requests'!L982,'Ex Rates'!G:G,'Weekly Closed Proposal Requests'!D982))</f>
        <v>0.48732943469785572</v>
      </c>
      <c r="K982" s="13">
        <f t="shared" si="15"/>
        <v>5360.6237816764133</v>
      </c>
      <c r="L982" s="13" t="str">
        <f>_xlfn.XLOOKUP(I982,'Wk no''s'!C:C,'Wk no''s'!E:E,0)</f>
        <v>Aug</v>
      </c>
    </row>
    <row r="983" spans="1:12" x14ac:dyDescent="0.25">
      <c r="A983" s="1">
        <v>45880</v>
      </c>
      <c r="B983" t="s">
        <v>1570</v>
      </c>
      <c r="C983" t="s">
        <v>828</v>
      </c>
      <c r="D983" t="s">
        <v>10</v>
      </c>
      <c r="E983">
        <v>50000</v>
      </c>
      <c r="F983" s="1">
        <v>45881</v>
      </c>
      <c r="G983" t="s">
        <v>11</v>
      </c>
      <c r="H983" t="s">
        <v>50</v>
      </c>
      <c r="I983" s="13">
        <f>_xlfn.XLOOKUP(F983,'Wk no''s'!B:B,'Wk no''s'!C:C,FALSE)</f>
        <v>33</v>
      </c>
      <c r="J983" s="13">
        <f>IF(D983="GBP",1,SUMIFS('Ex Rates'!I:I,'Ex Rates'!K:K,'Weekly Closed Proposal Requests'!L983,'Ex Rates'!G:G,'Weekly Closed Proposal Requests'!D983))</f>
        <v>0.48732943469785572</v>
      </c>
      <c r="K983" s="13">
        <f t="shared" ref="K983:K1046" si="16">+E983*J983</f>
        <v>24366.471734892788</v>
      </c>
      <c r="L983" s="13" t="str">
        <f>_xlfn.XLOOKUP(I983,'Wk no''s'!C:C,'Wk no''s'!E:E,0)</f>
        <v>Aug</v>
      </c>
    </row>
    <row r="984" spans="1:12" x14ac:dyDescent="0.25">
      <c r="A984" s="1">
        <v>45873</v>
      </c>
      <c r="B984" t="s">
        <v>1571</v>
      </c>
      <c r="C984" t="s">
        <v>1572</v>
      </c>
      <c r="D984" t="s">
        <v>15</v>
      </c>
      <c r="E984">
        <v>300000</v>
      </c>
      <c r="F984" s="1">
        <v>45884</v>
      </c>
      <c r="G984" t="s">
        <v>645</v>
      </c>
      <c r="H984" t="s">
        <v>19</v>
      </c>
      <c r="I984" s="13">
        <f>_xlfn.XLOOKUP(F984,'Wk no''s'!B:B,'Wk no''s'!C:C,FALSE)</f>
        <v>33</v>
      </c>
      <c r="J984" s="13">
        <f>IF(D984="GBP",1,SUMIFS('Ex Rates'!I:I,'Ex Rates'!K:K,'Weekly Closed Proposal Requests'!L984,'Ex Rates'!G:G,'Weekly Closed Proposal Requests'!D984))</f>
        <v>1</v>
      </c>
      <c r="K984" s="13">
        <f t="shared" si="16"/>
        <v>300000</v>
      </c>
      <c r="L984" s="13" t="str">
        <f>_xlfn.XLOOKUP(I984,'Wk no''s'!C:C,'Wk no''s'!E:E,0)</f>
        <v>Aug</v>
      </c>
    </row>
    <row r="985" spans="1:12" x14ac:dyDescent="0.25">
      <c r="A985" s="1">
        <v>45877</v>
      </c>
      <c r="B985" t="s">
        <v>1573</v>
      </c>
      <c r="C985" t="s">
        <v>1582</v>
      </c>
      <c r="D985" t="s">
        <v>15</v>
      </c>
      <c r="E985">
        <v>25000</v>
      </c>
      <c r="F985" s="1">
        <v>45889</v>
      </c>
      <c r="G985" t="s">
        <v>16</v>
      </c>
      <c r="H985" t="s">
        <v>19</v>
      </c>
      <c r="I985" s="13">
        <f>_xlfn.XLOOKUP(F985,'Wk no''s'!B:B,'Wk no''s'!C:C,FALSE)</f>
        <v>34</v>
      </c>
      <c r="J985" s="13">
        <f>IF(D985="GBP",1,SUMIFS('Ex Rates'!I:I,'Ex Rates'!K:K,'Weekly Closed Proposal Requests'!L985,'Ex Rates'!G:G,'Weekly Closed Proposal Requests'!D985))</f>
        <v>1</v>
      </c>
      <c r="K985" s="13">
        <f t="shared" si="16"/>
        <v>25000</v>
      </c>
      <c r="L985" s="13" t="str">
        <f>_xlfn.XLOOKUP(I985,'Wk no''s'!C:C,'Wk no''s'!E:E,0)</f>
        <v>Aug</v>
      </c>
    </row>
    <row r="986" spans="1:12" x14ac:dyDescent="0.25">
      <c r="A986" s="1">
        <v>45890</v>
      </c>
      <c r="B986" t="s">
        <v>1575</v>
      </c>
      <c r="C986" t="s">
        <v>1583</v>
      </c>
      <c r="D986" t="s">
        <v>46</v>
      </c>
      <c r="E986">
        <v>100</v>
      </c>
      <c r="F986" s="1">
        <v>45891</v>
      </c>
      <c r="G986" t="s">
        <v>47</v>
      </c>
      <c r="H986" t="s">
        <v>12</v>
      </c>
      <c r="I986" s="13">
        <f>_xlfn.XLOOKUP(F986,'Wk no''s'!B:B,'Wk no''s'!C:C,FALSE)</f>
        <v>34</v>
      </c>
      <c r="J986" s="13">
        <f>IF(D986="GBP",1,SUMIFS('Ex Rates'!I:I,'Ex Rates'!K:K,'Weekly Closed Proposal Requests'!L986,'Ex Rates'!G:G,'Weekly Closed Proposal Requests'!D986))</f>
        <v>0.75757575757575757</v>
      </c>
      <c r="K986" s="13">
        <f t="shared" si="16"/>
        <v>75.757575757575751</v>
      </c>
      <c r="L986" s="13" t="str">
        <f>_xlfn.XLOOKUP(I986,'Wk no''s'!C:C,'Wk no''s'!E:E,0)</f>
        <v>Aug</v>
      </c>
    </row>
    <row r="987" spans="1:12" x14ac:dyDescent="0.25">
      <c r="A987" s="1">
        <v>45877</v>
      </c>
      <c r="B987" t="s">
        <v>1574</v>
      </c>
      <c r="C987" t="s">
        <v>1584</v>
      </c>
      <c r="D987" t="s">
        <v>46</v>
      </c>
      <c r="E987">
        <v>100000</v>
      </c>
      <c r="F987" s="1">
        <v>45888</v>
      </c>
      <c r="G987" t="s">
        <v>47</v>
      </c>
      <c r="H987" t="s">
        <v>19</v>
      </c>
      <c r="I987" s="13">
        <f>_xlfn.XLOOKUP(F987,'Wk no''s'!B:B,'Wk no''s'!C:C,FALSE)</f>
        <v>34</v>
      </c>
      <c r="J987" s="13">
        <f>IF(D987="GBP",1,SUMIFS('Ex Rates'!I:I,'Ex Rates'!K:K,'Weekly Closed Proposal Requests'!L987,'Ex Rates'!G:G,'Weekly Closed Proposal Requests'!D987))</f>
        <v>0.75757575757575757</v>
      </c>
      <c r="K987" s="13">
        <f t="shared" si="16"/>
        <v>75757.57575757576</v>
      </c>
      <c r="L987" s="13" t="str">
        <f>_xlfn.XLOOKUP(I987,'Wk no''s'!C:C,'Wk no''s'!E:E,0)</f>
        <v>Aug</v>
      </c>
    </row>
    <row r="988" spans="1:12" x14ac:dyDescent="0.25">
      <c r="A988" s="1">
        <v>45881</v>
      </c>
      <c r="B988" t="s">
        <v>1586</v>
      </c>
      <c r="C988" t="s">
        <v>342</v>
      </c>
      <c r="D988" t="s">
        <v>10</v>
      </c>
      <c r="E988">
        <v>10000</v>
      </c>
      <c r="F988" s="1">
        <v>45893</v>
      </c>
      <c r="G988" t="s">
        <v>11</v>
      </c>
      <c r="H988" t="s">
        <v>50</v>
      </c>
      <c r="I988" s="13">
        <f>_xlfn.XLOOKUP(F988,'Wk no''s'!B:B,'Wk no''s'!C:C,FALSE)</f>
        <v>35</v>
      </c>
      <c r="J988" s="13">
        <f>IF(D988="GBP",1,SUMIFS('Ex Rates'!I:I,'Ex Rates'!K:K,'Weekly Closed Proposal Requests'!L988,'Ex Rates'!G:G,'Weekly Closed Proposal Requests'!D988))</f>
        <v>0.48732943469785572</v>
      </c>
      <c r="K988" s="13">
        <f t="shared" si="16"/>
        <v>4873.2943469785569</v>
      </c>
      <c r="L988" s="13" t="str">
        <f>_xlfn.XLOOKUP(I988,'Wk no''s'!C:C,'Wk no''s'!E:E,0)</f>
        <v>Aug</v>
      </c>
    </row>
    <row r="989" spans="1:12" x14ac:dyDescent="0.25">
      <c r="A989" s="1">
        <v>45881</v>
      </c>
      <c r="B989" t="s">
        <v>1576</v>
      </c>
      <c r="C989" t="s">
        <v>828</v>
      </c>
      <c r="D989" t="s">
        <v>10</v>
      </c>
      <c r="E989">
        <v>20000</v>
      </c>
      <c r="F989" s="1">
        <v>45891</v>
      </c>
      <c r="G989" t="s">
        <v>11</v>
      </c>
      <c r="H989" t="s">
        <v>50</v>
      </c>
      <c r="I989" s="13">
        <f>_xlfn.XLOOKUP(F989,'Wk no''s'!B:B,'Wk no''s'!C:C,FALSE)</f>
        <v>34</v>
      </c>
      <c r="J989" s="13">
        <f>IF(D989="GBP",1,SUMIFS('Ex Rates'!I:I,'Ex Rates'!K:K,'Weekly Closed Proposal Requests'!L989,'Ex Rates'!G:G,'Weekly Closed Proposal Requests'!D989))</f>
        <v>0.48732943469785572</v>
      </c>
      <c r="K989" s="13">
        <f t="shared" si="16"/>
        <v>9746.5886939571137</v>
      </c>
      <c r="L989" s="13" t="str">
        <f>_xlfn.XLOOKUP(I989,'Wk no''s'!C:C,'Wk no''s'!E:E,0)</f>
        <v>Aug</v>
      </c>
    </row>
    <row r="990" spans="1:12" x14ac:dyDescent="0.25">
      <c r="A990" s="1">
        <v>45887</v>
      </c>
      <c r="B990" t="s">
        <v>1577</v>
      </c>
      <c r="C990" t="s">
        <v>1585</v>
      </c>
      <c r="D990" t="s">
        <v>10</v>
      </c>
      <c r="E990">
        <v>70000</v>
      </c>
      <c r="F990" s="1">
        <v>45887</v>
      </c>
      <c r="G990" t="s">
        <v>11</v>
      </c>
      <c r="H990" t="s">
        <v>50</v>
      </c>
      <c r="I990" s="13">
        <f>_xlfn.XLOOKUP(F990,'Wk no''s'!B:B,'Wk no''s'!C:C,FALSE)</f>
        <v>34</v>
      </c>
      <c r="J990" s="13">
        <f>IF(D990="GBP",1,SUMIFS('Ex Rates'!I:I,'Ex Rates'!K:K,'Weekly Closed Proposal Requests'!L990,'Ex Rates'!G:G,'Weekly Closed Proposal Requests'!D990))</f>
        <v>0.48732943469785572</v>
      </c>
      <c r="K990" s="13">
        <f t="shared" si="16"/>
        <v>34113.060428849902</v>
      </c>
      <c r="L990" s="13" t="str">
        <f>_xlfn.XLOOKUP(I990,'Wk no''s'!C:C,'Wk no''s'!E:E,0)</f>
        <v>Aug</v>
      </c>
    </row>
    <row r="991" spans="1:12" x14ac:dyDescent="0.25">
      <c r="A991" s="1">
        <v>45887</v>
      </c>
      <c r="B991" t="s">
        <v>1578</v>
      </c>
      <c r="C991" t="s">
        <v>130</v>
      </c>
      <c r="D991" t="s">
        <v>10</v>
      </c>
      <c r="E991">
        <v>80000</v>
      </c>
      <c r="F991" s="1">
        <v>45889</v>
      </c>
      <c r="G991" t="s">
        <v>11</v>
      </c>
      <c r="H991" t="s">
        <v>50</v>
      </c>
      <c r="I991" s="13">
        <f>_xlfn.XLOOKUP(F991,'Wk no''s'!B:B,'Wk no''s'!C:C,FALSE)</f>
        <v>34</v>
      </c>
      <c r="J991" s="13">
        <f>IF(D991="GBP",1,SUMIFS('Ex Rates'!I:I,'Ex Rates'!K:K,'Weekly Closed Proposal Requests'!L991,'Ex Rates'!G:G,'Weekly Closed Proposal Requests'!D991))</f>
        <v>0.48732943469785572</v>
      </c>
      <c r="K991" s="13">
        <f t="shared" si="16"/>
        <v>38986.354775828455</v>
      </c>
      <c r="L991" s="13" t="str">
        <f>_xlfn.XLOOKUP(I991,'Wk no''s'!C:C,'Wk no''s'!E:E,0)</f>
        <v>Aug</v>
      </c>
    </row>
    <row r="992" spans="1:12" x14ac:dyDescent="0.25">
      <c r="A992" s="1">
        <v>45890</v>
      </c>
      <c r="B992" t="s">
        <v>1579</v>
      </c>
      <c r="C992" t="s">
        <v>625</v>
      </c>
      <c r="D992" t="s">
        <v>10</v>
      </c>
      <c r="E992">
        <v>30000</v>
      </c>
      <c r="F992" s="1">
        <v>45891</v>
      </c>
      <c r="G992" t="s">
        <v>11</v>
      </c>
      <c r="H992" t="s">
        <v>50</v>
      </c>
      <c r="I992" s="13">
        <f>_xlfn.XLOOKUP(F992,'Wk no''s'!B:B,'Wk no''s'!C:C,FALSE)</f>
        <v>34</v>
      </c>
      <c r="J992" s="13">
        <f>IF(D992="GBP",1,SUMIFS('Ex Rates'!I:I,'Ex Rates'!K:K,'Weekly Closed Proposal Requests'!L992,'Ex Rates'!G:G,'Weekly Closed Proposal Requests'!D992))</f>
        <v>0.48732943469785572</v>
      </c>
      <c r="K992" s="13">
        <f t="shared" si="16"/>
        <v>14619.883040935672</v>
      </c>
      <c r="L992" s="13" t="str">
        <f>_xlfn.XLOOKUP(I992,'Wk no''s'!C:C,'Wk no''s'!E:E,0)</f>
        <v>Aug</v>
      </c>
    </row>
    <row r="993" spans="1:12" x14ac:dyDescent="0.25">
      <c r="A993" s="1">
        <v>45889</v>
      </c>
      <c r="B993" t="s">
        <v>1609</v>
      </c>
      <c r="C993" t="s">
        <v>1644</v>
      </c>
      <c r="D993" t="s">
        <v>15</v>
      </c>
      <c r="E993">
        <v>20000</v>
      </c>
      <c r="F993" s="1">
        <v>45898</v>
      </c>
      <c r="G993" t="s">
        <v>16</v>
      </c>
      <c r="H993" t="s">
        <v>12</v>
      </c>
      <c r="I993" s="13">
        <f>_xlfn.XLOOKUP(F993,'Wk no''s'!B:B,'Wk no''s'!C:C,FALSE)</f>
        <v>35</v>
      </c>
      <c r="J993" s="13">
        <f>IF(D993="GBP",1,SUMIFS('Ex Rates'!I:I,'Ex Rates'!K:K,'Weekly Closed Proposal Requests'!L993,'Ex Rates'!G:G,'Weekly Closed Proposal Requests'!D993))</f>
        <v>1</v>
      </c>
      <c r="K993" s="13">
        <f t="shared" si="16"/>
        <v>20000</v>
      </c>
      <c r="L993" s="13" t="str">
        <f>_xlfn.XLOOKUP(I993,'Wk no''s'!C:C,'Wk no''s'!E:E,0)</f>
        <v>Aug</v>
      </c>
    </row>
    <row r="994" spans="1:12" x14ac:dyDescent="0.25">
      <c r="A994" s="1">
        <v>45892</v>
      </c>
      <c r="B994" t="s">
        <v>1614</v>
      </c>
      <c r="C994" t="s">
        <v>1645</v>
      </c>
      <c r="D994" t="s">
        <v>15</v>
      </c>
      <c r="E994">
        <v>5000</v>
      </c>
      <c r="F994" s="1">
        <v>45897</v>
      </c>
      <c r="G994" t="s">
        <v>16</v>
      </c>
      <c r="H994" t="s">
        <v>12</v>
      </c>
      <c r="I994" s="13">
        <f>_xlfn.XLOOKUP(F994,'Wk no''s'!B:B,'Wk no''s'!C:C,FALSE)</f>
        <v>35</v>
      </c>
      <c r="J994" s="13">
        <f>IF(D994="GBP",1,SUMIFS('Ex Rates'!I:I,'Ex Rates'!K:K,'Weekly Closed Proposal Requests'!L994,'Ex Rates'!G:G,'Weekly Closed Proposal Requests'!D994))</f>
        <v>1</v>
      </c>
      <c r="K994" s="13">
        <f t="shared" si="16"/>
        <v>5000</v>
      </c>
      <c r="L994" s="13" t="str">
        <f>_xlfn.XLOOKUP(I994,'Wk no''s'!C:C,'Wk no''s'!E:E,0)</f>
        <v>Aug</v>
      </c>
    </row>
    <row r="995" spans="1:12" x14ac:dyDescent="0.25">
      <c r="A995" s="1">
        <v>45883</v>
      </c>
      <c r="B995" t="s">
        <v>1603</v>
      </c>
      <c r="C995" t="s">
        <v>1646</v>
      </c>
      <c r="D995" t="s">
        <v>15</v>
      </c>
      <c r="E995">
        <v>10000</v>
      </c>
      <c r="F995" s="1">
        <v>45895</v>
      </c>
      <c r="G995" t="s">
        <v>16</v>
      </c>
      <c r="H995" t="s">
        <v>281</v>
      </c>
      <c r="I995" s="13">
        <f>_xlfn.XLOOKUP(F995,'Wk no''s'!B:B,'Wk no''s'!C:C,FALSE)</f>
        <v>35</v>
      </c>
      <c r="J995" s="13">
        <f>IF(D995="GBP",1,SUMIFS('Ex Rates'!I:I,'Ex Rates'!K:K,'Weekly Closed Proposal Requests'!L995,'Ex Rates'!G:G,'Weekly Closed Proposal Requests'!D995))</f>
        <v>1</v>
      </c>
      <c r="K995" s="13">
        <f t="shared" si="16"/>
        <v>10000</v>
      </c>
      <c r="L995" s="13" t="str">
        <f>_xlfn.XLOOKUP(I995,'Wk no''s'!C:C,'Wk no''s'!E:E,0)</f>
        <v>Aug</v>
      </c>
    </row>
    <row r="996" spans="1:12" x14ac:dyDescent="0.25">
      <c r="A996" s="1">
        <v>45888</v>
      </c>
      <c r="B996" t="s">
        <v>1613</v>
      </c>
      <c r="C996" t="s">
        <v>1475</v>
      </c>
      <c r="D996" t="s">
        <v>15</v>
      </c>
      <c r="E996">
        <v>442857.58</v>
      </c>
      <c r="F996" s="1">
        <v>45895</v>
      </c>
      <c r="G996" t="s">
        <v>16</v>
      </c>
      <c r="H996" t="s">
        <v>281</v>
      </c>
      <c r="I996" s="13">
        <f>_xlfn.XLOOKUP(F996,'Wk no''s'!B:B,'Wk no''s'!C:C,FALSE)</f>
        <v>35</v>
      </c>
      <c r="J996" s="13">
        <f>IF(D996="GBP",1,SUMIFS('Ex Rates'!I:I,'Ex Rates'!K:K,'Weekly Closed Proposal Requests'!L996,'Ex Rates'!G:G,'Weekly Closed Proposal Requests'!D996))</f>
        <v>1</v>
      </c>
      <c r="K996" s="13">
        <f t="shared" si="16"/>
        <v>442857.58</v>
      </c>
      <c r="L996" s="13" t="str">
        <f>_xlfn.XLOOKUP(I996,'Wk no''s'!C:C,'Wk no''s'!E:E,0)</f>
        <v>Aug</v>
      </c>
    </row>
    <row r="997" spans="1:12" x14ac:dyDescent="0.25">
      <c r="A997" s="1">
        <v>45895</v>
      </c>
      <c r="B997" t="s">
        <v>1615</v>
      </c>
      <c r="C997" t="s">
        <v>1647</v>
      </c>
      <c r="D997" t="s">
        <v>15</v>
      </c>
      <c r="E997">
        <v>6000</v>
      </c>
      <c r="F997" s="1">
        <v>45896</v>
      </c>
      <c r="G997" t="s">
        <v>16</v>
      </c>
      <c r="H997" t="s">
        <v>281</v>
      </c>
      <c r="I997" s="13">
        <f>_xlfn.XLOOKUP(F997,'Wk no''s'!B:B,'Wk no''s'!C:C,FALSE)</f>
        <v>35</v>
      </c>
      <c r="J997" s="13">
        <f>IF(D997="GBP",1,SUMIFS('Ex Rates'!I:I,'Ex Rates'!K:K,'Weekly Closed Proposal Requests'!L997,'Ex Rates'!G:G,'Weekly Closed Proposal Requests'!D997))</f>
        <v>1</v>
      </c>
      <c r="K997" s="13">
        <f t="shared" si="16"/>
        <v>6000</v>
      </c>
      <c r="L997" s="13" t="str">
        <f>_xlfn.XLOOKUP(I997,'Wk no''s'!C:C,'Wk no''s'!E:E,0)</f>
        <v>Aug</v>
      </c>
    </row>
    <row r="998" spans="1:12" x14ac:dyDescent="0.25">
      <c r="A998" s="1">
        <v>45867</v>
      </c>
      <c r="B998" t="s">
        <v>1587</v>
      </c>
      <c r="C998" t="s">
        <v>1648</v>
      </c>
      <c r="D998" t="s">
        <v>15</v>
      </c>
      <c r="E998">
        <v>200000</v>
      </c>
      <c r="F998" s="1">
        <v>45895</v>
      </c>
      <c r="G998" t="s">
        <v>16</v>
      </c>
      <c r="H998" t="s">
        <v>19</v>
      </c>
      <c r="I998" s="13">
        <f>_xlfn.XLOOKUP(F998,'Wk no''s'!B:B,'Wk no''s'!C:C,FALSE)</f>
        <v>35</v>
      </c>
      <c r="J998" s="13">
        <f>IF(D998="GBP",1,SUMIFS('Ex Rates'!I:I,'Ex Rates'!K:K,'Weekly Closed Proposal Requests'!L998,'Ex Rates'!G:G,'Weekly Closed Proposal Requests'!D998))</f>
        <v>1</v>
      </c>
      <c r="K998" s="13">
        <f t="shared" si="16"/>
        <v>200000</v>
      </c>
      <c r="L998" s="13" t="str">
        <f>_xlfn.XLOOKUP(I998,'Wk no''s'!C:C,'Wk no''s'!E:E,0)</f>
        <v>Aug</v>
      </c>
    </row>
    <row r="999" spans="1:12" x14ac:dyDescent="0.25">
      <c r="A999" s="1">
        <v>45868</v>
      </c>
      <c r="B999" t="s">
        <v>1557</v>
      </c>
      <c r="C999" t="s">
        <v>1558</v>
      </c>
      <c r="D999" t="s">
        <v>15</v>
      </c>
      <c r="E999">
        <v>100000</v>
      </c>
      <c r="F999" s="1">
        <v>45895</v>
      </c>
      <c r="G999" t="s">
        <v>16</v>
      </c>
      <c r="H999" t="s">
        <v>19</v>
      </c>
      <c r="I999" s="13">
        <f>_xlfn.XLOOKUP(F999,'Wk no''s'!B:B,'Wk no''s'!C:C,FALSE)</f>
        <v>35</v>
      </c>
      <c r="J999" s="13">
        <f>IF(D999="GBP",1,SUMIFS('Ex Rates'!I:I,'Ex Rates'!K:K,'Weekly Closed Proposal Requests'!L999,'Ex Rates'!G:G,'Weekly Closed Proposal Requests'!D999))</f>
        <v>1</v>
      </c>
      <c r="K999" s="13">
        <f t="shared" si="16"/>
        <v>100000</v>
      </c>
      <c r="L999" s="13" t="str">
        <f>_xlfn.XLOOKUP(I999,'Wk no''s'!C:C,'Wk no''s'!E:E,0)</f>
        <v>Aug</v>
      </c>
    </row>
    <row r="1000" spans="1:12" x14ac:dyDescent="0.25">
      <c r="A1000" s="1">
        <v>45868</v>
      </c>
      <c r="B1000" t="s">
        <v>1588</v>
      </c>
      <c r="C1000" t="s">
        <v>1649</v>
      </c>
      <c r="D1000" t="s">
        <v>15</v>
      </c>
      <c r="E1000">
        <v>4300</v>
      </c>
      <c r="F1000" s="1">
        <v>45895</v>
      </c>
      <c r="G1000" t="s">
        <v>16</v>
      </c>
      <c r="H1000" t="s">
        <v>19</v>
      </c>
      <c r="I1000" s="13">
        <f>_xlfn.XLOOKUP(F1000,'Wk no''s'!B:B,'Wk no''s'!C:C,FALSE)</f>
        <v>35</v>
      </c>
      <c r="J1000" s="13">
        <f>IF(D1000="GBP",1,SUMIFS('Ex Rates'!I:I,'Ex Rates'!K:K,'Weekly Closed Proposal Requests'!L1000,'Ex Rates'!G:G,'Weekly Closed Proposal Requests'!D1000))</f>
        <v>1</v>
      </c>
      <c r="K1000" s="13">
        <f t="shared" si="16"/>
        <v>4300</v>
      </c>
      <c r="L1000" s="13" t="str">
        <f>_xlfn.XLOOKUP(I1000,'Wk no''s'!C:C,'Wk no''s'!E:E,0)</f>
        <v>Aug</v>
      </c>
    </row>
    <row r="1001" spans="1:12" x14ac:dyDescent="0.25">
      <c r="A1001" s="1">
        <v>45869</v>
      </c>
      <c r="B1001" t="s">
        <v>1589</v>
      </c>
      <c r="C1001" t="s">
        <v>1215</v>
      </c>
      <c r="D1001" t="s">
        <v>15</v>
      </c>
      <c r="E1001">
        <v>30000</v>
      </c>
      <c r="F1001" s="1">
        <v>45895</v>
      </c>
      <c r="G1001" t="s">
        <v>16</v>
      </c>
      <c r="H1001" t="s">
        <v>19</v>
      </c>
      <c r="I1001" s="13">
        <f>_xlfn.XLOOKUP(F1001,'Wk no''s'!B:B,'Wk no''s'!C:C,FALSE)</f>
        <v>35</v>
      </c>
      <c r="J1001" s="13">
        <f>IF(D1001="GBP",1,SUMIFS('Ex Rates'!I:I,'Ex Rates'!K:K,'Weekly Closed Proposal Requests'!L1001,'Ex Rates'!G:G,'Weekly Closed Proposal Requests'!D1001))</f>
        <v>1</v>
      </c>
      <c r="K1001" s="13">
        <f t="shared" si="16"/>
        <v>30000</v>
      </c>
      <c r="L1001" s="13" t="str">
        <f>_xlfn.XLOOKUP(I1001,'Wk no''s'!C:C,'Wk no''s'!E:E,0)</f>
        <v>Aug</v>
      </c>
    </row>
    <row r="1002" spans="1:12" x14ac:dyDescent="0.25">
      <c r="A1002" s="1">
        <v>45869</v>
      </c>
      <c r="B1002" t="s">
        <v>1590</v>
      </c>
      <c r="C1002" t="s">
        <v>1065</v>
      </c>
      <c r="D1002" t="s">
        <v>15</v>
      </c>
      <c r="E1002">
        <v>20000</v>
      </c>
      <c r="F1002" s="1">
        <v>45895</v>
      </c>
      <c r="G1002" t="s">
        <v>16</v>
      </c>
      <c r="H1002" t="s">
        <v>19</v>
      </c>
      <c r="I1002" s="13">
        <f>_xlfn.XLOOKUP(F1002,'Wk no''s'!B:B,'Wk no''s'!C:C,FALSE)</f>
        <v>35</v>
      </c>
      <c r="J1002" s="13">
        <f>IF(D1002="GBP",1,SUMIFS('Ex Rates'!I:I,'Ex Rates'!K:K,'Weekly Closed Proposal Requests'!L1002,'Ex Rates'!G:G,'Weekly Closed Proposal Requests'!D1002))</f>
        <v>1</v>
      </c>
      <c r="K1002" s="13">
        <f t="shared" si="16"/>
        <v>20000</v>
      </c>
      <c r="L1002" s="13" t="str">
        <f>_xlfn.XLOOKUP(I1002,'Wk no''s'!C:C,'Wk no''s'!E:E,0)</f>
        <v>Aug</v>
      </c>
    </row>
    <row r="1003" spans="1:12" x14ac:dyDescent="0.25">
      <c r="A1003" s="1">
        <v>45873</v>
      </c>
      <c r="B1003" t="s">
        <v>1591</v>
      </c>
      <c r="C1003" t="s">
        <v>1650</v>
      </c>
      <c r="D1003" t="s">
        <v>15</v>
      </c>
      <c r="E1003">
        <v>16000</v>
      </c>
      <c r="F1003" s="1">
        <v>45895</v>
      </c>
      <c r="G1003" t="s">
        <v>16</v>
      </c>
      <c r="H1003" t="s">
        <v>19</v>
      </c>
      <c r="I1003" s="13">
        <f>_xlfn.XLOOKUP(F1003,'Wk no''s'!B:B,'Wk no''s'!C:C,FALSE)</f>
        <v>35</v>
      </c>
      <c r="J1003" s="13">
        <f>IF(D1003="GBP",1,SUMIFS('Ex Rates'!I:I,'Ex Rates'!K:K,'Weekly Closed Proposal Requests'!L1003,'Ex Rates'!G:G,'Weekly Closed Proposal Requests'!D1003))</f>
        <v>1</v>
      </c>
      <c r="K1003" s="13">
        <f t="shared" si="16"/>
        <v>16000</v>
      </c>
      <c r="L1003" s="13" t="str">
        <f>_xlfn.XLOOKUP(I1003,'Wk no''s'!C:C,'Wk no''s'!E:E,0)</f>
        <v>Aug</v>
      </c>
    </row>
    <row r="1004" spans="1:12" x14ac:dyDescent="0.25">
      <c r="A1004" s="1">
        <v>45874</v>
      </c>
      <c r="B1004" t="s">
        <v>1592</v>
      </c>
      <c r="C1004" t="s">
        <v>21</v>
      </c>
      <c r="D1004" t="s">
        <v>15</v>
      </c>
      <c r="E1004">
        <v>200000</v>
      </c>
      <c r="F1004" s="1">
        <v>45895</v>
      </c>
      <c r="G1004" t="s">
        <v>16</v>
      </c>
      <c r="H1004" t="s">
        <v>19</v>
      </c>
      <c r="I1004" s="13">
        <f>_xlfn.XLOOKUP(F1004,'Wk no''s'!B:B,'Wk no''s'!C:C,FALSE)</f>
        <v>35</v>
      </c>
      <c r="J1004" s="13">
        <f>IF(D1004="GBP",1,SUMIFS('Ex Rates'!I:I,'Ex Rates'!K:K,'Weekly Closed Proposal Requests'!L1004,'Ex Rates'!G:G,'Weekly Closed Proposal Requests'!D1004))</f>
        <v>1</v>
      </c>
      <c r="K1004" s="13">
        <f t="shared" si="16"/>
        <v>200000</v>
      </c>
      <c r="L1004" s="13" t="str">
        <f>_xlfn.XLOOKUP(I1004,'Wk no''s'!C:C,'Wk no''s'!E:E,0)</f>
        <v>Aug</v>
      </c>
    </row>
    <row r="1005" spans="1:12" x14ac:dyDescent="0.25">
      <c r="A1005" s="1">
        <v>45874</v>
      </c>
      <c r="B1005" t="s">
        <v>1593</v>
      </c>
      <c r="C1005" t="s">
        <v>1651</v>
      </c>
      <c r="D1005" t="s">
        <v>15</v>
      </c>
      <c r="E1005">
        <v>20000</v>
      </c>
      <c r="F1005" s="1">
        <v>45895</v>
      </c>
      <c r="G1005" t="s">
        <v>16</v>
      </c>
      <c r="H1005" t="s">
        <v>19</v>
      </c>
      <c r="I1005" s="13">
        <f>_xlfn.XLOOKUP(F1005,'Wk no''s'!B:B,'Wk no''s'!C:C,FALSE)</f>
        <v>35</v>
      </c>
      <c r="J1005" s="13">
        <f>IF(D1005="GBP",1,SUMIFS('Ex Rates'!I:I,'Ex Rates'!K:K,'Weekly Closed Proposal Requests'!L1005,'Ex Rates'!G:G,'Weekly Closed Proposal Requests'!D1005))</f>
        <v>1</v>
      </c>
      <c r="K1005" s="13">
        <f t="shared" si="16"/>
        <v>20000</v>
      </c>
      <c r="L1005" s="13" t="str">
        <f>_xlfn.XLOOKUP(I1005,'Wk no''s'!C:C,'Wk no''s'!E:E,0)</f>
        <v>Aug</v>
      </c>
    </row>
    <row r="1006" spans="1:12" x14ac:dyDescent="0.25">
      <c r="A1006" s="1">
        <v>45875</v>
      </c>
      <c r="B1006" t="s">
        <v>1611</v>
      </c>
      <c r="C1006" t="s">
        <v>1652</v>
      </c>
      <c r="D1006" t="s">
        <v>15</v>
      </c>
      <c r="E1006">
        <v>200000</v>
      </c>
      <c r="F1006" s="1">
        <v>45896</v>
      </c>
      <c r="G1006" t="s">
        <v>16</v>
      </c>
      <c r="H1006" t="s">
        <v>19</v>
      </c>
      <c r="I1006" s="13">
        <f>_xlfn.XLOOKUP(F1006,'Wk no''s'!B:B,'Wk no''s'!C:C,FALSE)</f>
        <v>35</v>
      </c>
      <c r="J1006" s="13">
        <f>IF(D1006="GBP",1,SUMIFS('Ex Rates'!I:I,'Ex Rates'!K:K,'Weekly Closed Proposal Requests'!L1006,'Ex Rates'!G:G,'Weekly Closed Proposal Requests'!D1006))</f>
        <v>1</v>
      </c>
      <c r="K1006" s="13">
        <f t="shared" si="16"/>
        <v>200000</v>
      </c>
      <c r="L1006" s="13" t="str">
        <f>_xlfn.XLOOKUP(I1006,'Wk no''s'!C:C,'Wk no''s'!E:E,0)</f>
        <v>Aug</v>
      </c>
    </row>
    <row r="1007" spans="1:12" x14ac:dyDescent="0.25">
      <c r="A1007" s="1">
        <v>45875</v>
      </c>
      <c r="B1007" t="s">
        <v>1580</v>
      </c>
      <c r="C1007" t="s">
        <v>1581</v>
      </c>
      <c r="D1007" t="s">
        <v>15</v>
      </c>
      <c r="E1007">
        <v>33000</v>
      </c>
      <c r="F1007" s="1">
        <v>45895</v>
      </c>
      <c r="G1007" t="s">
        <v>16</v>
      </c>
      <c r="H1007" t="s">
        <v>19</v>
      </c>
      <c r="I1007" s="13">
        <f>_xlfn.XLOOKUP(F1007,'Wk no''s'!B:B,'Wk no''s'!C:C,FALSE)</f>
        <v>35</v>
      </c>
      <c r="J1007" s="13">
        <f>IF(D1007="GBP",1,SUMIFS('Ex Rates'!I:I,'Ex Rates'!K:K,'Weekly Closed Proposal Requests'!L1007,'Ex Rates'!G:G,'Weekly Closed Proposal Requests'!D1007))</f>
        <v>1</v>
      </c>
      <c r="K1007" s="13">
        <f t="shared" si="16"/>
        <v>33000</v>
      </c>
      <c r="L1007" s="13" t="str">
        <f>_xlfn.XLOOKUP(I1007,'Wk no''s'!C:C,'Wk no''s'!E:E,0)</f>
        <v>Aug</v>
      </c>
    </row>
    <row r="1008" spans="1:12" x14ac:dyDescent="0.25">
      <c r="A1008" s="1">
        <v>45875</v>
      </c>
      <c r="B1008" t="s">
        <v>1594</v>
      </c>
      <c r="C1008" t="s">
        <v>1479</v>
      </c>
      <c r="D1008" t="s">
        <v>15</v>
      </c>
      <c r="E1008">
        <v>50000</v>
      </c>
      <c r="F1008" s="1">
        <v>45895</v>
      </c>
      <c r="G1008" t="s">
        <v>16</v>
      </c>
      <c r="H1008" t="s">
        <v>19</v>
      </c>
      <c r="I1008" s="13">
        <f>_xlfn.XLOOKUP(F1008,'Wk no''s'!B:B,'Wk no''s'!C:C,FALSE)</f>
        <v>35</v>
      </c>
      <c r="J1008" s="13">
        <f>IF(D1008="GBP",1,SUMIFS('Ex Rates'!I:I,'Ex Rates'!K:K,'Weekly Closed Proposal Requests'!L1008,'Ex Rates'!G:G,'Weekly Closed Proposal Requests'!D1008))</f>
        <v>1</v>
      </c>
      <c r="K1008" s="13">
        <f t="shared" si="16"/>
        <v>50000</v>
      </c>
      <c r="L1008" s="13" t="str">
        <f>_xlfn.XLOOKUP(I1008,'Wk no''s'!C:C,'Wk no''s'!E:E,0)</f>
        <v>Aug</v>
      </c>
    </row>
    <row r="1009" spans="1:12" x14ac:dyDescent="0.25">
      <c r="A1009" s="1">
        <v>45875</v>
      </c>
      <c r="B1009" t="s">
        <v>1595</v>
      </c>
      <c r="C1009" t="s">
        <v>805</v>
      </c>
      <c r="D1009" t="s">
        <v>15</v>
      </c>
      <c r="E1009">
        <v>125000</v>
      </c>
      <c r="F1009" s="1">
        <v>45895</v>
      </c>
      <c r="G1009" t="s">
        <v>16</v>
      </c>
      <c r="H1009" t="s">
        <v>19</v>
      </c>
      <c r="I1009" s="13">
        <f>_xlfn.XLOOKUP(F1009,'Wk no''s'!B:B,'Wk no''s'!C:C,FALSE)</f>
        <v>35</v>
      </c>
      <c r="J1009" s="13">
        <f>IF(D1009="GBP",1,SUMIFS('Ex Rates'!I:I,'Ex Rates'!K:K,'Weekly Closed Proposal Requests'!L1009,'Ex Rates'!G:G,'Weekly Closed Proposal Requests'!D1009))</f>
        <v>1</v>
      </c>
      <c r="K1009" s="13">
        <f t="shared" si="16"/>
        <v>125000</v>
      </c>
      <c r="L1009" s="13" t="str">
        <f>_xlfn.XLOOKUP(I1009,'Wk no''s'!C:C,'Wk no''s'!E:E,0)</f>
        <v>Aug</v>
      </c>
    </row>
    <row r="1010" spans="1:12" x14ac:dyDescent="0.25">
      <c r="A1010" s="1">
        <v>45876</v>
      </c>
      <c r="B1010" t="s">
        <v>1596</v>
      </c>
      <c r="C1010" t="s">
        <v>1806</v>
      </c>
      <c r="D1010" t="s">
        <v>15</v>
      </c>
      <c r="E1010">
        <v>50000</v>
      </c>
      <c r="F1010" s="1">
        <v>45895</v>
      </c>
      <c r="G1010" t="s">
        <v>16</v>
      </c>
      <c r="H1010" t="s">
        <v>19</v>
      </c>
      <c r="I1010" s="13">
        <f>_xlfn.XLOOKUP(F1010,'Wk no''s'!B:B,'Wk no''s'!C:C,FALSE)</f>
        <v>35</v>
      </c>
      <c r="J1010" s="13">
        <f>IF(D1010="GBP",1,SUMIFS('Ex Rates'!I:I,'Ex Rates'!K:K,'Weekly Closed Proposal Requests'!L1010,'Ex Rates'!G:G,'Weekly Closed Proposal Requests'!D1010))</f>
        <v>1</v>
      </c>
      <c r="K1010" s="13">
        <f t="shared" si="16"/>
        <v>50000</v>
      </c>
      <c r="L1010" s="13" t="str">
        <f>_xlfn.XLOOKUP(I1010,'Wk no''s'!C:C,'Wk no''s'!E:E,0)</f>
        <v>Aug</v>
      </c>
    </row>
    <row r="1011" spans="1:12" x14ac:dyDescent="0.25">
      <c r="A1011" s="1">
        <v>45876</v>
      </c>
      <c r="B1011" t="s">
        <v>1597</v>
      </c>
      <c r="C1011" t="s">
        <v>1516</v>
      </c>
      <c r="D1011" t="s">
        <v>15</v>
      </c>
      <c r="E1011">
        <v>50000</v>
      </c>
      <c r="F1011" s="1">
        <v>45895</v>
      </c>
      <c r="G1011" t="s">
        <v>16</v>
      </c>
      <c r="H1011" t="s">
        <v>19</v>
      </c>
      <c r="I1011" s="13">
        <f>_xlfn.XLOOKUP(F1011,'Wk no''s'!B:B,'Wk no''s'!C:C,FALSE)</f>
        <v>35</v>
      </c>
      <c r="J1011" s="13">
        <f>IF(D1011="GBP",1,SUMIFS('Ex Rates'!I:I,'Ex Rates'!K:K,'Weekly Closed Proposal Requests'!L1011,'Ex Rates'!G:G,'Weekly Closed Proposal Requests'!D1011))</f>
        <v>1</v>
      </c>
      <c r="K1011" s="13">
        <f t="shared" si="16"/>
        <v>50000</v>
      </c>
      <c r="L1011" s="13" t="str">
        <f>_xlfn.XLOOKUP(I1011,'Wk no''s'!C:C,'Wk no''s'!E:E,0)</f>
        <v>Aug</v>
      </c>
    </row>
    <row r="1012" spans="1:12" x14ac:dyDescent="0.25">
      <c r="A1012" s="1">
        <v>45877</v>
      </c>
      <c r="B1012" t="s">
        <v>1598</v>
      </c>
      <c r="C1012" t="s">
        <v>1269</v>
      </c>
      <c r="D1012" t="s">
        <v>15</v>
      </c>
      <c r="E1012">
        <v>20000</v>
      </c>
      <c r="F1012" s="1">
        <v>45895</v>
      </c>
      <c r="G1012" t="s">
        <v>16</v>
      </c>
      <c r="H1012" t="s">
        <v>19</v>
      </c>
      <c r="I1012" s="13">
        <f>_xlfn.XLOOKUP(F1012,'Wk no''s'!B:B,'Wk no''s'!C:C,FALSE)</f>
        <v>35</v>
      </c>
      <c r="J1012" s="13">
        <f>IF(D1012="GBP",1,SUMIFS('Ex Rates'!I:I,'Ex Rates'!K:K,'Weekly Closed Proposal Requests'!L1012,'Ex Rates'!G:G,'Weekly Closed Proposal Requests'!D1012))</f>
        <v>1</v>
      </c>
      <c r="K1012" s="13">
        <f t="shared" si="16"/>
        <v>20000</v>
      </c>
      <c r="L1012" s="13" t="str">
        <f>_xlfn.XLOOKUP(I1012,'Wk no''s'!C:C,'Wk no''s'!E:E,0)</f>
        <v>Aug</v>
      </c>
    </row>
    <row r="1013" spans="1:12" x14ac:dyDescent="0.25">
      <c r="A1013" s="1">
        <v>45877</v>
      </c>
      <c r="B1013" t="s">
        <v>1599</v>
      </c>
      <c r="C1013" t="s">
        <v>371</v>
      </c>
      <c r="D1013" t="s">
        <v>15</v>
      </c>
      <c r="E1013">
        <v>0</v>
      </c>
      <c r="F1013" s="1">
        <v>45895</v>
      </c>
      <c r="G1013" t="s">
        <v>16</v>
      </c>
      <c r="H1013" t="s">
        <v>19</v>
      </c>
      <c r="I1013" s="13">
        <f>_xlfn.XLOOKUP(F1013,'Wk no''s'!B:B,'Wk no''s'!C:C,FALSE)</f>
        <v>35</v>
      </c>
      <c r="J1013" s="13">
        <f>IF(D1013="GBP",1,SUMIFS('Ex Rates'!I:I,'Ex Rates'!K:K,'Weekly Closed Proposal Requests'!L1013,'Ex Rates'!G:G,'Weekly Closed Proposal Requests'!D1013))</f>
        <v>1</v>
      </c>
      <c r="K1013" s="13">
        <f t="shared" si="16"/>
        <v>0</v>
      </c>
      <c r="L1013" s="13" t="str">
        <f>_xlfn.XLOOKUP(I1013,'Wk no''s'!C:C,'Wk no''s'!E:E,0)</f>
        <v>Aug</v>
      </c>
    </row>
    <row r="1014" spans="1:12" x14ac:dyDescent="0.25">
      <c r="A1014" s="1">
        <v>45881</v>
      </c>
      <c r="B1014" t="s">
        <v>1600</v>
      </c>
      <c r="C1014" t="s">
        <v>454</v>
      </c>
      <c r="D1014" t="s">
        <v>15</v>
      </c>
      <c r="E1014">
        <v>200000</v>
      </c>
      <c r="F1014" s="1">
        <v>45895</v>
      </c>
      <c r="G1014" t="s">
        <v>16</v>
      </c>
      <c r="H1014" t="s">
        <v>19</v>
      </c>
      <c r="I1014" s="13">
        <f>_xlfn.XLOOKUP(F1014,'Wk no''s'!B:B,'Wk no''s'!C:C,FALSE)</f>
        <v>35</v>
      </c>
      <c r="J1014" s="13">
        <f>IF(D1014="GBP",1,SUMIFS('Ex Rates'!I:I,'Ex Rates'!K:K,'Weekly Closed Proposal Requests'!L1014,'Ex Rates'!G:G,'Weekly Closed Proposal Requests'!D1014))</f>
        <v>1</v>
      </c>
      <c r="K1014" s="13">
        <f t="shared" si="16"/>
        <v>200000</v>
      </c>
      <c r="L1014" s="13" t="str">
        <f>_xlfn.XLOOKUP(I1014,'Wk no''s'!C:C,'Wk no''s'!E:E,0)</f>
        <v>Aug</v>
      </c>
    </row>
    <row r="1015" spans="1:12" x14ac:dyDescent="0.25">
      <c r="A1015" s="1">
        <v>45881</v>
      </c>
      <c r="B1015" t="s">
        <v>1601</v>
      </c>
      <c r="C1015" t="s">
        <v>1653</v>
      </c>
      <c r="D1015" t="s">
        <v>15</v>
      </c>
      <c r="E1015">
        <v>500000</v>
      </c>
      <c r="F1015" s="1">
        <v>45895</v>
      </c>
      <c r="G1015" t="s">
        <v>16</v>
      </c>
      <c r="H1015" t="s">
        <v>19</v>
      </c>
      <c r="I1015" s="13">
        <f>_xlfn.XLOOKUP(F1015,'Wk no''s'!B:B,'Wk no''s'!C:C,FALSE)</f>
        <v>35</v>
      </c>
      <c r="J1015" s="13">
        <f>IF(D1015="GBP",1,SUMIFS('Ex Rates'!I:I,'Ex Rates'!K:K,'Weekly Closed Proposal Requests'!L1015,'Ex Rates'!G:G,'Weekly Closed Proposal Requests'!D1015))</f>
        <v>1</v>
      </c>
      <c r="K1015" s="13">
        <f t="shared" si="16"/>
        <v>500000</v>
      </c>
      <c r="L1015" s="13" t="str">
        <f>_xlfn.XLOOKUP(I1015,'Wk no''s'!C:C,'Wk no''s'!E:E,0)</f>
        <v>Aug</v>
      </c>
    </row>
    <row r="1016" spans="1:12" x14ac:dyDescent="0.25">
      <c r="A1016" s="1">
        <v>45883</v>
      </c>
      <c r="B1016" t="s">
        <v>1602</v>
      </c>
      <c r="C1016" t="s">
        <v>1359</v>
      </c>
      <c r="D1016" t="s">
        <v>15</v>
      </c>
      <c r="E1016">
        <v>25000</v>
      </c>
      <c r="F1016" s="1">
        <v>45895</v>
      </c>
      <c r="G1016" t="s">
        <v>16</v>
      </c>
      <c r="H1016" t="s">
        <v>19</v>
      </c>
      <c r="I1016" s="13">
        <f>_xlfn.XLOOKUP(F1016,'Wk no''s'!B:B,'Wk no''s'!C:C,FALSE)</f>
        <v>35</v>
      </c>
      <c r="J1016" s="13">
        <f>IF(D1016="GBP",1,SUMIFS('Ex Rates'!I:I,'Ex Rates'!K:K,'Weekly Closed Proposal Requests'!L1016,'Ex Rates'!G:G,'Weekly Closed Proposal Requests'!D1016))</f>
        <v>1</v>
      </c>
      <c r="K1016" s="13">
        <f t="shared" si="16"/>
        <v>25000</v>
      </c>
      <c r="L1016" s="13" t="str">
        <f>_xlfn.XLOOKUP(I1016,'Wk no''s'!C:C,'Wk no''s'!E:E,0)</f>
        <v>Aug</v>
      </c>
    </row>
    <row r="1017" spans="1:12" x14ac:dyDescent="0.25">
      <c r="A1017" s="1">
        <v>45883</v>
      </c>
      <c r="B1017" t="s">
        <v>1612</v>
      </c>
      <c r="C1017" t="s">
        <v>1294</v>
      </c>
      <c r="D1017" t="s">
        <v>15</v>
      </c>
      <c r="E1017">
        <v>150000</v>
      </c>
      <c r="F1017" s="1">
        <v>45895</v>
      </c>
      <c r="G1017" t="s">
        <v>16</v>
      </c>
      <c r="H1017" t="s">
        <v>19</v>
      </c>
      <c r="I1017" s="13">
        <f>_xlfn.XLOOKUP(F1017,'Wk no''s'!B:B,'Wk no''s'!C:C,FALSE)</f>
        <v>35</v>
      </c>
      <c r="J1017" s="13">
        <f>IF(D1017="GBP",1,SUMIFS('Ex Rates'!I:I,'Ex Rates'!K:K,'Weekly Closed Proposal Requests'!L1017,'Ex Rates'!G:G,'Weekly Closed Proposal Requests'!D1017))</f>
        <v>1</v>
      </c>
      <c r="K1017" s="13">
        <f t="shared" si="16"/>
        <v>150000</v>
      </c>
      <c r="L1017" s="13" t="str">
        <f>_xlfn.XLOOKUP(I1017,'Wk no''s'!C:C,'Wk no''s'!E:E,0)</f>
        <v>Aug</v>
      </c>
    </row>
    <row r="1018" spans="1:12" x14ac:dyDescent="0.25">
      <c r="A1018" s="1">
        <v>45883</v>
      </c>
      <c r="B1018" t="s">
        <v>1604</v>
      </c>
      <c r="C1018" t="s">
        <v>454</v>
      </c>
      <c r="D1018" t="s">
        <v>15</v>
      </c>
      <c r="E1018">
        <v>200000</v>
      </c>
      <c r="F1018" s="1">
        <v>45897</v>
      </c>
      <c r="G1018" t="s">
        <v>16</v>
      </c>
      <c r="H1018" t="s">
        <v>19</v>
      </c>
      <c r="I1018" s="13">
        <f>_xlfn.XLOOKUP(F1018,'Wk no''s'!B:B,'Wk no''s'!C:C,FALSE)</f>
        <v>35</v>
      </c>
      <c r="J1018" s="13">
        <f>IF(D1018="GBP",1,SUMIFS('Ex Rates'!I:I,'Ex Rates'!K:K,'Weekly Closed Proposal Requests'!L1018,'Ex Rates'!G:G,'Weekly Closed Proposal Requests'!D1018))</f>
        <v>1</v>
      </c>
      <c r="K1018" s="13">
        <f t="shared" si="16"/>
        <v>200000</v>
      </c>
      <c r="L1018" s="13" t="str">
        <f>_xlfn.XLOOKUP(I1018,'Wk no''s'!C:C,'Wk no''s'!E:E,0)</f>
        <v>Aug</v>
      </c>
    </row>
    <row r="1019" spans="1:12" x14ac:dyDescent="0.25">
      <c r="A1019" s="1">
        <v>45883</v>
      </c>
      <c r="B1019" t="s">
        <v>1605</v>
      </c>
      <c r="C1019" t="s">
        <v>454</v>
      </c>
      <c r="D1019" t="s">
        <v>15</v>
      </c>
      <c r="E1019">
        <v>200000</v>
      </c>
      <c r="F1019" s="1">
        <v>45897</v>
      </c>
      <c r="G1019" t="s">
        <v>16</v>
      </c>
      <c r="H1019" t="s">
        <v>19</v>
      </c>
      <c r="I1019" s="13">
        <f>_xlfn.XLOOKUP(F1019,'Wk no''s'!B:B,'Wk no''s'!C:C,FALSE)</f>
        <v>35</v>
      </c>
      <c r="J1019" s="13">
        <f>IF(D1019="GBP",1,SUMIFS('Ex Rates'!I:I,'Ex Rates'!K:K,'Weekly Closed Proposal Requests'!L1019,'Ex Rates'!G:G,'Weekly Closed Proposal Requests'!D1019))</f>
        <v>1</v>
      </c>
      <c r="K1019" s="13">
        <f t="shared" si="16"/>
        <v>200000</v>
      </c>
      <c r="L1019" s="13" t="str">
        <f>_xlfn.XLOOKUP(I1019,'Wk no''s'!C:C,'Wk no''s'!E:E,0)</f>
        <v>Aug</v>
      </c>
    </row>
    <row r="1020" spans="1:12" x14ac:dyDescent="0.25">
      <c r="A1020" s="1">
        <v>45884</v>
      </c>
      <c r="B1020" t="s">
        <v>1606</v>
      </c>
      <c r="C1020" t="s">
        <v>1654</v>
      </c>
      <c r="D1020" t="s">
        <v>15</v>
      </c>
      <c r="E1020">
        <v>30000</v>
      </c>
      <c r="F1020" s="1">
        <v>45897</v>
      </c>
      <c r="G1020" t="s">
        <v>16</v>
      </c>
      <c r="H1020" t="s">
        <v>19</v>
      </c>
      <c r="I1020" s="13">
        <f>_xlfn.XLOOKUP(F1020,'Wk no''s'!B:B,'Wk no''s'!C:C,FALSE)</f>
        <v>35</v>
      </c>
      <c r="J1020" s="13">
        <f>IF(D1020="GBP",1,SUMIFS('Ex Rates'!I:I,'Ex Rates'!K:K,'Weekly Closed Proposal Requests'!L1020,'Ex Rates'!G:G,'Weekly Closed Proposal Requests'!D1020))</f>
        <v>1</v>
      </c>
      <c r="K1020" s="13">
        <f t="shared" si="16"/>
        <v>30000</v>
      </c>
      <c r="L1020" s="13" t="str">
        <f>_xlfn.XLOOKUP(I1020,'Wk no''s'!C:C,'Wk no''s'!E:E,0)</f>
        <v>Aug</v>
      </c>
    </row>
    <row r="1021" spans="1:12" x14ac:dyDescent="0.25">
      <c r="A1021" s="1">
        <v>45887</v>
      </c>
      <c r="B1021" t="s">
        <v>1607</v>
      </c>
      <c r="C1021" t="s">
        <v>1655</v>
      </c>
      <c r="D1021" t="s">
        <v>15</v>
      </c>
      <c r="E1021">
        <v>100000</v>
      </c>
      <c r="F1021" s="1">
        <v>45895</v>
      </c>
      <c r="G1021" t="s">
        <v>16</v>
      </c>
      <c r="H1021" t="s">
        <v>19</v>
      </c>
      <c r="I1021" s="13">
        <f>_xlfn.XLOOKUP(F1021,'Wk no''s'!B:B,'Wk no''s'!C:C,FALSE)</f>
        <v>35</v>
      </c>
      <c r="J1021" s="13">
        <f>IF(D1021="GBP",1,SUMIFS('Ex Rates'!I:I,'Ex Rates'!K:K,'Weekly Closed Proposal Requests'!L1021,'Ex Rates'!G:G,'Weekly Closed Proposal Requests'!D1021))</f>
        <v>1</v>
      </c>
      <c r="K1021" s="13">
        <f t="shared" si="16"/>
        <v>100000</v>
      </c>
      <c r="L1021" s="13" t="str">
        <f>_xlfn.XLOOKUP(I1021,'Wk no''s'!C:C,'Wk no''s'!E:E,0)</f>
        <v>Aug</v>
      </c>
    </row>
    <row r="1022" spans="1:12" x14ac:dyDescent="0.25">
      <c r="A1022" s="1">
        <v>45888</v>
      </c>
      <c r="B1022" t="s">
        <v>1608</v>
      </c>
      <c r="C1022" t="s">
        <v>751</v>
      </c>
      <c r="D1022" t="s">
        <v>15</v>
      </c>
      <c r="E1022">
        <v>3000</v>
      </c>
      <c r="F1022" s="1">
        <v>45895</v>
      </c>
      <c r="G1022" t="s">
        <v>16</v>
      </c>
      <c r="H1022" t="s">
        <v>19</v>
      </c>
      <c r="I1022" s="13">
        <f>_xlfn.XLOOKUP(F1022,'Wk no''s'!B:B,'Wk no''s'!C:C,FALSE)</f>
        <v>35</v>
      </c>
      <c r="J1022" s="13">
        <f>IF(D1022="GBP",1,SUMIFS('Ex Rates'!I:I,'Ex Rates'!K:K,'Weekly Closed Proposal Requests'!L1022,'Ex Rates'!G:G,'Weekly Closed Proposal Requests'!D1022))</f>
        <v>1</v>
      </c>
      <c r="K1022" s="13">
        <f t="shared" si="16"/>
        <v>3000</v>
      </c>
      <c r="L1022" s="13" t="str">
        <f>_xlfn.XLOOKUP(I1022,'Wk no''s'!C:C,'Wk no''s'!E:E,0)</f>
        <v>Aug</v>
      </c>
    </row>
    <row r="1023" spans="1:12" x14ac:dyDescent="0.25">
      <c r="A1023" s="1">
        <v>45895</v>
      </c>
      <c r="B1023" t="s">
        <v>1610</v>
      </c>
      <c r="C1023" t="s">
        <v>1483</v>
      </c>
      <c r="D1023" t="s">
        <v>15</v>
      </c>
      <c r="E1023">
        <v>40000</v>
      </c>
      <c r="F1023" s="1">
        <v>45898</v>
      </c>
      <c r="G1023" t="s">
        <v>16</v>
      </c>
      <c r="H1023" t="s">
        <v>19</v>
      </c>
      <c r="I1023" s="13">
        <f>_xlfn.XLOOKUP(F1023,'Wk no''s'!B:B,'Wk no''s'!C:C,FALSE)</f>
        <v>35</v>
      </c>
      <c r="J1023" s="13">
        <f>IF(D1023="GBP",1,SUMIFS('Ex Rates'!I:I,'Ex Rates'!K:K,'Weekly Closed Proposal Requests'!L1023,'Ex Rates'!G:G,'Weekly Closed Proposal Requests'!D1023))</f>
        <v>1</v>
      </c>
      <c r="K1023" s="13">
        <f t="shared" si="16"/>
        <v>40000</v>
      </c>
      <c r="L1023" s="13" t="str">
        <f>_xlfn.XLOOKUP(I1023,'Wk no''s'!C:C,'Wk no''s'!E:E,0)</f>
        <v>Aug</v>
      </c>
    </row>
    <row r="1024" spans="1:12" x14ac:dyDescent="0.25">
      <c r="A1024" s="1">
        <v>45779</v>
      </c>
      <c r="B1024" t="s">
        <v>1273</v>
      </c>
      <c r="C1024" t="s">
        <v>814</v>
      </c>
      <c r="D1024" t="s">
        <v>15</v>
      </c>
      <c r="E1024">
        <v>700000</v>
      </c>
      <c r="F1024" s="1">
        <v>45898</v>
      </c>
      <c r="G1024" t="s">
        <v>47</v>
      </c>
      <c r="H1024" t="s">
        <v>50</v>
      </c>
      <c r="I1024" s="13">
        <f>_xlfn.XLOOKUP(F1024,'Wk no''s'!B:B,'Wk no''s'!C:C,FALSE)</f>
        <v>35</v>
      </c>
      <c r="J1024" s="13">
        <f>IF(D1024="GBP",1,SUMIFS('Ex Rates'!I:I,'Ex Rates'!K:K,'Weekly Closed Proposal Requests'!L1024,'Ex Rates'!G:G,'Weekly Closed Proposal Requests'!D1024))</f>
        <v>1</v>
      </c>
      <c r="K1024" s="13">
        <f t="shared" si="16"/>
        <v>700000</v>
      </c>
      <c r="L1024" s="13" t="str">
        <f>_xlfn.XLOOKUP(I1024,'Wk no''s'!C:C,'Wk no''s'!E:E,0)</f>
        <v>Aug</v>
      </c>
    </row>
    <row r="1025" spans="1:12" x14ac:dyDescent="0.25">
      <c r="A1025" s="1">
        <v>45860</v>
      </c>
      <c r="B1025" t="s">
        <v>1616</v>
      </c>
      <c r="C1025" t="s">
        <v>1656</v>
      </c>
      <c r="D1025" t="s">
        <v>15</v>
      </c>
      <c r="E1025">
        <v>261476.49</v>
      </c>
      <c r="F1025" s="1">
        <v>45896</v>
      </c>
      <c r="G1025" t="s">
        <v>47</v>
      </c>
      <c r="H1025" t="s">
        <v>50</v>
      </c>
      <c r="I1025" s="13">
        <f>_xlfn.XLOOKUP(F1025,'Wk no''s'!B:B,'Wk no''s'!C:C,FALSE)</f>
        <v>35</v>
      </c>
      <c r="J1025" s="13">
        <f>IF(D1025="GBP",1,SUMIFS('Ex Rates'!I:I,'Ex Rates'!K:K,'Weekly Closed Proposal Requests'!L1025,'Ex Rates'!G:G,'Weekly Closed Proposal Requests'!D1025))</f>
        <v>1</v>
      </c>
      <c r="K1025" s="13">
        <f t="shared" si="16"/>
        <v>261476.49</v>
      </c>
      <c r="L1025" s="13" t="str">
        <f>_xlfn.XLOOKUP(I1025,'Wk no''s'!C:C,'Wk no''s'!E:E,0)</f>
        <v>Aug</v>
      </c>
    </row>
    <row r="1026" spans="1:12" x14ac:dyDescent="0.25">
      <c r="A1026" s="1">
        <v>45876</v>
      </c>
      <c r="B1026" t="s">
        <v>1617</v>
      </c>
      <c r="C1026" t="s">
        <v>325</v>
      </c>
      <c r="D1026" t="s">
        <v>15</v>
      </c>
      <c r="E1026">
        <v>337000</v>
      </c>
      <c r="F1026" s="1">
        <v>45895</v>
      </c>
      <c r="G1026" t="s">
        <v>47</v>
      </c>
      <c r="H1026" t="s">
        <v>50</v>
      </c>
      <c r="I1026" s="13">
        <f>_xlfn.XLOOKUP(F1026,'Wk no''s'!B:B,'Wk no''s'!C:C,FALSE)</f>
        <v>35</v>
      </c>
      <c r="J1026" s="13">
        <f>IF(D1026="GBP",1,SUMIFS('Ex Rates'!I:I,'Ex Rates'!K:K,'Weekly Closed Proposal Requests'!L1026,'Ex Rates'!G:G,'Weekly Closed Proposal Requests'!D1026))</f>
        <v>1</v>
      </c>
      <c r="K1026" s="13">
        <f t="shared" si="16"/>
        <v>337000</v>
      </c>
      <c r="L1026" s="13" t="str">
        <f>_xlfn.XLOOKUP(I1026,'Wk no''s'!C:C,'Wk no''s'!E:E,0)</f>
        <v>Aug</v>
      </c>
    </row>
    <row r="1027" spans="1:12" x14ac:dyDescent="0.25">
      <c r="A1027" s="1">
        <v>45876</v>
      </c>
      <c r="B1027" t="s">
        <v>1621</v>
      </c>
      <c r="C1027" t="s">
        <v>328</v>
      </c>
      <c r="D1027" t="s">
        <v>15</v>
      </c>
      <c r="E1027">
        <v>425923</v>
      </c>
      <c r="F1027" s="1">
        <v>45895</v>
      </c>
      <c r="G1027" t="s">
        <v>47</v>
      </c>
      <c r="H1027" t="s">
        <v>50</v>
      </c>
      <c r="I1027" s="13">
        <f>_xlfn.XLOOKUP(F1027,'Wk no''s'!B:B,'Wk no''s'!C:C,FALSE)</f>
        <v>35</v>
      </c>
      <c r="J1027" s="13">
        <f>IF(D1027="GBP",1,SUMIFS('Ex Rates'!I:I,'Ex Rates'!K:K,'Weekly Closed Proposal Requests'!L1027,'Ex Rates'!G:G,'Weekly Closed Proposal Requests'!D1027))</f>
        <v>1</v>
      </c>
      <c r="K1027" s="13">
        <f t="shared" si="16"/>
        <v>425923</v>
      </c>
      <c r="L1027" s="13" t="str">
        <f>_xlfn.XLOOKUP(I1027,'Wk no''s'!C:C,'Wk no''s'!E:E,0)</f>
        <v>Aug</v>
      </c>
    </row>
    <row r="1028" spans="1:12" x14ac:dyDescent="0.25">
      <c r="A1028" s="1">
        <v>45876</v>
      </c>
      <c r="B1028" t="s">
        <v>1618</v>
      </c>
      <c r="C1028" t="s">
        <v>126</v>
      </c>
      <c r="D1028" t="s">
        <v>15</v>
      </c>
      <c r="E1028">
        <v>380000</v>
      </c>
      <c r="F1028" s="1">
        <v>45895</v>
      </c>
      <c r="G1028" t="s">
        <v>47</v>
      </c>
      <c r="H1028" t="s">
        <v>50</v>
      </c>
      <c r="I1028" s="13">
        <f>_xlfn.XLOOKUP(F1028,'Wk no''s'!B:B,'Wk no''s'!C:C,FALSE)</f>
        <v>35</v>
      </c>
      <c r="J1028" s="13">
        <f>IF(D1028="GBP",1,SUMIFS('Ex Rates'!I:I,'Ex Rates'!K:K,'Weekly Closed Proposal Requests'!L1028,'Ex Rates'!G:G,'Weekly Closed Proposal Requests'!D1028))</f>
        <v>1</v>
      </c>
      <c r="K1028" s="13">
        <f t="shared" si="16"/>
        <v>380000</v>
      </c>
      <c r="L1028" s="13" t="str">
        <f>_xlfn.XLOOKUP(I1028,'Wk no''s'!C:C,'Wk no''s'!E:E,0)</f>
        <v>Aug</v>
      </c>
    </row>
    <row r="1029" spans="1:12" x14ac:dyDescent="0.25">
      <c r="A1029" s="1">
        <v>45876</v>
      </c>
      <c r="B1029" t="s">
        <v>1622</v>
      </c>
      <c r="C1029" t="s">
        <v>265</v>
      </c>
      <c r="D1029" t="s">
        <v>15</v>
      </c>
      <c r="E1029">
        <v>184086.19</v>
      </c>
      <c r="F1029" s="1">
        <v>45895</v>
      </c>
      <c r="G1029" t="s">
        <v>47</v>
      </c>
      <c r="H1029" t="s">
        <v>50</v>
      </c>
      <c r="I1029" s="13">
        <f>_xlfn.XLOOKUP(F1029,'Wk no''s'!B:B,'Wk no''s'!C:C,FALSE)</f>
        <v>35</v>
      </c>
      <c r="J1029" s="13">
        <f>IF(D1029="GBP",1,SUMIFS('Ex Rates'!I:I,'Ex Rates'!K:K,'Weekly Closed Proposal Requests'!L1029,'Ex Rates'!G:G,'Weekly Closed Proposal Requests'!D1029))</f>
        <v>1</v>
      </c>
      <c r="K1029" s="13">
        <f t="shared" si="16"/>
        <v>184086.19</v>
      </c>
      <c r="L1029" s="13" t="str">
        <f>_xlfn.XLOOKUP(I1029,'Wk no''s'!C:C,'Wk no''s'!E:E,0)</f>
        <v>Aug</v>
      </c>
    </row>
    <row r="1030" spans="1:12" x14ac:dyDescent="0.25">
      <c r="A1030" s="1">
        <v>45877</v>
      </c>
      <c r="B1030" t="s">
        <v>1619</v>
      </c>
      <c r="C1030" t="s">
        <v>388</v>
      </c>
      <c r="D1030" t="s">
        <v>15</v>
      </c>
      <c r="E1030">
        <v>98000</v>
      </c>
      <c r="F1030" s="1">
        <v>45896</v>
      </c>
      <c r="G1030" t="s">
        <v>47</v>
      </c>
      <c r="H1030" t="s">
        <v>50</v>
      </c>
      <c r="I1030" s="13">
        <f>_xlfn.XLOOKUP(F1030,'Wk no''s'!B:B,'Wk no''s'!C:C,FALSE)</f>
        <v>35</v>
      </c>
      <c r="J1030" s="13">
        <f>IF(D1030="GBP",1,SUMIFS('Ex Rates'!I:I,'Ex Rates'!K:K,'Weekly Closed Proposal Requests'!L1030,'Ex Rates'!G:G,'Weekly Closed Proposal Requests'!D1030))</f>
        <v>1</v>
      </c>
      <c r="K1030" s="13">
        <f t="shared" si="16"/>
        <v>98000</v>
      </c>
      <c r="L1030" s="13" t="str">
        <f>_xlfn.XLOOKUP(I1030,'Wk no''s'!C:C,'Wk no''s'!E:E,0)</f>
        <v>Aug</v>
      </c>
    </row>
    <row r="1031" spans="1:12" x14ac:dyDescent="0.25">
      <c r="A1031" s="1">
        <v>45881</v>
      </c>
      <c r="B1031" t="s">
        <v>1623</v>
      </c>
      <c r="C1031" t="s">
        <v>1275</v>
      </c>
      <c r="D1031" t="s">
        <v>15</v>
      </c>
      <c r="E1031">
        <v>44173.26</v>
      </c>
      <c r="F1031" s="1">
        <v>45895</v>
      </c>
      <c r="G1031" t="s">
        <v>47</v>
      </c>
      <c r="H1031" t="s">
        <v>50</v>
      </c>
      <c r="I1031" s="13">
        <f>_xlfn.XLOOKUP(F1031,'Wk no''s'!B:B,'Wk no''s'!C:C,FALSE)</f>
        <v>35</v>
      </c>
      <c r="J1031" s="13">
        <f>IF(D1031="GBP",1,SUMIFS('Ex Rates'!I:I,'Ex Rates'!K:K,'Weekly Closed Proposal Requests'!L1031,'Ex Rates'!G:G,'Weekly Closed Proposal Requests'!D1031))</f>
        <v>1</v>
      </c>
      <c r="K1031" s="13">
        <f t="shared" si="16"/>
        <v>44173.26</v>
      </c>
      <c r="L1031" s="13" t="str">
        <f>_xlfn.XLOOKUP(I1031,'Wk no''s'!C:C,'Wk no''s'!E:E,0)</f>
        <v>Aug</v>
      </c>
    </row>
    <row r="1032" spans="1:12" x14ac:dyDescent="0.25">
      <c r="A1032" s="1">
        <v>45882</v>
      </c>
      <c r="B1032" t="s">
        <v>1620</v>
      </c>
      <c r="C1032" t="s">
        <v>1656</v>
      </c>
      <c r="D1032" t="s">
        <v>15</v>
      </c>
      <c r="E1032">
        <v>261476.49</v>
      </c>
      <c r="F1032" s="1">
        <v>45896</v>
      </c>
      <c r="G1032" t="s">
        <v>47</v>
      </c>
      <c r="H1032" t="s">
        <v>50</v>
      </c>
      <c r="I1032" s="13">
        <f>_xlfn.XLOOKUP(F1032,'Wk no''s'!B:B,'Wk no''s'!C:C,FALSE)</f>
        <v>35</v>
      </c>
      <c r="J1032" s="13">
        <f>IF(D1032="GBP",1,SUMIFS('Ex Rates'!I:I,'Ex Rates'!K:K,'Weekly Closed Proposal Requests'!L1032,'Ex Rates'!G:G,'Weekly Closed Proposal Requests'!D1032))</f>
        <v>1</v>
      </c>
      <c r="K1032" s="13">
        <f t="shared" si="16"/>
        <v>261476.49</v>
      </c>
      <c r="L1032" s="13" t="str">
        <f>_xlfn.XLOOKUP(I1032,'Wk no''s'!C:C,'Wk no''s'!E:E,0)</f>
        <v>Aug</v>
      </c>
    </row>
    <row r="1033" spans="1:12" x14ac:dyDescent="0.25">
      <c r="A1033" s="1">
        <v>45883</v>
      </c>
      <c r="B1033" t="s">
        <v>1624</v>
      </c>
      <c r="C1033" t="s">
        <v>1274</v>
      </c>
      <c r="D1033" t="s">
        <v>15</v>
      </c>
      <c r="E1033">
        <v>112741.06</v>
      </c>
      <c r="F1033" s="1">
        <v>45895</v>
      </c>
      <c r="G1033" t="s">
        <v>47</v>
      </c>
      <c r="H1033" t="s">
        <v>50</v>
      </c>
      <c r="I1033" s="13">
        <f>_xlfn.XLOOKUP(F1033,'Wk no''s'!B:B,'Wk no''s'!C:C,FALSE)</f>
        <v>35</v>
      </c>
      <c r="J1033" s="13">
        <f>IF(D1033="GBP",1,SUMIFS('Ex Rates'!I:I,'Ex Rates'!K:K,'Weekly Closed Proposal Requests'!L1033,'Ex Rates'!G:G,'Weekly Closed Proposal Requests'!D1033))</f>
        <v>1</v>
      </c>
      <c r="K1033" s="13">
        <f t="shared" si="16"/>
        <v>112741.06</v>
      </c>
      <c r="L1033" s="13" t="str">
        <f>_xlfn.XLOOKUP(I1033,'Wk no''s'!C:C,'Wk no''s'!E:E,0)</f>
        <v>Aug</v>
      </c>
    </row>
    <row r="1034" spans="1:12" x14ac:dyDescent="0.25">
      <c r="A1034" s="1">
        <v>45891</v>
      </c>
      <c r="B1034" t="s">
        <v>1625</v>
      </c>
      <c r="C1034" t="s">
        <v>1367</v>
      </c>
      <c r="D1034" t="s">
        <v>15</v>
      </c>
      <c r="E1034">
        <v>229667</v>
      </c>
      <c r="F1034" s="1">
        <v>45895</v>
      </c>
      <c r="G1034" t="s">
        <v>47</v>
      </c>
      <c r="H1034" t="s">
        <v>50</v>
      </c>
      <c r="I1034" s="13">
        <f>_xlfn.XLOOKUP(F1034,'Wk no''s'!B:B,'Wk no''s'!C:C,FALSE)</f>
        <v>35</v>
      </c>
      <c r="J1034" s="13">
        <f>IF(D1034="GBP",1,SUMIFS('Ex Rates'!I:I,'Ex Rates'!K:K,'Weekly Closed Proposal Requests'!L1034,'Ex Rates'!G:G,'Weekly Closed Proposal Requests'!D1034))</f>
        <v>1</v>
      </c>
      <c r="K1034" s="13">
        <f t="shared" si="16"/>
        <v>229667</v>
      </c>
      <c r="L1034" s="13" t="str">
        <f>_xlfn.XLOOKUP(I1034,'Wk no''s'!C:C,'Wk no''s'!E:E,0)</f>
        <v>Aug</v>
      </c>
    </row>
    <row r="1035" spans="1:12" x14ac:dyDescent="0.25">
      <c r="A1035" s="1">
        <v>45894</v>
      </c>
      <c r="B1035" t="s">
        <v>1626</v>
      </c>
      <c r="C1035" t="s">
        <v>1275</v>
      </c>
      <c r="D1035" t="s">
        <v>15</v>
      </c>
      <c r="E1035">
        <v>44173.26</v>
      </c>
      <c r="F1035" s="1">
        <v>45895</v>
      </c>
      <c r="G1035" t="s">
        <v>47</v>
      </c>
      <c r="H1035" t="s">
        <v>50</v>
      </c>
      <c r="I1035" s="13">
        <f>_xlfn.XLOOKUP(F1035,'Wk no''s'!B:B,'Wk no''s'!C:C,FALSE)</f>
        <v>35</v>
      </c>
      <c r="J1035" s="13">
        <f>IF(D1035="GBP",1,SUMIFS('Ex Rates'!I:I,'Ex Rates'!K:K,'Weekly Closed Proposal Requests'!L1035,'Ex Rates'!G:G,'Weekly Closed Proposal Requests'!D1035))</f>
        <v>1</v>
      </c>
      <c r="K1035" s="13">
        <f t="shared" si="16"/>
        <v>44173.26</v>
      </c>
      <c r="L1035" s="13" t="str">
        <f>_xlfn.XLOOKUP(I1035,'Wk no''s'!C:C,'Wk no''s'!E:E,0)</f>
        <v>Aug</v>
      </c>
    </row>
    <row r="1036" spans="1:12" x14ac:dyDescent="0.25">
      <c r="A1036" s="1">
        <v>45895</v>
      </c>
      <c r="B1036" t="s">
        <v>1627</v>
      </c>
      <c r="C1036" t="s">
        <v>211</v>
      </c>
      <c r="D1036" t="s">
        <v>15</v>
      </c>
      <c r="E1036">
        <v>575353</v>
      </c>
      <c r="F1036" s="1">
        <v>45898</v>
      </c>
      <c r="G1036" t="s">
        <v>47</v>
      </c>
      <c r="H1036" t="s">
        <v>50</v>
      </c>
      <c r="I1036" s="13">
        <f>_xlfn.XLOOKUP(F1036,'Wk no''s'!B:B,'Wk no''s'!C:C,FALSE)</f>
        <v>35</v>
      </c>
      <c r="J1036" s="13">
        <f>IF(D1036="GBP",1,SUMIFS('Ex Rates'!I:I,'Ex Rates'!K:K,'Weekly Closed Proposal Requests'!L1036,'Ex Rates'!G:G,'Weekly Closed Proposal Requests'!D1036))</f>
        <v>1</v>
      </c>
      <c r="K1036" s="13">
        <f t="shared" si="16"/>
        <v>575353</v>
      </c>
      <c r="L1036" s="13" t="str">
        <f>_xlfn.XLOOKUP(I1036,'Wk no''s'!C:C,'Wk no''s'!E:E,0)</f>
        <v>Aug</v>
      </c>
    </row>
    <row r="1037" spans="1:12" x14ac:dyDescent="0.25">
      <c r="A1037" s="1">
        <v>45896</v>
      </c>
      <c r="B1037" t="s">
        <v>1633</v>
      </c>
      <c r="C1037" t="s">
        <v>1314</v>
      </c>
      <c r="D1037" t="s">
        <v>10</v>
      </c>
      <c r="E1037">
        <v>40000</v>
      </c>
      <c r="F1037" s="1">
        <v>45898</v>
      </c>
      <c r="G1037" t="s">
        <v>11</v>
      </c>
      <c r="H1037" t="s">
        <v>12</v>
      </c>
      <c r="I1037" s="13">
        <f>_xlfn.XLOOKUP(F1037,'Wk no''s'!B:B,'Wk no''s'!C:C,FALSE)</f>
        <v>35</v>
      </c>
      <c r="J1037" s="13">
        <f>IF(D1037="GBP",1,SUMIFS('Ex Rates'!I:I,'Ex Rates'!K:K,'Weekly Closed Proposal Requests'!L1037,'Ex Rates'!G:G,'Weekly Closed Proposal Requests'!D1037))</f>
        <v>0.48732943469785572</v>
      </c>
      <c r="K1037" s="13">
        <f t="shared" si="16"/>
        <v>19493.177387914227</v>
      </c>
      <c r="L1037" s="13" t="str">
        <f>_xlfn.XLOOKUP(I1037,'Wk no''s'!C:C,'Wk no''s'!E:E,0)</f>
        <v>Aug</v>
      </c>
    </row>
    <row r="1038" spans="1:12" x14ac:dyDescent="0.25">
      <c r="A1038" s="1">
        <v>45862</v>
      </c>
      <c r="B1038" t="s">
        <v>1628</v>
      </c>
      <c r="C1038" t="s">
        <v>179</v>
      </c>
      <c r="D1038" t="s">
        <v>10</v>
      </c>
      <c r="E1038">
        <v>1000000</v>
      </c>
      <c r="F1038" s="1">
        <v>45898</v>
      </c>
      <c r="G1038" t="s">
        <v>11</v>
      </c>
      <c r="H1038" t="s">
        <v>50</v>
      </c>
      <c r="I1038" s="13">
        <f>_xlfn.XLOOKUP(F1038,'Wk no''s'!B:B,'Wk no''s'!C:C,FALSE)</f>
        <v>35</v>
      </c>
      <c r="J1038" s="13">
        <f>IF(D1038="GBP",1,SUMIFS('Ex Rates'!I:I,'Ex Rates'!K:K,'Weekly Closed Proposal Requests'!L1038,'Ex Rates'!G:G,'Weekly Closed Proposal Requests'!D1038))</f>
        <v>0.48732943469785572</v>
      </c>
      <c r="K1038" s="13">
        <f t="shared" si="16"/>
        <v>487329.43469785573</v>
      </c>
      <c r="L1038" s="13" t="str">
        <f>_xlfn.XLOOKUP(I1038,'Wk no''s'!C:C,'Wk no''s'!E:E,0)</f>
        <v>Aug</v>
      </c>
    </row>
    <row r="1039" spans="1:12" x14ac:dyDescent="0.25">
      <c r="A1039" s="1">
        <v>45890</v>
      </c>
      <c r="B1039" t="s">
        <v>1629</v>
      </c>
      <c r="C1039" t="s">
        <v>1585</v>
      </c>
      <c r="D1039" t="s">
        <v>10</v>
      </c>
      <c r="E1039">
        <v>60000</v>
      </c>
      <c r="F1039" s="1">
        <v>45897</v>
      </c>
      <c r="G1039" t="s">
        <v>11</v>
      </c>
      <c r="H1039" t="s">
        <v>50</v>
      </c>
      <c r="I1039" s="13">
        <f>_xlfn.XLOOKUP(F1039,'Wk no''s'!B:B,'Wk no''s'!C:C,FALSE)</f>
        <v>35</v>
      </c>
      <c r="J1039" s="13">
        <f>IF(D1039="GBP",1,SUMIFS('Ex Rates'!I:I,'Ex Rates'!K:K,'Weekly Closed Proposal Requests'!L1039,'Ex Rates'!G:G,'Weekly Closed Proposal Requests'!D1039))</f>
        <v>0.48732943469785572</v>
      </c>
      <c r="K1039" s="13">
        <f t="shared" si="16"/>
        <v>29239.766081871345</v>
      </c>
      <c r="L1039" s="13" t="str">
        <f>_xlfn.XLOOKUP(I1039,'Wk no''s'!C:C,'Wk no''s'!E:E,0)</f>
        <v>Aug</v>
      </c>
    </row>
    <row r="1040" spans="1:12" x14ac:dyDescent="0.25">
      <c r="A1040" s="1">
        <v>45891</v>
      </c>
      <c r="B1040" t="s">
        <v>1630</v>
      </c>
      <c r="C1040" t="s">
        <v>1314</v>
      </c>
      <c r="D1040" t="s">
        <v>10</v>
      </c>
      <c r="E1040">
        <v>23000</v>
      </c>
      <c r="F1040" s="1">
        <v>45894</v>
      </c>
      <c r="G1040" t="s">
        <v>11</v>
      </c>
      <c r="H1040" t="s">
        <v>50</v>
      </c>
      <c r="I1040" s="13">
        <f>_xlfn.XLOOKUP(F1040,'Wk no''s'!B:B,'Wk no''s'!C:C,FALSE)</f>
        <v>35</v>
      </c>
      <c r="J1040" s="13">
        <f>IF(D1040="GBP",1,SUMIFS('Ex Rates'!I:I,'Ex Rates'!K:K,'Weekly Closed Proposal Requests'!L1040,'Ex Rates'!G:G,'Weekly Closed Proposal Requests'!D1040))</f>
        <v>0.48732943469785572</v>
      </c>
      <c r="K1040" s="13">
        <f t="shared" si="16"/>
        <v>11208.576998050681</v>
      </c>
      <c r="L1040" s="13" t="str">
        <f>_xlfn.XLOOKUP(I1040,'Wk no''s'!C:C,'Wk no''s'!E:E,0)</f>
        <v>Aug</v>
      </c>
    </row>
    <row r="1041" spans="1:12" x14ac:dyDescent="0.25">
      <c r="A1041" s="1">
        <v>45893</v>
      </c>
      <c r="B1041" t="s">
        <v>1631</v>
      </c>
      <c r="C1041" t="s">
        <v>344</v>
      </c>
      <c r="D1041" t="s">
        <v>10</v>
      </c>
      <c r="E1041">
        <v>140000</v>
      </c>
      <c r="F1041" s="1">
        <v>45895</v>
      </c>
      <c r="G1041" t="s">
        <v>11</v>
      </c>
      <c r="H1041" t="s">
        <v>50</v>
      </c>
      <c r="I1041" s="13">
        <f>_xlfn.XLOOKUP(F1041,'Wk no''s'!B:B,'Wk no''s'!C:C,FALSE)</f>
        <v>35</v>
      </c>
      <c r="J1041" s="13">
        <f>IF(D1041="GBP",1,SUMIFS('Ex Rates'!I:I,'Ex Rates'!K:K,'Weekly Closed Proposal Requests'!L1041,'Ex Rates'!G:G,'Weekly Closed Proposal Requests'!D1041))</f>
        <v>0.48732943469785572</v>
      </c>
      <c r="K1041" s="13">
        <f t="shared" si="16"/>
        <v>68226.120857699803</v>
      </c>
      <c r="L1041" s="13" t="str">
        <f>_xlfn.XLOOKUP(I1041,'Wk no''s'!C:C,'Wk no''s'!E:E,0)</f>
        <v>Aug</v>
      </c>
    </row>
    <row r="1042" spans="1:12" x14ac:dyDescent="0.25">
      <c r="A1042" s="1">
        <v>45894</v>
      </c>
      <c r="B1042" t="s">
        <v>1632</v>
      </c>
      <c r="C1042" t="s">
        <v>342</v>
      </c>
      <c r="D1042" t="s">
        <v>10</v>
      </c>
      <c r="E1042">
        <v>10000</v>
      </c>
      <c r="F1042" s="1">
        <v>45895</v>
      </c>
      <c r="G1042" t="s">
        <v>11</v>
      </c>
      <c r="H1042" t="s">
        <v>50</v>
      </c>
      <c r="I1042" s="13">
        <f>_xlfn.XLOOKUP(F1042,'Wk no''s'!B:B,'Wk no''s'!C:C,FALSE)</f>
        <v>35</v>
      </c>
      <c r="J1042" s="13">
        <f>IF(D1042="GBP",1,SUMIFS('Ex Rates'!I:I,'Ex Rates'!K:K,'Weekly Closed Proposal Requests'!L1042,'Ex Rates'!G:G,'Weekly Closed Proposal Requests'!D1042))</f>
        <v>0.48732943469785572</v>
      </c>
      <c r="K1042" s="13">
        <f t="shared" si="16"/>
        <v>4873.2943469785569</v>
      </c>
      <c r="L1042" s="13" t="str">
        <f>_xlfn.XLOOKUP(I1042,'Wk no''s'!C:C,'Wk no''s'!E:E,0)</f>
        <v>Aug</v>
      </c>
    </row>
    <row r="1043" spans="1:12" x14ac:dyDescent="0.25">
      <c r="A1043" s="1">
        <v>45897</v>
      </c>
      <c r="B1043" t="s">
        <v>1662</v>
      </c>
      <c r="C1043" t="s">
        <v>1663</v>
      </c>
      <c r="D1043" t="s">
        <v>10</v>
      </c>
      <c r="E1043">
        <v>30000</v>
      </c>
      <c r="F1043" s="1">
        <v>45900</v>
      </c>
      <c r="G1043" t="s">
        <v>11</v>
      </c>
      <c r="H1043" t="s">
        <v>50</v>
      </c>
      <c r="I1043" s="13">
        <f>_xlfn.XLOOKUP(F1043,'Wk no''s'!B:B,'Wk no''s'!C:C,FALSE)</f>
        <v>36</v>
      </c>
      <c r="J1043" s="13">
        <f>IF(D1043="GBP",1,SUMIFS('Ex Rates'!I:I,'Ex Rates'!K:K,'Weekly Closed Proposal Requests'!L1043,'Ex Rates'!G:G,'Weekly Closed Proposal Requests'!D1043))</f>
        <v>0.48732943469785572</v>
      </c>
      <c r="K1043" s="13">
        <f t="shared" si="16"/>
        <v>14619.883040935672</v>
      </c>
      <c r="L1043" s="13" t="str">
        <f>_xlfn.XLOOKUP(I1043,'Wk no''s'!C:C,'Wk no''s'!E:E,0)</f>
        <v>Aug</v>
      </c>
    </row>
    <row r="1044" spans="1:12" x14ac:dyDescent="0.25">
      <c r="A1044" s="1">
        <v>45874</v>
      </c>
      <c r="B1044" t="s">
        <v>1635</v>
      </c>
      <c r="C1044" t="s">
        <v>1657</v>
      </c>
      <c r="D1044" t="s">
        <v>15</v>
      </c>
      <c r="E1044">
        <v>90000</v>
      </c>
      <c r="F1044" s="1">
        <v>45895</v>
      </c>
      <c r="G1044" t="s">
        <v>72</v>
      </c>
      <c r="H1044" t="s">
        <v>19</v>
      </c>
      <c r="I1044" s="13">
        <f>_xlfn.XLOOKUP(F1044,'Wk no''s'!B:B,'Wk no''s'!C:C,FALSE)</f>
        <v>35</v>
      </c>
      <c r="J1044" s="13">
        <f>IF(D1044="GBP",1,SUMIFS('Ex Rates'!I:I,'Ex Rates'!K:K,'Weekly Closed Proposal Requests'!L1044,'Ex Rates'!G:G,'Weekly Closed Proposal Requests'!D1044))</f>
        <v>1</v>
      </c>
      <c r="K1044" s="13">
        <f t="shared" si="16"/>
        <v>90000</v>
      </c>
      <c r="L1044" s="13" t="str">
        <f>_xlfn.XLOOKUP(I1044,'Wk no''s'!C:C,'Wk no''s'!E:E,0)</f>
        <v>Aug</v>
      </c>
    </row>
    <row r="1045" spans="1:12" x14ac:dyDescent="0.25">
      <c r="A1045" s="1">
        <v>45875</v>
      </c>
      <c r="B1045" t="s">
        <v>1636</v>
      </c>
      <c r="C1045" t="s">
        <v>1658</v>
      </c>
      <c r="D1045" t="s">
        <v>15</v>
      </c>
      <c r="E1045">
        <v>40000</v>
      </c>
      <c r="F1045" s="1">
        <v>45895</v>
      </c>
      <c r="G1045" t="s">
        <v>72</v>
      </c>
      <c r="H1045" t="s">
        <v>19</v>
      </c>
      <c r="I1045" s="13">
        <f>_xlfn.XLOOKUP(F1045,'Wk no''s'!B:B,'Wk no''s'!C:C,FALSE)</f>
        <v>35</v>
      </c>
      <c r="J1045" s="13">
        <f>IF(D1045="GBP",1,SUMIFS('Ex Rates'!I:I,'Ex Rates'!K:K,'Weekly Closed Proposal Requests'!L1045,'Ex Rates'!G:G,'Weekly Closed Proposal Requests'!D1045))</f>
        <v>1</v>
      </c>
      <c r="K1045" s="13">
        <f t="shared" si="16"/>
        <v>40000</v>
      </c>
      <c r="L1045" s="13" t="str">
        <f>_xlfn.XLOOKUP(I1045,'Wk no''s'!C:C,'Wk no''s'!E:E,0)</f>
        <v>Aug</v>
      </c>
    </row>
    <row r="1046" spans="1:12" x14ac:dyDescent="0.25">
      <c r="A1046" s="1">
        <v>45877</v>
      </c>
      <c r="B1046" t="s">
        <v>1637</v>
      </c>
      <c r="C1046" t="s">
        <v>1150</v>
      </c>
      <c r="D1046" t="s">
        <v>15</v>
      </c>
      <c r="E1046">
        <v>100000</v>
      </c>
      <c r="F1046" s="1">
        <v>45895</v>
      </c>
      <c r="G1046" t="s">
        <v>72</v>
      </c>
      <c r="H1046" t="s">
        <v>19</v>
      </c>
      <c r="I1046" s="13">
        <f>_xlfn.XLOOKUP(F1046,'Wk no''s'!B:B,'Wk no''s'!C:C,FALSE)</f>
        <v>35</v>
      </c>
      <c r="J1046" s="13">
        <f>IF(D1046="GBP",1,SUMIFS('Ex Rates'!I:I,'Ex Rates'!K:K,'Weekly Closed Proposal Requests'!L1046,'Ex Rates'!G:G,'Weekly Closed Proposal Requests'!D1046))</f>
        <v>1</v>
      </c>
      <c r="K1046" s="13">
        <f t="shared" si="16"/>
        <v>100000</v>
      </c>
      <c r="L1046" s="13" t="str">
        <f>_xlfn.XLOOKUP(I1046,'Wk no''s'!C:C,'Wk no''s'!E:E,0)</f>
        <v>Aug</v>
      </c>
    </row>
    <row r="1047" spans="1:12" x14ac:dyDescent="0.25">
      <c r="A1047" s="1">
        <v>45883</v>
      </c>
      <c r="B1047" t="s">
        <v>1638</v>
      </c>
      <c r="C1047" t="s">
        <v>1659</v>
      </c>
      <c r="D1047" t="s">
        <v>15</v>
      </c>
      <c r="E1047">
        <v>30000</v>
      </c>
      <c r="F1047" s="1">
        <v>45895</v>
      </c>
      <c r="G1047" t="s">
        <v>72</v>
      </c>
      <c r="H1047" t="s">
        <v>19</v>
      </c>
      <c r="I1047" s="13">
        <f>_xlfn.XLOOKUP(F1047,'Wk no''s'!B:B,'Wk no''s'!C:C,FALSE)</f>
        <v>35</v>
      </c>
      <c r="J1047" s="13">
        <f>IF(D1047="GBP",1,SUMIFS('Ex Rates'!I:I,'Ex Rates'!K:K,'Weekly Closed Proposal Requests'!L1047,'Ex Rates'!G:G,'Weekly Closed Proposal Requests'!D1047))</f>
        <v>1</v>
      </c>
      <c r="K1047" s="13">
        <f t="shared" ref="K1047:K1110" si="17">+E1047*J1047</f>
        <v>30000</v>
      </c>
      <c r="L1047" s="13" t="str">
        <f>_xlfn.XLOOKUP(I1047,'Wk no''s'!C:C,'Wk no''s'!E:E,0)</f>
        <v>Aug</v>
      </c>
    </row>
    <row r="1048" spans="1:12" x14ac:dyDescent="0.25">
      <c r="A1048" s="1">
        <v>45890</v>
      </c>
      <c r="B1048" t="s">
        <v>1640</v>
      </c>
      <c r="C1048" t="s">
        <v>584</v>
      </c>
      <c r="D1048" t="s">
        <v>15</v>
      </c>
      <c r="E1048">
        <v>120000</v>
      </c>
      <c r="F1048" s="1">
        <v>45895</v>
      </c>
      <c r="G1048" t="s">
        <v>72</v>
      </c>
      <c r="H1048" t="s">
        <v>19</v>
      </c>
      <c r="I1048" s="13">
        <f>_xlfn.XLOOKUP(F1048,'Wk no''s'!B:B,'Wk no''s'!C:C,FALSE)</f>
        <v>35</v>
      </c>
      <c r="J1048" s="13">
        <f>IF(D1048="GBP",1,SUMIFS('Ex Rates'!I:I,'Ex Rates'!K:K,'Weekly Closed Proposal Requests'!L1048,'Ex Rates'!G:G,'Weekly Closed Proposal Requests'!D1048))</f>
        <v>1</v>
      </c>
      <c r="K1048" s="13">
        <f t="shared" si="17"/>
        <v>120000</v>
      </c>
      <c r="L1048" s="13" t="str">
        <f>_xlfn.XLOOKUP(I1048,'Wk no''s'!C:C,'Wk no''s'!E:E,0)</f>
        <v>Aug</v>
      </c>
    </row>
    <row r="1049" spans="1:12" x14ac:dyDescent="0.25">
      <c r="A1049" s="1">
        <v>45895</v>
      </c>
      <c r="B1049" t="s">
        <v>1642</v>
      </c>
      <c r="C1049" t="s">
        <v>1660</v>
      </c>
      <c r="D1049" t="s">
        <v>15</v>
      </c>
      <c r="E1049">
        <v>20000</v>
      </c>
      <c r="F1049" s="1">
        <v>45896</v>
      </c>
      <c r="G1049" t="s">
        <v>72</v>
      </c>
      <c r="H1049" t="s">
        <v>19</v>
      </c>
      <c r="I1049" s="13">
        <f>_xlfn.XLOOKUP(F1049,'Wk no''s'!B:B,'Wk no''s'!C:C,FALSE)</f>
        <v>35</v>
      </c>
      <c r="J1049" s="13">
        <f>IF(D1049="GBP",1,SUMIFS('Ex Rates'!I:I,'Ex Rates'!K:K,'Weekly Closed Proposal Requests'!L1049,'Ex Rates'!G:G,'Weekly Closed Proposal Requests'!D1049))</f>
        <v>1</v>
      </c>
      <c r="K1049" s="13">
        <f t="shared" si="17"/>
        <v>20000</v>
      </c>
      <c r="L1049" s="13" t="str">
        <f>_xlfn.XLOOKUP(I1049,'Wk no''s'!C:C,'Wk no''s'!E:E,0)</f>
        <v>Aug</v>
      </c>
    </row>
    <row r="1050" spans="1:12" x14ac:dyDescent="0.25">
      <c r="A1050" s="1">
        <v>45853</v>
      </c>
      <c r="B1050" t="s">
        <v>1634</v>
      </c>
      <c r="C1050" t="s">
        <v>584</v>
      </c>
      <c r="D1050" t="s">
        <v>15</v>
      </c>
      <c r="E1050">
        <v>200000</v>
      </c>
      <c r="F1050" s="1">
        <v>45895</v>
      </c>
      <c r="G1050" t="s">
        <v>72</v>
      </c>
      <c r="H1050" t="s">
        <v>50</v>
      </c>
      <c r="I1050" s="13">
        <f>_xlfn.XLOOKUP(F1050,'Wk no''s'!B:B,'Wk no''s'!C:C,FALSE)</f>
        <v>35</v>
      </c>
      <c r="J1050" s="13">
        <f>IF(D1050="GBP",1,SUMIFS('Ex Rates'!I:I,'Ex Rates'!K:K,'Weekly Closed Proposal Requests'!L1050,'Ex Rates'!G:G,'Weekly Closed Proposal Requests'!D1050))</f>
        <v>1</v>
      </c>
      <c r="K1050" s="13">
        <f t="shared" si="17"/>
        <v>200000</v>
      </c>
      <c r="L1050" s="13" t="str">
        <f>_xlfn.XLOOKUP(I1050,'Wk no''s'!C:C,'Wk no''s'!E:E,0)</f>
        <v>Aug</v>
      </c>
    </row>
    <row r="1051" spans="1:12" x14ac:dyDescent="0.25">
      <c r="A1051" s="1">
        <v>45861</v>
      </c>
      <c r="B1051" t="s">
        <v>1639</v>
      </c>
      <c r="C1051" t="s">
        <v>1661</v>
      </c>
      <c r="D1051" t="s">
        <v>15</v>
      </c>
      <c r="E1051">
        <v>150000</v>
      </c>
      <c r="F1051" s="1">
        <v>45895</v>
      </c>
      <c r="G1051" t="s">
        <v>72</v>
      </c>
      <c r="H1051" t="s">
        <v>50</v>
      </c>
      <c r="I1051" s="13">
        <f>_xlfn.XLOOKUP(F1051,'Wk no''s'!B:B,'Wk no''s'!C:C,FALSE)</f>
        <v>35</v>
      </c>
      <c r="J1051" s="13">
        <f>IF(D1051="GBP",1,SUMIFS('Ex Rates'!I:I,'Ex Rates'!K:K,'Weekly Closed Proposal Requests'!L1051,'Ex Rates'!G:G,'Weekly Closed Proposal Requests'!D1051))</f>
        <v>1</v>
      </c>
      <c r="K1051" s="13">
        <f t="shared" si="17"/>
        <v>150000</v>
      </c>
      <c r="L1051" s="13" t="str">
        <f>_xlfn.XLOOKUP(I1051,'Wk no''s'!C:C,'Wk no''s'!E:E,0)</f>
        <v>Aug</v>
      </c>
    </row>
    <row r="1052" spans="1:12" x14ac:dyDescent="0.25">
      <c r="A1052" s="1">
        <v>45890</v>
      </c>
      <c r="B1052" t="s">
        <v>1641</v>
      </c>
      <c r="C1052" t="s">
        <v>1510</v>
      </c>
      <c r="D1052" t="s">
        <v>15</v>
      </c>
      <c r="E1052">
        <v>35000</v>
      </c>
      <c r="F1052" s="1">
        <v>45897</v>
      </c>
      <c r="G1052" t="s">
        <v>72</v>
      </c>
      <c r="H1052" t="s">
        <v>50</v>
      </c>
      <c r="I1052" s="13">
        <f>_xlfn.XLOOKUP(F1052,'Wk no''s'!B:B,'Wk no''s'!C:C,FALSE)</f>
        <v>35</v>
      </c>
      <c r="J1052" s="13">
        <f>IF(D1052="GBP",1,SUMIFS('Ex Rates'!I:I,'Ex Rates'!K:K,'Weekly Closed Proposal Requests'!L1052,'Ex Rates'!G:G,'Weekly Closed Proposal Requests'!D1052))</f>
        <v>1</v>
      </c>
      <c r="K1052" s="13">
        <f t="shared" si="17"/>
        <v>35000</v>
      </c>
      <c r="L1052" s="13" t="str">
        <f>_xlfn.XLOOKUP(I1052,'Wk no''s'!C:C,'Wk no''s'!E:E,0)</f>
        <v>Aug</v>
      </c>
    </row>
    <row r="1053" spans="1:12" x14ac:dyDescent="0.25">
      <c r="A1053" s="1">
        <v>45895</v>
      </c>
      <c r="B1053" t="s">
        <v>1643</v>
      </c>
      <c r="C1053" t="s">
        <v>1357</v>
      </c>
      <c r="D1053" t="s">
        <v>15</v>
      </c>
      <c r="E1053">
        <v>0</v>
      </c>
      <c r="F1053" s="1">
        <v>45896</v>
      </c>
      <c r="G1053" t="s">
        <v>645</v>
      </c>
      <c r="H1053" t="s">
        <v>19</v>
      </c>
      <c r="I1053" s="13">
        <f>_xlfn.XLOOKUP(F1053,'Wk no''s'!B:B,'Wk no''s'!C:C,FALSE)</f>
        <v>35</v>
      </c>
      <c r="J1053" s="13">
        <f>IF(D1053="GBP",1,SUMIFS('Ex Rates'!I:I,'Ex Rates'!K:K,'Weekly Closed Proposal Requests'!L1053,'Ex Rates'!G:G,'Weekly Closed Proposal Requests'!D1053))</f>
        <v>1</v>
      </c>
      <c r="K1053" s="13">
        <f t="shared" si="17"/>
        <v>0</v>
      </c>
      <c r="L1053" s="13" t="str">
        <f>_xlfn.XLOOKUP(I1053,'Wk no''s'!C:C,'Wk no''s'!E:E,0)</f>
        <v>Aug</v>
      </c>
    </row>
    <row r="1054" spans="1:12" x14ac:dyDescent="0.25">
      <c r="A1054" s="1">
        <v>45901</v>
      </c>
      <c r="B1054" t="s">
        <v>1664</v>
      </c>
      <c r="C1054" t="s">
        <v>1665</v>
      </c>
      <c r="D1054" t="s">
        <v>15</v>
      </c>
      <c r="E1054">
        <v>90000</v>
      </c>
      <c r="F1054" s="1">
        <v>45903</v>
      </c>
      <c r="G1054" t="s">
        <v>16</v>
      </c>
      <c r="H1054" t="s">
        <v>12</v>
      </c>
      <c r="I1054" s="13">
        <f>_xlfn.XLOOKUP(F1054,'Wk no''s'!B:B,'Wk no''s'!C:C,FALSE)</f>
        <v>36</v>
      </c>
      <c r="J1054" s="13">
        <f>IF(D1054="GBP",1,SUMIFS('Ex Rates'!I:I,'Ex Rates'!K:K,'Weekly Closed Proposal Requests'!L1054,'Ex Rates'!G:G,'Weekly Closed Proposal Requests'!D1054))</f>
        <v>1</v>
      </c>
      <c r="K1054" s="13">
        <f t="shared" si="17"/>
        <v>90000</v>
      </c>
      <c r="L1054" s="13" t="str">
        <f>_xlfn.XLOOKUP(I1054,'Wk no''s'!C:C,'Wk no''s'!E:E,0)</f>
        <v>Aug</v>
      </c>
    </row>
    <row r="1055" spans="1:12" x14ac:dyDescent="0.25">
      <c r="A1055" s="1">
        <v>45852</v>
      </c>
      <c r="B1055" t="s">
        <v>1666</v>
      </c>
      <c r="C1055" t="s">
        <v>1648</v>
      </c>
      <c r="D1055" t="s">
        <v>15</v>
      </c>
      <c r="E1055">
        <v>200000</v>
      </c>
      <c r="F1055" s="1">
        <v>45905</v>
      </c>
      <c r="G1055" t="s">
        <v>16</v>
      </c>
      <c r="H1055" t="s">
        <v>19</v>
      </c>
      <c r="I1055" s="13">
        <f>_xlfn.XLOOKUP(F1055,'Wk no''s'!B:B,'Wk no''s'!C:C,FALSE)</f>
        <v>36</v>
      </c>
      <c r="J1055" s="13">
        <f>IF(D1055="GBP",1,SUMIFS('Ex Rates'!I:I,'Ex Rates'!K:K,'Weekly Closed Proposal Requests'!L1055,'Ex Rates'!G:G,'Weekly Closed Proposal Requests'!D1055))</f>
        <v>1</v>
      </c>
      <c r="K1055" s="13">
        <f t="shared" si="17"/>
        <v>200000</v>
      </c>
      <c r="L1055" s="13" t="str">
        <f>_xlfn.XLOOKUP(I1055,'Wk no''s'!C:C,'Wk no''s'!E:E,0)</f>
        <v>Aug</v>
      </c>
    </row>
    <row r="1056" spans="1:12" x14ac:dyDescent="0.25">
      <c r="A1056" s="1">
        <v>45890</v>
      </c>
      <c r="B1056" t="s">
        <v>1667</v>
      </c>
      <c r="C1056" t="s">
        <v>1648</v>
      </c>
      <c r="D1056" t="s">
        <v>15</v>
      </c>
      <c r="E1056">
        <v>500000</v>
      </c>
      <c r="F1056" s="1">
        <v>45905</v>
      </c>
      <c r="G1056" t="s">
        <v>16</v>
      </c>
      <c r="H1056" t="s">
        <v>19</v>
      </c>
      <c r="I1056" s="13">
        <f>_xlfn.XLOOKUP(F1056,'Wk no''s'!B:B,'Wk no''s'!C:C,FALSE)</f>
        <v>36</v>
      </c>
      <c r="J1056" s="13">
        <f>IF(D1056="GBP",1,SUMIFS('Ex Rates'!I:I,'Ex Rates'!K:K,'Weekly Closed Proposal Requests'!L1056,'Ex Rates'!G:G,'Weekly Closed Proposal Requests'!D1056))</f>
        <v>1</v>
      </c>
      <c r="K1056" s="13">
        <f t="shared" si="17"/>
        <v>500000</v>
      </c>
      <c r="L1056" s="13" t="str">
        <f>_xlfn.XLOOKUP(I1056,'Wk no''s'!C:C,'Wk no''s'!E:E,0)</f>
        <v>Aug</v>
      </c>
    </row>
    <row r="1057" spans="1:12" x14ac:dyDescent="0.25">
      <c r="A1057" s="1">
        <v>45896</v>
      </c>
      <c r="B1057" t="s">
        <v>1668</v>
      </c>
      <c r="C1057" t="s">
        <v>1558</v>
      </c>
      <c r="D1057" t="s">
        <v>15</v>
      </c>
      <c r="E1057">
        <v>100000</v>
      </c>
      <c r="F1057" s="1">
        <v>45905</v>
      </c>
      <c r="G1057" t="s">
        <v>16</v>
      </c>
      <c r="H1057" t="s">
        <v>19</v>
      </c>
      <c r="I1057" s="13">
        <f>_xlfn.XLOOKUP(F1057,'Wk no''s'!B:B,'Wk no''s'!C:C,FALSE)</f>
        <v>36</v>
      </c>
      <c r="J1057" s="13">
        <f>IF(D1057="GBP",1,SUMIFS('Ex Rates'!I:I,'Ex Rates'!K:K,'Weekly Closed Proposal Requests'!L1057,'Ex Rates'!G:G,'Weekly Closed Proposal Requests'!D1057))</f>
        <v>1</v>
      </c>
      <c r="K1057" s="13">
        <f t="shared" si="17"/>
        <v>100000</v>
      </c>
      <c r="L1057" s="13" t="str">
        <f>_xlfn.XLOOKUP(I1057,'Wk no''s'!C:C,'Wk no''s'!E:E,0)</f>
        <v>Aug</v>
      </c>
    </row>
    <row r="1058" spans="1:12" x14ac:dyDescent="0.25">
      <c r="A1058" s="1">
        <v>45898</v>
      </c>
      <c r="B1058" t="s">
        <v>1669</v>
      </c>
      <c r="C1058" t="s">
        <v>1670</v>
      </c>
      <c r="D1058" t="s">
        <v>15</v>
      </c>
      <c r="E1058">
        <v>70000</v>
      </c>
      <c r="F1058" s="1">
        <v>45905</v>
      </c>
      <c r="G1058" t="s">
        <v>16</v>
      </c>
      <c r="H1058" t="s">
        <v>19</v>
      </c>
      <c r="I1058" s="13">
        <f>_xlfn.XLOOKUP(F1058,'Wk no''s'!B:B,'Wk no''s'!C:C,FALSE)</f>
        <v>36</v>
      </c>
      <c r="J1058" s="13">
        <f>IF(D1058="GBP",1,SUMIFS('Ex Rates'!I:I,'Ex Rates'!K:K,'Weekly Closed Proposal Requests'!L1058,'Ex Rates'!G:G,'Weekly Closed Proposal Requests'!D1058))</f>
        <v>1</v>
      </c>
      <c r="K1058" s="13">
        <f t="shared" si="17"/>
        <v>70000</v>
      </c>
      <c r="L1058" s="13" t="str">
        <f>_xlfn.XLOOKUP(I1058,'Wk no''s'!C:C,'Wk no''s'!E:E,0)</f>
        <v>Aug</v>
      </c>
    </row>
    <row r="1059" spans="1:12" x14ac:dyDescent="0.25">
      <c r="A1059" s="1">
        <v>45901</v>
      </c>
      <c r="B1059" t="s">
        <v>1671</v>
      </c>
      <c r="C1059" t="s">
        <v>454</v>
      </c>
      <c r="D1059" t="s">
        <v>15</v>
      </c>
      <c r="E1059">
        <v>200000</v>
      </c>
      <c r="F1059" s="1">
        <v>45902</v>
      </c>
      <c r="G1059" t="s">
        <v>16</v>
      </c>
      <c r="H1059" t="s">
        <v>19</v>
      </c>
      <c r="I1059" s="13">
        <f>_xlfn.XLOOKUP(F1059,'Wk no''s'!B:B,'Wk no''s'!C:C,FALSE)</f>
        <v>36</v>
      </c>
      <c r="J1059" s="13">
        <f>IF(D1059="GBP",1,SUMIFS('Ex Rates'!I:I,'Ex Rates'!K:K,'Weekly Closed Proposal Requests'!L1059,'Ex Rates'!G:G,'Weekly Closed Proposal Requests'!D1059))</f>
        <v>1</v>
      </c>
      <c r="K1059" s="13">
        <f t="shared" si="17"/>
        <v>200000</v>
      </c>
      <c r="L1059" s="13" t="str">
        <f>_xlfn.XLOOKUP(I1059,'Wk no''s'!C:C,'Wk no''s'!E:E,0)</f>
        <v>Aug</v>
      </c>
    </row>
    <row r="1060" spans="1:12" x14ac:dyDescent="0.25">
      <c r="A1060" s="1">
        <v>45903</v>
      </c>
      <c r="B1060" t="s">
        <v>1672</v>
      </c>
      <c r="C1060" t="s">
        <v>1070</v>
      </c>
      <c r="D1060" t="s">
        <v>15</v>
      </c>
      <c r="E1060">
        <v>250000</v>
      </c>
      <c r="F1060" s="1">
        <v>45905</v>
      </c>
      <c r="G1060" t="s">
        <v>16</v>
      </c>
      <c r="H1060" t="s">
        <v>19</v>
      </c>
      <c r="I1060" s="13">
        <f>_xlfn.XLOOKUP(F1060,'Wk no''s'!B:B,'Wk no''s'!C:C,FALSE)</f>
        <v>36</v>
      </c>
      <c r="J1060" s="13">
        <f>IF(D1060="GBP",1,SUMIFS('Ex Rates'!I:I,'Ex Rates'!K:K,'Weekly Closed Proposal Requests'!L1060,'Ex Rates'!G:G,'Weekly Closed Proposal Requests'!D1060))</f>
        <v>1</v>
      </c>
      <c r="K1060" s="13">
        <f t="shared" si="17"/>
        <v>250000</v>
      </c>
      <c r="L1060" s="13" t="str">
        <f>_xlfn.XLOOKUP(I1060,'Wk no''s'!C:C,'Wk no''s'!E:E,0)</f>
        <v>Aug</v>
      </c>
    </row>
    <row r="1061" spans="1:12" x14ac:dyDescent="0.25">
      <c r="A1061" s="1">
        <v>45882</v>
      </c>
      <c r="B1061" t="s">
        <v>1673</v>
      </c>
      <c r="C1061" t="s">
        <v>1674</v>
      </c>
      <c r="D1061" t="s">
        <v>15</v>
      </c>
      <c r="E1061">
        <v>150000</v>
      </c>
      <c r="F1061" s="1">
        <v>45905</v>
      </c>
      <c r="G1061" t="s">
        <v>16</v>
      </c>
      <c r="H1061" t="s">
        <v>50</v>
      </c>
      <c r="I1061" s="13">
        <f>_xlfn.XLOOKUP(F1061,'Wk no''s'!B:B,'Wk no''s'!C:C,FALSE)</f>
        <v>36</v>
      </c>
      <c r="J1061" s="13">
        <f>IF(D1061="GBP",1,SUMIFS('Ex Rates'!I:I,'Ex Rates'!K:K,'Weekly Closed Proposal Requests'!L1061,'Ex Rates'!G:G,'Weekly Closed Proposal Requests'!D1061))</f>
        <v>1</v>
      </c>
      <c r="K1061" s="13">
        <f t="shared" si="17"/>
        <v>150000</v>
      </c>
      <c r="L1061" s="13" t="str">
        <f>_xlfn.XLOOKUP(I1061,'Wk no''s'!C:C,'Wk no''s'!E:E,0)</f>
        <v>Aug</v>
      </c>
    </row>
    <row r="1062" spans="1:12" x14ac:dyDescent="0.25">
      <c r="A1062" s="1">
        <v>45866</v>
      </c>
      <c r="B1062" t="s">
        <v>1675</v>
      </c>
      <c r="C1062" t="s">
        <v>1262</v>
      </c>
      <c r="D1062" t="s">
        <v>15</v>
      </c>
      <c r="E1062">
        <v>63838.79</v>
      </c>
      <c r="F1062" s="1">
        <v>45905</v>
      </c>
      <c r="G1062" t="s">
        <v>47</v>
      </c>
      <c r="H1062" t="s">
        <v>50</v>
      </c>
      <c r="I1062" s="13">
        <f>_xlfn.XLOOKUP(F1062,'Wk no''s'!B:B,'Wk no''s'!C:C,FALSE)</f>
        <v>36</v>
      </c>
      <c r="J1062" s="13">
        <f>IF(D1062="GBP",1,SUMIFS('Ex Rates'!I:I,'Ex Rates'!K:K,'Weekly Closed Proposal Requests'!L1062,'Ex Rates'!G:G,'Weekly Closed Proposal Requests'!D1062))</f>
        <v>1</v>
      </c>
      <c r="K1062" s="13">
        <f t="shared" si="17"/>
        <v>63838.79</v>
      </c>
      <c r="L1062" s="13" t="str">
        <f>_xlfn.XLOOKUP(I1062,'Wk no''s'!C:C,'Wk no''s'!E:E,0)</f>
        <v>Aug</v>
      </c>
    </row>
    <row r="1063" spans="1:12" x14ac:dyDescent="0.25">
      <c r="A1063" s="1">
        <v>45895</v>
      </c>
      <c r="B1063" t="s">
        <v>1676</v>
      </c>
      <c r="C1063" t="s">
        <v>1274</v>
      </c>
      <c r="D1063" t="s">
        <v>15</v>
      </c>
      <c r="E1063">
        <v>112741.06</v>
      </c>
      <c r="F1063" s="1">
        <v>45905</v>
      </c>
      <c r="G1063" t="s">
        <v>47</v>
      </c>
      <c r="H1063" t="s">
        <v>50</v>
      </c>
      <c r="I1063" s="13">
        <f>_xlfn.XLOOKUP(F1063,'Wk no''s'!B:B,'Wk no''s'!C:C,FALSE)</f>
        <v>36</v>
      </c>
      <c r="J1063" s="13">
        <f>IF(D1063="GBP",1,SUMIFS('Ex Rates'!I:I,'Ex Rates'!K:K,'Weekly Closed Proposal Requests'!L1063,'Ex Rates'!G:G,'Weekly Closed Proposal Requests'!D1063))</f>
        <v>1</v>
      </c>
      <c r="K1063" s="13">
        <f t="shared" si="17"/>
        <v>112741.06</v>
      </c>
      <c r="L1063" s="13" t="str">
        <f>_xlfn.XLOOKUP(I1063,'Wk no''s'!C:C,'Wk no''s'!E:E,0)</f>
        <v>Aug</v>
      </c>
    </row>
    <row r="1064" spans="1:12" x14ac:dyDescent="0.25">
      <c r="A1064" s="1">
        <v>45898</v>
      </c>
      <c r="B1064" t="s">
        <v>1677</v>
      </c>
      <c r="C1064" t="s">
        <v>126</v>
      </c>
      <c r="D1064" t="s">
        <v>15</v>
      </c>
      <c r="E1064">
        <v>380000</v>
      </c>
      <c r="F1064" s="1">
        <v>45905</v>
      </c>
      <c r="G1064" t="s">
        <v>47</v>
      </c>
      <c r="H1064" t="s">
        <v>50</v>
      </c>
      <c r="I1064" s="13">
        <f>_xlfn.XLOOKUP(F1064,'Wk no''s'!B:B,'Wk no''s'!C:C,FALSE)</f>
        <v>36</v>
      </c>
      <c r="J1064" s="13">
        <f>IF(D1064="GBP",1,SUMIFS('Ex Rates'!I:I,'Ex Rates'!K:K,'Weekly Closed Proposal Requests'!L1064,'Ex Rates'!G:G,'Weekly Closed Proposal Requests'!D1064))</f>
        <v>1</v>
      </c>
      <c r="K1064" s="13">
        <f t="shared" si="17"/>
        <v>380000</v>
      </c>
      <c r="L1064" s="13" t="str">
        <f>_xlfn.XLOOKUP(I1064,'Wk no''s'!C:C,'Wk no''s'!E:E,0)</f>
        <v>Aug</v>
      </c>
    </row>
    <row r="1065" spans="1:12" x14ac:dyDescent="0.25">
      <c r="A1065" s="1">
        <v>45901</v>
      </c>
      <c r="B1065" t="s">
        <v>1678</v>
      </c>
      <c r="C1065" t="s">
        <v>1585</v>
      </c>
      <c r="D1065" t="s">
        <v>10</v>
      </c>
      <c r="E1065">
        <v>20000</v>
      </c>
      <c r="F1065" s="1">
        <v>45902</v>
      </c>
      <c r="G1065" t="s">
        <v>11</v>
      </c>
      <c r="H1065" t="s">
        <v>50</v>
      </c>
      <c r="I1065" s="13">
        <f>_xlfn.XLOOKUP(F1065,'Wk no''s'!B:B,'Wk no''s'!C:C,FALSE)</f>
        <v>36</v>
      </c>
      <c r="J1065" s="13">
        <f>IF(D1065="GBP",1,SUMIFS('Ex Rates'!I:I,'Ex Rates'!K:K,'Weekly Closed Proposal Requests'!L1065,'Ex Rates'!G:G,'Weekly Closed Proposal Requests'!D1065))</f>
        <v>0.48732943469785572</v>
      </c>
      <c r="K1065" s="13">
        <f t="shared" si="17"/>
        <v>9746.5886939571137</v>
      </c>
      <c r="L1065" s="13" t="str">
        <f>_xlfn.XLOOKUP(I1065,'Wk no''s'!C:C,'Wk no''s'!E:E,0)</f>
        <v>Aug</v>
      </c>
    </row>
    <row r="1066" spans="1:12" x14ac:dyDescent="0.25">
      <c r="A1066" s="1">
        <v>45904</v>
      </c>
      <c r="B1066" t="s">
        <v>1681</v>
      </c>
      <c r="C1066" t="s">
        <v>1663</v>
      </c>
      <c r="D1066" t="s">
        <v>10</v>
      </c>
      <c r="E1066">
        <v>8000</v>
      </c>
      <c r="F1066" s="1">
        <v>45907</v>
      </c>
      <c r="G1066" t="s">
        <v>11</v>
      </c>
      <c r="H1066" t="s">
        <v>50</v>
      </c>
      <c r="I1066" s="13">
        <f>_xlfn.XLOOKUP(F1066,'Wk no''s'!B:B,'Wk no''s'!C:C,FALSE)</f>
        <v>37</v>
      </c>
      <c r="J1066" s="13">
        <f>IF(D1066="GBP",1,SUMIFS('Ex Rates'!I:I,'Ex Rates'!K:K,'Weekly Closed Proposal Requests'!L1066,'Ex Rates'!G:G,'Weekly Closed Proposal Requests'!D1066))</f>
        <v>0.48355899419729204</v>
      </c>
      <c r="K1066" s="13">
        <f t="shared" si="17"/>
        <v>3868.4719535783361</v>
      </c>
      <c r="L1066" s="13" t="str">
        <f>_xlfn.XLOOKUP(I1066,'Wk no''s'!C:C,'Wk no''s'!E:E,0)</f>
        <v>Sep</v>
      </c>
    </row>
    <row r="1067" spans="1:12" x14ac:dyDescent="0.25">
      <c r="A1067" s="1">
        <v>45897</v>
      </c>
      <c r="B1067" t="s">
        <v>1680</v>
      </c>
      <c r="C1067" t="s">
        <v>396</v>
      </c>
      <c r="D1067" t="s">
        <v>15</v>
      </c>
      <c r="E1067">
        <v>300000</v>
      </c>
      <c r="F1067" s="1">
        <v>45904</v>
      </c>
      <c r="G1067" t="s">
        <v>72</v>
      </c>
      <c r="H1067" t="s">
        <v>19</v>
      </c>
      <c r="I1067" s="13">
        <f>_xlfn.XLOOKUP(F1067,'Wk no''s'!B:B,'Wk no''s'!C:C,FALSE)</f>
        <v>36</v>
      </c>
      <c r="J1067" s="13">
        <f>IF(D1067="GBP",1,SUMIFS('Ex Rates'!I:I,'Ex Rates'!K:K,'Weekly Closed Proposal Requests'!L1067,'Ex Rates'!G:G,'Weekly Closed Proposal Requests'!D1067))</f>
        <v>1</v>
      </c>
      <c r="K1067" s="13">
        <f t="shared" si="17"/>
        <v>300000</v>
      </c>
      <c r="L1067" s="13" t="str">
        <f>_xlfn.XLOOKUP(I1067,'Wk no''s'!C:C,'Wk no''s'!E:E,0)</f>
        <v>Aug</v>
      </c>
    </row>
    <row r="1068" spans="1:12" x14ac:dyDescent="0.25">
      <c r="A1068" s="1">
        <v>45904</v>
      </c>
      <c r="B1068" t="s">
        <v>1684</v>
      </c>
      <c r="C1068" t="s">
        <v>1483</v>
      </c>
      <c r="D1068" t="s">
        <v>15</v>
      </c>
      <c r="E1068">
        <v>50000</v>
      </c>
      <c r="F1068" s="1">
        <v>45911</v>
      </c>
      <c r="G1068" t="s">
        <v>16</v>
      </c>
      <c r="H1068" t="s">
        <v>12</v>
      </c>
      <c r="I1068" s="13">
        <f>_xlfn.XLOOKUP(F1068,'Wk no''s'!B:B,'Wk no''s'!C:C,FALSE)</f>
        <v>37</v>
      </c>
      <c r="J1068" s="13">
        <f>IF(D1068="GBP",1,SUMIFS('Ex Rates'!I:I,'Ex Rates'!K:K,'Weekly Closed Proposal Requests'!L1068,'Ex Rates'!G:G,'Weekly Closed Proposal Requests'!D1068))</f>
        <v>1</v>
      </c>
      <c r="K1068" s="13">
        <f t="shared" si="17"/>
        <v>50000</v>
      </c>
      <c r="L1068" s="13" t="str">
        <f>_xlfn.XLOOKUP(I1068,'Wk no''s'!C:C,'Wk no''s'!E:E,0)</f>
        <v>Sep</v>
      </c>
    </row>
    <row r="1069" spans="1:12" x14ac:dyDescent="0.25">
      <c r="A1069" s="1">
        <v>45796</v>
      </c>
      <c r="B1069" t="s">
        <v>1685</v>
      </c>
      <c r="C1069" t="s">
        <v>843</v>
      </c>
      <c r="D1069" t="s">
        <v>15</v>
      </c>
      <c r="E1069">
        <v>500000</v>
      </c>
      <c r="F1069" s="1">
        <v>45910</v>
      </c>
      <c r="G1069" t="s">
        <v>16</v>
      </c>
      <c r="H1069" t="s">
        <v>19</v>
      </c>
      <c r="I1069" s="13">
        <f>_xlfn.XLOOKUP(F1069,'Wk no''s'!B:B,'Wk no''s'!C:C,FALSE)</f>
        <v>37</v>
      </c>
      <c r="J1069" s="13">
        <f>IF(D1069="GBP",1,SUMIFS('Ex Rates'!I:I,'Ex Rates'!K:K,'Weekly Closed Proposal Requests'!L1069,'Ex Rates'!G:G,'Weekly Closed Proposal Requests'!D1069))</f>
        <v>1</v>
      </c>
      <c r="K1069" s="13">
        <f t="shared" si="17"/>
        <v>500000</v>
      </c>
      <c r="L1069" s="13" t="str">
        <f>_xlfn.XLOOKUP(I1069,'Wk no''s'!C:C,'Wk no''s'!E:E,0)</f>
        <v>Sep</v>
      </c>
    </row>
    <row r="1070" spans="1:12" x14ac:dyDescent="0.25">
      <c r="A1070" s="1">
        <v>45824</v>
      </c>
      <c r="B1070" t="s">
        <v>1235</v>
      </c>
      <c r="C1070" t="s">
        <v>1266</v>
      </c>
      <c r="D1070" t="s">
        <v>15</v>
      </c>
      <c r="E1070">
        <v>100000</v>
      </c>
      <c r="F1070" s="1">
        <v>45908</v>
      </c>
      <c r="G1070" t="s">
        <v>16</v>
      </c>
      <c r="H1070" t="s">
        <v>19</v>
      </c>
      <c r="I1070" s="13">
        <f>_xlfn.XLOOKUP(F1070,'Wk no''s'!B:B,'Wk no''s'!C:C,FALSE)</f>
        <v>37</v>
      </c>
      <c r="J1070" s="13">
        <f>IF(D1070="GBP",1,SUMIFS('Ex Rates'!I:I,'Ex Rates'!K:K,'Weekly Closed Proposal Requests'!L1070,'Ex Rates'!G:G,'Weekly Closed Proposal Requests'!D1070))</f>
        <v>1</v>
      </c>
      <c r="K1070" s="13">
        <f t="shared" si="17"/>
        <v>100000</v>
      </c>
      <c r="L1070" s="13" t="str">
        <f>_xlfn.XLOOKUP(I1070,'Wk no''s'!C:C,'Wk no''s'!E:E,0)</f>
        <v>Sep</v>
      </c>
    </row>
    <row r="1071" spans="1:12" x14ac:dyDescent="0.25">
      <c r="A1071" s="1">
        <v>45891</v>
      </c>
      <c r="B1071" t="s">
        <v>1687</v>
      </c>
      <c r="C1071" t="s">
        <v>35</v>
      </c>
      <c r="D1071" t="s">
        <v>15</v>
      </c>
      <c r="E1071">
        <v>325000</v>
      </c>
      <c r="F1071" s="1">
        <v>45910</v>
      </c>
      <c r="G1071" t="s">
        <v>16</v>
      </c>
      <c r="H1071" t="s">
        <v>19</v>
      </c>
      <c r="I1071" s="13">
        <f>_xlfn.XLOOKUP(F1071,'Wk no''s'!B:B,'Wk no''s'!C:C,FALSE)</f>
        <v>37</v>
      </c>
      <c r="J1071" s="13">
        <f>IF(D1071="GBP",1,SUMIFS('Ex Rates'!I:I,'Ex Rates'!K:K,'Weekly Closed Proposal Requests'!L1071,'Ex Rates'!G:G,'Weekly Closed Proposal Requests'!D1071))</f>
        <v>1</v>
      </c>
      <c r="K1071" s="13">
        <f t="shared" si="17"/>
        <v>325000</v>
      </c>
      <c r="L1071" s="13" t="str">
        <f>_xlfn.XLOOKUP(I1071,'Wk no''s'!C:C,'Wk no''s'!E:E,0)</f>
        <v>Sep</v>
      </c>
    </row>
    <row r="1072" spans="1:12" x14ac:dyDescent="0.25">
      <c r="A1072" s="1">
        <v>45898</v>
      </c>
      <c r="B1072" t="s">
        <v>1688</v>
      </c>
      <c r="C1072" t="s">
        <v>1215</v>
      </c>
      <c r="D1072" t="s">
        <v>15</v>
      </c>
      <c r="E1072">
        <v>30000</v>
      </c>
      <c r="F1072" s="1">
        <v>45909</v>
      </c>
      <c r="G1072" t="s">
        <v>16</v>
      </c>
      <c r="H1072" t="s">
        <v>19</v>
      </c>
      <c r="I1072" s="13">
        <f>_xlfn.XLOOKUP(F1072,'Wk no''s'!B:B,'Wk no''s'!C:C,FALSE)</f>
        <v>37</v>
      </c>
      <c r="J1072" s="13">
        <f>IF(D1072="GBP",1,SUMIFS('Ex Rates'!I:I,'Ex Rates'!K:K,'Weekly Closed Proposal Requests'!L1072,'Ex Rates'!G:G,'Weekly Closed Proposal Requests'!D1072))</f>
        <v>1</v>
      </c>
      <c r="K1072" s="13">
        <f t="shared" si="17"/>
        <v>30000</v>
      </c>
      <c r="L1072" s="13" t="str">
        <f>_xlfn.XLOOKUP(I1072,'Wk no''s'!C:C,'Wk no''s'!E:E,0)</f>
        <v>Sep</v>
      </c>
    </row>
    <row r="1073" spans="1:12" x14ac:dyDescent="0.25">
      <c r="A1073" s="1">
        <v>45901</v>
      </c>
      <c r="B1073" t="s">
        <v>1682</v>
      </c>
      <c r="C1073" t="s">
        <v>1709</v>
      </c>
      <c r="D1073" t="s">
        <v>15</v>
      </c>
      <c r="E1073">
        <v>20000</v>
      </c>
      <c r="F1073" s="1">
        <v>45911</v>
      </c>
      <c r="G1073" t="s">
        <v>16</v>
      </c>
      <c r="H1073" t="s">
        <v>19</v>
      </c>
      <c r="I1073" s="13">
        <f>_xlfn.XLOOKUP(F1073,'Wk no''s'!B:B,'Wk no''s'!C:C,FALSE)</f>
        <v>37</v>
      </c>
      <c r="J1073" s="13">
        <f>IF(D1073="GBP",1,SUMIFS('Ex Rates'!I:I,'Ex Rates'!K:K,'Weekly Closed Proposal Requests'!L1073,'Ex Rates'!G:G,'Weekly Closed Proposal Requests'!D1073))</f>
        <v>1</v>
      </c>
      <c r="K1073" s="13">
        <f t="shared" si="17"/>
        <v>20000</v>
      </c>
      <c r="L1073" s="13" t="str">
        <f>_xlfn.XLOOKUP(I1073,'Wk no''s'!C:C,'Wk no''s'!E:E,0)</f>
        <v>Sep</v>
      </c>
    </row>
    <row r="1074" spans="1:12" x14ac:dyDescent="0.25">
      <c r="A1074" s="1">
        <v>45901</v>
      </c>
      <c r="B1074" t="s">
        <v>1683</v>
      </c>
      <c r="C1074" t="s">
        <v>21</v>
      </c>
      <c r="D1074" t="s">
        <v>15</v>
      </c>
      <c r="E1074">
        <v>200000</v>
      </c>
      <c r="F1074" s="1">
        <v>45912</v>
      </c>
      <c r="G1074" t="s">
        <v>16</v>
      </c>
      <c r="H1074" t="s">
        <v>19</v>
      </c>
      <c r="I1074" s="13">
        <f>_xlfn.XLOOKUP(F1074,'Wk no''s'!B:B,'Wk no''s'!C:C,FALSE)</f>
        <v>37</v>
      </c>
      <c r="J1074" s="13">
        <f>IF(D1074="GBP",1,SUMIFS('Ex Rates'!I:I,'Ex Rates'!K:K,'Weekly Closed Proposal Requests'!L1074,'Ex Rates'!G:G,'Weekly Closed Proposal Requests'!D1074))</f>
        <v>1</v>
      </c>
      <c r="K1074" s="13">
        <f t="shared" si="17"/>
        <v>200000</v>
      </c>
      <c r="L1074" s="13" t="str">
        <f>_xlfn.XLOOKUP(I1074,'Wk no''s'!C:C,'Wk no''s'!E:E,0)</f>
        <v>Sep</v>
      </c>
    </row>
    <row r="1075" spans="1:12" x14ac:dyDescent="0.25">
      <c r="A1075" s="1">
        <v>45905</v>
      </c>
      <c r="B1075" t="s">
        <v>1689</v>
      </c>
      <c r="C1075" t="s">
        <v>1710</v>
      </c>
      <c r="D1075" t="s">
        <v>15</v>
      </c>
      <c r="E1075">
        <v>10000</v>
      </c>
      <c r="F1075" s="1">
        <v>45910</v>
      </c>
      <c r="G1075" t="s">
        <v>16</v>
      </c>
      <c r="H1075" t="s">
        <v>19</v>
      </c>
      <c r="I1075" s="13">
        <f>_xlfn.XLOOKUP(F1075,'Wk no''s'!B:B,'Wk no''s'!C:C,FALSE)</f>
        <v>37</v>
      </c>
      <c r="J1075" s="13">
        <f>IF(D1075="GBP",1,SUMIFS('Ex Rates'!I:I,'Ex Rates'!K:K,'Weekly Closed Proposal Requests'!L1075,'Ex Rates'!G:G,'Weekly Closed Proposal Requests'!D1075))</f>
        <v>1</v>
      </c>
      <c r="K1075" s="13">
        <f t="shared" si="17"/>
        <v>10000</v>
      </c>
      <c r="L1075" s="13" t="str">
        <f>_xlfn.XLOOKUP(I1075,'Wk no''s'!C:C,'Wk no''s'!E:E,0)</f>
        <v>Sep</v>
      </c>
    </row>
    <row r="1076" spans="1:12" x14ac:dyDescent="0.25">
      <c r="A1076" s="1">
        <v>45909</v>
      </c>
      <c r="B1076" t="s">
        <v>1690</v>
      </c>
      <c r="C1076" t="s">
        <v>843</v>
      </c>
      <c r="D1076" t="s">
        <v>15</v>
      </c>
      <c r="E1076">
        <v>100000</v>
      </c>
      <c r="F1076" s="1">
        <v>45912</v>
      </c>
      <c r="G1076" t="s">
        <v>16</v>
      </c>
      <c r="H1076" t="s">
        <v>19</v>
      </c>
      <c r="I1076" s="13">
        <f>_xlfn.XLOOKUP(F1076,'Wk no''s'!B:B,'Wk no''s'!C:C,FALSE)</f>
        <v>37</v>
      </c>
      <c r="J1076" s="13">
        <f>IF(D1076="GBP",1,SUMIFS('Ex Rates'!I:I,'Ex Rates'!K:K,'Weekly Closed Proposal Requests'!L1076,'Ex Rates'!G:G,'Weekly Closed Proposal Requests'!D1076))</f>
        <v>1</v>
      </c>
      <c r="K1076" s="13">
        <f t="shared" si="17"/>
        <v>100000</v>
      </c>
      <c r="L1076" s="13" t="str">
        <f>_xlfn.XLOOKUP(I1076,'Wk no''s'!C:C,'Wk no''s'!E:E,0)</f>
        <v>Sep</v>
      </c>
    </row>
    <row r="1077" spans="1:12" x14ac:dyDescent="0.25">
      <c r="A1077" s="1">
        <v>45874</v>
      </c>
      <c r="B1077" t="s">
        <v>1686</v>
      </c>
      <c r="C1077" t="s">
        <v>1711</v>
      </c>
      <c r="D1077" t="s">
        <v>15</v>
      </c>
      <c r="E1077">
        <v>700000</v>
      </c>
      <c r="F1077" s="1">
        <v>45912</v>
      </c>
      <c r="G1077" t="s">
        <v>16</v>
      </c>
      <c r="H1077" t="s">
        <v>50</v>
      </c>
      <c r="I1077" s="13">
        <f>_xlfn.XLOOKUP(F1077,'Wk no''s'!B:B,'Wk no''s'!C:C,FALSE)</f>
        <v>37</v>
      </c>
      <c r="J1077" s="13">
        <f>IF(D1077="GBP",1,SUMIFS('Ex Rates'!I:I,'Ex Rates'!K:K,'Weekly Closed Proposal Requests'!L1077,'Ex Rates'!G:G,'Weekly Closed Proposal Requests'!D1077))</f>
        <v>1</v>
      </c>
      <c r="K1077" s="13">
        <f t="shared" si="17"/>
        <v>700000</v>
      </c>
      <c r="L1077" s="13" t="str">
        <f>_xlfn.XLOOKUP(I1077,'Wk no''s'!C:C,'Wk no''s'!E:E,0)</f>
        <v>Sep</v>
      </c>
    </row>
    <row r="1078" spans="1:12" x14ac:dyDescent="0.25">
      <c r="A1078" s="1">
        <v>45692</v>
      </c>
      <c r="B1078" t="s">
        <v>382</v>
      </c>
      <c r="C1078" t="s">
        <v>164</v>
      </c>
      <c r="D1078" t="s">
        <v>46</v>
      </c>
      <c r="E1078">
        <v>50000</v>
      </c>
      <c r="F1078" s="1">
        <v>45910</v>
      </c>
      <c r="G1078" t="s">
        <v>47</v>
      </c>
      <c r="H1078" t="s">
        <v>19</v>
      </c>
      <c r="I1078" s="13">
        <f>_xlfn.XLOOKUP(F1078,'Wk no''s'!B:B,'Wk no''s'!C:C,FALSE)</f>
        <v>37</v>
      </c>
      <c r="J1078" s="13">
        <f>IF(D1078="GBP",1,SUMIFS('Ex Rates'!I:I,'Ex Rates'!K:K,'Weekly Closed Proposal Requests'!L1078,'Ex Rates'!G:G,'Weekly Closed Proposal Requests'!D1078))</f>
        <v>0.73909830007390986</v>
      </c>
      <c r="K1078" s="13">
        <f t="shared" si="17"/>
        <v>36954.915003695496</v>
      </c>
      <c r="L1078" s="13" t="str">
        <f>_xlfn.XLOOKUP(I1078,'Wk no''s'!C:C,'Wk no''s'!E:E,0)</f>
        <v>Sep</v>
      </c>
    </row>
    <row r="1079" spans="1:12" x14ac:dyDescent="0.25">
      <c r="A1079" s="1">
        <v>45898</v>
      </c>
      <c r="B1079" t="s">
        <v>1693</v>
      </c>
      <c r="C1079" t="s">
        <v>1712</v>
      </c>
      <c r="D1079" t="s">
        <v>46</v>
      </c>
      <c r="E1079">
        <v>150000</v>
      </c>
      <c r="F1079" s="1">
        <v>45908</v>
      </c>
      <c r="G1079" t="s">
        <v>47</v>
      </c>
      <c r="H1079" t="s">
        <v>19</v>
      </c>
      <c r="I1079" s="13">
        <f>_xlfn.XLOOKUP(F1079,'Wk no''s'!B:B,'Wk no''s'!C:C,FALSE)</f>
        <v>37</v>
      </c>
      <c r="J1079" s="13">
        <f>IF(D1079="GBP",1,SUMIFS('Ex Rates'!I:I,'Ex Rates'!K:K,'Weekly Closed Proposal Requests'!L1079,'Ex Rates'!G:G,'Weekly Closed Proposal Requests'!D1079))</f>
        <v>0.73909830007390986</v>
      </c>
      <c r="K1079" s="13">
        <f t="shared" si="17"/>
        <v>110864.74501108647</v>
      </c>
      <c r="L1079" s="13" t="str">
        <f>_xlfn.XLOOKUP(I1079,'Wk no''s'!C:C,'Wk no''s'!E:E,0)</f>
        <v>Sep</v>
      </c>
    </row>
    <row r="1080" spans="1:12" x14ac:dyDescent="0.25">
      <c r="A1080" s="1">
        <v>45889</v>
      </c>
      <c r="B1080" t="s">
        <v>1691</v>
      </c>
      <c r="C1080" t="s">
        <v>1713</v>
      </c>
      <c r="D1080" t="s">
        <v>15</v>
      </c>
      <c r="E1080">
        <v>22860.26</v>
      </c>
      <c r="F1080" s="1">
        <v>45908</v>
      </c>
      <c r="G1080" t="s">
        <v>47</v>
      </c>
      <c r="H1080" t="s">
        <v>50</v>
      </c>
      <c r="I1080" s="13">
        <f>_xlfn.XLOOKUP(F1080,'Wk no''s'!B:B,'Wk no''s'!C:C,FALSE)</f>
        <v>37</v>
      </c>
      <c r="J1080" s="13">
        <f>IF(D1080="GBP",1,SUMIFS('Ex Rates'!I:I,'Ex Rates'!K:K,'Weekly Closed Proposal Requests'!L1080,'Ex Rates'!G:G,'Weekly Closed Proposal Requests'!D1080))</f>
        <v>1</v>
      </c>
      <c r="K1080" s="13">
        <f t="shared" si="17"/>
        <v>22860.26</v>
      </c>
      <c r="L1080" s="13" t="str">
        <f>_xlfn.XLOOKUP(I1080,'Wk no''s'!C:C,'Wk no''s'!E:E,0)</f>
        <v>Sep</v>
      </c>
    </row>
    <row r="1081" spans="1:12" x14ac:dyDescent="0.25">
      <c r="A1081" s="1">
        <v>45889</v>
      </c>
      <c r="B1081" t="s">
        <v>1692</v>
      </c>
      <c r="C1081" t="s">
        <v>335</v>
      </c>
      <c r="D1081" t="s">
        <v>15</v>
      </c>
      <c r="E1081">
        <v>11692.07</v>
      </c>
      <c r="F1081" s="1">
        <v>45913</v>
      </c>
      <c r="G1081" t="s">
        <v>47</v>
      </c>
      <c r="H1081" t="s">
        <v>50</v>
      </c>
      <c r="I1081" s="13">
        <f>_xlfn.XLOOKUP(F1081,'Wk no''s'!B:B,'Wk no''s'!C:C,FALSE)</f>
        <v>38</v>
      </c>
      <c r="J1081" s="13">
        <f>IF(D1081="GBP",1,SUMIFS('Ex Rates'!I:I,'Ex Rates'!K:K,'Weekly Closed Proposal Requests'!L1081,'Ex Rates'!G:G,'Weekly Closed Proposal Requests'!D1081))</f>
        <v>1</v>
      </c>
      <c r="K1081" s="13">
        <f t="shared" si="17"/>
        <v>11692.07</v>
      </c>
      <c r="L1081" s="13" t="str">
        <f>_xlfn.XLOOKUP(I1081,'Wk no''s'!C:C,'Wk no''s'!E:E,0)</f>
        <v>Sep</v>
      </c>
    </row>
    <row r="1082" spans="1:12" x14ac:dyDescent="0.25">
      <c r="A1082" s="1">
        <v>45903</v>
      </c>
      <c r="B1082" t="s">
        <v>1694</v>
      </c>
      <c r="C1082" t="s">
        <v>672</v>
      </c>
      <c r="D1082" t="s">
        <v>15</v>
      </c>
      <c r="E1082">
        <v>24806.15</v>
      </c>
      <c r="F1082" s="1">
        <v>45908</v>
      </c>
      <c r="G1082" t="s">
        <v>47</v>
      </c>
      <c r="H1082" t="s">
        <v>50</v>
      </c>
      <c r="I1082" s="13">
        <f>_xlfn.XLOOKUP(F1082,'Wk no''s'!B:B,'Wk no''s'!C:C,FALSE)</f>
        <v>37</v>
      </c>
      <c r="J1082" s="13">
        <f>IF(D1082="GBP",1,SUMIFS('Ex Rates'!I:I,'Ex Rates'!K:K,'Weekly Closed Proposal Requests'!L1082,'Ex Rates'!G:G,'Weekly Closed Proposal Requests'!D1082))</f>
        <v>1</v>
      </c>
      <c r="K1082" s="13">
        <f t="shared" si="17"/>
        <v>24806.15</v>
      </c>
      <c r="L1082" s="13" t="str">
        <f>_xlfn.XLOOKUP(I1082,'Wk no''s'!C:C,'Wk no''s'!E:E,0)</f>
        <v>Sep</v>
      </c>
    </row>
    <row r="1083" spans="1:12" x14ac:dyDescent="0.25">
      <c r="A1083" s="1">
        <v>45903</v>
      </c>
      <c r="B1083" t="s">
        <v>1695</v>
      </c>
      <c r="C1083" t="s">
        <v>1131</v>
      </c>
      <c r="D1083" t="s">
        <v>15</v>
      </c>
      <c r="E1083">
        <v>91820.800000000003</v>
      </c>
      <c r="F1083" s="1">
        <v>45909</v>
      </c>
      <c r="G1083" t="s">
        <v>47</v>
      </c>
      <c r="H1083" t="s">
        <v>50</v>
      </c>
      <c r="I1083" s="13">
        <f>_xlfn.XLOOKUP(F1083,'Wk no''s'!B:B,'Wk no''s'!C:C,FALSE)</f>
        <v>37</v>
      </c>
      <c r="J1083" s="13">
        <f>IF(D1083="GBP",1,SUMIFS('Ex Rates'!I:I,'Ex Rates'!K:K,'Weekly Closed Proposal Requests'!L1083,'Ex Rates'!G:G,'Weekly Closed Proposal Requests'!D1083))</f>
        <v>1</v>
      </c>
      <c r="K1083" s="13">
        <f t="shared" si="17"/>
        <v>91820.800000000003</v>
      </c>
      <c r="L1083" s="13" t="str">
        <f>_xlfn.XLOOKUP(I1083,'Wk no''s'!C:C,'Wk no''s'!E:E,0)</f>
        <v>Sep</v>
      </c>
    </row>
    <row r="1084" spans="1:12" x14ac:dyDescent="0.25">
      <c r="A1084" s="1">
        <v>45902</v>
      </c>
      <c r="B1084" t="s">
        <v>1696</v>
      </c>
      <c r="C1084" t="s">
        <v>527</v>
      </c>
      <c r="D1084" t="s">
        <v>10</v>
      </c>
      <c r="E1084">
        <v>1000000</v>
      </c>
      <c r="F1084" s="1">
        <v>45909</v>
      </c>
      <c r="G1084" t="s">
        <v>11</v>
      </c>
      <c r="H1084" t="s">
        <v>12</v>
      </c>
      <c r="I1084" s="13">
        <f>_xlfn.XLOOKUP(F1084,'Wk no''s'!B:B,'Wk no''s'!C:C,FALSE)</f>
        <v>37</v>
      </c>
      <c r="J1084" s="13">
        <f>IF(D1084="GBP",1,SUMIFS('Ex Rates'!I:I,'Ex Rates'!K:K,'Weekly Closed Proposal Requests'!L1084,'Ex Rates'!G:G,'Weekly Closed Proposal Requests'!D1084))</f>
        <v>0.48355899419729204</v>
      </c>
      <c r="K1084" s="13">
        <f t="shared" si="17"/>
        <v>483558.99419729202</v>
      </c>
      <c r="L1084" s="13" t="str">
        <f>_xlfn.XLOOKUP(I1084,'Wk no''s'!C:C,'Wk no''s'!E:E,0)</f>
        <v>Sep</v>
      </c>
    </row>
    <row r="1085" spans="1:12" x14ac:dyDescent="0.25">
      <c r="A1085" s="1">
        <v>45908</v>
      </c>
      <c r="B1085" t="s">
        <v>1700</v>
      </c>
      <c r="C1085" t="s">
        <v>1714</v>
      </c>
      <c r="D1085" t="s">
        <v>10</v>
      </c>
      <c r="E1085">
        <v>150000</v>
      </c>
      <c r="F1085" s="1">
        <v>45911</v>
      </c>
      <c r="G1085" t="s">
        <v>11</v>
      </c>
      <c r="H1085" t="s">
        <v>12</v>
      </c>
      <c r="I1085" s="13">
        <f>_xlfn.XLOOKUP(F1085,'Wk no''s'!B:B,'Wk no''s'!C:C,FALSE)</f>
        <v>37</v>
      </c>
      <c r="J1085" s="13">
        <f>IF(D1085="GBP",1,SUMIFS('Ex Rates'!I:I,'Ex Rates'!K:K,'Weekly Closed Proposal Requests'!L1085,'Ex Rates'!G:G,'Weekly Closed Proposal Requests'!D1085))</f>
        <v>0.48355899419729204</v>
      </c>
      <c r="K1085" s="13">
        <f t="shared" si="17"/>
        <v>72533.8491295938</v>
      </c>
      <c r="L1085" s="13" t="str">
        <f>_xlfn.XLOOKUP(I1085,'Wk no''s'!C:C,'Wk no''s'!E:E,0)</f>
        <v>Sep</v>
      </c>
    </row>
    <row r="1086" spans="1:12" x14ac:dyDescent="0.25">
      <c r="A1086" s="1">
        <v>45868</v>
      </c>
      <c r="B1086" t="s">
        <v>1697</v>
      </c>
      <c r="C1086" t="s">
        <v>432</v>
      </c>
      <c r="D1086" t="s">
        <v>15</v>
      </c>
      <c r="E1086">
        <v>900000</v>
      </c>
      <c r="F1086" s="1">
        <v>45910</v>
      </c>
      <c r="G1086" t="s">
        <v>11</v>
      </c>
      <c r="H1086" t="s">
        <v>19</v>
      </c>
      <c r="I1086" s="13">
        <f>_xlfn.XLOOKUP(F1086,'Wk no''s'!B:B,'Wk no''s'!C:C,FALSE)</f>
        <v>37</v>
      </c>
      <c r="J1086" s="13">
        <f>IF(D1086="GBP",1,SUMIFS('Ex Rates'!I:I,'Ex Rates'!K:K,'Weekly Closed Proposal Requests'!L1086,'Ex Rates'!G:G,'Weekly Closed Proposal Requests'!D1086))</f>
        <v>1</v>
      </c>
      <c r="K1086" s="13">
        <f t="shared" si="17"/>
        <v>900000</v>
      </c>
      <c r="L1086" s="13" t="str">
        <f>_xlfn.XLOOKUP(I1086,'Wk no''s'!C:C,'Wk no''s'!E:E,0)</f>
        <v>Sep</v>
      </c>
    </row>
    <row r="1087" spans="1:12" x14ac:dyDescent="0.25">
      <c r="A1087" s="1">
        <v>45901</v>
      </c>
      <c r="B1087" t="s">
        <v>1698</v>
      </c>
      <c r="C1087" t="s">
        <v>62</v>
      </c>
      <c r="D1087" t="s">
        <v>15</v>
      </c>
      <c r="E1087">
        <v>1000000</v>
      </c>
      <c r="F1087" s="1">
        <v>45910</v>
      </c>
      <c r="G1087" t="s">
        <v>11</v>
      </c>
      <c r="H1087" t="s">
        <v>50</v>
      </c>
      <c r="I1087" s="13">
        <f>_xlfn.XLOOKUP(F1087,'Wk no''s'!B:B,'Wk no''s'!C:C,FALSE)</f>
        <v>37</v>
      </c>
      <c r="J1087" s="13">
        <f>IF(D1087="GBP",1,SUMIFS('Ex Rates'!I:I,'Ex Rates'!K:K,'Weekly Closed Proposal Requests'!L1087,'Ex Rates'!G:G,'Weekly Closed Proposal Requests'!D1087))</f>
        <v>1</v>
      </c>
      <c r="K1087" s="13">
        <f t="shared" si="17"/>
        <v>1000000</v>
      </c>
      <c r="L1087" s="13" t="str">
        <f>_xlfn.XLOOKUP(I1087,'Wk no''s'!C:C,'Wk no''s'!E:E,0)</f>
        <v>Sep</v>
      </c>
    </row>
    <row r="1088" spans="1:12" x14ac:dyDescent="0.25">
      <c r="A1088" s="1">
        <v>45905</v>
      </c>
      <c r="B1088" t="s">
        <v>1699</v>
      </c>
      <c r="C1088" t="s">
        <v>1214</v>
      </c>
      <c r="D1088" t="s">
        <v>10</v>
      </c>
      <c r="E1088">
        <v>200000</v>
      </c>
      <c r="F1088" s="1">
        <v>45909</v>
      </c>
      <c r="G1088" t="s">
        <v>11</v>
      </c>
      <c r="H1088" t="s">
        <v>50</v>
      </c>
      <c r="I1088" s="13">
        <f>_xlfn.XLOOKUP(F1088,'Wk no''s'!B:B,'Wk no''s'!C:C,FALSE)</f>
        <v>37</v>
      </c>
      <c r="J1088" s="13">
        <f>IF(D1088="GBP",1,SUMIFS('Ex Rates'!I:I,'Ex Rates'!K:K,'Weekly Closed Proposal Requests'!L1088,'Ex Rates'!G:G,'Weekly Closed Proposal Requests'!D1088))</f>
        <v>0.48355899419729204</v>
      </c>
      <c r="K1088" s="13">
        <f t="shared" si="17"/>
        <v>96711.79883945841</v>
      </c>
      <c r="L1088" s="13" t="str">
        <f>_xlfn.XLOOKUP(I1088,'Wk no''s'!C:C,'Wk no''s'!E:E,0)</f>
        <v>Sep</v>
      </c>
    </row>
    <row r="1089" spans="1:12" x14ac:dyDescent="0.25">
      <c r="A1089" s="1">
        <v>45908</v>
      </c>
      <c r="B1089" t="s">
        <v>1701</v>
      </c>
      <c r="C1089" t="s">
        <v>1314</v>
      </c>
      <c r="D1089" t="s">
        <v>10</v>
      </c>
      <c r="E1089">
        <v>25000</v>
      </c>
      <c r="F1089" s="1">
        <v>45909</v>
      </c>
      <c r="G1089" t="s">
        <v>11</v>
      </c>
      <c r="H1089" t="s">
        <v>50</v>
      </c>
      <c r="I1089" s="13">
        <f>_xlfn.XLOOKUP(F1089,'Wk no''s'!B:B,'Wk no''s'!C:C,FALSE)</f>
        <v>37</v>
      </c>
      <c r="J1089" s="13">
        <f>IF(D1089="GBP",1,SUMIFS('Ex Rates'!I:I,'Ex Rates'!K:K,'Weekly Closed Proposal Requests'!L1089,'Ex Rates'!G:G,'Weekly Closed Proposal Requests'!D1089))</f>
        <v>0.48355899419729204</v>
      </c>
      <c r="K1089" s="13">
        <f t="shared" si="17"/>
        <v>12088.974854932301</v>
      </c>
      <c r="L1089" s="13" t="str">
        <f>_xlfn.XLOOKUP(I1089,'Wk no''s'!C:C,'Wk no''s'!E:E,0)</f>
        <v>Sep</v>
      </c>
    </row>
    <row r="1090" spans="1:12" x14ac:dyDescent="0.25">
      <c r="A1090" s="1">
        <v>45897</v>
      </c>
      <c r="B1090" t="s">
        <v>1704</v>
      </c>
      <c r="C1090" t="s">
        <v>1715</v>
      </c>
      <c r="D1090" t="s">
        <v>15</v>
      </c>
      <c r="E1090">
        <v>50000</v>
      </c>
      <c r="F1090" s="1">
        <v>45911</v>
      </c>
      <c r="G1090" t="s">
        <v>72</v>
      </c>
      <c r="H1090" t="s">
        <v>19</v>
      </c>
      <c r="I1090" s="13">
        <f>_xlfn.XLOOKUP(F1090,'Wk no''s'!B:B,'Wk no''s'!C:C,FALSE)</f>
        <v>37</v>
      </c>
      <c r="J1090" s="13">
        <f>IF(D1090="GBP",1,SUMIFS('Ex Rates'!I:I,'Ex Rates'!K:K,'Weekly Closed Proposal Requests'!L1090,'Ex Rates'!G:G,'Weekly Closed Proposal Requests'!D1090))</f>
        <v>1</v>
      </c>
      <c r="K1090" s="13">
        <f t="shared" si="17"/>
        <v>50000</v>
      </c>
      <c r="L1090" s="13" t="str">
        <f>_xlfn.XLOOKUP(I1090,'Wk no''s'!C:C,'Wk no''s'!E:E,0)</f>
        <v>Sep</v>
      </c>
    </row>
    <row r="1091" spans="1:12" x14ac:dyDescent="0.25">
      <c r="A1091" s="1">
        <v>45903</v>
      </c>
      <c r="B1091" t="s">
        <v>1705</v>
      </c>
      <c r="C1091" t="s">
        <v>1716</v>
      </c>
      <c r="D1091" t="s">
        <v>15</v>
      </c>
      <c r="E1091">
        <v>100000</v>
      </c>
      <c r="F1091" s="1">
        <v>45910</v>
      </c>
      <c r="G1091" t="s">
        <v>72</v>
      </c>
      <c r="H1091" t="s">
        <v>19</v>
      </c>
      <c r="I1091" s="13">
        <f>_xlfn.XLOOKUP(F1091,'Wk no''s'!B:B,'Wk no''s'!C:C,FALSE)</f>
        <v>37</v>
      </c>
      <c r="J1091" s="13">
        <f>IF(D1091="GBP",1,SUMIFS('Ex Rates'!I:I,'Ex Rates'!K:K,'Weekly Closed Proposal Requests'!L1091,'Ex Rates'!G:G,'Weekly Closed Proposal Requests'!D1091))</f>
        <v>1</v>
      </c>
      <c r="K1091" s="13">
        <f t="shared" si="17"/>
        <v>100000</v>
      </c>
      <c r="L1091" s="13" t="str">
        <f>_xlfn.XLOOKUP(I1091,'Wk no''s'!C:C,'Wk no''s'!E:E,0)</f>
        <v>Sep</v>
      </c>
    </row>
    <row r="1092" spans="1:12" x14ac:dyDescent="0.25">
      <c r="A1092" s="1">
        <v>45905</v>
      </c>
      <c r="B1092" t="s">
        <v>1702</v>
      </c>
      <c r="C1092" t="s">
        <v>1717</v>
      </c>
      <c r="D1092" t="s">
        <v>15</v>
      </c>
      <c r="E1092">
        <v>300000</v>
      </c>
      <c r="F1092" s="1">
        <v>45910</v>
      </c>
      <c r="G1092" t="s">
        <v>72</v>
      </c>
      <c r="H1092" t="s">
        <v>19</v>
      </c>
      <c r="I1092" s="13">
        <f>_xlfn.XLOOKUP(F1092,'Wk no''s'!B:B,'Wk no''s'!C:C,FALSE)</f>
        <v>37</v>
      </c>
      <c r="J1092" s="13">
        <f>IF(D1092="GBP",1,SUMIFS('Ex Rates'!I:I,'Ex Rates'!K:K,'Weekly Closed Proposal Requests'!L1092,'Ex Rates'!G:G,'Weekly Closed Proposal Requests'!D1092))</f>
        <v>1</v>
      </c>
      <c r="K1092" s="13">
        <f t="shared" si="17"/>
        <v>300000</v>
      </c>
      <c r="L1092" s="13" t="str">
        <f>_xlfn.XLOOKUP(I1092,'Wk no''s'!C:C,'Wk no''s'!E:E,0)</f>
        <v>Sep</v>
      </c>
    </row>
    <row r="1093" spans="1:12" x14ac:dyDescent="0.25">
      <c r="A1093" s="1">
        <v>45909</v>
      </c>
      <c r="B1093" t="s">
        <v>1706</v>
      </c>
      <c r="C1093" t="s">
        <v>84</v>
      </c>
      <c r="D1093" t="s">
        <v>15</v>
      </c>
      <c r="E1093">
        <v>15000</v>
      </c>
      <c r="F1093" s="1">
        <v>45910</v>
      </c>
      <c r="G1093" t="s">
        <v>72</v>
      </c>
      <c r="H1093" t="s">
        <v>19</v>
      </c>
      <c r="I1093" s="13">
        <f>_xlfn.XLOOKUP(F1093,'Wk no''s'!B:B,'Wk no''s'!C:C,FALSE)</f>
        <v>37</v>
      </c>
      <c r="J1093" s="13">
        <f>IF(D1093="GBP",1,SUMIFS('Ex Rates'!I:I,'Ex Rates'!K:K,'Weekly Closed Proposal Requests'!L1093,'Ex Rates'!G:G,'Weekly Closed Proposal Requests'!D1093))</f>
        <v>1</v>
      </c>
      <c r="K1093" s="13">
        <f t="shared" si="17"/>
        <v>15000</v>
      </c>
      <c r="L1093" s="13" t="str">
        <f>_xlfn.XLOOKUP(I1093,'Wk no''s'!C:C,'Wk no''s'!E:E,0)</f>
        <v>Sep</v>
      </c>
    </row>
    <row r="1094" spans="1:12" x14ac:dyDescent="0.25">
      <c r="A1094" s="1">
        <v>45908</v>
      </c>
      <c r="B1094" t="s">
        <v>1703</v>
      </c>
      <c r="C1094" t="s">
        <v>1718</v>
      </c>
      <c r="D1094" t="s">
        <v>15</v>
      </c>
      <c r="E1094">
        <v>30000</v>
      </c>
      <c r="F1094" s="1">
        <v>45912</v>
      </c>
      <c r="G1094" t="s">
        <v>72</v>
      </c>
      <c r="H1094" t="s">
        <v>50</v>
      </c>
      <c r="I1094" s="13">
        <f>_xlfn.XLOOKUP(F1094,'Wk no''s'!B:B,'Wk no''s'!C:C,FALSE)</f>
        <v>37</v>
      </c>
      <c r="J1094" s="13">
        <f>IF(D1094="GBP",1,SUMIFS('Ex Rates'!I:I,'Ex Rates'!K:K,'Weekly Closed Proposal Requests'!L1094,'Ex Rates'!G:G,'Weekly Closed Proposal Requests'!D1094))</f>
        <v>1</v>
      </c>
      <c r="K1094" s="13">
        <f t="shared" si="17"/>
        <v>30000</v>
      </c>
      <c r="L1094" s="13" t="str">
        <f>_xlfn.XLOOKUP(I1094,'Wk no''s'!C:C,'Wk no''s'!E:E,0)</f>
        <v>Sep</v>
      </c>
    </row>
    <row r="1095" spans="1:12" x14ac:dyDescent="0.25">
      <c r="A1095" s="1">
        <v>45908</v>
      </c>
      <c r="B1095" t="s">
        <v>1707</v>
      </c>
      <c r="C1095" t="s">
        <v>1719</v>
      </c>
      <c r="D1095" t="s">
        <v>15</v>
      </c>
      <c r="E1095">
        <v>500000</v>
      </c>
      <c r="F1095" s="1">
        <v>45910</v>
      </c>
      <c r="G1095" t="s">
        <v>645</v>
      </c>
      <c r="H1095" t="s">
        <v>19</v>
      </c>
      <c r="I1095" s="13">
        <f>_xlfn.XLOOKUP(F1095,'Wk no''s'!B:B,'Wk no''s'!C:C,FALSE)</f>
        <v>37</v>
      </c>
      <c r="J1095" s="13">
        <f>IF(D1095="GBP",1,SUMIFS('Ex Rates'!I:I,'Ex Rates'!K:K,'Weekly Closed Proposal Requests'!L1095,'Ex Rates'!G:G,'Weekly Closed Proposal Requests'!D1095))</f>
        <v>1</v>
      </c>
      <c r="K1095" s="13">
        <f t="shared" si="17"/>
        <v>500000</v>
      </c>
      <c r="L1095" s="13" t="str">
        <f>_xlfn.XLOOKUP(I1095,'Wk no''s'!C:C,'Wk no''s'!E:E,0)</f>
        <v>Sep</v>
      </c>
    </row>
    <row r="1096" spans="1:12" x14ac:dyDescent="0.25">
      <c r="A1096" s="1">
        <v>45891</v>
      </c>
      <c r="B1096" t="s">
        <v>1722</v>
      </c>
      <c r="C1096" t="s">
        <v>97</v>
      </c>
      <c r="D1096" t="s">
        <v>15</v>
      </c>
      <c r="E1096">
        <v>50000</v>
      </c>
      <c r="F1096" s="1">
        <v>45917</v>
      </c>
      <c r="G1096" t="s">
        <v>16</v>
      </c>
      <c r="H1096" t="s">
        <v>19</v>
      </c>
      <c r="I1096" s="13">
        <f>_xlfn.XLOOKUP(F1096,'Wk no''s'!B:B,'Wk no''s'!C:C,FALSE)</f>
        <v>38</v>
      </c>
      <c r="J1096" s="13">
        <f>IF(D1096="GBP",1,SUMIFS('Ex Rates'!I:I,'Ex Rates'!K:K,'Weekly Closed Proposal Requests'!L1096,'Ex Rates'!G:G,'Weekly Closed Proposal Requests'!D1096))</f>
        <v>1</v>
      </c>
      <c r="K1096" s="13">
        <f t="shared" si="17"/>
        <v>50000</v>
      </c>
      <c r="L1096" s="13" t="str">
        <f>_xlfn.XLOOKUP(I1096,'Wk no''s'!C:C,'Wk no''s'!E:E,0)</f>
        <v>Sep</v>
      </c>
    </row>
    <row r="1097" spans="1:12" x14ac:dyDescent="0.25">
      <c r="A1097" s="1">
        <v>45909</v>
      </c>
      <c r="B1097" t="s">
        <v>1723</v>
      </c>
      <c r="C1097" t="s">
        <v>1724</v>
      </c>
      <c r="D1097" t="s">
        <v>15</v>
      </c>
      <c r="E1097">
        <v>100000</v>
      </c>
      <c r="F1097" s="1">
        <v>45916</v>
      </c>
      <c r="G1097" t="s">
        <v>16</v>
      </c>
      <c r="H1097" t="s">
        <v>19</v>
      </c>
      <c r="I1097" s="13">
        <f>_xlfn.XLOOKUP(F1097,'Wk no''s'!B:B,'Wk no''s'!C:C,FALSE)</f>
        <v>38</v>
      </c>
      <c r="J1097" s="13">
        <f>IF(D1097="GBP",1,SUMIFS('Ex Rates'!I:I,'Ex Rates'!K:K,'Weekly Closed Proposal Requests'!L1097,'Ex Rates'!G:G,'Weekly Closed Proposal Requests'!D1097))</f>
        <v>1</v>
      </c>
      <c r="K1097" s="13">
        <f t="shared" si="17"/>
        <v>100000</v>
      </c>
      <c r="L1097" s="13" t="str">
        <f>_xlfn.XLOOKUP(I1097,'Wk no''s'!C:C,'Wk no''s'!E:E,0)</f>
        <v>Sep</v>
      </c>
    </row>
    <row r="1098" spans="1:12" x14ac:dyDescent="0.25">
      <c r="A1098" s="1">
        <v>45911</v>
      </c>
      <c r="B1098" t="s">
        <v>1725</v>
      </c>
      <c r="C1098" t="s">
        <v>1185</v>
      </c>
      <c r="D1098" t="s">
        <v>15</v>
      </c>
      <c r="E1098">
        <v>200000</v>
      </c>
      <c r="F1098" s="1">
        <v>45916</v>
      </c>
      <c r="G1098" t="s">
        <v>16</v>
      </c>
      <c r="H1098" t="s">
        <v>19</v>
      </c>
      <c r="I1098" s="13">
        <f>_xlfn.XLOOKUP(F1098,'Wk no''s'!B:B,'Wk no''s'!C:C,FALSE)</f>
        <v>38</v>
      </c>
      <c r="J1098" s="13">
        <f>IF(D1098="GBP",1,SUMIFS('Ex Rates'!I:I,'Ex Rates'!K:K,'Weekly Closed Proposal Requests'!L1098,'Ex Rates'!G:G,'Weekly Closed Proposal Requests'!D1098))</f>
        <v>1</v>
      </c>
      <c r="K1098" s="13">
        <f t="shared" si="17"/>
        <v>200000</v>
      </c>
      <c r="L1098" s="13" t="str">
        <f>_xlfn.XLOOKUP(I1098,'Wk no''s'!C:C,'Wk no''s'!E:E,0)</f>
        <v>Sep</v>
      </c>
    </row>
    <row r="1099" spans="1:12" x14ac:dyDescent="0.25">
      <c r="A1099" s="1">
        <v>45911</v>
      </c>
      <c r="B1099" t="s">
        <v>1726</v>
      </c>
      <c r="C1099" t="s">
        <v>1727</v>
      </c>
      <c r="D1099" t="s">
        <v>15</v>
      </c>
      <c r="E1099">
        <v>70000</v>
      </c>
      <c r="F1099" s="1">
        <v>45919</v>
      </c>
      <c r="G1099" t="s">
        <v>16</v>
      </c>
      <c r="H1099" t="s">
        <v>19</v>
      </c>
      <c r="I1099" s="13">
        <f>_xlfn.XLOOKUP(F1099,'Wk no''s'!B:B,'Wk no''s'!C:C,FALSE)</f>
        <v>38</v>
      </c>
      <c r="J1099" s="13">
        <f>IF(D1099="GBP",1,SUMIFS('Ex Rates'!I:I,'Ex Rates'!K:K,'Weekly Closed Proposal Requests'!L1099,'Ex Rates'!G:G,'Weekly Closed Proposal Requests'!D1099))</f>
        <v>1</v>
      </c>
      <c r="K1099" s="13">
        <f t="shared" si="17"/>
        <v>70000</v>
      </c>
      <c r="L1099" s="13" t="str">
        <f>_xlfn.XLOOKUP(I1099,'Wk no''s'!C:C,'Wk no''s'!E:E,0)</f>
        <v>Sep</v>
      </c>
    </row>
    <row r="1100" spans="1:12" x14ac:dyDescent="0.25">
      <c r="A1100" s="1">
        <v>45911</v>
      </c>
      <c r="B1100" t="s">
        <v>1728</v>
      </c>
      <c r="C1100" t="s">
        <v>1729</v>
      </c>
      <c r="D1100" t="s">
        <v>15</v>
      </c>
      <c r="E1100">
        <v>50000</v>
      </c>
      <c r="F1100" s="1">
        <v>45918</v>
      </c>
      <c r="G1100" t="s">
        <v>16</v>
      </c>
      <c r="H1100" t="s">
        <v>19</v>
      </c>
      <c r="I1100" s="13">
        <f>_xlfn.XLOOKUP(F1100,'Wk no''s'!B:B,'Wk no''s'!C:C,FALSE)</f>
        <v>38</v>
      </c>
      <c r="J1100" s="13">
        <f>IF(D1100="GBP",1,SUMIFS('Ex Rates'!I:I,'Ex Rates'!K:K,'Weekly Closed Proposal Requests'!L1100,'Ex Rates'!G:G,'Weekly Closed Proposal Requests'!D1100))</f>
        <v>1</v>
      </c>
      <c r="K1100" s="13">
        <f t="shared" si="17"/>
        <v>50000</v>
      </c>
      <c r="L1100" s="13" t="str">
        <f>_xlfn.XLOOKUP(I1100,'Wk no''s'!C:C,'Wk no''s'!E:E,0)</f>
        <v>Sep</v>
      </c>
    </row>
    <row r="1101" spans="1:12" x14ac:dyDescent="0.25">
      <c r="A1101" s="1">
        <v>45916</v>
      </c>
      <c r="B1101" t="s">
        <v>1730</v>
      </c>
      <c r="C1101" t="s">
        <v>1511</v>
      </c>
      <c r="D1101" t="s">
        <v>46</v>
      </c>
      <c r="E1101">
        <v>300000</v>
      </c>
      <c r="F1101" s="1">
        <v>45918</v>
      </c>
      <c r="G1101" t="s">
        <v>47</v>
      </c>
      <c r="H1101" t="s">
        <v>19</v>
      </c>
      <c r="I1101" s="13">
        <f>_xlfn.XLOOKUP(F1101,'Wk no''s'!B:B,'Wk no''s'!C:C,FALSE)</f>
        <v>38</v>
      </c>
      <c r="J1101" s="13">
        <f>IF(D1101="GBP",1,SUMIFS('Ex Rates'!I:I,'Ex Rates'!K:K,'Weekly Closed Proposal Requests'!L1101,'Ex Rates'!G:G,'Weekly Closed Proposal Requests'!D1101))</f>
        <v>0.73909830007390986</v>
      </c>
      <c r="K1101" s="13">
        <f t="shared" si="17"/>
        <v>221729.49002217295</v>
      </c>
      <c r="L1101" s="13" t="str">
        <f>_xlfn.XLOOKUP(I1101,'Wk no''s'!C:C,'Wk no''s'!E:E,0)</f>
        <v>Sep</v>
      </c>
    </row>
    <row r="1102" spans="1:12" x14ac:dyDescent="0.25">
      <c r="A1102" s="1">
        <v>45882</v>
      </c>
      <c r="B1102" t="s">
        <v>1731</v>
      </c>
      <c r="C1102" t="s">
        <v>1713</v>
      </c>
      <c r="D1102" t="s">
        <v>15</v>
      </c>
      <c r="E1102">
        <v>22860.26</v>
      </c>
      <c r="F1102" s="1">
        <v>45916</v>
      </c>
      <c r="G1102" t="s">
        <v>47</v>
      </c>
      <c r="H1102" t="s">
        <v>50</v>
      </c>
      <c r="I1102" s="13">
        <f>_xlfn.XLOOKUP(F1102,'Wk no''s'!B:B,'Wk no''s'!C:C,FALSE)</f>
        <v>38</v>
      </c>
      <c r="J1102" s="13">
        <f>IF(D1102="GBP",1,SUMIFS('Ex Rates'!I:I,'Ex Rates'!K:K,'Weekly Closed Proposal Requests'!L1102,'Ex Rates'!G:G,'Weekly Closed Proposal Requests'!D1102))</f>
        <v>1</v>
      </c>
      <c r="K1102" s="13">
        <f t="shared" si="17"/>
        <v>22860.26</v>
      </c>
      <c r="L1102" s="13" t="str">
        <f>_xlfn.XLOOKUP(I1102,'Wk no''s'!C:C,'Wk no''s'!E:E,0)</f>
        <v>Sep</v>
      </c>
    </row>
    <row r="1103" spans="1:12" x14ac:dyDescent="0.25">
      <c r="A1103" s="1">
        <v>45887</v>
      </c>
      <c r="B1103" t="s">
        <v>1732</v>
      </c>
      <c r="C1103" t="s">
        <v>1713</v>
      </c>
      <c r="D1103" t="s">
        <v>15</v>
      </c>
      <c r="E1103">
        <v>22860.26</v>
      </c>
      <c r="F1103" s="1">
        <v>45916</v>
      </c>
      <c r="G1103" t="s">
        <v>47</v>
      </c>
      <c r="H1103" t="s">
        <v>50</v>
      </c>
      <c r="I1103" s="13">
        <f>_xlfn.XLOOKUP(F1103,'Wk no''s'!B:B,'Wk no''s'!C:C,FALSE)</f>
        <v>38</v>
      </c>
      <c r="J1103" s="13">
        <f>IF(D1103="GBP",1,SUMIFS('Ex Rates'!I:I,'Ex Rates'!K:K,'Weekly Closed Proposal Requests'!L1103,'Ex Rates'!G:G,'Weekly Closed Proposal Requests'!D1103))</f>
        <v>1</v>
      </c>
      <c r="K1103" s="13">
        <f t="shared" si="17"/>
        <v>22860.26</v>
      </c>
      <c r="L1103" s="13" t="str">
        <f>_xlfn.XLOOKUP(I1103,'Wk no''s'!C:C,'Wk no''s'!E:E,0)</f>
        <v>Sep</v>
      </c>
    </row>
    <row r="1104" spans="1:12" x14ac:dyDescent="0.25">
      <c r="A1104" s="1">
        <v>45897</v>
      </c>
      <c r="B1104" t="s">
        <v>1733</v>
      </c>
      <c r="C1104" t="s">
        <v>325</v>
      </c>
      <c r="D1104" t="s">
        <v>46</v>
      </c>
      <c r="E1104">
        <v>10</v>
      </c>
      <c r="F1104" s="1">
        <v>45916</v>
      </c>
      <c r="G1104" t="s">
        <v>47</v>
      </c>
      <c r="H1104" t="s">
        <v>50</v>
      </c>
      <c r="I1104" s="13">
        <f>_xlfn.XLOOKUP(F1104,'Wk no''s'!B:B,'Wk no''s'!C:C,FALSE)</f>
        <v>38</v>
      </c>
      <c r="J1104" s="13">
        <f>IF(D1104="GBP",1,SUMIFS('Ex Rates'!I:I,'Ex Rates'!K:K,'Weekly Closed Proposal Requests'!L1104,'Ex Rates'!G:G,'Weekly Closed Proposal Requests'!D1104))</f>
        <v>0.73909830007390986</v>
      </c>
      <c r="K1104" s="13">
        <f t="shared" si="17"/>
        <v>7.3909830007390989</v>
      </c>
      <c r="L1104" s="13" t="str">
        <f>_xlfn.XLOOKUP(I1104,'Wk no''s'!C:C,'Wk no''s'!E:E,0)</f>
        <v>Sep</v>
      </c>
    </row>
    <row r="1105" spans="1:12" x14ac:dyDescent="0.25">
      <c r="A1105" s="1">
        <v>45905</v>
      </c>
      <c r="B1105" t="s">
        <v>1734</v>
      </c>
      <c r="C1105" t="s">
        <v>576</v>
      </c>
      <c r="D1105" t="s">
        <v>15</v>
      </c>
      <c r="E1105">
        <v>80278.11</v>
      </c>
      <c r="F1105" s="1">
        <v>45915</v>
      </c>
      <c r="G1105" t="s">
        <v>47</v>
      </c>
      <c r="H1105" t="s">
        <v>50</v>
      </c>
      <c r="I1105" s="13">
        <f>_xlfn.XLOOKUP(F1105,'Wk no''s'!B:B,'Wk no''s'!C:C,FALSE)</f>
        <v>38</v>
      </c>
      <c r="J1105" s="13">
        <f>IF(D1105="GBP",1,SUMIFS('Ex Rates'!I:I,'Ex Rates'!K:K,'Weekly Closed Proposal Requests'!L1105,'Ex Rates'!G:G,'Weekly Closed Proposal Requests'!D1105))</f>
        <v>1</v>
      </c>
      <c r="K1105" s="13">
        <f t="shared" si="17"/>
        <v>80278.11</v>
      </c>
      <c r="L1105" s="13" t="str">
        <f>_xlfn.XLOOKUP(I1105,'Wk no''s'!C:C,'Wk no''s'!E:E,0)</f>
        <v>Sep</v>
      </c>
    </row>
    <row r="1106" spans="1:12" x14ac:dyDescent="0.25">
      <c r="A1106" s="1">
        <v>45909</v>
      </c>
      <c r="B1106" t="s">
        <v>1735</v>
      </c>
      <c r="C1106" t="s">
        <v>1736</v>
      </c>
      <c r="D1106" t="s">
        <v>46</v>
      </c>
      <c r="E1106">
        <v>103633.44</v>
      </c>
      <c r="F1106" s="1">
        <v>45918</v>
      </c>
      <c r="G1106" t="s">
        <v>47</v>
      </c>
      <c r="H1106" t="s">
        <v>50</v>
      </c>
      <c r="I1106" s="13">
        <f>_xlfn.XLOOKUP(F1106,'Wk no''s'!B:B,'Wk no''s'!C:C,FALSE)</f>
        <v>38</v>
      </c>
      <c r="J1106" s="13">
        <f>IF(D1106="GBP",1,SUMIFS('Ex Rates'!I:I,'Ex Rates'!K:K,'Weekly Closed Proposal Requests'!L1106,'Ex Rates'!G:G,'Weekly Closed Proposal Requests'!D1106))</f>
        <v>0.73909830007390986</v>
      </c>
      <c r="K1106" s="13">
        <f t="shared" si="17"/>
        <v>76595.299334811541</v>
      </c>
      <c r="L1106" s="13" t="str">
        <f>_xlfn.XLOOKUP(I1106,'Wk no''s'!C:C,'Wk no''s'!E:E,0)</f>
        <v>Sep</v>
      </c>
    </row>
    <row r="1107" spans="1:12" x14ac:dyDescent="0.25">
      <c r="A1107" s="1">
        <v>45910</v>
      </c>
      <c r="B1107" t="s">
        <v>1737</v>
      </c>
      <c r="C1107" t="s">
        <v>679</v>
      </c>
      <c r="D1107" t="s">
        <v>46</v>
      </c>
      <c r="E1107">
        <v>15000</v>
      </c>
      <c r="F1107" s="1">
        <v>45916</v>
      </c>
      <c r="G1107" t="s">
        <v>47</v>
      </c>
      <c r="H1107" t="s">
        <v>50</v>
      </c>
      <c r="I1107" s="13">
        <f>_xlfn.XLOOKUP(F1107,'Wk no''s'!B:B,'Wk no''s'!C:C,FALSE)</f>
        <v>38</v>
      </c>
      <c r="J1107" s="13">
        <f>IF(D1107="GBP",1,SUMIFS('Ex Rates'!I:I,'Ex Rates'!K:K,'Weekly Closed Proposal Requests'!L1107,'Ex Rates'!G:G,'Weekly Closed Proposal Requests'!D1107))</f>
        <v>0.73909830007390986</v>
      </c>
      <c r="K1107" s="13">
        <f t="shared" si="17"/>
        <v>11086.474501108649</v>
      </c>
      <c r="L1107" s="13" t="str">
        <f>_xlfn.XLOOKUP(I1107,'Wk no''s'!C:C,'Wk no''s'!E:E,0)</f>
        <v>Sep</v>
      </c>
    </row>
    <row r="1108" spans="1:12" x14ac:dyDescent="0.25">
      <c r="A1108" s="1">
        <v>45915</v>
      </c>
      <c r="B1108" t="s">
        <v>1738</v>
      </c>
      <c r="C1108" t="s">
        <v>335</v>
      </c>
      <c r="D1108" t="s">
        <v>15</v>
      </c>
      <c r="E1108">
        <v>11692.07</v>
      </c>
      <c r="F1108" s="1">
        <v>45916</v>
      </c>
      <c r="G1108" t="s">
        <v>47</v>
      </c>
      <c r="H1108" t="s">
        <v>50</v>
      </c>
      <c r="I1108" s="13">
        <f>_xlfn.XLOOKUP(F1108,'Wk no''s'!B:B,'Wk no''s'!C:C,FALSE)</f>
        <v>38</v>
      </c>
      <c r="J1108" s="13">
        <f>IF(D1108="GBP",1,SUMIFS('Ex Rates'!I:I,'Ex Rates'!K:K,'Weekly Closed Proposal Requests'!L1108,'Ex Rates'!G:G,'Weekly Closed Proposal Requests'!D1108))</f>
        <v>1</v>
      </c>
      <c r="K1108" s="13">
        <f t="shared" si="17"/>
        <v>11692.07</v>
      </c>
      <c r="L1108" s="13" t="str">
        <f>_xlfn.XLOOKUP(I1108,'Wk no''s'!C:C,'Wk no''s'!E:E,0)</f>
        <v>Sep</v>
      </c>
    </row>
    <row r="1109" spans="1:12" x14ac:dyDescent="0.25">
      <c r="A1109" s="1">
        <v>45915</v>
      </c>
      <c r="B1109" t="s">
        <v>1739</v>
      </c>
      <c r="C1109" t="s">
        <v>576</v>
      </c>
      <c r="D1109" t="s">
        <v>15</v>
      </c>
      <c r="E1109">
        <v>80278.11</v>
      </c>
      <c r="F1109" s="1">
        <v>45918</v>
      </c>
      <c r="G1109" t="s">
        <v>47</v>
      </c>
      <c r="H1109" t="s">
        <v>50</v>
      </c>
      <c r="I1109" s="13">
        <f>_xlfn.XLOOKUP(F1109,'Wk no''s'!B:B,'Wk no''s'!C:C,FALSE)</f>
        <v>38</v>
      </c>
      <c r="J1109" s="13">
        <f>IF(D1109="GBP",1,SUMIFS('Ex Rates'!I:I,'Ex Rates'!K:K,'Weekly Closed Proposal Requests'!L1109,'Ex Rates'!G:G,'Weekly Closed Proposal Requests'!D1109))</f>
        <v>1</v>
      </c>
      <c r="K1109" s="13">
        <f t="shared" si="17"/>
        <v>80278.11</v>
      </c>
      <c r="L1109" s="13" t="str">
        <f>_xlfn.XLOOKUP(I1109,'Wk no''s'!C:C,'Wk no''s'!E:E,0)</f>
        <v>Sep</v>
      </c>
    </row>
    <row r="1110" spans="1:12" x14ac:dyDescent="0.25">
      <c r="A1110" s="1">
        <v>45898</v>
      </c>
      <c r="B1110" t="s">
        <v>1740</v>
      </c>
      <c r="C1110" t="s">
        <v>625</v>
      </c>
      <c r="D1110" t="s">
        <v>10</v>
      </c>
      <c r="E1110">
        <v>30000</v>
      </c>
      <c r="F1110" s="1">
        <v>45915</v>
      </c>
      <c r="G1110" t="s">
        <v>11</v>
      </c>
      <c r="H1110" t="s">
        <v>50</v>
      </c>
      <c r="I1110" s="13">
        <f>_xlfn.XLOOKUP(F1110,'Wk no''s'!B:B,'Wk no''s'!C:C,FALSE)</f>
        <v>38</v>
      </c>
      <c r="J1110" s="13">
        <f>IF(D1110="GBP",1,SUMIFS('Ex Rates'!I:I,'Ex Rates'!K:K,'Weekly Closed Proposal Requests'!L1110,'Ex Rates'!G:G,'Weekly Closed Proposal Requests'!D1110))</f>
        <v>0.48355899419729204</v>
      </c>
      <c r="K1110" s="13">
        <f t="shared" si="17"/>
        <v>14506.769825918762</v>
      </c>
      <c r="L1110" s="13" t="str">
        <f>_xlfn.XLOOKUP(I1110,'Wk no''s'!C:C,'Wk no''s'!E:E,0)</f>
        <v>Sep</v>
      </c>
    </row>
    <row r="1111" spans="1:12" x14ac:dyDescent="0.25">
      <c r="A1111" s="1">
        <v>45908</v>
      </c>
      <c r="B1111" t="s">
        <v>1741</v>
      </c>
      <c r="C1111" t="s">
        <v>1214</v>
      </c>
      <c r="D1111" t="s">
        <v>10</v>
      </c>
      <c r="E1111">
        <v>700000</v>
      </c>
      <c r="F1111" s="1">
        <v>45915</v>
      </c>
      <c r="G1111" t="s">
        <v>11</v>
      </c>
      <c r="H1111" t="s">
        <v>50</v>
      </c>
      <c r="I1111" s="13">
        <f>_xlfn.XLOOKUP(F1111,'Wk no''s'!B:B,'Wk no''s'!C:C,FALSE)</f>
        <v>38</v>
      </c>
      <c r="J1111" s="13">
        <f>IF(D1111="GBP",1,SUMIFS('Ex Rates'!I:I,'Ex Rates'!K:K,'Weekly Closed Proposal Requests'!L1111,'Ex Rates'!G:G,'Weekly Closed Proposal Requests'!D1111))</f>
        <v>0.48355899419729204</v>
      </c>
      <c r="K1111" s="13">
        <f t="shared" ref="K1111:K1173" si="18">+E1111*J1111</f>
        <v>338491.29593810445</v>
      </c>
      <c r="L1111" s="13" t="str">
        <f>_xlfn.XLOOKUP(I1111,'Wk no''s'!C:C,'Wk no''s'!E:E,0)</f>
        <v>Sep</v>
      </c>
    </row>
    <row r="1112" spans="1:12" x14ac:dyDescent="0.25">
      <c r="A1112" s="1">
        <v>45910</v>
      </c>
      <c r="B1112" t="s">
        <v>1742</v>
      </c>
      <c r="C1112" t="s">
        <v>179</v>
      </c>
      <c r="D1112" t="s">
        <v>10</v>
      </c>
      <c r="E1112">
        <v>1000000</v>
      </c>
      <c r="F1112" s="1">
        <v>45916</v>
      </c>
      <c r="G1112" t="s">
        <v>11</v>
      </c>
      <c r="H1112" t="s">
        <v>50</v>
      </c>
      <c r="I1112" s="13">
        <f>_xlfn.XLOOKUP(F1112,'Wk no''s'!B:B,'Wk no''s'!C:C,FALSE)</f>
        <v>38</v>
      </c>
      <c r="J1112" s="13">
        <f>IF(D1112="GBP",1,SUMIFS('Ex Rates'!I:I,'Ex Rates'!K:K,'Weekly Closed Proposal Requests'!L1112,'Ex Rates'!G:G,'Weekly Closed Proposal Requests'!D1112))</f>
        <v>0.48355899419729204</v>
      </c>
      <c r="K1112" s="13">
        <f t="shared" si="18"/>
        <v>483558.99419729202</v>
      </c>
      <c r="L1112" s="13" t="str">
        <f>_xlfn.XLOOKUP(I1112,'Wk no''s'!C:C,'Wk no''s'!E:E,0)</f>
        <v>Sep</v>
      </c>
    </row>
    <row r="1113" spans="1:12" x14ac:dyDescent="0.25">
      <c r="A1113" s="1">
        <v>45911</v>
      </c>
      <c r="B1113" t="s">
        <v>1743</v>
      </c>
      <c r="C1113" t="s">
        <v>1663</v>
      </c>
      <c r="D1113" t="s">
        <v>10</v>
      </c>
      <c r="E1113">
        <v>30000</v>
      </c>
      <c r="F1113" s="1">
        <v>45915</v>
      </c>
      <c r="G1113" t="s">
        <v>11</v>
      </c>
      <c r="H1113" t="s">
        <v>50</v>
      </c>
      <c r="I1113" s="13">
        <f>_xlfn.XLOOKUP(F1113,'Wk no''s'!B:B,'Wk no''s'!C:C,FALSE)</f>
        <v>38</v>
      </c>
      <c r="J1113" s="13">
        <f>IF(D1113="GBP",1,SUMIFS('Ex Rates'!I:I,'Ex Rates'!K:K,'Weekly Closed Proposal Requests'!L1113,'Ex Rates'!G:G,'Weekly Closed Proposal Requests'!D1113))</f>
        <v>0.48355899419729204</v>
      </c>
      <c r="K1113" s="13">
        <f t="shared" si="18"/>
        <v>14506.769825918762</v>
      </c>
      <c r="L1113" s="13" t="str">
        <f>_xlfn.XLOOKUP(I1113,'Wk no''s'!C:C,'Wk no''s'!E:E,0)</f>
        <v>Sep</v>
      </c>
    </row>
    <row r="1114" spans="1:12" x14ac:dyDescent="0.25">
      <c r="A1114" s="1">
        <v>45916</v>
      </c>
      <c r="B1114" t="s">
        <v>1744</v>
      </c>
      <c r="C1114" t="s">
        <v>179</v>
      </c>
      <c r="D1114" t="s">
        <v>10</v>
      </c>
      <c r="E1114">
        <v>1000000</v>
      </c>
      <c r="F1114" s="1">
        <v>45917</v>
      </c>
      <c r="G1114" t="s">
        <v>11</v>
      </c>
      <c r="H1114" t="s">
        <v>50</v>
      </c>
      <c r="I1114" s="13">
        <f>_xlfn.XLOOKUP(F1114,'Wk no''s'!B:B,'Wk no''s'!C:C,FALSE)</f>
        <v>38</v>
      </c>
      <c r="J1114" s="13">
        <f>IF(D1114="GBP",1,SUMIFS('Ex Rates'!I:I,'Ex Rates'!K:K,'Weekly Closed Proposal Requests'!L1114,'Ex Rates'!G:G,'Weekly Closed Proposal Requests'!D1114))</f>
        <v>0.48355899419729204</v>
      </c>
      <c r="K1114" s="13">
        <f t="shared" si="18"/>
        <v>483558.99419729202</v>
      </c>
      <c r="L1114" s="13" t="str">
        <f>_xlfn.XLOOKUP(I1114,'Wk no''s'!C:C,'Wk no''s'!E:E,0)</f>
        <v>Sep</v>
      </c>
    </row>
    <row r="1115" spans="1:12" x14ac:dyDescent="0.25">
      <c r="A1115" s="1">
        <v>45915</v>
      </c>
      <c r="B1115" t="s">
        <v>1745</v>
      </c>
      <c r="C1115" t="s">
        <v>1679</v>
      </c>
      <c r="D1115" t="s">
        <v>15</v>
      </c>
      <c r="E1115">
        <v>33000</v>
      </c>
      <c r="F1115" s="1">
        <v>45918</v>
      </c>
      <c r="G1115" t="s">
        <v>1148</v>
      </c>
      <c r="H1115" t="s">
        <v>19</v>
      </c>
      <c r="I1115" s="13">
        <f>_xlfn.XLOOKUP(F1115,'Wk no''s'!B:B,'Wk no''s'!C:C,FALSE)</f>
        <v>38</v>
      </c>
      <c r="J1115" s="13">
        <f>IF(D1115="GBP",1,SUMIFS('Ex Rates'!I:I,'Ex Rates'!K:K,'Weekly Closed Proposal Requests'!L1115,'Ex Rates'!G:G,'Weekly Closed Proposal Requests'!D1115))</f>
        <v>1</v>
      </c>
      <c r="K1115" s="13">
        <f t="shared" si="18"/>
        <v>33000</v>
      </c>
      <c r="L1115" s="13" t="str">
        <f>_xlfn.XLOOKUP(I1115,'Wk no''s'!C:C,'Wk no''s'!E:E,0)</f>
        <v>Sep</v>
      </c>
    </row>
    <row r="1116" spans="1:12" x14ac:dyDescent="0.25">
      <c r="A1116" s="1">
        <v>45917</v>
      </c>
      <c r="B1116" t="s">
        <v>1746</v>
      </c>
      <c r="C1116" t="s">
        <v>1747</v>
      </c>
      <c r="D1116" t="s">
        <v>15</v>
      </c>
      <c r="E1116">
        <v>100000</v>
      </c>
      <c r="F1116" s="1">
        <v>45918</v>
      </c>
      <c r="G1116" t="s">
        <v>1148</v>
      </c>
      <c r="H1116" t="s">
        <v>19</v>
      </c>
      <c r="I1116" s="13">
        <f>_xlfn.XLOOKUP(F1116,'Wk no''s'!B:B,'Wk no''s'!C:C,FALSE)</f>
        <v>38</v>
      </c>
      <c r="J1116" s="13">
        <f>IF(D1116="GBP",1,SUMIFS('Ex Rates'!I:I,'Ex Rates'!K:K,'Weekly Closed Proposal Requests'!L1116,'Ex Rates'!G:G,'Weekly Closed Proposal Requests'!D1116))</f>
        <v>1</v>
      </c>
      <c r="K1116" s="13">
        <f t="shared" si="18"/>
        <v>100000</v>
      </c>
      <c r="L1116" s="13" t="str">
        <f>_xlfn.XLOOKUP(I1116,'Wk no''s'!C:C,'Wk no''s'!E:E,0)</f>
        <v>Sep</v>
      </c>
    </row>
    <row r="1117" spans="1:12" x14ac:dyDescent="0.25">
      <c r="A1117" s="1">
        <v>45908</v>
      </c>
      <c r="B1117" t="s">
        <v>1748</v>
      </c>
      <c r="C1117" t="s">
        <v>1150</v>
      </c>
      <c r="D1117" t="s">
        <v>15</v>
      </c>
      <c r="E1117">
        <v>100000</v>
      </c>
      <c r="F1117" s="1">
        <v>45915</v>
      </c>
      <c r="G1117" t="s">
        <v>72</v>
      </c>
      <c r="H1117" t="s">
        <v>19</v>
      </c>
      <c r="I1117" s="13">
        <f>_xlfn.XLOOKUP(F1117,'Wk no''s'!B:B,'Wk no''s'!C:C,FALSE)</f>
        <v>38</v>
      </c>
      <c r="J1117" s="13">
        <f>IF(D1117="GBP",1,SUMIFS('Ex Rates'!I:I,'Ex Rates'!K:K,'Weekly Closed Proposal Requests'!L1117,'Ex Rates'!G:G,'Weekly Closed Proposal Requests'!D1117))</f>
        <v>1</v>
      </c>
      <c r="K1117" s="13">
        <f t="shared" si="18"/>
        <v>100000</v>
      </c>
      <c r="L1117" s="13" t="str">
        <f>_xlfn.XLOOKUP(I1117,'Wk no''s'!C:C,'Wk no''s'!E:E,0)</f>
        <v>Sep</v>
      </c>
    </row>
    <row r="1118" spans="1:12" x14ac:dyDescent="0.25">
      <c r="A1118" s="1">
        <v>45915</v>
      </c>
      <c r="B1118" t="s">
        <v>1749</v>
      </c>
      <c r="C1118" t="s">
        <v>1750</v>
      </c>
      <c r="D1118" t="s">
        <v>15</v>
      </c>
      <c r="E1118">
        <v>500000</v>
      </c>
      <c r="F1118" s="1">
        <v>45917</v>
      </c>
      <c r="G1118" t="s">
        <v>72</v>
      </c>
      <c r="H1118" t="s">
        <v>19</v>
      </c>
      <c r="I1118" s="13">
        <f>_xlfn.XLOOKUP(F1118,'Wk no''s'!B:B,'Wk no''s'!C:C,FALSE)</f>
        <v>38</v>
      </c>
      <c r="J1118" s="13">
        <f>IF(D1118="GBP",1,SUMIFS('Ex Rates'!I:I,'Ex Rates'!K:K,'Weekly Closed Proposal Requests'!L1118,'Ex Rates'!G:G,'Weekly Closed Proposal Requests'!D1118))</f>
        <v>1</v>
      </c>
      <c r="K1118" s="13">
        <f t="shared" si="18"/>
        <v>500000</v>
      </c>
      <c r="L1118" s="13" t="str">
        <f>_xlfn.XLOOKUP(I1118,'Wk no''s'!C:C,'Wk no''s'!E:E,0)</f>
        <v>Sep</v>
      </c>
    </row>
    <row r="1119" spans="1:12" x14ac:dyDescent="0.25">
      <c r="A1119" s="1">
        <v>45910</v>
      </c>
      <c r="B1119" t="s">
        <v>1751</v>
      </c>
      <c r="C1119" t="s">
        <v>536</v>
      </c>
      <c r="D1119" t="s">
        <v>15</v>
      </c>
      <c r="E1119">
        <v>30000</v>
      </c>
      <c r="F1119" s="1">
        <v>45915</v>
      </c>
      <c r="G1119" t="s">
        <v>72</v>
      </c>
      <c r="H1119" t="s">
        <v>50</v>
      </c>
      <c r="I1119" s="13">
        <f>_xlfn.XLOOKUP(F1119,'Wk no''s'!B:B,'Wk no''s'!C:C,FALSE)</f>
        <v>38</v>
      </c>
      <c r="J1119" s="13">
        <f>IF(D1119="GBP",1,SUMIFS('Ex Rates'!I:I,'Ex Rates'!K:K,'Weekly Closed Proposal Requests'!L1119,'Ex Rates'!G:G,'Weekly Closed Proposal Requests'!D1119))</f>
        <v>1</v>
      </c>
      <c r="K1119" s="13">
        <f t="shared" si="18"/>
        <v>30000</v>
      </c>
      <c r="L1119" s="13" t="str">
        <f>_xlfn.XLOOKUP(I1119,'Wk no''s'!C:C,'Wk no''s'!E:E,0)</f>
        <v>Sep</v>
      </c>
    </row>
    <row r="1120" spans="1:12" x14ac:dyDescent="0.25">
      <c r="A1120" s="1">
        <v>45912</v>
      </c>
      <c r="B1120" t="s">
        <v>1756</v>
      </c>
      <c r="C1120" t="s">
        <v>1774</v>
      </c>
      <c r="D1120" t="s">
        <v>15</v>
      </c>
      <c r="E1120">
        <v>100000</v>
      </c>
      <c r="F1120" s="1">
        <v>45922</v>
      </c>
      <c r="G1120" t="s">
        <v>16</v>
      </c>
      <c r="H1120" t="s">
        <v>281</v>
      </c>
      <c r="I1120" s="13">
        <f>_xlfn.XLOOKUP(F1120,'Wk no''s'!B:B,'Wk no''s'!C:C,FALSE)</f>
        <v>39</v>
      </c>
      <c r="J1120" s="13">
        <f>IF(D1120="GBP",1,SUMIFS('Ex Rates'!I:I,'Ex Rates'!K:K,'Weekly Closed Proposal Requests'!L1120,'Ex Rates'!G:G,'Weekly Closed Proposal Requests'!D1120))</f>
        <v>1</v>
      </c>
      <c r="K1120" s="13">
        <f t="shared" si="18"/>
        <v>100000</v>
      </c>
      <c r="L1120" s="13" t="str">
        <f>_xlfn.XLOOKUP(I1120,'Wk no''s'!C:C,'Wk no''s'!E:E,0)</f>
        <v>Sep</v>
      </c>
    </row>
    <row r="1121" spans="1:12" x14ac:dyDescent="0.25">
      <c r="A1121" s="1">
        <v>45895</v>
      </c>
      <c r="B1121" t="s">
        <v>1720</v>
      </c>
      <c r="C1121" t="s">
        <v>1721</v>
      </c>
      <c r="D1121" t="s">
        <v>15</v>
      </c>
      <c r="E1121">
        <v>100000</v>
      </c>
      <c r="F1121" s="1">
        <v>45922</v>
      </c>
      <c r="G1121" t="s">
        <v>16</v>
      </c>
      <c r="H1121" t="s">
        <v>19</v>
      </c>
      <c r="I1121" s="13">
        <f>_xlfn.XLOOKUP(F1121,'Wk no''s'!B:B,'Wk no''s'!C:C,FALSE)</f>
        <v>39</v>
      </c>
      <c r="J1121" s="13">
        <f>IF(D1121="GBP",1,SUMIFS('Ex Rates'!I:I,'Ex Rates'!K:K,'Weekly Closed Proposal Requests'!L1121,'Ex Rates'!G:G,'Weekly Closed Proposal Requests'!D1121))</f>
        <v>1</v>
      </c>
      <c r="K1121" s="13">
        <f t="shared" si="18"/>
        <v>100000</v>
      </c>
      <c r="L1121" s="13" t="str">
        <f>_xlfn.XLOOKUP(I1121,'Wk no''s'!C:C,'Wk no''s'!E:E,0)</f>
        <v>Sep</v>
      </c>
    </row>
    <row r="1122" spans="1:12" x14ac:dyDescent="0.25">
      <c r="A1122" s="1">
        <v>45898</v>
      </c>
      <c r="B1122" t="s">
        <v>1754</v>
      </c>
      <c r="C1122" t="s">
        <v>1184</v>
      </c>
      <c r="D1122" t="s">
        <v>15</v>
      </c>
      <c r="E1122">
        <v>220000</v>
      </c>
      <c r="F1122" s="1">
        <v>45922</v>
      </c>
      <c r="G1122" t="s">
        <v>16</v>
      </c>
      <c r="H1122" t="s">
        <v>19</v>
      </c>
      <c r="I1122" s="13">
        <f>_xlfn.XLOOKUP(F1122,'Wk no''s'!B:B,'Wk no''s'!C:C,FALSE)</f>
        <v>39</v>
      </c>
      <c r="J1122" s="13">
        <f>IF(D1122="GBP",1,SUMIFS('Ex Rates'!I:I,'Ex Rates'!K:K,'Weekly Closed Proposal Requests'!L1122,'Ex Rates'!G:G,'Weekly Closed Proposal Requests'!D1122))</f>
        <v>1</v>
      </c>
      <c r="K1122" s="13">
        <f t="shared" si="18"/>
        <v>220000</v>
      </c>
      <c r="L1122" s="13" t="str">
        <f>_xlfn.XLOOKUP(I1122,'Wk no''s'!C:C,'Wk no''s'!E:E,0)</f>
        <v>Sep</v>
      </c>
    </row>
    <row r="1123" spans="1:12" x14ac:dyDescent="0.25">
      <c r="A1123" s="1">
        <v>45910</v>
      </c>
      <c r="B1123" t="s">
        <v>1755</v>
      </c>
      <c r="C1123" t="s">
        <v>1775</v>
      </c>
      <c r="D1123" t="s">
        <v>15</v>
      </c>
      <c r="E1123">
        <v>0</v>
      </c>
      <c r="F1123" s="1">
        <v>45923</v>
      </c>
      <c r="G1123" t="s">
        <v>16</v>
      </c>
      <c r="H1123" t="s">
        <v>19</v>
      </c>
      <c r="I1123" s="13">
        <f>_xlfn.XLOOKUP(F1123,'Wk no''s'!B:B,'Wk no''s'!C:C,FALSE)</f>
        <v>39</v>
      </c>
      <c r="J1123" s="13">
        <f>IF(D1123="GBP",1,SUMIFS('Ex Rates'!I:I,'Ex Rates'!K:K,'Weekly Closed Proposal Requests'!L1123,'Ex Rates'!G:G,'Weekly Closed Proposal Requests'!D1123))</f>
        <v>1</v>
      </c>
      <c r="K1123" s="13">
        <f t="shared" si="18"/>
        <v>0</v>
      </c>
      <c r="L1123" s="13" t="str">
        <f>_xlfn.XLOOKUP(I1123,'Wk no''s'!C:C,'Wk no''s'!E:E,0)</f>
        <v>Sep</v>
      </c>
    </row>
    <row r="1124" spans="1:12" x14ac:dyDescent="0.25">
      <c r="A1124" s="1">
        <v>45910</v>
      </c>
      <c r="B1124" t="s">
        <v>1752</v>
      </c>
      <c r="C1124" t="s">
        <v>1475</v>
      </c>
      <c r="D1124" t="s">
        <v>15</v>
      </c>
      <c r="E1124">
        <v>442857.58</v>
      </c>
      <c r="F1124" s="1">
        <v>45926</v>
      </c>
      <c r="G1124" t="s">
        <v>16</v>
      </c>
      <c r="H1124" t="s">
        <v>19</v>
      </c>
      <c r="I1124" s="13">
        <f>_xlfn.XLOOKUP(F1124,'Wk no''s'!B:B,'Wk no''s'!C:C,FALSE)</f>
        <v>39</v>
      </c>
      <c r="J1124" s="13">
        <f>IF(D1124="GBP",1,SUMIFS('Ex Rates'!I:I,'Ex Rates'!K:K,'Weekly Closed Proposal Requests'!L1124,'Ex Rates'!G:G,'Weekly Closed Proposal Requests'!D1124))</f>
        <v>1</v>
      </c>
      <c r="K1124" s="13">
        <f t="shared" si="18"/>
        <v>442857.58</v>
      </c>
      <c r="L1124" s="13" t="str">
        <f>_xlfn.XLOOKUP(I1124,'Wk no''s'!C:C,'Wk no''s'!E:E,0)</f>
        <v>Sep</v>
      </c>
    </row>
    <row r="1125" spans="1:12" x14ac:dyDescent="0.25">
      <c r="A1125" s="1">
        <v>45916</v>
      </c>
      <c r="B1125" t="s">
        <v>1757</v>
      </c>
      <c r="C1125" t="s">
        <v>1651</v>
      </c>
      <c r="D1125" t="s">
        <v>15</v>
      </c>
      <c r="E1125">
        <v>10000</v>
      </c>
      <c r="F1125" s="1">
        <v>45926</v>
      </c>
      <c r="G1125" t="s">
        <v>16</v>
      </c>
      <c r="H1125" t="s">
        <v>19</v>
      </c>
      <c r="I1125" s="13">
        <f>_xlfn.XLOOKUP(F1125,'Wk no''s'!B:B,'Wk no''s'!C:C,FALSE)</f>
        <v>39</v>
      </c>
      <c r="J1125" s="13">
        <f>IF(D1125="GBP",1,SUMIFS('Ex Rates'!I:I,'Ex Rates'!K:K,'Weekly Closed Proposal Requests'!L1125,'Ex Rates'!G:G,'Weekly Closed Proposal Requests'!D1125))</f>
        <v>1</v>
      </c>
      <c r="K1125" s="13">
        <f t="shared" si="18"/>
        <v>10000</v>
      </c>
      <c r="L1125" s="13" t="str">
        <f>_xlfn.XLOOKUP(I1125,'Wk no''s'!C:C,'Wk no''s'!E:E,0)</f>
        <v>Sep</v>
      </c>
    </row>
    <row r="1126" spans="1:12" x14ac:dyDescent="0.25">
      <c r="A1126" s="1">
        <v>45918</v>
      </c>
      <c r="B1126" t="s">
        <v>1753</v>
      </c>
      <c r="C1126" t="s">
        <v>1217</v>
      </c>
      <c r="D1126" t="s">
        <v>15</v>
      </c>
      <c r="E1126">
        <v>764000</v>
      </c>
      <c r="F1126" s="1">
        <v>45923</v>
      </c>
      <c r="G1126" t="s">
        <v>16</v>
      </c>
      <c r="H1126" t="s">
        <v>19</v>
      </c>
      <c r="I1126" s="13">
        <f>_xlfn.XLOOKUP(F1126,'Wk no''s'!B:B,'Wk no''s'!C:C,FALSE)</f>
        <v>39</v>
      </c>
      <c r="J1126" s="13">
        <f>IF(D1126="GBP",1,SUMIFS('Ex Rates'!I:I,'Ex Rates'!K:K,'Weekly Closed Proposal Requests'!L1126,'Ex Rates'!G:G,'Weekly Closed Proposal Requests'!D1126))</f>
        <v>1</v>
      </c>
      <c r="K1126" s="13">
        <f t="shared" si="18"/>
        <v>764000</v>
      </c>
      <c r="L1126" s="13" t="str">
        <f>_xlfn.XLOOKUP(I1126,'Wk no''s'!C:C,'Wk no''s'!E:E,0)</f>
        <v>Sep</v>
      </c>
    </row>
    <row r="1127" spans="1:12" x14ac:dyDescent="0.25">
      <c r="A1127" s="1">
        <v>45918</v>
      </c>
      <c r="B1127" t="s">
        <v>1758</v>
      </c>
      <c r="C1127" t="s">
        <v>697</v>
      </c>
      <c r="D1127" t="s">
        <v>15</v>
      </c>
      <c r="E1127">
        <v>150000</v>
      </c>
      <c r="F1127" s="1">
        <v>45926</v>
      </c>
      <c r="G1127" t="s">
        <v>16</v>
      </c>
      <c r="H1127" t="s">
        <v>19</v>
      </c>
      <c r="I1127" s="13">
        <f>_xlfn.XLOOKUP(F1127,'Wk no''s'!B:B,'Wk no''s'!C:C,FALSE)</f>
        <v>39</v>
      </c>
      <c r="J1127" s="13">
        <f>IF(D1127="GBP",1,SUMIFS('Ex Rates'!I:I,'Ex Rates'!K:K,'Weekly Closed Proposal Requests'!L1127,'Ex Rates'!G:G,'Weekly Closed Proposal Requests'!D1127))</f>
        <v>1</v>
      </c>
      <c r="K1127" s="13">
        <f t="shared" si="18"/>
        <v>150000</v>
      </c>
      <c r="L1127" s="13" t="str">
        <f>_xlfn.XLOOKUP(I1127,'Wk no''s'!C:C,'Wk no''s'!E:E,0)</f>
        <v>Sep</v>
      </c>
    </row>
    <row r="1128" spans="1:12" x14ac:dyDescent="0.25">
      <c r="A1128" s="1">
        <v>45919</v>
      </c>
      <c r="B1128" t="s">
        <v>1759</v>
      </c>
      <c r="C1128" t="s">
        <v>1776</v>
      </c>
      <c r="D1128" t="s">
        <v>15</v>
      </c>
      <c r="E1128">
        <v>250000</v>
      </c>
      <c r="F1128" s="1">
        <v>45925</v>
      </c>
      <c r="G1128" t="s">
        <v>16</v>
      </c>
      <c r="H1128" t="s">
        <v>19</v>
      </c>
      <c r="I1128" s="13">
        <f>_xlfn.XLOOKUP(F1128,'Wk no''s'!B:B,'Wk no''s'!C:C,FALSE)</f>
        <v>39</v>
      </c>
      <c r="J1128" s="13">
        <f>IF(D1128="GBP",1,SUMIFS('Ex Rates'!I:I,'Ex Rates'!K:K,'Weekly Closed Proposal Requests'!L1128,'Ex Rates'!G:G,'Weekly Closed Proposal Requests'!D1128))</f>
        <v>1</v>
      </c>
      <c r="K1128" s="13">
        <f t="shared" si="18"/>
        <v>250000</v>
      </c>
      <c r="L1128" s="13" t="str">
        <f>_xlfn.XLOOKUP(I1128,'Wk no''s'!C:C,'Wk no''s'!E:E,0)</f>
        <v>Sep</v>
      </c>
    </row>
    <row r="1129" spans="1:12" x14ac:dyDescent="0.25">
      <c r="A1129" s="1">
        <v>45919</v>
      </c>
      <c r="B1129" t="s">
        <v>1760</v>
      </c>
      <c r="C1129" t="s">
        <v>320</v>
      </c>
      <c r="D1129" t="s">
        <v>15</v>
      </c>
      <c r="E1129">
        <v>150000</v>
      </c>
      <c r="F1129" s="1">
        <v>45926</v>
      </c>
      <c r="G1129" t="s">
        <v>41</v>
      </c>
      <c r="H1129" t="s">
        <v>50</v>
      </c>
      <c r="I1129" s="13">
        <f>_xlfn.XLOOKUP(F1129,'Wk no''s'!B:B,'Wk no''s'!C:C,FALSE)</f>
        <v>39</v>
      </c>
      <c r="J1129" s="13">
        <f>IF(D1129="GBP",1,SUMIFS('Ex Rates'!I:I,'Ex Rates'!K:K,'Weekly Closed Proposal Requests'!L1129,'Ex Rates'!G:G,'Weekly Closed Proposal Requests'!D1129))</f>
        <v>1</v>
      </c>
      <c r="K1129" s="13">
        <f t="shared" si="18"/>
        <v>150000</v>
      </c>
      <c r="L1129" s="13" t="str">
        <f>_xlfn.XLOOKUP(I1129,'Wk no''s'!C:C,'Wk no''s'!E:E,0)</f>
        <v>Sep</v>
      </c>
    </row>
    <row r="1130" spans="1:12" x14ac:dyDescent="0.25">
      <c r="A1130" s="1">
        <v>45916</v>
      </c>
      <c r="B1130" t="s">
        <v>1763</v>
      </c>
      <c r="C1130" t="s">
        <v>1777</v>
      </c>
      <c r="D1130" t="s">
        <v>46</v>
      </c>
      <c r="E1130">
        <v>100000</v>
      </c>
      <c r="F1130" s="1">
        <v>45926</v>
      </c>
      <c r="G1130" t="s">
        <v>47</v>
      </c>
      <c r="H1130" t="s">
        <v>19</v>
      </c>
      <c r="I1130" s="13">
        <f>_xlfn.XLOOKUP(F1130,'Wk no''s'!B:B,'Wk no''s'!C:C,FALSE)</f>
        <v>39</v>
      </c>
      <c r="J1130" s="13">
        <f>IF(D1130="GBP",1,SUMIFS('Ex Rates'!I:I,'Ex Rates'!K:K,'Weekly Closed Proposal Requests'!L1130,'Ex Rates'!G:G,'Weekly Closed Proposal Requests'!D1130))</f>
        <v>0.73909830007390986</v>
      </c>
      <c r="K1130" s="13">
        <f t="shared" si="18"/>
        <v>73909.830007390992</v>
      </c>
      <c r="L1130" s="13" t="str">
        <f>_xlfn.XLOOKUP(I1130,'Wk no''s'!C:C,'Wk no''s'!E:E,0)</f>
        <v>Sep</v>
      </c>
    </row>
    <row r="1131" spans="1:12" x14ac:dyDescent="0.25">
      <c r="A1131" s="1">
        <v>45896</v>
      </c>
      <c r="B1131" t="s">
        <v>1778</v>
      </c>
      <c r="C1131" t="s">
        <v>1262</v>
      </c>
      <c r="D1131" t="s">
        <v>15</v>
      </c>
      <c r="E1131">
        <v>63838.79</v>
      </c>
      <c r="F1131" s="1">
        <v>45927</v>
      </c>
      <c r="G1131" t="s">
        <v>47</v>
      </c>
      <c r="H1131" t="s">
        <v>50</v>
      </c>
      <c r="I1131" s="13">
        <f>_xlfn.XLOOKUP(F1131,'Wk no''s'!B:B,'Wk no''s'!C:C,FALSE)</f>
        <v>40</v>
      </c>
      <c r="J1131" s="13">
        <f>IF(D1131="GBP",1,SUMIFS('Ex Rates'!I:I,'Ex Rates'!K:K,'Weekly Closed Proposal Requests'!L1131,'Ex Rates'!G:G,'Weekly Closed Proposal Requests'!D1131))</f>
        <v>1</v>
      </c>
      <c r="K1131" s="13">
        <f t="shared" si="18"/>
        <v>63838.79</v>
      </c>
      <c r="L1131" s="13" t="str">
        <f>_xlfn.XLOOKUP(I1131,'Wk no''s'!C:C,'Wk no''s'!E:E,0)</f>
        <v>Sep</v>
      </c>
    </row>
    <row r="1132" spans="1:12" x14ac:dyDescent="0.25">
      <c r="A1132" s="1">
        <v>45909</v>
      </c>
      <c r="B1132" t="s">
        <v>1761</v>
      </c>
      <c r="C1132" t="s">
        <v>1072</v>
      </c>
      <c r="D1132" t="s">
        <v>15</v>
      </c>
      <c r="E1132">
        <v>46000</v>
      </c>
      <c r="F1132" s="1">
        <v>45922</v>
      </c>
      <c r="G1132" t="s">
        <v>47</v>
      </c>
      <c r="H1132" t="s">
        <v>50</v>
      </c>
      <c r="I1132" s="13">
        <f>_xlfn.XLOOKUP(F1132,'Wk no''s'!B:B,'Wk no''s'!C:C,FALSE)</f>
        <v>39</v>
      </c>
      <c r="J1132" s="13">
        <f>IF(D1132="GBP",1,SUMIFS('Ex Rates'!I:I,'Ex Rates'!K:K,'Weekly Closed Proposal Requests'!L1132,'Ex Rates'!G:G,'Weekly Closed Proposal Requests'!D1132))</f>
        <v>1</v>
      </c>
      <c r="K1132" s="13">
        <f t="shared" si="18"/>
        <v>46000</v>
      </c>
      <c r="L1132" s="13" t="str">
        <f>_xlfn.XLOOKUP(I1132,'Wk no''s'!C:C,'Wk no''s'!E:E,0)</f>
        <v>Sep</v>
      </c>
    </row>
    <row r="1133" spans="1:12" x14ac:dyDescent="0.25">
      <c r="A1133" s="1">
        <v>45911</v>
      </c>
      <c r="B1133" t="s">
        <v>1762</v>
      </c>
      <c r="C1133" t="s">
        <v>576</v>
      </c>
      <c r="D1133" t="s">
        <v>15</v>
      </c>
      <c r="E1133">
        <v>80278.11</v>
      </c>
      <c r="F1133" s="1">
        <v>45923</v>
      </c>
      <c r="G1133" t="s">
        <v>47</v>
      </c>
      <c r="H1133" t="s">
        <v>50</v>
      </c>
      <c r="I1133" s="13">
        <f>_xlfn.XLOOKUP(F1133,'Wk no''s'!B:B,'Wk no''s'!C:C,FALSE)</f>
        <v>39</v>
      </c>
      <c r="J1133" s="13">
        <f>IF(D1133="GBP",1,SUMIFS('Ex Rates'!I:I,'Ex Rates'!K:K,'Weekly Closed Proposal Requests'!L1133,'Ex Rates'!G:G,'Weekly Closed Proposal Requests'!D1133))</f>
        <v>1</v>
      </c>
      <c r="K1133" s="13">
        <f t="shared" si="18"/>
        <v>80278.11</v>
      </c>
      <c r="L1133" s="13" t="str">
        <f>_xlfn.XLOOKUP(I1133,'Wk no''s'!C:C,'Wk no''s'!E:E,0)</f>
        <v>Sep</v>
      </c>
    </row>
    <row r="1134" spans="1:12" x14ac:dyDescent="0.25">
      <c r="A1134" s="1">
        <v>45917</v>
      </c>
      <c r="B1134" t="s">
        <v>1764</v>
      </c>
      <c r="C1134" t="s">
        <v>1131</v>
      </c>
      <c r="D1134" t="s">
        <v>15</v>
      </c>
      <c r="E1134">
        <v>91820.800000000003</v>
      </c>
      <c r="F1134" s="1">
        <v>45924</v>
      </c>
      <c r="G1134" t="s">
        <v>47</v>
      </c>
      <c r="H1134" t="s">
        <v>50</v>
      </c>
      <c r="I1134" s="13">
        <f>_xlfn.XLOOKUP(F1134,'Wk no''s'!B:B,'Wk no''s'!C:C,FALSE)</f>
        <v>39</v>
      </c>
      <c r="J1134" s="13">
        <f>IF(D1134="GBP",1,SUMIFS('Ex Rates'!I:I,'Ex Rates'!K:K,'Weekly Closed Proposal Requests'!L1134,'Ex Rates'!G:G,'Weekly Closed Proposal Requests'!D1134))</f>
        <v>1</v>
      </c>
      <c r="K1134" s="13">
        <f t="shared" si="18"/>
        <v>91820.800000000003</v>
      </c>
      <c r="L1134" s="13" t="str">
        <f>_xlfn.XLOOKUP(I1134,'Wk no''s'!C:C,'Wk no''s'!E:E,0)</f>
        <v>Sep</v>
      </c>
    </row>
    <row r="1135" spans="1:12" x14ac:dyDescent="0.25">
      <c r="A1135" s="1">
        <v>45917</v>
      </c>
      <c r="B1135" t="s">
        <v>1765</v>
      </c>
      <c r="C1135" t="s">
        <v>265</v>
      </c>
      <c r="D1135" t="s">
        <v>15</v>
      </c>
      <c r="E1135">
        <v>184086.19</v>
      </c>
      <c r="F1135" s="1">
        <v>45923</v>
      </c>
      <c r="G1135" t="s">
        <v>47</v>
      </c>
      <c r="H1135" t="s">
        <v>50</v>
      </c>
      <c r="I1135" s="13">
        <f>_xlfn.XLOOKUP(F1135,'Wk no''s'!B:B,'Wk no''s'!C:C,FALSE)</f>
        <v>39</v>
      </c>
      <c r="J1135" s="13">
        <f>IF(D1135="GBP",1,SUMIFS('Ex Rates'!I:I,'Ex Rates'!K:K,'Weekly Closed Proposal Requests'!L1135,'Ex Rates'!G:G,'Weekly Closed Proposal Requests'!D1135))</f>
        <v>1</v>
      </c>
      <c r="K1135" s="13">
        <f t="shared" si="18"/>
        <v>184086.19</v>
      </c>
      <c r="L1135" s="13" t="str">
        <f>_xlfn.XLOOKUP(I1135,'Wk no''s'!C:C,'Wk no''s'!E:E,0)</f>
        <v>Sep</v>
      </c>
    </row>
    <row r="1136" spans="1:12" x14ac:dyDescent="0.25">
      <c r="A1136" s="1">
        <v>45922</v>
      </c>
      <c r="B1136" t="s">
        <v>1766</v>
      </c>
      <c r="C1136" t="s">
        <v>672</v>
      </c>
      <c r="D1136" t="s">
        <v>15</v>
      </c>
      <c r="E1136">
        <v>24806.15</v>
      </c>
      <c r="F1136" s="1">
        <v>45925</v>
      </c>
      <c r="G1136" t="s">
        <v>47</v>
      </c>
      <c r="H1136" t="s">
        <v>50</v>
      </c>
      <c r="I1136" s="13">
        <f>_xlfn.XLOOKUP(F1136,'Wk no''s'!B:B,'Wk no''s'!C:C,FALSE)</f>
        <v>39</v>
      </c>
      <c r="J1136" s="13">
        <f>IF(D1136="GBP",1,SUMIFS('Ex Rates'!I:I,'Ex Rates'!K:K,'Weekly Closed Proposal Requests'!L1136,'Ex Rates'!G:G,'Weekly Closed Proposal Requests'!D1136))</f>
        <v>1</v>
      </c>
      <c r="K1136" s="13">
        <f t="shared" si="18"/>
        <v>24806.15</v>
      </c>
      <c r="L1136" s="13" t="str">
        <f>_xlfn.XLOOKUP(I1136,'Wk no''s'!C:C,'Wk no''s'!E:E,0)</f>
        <v>Sep</v>
      </c>
    </row>
    <row r="1137" spans="1:12" x14ac:dyDescent="0.25">
      <c r="A1137" s="1">
        <v>45922</v>
      </c>
      <c r="B1137" t="s">
        <v>1779</v>
      </c>
      <c r="C1137" t="s">
        <v>1131</v>
      </c>
      <c r="D1137" t="s">
        <v>15</v>
      </c>
      <c r="E1137">
        <v>91820.800000000003</v>
      </c>
      <c r="F1137" s="1">
        <v>45928</v>
      </c>
      <c r="G1137" t="s">
        <v>47</v>
      </c>
      <c r="H1137" t="s">
        <v>50</v>
      </c>
      <c r="I1137" s="13">
        <f>_xlfn.XLOOKUP(F1137,'Wk no''s'!B:B,'Wk no''s'!C:C,FALSE)</f>
        <v>40</v>
      </c>
      <c r="J1137" s="13">
        <f>IF(D1137="GBP",1,SUMIFS('Ex Rates'!I:I,'Ex Rates'!K:K,'Weekly Closed Proposal Requests'!L1137,'Ex Rates'!G:G,'Weekly Closed Proposal Requests'!D1137))</f>
        <v>1</v>
      </c>
      <c r="K1137" s="13">
        <f t="shared" si="18"/>
        <v>91820.800000000003</v>
      </c>
      <c r="L1137" s="13" t="str">
        <f>_xlfn.XLOOKUP(I1137,'Wk no''s'!C:C,'Wk no''s'!E:E,0)</f>
        <v>Sep</v>
      </c>
    </row>
    <row r="1138" spans="1:12" x14ac:dyDescent="0.25">
      <c r="A1138" s="1">
        <v>45916</v>
      </c>
      <c r="B1138" t="s">
        <v>1767</v>
      </c>
      <c r="C1138" t="s">
        <v>1663</v>
      </c>
      <c r="D1138" t="s">
        <v>10</v>
      </c>
      <c r="E1138">
        <v>30000</v>
      </c>
      <c r="F1138" s="1">
        <v>45924</v>
      </c>
      <c r="G1138" t="s">
        <v>11</v>
      </c>
      <c r="H1138" t="s">
        <v>50</v>
      </c>
      <c r="I1138" s="13">
        <f>_xlfn.XLOOKUP(F1138,'Wk no''s'!B:B,'Wk no''s'!C:C,FALSE)</f>
        <v>39</v>
      </c>
      <c r="J1138" s="13">
        <f>IF(D1138="GBP",1,SUMIFS('Ex Rates'!I:I,'Ex Rates'!K:K,'Weekly Closed Proposal Requests'!L1138,'Ex Rates'!G:G,'Weekly Closed Proposal Requests'!D1138))</f>
        <v>0.48355899419729204</v>
      </c>
      <c r="K1138" s="13">
        <f t="shared" si="18"/>
        <v>14506.769825918762</v>
      </c>
      <c r="L1138" s="13" t="str">
        <f>_xlfn.XLOOKUP(I1138,'Wk no''s'!C:C,'Wk no''s'!E:E,0)</f>
        <v>Sep</v>
      </c>
    </row>
    <row r="1139" spans="1:12" x14ac:dyDescent="0.25">
      <c r="A1139" s="1">
        <v>45917</v>
      </c>
      <c r="B1139" t="s">
        <v>1780</v>
      </c>
      <c r="C1139" t="s">
        <v>344</v>
      </c>
      <c r="D1139" t="s">
        <v>10</v>
      </c>
      <c r="E1139">
        <v>140000</v>
      </c>
      <c r="F1139" s="1">
        <v>45928</v>
      </c>
      <c r="G1139" t="s">
        <v>11</v>
      </c>
      <c r="H1139" t="s">
        <v>50</v>
      </c>
      <c r="I1139" s="13">
        <f>_xlfn.XLOOKUP(F1139,'Wk no''s'!B:B,'Wk no''s'!C:C,FALSE)</f>
        <v>40</v>
      </c>
      <c r="J1139" s="13">
        <f>IF(D1139="GBP",1,SUMIFS('Ex Rates'!I:I,'Ex Rates'!K:K,'Weekly Closed Proposal Requests'!L1139,'Ex Rates'!G:G,'Weekly Closed Proposal Requests'!D1139))</f>
        <v>0.48355899419729204</v>
      </c>
      <c r="K1139" s="13">
        <f t="shared" si="18"/>
        <v>67698.25918762089</v>
      </c>
      <c r="L1139" s="13" t="str">
        <f>_xlfn.XLOOKUP(I1139,'Wk no''s'!C:C,'Wk no''s'!E:E,0)</f>
        <v>Sep</v>
      </c>
    </row>
    <row r="1140" spans="1:12" x14ac:dyDescent="0.25">
      <c r="A1140" s="1">
        <v>45918</v>
      </c>
      <c r="B1140" t="s">
        <v>1768</v>
      </c>
      <c r="C1140" t="s">
        <v>1585</v>
      </c>
      <c r="D1140" t="s">
        <v>10</v>
      </c>
      <c r="E1140">
        <v>50000</v>
      </c>
      <c r="F1140" s="1">
        <v>45924</v>
      </c>
      <c r="G1140" t="s">
        <v>11</v>
      </c>
      <c r="H1140" t="s">
        <v>50</v>
      </c>
      <c r="I1140" s="13">
        <f>_xlfn.XLOOKUP(F1140,'Wk no''s'!B:B,'Wk no''s'!C:C,FALSE)</f>
        <v>39</v>
      </c>
      <c r="J1140" s="13">
        <f>IF(D1140="GBP",1,SUMIFS('Ex Rates'!I:I,'Ex Rates'!K:K,'Weekly Closed Proposal Requests'!L1140,'Ex Rates'!G:G,'Weekly Closed Proposal Requests'!D1140))</f>
        <v>0.48355899419729204</v>
      </c>
      <c r="K1140" s="13">
        <f t="shared" si="18"/>
        <v>24177.949709864602</v>
      </c>
      <c r="L1140" s="13" t="str">
        <f>_xlfn.XLOOKUP(I1140,'Wk no''s'!C:C,'Wk no''s'!E:E,0)</f>
        <v>Sep</v>
      </c>
    </row>
    <row r="1141" spans="1:12" x14ac:dyDescent="0.25">
      <c r="A1141" s="1">
        <v>45915</v>
      </c>
      <c r="B1141" t="s">
        <v>1769</v>
      </c>
      <c r="C1141" t="s">
        <v>1773</v>
      </c>
      <c r="D1141" t="s">
        <v>15</v>
      </c>
      <c r="E1141">
        <v>100000</v>
      </c>
      <c r="F1141" s="1">
        <v>45926</v>
      </c>
      <c r="G1141" t="s">
        <v>72</v>
      </c>
      <c r="H1141" t="s">
        <v>19</v>
      </c>
      <c r="I1141" s="13">
        <f>_xlfn.XLOOKUP(F1141,'Wk no''s'!B:B,'Wk no''s'!C:C,FALSE)</f>
        <v>39</v>
      </c>
      <c r="J1141" s="13">
        <f>IF(D1141="GBP",1,SUMIFS('Ex Rates'!I:I,'Ex Rates'!K:K,'Weekly Closed Proposal Requests'!L1141,'Ex Rates'!G:G,'Weekly Closed Proposal Requests'!D1141))</f>
        <v>1</v>
      </c>
      <c r="K1141" s="13">
        <f t="shared" si="18"/>
        <v>100000</v>
      </c>
      <c r="L1141" s="13" t="str">
        <f>_xlfn.XLOOKUP(I1141,'Wk no''s'!C:C,'Wk no''s'!E:E,0)</f>
        <v>Sep</v>
      </c>
    </row>
    <row r="1142" spans="1:12" x14ac:dyDescent="0.25">
      <c r="A1142" s="1">
        <v>45916</v>
      </c>
      <c r="B1142" t="s">
        <v>1770</v>
      </c>
      <c r="C1142" t="s">
        <v>186</v>
      </c>
      <c r="D1142" t="s">
        <v>15</v>
      </c>
      <c r="E1142">
        <v>30000</v>
      </c>
      <c r="F1142" s="1">
        <v>45922</v>
      </c>
      <c r="G1142" t="s">
        <v>72</v>
      </c>
      <c r="H1142" t="s">
        <v>19</v>
      </c>
      <c r="I1142" s="13">
        <f>_xlfn.XLOOKUP(F1142,'Wk no''s'!B:B,'Wk no''s'!C:C,FALSE)</f>
        <v>39</v>
      </c>
      <c r="J1142" s="13">
        <f>IF(D1142="GBP",1,SUMIFS('Ex Rates'!I:I,'Ex Rates'!K:K,'Weekly Closed Proposal Requests'!L1142,'Ex Rates'!G:G,'Weekly Closed Proposal Requests'!D1142))</f>
        <v>1</v>
      </c>
      <c r="K1142" s="13">
        <f t="shared" si="18"/>
        <v>30000</v>
      </c>
      <c r="L1142" s="13" t="str">
        <f>_xlfn.XLOOKUP(I1142,'Wk no''s'!C:C,'Wk no''s'!E:E,0)</f>
        <v>Sep</v>
      </c>
    </row>
    <row r="1143" spans="1:12" x14ac:dyDescent="0.25">
      <c r="A1143" s="1">
        <v>45923</v>
      </c>
      <c r="B1143" t="s">
        <v>1771</v>
      </c>
      <c r="C1143" t="s">
        <v>1750</v>
      </c>
      <c r="D1143" t="s">
        <v>15</v>
      </c>
      <c r="E1143">
        <v>500000</v>
      </c>
      <c r="F1143" s="1">
        <v>45926</v>
      </c>
      <c r="G1143" t="s">
        <v>72</v>
      </c>
      <c r="H1143" t="s">
        <v>19</v>
      </c>
      <c r="I1143" s="13">
        <f>_xlfn.XLOOKUP(F1143,'Wk no''s'!B:B,'Wk no''s'!C:C,FALSE)</f>
        <v>39</v>
      </c>
      <c r="J1143" s="13">
        <f>IF(D1143="GBP",1,SUMIFS('Ex Rates'!I:I,'Ex Rates'!K:K,'Weekly Closed Proposal Requests'!L1143,'Ex Rates'!G:G,'Weekly Closed Proposal Requests'!D1143))</f>
        <v>1</v>
      </c>
      <c r="K1143" s="13">
        <f t="shared" si="18"/>
        <v>500000</v>
      </c>
      <c r="L1143" s="13" t="str">
        <f>_xlfn.XLOOKUP(I1143,'Wk no''s'!C:C,'Wk no''s'!E:E,0)</f>
        <v>Sep</v>
      </c>
    </row>
    <row r="1144" spans="1:12" x14ac:dyDescent="0.25">
      <c r="A1144" s="1">
        <v>45923</v>
      </c>
      <c r="B1144" t="s">
        <v>1772</v>
      </c>
      <c r="C1144" t="s">
        <v>188</v>
      </c>
      <c r="D1144" t="s">
        <v>15</v>
      </c>
      <c r="E1144">
        <v>30000</v>
      </c>
      <c r="F1144" s="1">
        <v>45926</v>
      </c>
      <c r="G1144" t="s">
        <v>72</v>
      </c>
      <c r="H1144" t="s">
        <v>19</v>
      </c>
      <c r="I1144" s="13">
        <f>_xlfn.XLOOKUP(F1144,'Wk no''s'!B:B,'Wk no''s'!C:C,FALSE)</f>
        <v>39</v>
      </c>
      <c r="J1144" s="13">
        <f>IF(D1144="GBP",1,SUMIFS('Ex Rates'!I:I,'Ex Rates'!K:K,'Weekly Closed Proposal Requests'!L1144,'Ex Rates'!G:G,'Weekly Closed Proposal Requests'!D1144))</f>
        <v>1</v>
      </c>
      <c r="K1144" s="13">
        <f t="shared" si="18"/>
        <v>30000</v>
      </c>
      <c r="L1144" s="13" t="str">
        <f>_xlfn.XLOOKUP(I1144,'Wk no''s'!C:C,'Wk no''s'!E:E,0)</f>
        <v>Sep</v>
      </c>
    </row>
    <row r="1145" spans="1:12" x14ac:dyDescent="0.25">
      <c r="A1145" s="1">
        <v>45916</v>
      </c>
      <c r="B1145" t="s">
        <v>1781</v>
      </c>
      <c r="C1145" t="s">
        <v>1807</v>
      </c>
      <c r="D1145" t="s">
        <v>15</v>
      </c>
      <c r="E1145">
        <v>20000</v>
      </c>
      <c r="F1145" s="1">
        <v>45931</v>
      </c>
      <c r="G1145" t="s">
        <v>16</v>
      </c>
      <c r="H1145" t="s">
        <v>19</v>
      </c>
      <c r="I1145" s="13">
        <f>_xlfn.XLOOKUP(F1145,'Wk no''s'!B:B,'Wk no''s'!C:C,FALSE)</f>
        <v>40</v>
      </c>
      <c r="J1145" s="13">
        <f>IF(D1145="GBP",1,SUMIFS('Ex Rates'!I:I,'Ex Rates'!K:K,'Weekly Closed Proposal Requests'!L1145,'Ex Rates'!G:G,'Weekly Closed Proposal Requests'!D1145))</f>
        <v>1</v>
      </c>
      <c r="K1145" s="13">
        <f t="shared" si="18"/>
        <v>20000</v>
      </c>
      <c r="L1145" s="13" t="str">
        <f>_xlfn.XLOOKUP(I1145,'Wk no''s'!C:C,'Wk no''s'!E:E,0)</f>
        <v>Sep</v>
      </c>
    </row>
    <row r="1146" spans="1:12" x14ac:dyDescent="0.25">
      <c r="A1146" s="1">
        <v>45919</v>
      </c>
      <c r="B1146" t="s">
        <v>1782</v>
      </c>
      <c r="C1146" t="s">
        <v>553</v>
      </c>
      <c r="D1146" t="s">
        <v>15</v>
      </c>
      <c r="E1146">
        <v>100000</v>
      </c>
      <c r="F1146" s="1">
        <v>45933</v>
      </c>
      <c r="G1146" t="s">
        <v>16</v>
      </c>
      <c r="H1146" t="s">
        <v>19</v>
      </c>
      <c r="I1146" s="13">
        <f>_xlfn.XLOOKUP(F1146,'Wk no''s'!B:B,'Wk no''s'!C:C,FALSE)</f>
        <v>40</v>
      </c>
      <c r="J1146" s="13">
        <f>IF(D1146="GBP",1,SUMIFS('Ex Rates'!I:I,'Ex Rates'!K:K,'Weekly Closed Proposal Requests'!L1146,'Ex Rates'!G:G,'Weekly Closed Proposal Requests'!D1146))</f>
        <v>1</v>
      </c>
      <c r="K1146" s="13">
        <f t="shared" si="18"/>
        <v>100000</v>
      </c>
      <c r="L1146" s="13" t="str">
        <f>_xlfn.XLOOKUP(I1146,'Wk no''s'!C:C,'Wk no''s'!E:E,0)</f>
        <v>Sep</v>
      </c>
    </row>
    <row r="1147" spans="1:12" x14ac:dyDescent="0.25">
      <c r="A1147" s="1">
        <v>45924</v>
      </c>
      <c r="B1147" t="s">
        <v>1783</v>
      </c>
      <c r="C1147" t="s">
        <v>1808</v>
      </c>
      <c r="D1147" t="s">
        <v>15</v>
      </c>
      <c r="E1147">
        <v>50000</v>
      </c>
      <c r="F1147" s="1">
        <v>45929</v>
      </c>
      <c r="G1147" t="s">
        <v>16</v>
      </c>
      <c r="H1147" t="s">
        <v>19</v>
      </c>
      <c r="I1147" s="13">
        <f>_xlfn.XLOOKUP(F1147,'Wk no''s'!B:B,'Wk no''s'!C:C,FALSE)</f>
        <v>40</v>
      </c>
      <c r="J1147" s="13">
        <f>IF(D1147="GBP",1,SUMIFS('Ex Rates'!I:I,'Ex Rates'!K:K,'Weekly Closed Proposal Requests'!L1147,'Ex Rates'!G:G,'Weekly Closed Proposal Requests'!D1147))</f>
        <v>1</v>
      </c>
      <c r="K1147" s="13">
        <f t="shared" si="18"/>
        <v>50000</v>
      </c>
      <c r="L1147" s="13" t="str">
        <f>_xlfn.XLOOKUP(I1147,'Wk no''s'!C:C,'Wk no''s'!E:E,0)</f>
        <v>Sep</v>
      </c>
    </row>
    <row r="1148" spans="1:12" x14ac:dyDescent="0.25">
      <c r="A1148" s="1">
        <v>45924</v>
      </c>
      <c r="B1148" t="s">
        <v>1784</v>
      </c>
      <c r="C1148" t="s">
        <v>1809</v>
      </c>
      <c r="D1148" t="s">
        <v>15</v>
      </c>
      <c r="E1148">
        <v>150000</v>
      </c>
      <c r="F1148" s="1">
        <v>45930</v>
      </c>
      <c r="G1148" t="s">
        <v>16</v>
      </c>
      <c r="H1148" t="s">
        <v>19</v>
      </c>
      <c r="I1148" s="13">
        <f>_xlfn.XLOOKUP(F1148,'Wk no''s'!B:B,'Wk no''s'!C:C,FALSE)</f>
        <v>40</v>
      </c>
      <c r="J1148" s="13">
        <f>IF(D1148="GBP",1,SUMIFS('Ex Rates'!I:I,'Ex Rates'!K:K,'Weekly Closed Proposal Requests'!L1148,'Ex Rates'!G:G,'Weekly Closed Proposal Requests'!D1148))</f>
        <v>1</v>
      </c>
      <c r="K1148" s="13">
        <f t="shared" si="18"/>
        <v>150000</v>
      </c>
      <c r="L1148" s="13" t="str">
        <f>_xlfn.XLOOKUP(I1148,'Wk no''s'!C:C,'Wk no''s'!E:E,0)</f>
        <v>Sep</v>
      </c>
    </row>
    <row r="1149" spans="1:12" x14ac:dyDescent="0.25">
      <c r="A1149" s="1">
        <v>45926</v>
      </c>
      <c r="B1149" t="s">
        <v>1785</v>
      </c>
      <c r="C1149" t="s">
        <v>1558</v>
      </c>
      <c r="D1149" t="s">
        <v>15</v>
      </c>
      <c r="E1149">
        <v>100000</v>
      </c>
      <c r="F1149" s="1">
        <v>45932</v>
      </c>
      <c r="G1149" t="s">
        <v>16</v>
      </c>
      <c r="H1149" t="s">
        <v>19</v>
      </c>
      <c r="I1149" s="13">
        <f>_xlfn.XLOOKUP(F1149,'Wk no''s'!B:B,'Wk no''s'!C:C,FALSE)</f>
        <v>40</v>
      </c>
      <c r="J1149" s="13">
        <f>IF(D1149="GBP",1,SUMIFS('Ex Rates'!I:I,'Ex Rates'!K:K,'Weekly Closed Proposal Requests'!L1149,'Ex Rates'!G:G,'Weekly Closed Proposal Requests'!D1149))</f>
        <v>1</v>
      </c>
      <c r="K1149" s="13">
        <f t="shared" si="18"/>
        <v>100000</v>
      </c>
      <c r="L1149" s="13" t="str">
        <f>_xlfn.XLOOKUP(I1149,'Wk no''s'!C:C,'Wk no''s'!E:E,0)</f>
        <v>Sep</v>
      </c>
    </row>
    <row r="1150" spans="1:12" x14ac:dyDescent="0.25">
      <c r="A1150" s="1">
        <v>45926</v>
      </c>
      <c r="B1150" t="s">
        <v>1786</v>
      </c>
      <c r="C1150" t="s">
        <v>1064</v>
      </c>
      <c r="D1150" t="s">
        <v>15</v>
      </c>
      <c r="E1150">
        <v>80000</v>
      </c>
      <c r="F1150" s="1">
        <v>45932</v>
      </c>
      <c r="G1150" t="s">
        <v>16</v>
      </c>
      <c r="H1150" t="s">
        <v>19</v>
      </c>
      <c r="I1150" s="13">
        <f>_xlfn.XLOOKUP(F1150,'Wk no''s'!B:B,'Wk no''s'!C:C,FALSE)</f>
        <v>40</v>
      </c>
      <c r="J1150" s="13">
        <f>IF(D1150="GBP",1,SUMIFS('Ex Rates'!I:I,'Ex Rates'!K:K,'Weekly Closed Proposal Requests'!L1150,'Ex Rates'!G:G,'Weekly Closed Proposal Requests'!D1150))</f>
        <v>1</v>
      </c>
      <c r="K1150" s="13">
        <f t="shared" si="18"/>
        <v>80000</v>
      </c>
      <c r="L1150" s="13" t="str">
        <f>_xlfn.XLOOKUP(I1150,'Wk no''s'!C:C,'Wk no''s'!E:E,0)</f>
        <v>Sep</v>
      </c>
    </row>
    <row r="1151" spans="1:12" x14ac:dyDescent="0.25">
      <c r="A1151" s="1">
        <v>45926</v>
      </c>
      <c r="B1151" t="s">
        <v>1787</v>
      </c>
      <c r="C1151" t="s">
        <v>29</v>
      </c>
      <c r="D1151" t="s">
        <v>15</v>
      </c>
      <c r="E1151">
        <v>250000</v>
      </c>
      <c r="F1151" s="1">
        <v>45929</v>
      </c>
      <c r="G1151" t="s">
        <v>16</v>
      </c>
      <c r="H1151" t="s">
        <v>19</v>
      </c>
      <c r="I1151" s="13">
        <f>_xlfn.XLOOKUP(F1151,'Wk no''s'!B:B,'Wk no''s'!C:C,FALSE)</f>
        <v>40</v>
      </c>
      <c r="J1151" s="13">
        <f>IF(D1151="GBP",1,SUMIFS('Ex Rates'!I:I,'Ex Rates'!K:K,'Weekly Closed Proposal Requests'!L1151,'Ex Rates'!G:G,'Weekly Closed Proposal Requests'!D1151))</f>
        <v>1</v>
      </c>
      <c r="K1151" s="13">
        <f t="shared" si="18"/>
        <v>250000</v>
      </c>
      <c r="L1151" s="13" t="str">
        <f>_xlfn.XLOOKUP(I1151,'Wk no''s'!C:C,'Wk no''s'!E:E,0)</f>
        <v>Sep</v>
      </c>
    </row>
    <row r="1152" spans="1:12" x14ac:dyDescent="0.25">
      <c r="A1152" s="1">
        <v>45926</v>
      </c>
      <c r="B1152" t="s">
        <v>1788</v>
      </c>
      <c r="C1152" t="s">
        <v>849</v>
      </c>
      <c r="D1152" t="s">
        <v>15</v>
      </c>
      <c r="E1152">
        <v>50000</v>
      </c>
      <c r="F1152" s="1">
        <v>45929</v>
      </c>
      <c r="G1152" t="s">
        <v>16</v>
      </c>
      <c r="H1152" t="s">
        <v>19</v>
      </c>
      <c r="I1152" s="13">
        <f>_xlfn.XLOOKUP(F1152,'Wk no''s'!B:B,'Wk no''s'!C:C,FALSE)</f>
        <v>40</v>
      </c>
      <c r="J1152" s="13">
        <f>IF(D1152="GBP",1,SUMIFS('Ex Rates'!I:I,'Ex Rates'!K:K,'Weekly Closed Proposal Requests'!L1152,'Ex Rates'!G:G,'Weekly Closed Proposal Requests'!D1152))</f>
        <v>1</v>
      </c>
      <c r="K1152" s="13">
        <f t="shared" si="18"/>
        <v>50000</v>
      </c>
      <c r="L1152" s="13" t="str">
        <f>_xlfn.XLOOKUP(I1152,'Wk no''s'!C:C,'Wk no''s'!E:E,0)</f>
        <v>Sep</v>
      </c>
    </row>
    <row r="1153" spans="1:12" x14ac:dyDescent="0.25">
      <c r="A1153" s="1">
        <v>45932</v>
      </c>
      <c r="B1153" t="s">
        <v>1789</v>
      </c>
      <c r="C1153" t="s">
        <v>1810</v>
      </c>
      <c r="D1153" t="s">
        <v>15</v>
      </c>
      <c r="E1153">
        <v>0</v>
      </c>
      <c r="F1153" s="1">
        <v>45933</v>
      </c>
      <c r="G1153" t="s">
        <v>16</v>
      </c>
      <c r="H1153" t="s">
        <v>19</v>
      </c>
      <c r="I1153" s="13">
        <f>_xlfn.XLOOKUP(F1153,'Wk no''s'!B:B,'Wk no''s'!C:C,FALSE)</f>
        <v>40</v>
      </c>
      <c r="J1153" s="13">
        <f>IF(D1153="GBP",1,SUMIFS('Ex Rates'!I:I,'Ex Rates'!K:K,'Weekly Closed Proposal Requests'!L1153,'Ex Rates'!G:G,'Weekly Closed Proposal Requests'!D1153))</f>
        <v>1</v>
      </c>
      <c r="K1153" s="13">
        <f t="shared" si="18"/>
        <v>0</v>
      </c>
      <c r="L1153" s="13" t="str">
        <f>_xlfn.XLOOKUP(I1153,'Wk no''s'!C:C,'Wk no''s'!E:E,0)</f>
        <v>Sep</v>
      </c>
    </row>
    <row r="1154" spans="1:12" x14ac:dyDescent="0.25">
      <c r="A1154" s="1">
        <v>45924</v>
      </c>
      <c r="B1154" t="s">
        <v>1791</v>
      </c>
      <c r="C1154" t="s">
        <v>1811</v>
      </c>
      <c r="D1154" t="s">
        <v>46</v>
      </c>
      <c r="E1154">
        <v>10000</v>
      </c>
      <c r="F1154" s="1">
        <v>45931</v>
      </c>
      <c r="G1154" t="s">
        <v>47</v>
      </c>
      <c r="H1154" t="s">
        <v>19</v>
      </c>
      <c r="I1154" s="13">
        <f>_xlfn.XLOOKUP(F1154,'Wk no''s'!B:B,'Wk no''s'!C:C,FALSE)</f>
        <v>40</v>
      </c>
      <c r="J1154" s="13">
        <f>IF(D1154="GBP",1,SUMIFS('Ex Rates'!I:I,'Ex Rates'!K:K,'Weekly Closed Proposal Requests'!L1154,'Ex Rates'!G:G,'Weekly Closed Proposal Requests'!D1154))</f>
        <v>0.73909830007390986</v>
      </c>
      <c r="K1154" s="13">
        <f t="shared" si="18"/>
        <v>7390.9830007390983</v>
      </c>
      <c r="L1154" s="13" t="str">
        <f>_xlfn.XLOOKUP(I1154,'Wk no''s'!C:C,'Wk no''s'!E:E,0)</f>
        <v>Sep</v>
      </c>
    </row>
    <row r="1155" spans="1:12" x14ac:dyDescent="0.25">
      <c r="A1155" s="1">
        <v>45917</v>
      </c>
      <c r="B1155" t="s">
        <v>1790</v>
      </c>
      <c r="C1155" t="s">
        <v>328</v>
      </c>
      <c r="D1155" t="s">
        <v>15</v>
      </c>
      <c r="E1155">
        <v>425923</v>
      </c>
      <c r="F1155" s="1">
        <v>45930</v>
      </c>
      <c r="G1155" t="s">
        <v>47</v>
      </c>
      <c r="H1155" t="s">
        <v>50</v>
      </c>
      <c r="I1155" s="13">
        <f>_xlfn.XLOOKUP(F1155,'Wk no''s'!B:B,'Wk no''s'!C:C,FALSE)</f>
        <v>40</v>
      </c>
      <c r="J1155" s="13">
        <f>IF(D1155="GBP",1,SUMIFS('Ex Rates'!I:I,'Ex Rates'!K:K,'Weekly Closed Proposal Requests'!L1155,'Ex Rates'!G:G,'Weekly Closed Proposal Requests'!D1155))</f>
        <v>1</v>
      </c>
      <c r="K1155" s="13">
        <f t="shared" si="18"/>
        <v>425923</v>
      </c>
      <c r="L1155" s="13" t="str">
        <f>_xlfn.XLOOKUP(I1155,'Wk no''s'!C:C,'Wk no''s'!E:E,0)</f>
        <v>Sep</v>
      </c>
    </row>
    <row r="1156" spans="1:12" x14ac:dyDescent="0.25">
      <c r="A1156" s="1">
        <v>45924</v>
      </c>
      <c r="B1156" t="s">
        <v>1792</v>
      </c>
      <c r="C1156" t="s">
        <v>265</v>
      </c>
      <c r="D1156" t="s">
        <v>15</v>
      </c>
      <c r="E1156">
        <v>184086.19</v>
      </c>
      <c r="F1156" s="1">
        <v>45931</v>
      </c>
      <c r="G1156" t="s">
        <v>47</v>
      </c>
      <c r="H1156" t="s">
        <v>50</v>
      </c>
      <c r="I1156" s="13">
        <f>_xlfn.XLOOKUP(F1156,'Wk no''s'!B:B,'Wk no''s'!C:C,FALSE)</f>
        <v>40</v>
      </c>
      <c r="J1156" s="13">
        <f>IF(D1156="GBP",1,SUMIFS('Ex Rates'!I:I,'Ex Rates'!K:K,'Weekly Closed Proposal Requests'!L1156,'Ex Rates'!G:G,'Weekly Closed Proposal Requests'!D1156))</f>
        <v>1</v>
      </c>
      <c r="K1156" s="13">
        <f t="shared" si="18"/>
        <v>184086.19</v>
      </c>
      <c r="L1156" s="13" t="str">
        <f>_xlfn.XLOOKUP(I1156,'Wk no''s'!C:C,'Wk no''s'!E:E,0)</f>
        <v>Sep</v>
      </c>
    </row>
    <row r="1157" spans="1:12" x14ac:dyDescent="0.25">
      <c r="A1157" s="1">
        <v>45925</v>
      </c>
      <c r="B1157" t="s">
        <v>1793</v>
      </c>
      <c r="C1157" t="s">
        <v>1072</v>
      </c>
      <c r="D1157" t="s">
        <v>15</v>
      </c>
      <c r="E1157">
        <v>46000</v>
      </c>
      <c r="F1157" s="1">
        <v>45930</v>
      </c>
      <c r="G1157" t="s">
        <v>47</v>
      </c>
      <c r="H1157" t="s">
        <v>50</v>
      </c>
      <c r="I1157" s="13">
        <f>_xlfn.XLOOKUP(F1157,'Wk no''s'!B:B,'Wk no''s'!C:C,FALSE)</f>
        <v>40</v>
      </c>
      <c r="J1157" s="13">
        <f>IF(D1157="GBP",1,SUMIFS('Ex Rates'!I:I,'Ex Rates'!K:K,'Weekly Closed Proposal Requests'!L1157,'Ex Rates'!G:G,'Weekly Closed Proposal Requests'!D1157))</f>
        <v>1</v>
      </c>
      <c r="K1157" s="13">
        <f t="shared" si="18"/>
        <v>46000</v>
      </c>
      <c r="L1157" s="13" t="str">
        <f>_xlfn.XLOOKUP(I1157,'Wk no''s'!C:C,'Wk no''s'!E:E,0)</f>
        <v>Sep</v>
      </c>
    </row>
    <row r="1158" spans="1:12" x14ac:dyDescent="0.25">
      <c r="A1158" s="1">
        <v>45931</v>
      </c>
      <c r="B1158" t="s">
        <v>1800</v>
      </c>
      <c r="C1158" t="s">
        <v>867</v>
      </c>
      <c r="D1158" t="s">
        <v>10</v>
      </c>
      <c r="E1158">
        <v>600000</v>
      </c>
      <c r="F1158" s="1">
        <v>45931</v>
      </c>
      <c r="G1158" t="s">
        <v>11</v>
      </c>
      <c r="H1158" t="s">
        <v>12</v>
      </c>
      <c r="I1158" s="13">
        <f>_xlfn.XLOOKUP(F1158,'Wk no''s'!B:B,'Wk no''s'!C:C,FALSE)</f>
        <v>40</v>
      </c>
      <c r="J1158" s="13">
        <f>IF(D1158="GBP",1,SUMIFS('Ex Rates'!I:I,'Ex Rates'!K:K,'Weekly Closed Proposal Requests'!L1158,'Ex Rates'!G:G,'Weekly Closed Proposal Requests'!D1158))</f>
        <v>0.48355899419729204</v>
      </c>
      <c r="K1158" s="13">
        <f t="shared" si="18"/>
        <v>290135.3965183752</v>
      </c>
      <c r="L1158" s="13" t="str">
        <f>_xlfn.XLOOKUP(I1158,'Wk no''s'!C:C,'Wk no''s'!E:E,0)</f>
        <v>Sep</v>
      </c>
    </row>
    <row r="1159" spans="1:12" x14ac:dyDescent="0.25">
      <c r="A1159" s="1">
        <v>45930</v>
      </c>
      <c r="B1159" t="s">
        <v>1799</v>
      </c>
      <c r="C1159" t="s">
        <v>1812</v>
      </c>
      <c r="D1159" t="s">
        <v>10</v>
      </c>
      <c r="E1159">
        <v>100000</v>
      </c>
      <c r="F1159" s="1">
        <v>45931</v>
      </c>
      <c r="G1159" t="s">
        <v>11</v>
      </c>
      <c r="H1159" t="s">
        <v>19</v>
      </c>
      <c r="I1159" s="13">
        <f>_xlfn.XLOOKUP(F1159,'Wk no''s'!B:B,'Wk no''s'!C:C,FALSE)</f>
        <v>40</v>
      </c>
      <c r="J1159" s="13">
        <f>IF(D1159="GBP",1,SUMIFS('Ex Rates'!I:I,'Ex Rates'!K:K,'Weekly Closed Proposal Requests'!L1159,'Ex Rates'!G:G,'Weekly Closed Proposal Requests'!D1159))</f>
        <v>0.48355899419729204</v>
      </c>
      <c r="K1159" s="13">
        <f t="shared" si="18"/>
        <v>48355.899419729205</v>
      </c>
      <c r="L1159" s="13" t="str">
        <f>_xlfn.XLOOKUP(I1159,'Wk no''s'!C:C,'Wk no''s'!E:E,0)</f>
        <v>Sep</v>
      </c>
    </row>
    <row r="1160" spans="1:12" x14ac:dyDescent="0.25">
      <c r="A1160" s="1">
        <v>45922</v>
      </c>
      <c r="B1160" t="s">
        <v>1796</v>
      </c>
      <c r="C1160" t="s">
        <v>1585</v>
      </c>
      <c r="D1160" t="s">
        <v>10</v>
      </c>
      <c r="E1160">
        <v>90000</v>
      </c>
      <c r="F1160" s="1">
        <v>45930</v>
      </c>
      <c r="G1160" t="s">
        <v>11</v>
      </c>
      <c r="H1160" t="s">
        <v>50</v>
      </c>
      <c r="I1160" s="13">
        <f>_xlfn.XLOOKUP(F1160,'Wk no''s'!B:B,'Wk no''s'!C:C,FALSE)</f>
        <v>40</v>
      </c>
      <c r="J1160" s="13">
        <f>IF(D1160="GBP",1,SUMIFS('Ex Rates'!I:I,'Ex Rates'!K:K,'Weekly Closed Proposal Requests'!L1160,'Ex Rates'!G:G,'Weekly Closed Proposal Requests'!D1160))</f>
        <v>0.48355899419729204</v>
      </c>
      <c r="K1160" s="13">
        <f t="shared" si="18"/>
        <v>43520.30947775628</v>
      </c>
      <c r="L1160" s="13" t="str">
        <f>_xlfn.XLOOKUP(I1160,'Wk no''s'!C:C,'Wk no''s'!E:E,0)</f>
        <v>Sep</v>
      </c>
    </row>
    <row r="1161" spans="1:12" x14ac:dyDescent="0.25">
      <c r="A1161" s="1">
        <v>45925</v>
      </c>
      <c r="B1161" t="s">
        <v>1794</v>
      </c>
      <c r="C1161" t="s">
        <v>62</v>
      </c>
      <c r="D1161" t="s">
        <v>15</v>
      </c>
      <c r="E1161">
        <v>1000000</v>
      </c>
      <c r="F1161" s="1">
        <v>45931</v>
      </c>
      <c r="G1161" t="s">
        <v>11</v>
      </c>
      <c r="H1161" t="s">
        <v>50</v>
      </c>
      <c r="I1161" s="13">
        <f>_xlfn.XLOOKUP(F1161,'Wk no''s'!B:B,'Wk no''s'!C:C,FALSE)</f>
        <v>40</v>
      </c>
      <c r="J1161" s="13">
        <f>IF(D1161="GBP",1,SUMIFS('Ex Rates'!I:I,'Ex Rates'!K:K,'Weekly Closed Proposal Requests'!L1161,'Ex Rates'!G:G,'Weekly Closed Proposal Requests'!D1161))</f>
        <v>1</v>
      </c>
      <c r="K1161" s="13">
        <f t="shared" si="18"/>
        <v>1000000</v>
      </c>
      <c r="L1161" s="13" t="str">
        <f>_xlfn.XLOOKUP(I1161,'Wk no''s'!C:C,'Wk no''s'!E:E,0)</f>
        <v>Sep</v>
      </c>
    </row>
    <row r="1162" spans="1:12" x14ac:dyDescent="0.25">
      <c r="A1162" s="1">
        <v>45928</v>
      </c>
      <c r="B1162" t="s">
        <v>1797</v>
      </c>
      <c r="C1162" t="s">
        <v>344</v>
      </c>
      <c r="D1162" t="s">
        <v>10</v>
      </c>
      <c r="E1162">
        <v>140000</v>
      </c>
      <c r="F1162" s="1">
        <v>45930</v>
      </c>
      <c r="G1162" t="s">
        <v>11</v>
      </c>
      <c r="H1162" t="s">
        <v>50</v>
      </c>
      <c r="I1162" s="13">
        <f>_xlfn.XLOOKUP(F1162,'Wk no''s'!B:B,'Wk no''s'!C:C,FALSE)</f>
        <v>40</v>
      </c>
      <c r="J1162" s="13">
        <f>IF(D1162="GBP",1,SUMIFS('Ex Rates'!I:I,'Ex Rates'!K:K,'Weekly Closed Proposal Requests'!L1162,'Ex Rates'!G:G,'Weekly Closed Proposal Requests'!D1162))</f>
        <v>0.48355899419729204</v>
      </c>
      <c r="K1162" s="13">
        <f t="shared" si="18"/>
        <v>67698.25918762089</v>
      </c>
      <c r="L1162" s="13" t="str">
        <f>_xlfn.XLOOKUP(I1162,'Wk no''s'!C:C,'Wk no''s'!E:E,0)</f>
        <v>Sep</v>
      </c>
    </row>
    <row r="1163" spans="1:12" x14ac:dyDescent="0.25">
      <c r="A1163" s="1">
        <v>45930</v>
      </c>
      <c r="B1163" t="s">
        <v>1798</v>
      </c>
      <c r="C1163" t="s">
        <v>1585</v>
      </c>
      <c r="D1163" t="s">
        <v>10</v>
      </c>
      <c r="E1163">
        <v>90000</v>
      </c>
      <c r="F1163" s="1">
        <v>45930</v>
      </c>
      <c r="G1163" t="s">
        <v>11</v>
      </c>
      <c r="H1163" t="s">
        <v>50</v>
      </c>
      <c r="I1163" s="13">
        <f>_xlfn.XLOOKUP(F1163,'Wk no''s'!B:B,'Wk no''s'!C:C,FALSE)</f>
        <v>40</v>
      </c>
      <c r="J1163" s="13">
        <f>IF(D1163="GBP",1,SUMIFS('Ex Rates'!I:I,'Ex Rates'!K:K,'Weekly Closed Proposal Requests'!L1163,'Ex Rates'!G:G,'Weekly Closed Proposal Requests'!D1163))</f>
        <v>0.48355899419729204</v>
      </c>
      <c r="K1163" s="13">
        <f t="shared" si="18"/>
        <v>43520.30947775628</v>
      </c>
      <c r="L1163" s="13" t="str">
        <f>_xlfn.XLOOKUP(I1163,'Wk no''s'!C:C,'Wk no''s'!E:E,0)</f>
        <v>Sep</v>
      </c>
    </row>
    <row r="1164" spans="1:12" x14ac:dyDescent="0.25">
      <c r="A1164" s="1">
        <v>45931</v>
      </c>
      <c r="B1164" t="s">
        <v>1795</v>
      </c>
      <c r="C1164" t="s">
        <v>62</v>
      </c>
      <c r="D1164" t="s">
        <v>15</v>
      </c>
      <c r="E1164">
        <v>1000000</v>
      </c>
      <c r="F1164" s="1">
        <v>45933</v>
      </c>
      <c r="G1164" t="s">
        <v>11</v>
      </c>
      <c r="H1164" t="s">
        <v>50</v>
      </c>
      <c r="I1164" s="13">
        <f>_xlfn.XLOOKUP(F1164,'Wk no''s'!B:B,'Wk no''s'!C:C,FALSE)</f>
        <v>40</v>
      </c>
      <c r="J1164" s="13">
        <f>IF(D1164="GBP",1,SUMIFS('Ex Rates'!I:I,'Ex Rates'!K:K,'Weekly Closed Proposal Requests'!L1164,'Ex Rates'!G:G,'Weekly Closed Proposal Requests'!D1164))</f>
        <v>1</v>
      </c>
      <c r="K1164" s="13">
        <f t="shared" si="18"/>
        <v>1000000</v>
      </c>
      <c r="L1164" s="13" t="str">
        <f>_xlfn.XLOOKUP(I1164,'Wk no''s'!C:C,'Wk no''s'!E:E,0)</f>
        <v>Sep</v>
      </c>
    </row>
    <row r="1165" spans="1:12" x14ac:dyDescent="0.25">
      <c r="A1165" s="1">
        <v>45932</v>
      </c>
      <c r="B1165" t="s">
        <v>1801</v>
      </c>
      <c r="C1165" t="s">
        <v>1813</v>
      </c>
      <c r="D1165" t="s">
        <v>10</v>
      </c>
      <c r="E1165">
        <v>30000</v>
      </c>
      <c r="F1165" s="1">
        <v>45933</v>
      </c>
      <c r="G1165" t="s">
        <v>11</v>
      </c>
      <c r="H1165" t="s">
        <v>50</v>
      </c>
      <c r="I1165" s="13">
        <f>_xlfn.XLOOKUP(F1165,'Wk no''s'!B:B,'Wk no''s'!C:C,FALSE)</f>
        <v>40</v>
      </c>
      <c r="J1165" s="13">
        <f>IF(D1165="GBP",1,SUMIFS('Ex Rates'!I:I,'Ex Rates'!K:K,'Weekly Closed Proposal Requests'!L1165,'Ex Rates'!G:G,'Weekly Closed Proposal Requests'!D1165))</f>
        <v>0.48355899419729204</v>
      </c>
      <c r="K1165" s="13">
        <f t="shared" si="18"/>
        <v>14506.769825918762</v>
      </c>
      <c r="L1165" s="13" t="str">
        <f>_xlfn.XLOOKUP(I1165,'Wk no''s'!C:C,'Wk no''s'!E:E,0)</f>
        <v>Sep</v>
      </c>
    </row>
    <row r="1166" spans="1:12" x14ac:dyDescent="0.25">
      <c r="A1166" s="1">
        <v>45925</v>
      </c>
      <c r="B1166" t="s">
        <v>1802</v>
      </c>
      <c r="C1166" t="s">
        <v>84</v>
      </c>
      <c r="D1166" t="s">
        <v>15</v>
      </c>
      <c r="E1166">
        <v>20000</v>
      </c>
      <c r="F1166" s="1">
        <v>45929</v>
      </c>
      <c r="G1166" t="s">
        <v>72</v>
      </c>
      <c r="H1166" t="s">
        <v>19</v>
      </c>
      <c r="I1166" s="13">
        <f>_xlfn.XLOOKUP(F1166,'Wk no''s'!B:B,'Wk no''s'!C:C,FALSE)</f>
        <v>40</v>
      </c>
      <c r="J1166" s="13">
        <f>IF(D1166="GBP",1,SUMIFS('Ex Rates'!I:I,'Ex Rates'!K:K,'Weekly Closed Proposal Requests'!L1166,'Ex Rates'!G:G,'Weekly Closed Proposal Requests'!D1166))</f>
        <v>1</v>
      </c>
      <c r="K1166" s="13">
        <f t="shared" si="18"/>
        <v>20000</v>
      </c>
      <c r="L1166" s="13" t="str">
        <f>_xlfn.XLOOKUP(I1166,'Wk no''s'!C:C,'Wk no''s'!E:E,0)</f>
        <v>Sep</v>
      </c>
    </row>
    <row r="1167" spans="1:12" x14ac:dyDescent="0.25">
      <c r="A1167" s="1">
        <v>45929</v>
      </c>
      <c r="B1167" t="s">
        <v>1803</v>
      </c>
      <c r="C1167" t="s">
        <v>1750</v>
      </c>
      <c r="D1167" t="s">
        <v>15</v>
      </c>
      <c r="E1167">
        <v>500000</v>
      </c>
      <c r="F1167" s="1">
        <v>45932</v>
      </c>
      <c r="G1167" t="s">
        <v>72</v>
      </c>
      <c r="H1167" t="s">
        <v>19</v>
      </c>
      <c r="I1167" s="13">
        <f>_xlfn.XLOOKUP(F1167,'Wk no''s'!B:B,'Wk no''s'!C:C,FALSE)</f>
        <v>40</v>
      </c>
      <c r="J1167" s="13">
        <f>IF(D1167="GBP",1,SUMIFS('Ex Rates'!I:I,'Ex Rates'!K:K,'Weekly Closed Proposal Requests'!L1167,'Ex Rates'!G:G,'Weekly Closed Proposal Requests'!D1167))</f>
        <v>1</v>
      </c>
      <c r="K1167" s="13">
        <f t="shared" si="18"/>
        <v>500000</v>
      </c>
      <c r="L1167" s="13" t="str">
        <f>_xlfn.XLOOKUP(I1167,'Wk no''s'!C:C,'Wk no''s'!E:E,0)</f>
        <v>Sep</v>
      </c>
    </row>
    <row r="1168" spans="1:12" x14ac:dyDescent="0.25">
      <c r="A1168" s="1">
        <v>45936</v>
      </c>
      <c r="B1168" t="s">
        <v>1823</v>
      </c>
      <c r="C1168" t="s">
        <v>1843</v>
      </c>
      <c r="D1168" t="s">
        <v>15</v>
      </c>
      <c r="E1168">
        <v>10000</v>
      </c>
      <c r="F1168" s="1">
        <v>45939</v>
      </c>
      <c r="G1168" t="s">
        <v>16</v>
      </c>
      <c r="H1168" t="s">
        <v>281</v>
      </c>
      <c r="I1168" s="13">
        <f>_xlfn.XLOOKUP(F1168,'Wk no''s'!B:B,'Wk no''s'!C:C,FALSE)</f>
        <v>41</v>
      </c>
      <c r="J1168" s="13">
        <f>IF(D1168="GBP",1,SUMIFS('Ex Rates'!I:I,'Ex Rates'!K:K,'Weekly Closed Proposal Requests'!L1168,'Ex Rates'!G:G,'Weekly Closed Proposal Requests'!D1168))</f>
        <v>1</v>
      </c>
      <c r="K1168" s="13">
        <f t="shared" si="18"/>
        <v>10000</v>
      </c>
      <c r="L1168" s="13" t="str">
        <f>_xlfn.XLOOKUP(I1168,'Wk no''s'!C:C,'Wk no''s'!E:E,0)</f>
        <v>Oct</v>
      </c>
    </row>
    <row r="1169" spans="1:12" x14ac:dyDescent="0.25">
      <c r="A1169" s="1">
        <v>45923</v>
      </c>
      <c r="B1169" t="s">
        <v>1818</v>
      </c>
      <c r="C1169" t="s">
        <v>1215</v>
      </c>
      <c r="D1169" t="s">
        <v>15</v>
      </c>
      <c r="E1169">
        <v>30000</v>
      </c>
      <c r="F1169" s="1">
        <v>45937</v>
      </c>
      <c r="G1169" t="s">
        <v>16</v>
      </c>
      <c r="H1169" t="s">
        <v>19</v>
      </c>
      <c r="I1169" s="13">
        <f>_xlfn.XLOOKUP(F1169,'Wk no''s'!B:B,'Wk no''s'!C:C,FALSE)</f>
        <v>41</v>
      </c>
      <c r="J1169" s="13">
        <f>IF(D1169="GBP",1,SUMIFS('Ex Rates'!I:I,'Ex Rates'!K:K,'Weekly Closed Proposal Requests'!L1169,'Ex Rates'!G:G,'Weekly Closed Proposal Requests'!D1169))</f>
        <v>1</v>
      </c>
      <c r="K1169" s="13">
        <f t="shared" si="18"/>
        <v>30000</v>
      </c>
      <c r="L1169" s="13" t="str">
        <f>_xlfn.XLOOKUP(I1169,'Wk no''s'!C:C,'Wk no''s'!E:E,0)</f>
        <v>Oct</v>
      </c>
    </row>
    <row r="1170" spans="1:12" x14ac:dyDescent="0.25">
      <c r="A1170" s="1">
        <v>45924</v>
      </c>
      <c r="B1170" t="s">
        <v>1815</v>
      </c>
      <c r="C1170" t="s">
        <v>1844</v>
      </c>
      <c r="D1170" t="s">
        <v>15</v>
      </c>
      <c r="E1170">
        <v>200000</v>
      </c>
      <c r="F1170" s="1">
        <v>45937</v>
      </c>
      <c r="G1170" t="s">
        <v>16</v>
      </c>
      <c r="H1170" t="s">
        <v>19</v>
      </c>
      <c r="I1170" s="13">
        <f>_xlfn.XLOOKUP(F1170,'Wk no''s'!B:B,'Wk no''s'!C:C,FALSE)</f>
        <v>41</v>
      </c>
      <c r="J1170" s="13">
        <f>IF(D1170="GBP",1,SUMIFS('Ex Rates'!I:I,'Ex Rates'!K:K,'Weekly Closed Proposal Requests'!L1170,'Ex Rates'!G:G,'Weekly Closed Proposal Requests'!D1170))</f>
        <v>1</v>
      </c>
      <c r="K1170" s="13">
        <f t="shared" si="18"/>
        <v>200000</v>
      </c>
      <c r="L1170" s="13" t="str">
        <f>_xlfn.XLOOKUP(I1170,'Wk no''s'!C:C,'Wk no''s'!E:E,0)</f>
        <v>Oct</v>
      </c>
    </row>
    <row r="1171" spans="1:12" x14ac:dyDescent="0.25">
      <c r="A1171" s="1">
        <v>45926</v>
      </c>
      <c r="B1171" t="s">
        <v>1819</v>
      </c>
      <c r="C1171" t="s">
        <v>1845</v>
      </c>
      <c r="D1171" t="s">
        <v>15</v>
      </c>
      <c r="E1171">
        <v>25000</v>
      </c>
      <c r="F1171" s="1">
        <v>45939</v>
      </c>
      <c r="G1171" t="s">
        <v>16</v>
      </c>
      <c r="H1171" t="s">
        <v>19</v>
      </c>
      <c r="I1171" s="13">
        <f>_xlfn.XLOOKUP(F1171,'Wk no''s'!B:B,'Wk no''s'!C:C,FALSE)</f>
        <v>41</v>
      </c>
      <c r="J1171" s="13">
        <f>IF(D1171="GBP",1,SUMIFS('Ex Rates'!I:I,'Ex Rates'!K:K,'Weekly Closed Proposal Requests'!L1171,'Ex Rates'!G:G,'Weekly Closed Proposal Requests'!D1171))</f>
        <v>1</v>
      </c>
      <c r="K1171" s="13">
        <f t="shared" si="18"/>
        <v>25000</v>
      </c>
      <c r="L1171" s="13" t="str">
        <f>_xlfn.XLOOKUP(I1171,'Wk no''s'!C:C,'Wk no''s'!E:E,0)</f>
        <v>Oct</v>
      </c>
    </row>
    <row r="1172" spans="1:12" x14ac:dyDescent="0.25">
      <c r="A1172" s="1">
        <v>45926</v>
      </c>
      <c r="B1172" t="s">
        <v>1816</v>
      </c>
      <c r="C1172" t="s">
        <v>1846</v>
      </c>
      <c r="D1172" t="s">
        <v>15</v>
      </c>
      <c r="E1172">
        <v>50000</v>
      </c>
      <c r="F1172" s="1">
        <v>45938</v>
      </c>
      <c r="G1172" t="s">
        <v>16</v>
      </c>
      <c r="H1172" t="s">
        <v>19</v>
      </c>
      <c r="I1172" s="13">
        <f>_xlfn.XLOOKUP(F1172,'Wk no''s'!B:B,'Wk no''s'!C:C,FALSE)</f>
        <v>41</v>
      </c>
      <c r="J1172" s="13">
        <f>IF(D1172="GBP",1,SUMIFS('Ex Rates'!I:I,'Ex Rates'!K:K,'Weekly Closed Proposal Requests'!L1172,'Ex Rates'!G:G,'Weekly Closed Proposal Requests'!D1172))</f>
        <v>1</v>
      </c>
      <c r="K1172" s="13">
        <f t="shared" si="18"/>
        <v>50000</v>
      </c>
      <c r="L1172" s="13" t="str">
        <f>_xlfn.XLOOKUP(I1172,'Wk no''s'!C:C,'Wk no''s'!E:E,0)</f>
        <v>Oct</v>
      </c>
    </row>
    <row r="1173" spans="1:12" x14ac:dyDescent="0.25">
      <c r="A1173" s="1">
        <v>45931</v>
      </c>
      <c r="B1173" t="s">
        <v>1820</v>
      </c>
      <c r="C1173" t="s">
        <v>1847</v>
      </c>
      <c r="D1173" t="s">
        <v>15</v>
      </c>
      <c r="E1173">
        <v>600000</v>
      </c>
      <c r="F1173" s="1">
        <v>45937</v>
      </c>
      <c r="G1173" t="s">
        <v>16</v>
      </c>
      <c r="H1173" t="s">
        <v>19</v>
      </c>
      <c r="I1173" s="13">
        <f>_xlfn.XLOOKUP(F1173,'Wk no''s'!B:B,'Wk no''s'!C:C,FALSE)</f>
        <v>41</v>
      </c>
      <c r="J1173" s="13">
        <f>IF(D1173="GBP",1,SUMIFS('Ex Rates'!I:I,'Ex Rates'!K:K,'Weekly Closed Proposal Requests'!L1173,'Ex Rates'!G:G,'Weekly Closed Proposal Requests'!D1173))</f>
        <v>1</v>
      </c>
      <c r="K1173" s="13">
        <f t="shared" si="18"/>
        <v>600000</v>
      </c>
      <c r="L1173" s="13" t="str">
        <f>_xlfn.XLOOKUP(I1173,'Wk no''s'!C:C,'Wk no''s'!E:E,0)</f>
        <v>Oct</v>
      </c>
    </row>
    <row r="1174" spans="1:12" x14ac:dyDescent="0.25">
      <c r="A1174" s="1">
        <v>45932</v>
      </c>
      <c r="B1174" t="s">
        <v>1821</v>
      </c>
      <c r="C1174" t="s">
        <v>1848</v>
      </c>
      <c r="D1174" t="s">
        <v>15</v>
      </c>
      <c r="E1174">
        <v>75000</v>
      </c>
      <c r="F1174" s="1">
        <v>45937</v>
      </c>
      <c r="G1174" t="s">
        <v>16</v>
      </c>
      <c r="H1174" t="s">
        <v>19</v>
      </c>
      <c r="I1174" s="13">
        <f>_xlfn.XLOOKUP(F1174,'Wk no''s'!B:B,'Wk no''s'!C:C,FALSE)</f>
        <v>41</v>
      </c>
      <c r="J1174" s="13">
        <f>IF(D1174="GBP",1,SUMIFS('Ex Rates'!I:I,'Ex Rates'!K:K,'Weekly Closed Proposal Requests'!L1174,'Ex Rates'!G:G,'Weekly Closed Proposal Requests'!D1174))</f>
        <v>1</v>
      </c>
      <c r="K1174" s="13">
        <f t="shared" ref="K1174:K1194" si="19">+E1174*J1174</f>
        <v>75000</v>
      </c>
      <c r="L1174" s="13" t="str">
        <f>_xlfn.XLOOKUP(I1174,'Wk no''s'!C:C,'Wk no''s'!E:E,0)</f>
        <v>Oct</v>
      </c>
    </row>
    <row r="1175" spans="1:12" x14ac:dyDescent="0.25">
      <c r="A1175" s="1">
        <v>45933</v>
      </c>
      <c r="B1175" t="s">
        <v>1822</v>
      </c>
      <c r="C1175" t="s">
        <v>1558</v>
      </c>
      <c r="D1175" t="s">
        <v>15</v>
      </c>
      <c r="E1175">
        <v>100000</v>
      </c>
      <c r="F1175" s="1">
        <v>45936</v>
      </c>
      <c r="G1175" t="s">
        <v>16</v>
      </c>
      <c r="H1175" t="s">
        <v>19</v>
      </c>
      <c r="I1175" s="13">
        <f>_xlfn.XLOOKUP(F1175,'Wk no''s'!B:B,'Wk no''s'!C:C,FALSE)</f>
        <v>41</v>
      </c>
      <c r="J1175" s="13">
        <f>IF(D1175="GBP",1,SUMIFS('Ex Rates'!I:I,'Ex Rates'!K:K,'Weekly Closed Proposal Requests'!L1175,'Ex Rates'!G:G,'Weekly Closed Proposal Requests'!D1175))</f>
        <v>1</v>
      </c>
      <c r="K1175" s="13">
        <f t="shared" si="19"/>
        <v>100000</v>
      </c>
      <c r="L1175" s="13" t="str">
        <f>_xlfn.XLOOKUP(I1175,'Wk no''s'!C:C,'Wk no''s'!E:E,0)</f>
        <v>Oct</v>
      </c>
    </row>
    <row r="1176" spans="1:12" x14ac:dyDescent="0.25">
      <c r="A1176" s="1">
        <v>45937</v>
      </c>
      <c r="B1176" t="s">
        <v>1824</v>
      </c>
      <c r="C1176" t="s">
        <v>1849</v>
      </c>
      <c r="D1176" t="s">
        <v>15</v>
      </c>
      <c r="E1176">
        <v>50000</v>
      </c>
      <c r="F1176" s="1">
        <v>45940</v>
      </c>
      <c r="G1176" t="s">
        <v>16</v>
      </c>
      <c r="H1176" t="s">
        <v>19</v>
      </c>
      <c r="I1176" s="13">
        <f>_xlfn.XLOOKUP(F1176,'Wk no''s'!B:B,'Wk no''s'!C:C,FALSE)</f>
        <v>41</v>
      </c>
      <c r="J1176" s="13">
        <f>IF(D1176="GBP",1,SUMIFS('Ex Rates'!I:I,'Ex Rates'!K:K,'Weekly Closed Proposal Requests'!L1176,'Ex Rates'!G:G,'Weekly Closed Proposal Requests'!D1176))</f>
        <v>1</v>
      </c>
      <c r="K1176" s="13">
        <f t="shared" si="19"/>
        <v>50000</v>
      </c>
      <c r="L1176" s="13" t="str">
        <f>_xlfn.XLOOKUP(I1176,'Wk no''s'!C:C,'Wk no''s'!E:E,0)</f>
        <v>Oct</v>
      </c>
    </row>
    <row r="1177" spans="1:12" x14ac:dyDescent="0.25">
      <c r="A1177" s="1">
        <v>45938</v>
      </c>
      <c r="B1177" t="s">
        <v>1825</v>
      </c>
      <c r="C1177" t="s">
        <v>1523</v>
      </c>
      <c r="D1177" t="s">
        <v>15</v>
      </c>
      <c r="E1177">
        <v>40000</v>
      </c>
      <c r="F1177" s="1">
        <v>45939</v>
      </c>
      <c r="G1177" t="s">
        <v>16</v>
      </c>
      <c r="H1177" t="s">
        <v>19</v>
      </c>
      <c r="I1177" s="13">
        <f>_xlfn.XLOOKUP(F1177,'Wk no''s'!B:B,'Wk no''s'!C:C,FALSE)</f>
        <v>41</v>
      </c>
      <c r="J1177" s="13">
        <f>IF(D1177="GBP",1,SUMIFS('Ex Rates'!I:I,'Ex Rates'!K:K,'Weekly Closed Proposal Requests'!L1177,'Ex Rates'!G:G,'Weekly Closed Proposal Requests'!D1177))</f>
        <v>1</v>
      </c>
      <c r="K1177" s="13">
        <f t="shared" si="19"/>
        <v>40000</v>
      </c>
      <c r="L1177" s="13" t="str">
        <f>_xlfn.XLOOKUP(I1177,'Wk no''s'!C:C,'Wk no''s'!E:E,0)</f>
        <v>Oct</v>
      </c>
    </row>
    <row r="1178" spans="1:12" x14ac:dyDescent="0.25">
      <c r="A1178" s="1">
        <v>45938</v>
      </c>
      <c r="B1178" t="s">
        <v>1826</v>
      </c>
      <c r="C1178" t="s">
        <v>1848</v>
      </c>
      <c r="D1178" t="s">
        <v>15</v>
      </c>
      <c r="E1178">
        <v>75000</v>
      </c>
      <c r="F1178" s="1">
        <v>45939</v>
      </c>
      <c r="G1178" t="s">
        <v>16</v>
      </c>
      <c r="H1178" t="s">
        <v>19</v>
      </c>
      <c r="I1178" s="13">
        <f>_xlfn.XLOOKUP(F1178,'Wk no''s'!B:B,'Wk no''s'!C:C,FALSE)</f>
        <v>41</v>
      </c>
      <c r="J1178" s="13">
        <f>IF(D1178="GBP",1,SUMIFS('Ex Rates'!I:I,'Ex Rates'!K:K,'Weekly Closed Proposal Requests'!L1178,'Ex Rates'!G:G,'Weekly Closed Proposal Requests'!D1178))</f>
        <v>1</v>
      </c>
      <c r="K1178" s="13">
        <f t="shared" si="19"/>
        <v>75000</v>
      </c>
      <c r="L1178" s="13" t="str">
        <f>_xlfn.XLOOKUP(I1178,'Wk no''s'!C:C,'Wk no''s'!E:E,0)</f>
        <v>Oct</v>
      </c>
    </row>
    <row r="1179" spans="1:12" x14ac:dyDescent="0.25">
      <c r="A1179" s="1">
        <v>45938</v>
      </c>
      <c r="B1179" t="s">
        <v>1827</v>
      </c>
      <c r="C1179" t="s">
        <v>1064</v>
      </c>
      <c r="D1179" t="s">
        <v>15</v>
      </c>
      <c r="E1179">
        <v>20000</v>
      </c>
      <c r="F1179" s="1">
        <v>45939</v>
      </c>
      <c r="G1179" t="s">
        <v>16</v>
      </c>
      <c r="H1179" t="s">
        <v>19</v>
      </c>
      <c r="I1179" s="13">
        <f>_xlfn.XLOOKUP(F1179,'Wk no''s'!B:B,'Wk no''s'!C:C,FALSE)</f>
        <v>41</v>
      </c>
      <c r="J1179" s="13">
        <f>IF(D1179="GBP",1,SUMIFS('Ex Rates'!I:I,'Ex Rates'!K:K,'Weekly Closed Proposal Requests'!L1179,'Ex Rates'!G:G,'Weekly Closed Proposal Requests'!D1179))</f>
        <v>1</v>
      </c>
      <c r="K1179" s="13">
        <f t="shared" si="19"/>
        <v>20000</v>
      </c>
      <c r="L1179" s="13" t="str">
        <f>_xlfn.XLOOKUP(I1179,'Wk no''s'!C:C,'Wk no''s'!E:E,0)</f>
        <v>Oct</v>
      </c>
    </row>
    <row r="1180" spans="1:12" x14ac:dyDescent="0.25">
      <c r="A1180" s="1">
        <v>45939</v>
      </c>
      <c r="B1180" t="s">
        <v>1828</v>
      </c>
      <c r="C1180" t="s">
        <v>791</v>
      </c>
      <c r="D1180" t="s">
        <v>15</v>
      </c>
      <c r="E1180">
        <v>400000</v>
      </c>
      <c r="F1180" s="1">
        <v>45939</v>
      </c>
      <c r="G1180" t="s">
        <v>16</v>
      </c>
      <c r="H1180" t="s">
        <v>19</v>
      </c>
      <c r="I1180" s="13">
        <f>_xlfn.XLOOKUP(F1180,'Wk no''s'!B:B,'Wk no''s'!C:C,FALSE)</f>
        <v>41</v>
      </c>
      <c r="J1180" s="13">
        <f>IF(D1180="GBP",1,SUMIFS('Ex Rates'!I:I,'Ex Rates'!K:K,'Weekly Closed Proposal Requests'!L1180,'Ex Rates'!G:G,'Weekly Closed Proposal Requests'!D1180))</f>
        <v>1</v>
      </c>
      <c r="K1180" s="13">
        <f t="shared" si="19"/>
        <v>400000</v>
      </c>
      <c r="L1180" s="13" t="str">
        <f>_xlfn.XLOOKUP(I1180,'Wk no''s'!C:C,'Wk no''s'!E:E,0)</f>
        <v>Oct</v>
      </c>
    </row>
    <row r="1181" spans="1:12" x14ac:dyDescent="0.25">
      <c r="A1181" s="1">
        <v>45939</v>
      </c>
      <c r="B1181" t="s">
        <v>1817</v>
      </c>
      <c r="C1181" t="s">
        <v>1472</v>
      </c>
      <c r="D1181" t="s">
        <v>15</v>
      </c>
      <c r="E1181">
        <v>10000</v>
      </c>
      <c r="F1181" s="1">
        <v>45940</v>
      </c>
      <c r="G1181" t="s">
        <v>16</v>
      </c>
      <c r="H1181" t="s">
        <v>19</v>
      </c>
      <c r="I1181" s="13">
        <f>_xlfn.XLOOKUP(F1181,'Wk no''s'!B:B,'Wk no''s'!C:C,FALSE)</f>
        <v>41</v>
      </c>
      <c r="J1181" s="13">
        <f>IF(D1181="GBP",1,SUMIFS('Ex Rates'!I:I,'Ex Rates'!K:K,'Weekly Closed Proposal Requests'!L1181,'Ex Rates'!G:G,'Weekly Closed Proposal Requests'!D1181))</f>
        <v>1</v>
      </c>
      <c r="K1181" s="13">
        <f t="shared" si="19"/>
        <v>10000</v>
      </c>
      <c r="L1181" s="13" t="str">
        <f>_xlfn.XLOOKUP(I1181,'Wk no''s'!C:C,'Wk no''s'!E:E,0)</f>
        <v>Oct</v>
      </c>
    </row>
    <row r="1182" spans="1:12" x14ac:dyDescent="0.25">
      <c r="A1182" s="1">
        <v>45924</v>
      </c>
      <c r="B1182" t="s">
        <v>1830</v>
      </c>
      <c r="C1182" t="s">
        <v>1850</v>
      </c>
      <c r="D1182" t="s">
        <v>46</v>
      </c>
      <c r="E1182">
        <v>500000</v>
      </c>
      <c r="F1182" s="1">
        <v>45939</v>
      </c>
      <c r="G1182" t="s">
        <v>47</v>
      </c>
      <c r="H1182" t="s">
        <v>19</v>
      </c>
      <c r="I1182" s="13">
        <f>_xlfn.XLOOKUP(F1182,'Wk no''s'!B:B,'Wk no''s'!C:C,FALSE)</f>
        <v>41</v>
      </c>
      <c r="J1182" s="13">
        <f>IF(D1182="GBP",1,SUMIFS('Ex Rates'!I:I,'Ex Rates'!K:K,'Weekly Closed Proposal Requests'!L1182,'Ex Rates'!G:G,'Weekly Closed Proposal Requests'!D1182))</f>
        <v>0.73909830007390986</v>
      </c>
      <c r="K1182" s="13">
        <f t="shared" si="19"/>
        <v>369549.1500369549</v>
      </c>
      <c r="L1182" s="13" t="str">
        <f>_xlfn.XLOOKUP(I1182,'Wk no''s'!C:C,'Wk no''s'!E:E,0)</f>
        <v>Oct</v>
      </c>
    </row>
    <row r="1183" spans="1:12" x14ac:dyDescent="0.25">
      <c r="A1183" s="1">
        <v>45926</v>
      </c>
      <c r="B1183" t="s">
        <v>1832</v>
      </c>
      <c r="C1183" t="s">
        <v>1851</v>
      </c>
      <c r="D1183" t="s">
        <v>46</v>
      </c>
      <c r="E1183">
        <v>150000</v>
      </c>
      <c r="F1183" s="1">
        <v>45940</v>
      </c>
      <c r="G1183" t="s">
        <v>47</v>
      </c>
      <c r="H1183" t="s">
        <v>19</v>
      </c>
      <c r="I1183" s="13">
        <f>_xlfn.XLOOKUP(F1183,'Wk no''s'!B:B,'Wk no''s'!C:C,FALSE)</f>
        <v>41</v>
      </c>
      <c r="J1183" s="13">
        <f>IF(D1183="GBP",1,SUMIFS('Ex Rates'!I:I,'Ex Rates'!K:K,'Weekly Closed Proposal Requests'!L1183,'Ex Rates'!G:G,'Weekly Closed Proposal Requests'!D1183))</f>
        <v>0.73909830007390986</v>
      </c>
      <c r="K1183" s="13">
        <f t="shared" si="19"/>
        <v>110864.74501108647</v>
      </c>
      <c r="L1183" s="13" t="str">
        <f>_xlfn.XLOOKUP(I1183,'Wk no''s'!C:C,'Wk no''s'!E:E,0)</f>
        <v>Oct</v>
      </c>
    </row>
    <row r="1184" spans="1:12" x14ac:dyDescent="0.25">
      <c r="A1184" s="1">
        <v>45909</v>
      </c>
      <c r="B1184" t="s">
        <v>1829</v>
      </c>
      <c r="C1184" t="s">
        <v>1366</v>
      </c>
      <c r="D1184" t="s">
        <v>46</v>
      </c>
      <c r="E1184">
        <v>900000</v>
      </c>
      <c r="F1184" s="1">
        <v>45936</v>
      </c>
      <c r="G1184" t="s">
        <v>47</v>
      </c>
      <c r="H1184" t="s">
        <v>50</v>
      </c>
      <c r="I1184" s="13">
        <f>_xlfn.XLOOKUP(F1184,'Wk no''s'!B:B,'Wk no''s'!C:C,FALSE)</f>
        <v>41</v>
      </c>
      <c r="J1184" s="13">
        <f>IF(D1184="GBP",1,SUMIFS('Ex Rates'!I:I,'Ex Rates'!K:K,'Weekly Closed Proposal Requests'!L1184,'Ex Rates'!G:G,'Weekly Closed Proposal Requests'!D1184))</f>
        <v>0.73909830007390986</v>
      </c>
      <c r="K1184" s="13">
        <f t="shared" si="19"/>
        <v>665188.47006651887</v>
      </c>
      <c r="L1184" s="13" t="str">
        <f>_xlfn.XLOOKUP(I1184,'Wk no''s'!C:C,'Wk no''s'!E:E,0)</f>
        <v>Oct</v>
      </c>
    </row>
    <row r="1185" spans="1:12" x14ac:dyDescent="0.25">
      <c r="A1185" s="1">
        <v>45926</v>
      </c>
      <c r="B1185" t="s">
        <v>1831</v>
      </c>
      <c r="C1185" t="s">
        <v>215</v>
      </c>
      <c r="D1185" t="s">
        <v>46</v>
      </c>
      <c r="E1185">
        <v>90000</v>
      </c>
      <c r="F1185" s="1">
        <v>45936</v>
      </c>
      <c r="G1185" t="s">
        <v>47</v>
      </c>
      <c r="H1185" t="s">
        <v>50</v>
      </c>
      <c r="I1185" s="13">
        <f>_xlfn.XLOOKUP(F1185,'Wk no''s'!B:B,'Wk no''s'!C:C,FALSE)</f>
        <v>41</v>
      </c>
      <c r="J1185" s="13">
        <f>IF(D1185="GBP",1,SUMIFS('Ex Rates'!I:I,'Ex Rates'!K:K,'Weekly Closed Proposal Requests'!L1185,'Ex Rates'!G:G,'Weekly Closed Proposal Requests'!D1185))</f>
        <v>0.73909830007390986</v>
      </c>
      <c r="K1185" s="13">
        <f t="shared" si="19"/>
        <v>66518.847006651893</v>
      </c>
      <c r="L1185" s="13" t="str">
        <f>_xlfn.XLOOKUP(I1185,'Wk no''s'!C:C,'Wk no''s'!E:E,0)</f>
        <v>Oct</v>
      </c>
    </row>
    <row r="1186" spans="1:12" x14ac:dyDescent="0.25">
      <c r="A1186" s="1">
        <v>45929</v>
      </c>
      <c r="B1186" t="s">
        <v>1853</v>
      </c>
      <c r="C1186" t="s">
        <v>1874</v>
      </c>
      <c r="D1186" t="s">
        <v>15</v>
      </c>
      <c r="E1186">
        <v>44937.760000000002</v>
      </c>
      <c r="F1186" s="1">
        <v>45942</v>
      </c>
      <c r="G1186" t="s">
        <v>47</v>
      </c>
      <c r="H1186" t="s">
        <v>50</v>
      </c>
      <c r="I1186" s="13">
        <f>_xlfn.XLOOKUP(F1186,'Wk no''s'!B:B,'Wk no''s'!C:C,FALSE)</f>
        <v>42</v>
      </c>
      <c r="J1186" s="13">
        <f>IF(D1186="GBP",1,SUMIFS('Ex Rates'!I:I,'Ex Rates'!K:K,'Weekly Closed Proposal Requests'!L1186,'Ex Rates'!G:G,'Weekly Closed Proposal Requests'!D1186))</f>
        <v>1</v>
      </c>
      <c r="K1186" s="13">
        <f t="shared" si="19"/>
        <v>44937.760000000002</v>
      </c>
      <c r="L1186" s="13" t="str">
        <f>_xlfn.XLOOKUP(I1186,'Wk no''s'!C:C,'Wk no''s'!E:E,0)</f>
        <v>Oct</v>
      </c>
    </row>
    <row r="1187" spans="1:12" x14ac:dyDescent="0.25">
      <c r="A1187" s="1">
        <v>45937</v>
      </c>
      <c r="B1187" t="s">
        <v>1833</v>
      </c>
      <c r="C1187" t="s">
        <v>672</v>
      </c>
      <c r="D1187" t="s">
        <v>15</v>
      </c>
      <c r="E1187">
        <v>24806.15</v>
      </c>
      <c r="F1187" s="1">
        <v>45939</v>
      </c>
      <c r="G1187" t="s">
        <v>47</v>
      </c>
      <c r="H1187" t="s">
        <v>50</v>
      </c>
      <c r="I1187" s="13">
        <f>_xlfn.XLOOKUP(F1187,'Wk no''s'!B:B,'Wk no''s'!C:C,FALSE)</f>
        <v>41</v>
      </c>
      <c r="J1187" s="13">
        <f>IF(D1187="GBP",1,SUMIFS('Ex Rates'!I:I,'Ex Rates'!K:K,'Weekly Closed Proposal Requests'!L1187,'Ex Rates'!G:G,'Weekly Closed Proposal Requests'!D1187))</f>
        <v>1</v>
      </c>
      <c r="K1187" s="13">
        <f t="shared" si="19"/>
        <v>24806.15</v>
      </c>
      <c r="L1187" s="13" t="str">
        <f>_xlfn.XLOOKUP(I1187,'Wk no''s'!C:C,'Wk no''s'!E:E,0)</f>
        <v>Oct</v>
      </c>
    </row>
    <row r="1188" spans="1:12" x14ac:dyDescent="0.25">
      <c r="A1188" s="1">
        <v>45916</v>
      </c>
      <c r="B1188" t="s">
        <v>1834</v>
      </c>
      <c r="C1188" t="s">
        <v>432</v>
      </c>
      <c r="D1188" t="s">
        <v>15</v>
      </c>
      <c r="E1188">
        <v>900000</v>
      </c>
      <c r="F1188" s="1">
        <v>45939</v>
      </c>
      <c r="G1188" t="s">
        <v>11</v>
      </c>
      <c r="H1188" t="s">
        <v>19</v>
      </c>
      <c r="I1188" s="13">
        <f>_xlfn.XLOOKUP(F1188,'Wk no''s'!B:B,'Wk no''s'!C:C,FALSE)</f>
        <v>41</v>
      </c>
      <c r="J1188" s="13">
        <f>IF(D1188="GBP",1,SUMIFS('Ex Rates'!I:I,'Ex Rates'!K:K,'Weekly Closed Proposal Requests'!L1188,'Ex Rates'!G:G,'Weekly Closed Proposal Requests'!D1188))</f>
        <v>1</v>
      </c>
      <c r="K1188" s="13">
        <f t="shared" si="19"/>
        <v>900000</v>
      </c>
      <c r="L1188" s="13" t="str">
        <f>_xlfn.XLOOKUP(I1188,'Wk no''s'!C:C,'Wk no''s'!E:E,0)</f>
        <v>Oct</v>
      </c>
    </row>
    <row r="1189" spans="1:12" x14ac:dyDescent="0.25">
      <c r="A1189" s="1">
        <v>45932</v>
      </c>
      <c r="B1189" t="s">
        <v>1835</v>
      </c>
      <c r="C1189" t="s">
        <v>1585</v>
      </c>
      <c r="D1189" t="s">
        <v>10</v>
      </c>
      <c r="E1189">
        <v>100000</v>
      </c>
      <c r="F1189" s="1">
        <v>45939</v>
      </c>
      <c r="G1189" t="s">
        <v>11</v>
      </c>
      <c r="H1189" t="s">
        <v>50</v>
      </c>
      <c r="I1189" s="13">
        <f>_xlfn.XLOOKUP(F1189,'Wk no''s'!B:B,'Wk no''s'!C:C,FALSE)</f>
        <v>41</v>
      </c>
      <c r="J1189" s="13">
        <f>IF(D1189="GBP",1,SUMIFS('Ex Rates'!I:I,'Ex Rates'!K:K,'Weekly Closed Proposal Requests'!L1189,'Ex Rates'!G:G,'Weekly Closed Proposal Requests'!D1189))</f>
        <v>0.48355899419729204</v>
      </c>
      <c r="K1189" s="13">
        <f t="shared" si="19"/>
        <v>48355.899419729205</v>
      </c>
      <c r="L1189" s="13" t="str">
        <f>_xlfn.XLOOKUP(I1189,'Wk no''s'!C:C,'Wk no''s'!E:E,0)</f>
        <v>Oct</v>
      </c>
    </row>
    <row r="1190" spans="1:12" x14ac:dyDescent="0.25">
      <c r="A1190" s="1">
        <v>45937</v>
      </c>
      <c r="B1190" t="s">
        <v>1836</v>
      </c>
      <c r="C1190" t="s">
        <v>179</v>
      </c>
      <c r="D1190" t="s">
        <v>15</v>
      </c>
      <c r="E1190">
        <v>1000000</v>
      </c>
      <c r="F1190" s="1">
        <v>45939</v>
      </c>
      <c r="G1190" t="s">
        <v>11</v>
      </c>
      <c r="H1190" t="s">
        <v>50</v>
      </c>
      <c r="I1190" s="13">
        <f>_xlfn.XLOOKUP(F1190,'Wk no''s'!B:B,'Wk no''s'!C:C,FALSE)</f>
        <v>41</v>
      </c>
      <c r="J1190" s="13">
        <f>IF(D1190="GBP",1,SUMIFS('Ex Rates'!I:I,'Ex Rates'!K:K,'Weekly Closed Proposal Requests'!L1190,'Ex Rates'!G:G,'Weekly Closed Proposal Requests'!D1190))</f>
        <v>1</v>
      </c>
      <c r="K1190" s="13">
        <f t="shared" si="19"/>
        <v>1000000</v>
      </c>
      <c r="L1190" s="13" t="str">
        <f>_xlfn.XLOOKUP(I1190,'Wk no''s'!C:C,'Wk no''s'!E:E,0)</f>
        <v>Oct</v>
      </c>
    </row>
    <row r="1191" spans="1:12" x14ac:dyDescent="0.25">
      <c r="A1191" s="1">
        <v>45923</v>
      </c>
      <c r="B1191" t="s">
        <v>1838</v>
      </c>
      <c r="C1191" t="s">
        <v>1852</v>
      </c>
      <c r="D1191" t="s">
        <v>15</v>
      </c>
      <c r="E1191">
        <v>10000</v>
      </c>
      <c r="F1191" s="1">
        <v>45939</v>
      </c>
      <c r="G1191" t="s">
        <v>72</v>
      </c>
      <c r="H1191" t="s">
        <v>19</v>
      </c>
      <c r="I1191" s="13">
        <f>_xlfn.XLOOKUP(F1191,'Wk no''s'!B:B,'Wk no''s'!C:C,FALSE)</f>
        <v>41</v>
      </c>
      <c r="J1191" s="13">
        <f>IF(D1191="GBP",1,SUMIFS('Ex Rates'!I:I,'Ex Rates'!K:K,'Weekly Closed Proposal Requests'!L1191,'Ex Rates'!G:G,'Weekly Closed Proposal Requests'!D1191))</f>
        <v>1</v>
      </c>
      <c r="K1191" s="13">
        <f t="shared" si="19"/>
        <v>10000</v>
      </c>
      <c r="L1191" s="13" t="str">
        <f>_xlfn.XLOOKUP(I1191,'Wk no''s'!C:C,'Wk no''s'!E:E,0)</f>
        <v>Oct</v>
      </c>
    </row>
    <row r="1192" spans="1:12" x14ac:dyDescent="0.25">
      <c r="A1192" s="1">
        <v>45932</v>
      </c>
      <c r="B1192" t="s">
        <v>1837</v>
      </c>
      <c r="C1192" t="s">
        <v>1717</v>
      </c>
      <c r="D1192" t="s">
        <v>15</v>
      </c>
      <c r="E1192">
        <v>500000</v>
      </c>
      <c r="F1192" s="1">
        <v>45940</v>
      </c>
      <c r="G1192" t="s">
        <v>72</v>
      </c>
      <c r="H1192" t="s">
        <v>19</v>
      </c>
      <c r="I1192" s="13">
        <f>_xlfn.XLOOKUP(F1192,'Wk no''s'!B:B,'Wk no''s'!C:C,FALSE)</f>
        <v>41</v>
      </c>
      <c r="J1192" s="13">
        <f>IF(D1192="GBP",1,SUMIFS('Ex Rates'!I:I,'Ex Rates'!K:K,'Weekly Closed Proposal Requests'!L1192,'Ex Rates'!G:G,'Weekly Closed Proposal Requests'!D1192))</f>
        <v>1</v>
      </c>
      <c r="K1192" s="13">
        <f t="shared" si="19"/>
        <v>500000</v>
      </c>
      <c r="L1192" s="13" t="str">
        <f>_xlfn.XLOOKUP(I1192,'Wk no''s'!C:C,'Wk no''s'!E:E,0)</f>
        <v>Oct</v>
      </c>
    </row>
    <row r="1193" spans="1:12" x14ac:dyDescent="0.25">
      <c r="A1193" s="1">
        <v>45933</v>
      </c>
      <c r="B1193" t="s">
        <v>1839</v>
      </c>
      <c r="C1193" t="s">
        <v>188</v>
      </c>
      <c r="D1193" t="s">
        <v>15</v>
      </c>
      <c r="E1193">
        <v>20000</v>
      </c>
      <c r="F1193" s="1">
        <v>45936</v>
      </c>
      <c r="G1193" t="s">
        <v>72</v>
      </c>
      <c r="H1193" t="s">
        <v>19</v>
      </c>
      <c r="I1193" s="13">
        <f>_xlfn.XLOOKUP(F1193,'Wk no''s'!B:B,'Wk no''s'!C:C,FALSE)</f>
        <v>41</v>
      </c>
      <c r="J1193" s="13">
        <f>IF(D1193="GBP",1,SUMIFS('Ex Rates'!I:I,'Ex Rates'!K:K,'Weekly Closed Proposal Requests'!L1193,'Ex Rates'!G:G,'Weekly Closed Proposal Requests'!D1193))</f>
        <v>1</v>
      </c>
      <c r="K1193" s="13">
        <f t="shared" si="19"/>
        <v>20000</v>
      </c>
      <c r="L1193" s="13" t="str">
        <f>_xlfn.XLOOKUP(I1193,'Wk no''s'!C:C,'Wk no''s'!E:E,0)</f>
        <v>Oct</v>
      </c>
    </row>
    <row r="1194" spans="1:12" x14ac:dyDescent="0.25">
      <c r="A1194" s="1">
        <v>45939</v>
      </c>
      <c r="B1194" t="s">
        <v>1840</v>
      </c>
      <c r="C1194" t="s">
        <v>1852</v>
      </c>
      <c r="D1194" t="s">
        <v>15</v>
      </c>
      <c r="E1194">
        <v>10000</v>
      </c>
      <c r="F1194" s="1">
        <v>45940</v>
      </c>
      <c r="G1194" t="s">
        <v>72</v>
      </c>
      <c r="H1194" t="s">
        <v>19</v>
      </c>
      <c r="I1194" s="13">
        <f>_xlfn.XLOOKUP(F1194,'Wk no''s'!B:B,'Wk no''s'!C:C,FALSE)</f>
        <v>41</v>
      </c>
      <c r="J1194" s="13">
        <f>IF(D1194="GBP",1,SUMIFS('Ex Rates'!I:I,'Ex Rates'!K:K,'Weekly Closed Proposal Requests'!L1194,'Ex Rates'!G:G,'Weekly Closed Proposal Requests'!D1194))</f>
        <v>1</v>
      </c>
      <c r="K1194" s="13">
        <f t="shared" si="19"/>
        <v>10000</v>
      </c>
      <c r="L1194" s="13" t="str">
        <f>_xlfn.XLOOKUP(I1194,'Wk no''s'!C:C,'Wk no''s'!E:E,0)</f>
        <v>Oct</v>
      </c>
    </row>
    <row r="1195" spans="1:12" x14ac:dyDescent="0.25">
      <c r="A1195" s="1">
        <v>45939</v>
      </c>
      <c r="B1195" t="s">
        <v>1841</v>
      </c>
      <c r="C1195" t="s">
        <v>1150</v>
      </c>
      <c r="D1195" t="s">
        <v>15</v>
      </c>
      <c r="E1195">
        <v>300000</v>
      </c>
      <c r="F1195" s="1">
        <v>45939</v>
      </c>
      <c r="G1195" t="s">
        <v>72</v>
      </c>
      <c r="H1195" t="s">
        <v>19</v>
      </c>
      <c r="I1195" s="13">
        <f>_xlfn.XLOOKUP(F1195,'Wk no''s'!B:B,'Wk no''s'!C:C,FALSE)</f>
        <v>41</v>
      </c>
      <c r="J1195" s="13">
        <f>IF(D1195="GBP",1,SUMIFS('Ex Rates'!I:I,'Ex Rates'!K:K,'Weekly Closed Proposal Requests'!L1195,'Ex Rates'!G:G,'Weekly Closed Proposal Requests'!D1195))</f>
        <v>1</v>
      </c>
      <c r="K1195" s="13">
        <f t="shared" ref="K1195:K1218" si="20">+E1195*J1195</f>
        <v>300000</v>
      </c>
      <c r="L1195" s="13" t="str">
        <f>_xlfn.XLOOKUP(I1195,'Wk no''s'!C:C,'Wk no''s'!E:E,0)</f>
        <v>Oct</v>
      </c>
    </row>
    <row r="1196" spans="1:12" x14ac:dyDescent="0.25">
      <c r="A1196" s="1">
        <v>45944</v>
      </c>
      <c r="B1196" t="s">
        <v>1860</v>
      </c>
      <c r="C1196" t="s">
        <v>697</v>
      </c>
      <c r="D1196" t="s">
        <v>15</v>
      </c>
      <c r="E1196">
        <v>70000</v>
      </c>
      <c r="F1196" s="1">
        <v>45944</v>
      </c>
      <c r="G1196" t="s">
        <v>16</v>
      </c>
      <c r="H1196" t="s">
        <v>12</v>
      </c>
      <c r="I1196" s="13">
        <f>_xlfn.XLOOKUP(F1196,'Wk no''s'!B:B,'Wk no''s'!C:C,FALSE)</f>
        <v>42</v>
      </c>
      <c r="J1196" s="13">
        <f>IF(D1196="GBP",1,SUMIFS('Ex Rates'!I:I,'Ex Rates'!K:K,'Weekly Closed Proposal Requests'!L1196,'Ex Rates'!G:G,'Weekly Closed Proposal Requests'!D1196))</f>
        <v>1</v>
      </c>
      <c r="K1196" s="13">
        <f t="shared" si="20"/>
        <v>70000</v>
      </c>
      <c r="L1196" s="13" t="str">
        <f>_xlfn.XLOOKUP(I1196,'Wk no''s'!C:C,'Wk no''s'!E:E,0)</f>
        <v>Oct</v>
      </c>
    </row>
    <row r="1197" spans="1:12" x14ac:dyDescent="0.25">
      <c r="A1197" s="1">
        <v>45944</v>
      </c>
      <c r="B1197" t="s">
        <v>1855</v>
      </c>
      <c r="C1197" t="s">
        <v>1875</v>
      </c>
      <c r="D1197" t="s">
        <v>15</v>
      </c>
      <c r="E1197">
        <v>0</v>
      </c>
      <c r="F1197" s="1">
        <v>45947</v>
      </c>
      <c r="G1197" t="s">
        <v>16</v>
      </c>
      <c r="H1197" t="s">
        <v>12</v>
      </c>
      <c r="I1197" s="13">
        <f>_xlfn.XLOOKUP(F1197,'Wk no''s'!B:B,'Wk no''s'!C:C,FALSE)</f>
        <v>42</v>
      </c>
      <c r="J1197" s="13">
        <f>IF(D1197="GBP",1,SUMIFS('Ex Rates'!I:I,'Ex Rates'!K:K,'Weekly Closed Proposal Requests'!L1197,'Ex Rates'!G:G,'Weekly Closed Proposal Requests'!D1197))</f>
        <v>1</v>
      </c>
      <c r="K1197" s="13">
        <f t="shared" si="20"/>
        <v>0</v>
      </c>
      <c r="L1197" s="13" t="str">
        <f>_xlfn.XLOOKUP(I1197,'Wk no''s'!C:C,'Wk no''s'!E:E,0)</f>
        <v>Oct</v>
      </c>
    </row>
    <row r="1198" spans="1:12" x14ac:dyDescent="0.25">
      <c r="A1198" s="1">
        <v>45925</v>
      </c>
      <c r="B1198" t="s">
        <v>1854</v>
      </c>
      <c r="C1198" t="s">
        <v>1523</v>
      </c>
      <c r="D1198" t="s">
        <v>15</v>
      </c>
      <c r="E1198">
        <v>100000</v>
      </c>
      <c r="F1198" s="1">
        <v>45946</v>
      </c>
      <c r="G1198" t="s">
        <v>16</v>
      </c>
      <c r="H1198" t="s">
        <v>19</v>
      </c>
      <c r="I1198" s="13">
        <f>_xlfn.XLOOKUP(F1198,'Wk no''s'!B:B,'Wk no''s'!C:C,FALSE)</f>
        <v>42</v>
      </c>
      <c r="J1198" s="13">
        <f>IF(D1198="GBP",1,SUMIFS('Ex Rates'!I:I,'Ex Rates'!K:K,'Weekly Closed Proposal Requests'!L1198,'Ex Rates'!G:G,'Weekly Closed Proposal Requests'!D1198))</f>
        <v>1</v>
      </c>
      <c r="K1198" s="13">
        <f t="shared" si="20"/>
        <v>100000</v>
      </c>
      <c r="L1198" s="13" t="str">
        <f>_xlfn.XLOOKUP(I1198,'Wk no''s'!C:C,'Wk no''s'!E:E,0)</f>
        <v>Oct</v>
      </c>
    </row>
    <row r="1199" spans="1:12" x14ac:dyDescent="0.25">
      <c r="A1199" s="1">
        <v>45939</v>
      </c>
      <c r="B1199" t="s">
        <v>1856</v>
      </c>
      <c r="C1199" t="s">
        <v>1876</v>
      </c>
      <c r="D1199" t="s">
        <v>15</v>
      </c>
      <c r="E1199">
        <v>25000</v>
      </c>
      <c r="F1199" s="1">
        <v>45947</v>
      </c>
      <c r="G1199" t="s">
        <v>16</v>
      </c>
      <c r="H1199" t="s">
        <v>19</v>
      </c>
      <c r="I1199" s="13">
        <f>_xlfn.XLOOKUP(F1199,'Wk no''s'!B:B,'Wk no''s'!C:C,FALSE)</f>
        <v>42</v>
      </c>
      <c r="J1199" s="13">
        <f>IF(D1199="GBP",1,SUMIFS('Ex Rates'!I:I,'Ex Rates'!K:K,'Weekly Closed Proposal Requests'!L1199,'Ex Rates'!G:G,'Weekly Closed Proposal Requests'!D1199))</f>
        <v>1</v>
      </c>
      <c r="K1199" s="13">
        <f t="shared" si="20"/>
        <v>25000</v>
      </c>
      <c r="L1199" s="13" t="str">
        <f>_xlfn.XLOOKUP(I1199,'Wk no''s'!C:C,'Wk no''s'!E:E,0)</f>
        <v>Oct</v>
      </c>
    </row>
    <row r="1200" spans="1:12" x14ac:dyDescent="0.25">
      <c r="A1200" s="1">
        <v>45939</v>
      </c>
      <c r="B1200" t="s">
        <v>1857</v>
      </c>
      <c r="C1200" t="s">
        <v>1846</v>
      </c>
      <c r="D1200" t="s">
        <v>15</v>
      </c>
      <c r="E1200">
        <v>100000</v>
      </c>
      <c r="F1200" s="1">
        <v>45943</v>
      </c>
      <c r="G1200" t="s">
        <v>16</v>
      </c>
      <c r="H1200" t="s">
        <v>19</v>
      </c>
      <c r="I1200" s="13">
        <f>_xlfn.XLOOKUP(F1200,'Wk no''s'!B:B,'Wk no''s'!C:C,FALSE)</f>
        <v>42</v>
      </c>
      <c r="J1200" s="13">
        <f>IF(D1200="GBP",1,SUMIFS('Ex Rates'!I:I,'Ex Rates'!K:K,'Weekly Closed Proposal Requests'!L1200,'Ex Rates'!G:G,'Weekly Closed Proposal Requests'!D1200))</f>
        <v>1</v>
      </c>
      <c r="K1200" s="13">
        <f t="shared" si="20"/>
        <v>100000</v>
      </c>
      <c r="L1200" s="13" t="str">
        <f>_xlfn.XLOOKUP(I1200,'Wk no''s'!C:C,'Wk no''s'!E:E,0)</f>
        <v>Oct</v>
      </c>
    </row>
    <row r="1201" spans="1:12" x14ac:dyDescent="0.25">
      <c r="A1201" s="1">
        <v>45939</v>
      </c>
      <c r="B1201" t="s">
        <v>1858</v>
      </c>
      <c r="C1201" t="s">
        <v>1533</v>
      </c>
      <c r="D1201" t="s">
        <v>15</v>
      </c>
      <c r="E1201">
        <v>1000000</v>
      </c>
      <c r="F1201" s="1">
        <v>45945</v>
      </c>
      <c r="G1201" t="s">
        <v>16</v>
      </c>
      <c r="H1201" t="s">
        <v>19</v>
      </c>
      <c r="I1201" s="13">
        <f>_xlfn.XLOOKUP(F1201,'Wk no''s'!B:B,'Wk no''s'!C:C,FALSE)</f>
        <v>42</v>
      </c>
      <c r="J1201" s="13">
        <f>IF(D1201="GBP",1,SUMIFS('Ex Rates'!I:I,'Ex Rates'!K:K,'Weekly Closed Proposal Requests'!L1201,'Ex Rates'!G:G,'Weekly Closed Proposal Requests'!D1201))</f>
        <v>1</v>
      </c>
      <c r="K1201" s="13">
        <f t="shared" si="20"/>
        <v>1000000</v>
      </c>
      <c r="L1201" s="13" t="str">
        <f>_xlfn.XLOOKUP(I1201,'Wk no''s'!C:C,'Wk no''s'!E:E,0)</f>
        <v>Oct</v>
      </c>
    </row>
    <row r="1202" spans="1:12" x14ac:dyDescent="0.25">
      <c r="A1202" s="1">
        <v>45941</v>
      </c>
      <c r="B1202" t="s">
        <v>1877</v>
      </c>
      <c r="C1202" t="s">
        <v>1721</v>
      </c>
      <c r="D1202" t="s">
        <v>15</v>
      </c>
      <c r="E1202">
        <v>50000</v>
      </c>
      <c r="F1202" s="1">
        <v>45947</v>
      </c>
      <c r="G1202" t="s">
        <v>16</v>
      </c>
      <c r="H1202" t="s">
        <v>19</v>
      </c>
      <c r="I1202" s="13">
        <f>_xlfn.XLOOKUP(F1202,'Wk no''s'!B:B,'Wk no''s'!C:C,FALSE)</f>
        <v>42</v>
      </c>
      <c r="J1202" s="13">
        <f>IF(D1202="GBP",1,SUMIFS('Ex Rates'!I:I,'Ex Rates'!K:K,'Weekly Closed Proposal Requests'!L1202,'Ex Rates'!G:G,'Weekly Closed Proposal Requests'!D1202))</f>
        <v>1</v>
      </c>
      <c r="K1202" s="13">
        <f t="shared" si="20"/>
        <v>50000</v>
      </c>
      <c r="L1202" s="13" t="str">
        <f>_xlfn.XLOOKUP(I1202,'Wk no''s'!C:C,'Wk no''s'!E:E,0)</f>
        <v>Oct</v>
      </c>
    </row>
    <row r="1203" spans="1:12" x14ac:dyDescent="0.25">
      <c r="A1203" s="1">
        <v>45943</v>
      </c>
      <c r="B1203" t="s">
        <v>1859</v>
      </c>
      <c r="C1203" t="s">
        <v>1651</v>
      </c>
      <c r="D1203" t="s">
        <v>15</v>
      </c>
      <c r="E1203">
        <v>8082.76</v>
      </c>
      <c r="F1203" s="1">
        <v>45943</v>
      </c>
      <c r="G1203" t="s">
        <v>16</v>
      </c>
      <c r="H1203" t="s">
        <v>19</v>
      </c>
      <c r="I1203" s="13">
        <f>_xlfn.XLOOKUP(F1203,'Wk no''s'!B:B,'Wk no''s'!C:C,FALSE)</f>
        <v>42</v>
      </c>
      <c r="J1203" s="13">
        <f>IF(D1203="GBP",1,SUMIFS('Ex Rates'!I:I,'Ex Rates'!K:K,'Weekly Closed Proposal Requests'!L1203,'Ex Rates'!G:G,'Weekly Closed Proposal Requests'!D1203))</f>
        <v>1</v>
      </c>
      <c r="K1203" s="13">
        <f t="shared" si="20"/>
        <v>8082.76</v>
      </c>
      <c r="L1203" s="13" t="str">
        <f>_xlfn.XLOOKUP(I1203,'Wk no''s'!C:C,'Wk no''s'!E:E,0)</f>
        <v>Oct</v>
      </c>
    </row>
    <row r="1204" spans="1:12" x14ac:dyDescent="0.25">
      <c r="A1204" s="1">
        <v>45943</v>
      </c>
      <c r="B1204" t="s">
        <v>1878</v>
      </c>
      <c r="C1204" t="s">
        <v>29</v>
      </c>
      <c r="D1204" t="s">
        <v>15</v>
      </c>
      <c r="E1204">
        <v>10000</v>
      </c>
      <c r="F1204" s="1">
        <v>45944</v>
      </c>
      <c r="G1204" t="s">
        <v>16</v>
      </c>
      <c r="H1204" t="s">
        <v>19</v>
      </c>
      <c r="I1204" s="13">
        <f>_xlfn.XLOOKUP(F1204,'Wk no''s'!B:B,'Wk no''s'!C:C,FALSE)</f>
        <v>42</v>
      </c>
      <c r="J1204" s="13">
        <f>IF(D1204="GBP",1,SUMIFS('Ex Rates'!I:I,'Ex Rates'!K:K,'Weekly Closed Proposal Requests'!L1204,'Ex Rates'!G:G,'Weekly Closed Proposal Requests'!D1204))</f>
        <v>1</v>
      </c>
      <c r="K1204" s="13">
        <f t="shared" si="20"/>
        <v>10000</v>
      </c>
      <c r="L1204" s="13" t="str">
        <f>_xlfn.XLOOKUP(I1204,'Wk no''s'!C:C,'Wk no''s'!E:E,0)</f>
        <v>Oct</v>
      </c>
    </row>
    <row r="1205" spans="1:12" x14ac:dyDescent="0.25">
      <c r="A1205" s="1">
        <v>45945</v>
      </c>
      <c r="B1205" t="s">
        <v>1861</v>
      </c>
      <c r="C1205" t="s">
        <v>1533</v>
      </c>
      <c r="D1205" t="s">
        <v>15</v>
      </c>
      <c r="E1205">
        <v>1000000</v>
      </c>
      <c r="F1205" s="1">
        <v>45947</v>
      </c>
      <c r="G1205" t="s">
        <v>16</v>
      </c>
      <c r="H1205" t="s">
        <v>19</v>
      </c>
      <c r="I1205" s="13">
        <f>_xlfn.XLOOKUP(F1205,'Wk no''s'!B:B,'Wk no''s'!C:C,FALSE)</f>
        <v>42</v>
      </c>
      <c r="J1205" s="13">
        <f>IF(D1205="GBP",1,SUMIFS('Ex Rates'!I:I,'Ex Rates'!K:K,'Weekly Closed Proposal Requests'!L1205,'Ex Rates'!G:G,'Weekly Closed Proposal Requests'!D1205))</f>
        <v>1</v>
      </c>
      <c r="K1205" s="13">
        <f t="shared" si="20"/>
        <v>1000000</v>
      </c>
      <c r="L1205" s="13" t="str">
        <f>_xlfn.XLOOKUP(I1205,'Wk no''s'!C:C,'Wk no''s'!E:E,0)</f>
        <v>Oct</v>
      </c>
    </row>
    <row r="1206" spans="1:12" x14ac:dyDescent="0.25">
      <c r="A1206" s="1">
        <v>45946</v>
      </c>
      <c r="B1206" t="s">
        <v>1862</v>
      </c>
      <c r="C1206" t="s">
        <v>1879</v>
      </c>
      <c r="D1206" t="s">
        <v>15</v>
      </c>
      <c r="E1206">
        <v>0</v>
      </c>
      <c r="F1206" s="1">
        <v>45946</v>
      </c>
      <c r="G1206" t="s">
        <v>16</v>
      </c>
      <c r="H1206" t="s">
        <v>19</v>
      </c>
      <c r="I1206" s="13">
        <f>_xlfn.XLOOKUP(F1206,'Wk no''s'!B:B,'Wk no''s'!C:C,FALSE)</f>
        <v>42</v>
      </c>
      <c r="J1206" s="13">
        <f>IF(D1206="GBP",1,SUMIFS('Ex Rates'!I:I,'Ex Rates'!K:K,'Weekly Closed Proposal Requests'!L1206,'Ex Rates'!G:G,'Weekly Closed Proposal Requests'!D1206))</f>
        <v>1</v>
      </c>
      <c r="K1206" s="13">
        <f t="shared" si="20"/>
        <v>0</v>
      </c>
      <c r="L1206" s="13" t="str">
        <f>_xlfn.XLOOKUP(I1206,'Wk no''s'!C:C,'Wk no''s'!E:E,0)</f>
        <v>Oct</v>
      </c>
    </row>
    <row r="1207" spans="1:12" x14ac:dyDescent="0.25">
      <c r="A1207" s="1">
        <v>45915</v>
      </c>
      <c r="B1207" t="s">
        <v>1863</v>
      </c>
      <c r="C1207" t="s">
        <v>1364</v>
      </c>
      <c r="D1207" t="s">
        <v>15</v>
      </c>
      <c r="E1207">
        <v>1300000</v>
      </c>
      <c r="F1207" s="1">
        <v>45947</v>
      </c>
      <c r="G1207" t="s">
        <v>47</v>
      </c>
      <c r="H1207" t="s">
        <v>50</v>
      </c>
      <c r="I1207" s="13">
        <f>_xlfn.XLOOKUP(F1207,'Wk no''s'!B:B,'Wk no''s'!C:C,FALSE)</f>
        <v>42</v>
      </c>
      <c r="J1207" s="13">
        <f>IF(D1207="GBP",1,SUMIFS('Ex Rates'!I:I,'Ex Rates'!K:K,'Weekly Closed Proposal Requests'!L1207,'Ex Rates'!G:G,'Weekly Closed Proposal Requests'!D1207))</f>
        <v>1</v>
      </c>
      <c r="K1207" s="13">
        <f t="shared" si="20"/>
        <v>1300000</v>
      </c>
      <c r="L1207" s="13" t="str">
        <f>_xlfn.XLOOKUP(I1207,'Wk no''s'!C:C,'Wk no''s'!E:E,0)</f>
        <v>Oct</v>
      </c>
    </row>
    <row r="1208" spans="1:12" x14ac:dyDescent="0.25">
      <c r="A1208" s="1">
        <v>45936</v>
      </c>
      <c r="B1208" t="s">
        <v>1864</v>
      </c>
      <c r="C1208" t="s">
        <v>576</v>
      </c>
      <c r="D1208" t="s">
        <v>15</v>
      </c>
      <c r="E1208">
        <v>80278.11</v>
      </c>
      <c r="F1208" s="1">
        <v>45943</v>
      </c>
      <c r="G1208" t="s">
        <v>47</v>
      </c>
      <c r="H1208" t="s">
        <v>50</v>
      </c>
      <c r="I1208" s="13">
        <f>_xlfn.XLOOKUP(F1208,'Wk no''s'!B:B,'Wk no''s'!C:C,FALSE)</f>
        <v>42</v>
      </c>
      <c r="J1208" s="13">
        <f>IF(D1208="GBP",1,SUMIFS('Ex Rates'!I:I,'Ex Rates'!K:K,'Weekly Closed Proposal Requests'!L1208,'Ex Rates'!G:G,'Weekly Closed Proposal Requests'!D1208))</f>
        <v>1</v>
      </c>
      <c r="K1208" s="13">
        <f t="shared" si="20"/>
        <v>80278.11</v>
      </c>
      <c r="L1208" s="13" t="str">
        <f>_xlfn.XLOOKUP(I1208,'Wk no''s'!C:C,'Wk no''s'!E:E,0)</f>
        <v>Oct</v>
      </c>
    </row>
    <row r="1209" spans="1:12" x14ac:dyDescent="0.25">
      <c r="A1209" s="1">
        <v>45943</v>
      </c>
      <c r="B1209" t="s">
        <v>1865</v>
      </c>
      <c r="C1209" t="s">
        <v>1880</v>
      </c>
      <c r="D1209" t="s">
        <v>10</v>
      </c>
      <c r="E1209">
        <v>200000</v>
      </c>
      <c r="F1209" s="1">
        <v>45945</v>
      </c>
      <c r="G1209" t="s">
        <v>11</v>
      </c>
      <c r="H1209" t="s">
        <v>19</v>
      </c>
      <c r="I1209" s="13">
        <f>_xlfn.XLOOKUP(F1209,'Wk no''s'!B:B,'Wk no''s'!C:C,FALSE)</f>
        <v>42</v>
      </c>
      <c r="J1209" s="13">
        <f>IF(D1209="GBP",1,SUMIFS('Ex Rates'!I:I,'Ex Rates'!K:K,'Weekly Closed Proposal Requests'!L1209,'Ex Rates'!G:G,'Weekly Closed Proposal Requests'!D1209))</f>
        <v>0.48355899419729204</v>
      </c>
      <c r="K1209" s="13">
        <f t="shared" si="20"/>
        <v>96711.79883945841</v>
      </c>
      <c r="L1209" s="13" t="str">
        <f>_xlfn.XLOOKUP(I1209,'Wk no''s'!C:C,'Wk no''s'!E:E,0)</f>
        <v>Oct</v>
      </c>
    </row>
    <row r="1210" spans="1:12" x14ac:dyDescent="0.25">
      <c r="A1210" s="1">
        <v>45945</v>
      </c>
      <c r="B1210" t="s">
        <v>1866</v>
      </c>
      <c r="C1210" t="s">
        <v>1585</v>
      </c>
      <c r="D1210" t="s">
        <v>10</v>
      </c>
      <c r="E1210">
        <v>100000</v>
      </c>
      <c r="F1210" s="1">
        <v>45945</v>
      </c>
      <c r="G1210" t="s">
        <v>11</v>
      </c>
      <c r="H1210" t="s">
        <v>50</v>
      </c>
      <c r="I1210" s="13">
        <f>_xlfn.XLOOKUP(F1210,'Wk no''s'!B:B,'Wk no''s'!C:C,FALSE)</f>
        <v>42</v>
      </c>
      <c r="J1210" s="13">
        <f>IF(D1210="GBP",1,SUMIFS('Ex Rates'!I:I,'Ex Rates'!K:K,'Weekly Closed Proposal Requests'!L1210,'Ex Rates'!G:G,'Weekly Closed Proposal Requests'!D1210))</f>
        <v>0.48355899419729204</v>
      </c>
      <c r="K1210" s="13">
        <f t="shared" si="20"/>
        <v>48355.899419729205</v>
      </c>
      <c r="L1210" s="13" t="str">
        <f>_xlfn.XLOOKUP(I1210,'Wk no''s'!C:C,'Wk no''s'!E:E,0)</f>
        <v>Oct</v>
      </c>
    </row>
    <row r="1211" spans="1:12" x14ac:dyDescent="0.25">
      <c r="A1211" s="1">
        <v>45937</v>
      </c>
      <c r="B1211" t="s">
        <v>1869</v>
      </c>
      <c r="C1211" t="s">
        <v>1881</v>
      </c>
      <c r="D1211" t="s">
        <v>15</v>
      </c>
      <c r="E1211">
        <v>1000000</v>
      </c>
      <c r="F1211" s="1">
        <v>45943</v>
      </c>
      <c r="G1211" t="s">
        <v>72</v>
      </c>
      <c r="H1211" t="s">
        <v>19</v>
      </c>
      <c r="I1211" s="13">
        <f>_xlfn.XLOOKUP(F1211,'Wk no''s'!B:B,'Wk no''s'!C:C,FALSE)</f>
        <v>42</v>
      </c>
      <c r="J1211" s="13">
        <f>IF(D1211="GBP",1,SUMIFS('Ex Rates'!I:I,'Ex Rates'!K:K,'Weekly Closed Proposal Requests'!L1211,'Ex Rates'!G:G,'Weekly Closed Proposal Requests'!D1211))</f>
        <v>1</v>
      </c>
      <c r="K1211" s="13">
        <f t="shared" si="20"/>
        <v>1000000</v>
      </c>
      <c r="L1211" s="13" t="str">
        <f>_xlfn.XLOOKUP(I1211,'Wk no''s'!C:C,'Wk no''s'!E:E,0)</f>
        <v>Oct</v>
      </c>
    </row>
    <row r="1212" spans="1:12" x14ac:dyDescent="0.25">
      <c r="A1212" s="1">
        <v>45938</v>
      </c>
      <c r="B1212" t="s">
        <v>1870</v>
      </c>
      <c r="C1212" t="s">
        <v>1554</v>
      </c>
      <c r="D1212" t="s">
        <v>15</v>
      </c>
      <c r="E1212">
        <v>600000</v>
      </c>
      <c r="F1212" s="1">
        <v>45945</v>
      </c>
      <c r="G1212" t="s">
        <v>72</v>
      </c>
      <c r="H1212" t="s">
        <v>19</v>
      </c>
      <c r="I1212" s="13">
        <f>_xlfn.XLOOKUP(F1212,'Wk no''s'!B:B,'Wk no''s'!C:C,FALSE)</f>
        <v>42</v>
      </c>
      <c r="J1212" s="13">
        <f>IF(D1212="GBP",1,SUMIFS('Ex Rates'!I:I,'Ex Rates'!K:K,'Weekly Closed Proposal Requests'!L1212,'Ex Rates'!G:G,'Weekly Closed Proposal Requests'!D1212))</f>
        <v>1</v>
      </c>
      <c r="K1212" s="13">
        <f t="shared" si="20"/>
        <v>600000</v>
      </c>
      <c r="L1212" s="13" t="str">
        <f>_xlfn.XLOOKUP(I1212,'Wk no''s'!C:C,'Wk no''s'!E:E,0)</f>
        <v>Oct</v>
      </c>
    </row>
    <row r="1213" spans="1:12" x14ac:dyDescent="0.25">
      <c r="A1213" s="1">
        <v>45939</v>
      </c>
      <c r="B1213" t="s">
        <v>1867</v>
      </c>
      <c r="C1213" t="s">
        <v>396</v>
      </c>
      <c r="D1213" t="s">
        <v>15</v>
      </c>
      <c r="E1213">
        <v>300000</v>
      </c>
      <c r="F1213" s="1">
        <v>45944</v>
      </c>
      <c r="G1213" t="s">
        <v>72</v>
      </c>
      <c r="H1213" t="s">
        <v>19</v>
      </c>
      <c r="I1213" s="13">
        <f>_xlfn.XLOOKUP(F1213,'Wk no''s'!B:B,'Wk no''s'!C:C,FALSE)</f>
        <v>42</v>
      </c>
      <c r="J1213" s="13">
        <f>IF(D1213="GBP",1,SUMIFS('Ex Rates'!I:I,'Ex Rates'!K:K,'Weekly Closed Proposal Requests'!L1213,'Ex Rates'!G:G,'Weekly Closed Proposal Requests'!D1213))</f>
        <v>1</v>
      </c>
      <c r="K1213" s="13">
        <f t="shared" si="20"/>
        <v>300000</v>
      </c>
      <c r="L1213" s="13" t="str">
        <f>_xlfn.XLOOKUP(I1213,'Wk no''s'!C:C,'Wk no''s'!E:E,0)</f>
        <v>Oct</v>
      </c>
    </row>
    <row r="1214" spans="1:12" x14ac:dyDescent="0.25">
      <c r="A1214" s="1">
        <v>45940</v>
      </c>
      <c r="B1214" t="s">
        <v>1868</v>
      </c>
      <c r="C1214" t="s">
        <v>1717</v>
      </c>
      <c r="D1214" t="s">
        <v>15</v>
      </c>
      <c r="E1214">
        <v>500000</v>
      </c>
      <c r="F1214" s="1">
        <v>45946</v>
      </c>
      <c r="G1214" t="s">
        <v>72</v>
      </c>
      <c r="H1214" t="s">
        <v>19</v>
      </c>
      <c r="I1214" s="13">
        <f>_xlfn.XLOOKUP(F1214,'Wk no''s'!B:B,'Wk no''s'!C:C,FALSE)</f>
        <v>42</v>
      </c>
      <c r="J1214" s="13">
        <f>IF(D1214="GBP",1,SUMIFS('Ex Rates'!I:I,'Ex Rates'!K:K,'Weekly Closed Proposal Requests'!L1214,'Ex Rates'!G:G,'Weekly Closed Proposal Requests'!D1214))</f>
        <v>1</v>
      </c>
      <c r="K1214" s="13">
        <f t="shared" si="20"/>
        <v>500000</v>
      </c>
      <c r="L1214" s="13" t="str">
        <f>_xlfn.XLOOKUP(I1214,'Wk no''s'!C:C,'Wk no''s'!E:E,0)</f>
        <v>Oct</v>
      </c>
    </row>
    <row r="1215" spans="1:12" x14ac:dyDescent="0.25">
      <c r="A1215" s="1">
        <v>45943</v>
      </c>
      <c r="B1215" t="s">
        <v>1871</v>
      </c>
      <c r="C1215" t="s">
        <v>1882</v>
      </c>
      <c r="D1215" t="s">
        <v>15</v>
      </c>
      <c r="E1215">
        <v>10000</v>
      </c>
      <c r="F1215" s="1">
        <v>45943</v>
      </c>
      <c r="G1215" t="s">
        <v>72</v>
      </c>
      <c r="H1215" t="s">
        <v>19</v>
      </c>
      <c r="I1215" s="13">
        <f>_xlfn.XLOOKUP(F1215,'Wk no''s'!B:B,'Wk no''s'!C:C,FALSE)</f>
        <v>42</v>
      </c>
      <c r="J1215" s="13">
        <f>IF(D1215="GBP",1,SUMIFS('Ex Rates'!I:I,'Ex Rates'!K:K,'Weekly Closed Proposal Requests'!L1215,'Ex Rates'!G:G,'Weekly Closed Proposal Requests'!D1215))</f>
        <v>1</v>
      </c>
      <c r="K1215" s="13">
        <f t="shared" si="20"/>
        <v>10000</v>
      </c>
      <c r="L1215" s="13" t="str">
        <f>_xlfn.XLOOKUP(I1215,'Wk no''s'!C:C,'Wk no''s'!E:E,0)</f>
        <v>Oct</v>
      </c>
    </row>
    <row r="1216" spans="1:12" x14ac:dyDescent="0.25">
      <c r="A1216" s="1">
        <v>45943</v>
      </c>
      <c r="B1216" t="s">
        <v>1872</v>
      </c>
      <c r="C1216" t="s">
        <v>1852</v>
      </c>
      <c r="D1216" t="s">
        <v>15</v>
      </c>
      <c r="E1216">
        <v>20000</v>
      </c>
      <c r="F1216" s="1">
        <v>45943</v>
      </c>
      <c r="G1216" t="s">
        <v>72</v>
      </c>
      <c r="H1216" t="s">
        <v>19</v>
      </c>
      <c r="I1216" s="13">
        <f>_xlfn.XLOOKUP(F1216,'Wk no''s'!B:B,'Wk no''s'!C:C,FALSE)</f>
        <v>42</v>
      </c>
      <c r="J1216" s="13">
        <f>IF(D1216="GBP",1,SUMIFS('Ex Rates'!I:I,'Ex Rates'!K:K,'Weekly Closed Proposal Requests'!L1216,'Ex Rates'!G:G,'Weekly Closed Proposal Requests'!D1216))</f>
        <v>1</v>
      </c>
      <c r="K1216" s="13">
        <f t="shared" si="20"/>
        <v>20000</v>
      </c>
      <c r="L1216" s="13" t="str">
        <f>_xlfn.XLOOKUP(I1216,'Wk no''s'!C:C,'Wk no''s'!E:E,0)</f>
        <v>Oct</v>
      </c>
    </row>
    <row r="1217" spans="1:12" x14ac:dyDescent="0.25">
      <c r="A1217" s="1">
        <v>45944</v>
      </c>
      <c r="B1217" t="s">
        <v>1883</v>
      </c>
      <c r="C1217" t="s">
        <v>1881</v>
      </c>
      <c r="D1217" t="s">
        <v>15</v>
      </c>
      <c r="E1217">
        <v>500000</v>
      </c>
      <c r="F1217" s="1">
        <v>45947</v>
      </c>
      <c r="G1217" t="s">
        <v>72</v>
      </c>
      <c r="H1217" t="s">
        <v>19</v>
      </c>
      <c r="I1217" s="13">
        <f>_xlfn.XLOOKUP(F1217,'Wk no''s'!B:B,'Wk no''s'!C:C,FALSE)</f>
        <v>42</v>
      </c>
      <c r="J1217" s="13">
        <f>IF(D1217="GBP",1,SUMIFS('Ex Rates'!I:I,'Ex Rates'!K:K,'Weekly Closed Proposal Requests'!L1217,'Ex Rates'!G:G,'Weekly Closed Proposal Requests'!D1217))</f>
        <v>1</v>
      </c>
      <c r="K1217" s="13">
        <f t="shared" si="20"/>
        <v>500000</v>
      </c>
      <c r="L1217" s="13" t="str">
        <f>_xlfn.XLOOKUP(I1217,'Wk no''s'!C:C,'Wk no''s'!E:E,0)</f>
        <v>Oct</v>
      </c>
    </row>
    <row r="1218" spans="1:12" x14ac:dyDescent="0.25">
      <c r="A1218" s="1">
        <v>45943</v>
      </c>
      <c r="B1218" t="s">
        <v>1873</v>
      </c>
      <c r="C1218" t="s">
        <v>1718</v>
      </c>
      <c r="D1218" t="s">
        <v>15</v>
      </c>
      <c r="E1218">
        <v>20000</v>
      </c>
      <c r="F1218" s="1">
        <v>45945</v>
      </c>
      <c r="G1218" t="s">
        <v>72</v>
      </c>
      <c r="H1218" t="s">
        <v>50</v>
      </c>
      <c r="I1218" s="13">
        <f>_xlfn.XLOOKUP(F1218,'Wk no''s'!B:B,'Wk no''s'!C:C,FALSE)</f>
        <v>42</v>
      </c>
      <c r="J1218" s="13">
        <f>IF(D1218="GBP",1,SUMIFS('Ex Rates'!I:I,'Ex Rates'!K:K,'Weekly Closed Proposal Requests'!L1218,'Ex Rates'!G:G,'Weekly Closed Proposal Requests'!D1218))</f>
        <v>1</v>
      </c>
      <c r="K1218" s="13">
        <f t="shared" si="20"/>
        <v>20000</v>
      </c>
      <c r="L1218" s="13" t="str">
        <f>_xlfn.XLOOKUP(I1218,'Wk no''s'!C:C,'Wk no''s'!E:E,0)</f>
        <v>Oct</v>
      </c>
    </row>
  </sheetData>
  <autoFilter ref="A1:L952" xr:uid="{08569FBD-7238-43B5-A3FB-BC012C73F7AE}">
    <sortState xmlns:xlrd2="http://schemas.microsoft.com/office/spreadsheetml/2017/richdata2" ref="A2:L824">
      <sortCondition ref="F2:F824"/>
      <sortCondition ref="B2:B82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A5AA-15F9-43CD-86DB-5F0BFD7478F5}">
  <sheetPr>
    <tabColor rgb="FF00B050"/>
  </sheetPr>
  <dimension ref="A1:O82"/>
  <sheetViews>
    <sheetView topLeftCell="A48" workbookViewId="0">
      <selection activeCell="J75" sqref="J75:J82"/>
    </sheetView>
  </sheetViews>
  <sheetFormatPr defaultRowHeight="15" x14ac:dyDescent="0.25"/>
  <sheetData>
    <row r="1" spans="1:11" x14ac:dyDescent="0.25">
      <c r="A1" t="s">
        <v>3</v>
      </c>
      <c r="F1" t="s">
        <v>1079</v>
      </c>
    </row>
    <row r="2" spans="1:11" x14ac:dyDescent="0.25">
      <c r="A2" t="s">
        <v>10</v>
      </c>
      <c r="B2">
        <v>0.48</v>
      </c>
    </row>
    <row r="3" spans="1:11" x14ac:dyDescent="0.25">
      <c r="A3" t="s">
        <v>15</v>
      </c>
      <c r="B3">
        <v>1</v>
      </c>
      <c r="F3" t="s">
        <v>15</v>
      </c>
      <c r="G3" t="s">
        <v>1080</v>
      </c>
      <c r="H3">
        <v>4.8949999999999996</v>
      </c>
      <c r="I3">
        <f>1/H3</f>
        <v>0.20429009193054137</v>
      </c>
      <c r="J3" s="62">
        <v>45748</v>
      </c>
      <c r="K3" t="str">
        <f>TEXT(J3,"MMM")</f>
        <v>Apr</v>
      </c>
    </row>
    <row r="4" spans="1:11" x14ac:dyDescent="0.25">
      <c r="A4" t="s">
        <v>40</v>
      </c>
      <c r="B4">
        <v>0.84</v>
      </c>
      <c r="F4" t="s">
        <v>15</v>
      </c>
      <c r="G4" t="s">
        <v>10</v>
      </c>
      <c r="H4">
        <v>2.081</v>
      </c>
      <c r="I4">
        <f t="shared" ref="I4:I42" si="0">1/H4</f>
        <v>0.48053820278712156</v>
      </c>
      <c r="J4" s="62">
        <v>45748</v>
      </c>
      <c r="K4" t="str">
        <f t="shared" ref="K4:K42" si="1">TEXT(J4,"MMM")</f>
        <v>Apr</v>
      </c>
    </row>
    <row r="5" spans="1:11" x14ac:dyDescent="0.25">
      <c r="A5" t="s">
        <v>46</v>
      </c>
      <c r="B5">
        <v>0.74</v>
      </c>
      <c r="F5" t="s">
        <v>15</v>
      </c>
      <c r="G5" t="s">
        <v>1081</v>
      </c>
      <c r="H5">
        <v>1.8380000000000001</v>
      </c>
      <c r="I5">
        <f t="shared" si="0"/>
        <v>0.54406964091403698</v>
      </c>
      <c r="J5" s="62">
        <v>45748</v>
      </c>
      <c r="K5" t="str">
        <f t="shared" si="1"/>
        <v>Apr</v>
      </c>
    </row>
    <row r="6" spans="1:11" x14ac:dyDescent="0.25">
      <c r="F6" t="s">
        <v>15</v>
      </c>
      <c r="G6" t="s">
        <v>1082</v>
      </c>
      <c r="H6">
        <v>1.1020000000000001</v>
      </c>
      <c r="I6">
        <f t="shared" si="0"/>
        <v>0.90744101633393826</v>
      </c>
      <c r="J6" s="62">
        <v>45748</v>
      </c>
      <c r="K6" t="str">
        <f t="shared" si="1"/>
        <v>Apr</v>
      </c>
    </row>
    <row r="7" spans="1:11" x14ac:dyDescent="0.25">
      <c r="F7" t="s">
        <v>15</v>
      </c>
      <c r="G7" t="s">
        <v>40</v>
      </c>
      <c r="H7">
        <v>1.177</v>
      </c>
      <c r="I7">
        <f t="shared" si="0"/>
        <v>0.84961767204757854</v>
      </c>
      <c r="J7" s="62">
        <v>45748</v>
      </c>
      <c r="K7" t="str">
        <f t="shared" si="1"/>
        <v>Apr</v>
      </c>
    </row>
    <row r="8" spans="1:11" x14ac:dyDescent="0.25">
      <c r="F8" t="s">
        <v>15</v>
      </c>
      <c r="G8" t="s">
        <v>1083</v>
      </c>
      <c r="H8">
        <v>10.339</v>
      </c>
      <c r="I8">
        <f t="shared" si="0"/>
        <v>9.672115291614275E-2</v>
      </c>
      <c r="J8" s="62">
        <v>45748</v>
      </c>
      <c r="K8" t="str">
        <f t="shared" si="1"/>
        <v>Apr</v>
      </c>
    </row>
    <row r="9" spans="1:11" x14ac:dyDescent="0.25">
      <c r="F9" t="s">
        <v>15</v>
      </c>
      <c r="G9" t="s">
        <v>1084</v>
      </c>
      <c r="H9">
        <v>2.2450000000000001</v>
      </c>
      <c r="I9">
        <f t="shared" si="0"/>
        <v>0.44543429844097993</v>
      </c>
      <c r="J9" s="62">
        <v>45748</v>
      </c>
      <c r="K9" t="str">
        <f t="shared" si="1"/>
        <v>Apr</v>
      </c>
    </row>
    <row r="10" spans="1:11" x14ac:dyDescent="0.25">
      <c r="F10" t="s">
        <v>15</v>
      </c>
      <c r="G10" t="s">
        <v>46</v>
      </c>
      <c r="H10">
        <v>1.333</v>
      </c>
      <c r="I10">
        <f t="shared" si="0"/>
        <v>0.75018754688672173</v>
      </c>
      <c r="J10" s="62">
        <v>45748</v>
      </c>
      <c r="K10" t="str">
        <f t="shared" si="1"/>
        <v>Apr</v>
      </c>
    </row>
    <row r="11" spans="1:11" x14ac:dyDescent="0.25">
      <c r="F11" t="s">
        <v>15</v>
      </c>
      <c r="G11" t="s">
        <v>1080</v>
      </c>
      <c r="H11">
        <v>4.7450000000000001</v>
      </c>
      <c r="I11">
        <f t="shared" si="0"/>
        <v>0.21074815595363541</v>
      </c>
      <c r="J11" s="62">
        <v>45717</v>
      </c>
      <c r="K11" t="str">
        <f t="shared" si="1"/>
        <v>Mar</v>
      </c>
    </row>
    <row r="12" spans="1:11" x14ac:dyDescent="0.25">
      <c r="F12" t="s">
        <v>15</v>
      </c>
      <c r="G12" t="s">
        <v>10</v>
      </c>
      <c r="H12">
        <v>2.0670000000000002</v>
      </c>
      <c r="I12">
        <f t="shared" si="0"/>
        <v>0.48379293662312528</v>
      </c>
      <c r="J12" s="62">
        <v>45717</v>
      </c>
      <c r="K12" t="str">
        <f t="shared" si="1"/>
        <v>Mar</v>
      </c>
    </row>
    <row r="13" spans="1:11" x14ac:dyDescent="0.25">
      <c r="F13" t="s">
        <v>15</v>
      </c>
      <c r="G13" t="s">
        <v>1081</v>
      </c>
      <c r="H13">
        <v>1.859</v>
      </c>
      <c r="I13">
        <f t="shared" si="0"/>
        <v>0.53792361484669182</v>
      </c>
      <c r="J13" s="62">
        <v>45717</v>
      </c>
      <c r="K13" t="str">
        <f t="shared" si="1"/>
        <v>Mar</v>
      </c>
    </row>
    <row r="14" spans="1:11" x14ac:dyDescent="0.25">
      <c r="F14" t="s">
        <v>15</v>
      </c>
      <c r="G14" t="s">
        <v>1082</v>
      </c>
      <c r="H14">
        <v>1.1419999999999999</v>
      </c>
      <c r="I14">
        <f t="shared" si="0"/>
        <v>0.87565674255691772</v>
      </c>
      <c r="J14" s="62">
        <v>45717</v>
      </c>
      <c r="K14" t="str">
        <f t="shared" si="1"/>
        <v>Mar</v>
      </c>
    </row>
    <row r="15" spans="1:11" x14ac:dyDescent="0.25">
      <c r="F15" t="s">
        <v>15</v>
      </c>
      <c r="G15" t="s">
        <v>40</v>
      </c>
      <c r="H15">
        <v>1.194</v>
      </c>
      <c r="I15">
        <f t="shared" si="0"/>
        <v>0.83752093802345062</v>
      </c>
      <c r="J15" s="62">
        <v>45717</v>
      </c>
      <c r="K15" t="str">
        <f t="shared" si="1"/>
        <v>Mar</v>
      </c>
    </row>
    <row r="16" spans="1:11" x14ac:dyDescent="0.25">
      <c r="F16" t="s">
        <v>15</v>
      </c>
      <c r="G16" t="s">
        <v>1083</v>
      </c>
      <c r="H16">
        <v>10.054</v>
      </c>
      <c r="I16">
        <f t="shared" si="0"/>
        <v>9.9462900338173857E-2</v>
      </c>
      <c r="J16" s="62">
        <v>45717</v>
      </c>
      <c r="K16" t="str">
        <f t="shared" si="1"/>
        <v>Mar</v>
      </c>
    </row>
    <row r="17" spans="6:11" x14ac:dyDescent="0.25">
      <c r="F17" t="s">
        <v>15</v>
      </c>
      <c r="G17" t="s">
        <v>1084</v>
      </c>
      <c r="H17">
        <v>2.274</v>
      </c>
      <c r="I17">
        <f t="shared" si="0"/>
        <v>0.43975373790677219</v>
      </c>
      <c r="J17" s="62">
        <v>45717</v>
      </c>
      <c r="K17" t="str">
        <f t="shared" si="1"/>
        <v>Mar</v>
      </c>
    </row>
    <row r="18" spans="6:11" x14ac:dyDescent="0.25">
      <c r="F18" t="s">
        <v>15</v>
      </c>
      <c r="G18" t="s">
        <v>46</v>
      </c>
      <c r="H18">
        <v>1.292</v>
      </c>
      <c r="I18">
        <f t="shared" si="0"/>
        <v>0.77399380804953555</v>
      </c>
      <c r="J18" s="62">
        <v>45717</v>
      </c>
      <c r="K18" t="str">
        <f t="shared" si="1"/>
        <v>Mar</v>
      </c>
    </row>
    <row r="19" spans="6:11" x14ac:dyDescent="0.25">
      <c r="F19" t="s">
        <v>15</v>
      </c>
      <c r="G19" t="s">
        <v>1080</v>
      </c>
      <c r="H19">
        <v>4.6189999999999998</v>
      </c>
      <c r="I19">
        <f t="shared" si="0"/>
        <v>0.21649707728945661</v>
      </c>
      <c r="J19" s="62">
        <v>45689</v>
      </c>
      <c r="K19" t="str">
        <f t="shared" si="1"/>
        <v>Feb</v>
      </c>
    </row>
    <row r="20" spans="6:11" x14ac:dyDescent="0.25">
      <c r="F20" t="s">
        <v>15</v>
      </c>
      <c r="G20" t="s">
        <v>10</v>
      </c>
      <c r="H20">
        <v>2.0259999999999998</v>
      </c>
      <c r="I20">
        <f t="shared" si="0"/>
        <v>0.49358341559723601</v>
      </c>
      <c r="J20" s="62">
        <v>45689</v>
      </c>
      <c r="K20" t="str">
        <f t="shared" si="1"/>
        <v>Feb</v>
      </c>
    </row>
    <row r="21" spans="6:11" x14ac:dyDescent="0.25">
      <c r="F21" t="s">
        <v>15</v>
      </c>
      <c r="G21" t="s">
        <v>1081</v>
      </c>
      <c r="H21">
        <v>1.819</v>
      </c>
      <c r="I21">
        <f t="shared" si="0"/>
        <v>0.54975261132490383</v>
      </c>
      <c r="J21" s="62">
        <v>45689</v>
      </c>
      <c r="K21" t="str">
        <f t="shared" si="1"/>
        <v>Feb</v>
      </c>
    </row>
    <row r="22" spans="6:11" x14ac:dyDescent="0.25">
      <c r="F22" t="s">
        <v>15</v>
      </c>
      <c r="G22" t="s">
        <v>1082</v>
      </c>
      <c r="H22">
        <v>1.1359999999999999</v>
      </c>
      <c r="I22">
        <f t="shared" si="0"/>
        <v>0.88028169014084512</v>
      </c>
      <c r="J22" s="62">
        <v>45689</v>
      </c>
      <c r="K22" t="str">
        <f t="shared" si="1"/>
        <v>Feb</v>
      </c>
    </row>
    <row r="23" spans="6:11" x14ac:dyDescent="0.25">
      <c r="F23" t="s">
        <v>15</v>
      </c>
      <c r="G23" t="s">
        <v>40</v>
      </c>
      <c r="H23">
        <v>1.2110000000000001</v>
      </c>
      <c r="I23">
        <f t="shared" si="0"/>
        <v>0.82576383154417832</v>
      </c>
      <c r="J23" s="62">
        <v>45689</v>
      </c>
      <c r="K23" t="str">
        <f t="shared" si="1"/>
        <v>Feb</v>
      </c>
    </row>
    <row r="24" spans="6:11" x14ac:dyDescent="0.25">
      <c r="F24" t="s">
        <v>15</v>
      </c>
      <c r="G24" t="s">
        <v>1083</v>
      </c>
      <c r="H24">
        <v>9.7850000000000001</v>
      </c>
      <c r="I24">
        <f t="shared" si="0"/>
        <v>0.10219724067450178</v>
      </c>
      <c r="J24" s="62">
        <v>45689</v>
      </c>
      <c r="K24" t="str">
        <f t="shared" si="1"/>
        <v>Feb</v>
      </c>
    </row>
    <row r="25" spans="6:11" x14ac:dyDescent="0.25">
      <c r="F25" t="s">
        <v>15</v>
      </c>
      <c r="G25" t="s">
        <v>1084</v>
      </c>
      <c r="H25">
        <v>2.2450000000000001</v>
      </c>
      <c r="I25">
        <f t="shared" si="0"/>
        <v>0.44543429844097993</v>
      </c>
      <c r="J25" s="62">
        <v>45689</v>
      </c>
      <c r="K25" t="str">
        <f t="shared" si="1"/>
        <v>Feb</v>
      </c>
    </row>
    <row r="26" spans="6:11" x14ac:dyDescent="0.25">
      <c r="F26" t="s">
        <v>15</v>
      </c>
      <c r="G26" t="s">
        <v>46</v>
      </c>
      <c r="H26">
        <v>1.2569999999999999</v>
      </c>
      <c r="I26">
        <f t="shared" si="0"/>
        <v>0.79554494828957845</v>
      </c>
      <c r="J26" s="62">
        <v>45689</v>
      </c>
      <c r="K26" t="str">
        <f t="shared" si="1"/>
        <v>Feb</v>
      </c>
    </row>
    <row r="27" spans="6:11" x14ac:dyDescent="0.25">
      <c r="F27" t="s">
        <v>15</v>
      </c>
      <c r="G27" t="s">
        <v>1080</v>
      </c>
      <c r="H27">
        <v>4.5490000000000004</v>
      </c>
      <c r="I27">
        <f t="shared" si="0"/>
        <v>0.21982853374367992</v>
      </c>
      <c r="J27" s="62">
        <v>45658</v>
      </c>
      <c r="K27" t="str">
        <f t="shared" si="1"/>
        <v>Jan</v>
      </c>
    </row>
    <row r="28" spans="6:11" x14ac:dyDescent="0.25">
      <c r="F28" t="s">
        <v>15</v>
      </c>
      <c r="G28" t="s">
        <v>10</v>
      </c>
      <c r="H28">
        <v>1.9950000000000001</v>
      </c>
      <c r="I28">
        <f t="shared" si="0"/>
        <v>0.50125313283208017</v>
      </c>
      <c r="J28" s="62">
        <v>45658</v>
      </c>
      <c r="K28" t="str">
        <f t="shared" si="1"/>
        <v>Jan</v>
      </c>
    </row>
    <row r="29" spans="6:11" x14ac:dyDescent="0.25">
      <c r="F29" t="s">
        <v>15</v>
      </c>
      <c r="G29" t="s">
        <v>1081</v>
      </c>
      <c r="H29">
        <v>1.8009999999999999</v>
      </c>
      <c r="I29">
        <f t="shared" si="0"/>
        <v>0.55524708495280406</v>
      </c>
      <c r="J29" s="62">
        <v>45658</v>
      </c>
      <c r="K29" t="str">
        <f t="shared" si="1"/>
        <v>Jan</v>
      </c>
    </row>
    <row r="30" spans="6:11" x14ac:dyDescent="0.25">
      <c r="F30" t="s">
        <v>15</v>
      </c>
      <c r="G30" t="s">
        <v>1082</v>
      </c>
      <c r="H30">
        <v>1.1279999999999999</v>
      </c>
      <c r="I30">
        <f t="shared" si="0"/>
        <v>0.88652482269503552</v>
      </c>
      <c r="J30" s="62">
        <v>45658</v>
      </c>
      <c r="K30" t="str">
        <f t="shared" si="1"/>
        <v>Jan</v>
      </c>
    </row>
    <row r="31" spans="6:11" x14ac:dyDescent="0.25">
      <c r="F31" t="s">
        <v>15</v>
      </c>
      <c r="G31" t="s">
        <v>40</v>
      </c>
      <c r="H31">
        <v>1.1950000000000001</v>
      </c>
      <c r="I31">
        <f t="shared" si="0"/>
        <v>0.83682008368200833</v>
      </c>
      <c r="J31" s="62">
        <v>45658</v>
      </c>
      <c r="K31" t="str">
        <f t="shared" si="1"/>
        <v>Jan</v>
      </c>
    </row>
    <row r="32" spans="6:11" x14ac:dyDescent="0.25">
      <c r="F32" t="s">
        <v>15</v>
      </c>
      <c r="G32" t="s">
        <v>1083</v>
      </c>
      <c r="H32">
        <v>9.6549999999999994</v>
      </c>
      <c r="I32">
        <f t="shared" si="0"/>
        <v>0.10357327809425169</v>
      </c>
      <c r="J32" s="62">
        <v>45658</v>
      </c>
      <c r="K32" t="str">
        <f t="shared" si="1"/>
        <v>Jan</v>
      </c>
    </row>
    <row r="33" spans="6:11" x14ac:dyDescent="0.25">
      <c r="F33" t="s">
        <v>15</v>
      </c>
      <c r="G33" t="s">
        <v>1084</v>
      </c>
      <c r="H33">
        <v>2.1970000000000001</v>
      </c>
      <c r="I33">
        <f t="shared" si="0"/>
        <v>0.45516613563950842</v>
      </c>
      <c r="J33" s="62">
        <v>45658</v>
      </c>
      <c r="K33" t="str">
        <f t="shared" si="1"/>
        <v>Jan</v>
      </c>
    </row>
    <row r="34" spans="6:11" x14ac:dyDescent="0.25">
      <c r="F34" t="s">
        <v>15</v>
      </c>
      <c r="G34" t="s">
        <v>46</v>
      </c>
      <c r="H34">
        <v>1.238</v>
      </c>
      <c r="I34">
        <f t="shared" si="0"/>
        <v>0.80775444264943463</v>
      </c>
      <c r="J34" s="62">
        <v>45658</v>
      </c>
      <c r="K34" t="str">
        <f t="shared" si="1"/>
        <v>Jan</v>
      </c>
    </row>
    <row r="35" spans="6:11" x14ac:dyDescent="0.25">
      <c r="F35" t="s">
        <v>15</v>
      </c>
      <c r="G35" t="s">
        <v>1080</v>
      </c>
      <c r="H35">
        <v>4.8949999999999996</v>
      </c>
      <c r="I35" s="63">
        <f>1/H35</f>
        <v>0.20429009193054137</v>
      </c>
      <c r="J35" s="62">
        <v>45778</v>
      </c>
      <c r="K35" t="str">
        <f>TEXT(J35,"MMM")</f>
        <v>May</v>
      </c>
    </row>
    <row r="36" spans="6:11" x14ac:dyDescent="0.25">
      <c r="F36" t="s">
        <v>15</v>
      </c>
      <c r="G36" t="s">
        <v>10</v>
      </c>
      <c r="H36">
        <v>2.081</v>
      </c>
      <c r="I36" s="63">
        <f t="shared" si="0"/>
        <v>0.48053820278712156</v>
      </c>
      <c r="J36" s="62">
        <v>45778</v>
      </c>
      <c r="K36" t="str">
        <f t="shared" si="1"/>
        <v>May</v>
      </c>
    </row>
    <row r="37" spans="6:11" x14ac:dyDescent="0.25">
      <c r="F37" t="s">
        <v>15</v>
      </c>
      <c r="G37" t="s">
        <v>1081</v>
      </c>
      <c r="H37">
        <v>1.8380000000000001</v>
      </c>
      <c r="I37" s="63">
        <f t="shared" si="0"/>
        <v>0.54406964091403698</v>
      </c>
      <c r="J37" s="62">
        <v>45778</v>
      </c>
      <c r="K37" t="str">
        <f t="shared" si="1"/>
        <v>May</v>
      </c>
    </row>
    <row r="38" spans="6:11" x14ac:dyDescent="0.25">
      <c r="F38" t="s">
        <v>15</v>
      </c>
      <c r="G38" t="s">
        <v>1082</v>
      </c>
      <c r="H38">
        <v>1.1020000000000001</v>
      </c>
      <c r="I38" s="63">
        <f t="shared" si="0"/>
        <v>0.90744101633393826</v>
      </c>
      <c r="J38" s="62">
        <v>45778</v>
      </c>
      <c r="K38" t="str">
        <f t="shared" si="1"/>
        <v>May</v>
      </c>
    </row>
    <row r="39" spans="6:11" x14ac:dyDescent="0.25">
      <c r="F39" t="s">
        <v>15</v>
      </c>
      <c r="G39" t="s">
        <v>40</v>
      </c>
      <c r="H39">
        <v>1.177</v>
      </c>
      <c r="I39" s="63">
        <f t="shared" si="0"/>
        <v>0.84961767204757854</v>
      </c>
      <c r="J39" s="62">
        <v>45778</v>
      </c>
      <c r="K39" t="str">
        <f t="shared" si="1"/>
        <v>May</v>
      </c>
    </row>
    <row r="40" spans="6:11" x14ac:dyDescent="0.25">
      <c r="F40" t="s">
        <v>15</v>
      </c>
      <c r="G40" t="s">
        <v>1083</v>
      </c>
      <c r="H40">
        <v>10.339</v>
      </c>
      <c r="I40" s="63">
        <f t="shared" si="0"/>
        <v>9.672115291614275E-2</v>
      </c>
      <c r="J40" s="62">
        <v>45778</v>
      </c>
      <c r="K40" t="str">
        <f t="shared" si="1"/>
        <v>May</v>
      </c>
    </row>
    <row r="41" spans="6:11" x14ac:dyDescent="0.25">
      <c r="F41" t="s">
        <v>15</v>
      </c>
      <c r="G41" t="s">
        <v>1084</v>
      </c>
      <c r="H41">
        <v>2.2450000000000001</v>
      </c>
      <c r="I41" s="63">
        <f t="shared" si="0"/>
        <v>0.44543429844097993</v>
      </c>
      <c r="J41" s="62">
        <v>45778</v>
      </c>
      <c r="K41" t="str">
        <f t="shared" si="1"/>
        <v>May</v>
      </c>
    </row>
    <row r="42" spans="6:11" x14ac:dyDescent="0.25">
      <c r="F42" t="s">
        <v>15</v>
      </c>
      <c r="G42" t="s">
        <v>46</v>
      </c>
      <c r="H42">
        <v>1.333</v>
      </c>
      <c r="I42" s="63">
        <f t="shared" si="0"/>
        <v>0.75018754688672173</v>
      </c>
      <c r="J42" s="62">
        <v>45778</v>
      </c>
      <c r="K42" t="str">
        <f t="shared" si="1"/>
        <v>May</v>
      </c>
    </row>
    <row r="43" spans="6:11" x14ac:dyDescent="0.25">
      <c r="F43" t="s">
        <v>15</v>
      </c>
      <c r="G43" t="s">
        <v>1080</v>
      </c>
      <c r="H43" s="66">
        <v>4.9470000000000001</v>
      </c>
      <c r="I43" s="13">
        <f>1/H43</f>
        <v>0.20214271275520518</v>
      </c>
      <c r="J43" s="62">
        <v>45809</v>
      </c>
      <c r="K43" t="str">
        <f>TEXT(J43,"MMM")</f>
        <v>Jun</v>
      </c>
    </row>
    <row r="44" spans="6:11" x14ac:dyDescent="0.25">
      <c r="F44" t="s">
        <v>15</v>
      </c>
      <c r="G44" t="s">
        <v>10</v>
      </c>
      <c r="H44" s="66">
        <v>2.0939999999999999</v>
      </c>
      <c r="I44" s="13">
        <f t="shared" ref="I44:I50" si="2">1/H44</f>
        <v>0.47755491881566381</v>
      </c>
      <c r="J44" s="62">
        <v>45809</v>
      </c>
      <c r="K44" t="str">
        <f t="shared" ref="K44:K50" si="3">TEXT(J44,"MMM")</f>
        <v>Jun</v>
      </c>
    </row>
    <row r="45" spans="6:11" x14ac:dyDescent="0.25">
      <c r="F45" t="s">
        <v>15</v>
      </c>
      <c r="G45" t="s">
        <v>1081</v>
      </c>
      <c r="H45" s="66">
        <v>1.85</v>
      </c>
      <c r="I45" s="13">
        <f t="shared" si="2"/>
        <v>0.54054054054054046</v>
      </c>
      <c r="J45" s="62">
        <v>45809</v>
      </c>
      <c r="K45" t="str">
        <f t="shared" si="3"/>
        <v>Jun</v>
      </c>
    </row>
    <row r="46" spans="6:11" x14ac:dyDescent="0.25">
      <c r="F46" t="s">
        <v>15</v>
      </c>
      <c r="G46" t="s">
        <v>1082</v>
      </c>
      <c r="H46" s="66">
        <v>1.1060000000000001</v>
      </c>
      <c r="I46" s="13">
        <f t="shared" si="2"/>
        <v>0.90415913200723319</v>
      </c>
      <c r="J46" s="62">
        <v>45809</v>
      </c>
      <c r="K46" t="str">
        <f t="shared" si="3"/>
        <v>Jun</v>
      </c>
    </row>
    <row r="47" spans="6:11" x14ac:dyDescent="0.25">
      <c r="F47" t="s">
        <v>15</v>
      </c>
      <c r="G47" t="s">
        <v>40</v>
      </c>
      <c r="H47" s="66">
        <v>1.1870000000000001</v>
      </c>
      <c r="I47" s="13">
        <f t="shared" si="2"/>
        <v>0.84245998315080028</v>
      </c>
      <c r="J47" s="62">
        <v>45809</v>
      </c>
      <c r="K47" t="str">
        <f t="shared" si="3"/>
        <v>Jun</v>
      </c>
    </row>
    <row r="48" spans="6:11" x14ac:dyDescent="0.25">
      <c r="F48" t="s">
        <v>15</v>
      </c>
      <c r="G48" t="s">
        <v>1083</v>
      </c>
      <c r="H48" s="66">
        <v>10.563000000000001</v>
      </c>
      <c r="I48" s="13">
        <f t="shared" si="2"/>
        <v>9.4670074789359085E-2</v>
      </c>
      <c r="J48" s="62">
        <v>45809</v>
      </c>
      <c r="K48" t="str">
        <f t="shared" si="3"/>
        <v>Jun</v>
      </c>
    </row>
    <row r="49" spans="6:15" x14ac:dyDescent="0.25">
      <c r="F49" t="s">
        <v>15</v>
      </c>
      <c r="G49" t="s">
        <v>1084</v>
      </c>
      <c r="H49" s="66">
        <v>2.2599999999999998</v>
      </c>
      <c r="I49" s="13">
        <f t="shared" si="2"/>
        <v>0.44247787610619471</v>
      </c>
      <c r="J49" s="62">
        <v>45809</v>
      </c>
      <c r="K49" t="str">
        <f t="shared" si="3"/>
        <v>Jun</v>
      </c>
    </row>
    <row r="50" spans="6:15" x14ac:dyDescent="0.25">
      <c r="F50" t="s">
        <v>15</v>
      </c>
      <c r="G50" t="s">
        <v>46</v>
      </c>
      <c r="H50" s="66">
        <v>1.347</v>
      </c>
      <c r="I50" s="13">
        <f t="shared" si="2"/>
        <v>0.74239049740163332</v>
      </c>
      <c r="J50" s="62">
        <v>45809</v>
      </c>
      <c r="K50" t="str">
        <f t="shared" si="3"/>
        <v>Jun</v>
      </c>
      <c r="N50" s="69"/>
      <c r="O50" s="66"/>
    </row>
    <row r="51" spans="6:15" x14ac:dyDescent="0.25">
      <c r="F51" t="s">
        <v>15</v>
      </c>
      <c r="G51" t="s">
        <v>1080</v>
      </c>
      <c r="H51" s="66">
        <v>4.8490000000000002</v>
      </c>
      <c r="I51" s="13">
        <f>1/H51</f>
        <v>0.20622808826562178</v>
      </c>
      <c r="J51" s="62">
        <v>45839</v>
      </c>
      <c r="K51" t="str">
        <f>TEXT(J51,"MMM")</f>
        <v>Jul</v>
      </c>
      <c r="N51" s="69"/>
      <c r="O51" s="66"/>
    </row>
    <row r="52" spans="6:15" x14ac:dyDescent="0.25">
      <c r="F52" t="s">
        <v>15</v>
      </c>
      <c r="G52" t="s">
        <v>10</v>
      </c>
      <c r="H52" s="66">
        <v>2.052</v>
      </c>
      <c r="I52" s="13">
        <f t="shared" ref="I52:I58" si="4">1/H52</f>
        <v>0.48732943469785572</v>
      </c>
      <c r="J52" s="62">
        <v>45839</v>
      </c>
      <c r="K52" t="str">
        <f t="shared" ref="K52:K58" si="5">TEXT(J52,"MMM")</f>
        <v>Jul</v>
      </c>
      <c r="N52" s="69"/>
      <c r="O52" s="66"/>
    </row>
    <row r="53" spans="6:15" x14ac:dyDescent="0.25">
      <c r="F53" t="s">
        <v>15</v>
      </c>
      <c r="G53" t="s">
        <v>1081</v>
      </c>
      <c r="H53" s="66">
        <v>1.83</v>
      </c>
      <c r="I53" s="13">
        <f t="shared" si="4"/>
        <v>0.54644808743169393</v>
      </c>
      <c r="J53" s="62">
        <v>45839</v>
      </c>
      <c r="K53" t="str">
        <f t="shared" si="5"/>
        <v>Jul</v>
      </c>
      <c r="N53" s="69"/>
      <c r="O53" s="66"/>
    </row>
    <row r="54" spans="6:15" x14ac:dyDescent="0.25">
      <c r="F54" t="s">
        <v>15</v>
      </c>
      <c r="G54" t="s">
        <v>1082</v>
      </c>
      <c r="H54" s="66">
        <v>1.073</v>
      </c>
      <c r="I54" s="13">
        <f t="shared" si="4"/>
        <v>0.93196644920782856</v>
      </c>
      <c r="J54" s="62">
        <v>45839</v>
      </c>
      <c r="K54" t="str">
        <f t="shared" si="5"/>
        <v>Jul</v>
      </c>
      <c r="N54" s="69"/>
      <c r="O54" s="66"/>
    </row>
    <row r="55" spans="6:15" x14ac:dyDescent="0.25">
      <c r="F55" t="s">
        <v>15</v>
      </c>
      <c r="G55" t="s">
        <v>40</v>
      </c>
      <c r="H55" s="66">
        <v>1.1539999999999999</v>
      </c>
      <c r="I55" s="13">
        <f t="shared" si="4"/>
        <v>0.86655112651646449</v>
      </c>
      <c r="J55" s="62">
        <v>45839</v>
      </c>
      <c r="K55" t="str">
        <f t="shared" si="5"/>
        <v>Jul</v>
      </c>
      <c r="N55" s="69"/>
      <c r="O55" s="66"/>
    </row>
    <row r="56" spans="6:15" x14ac:dyDescent="0.25">
      <c r="F56" t="s">
        <v>15</v>
      </c>
      <c r="G56" t="s">
        <v>1083</v>
      </c>
      <c r="H56" s="66">
        <v>10.36</v>
      </c>
      <c r="I56" s="13">
        <f t="shared" si="4"/>
        <v>9.6525096525096526E-2</v>
      </c>
      <c r="J56" s="62">
        <v>45839</v>
      </c>
      <c r="K56" t="str">
        <f t="shared" si="5"/>
        <v>Jul</v>
      </c>
      <c r="N56" s="69"/>
      <c r="O56" s="66"/>
    </row>
    <row r="57" spans="6:15" x14ac:dyDescent="0.25">
      <c r="F57" t="s">
        <v>15</v>
      </c>
      <c r="G57" t="s">
        <v>1084</v>
      </c>
      <c r="H57" s="66">
        <v>2.2450000000000001</v>
      </c>
      <c r="I57" s="13">
        <f t="shared" si="4"/>
        <v>0.44543429844097993</v>
      </c>
      <c r="J57" s="62">
        <v>45839</v>
      </c>
      <c r="K57" t="str">
        <f t="shared" si="5"/>
        <v>Jul</v>
      </c>
      <c r="N57" s="69"/>
      <c r="O57" s="66"/>
    </row>
    <row r="58" spans="6:15" x14ac:dyDescent="0.25">
      <c r="F58" t="s">
        <v>15</v>
      </c>
      <c r="G58" t="s">
        <v>46</v>
      </c>
      <c r="H58" s="66">
        <v>1.32</v>
      </c>
      <c r="I58" s="13">
        <f t="shared" si="4"/>
        <v>0.75757575757575757</v>
      </c>
      <c r="J58" s="62">
        <v>45839</v>
      </c>
      <c r="K58" t="str">
        <f t="shared" si="5"/>
        <v>Jul</v>
      </c>
    </row>
    <row r="59" spans="6:15" x14ac:dyDescent="0.25">
      <c r="F59" t="s">
        <v>15</v>
      </c>
      <c r="G59" t="s">
        <v>1080</v>
      </c>
      <c r="H59" s="66">
        <v>4.8490000000000002</v>
      </c>
      <c r="I59" s="13">
        <f>1/H59</f>
        <v>0.20622808826562178</v>
      </c>
      <c r="J59" s="62">
        <v>45870</v>
      </c>
      <c r="K59" t="str">
        <f>TEXT(J59,"MMM")</f>
        <v>Aug</v>
      </c>
    </row>
    <row r="60" spans="6:15" x14ac:dyDescent="0.25">
      <c r="F60" t="s">
        <v>15</v>
      </c>
      <c r="G60" t="s">
        <v>10</v>
      </c>
      <c r="H60" s="66">
        <v>2.052</v>
      </c>
      <c r="I60" s="13">
        <f t="shared" ref="I60:I66" si="6">1/H60</f>
        <v>0.48732943469785572</v>
      </c>
      <c r="J60" s="62">
        <v>45870</v>
      </c>
      <c r="K60" t="str">
        <f t="shared" ref="K60:K66" si="7">TEXT(J60,"MMM")</f>
        <v>Aug</v>
      </c>
    </row>
    <row r="61" spans="6:15" x14ac:dyDescent="0.25">
      <c r="F61" t="s">
        <v>15</v>
      </c>
      <c r="G61" t="s">
        <v>1081</v>
      </c>
      <c r="H61" s="66">
        <v>1.83</v>
      </c>
      <c r="I61" s="13">
        <f t="shared" si="6"/>
        <v>0.54644808743169393</v>
      </c>
      <c r="J61" s="62">
        <v>45870</v>
      </c>
      <c r="K61" t="str">
        <f t="shared" si="7"/>
        <v>Aug</v>
      </c>
    </row>
    <row r="62" spans="6:15" x14ac:dyDescent="0.25">
      <c r="F62" t="s">
        <v>15</v>
      </c>
      <c r="G62" t="s">
        <v>1082</v>
      </c>
      <c r="H62" s="66">
        <v>1.073</v>
      </c>
      <c r="I62" s="13">
        <f t="shared" si="6"/>
        <v>0.93196644920782856</v>
      </c>
      <c r="J62" s="62">
        <v>45870</v>
      </c>
      <c r="K62" t="str">
        <f t="shared" si="7"/>
        <v>Aug</v>
      </c>
    </row>
    <row r="63" spans="6:15" x14ac:dyDescent="0.25">
      <c r="F63" t="s">
        <v>15</v>
      </c>
      <c r="G63" t="s">
        <v>40</v>
      </c>
      <c r="H63" s="66">
        <v>1.1539999999999999</v>
      </c>
      <c r="I63" s="13">
        <f t="shared" si="6"/>
        <v>0.86655112651646449</v>
      </c>
      <c r="J63" s="62">
        <v>45870</v>
      </c>
      <c r="K63" t="str">
        <f t="shared" si="7"/>
        <v>Aug</v>
      </c>
    </row>
    <row r="64" spans="6:15" x14ac:dyDescent="0.25">
      <c r="F64" t="s">
        <v>15</v>
      </c>
      <c r="G64" t="s">
        <v>1083</v>
      </c>
      <c r="H64" s="66">
        <v>10.36</v>
      </c>
      <c r="I64" s="13">
        <f t="shared" si="6"/>
        <v>9.6525096525096526E-2</v>
      </c>
      <c r="J64" s="62">
        <v>45870</v>
      </c>
      <c r="K64" t="str">
        <f t="shared" si="7"/>
        <v>Aug</v>
      </c>
    </row>
    <row r="65" spans="6:11" x14ac:dyDescent="0.25">
      <c r="F65" t="s">
        <v>15</v>
      </c>
      <c r="G65" t="s">
        <v>1084</v>
      </c>
      <c r="H65" s="66">
        <v>2.2450000000000001</v>
      </c>
      <c r="I65" s="13">
        <f t="shared" si="6"/>
        <v>0.44543429844097993</v>
      </c>
      <c r="J65" s="62">
        <v>45870</v>
      </c>
      <c r="K65" t="str">
        <f t="shared" si="7"/>
        <v>Aug</v>
      </c>
    </row>
    <row r="66" spans="6:11" x14ac:dyDescent="0.25">
      <c r="F66" t="s">
        <v>15</v>
      </c>
      <c r="G66" t="s">
        <v>46</v>
      </c>
      <c r="H66" s="66">
        <v>1.32</v>
      </c>
      <c r="I66" s="13">
        <f t="shared" si="6"/>
        <v>0.75757575757575757</v>
      </c>
      <c r="J66" s="62">
        <v>45870</v>
      </c>
      <c r="K66" t="str">
        <f t="shared" si="7"/>
        <v>Aug</v>
      </c>
    </row>
    <row r="67" spans="6:11" x14ac:dyDescent="0.25">
      <c r="F67" t="s">
        <v>15</v>
      </c>
      <c r="G67" t="s">
        <v>1080</v>
      </c>
      <c r="H67" s="66">
        <v>4.9720000000000004</v>
      </c>
      <c r="I67" s="13">
        <f>1/H67</f>
        <v>0.20112630732099757</v>
      </c>
      <c r="J67" s="62">
        <v>45901</v>
      </c>
      <c r="K67" t="str">
        <f>TEXT(J67,"MMM")</f>
        <v>Sep</v>
      </c>
    </row>
    <row r="68" spans="6:11" x14ac:dyDescent="0.25">
      <c r="F68" t="s">
        <v>15</v>
      </c>
      <c r="G68" t="s">
        <v>10</v>
      </c>
      <c r="H68" s="66">
        <v>2.0680000000000001</v>
      </c>
      <c r="I68" s="13">
        <f t="shared" ref="I68:I74" si="8">1/H68</f>
        <v>0.48355899419729204</v>
      </c>
      <c r="J68" s="62">
        <v>45901</v>
      </c>
      <c r="K68" t="str">
        <f t="shared" ref="K68:K74" si="9">TEXT(J68,"MMM")</f>
        <v>Sep</v>
      </c>
    </row>
    <row r="69" spans="6:11" x14ac:dyDescent="0.25">
      <c r="F69" t="s">
        <v>15</v>
      </c>
      <c r="G69" t="s">
        <v>1081</v>
      </c>
      <c r="H69" s="66">
        <v>1.86</v>
      </c>
      <c r="I69" s="13">
        <f t="shared" si="8"/>
        <v>0.5376344086021505</v>
      </c>
      <c r="J69" s="62">
        <v>45901</v>
      </c>
      <c r="K69" t="str">
        <f t="shared" si="9"/>
        <v>Sep</v>
      </c>
    </row>
    <row r="70" spans="6:11" x14ac:dyDescent="0.25">
      <c r="F70" t="s">
        <v>15</v>
      </c>
      <c r="G70" t="s">
        <v>1082</v>
      </c>
      <c r="H70" s="66">
        <v>1.081</v>
      </c>
      <c r="I70" s="13">
        <f t="shared" si="8"/>
        <v>0.92506938020351526</v>
      </c>
      <c r="J70" s="62">
        <v>45901</v>
      </c>
      <c r="K70" t="str">
        <f t="shared" si="9"/>
        <v>Sep</v>
      </c>
    </row>
    <row r="71" spans="6:11" x14ac:dyDescent="0.25">
      <c r="F71" t="s">
        <v>15</v>
      </c>
      <c r="G71" t="s">
        <v>40</v>
      </c>
      <c r="H71" s="66">
        <v>1.1539999999999999</v>
      </c>
      <c r="I71" s="13">
        <f t="shared" si="8"/>
        <v>0.86655112651646449</v>
      </c>
      <c r="J71" s="62">
        <v>45901</v>
      </c>
      <c r="K71" t="str">
        <f t="shared" si="9"/>
        <v>Sep</v>
      </c>
    </row>
    <row r="72" spans="6:11" x14ac:dyDescent="0.25">
      <c r="F72" t="s">
        <v>15</v>
      </c>
      <c r="G72" t="s">
        <v>1083</v>
      </c>
      <c r="H72" s="66">
        <v>10.551</v>
      </c>
      <c r="I72" s="13">
        <f t="shared" si="8"/>
        <v>9.4777746185195716E-2</v>
      </c>
      <c r="J72" s="62">
        <v>45901</v>
      </c>
      <c r="K72" t="str">
        <f t="shared" si="9"/>
        <v>Sep</v>
      </c>
    </row>
    <row r="73" spans="6:11" x14ac:dyDescent="0.25">
      <c r="F73" t="s">
        <v>15</v>
      </c>
      <c r="G73" t="s">
        <v>1084</v>
      </c>
      <c r="H73" s="66">
        <v>2.294</v>
      </c>
      <c r="I73" s="13">
        <f t="shared" si="8"/>
        <v>0.4359197907585004</v>
      </c>
      <c r="J73" s="62">
        <v>45901</v>
      </c>
      <c r="K73" t="str">
        <f t="shared" si="9"/>
        <v>Sep</v>
      </c>
    </row>
    <row r="74" spans="6:11" x14ac:dyDescent="0.25">
      <c r="F74" t="s">
        <v>15</v>
      </c>
      <c r="G74" t="s">
        <v>46</v>
      </c>
      <c r="H74" s="66">
        <v>1.353</v>
      </c>
      <c r="I74" s="13">
        <f t="shared" si="8"/>
        <v>0.73909830007390986</v>
      </c>
      <c r="J74" s="62">
        <v>45901</v>
      </c>
      <c r="K74" t="str">
        <f t="shared" si="9"/>
        <v>Sep</v>
      </c>
    </row>
    <row r="75" spans="6:11" x14ac:dyDescent="0.25">
      <c r="F75" t="s">
        <v>15</v>
      </c>
      <c r="G75" t="s">
        <v>1080</v>
      </c>
      <c r="H75" s="66">
        <v>4.9720000000000004</v>
      </c>
      <c r="I75" s="13">
        <f>1/H75</f>
        <v>0.20112630732099757</v>
      </c>
      <c r="J75" s="62">
        <v>45931</v>
      </c>
      <c r="K75" t="str">
        <f>TEXT(J75,"MMM")</f>
        <v>Oct</v>
      </c>
    </row>
    <row r="76" spans="6:11" x14ac:dyDescent="0.25">
      <c r="F76" t="s">
        <v>15</v>
      </c>
      <c r="G76" t="s">
        <v>10</v>
      </c>
      <c r="H76" s="66">
        <v>2.0680000000000001</v>
      </c>
      <c r="I76" s="13">
        <f t="shared" ref="I76:I82" si="10">1/H76</f>
        <v>0.48355899419729204</v>
      </c>
      <c r="J76" s="62">
        <v>45931</v>
      </c>
      <c r="K76" t="str">
        <f t="shared" ref="K76:K82" si="11">TEXT(J76,"MMM")</f>
        <v>Oct</v>
      </c>
    </row>
    <row r="77" spans="6:11" x14ac:dyDescent="0.25">
      <c r="F77" t="s">
        <v>15</v>
      </c>
      <c r="G77" t="s">
        <v>1081</v>
      </c>
      <c r="H77" s="66">
        <v>1.86</v>
      </c>
      <c r="I77" s="13">
        <f t="shared" si="10"/>
        <v>0.5376344086021505</v>
      </c>
      <c r="J77" s="62">
        <v>45931</v>
      </c>
      <c r="K77" t="str">
        <f t="shared" si="11"/>
        <v>Oct</v>
      </c>
    </row>
    <row r="78" spans="6:11" x14ac:dyDescent="0.25">
      <c r="F78" t="s">
        <v>15</v>
      </c>
      <c r="G78" t="s">
        <v>1082</v>
      </c>
      <c r="H78" s="66">
        <v>1.081</v>
      </c>
      <c r="I78" s="13">
        <f t="shared" si="10"/>
        <v>0.92506938020351526</v>
      </c>
      <c r="J78" s="62">
        <v>45931</v>
      </c>
      <c r="K78" t="str">
        <f t="shared" si="11"/>
        <v>Oct</v>
      </c>
    </row>
    <row r="79" spans="6:11" x14ac:dyDescent="0.25">
      <c r="F79" t="s">
        <v>15</v>
      </c>
      <c r="G79" t="s">
        <v>40</v>
      </c>
      <c r="H79" s="66">
        <v>1.1539999999999999</v>
      </c>
      <c r="I79" s="13">
        <f t="shared" si="10"/>
        <v>0.86655112651646449</v>
      </c>
      <c r="J79" s="62">
        <v>45931</v>
      </c>
      <c r="K79" t="str">
        <f t="shared" si="11"/>
        <v>Oct</v>
      </c>
    </row>
    <row r="80" spans="6:11" x14ac:dyDescent="0.25">
      <c r="F80" t="s">
        <v>15</v>
      </c>
      <c r="G80" t="s">
        <v>1083</v>
      </c>
      <c r="H80" s="66">
        <v>10.551</v>
      </c>
      <c r="I80" s="13">
        <f t="shared" si="10"/>
        <v>9.4777746185195716E-2</v>
      </c>
      <c r="J80" s="62">
        <v>45931</v>
      </c>
      <c r="K80" t="str">
        <f t="shared" si="11"/>
        <v>Oct</v>
      </c>
    </row>
    <row r="81" spans="6:11" x14ac:dyDescent="0.25">
      <c r="F81" t="s">
        <v>15</v>
      </c>
      <c r="G81" t="s">
        <v>1084</v>
      </c>
      <c r="H81" s="66">
        <v>2.294</v>
      </c>
      <c r="I81" s="13">
        <f t="shared" si="10"/>
        <v>0.4359197907585004</v>
      </c>
      <c r="J81" s="62">
        <v>45931</v>
      </c>
      <c r="K81" t="str">
        <f t="shared" si="11"/>
        <v>Oct</v>
      </c>
    </row>
    <row r="82" spans="6:11" x14ac:dyDescent="0.25">
      <c r="F82" t="s">
        <v>15</v>
      </c>
      <c r="G82" t="s">
        <v>46</v>
      </c>
      <c r="H82" s="66">
        <v>1.353</v>
      </c>
      <c r="I82" s="13">
        <f t="shared" si="10"/>
        <v>0.73909830007390986</v>
      </c>
      <c r="J82" s="62">
        <v>45931</v>
      </c>
      <c r="K82" t="str">
        <f t="shared" si="11"/>
        <v>Oct</v>
      </c>
    </row>
  </sheetData>
  <phoneticPr fontId="2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67C0-7A01-4670-B546-CCF7822CCC8D}">
  <sheetPr>
    <tabColor rgb="FF00B050"/>
  </sheetPr>
  <dimension ref="A1:G1415"/>
  <sheetViews>
    <sheetView topLeftCell="A1189" zoomScaleNormal="100" workbookViewId="0">
      <selection activeCell="I1213" sqref="I1213:I1214"/>
    </sheetView>
  </sheetViews>
  <sheetFormatPr defaultRowHeight="15" x14ac:dyDescent="0.25"/>
  <cols>
    <col min="1" max="1" width="19.7109375" bestFit="1" customWidth="1"/>
    <col min="2" max="2" width="24.42578125" style="1" bestFit="1" customWidth="1"/>
    <col min="3" max="3" width="9" bestFit="1" customWidth="1"/>
    <col min="4" max="4" width="12.85546875" bestFit="1" customWidth="1"/>
    <col min="5" max="5" width="11.140625" style="1" bestFit="1" customWidth="1"/>
    <col min="6" max="6" width="15.42578125" bestFit="1" customWidth="1"/>
  </cols>
  <sheetData>
    <row r="1" spans="1:7" x14ac:dyDescent="0.25">
      <c r="A1" s="9" t="s">
        <v>1</v>
      </c>
      <c r="B1" s="9" t="s">
        <v>893</v>
      </c>
      <c r="C1" s="9" t="s">
        <v>892</v>
      </c>
      <c r="D1" s="9" t="s">
        <v>7</v>
      </c>
      <c r="E1" s="9" t="s">
        <v>5</v>
      </c>
      <c r="F1" s="9" t="s">
        <v>6</v>
      </c>
      <c r="G1" s="4" t="s">
        <v>890</v>
      </c>
    </row>
    <row r="2" spans="1:7" x14ac:dyDescent="0.25">
      <c r="A2" s="13" t="s">
        <v>8</v>
      </c>
      <c r="B2" s="13"/>
      <c r="C2" s="13">
        <v>100</v>
      </c>
      <c r="D2" s="13" t="s">
        <v>12</v>
      </c>
      <c r="E2" s="67">
        <v>45662</v>
      </c>
      <c r="F2" s="13" t="s">
        <v>11</v>
      </c>
      <c r="G2" s="13">
        <f>_xlfn.XLOOKUP(E2,'Wk no''s'!B:B,'Wk no''s'!C:C,FALSE)</f>
        <v>2</v>
      </c>
    </row>
    <row r="3" spans="1:7" x14ac:dyDescent="0.25">
      <c r="A3" s="13" t="s">
        <v>20</v>
      </c>
      <c r="B3" s="67">
        <v>45663</v>
      </c>
      <c r="C3" s="13">
        <v>100</v>
      </c>
      <c r="D3" s="13" t="s">
        <v>19</v>
      </c>
      <c r="E3" s="67">
        <v>45663</v>
      </c>
      <c r="F3" s="13" t="s">
        <v>16</v>
      </c>
      <c r="G3" s="13">
        <f>_xlfn.XLOOKUP(E3,'Wk no''s'!B:B,'Wk no''s'!C:C,FALSE)</f>
        <v>2</v>
      </c>
    </row>
    <row r="4" spans="1:7" x14ac:dyDescent="0.25">
      <c r="A4" s="13" t="s">
        <v>30</v>
      </c>
      <c r="B4" s="67">
        <v>45663</v>
      </c>
      <c r="C4" s="13">
        <v>100</v>
      </c>
      <c r="D4" s="13" t="s">
        <v>19</v>
      </c>
      <c r="E4" s="67">
        <v>45663</v>
      </c>
      <c r="F4" s="13" t="s">
        <v>16</v>
      </c>
      <c r="G4" s="13">
        <f>_xlfn.XLOOKUP(E4,'Wk no''s'!B:B,'Wk no''s'!C:C,FALSE)</f>
        <v>2</v>
      </c>
    </row>
    <row r="5" spans="1:7" x14ac:dyDescent="0.25">
      <c r="A5" s="13" t="s">
        <v>38</v>
      </c>
      <c r="B5" s="67">
        <v>45663</v>
      </c>
      <c r="C5" s="13">
        <v>100</v>
      </c>
      <c r="D5" s="13" t="s">
        <v>19</v>
      </c>
      <c r="E5" s="67">
        <v>45663</v>
      </c>
      <c r="F5" s="13" t="s">
        <v>41</v>
      </c>
      <c r="G5" s="13">
        <f>_xlfn.XLOOKUP(E5,'Wk no''s'!B:B,'Wk no''s'!C:C,FALSE)</f>
        <v>2</v>
      </c>
    </row>
    <row r="6" spans="1:7" x14ac:dyDescent="0.25">
      <c r="A6" s="13" t="s">
        <v>51</v>
      </c>
      <c r="B6" s="67">
        <v>45663</v>
      </c>
      <c r="C6" s="13">
        <v>100</v>
      </c>
      <c r="D6" s="13" t="s">
        <v>50</v>
      </c>
      <c r="E6" s="67">
        <v>45663</v>
      </c>
      <c r="F6" s="13" t="s">
        <v>47</v>
      </c>
      <c r="G6" s="13">
        <f>_xlfn.XLOOKUP(E6,'Wk no''s'!B:B,'Wk no''s'!C:C,FALSE)</f>
        <v>2</v>
      </c>
    </row>
    <row r="7" spans="1:7" x14ac:dyDescent="0.25">
      <c r="A7" s="13" t="s">
        <v>61</v>
      </c>
      <c r="B7" s="67">
        <v>45663</v>
      </c>
      <c r="C7" s="13">
        <v>100</v>
      </c>
      <c r="D7" s="13" t="s">
        <v>50</v>
      </c>
      <c r="E7" s="67">
        <v>45663</v>
      </c>
      <c r="F7" s="13" t="s">
        <v>11</v>
      </c>
      <c r="G7" s="13">
        <f>_xlfn.XLOOKUP(E7,'Wk no''s'!B:B,'Wk no''s'!C:C,FALSE)</f>
        <v>2</v>
      </c>
    </row>
    <row r="8" spans="1:7" x14ac:dyDescent="0.25">
      <c r="A8" s="13" t="s">
        <v>65</v>
      </c>
      <c r="B8" s="67">
        <v>45663</v>
      </c>
      <c r="C8" s="13">
        <v>100</v>
      </c>
      <c r="D8" s="13" t="s">
        <v>50</v>
      </c>
      <c r="E8" s="67">
        <v>45663</v>
      </c>
      <c r="F8" s="13" t="s">
        <v>11</v>
      </c>
      <c r="G8" s="13">
        <f>_xlfn.XLOOKUP(E8,'Wk no''s'!B:B,'Wk no''s'!C:C,FALSE)</f>
        <v>2</v>
      </c>
    </row>
    <row r="9" spans="1:7" x14ac:dyDescent="0.25">
      <c r="A9" s="13" t="s">
        <v>67</v>
      </c>
      <c r="B9" s="67">
        <v>45663</v>
      </c>
      <c r="C9" s="13">
        <v>100</v>
      </c>
      <c r="D9" s="13" t="s">
        <v>50</v>
      </c>
      <c r="E9" s="67">
        <v>45663</v>
      </c>
      <c r="F9" s="13" t="s">
        <v>11</v>
      </c>
      <c r="G9" s="13">
        <f>_xlfn.XLOOKUP(E9,'Wk no''s'!B:B,'Wk no''s'!C:C,FALSE)</f>
        <v>2</v>
      </c>
    </row>
    <row r="10" spans="1:7" x14ac:dyDescent="0.25">
      <c r="A10" s="13" t="s">
        <v>75</v>
      </c>
      <c r="B10" s="67">
        <v>45664</v>
      </c>
      <c r="C10" s="13">
        <v>100</v>
      </c>
      <c r="D10" s="13" t="s">
        <v>19</v>
      </c>
      <c r="E10" s="67">
        <v>45663</v>
      </c>
      <c r="F10" s="13" t="s">
        <v>72</v>
      </c>
      <c r="G10" s="13">
        <f>_xlfn.XLOOKUP(E10,'Wk no''s'!B:B,'Wk no''s'!C:C,FALSE)</f>
        <v>2</v>
      </c>
    </row>
    <row r="11" spans="1:7" x14ac:dyDescent="0.25">
      <c r="A11" s="13" t="s">
        <v>77</v>
      </c>
      <c r="B11" s="67">
        <v>45667</v>
      </c>
      <c r="C11" s="13">
        <v>100</v>
      </c>
      <c r="D11" s="13" t="s">
        <v>19</v>
      </c>
      <c r="E11" s="67">
        <v>45663</v>
      </c>
      <c r="F11" s="13" t="s">
        <v>72</v>
      </c>
      <c r="G11" s="13">
        <f>_xlfn.XLOOKUP(E11,'Wk no''s'!B:B,'Wk no''s'!C:C,FALSE)</f>
        <v>2</v>
      </c>
    </row>
    <row r="12" spans="1:7" x14ac:dyDescent="0.25">
      <c r="A12" s="13" t="s">
        <v>17</v>
      </c>
      <c r="B12" s="67">
        <v>45664</v>
      </c>
      <c r="C12" s="13">
        <v>100</v>
      </c>
      <c r="D12" s="13" t="s">
        <v>19</v>
      </c>
      <c r="E12" s="67">
        <v>45664</v>
      </c>
      <c r="F12" s="13" t="s">
        <v>16</v>
      </c>
      <c r="G12" s="13">
        <f>_xlfn.XLOOKUP(E12,'Wk no''s'!B:B,'Wk no''s'!C:C,FALSE)</f>
        <v>2</v>
      </c>
    </row>
    <row r="13" spans="1:7" x14ac:dyDescent="0.25">
      <c r="A13" s="13" t="s">
        <v>28</v>
      </c>
      <c r="B13" s="67">
        <v>45665</v>
      </c>
      <c r="C13" s="13">
        <v>100</v>
      </c>
      <c r="D13" s="13" t="s">
        <v>19</v>
      </c>
      <c r="E13" s="67">
        <v>45664</v>
      </c>
      <c r="F13" s="13" t="s">
        <v>16</v>
      </c>
      <c r="G13" s="13">
        <f>_xlfn.XLOOKUP(E13,'Wk no''s'!B:B,'Wk no''s'!C:C,FALSE)</f>
        <v>2</v>
      </c>
    </row>
    <row r="14" spans="1:7" x14ac:dyDescent="0.25">
      <c r="A14" s="13" t="s">
        <v>68</v>
      </c>
      <c r="B14" s="13"/>
      <c r="C14" s="13">
        <v>100</v>
      </c>
      <c r="D14" s="13" t="s">
        <v>50</v>
      </c>
      <c r="E14" s="67">
        <v>45664</v>
      </c>
      <c r="F14" s="13" t="s">
        <v>11</v>
      </c>
      <c r="G14" s="13">
        <f>_xlfn.XLOOKUP(E14,'Wk no''s'!B:B,'Wk no''s'!C:C,FALSE)</f>
        <v>2</v>
      </c>
    </row>
    <row r="15" spans="1:7" x14ac:dyDescent="0.25">
      <c r="A15" s="13" t="s">
        <v>73</v>
      </c>
      <c r="B15" s="67">
        <v>45664</v>
      </c>
      <c r="C15" s="13">
        <v>100</v>
      </c>
      <c r="D15" s="13" t="s">
        <v>19</v>
      </c>
      <c r="E15" s="67">
        <v>45664</v>
      </c>
      <c r="F15" s="13" t="s">
        <v>72</v>
      </c>
      <c r="G15" s="13">
        <f>_xlfn.XLOOKUP(E15,'Wk no''s'!B:B,'Wk no''s'!C:C,FALSE)</f>
        <v>2</v>
      </c>
    </row>
    <row r="16" spans="1:7" x14ac:dyDescent="0.25">
      <c r="A16" s="13" t="s">
        <v>81</v>
      </c>
      <c r="B16" s="67">
        <v>45667</v>
      </c>
      <c r="C16" s="13">
        <v>100</v>
      </c>
      <c r="D16" s="13" t="s">
        <v>19</v>
      </c>
      <c r="E16" s="67">
        <v>45664</v>
      </c>
      <c r="F16" s="13" t="s">
        <v>72</v>
      </c>
      <c r="G16" s="13">
        <f>_xlfn.XLOOKUP(E16,'Wk no''s'!B:B,'Wk no''s'!C:C,FALSE)</f>
        <v>2</v>
      </c>
    </row>
    <row r="17" spans="1:7" x14ac:dyDescent="0.25">
      <c r="A17" s="13" t="s">
        <v>31</v>
      </c>
      <c r="B17" s="67">
        <v>45664</v>
      </c>
      <c r="C17" s="13">
        <v>0</v>
      </c>
      <c r="D17" s="13" t="s">
        <v>19</v>
      </c>
      <c r="E17" s="67">
        <v>45665</v>
      </c>
      <c r="F17" s="13" t="s">
        <v>16</v>
      </c>
      <c r="G17" s="13">
        <f>_xlfn.XLOOKUP(E17,'Wk no''s'!B:B,'Wk no''s'!C:C,FALSE)</f>
        <v>2</v>
      </c>
    </row>
    <row r="18" spans="1:7" x14ac:dyDescent="0.25">
      <c r="A18" s="13" t="s">
        <v>26</v>
      </c>
      <c r="B18" s="67">
        <v>45670</v>
      </c>
      <c r="C18" s="13">
        <v>100</v>
      </c>
      <c r="D18" s="13" t="s">
        <v>19</v>
      </c>
      <c r="E18" s="67">
        <v>45665</v>
      </c>
      <c r="F18" s="13" t="s">
        <v>16</v>
      </c>
      <c r="G18" s="13">
        <f>_xlfn.XLOOKUP(E18,'Wk no''s'!B:B,'Wk no''s'!C:C,FALSE)</f>
        <v>2</v>
      </c>
    </row>
    <row r="19" spans="1:7" x14ac:dyDescent="0.25">
      <c r="A19" s="13" t="s">
        <v>13</v>
      </c>
      <c r="B19" s="67">
        <v>45665</v>
      </c>
      <c r="C19" s="13">
        <v>100</v>
      </c>
      <c r="D19" s="13" t="s">
        <v>12</v>
      </c>
      <c r="E19" s="67">
        <v>45665</v>
      </c>
      <c r="F19" s="13" t="s">
        <v>16</v>
      </c>
      <c r="G19" s="13">
        <f>_xlfn.XLOOKUP(E19,'Wk no''s'!B:B,'Wk no''s'!C:C,FALSE)</f>
        <v>2</v>
      </c>
    </row>
    <row r="20" spans="1:7" x14ac:dyDescent="0.25">
      <c r="A20" s="13" t="s">
        <v>42</v>
      </c>
      <c r="B20" s="67">
        <v>45670</v>
      </c>
      <c r="C20" s="13">
        <v>100</v>
      </c>
      <c r="D20" s="13" t="s">
        <v>19</v>
      </c>
      <c r="E20" s="67">
        <v>45665</v>
      </c>
      <c r="F20" s="13" t="s">
        <v>41</v>
      </c>
      <c r="G20" s="13">
        <f>_xlfn.XLOOKUP(E20,'Wk no''s'!B:B,'Wk no''s'!C:C,FALSE)</f>
        <v>2</v>
      </c>
    </row>
    <row r="21" spans="1:7" x14ac:dyDescent="0.25">
      <c r="A21" s="13" t="s">
        <v>85</v>
      </c>
      <c r="B21" s="67">
        <v>45667</v>
      </c>
      <c r="C21" s="13">
        <v>100</v>
      </c>
      <c r="D21" s="13" t="s">
        <v>19</v>
      </c>
      <c r="E21" s="67">
        <v>45665</v>
      </c>
      <c r="F21" s="13" t="s">
        <v>72</v>
      </c>
      <c r="G21" s="13">
        <f>_xlfn.XLOOKUP(E21,'Wk no''s'!B:B,'Wk no''s'!C:C,FALSE)</f>
        <v>2</v>
      </c>
    </row>
    <row r="22" spans="1:7" x14ac:dyDescent="0.25">
      <c r="A22" s="13" t="s">
        <v>24</v>
      </c>
      <c r="B22" s="67">
        <v>45665</v>
      </c>
      <c r="C22" s="13">
        <v>0</v>
      </c>
      <c r="D22" s="13" t="s">
        <v>19</v>
      </c>
      <c r="E22" s="67">
        <v>45666</v>
      </c>
      <c r="F22" s="13" t="s">
        <v>16</v>
      </c>
      <c r="G22" s="13">
        <f>_xlfn.XLOOKUP(E22,'Wk no''s'!B:B,'Wk no''s'!C:C,FALSE)</f>
        <v>2</v>
      </c>
    </row>
    <row r="23" spans="1:7" x14ac:dyDescent="0.25">
      <c r="A23" s="13" t="s">
        <v>22</v>
      </c>
      <c r="B23" s="67">
        <v>45666</v>
      </c>
      <c r="C23" s="13">
        <v>100</v>
      </c>
      <c r="D23" s="13" t="s">
        <v>19</v>
      </c>
      <c r="E23" s="67">
        <v>45666</v>
      </c>
      <c r="F23" s="13" t="s">
        <v>16</v>
      </c>
      <c r="G23" s="13">
        <f>_xlfn.XLOOKUP(E23,'Wk no''s'!B:B,'Wk no''s'!C:C,FALSE)</f>
        <v>2</v>
      </c>
    </row>
    <row r="24" spans="1:7" x14ac:dyDescent="0.25">
      <c r="A24" s="13" t="s">
        <v>32</v>
      </c>
      <c r="B24" s="67">
        <v>45667</v>
      </c>
      <c r="C24" s="13">
        <v>100</v>
      </c>
      <c r="D24" s="13" t="s">
        <v>19</v>
      </c>
      <c r="E24" s="67">
        <v>45666</v>
      </c>
      <c r="F24" s="13" t="s">
        <v>16</v>
      </c>
      <c r="G24" s="13">
        <f>_xlfn.XLOOKUP(E24,'Wk no''s'!B:B,'Wk no''s'!C:C,FALSE)</f>
        <v>2</v>
      </c>
    </row>
    <row r="25" spans="1:7" x14ac:dyDescent="0.25">
      <c r="A25" s="13" t="s">
        <v>34</v>
      </c>
      <c r="B25" s="67">
        <v>45672</v>
      </c>
      <c r="C25" s="13">
        <v>100</v>
      </c>
      <c r="D25" s="13" t="s">
        <v>19</v>
      </c>
      <c r="E25" s="67">
        <v>45666</v>
      </c>
      <c r="F25" s="13" t="s">
        <v>16</v>
      </c>
      <c r="G25" s="13">
        <f>_xlfn.XLOOKUP(E25,'Wk no''s'!B:B,'Wk no''s'!C:C,FALSE)</f>
        <v>2</v>
      </c>
    </row>
    <row r="26" spans="1:7" x14ac:dyDescent="0.25">
      <c r="A26" s="13" t="s">
        <v>44</v>
      </c>
      <c r="B26" s="67">
        <v>45664</v>
      </c>
      <c r="C26" s="13">
        <v>0</v>
      </c>
      <c r="D26" s="13" t="s">
        <v>19</v>
      </c>
      <c r="E26" s="67">
        <v>45666</v>
      </c>
      <c r="F26" s="13" t="s">
        <v>47</v>
      </c>
      <c r="G26" s="13">
        <f>_xlfn.XLOOKUP(E26,'Wk no''s'!B:B,'Wk no''s'!C:C,FALSE)</f>
        <v>2</v>
      </c>
    </row>
    <row r="27" spans="1:7" x14ac:dyDescent="0.25">
      <c r="A27" s="13" t="s">
        <v>55</v>
      </c>
      <c r="B27" s="67">
        <v>45666</v>
      </c>
      <c r="C27" s="13">
        <v>100</v>
      </c>
      <c r="D27" s="13" t="s">
        <v>50</v>
      </c>
      <c r="E27" s="67">
        <v>45666</v>
      </c>
      <c r="F27" s="13" t="s">
        <v>47</v>
      </c>
      <c r="G27" s="13">
        <f>_xlfn.XLOOKUP(E27,'Wk no''s'!B:B,'Wk no''s'!C:C,FALSE)</f>
        <v>2</v>
      </c>
    </row>
    <row r="28" spans="1:7" x14ac:dyDescent="0.25">
      <c r="A28" s="13" t="s">
        <v>57</v>
      </c>
      <c r="B28" s="67">
        <v>45666</v>
      </c>
      <c r="C28" s="13">
        <v>100</v>
      </c>
      <c r="D28" s="13" t="s">
        <v>50</v>
      </c>
      <c r="E28" s="67">
        <v>45666</v>
      </c>
      <c r="F28" s="13" t="s">
        <v>47</v>
      </c>
      <c r="G28" s="13">
        <f>_xlfn.XLOOKUP(E28,'Wk no''s'!B:B,'Wk no''s'!C:C,FALSE)</f>
        <v>2</v>
      </c>
    </row>
    <row r="29" spans="1:7" x14ac:dyDescent="0.25">
      <c r="A29" s="13" t="s">
        <v>70</v>
      </c>
      <c r="B29" s="67">
        <v>45638</v>
      </c>
      <c r="C29" s="13">
        <v>0</v>
      </c>
      <c r="D29" s="13" t="s">
        <v>19</v>
      </c>
      <c r="E29" s="67">
        <v>45666</v>
      </c>
      <c r="F29" s="13" t="s">
        <v>72</v>
      </c>
      <c r="G29" s="13">
        <f>_xlfn.XLOOKUP(E29,'Wk no''s'!B:B,'Wk no''s'!C:C,FALSE)</f>
        <v>2</v>
      </c>
    </row>
    <row r="30" spans="1:7" x14ac:dyDescent="0.25">
      <c r="A30" s="13" t="s">
        <v>36</v>
      </c>
      <c r="B30" s="67">
        <v>45670</v>
      </c>
      <c r="C30" s="13">
        <v>100</v>
      </c>
      <c r="D30" s="13" t="s">
        <v>19</v>
      </c>
      <c r="E30" s="67">
        <v>45667</v>
      </c>
      <c r="F30" s="13" t="s">
        <v>16</v>
      </c>
      <c r="G30" s="13">
        <f>_xlfn.XLOOKUP(E30,'Wk no''s'!B:B,'Wk no''s'!C:C,FALSE)</f>
        <v>2</v>
      </c>
    </row>
    <row r="31" spans="1:7" x14ac:dyDescent="0.25">
      <c r="A31" s="13" t="s">
        <v>59</v>
      </c>
      <c r="B31" s="67">
        <v>45674</v>
      </c>
      <c r="C31" s="13">
        <v>100</v>
      </c>
      <c r="D31" s="13" t="s">
        <v>50</v>
      </c>
      <c r="E31" s="67">
        <v>45667</v>
      </c>
      <c r="F31" s="13" t="s">
        <v>47</v>
      </c>
      <c r="G31" s="13">
        <f>_xlfn.XLOOKUP(E31,'Wk no''s'!B:B,'Wk no''s'!C:C,FALSE)</f>
        <v>2</v>
      </c>
    </row>
    <row r="32" spans="1:7" x14ac:dyDescent="0.25">
      <c r="A32" s="13" t="s">
        <v>63</v>
      </c>
      <c r="B32" s="67">
        <v>45667</v>
      </c>
      <c r="C32" s="13">
        <v>100</v>
      </c>
      <c r="D32" s="13" t="s">
        <v>50</v>
      </c>
      <c r="E32" s="67">
        <v>45667</v>
      </c>
      <c r="F32" s="13" t="s">
        <v>11</v>
      </c>
      <c r="G32" s="13">
        <f>_xlfn.XLOOKUP(E32,'Wk no''s'!B:B,'Wk no''s'!C:C,FALSE)</f>
        <v>2</v>
      </c>
    </row>
    <row r="33" spans="1:7" x14ac:dyDescent="0.25">
      <c r="A33" s="13" t="s">
        <v>79</v>
      </c>
      <c r="B33" s="67">
        <v>45667</v>
      </c>
      <c r="C33" s="13">
        <v>100</v>
      </c>
      <c r="D33" s="13" t="s">
        <v>19</v>
      </c>
      <c r="E33" s="67">
        <v>45667</v>
      </c>
      <c r="F33" s="13" t="s">
        <v>72</v>
      </c>
      <c r="G33" s="13">
        <f>_xlfn.XLOOKUP(E33,'Wk no''s'!B:B,'Wk no''s'!C:C,FALSE)</f>
        <v>2</v>
      </c>
    </row>
    <row r="34" spans="1:7" x14ac:dyDescent="0.25">
      <c r="A34" s="13" t="s">
        <v>83</v>
      </c>
      <c r="B34" s="67">
        <v>45667</v>
      </c>
      <c r="C34" s="13">
        <v>100</v>
      </c>
      <c r="D34" s="13" t="s">
        <v>19</v>
      </c>
      <c r="E34" s="67">
        <v>45667</v>
      </c>
      <c r="F34" s="13" t="s">
        <v>72</v>
      </c>
      <c r="G34" s="13">
        <f>_xlfn.XLOOKUP(E34,'Wk no''s'!B:B,'Wk no''s'!C:C,FALSE)</f>
        <v>2</v>
      </c>
    </row>
    <row r="35" spans="1:7" x14ac:dyDescent="0.25">
      <c r="A35" s="13" t="s">
        <v>48</v>
      </c>
      <c r="B35" s="67">
        <v>45669</v>
      </c>
      <c r="C35" s="13">
        <v>100</v>
      </c>
      <c r="D35" s="13" t="s">
        <v>50</v>
      </c>
      <c r="E35" s="67">
        <v>45669</v>
      </c>
      <c r="F35" s="13" t="s">
        <v>47</v>
      </c>
      <c r="G35" s="13">
        <f>_xlfn.XLOOKUP(E35,'Wk no''s'!B:B,'Wk no''s'!C:C,FALSE)</f>
        <v>3</v>
      </c>
    </row>
    <row r="36" spans="1:7" x14ac:dyDescent="0.25">
      <c r="A36" s="13" t="s">
        <v>53</v>
      </c>
      <c r="B36" s="67">
        <v>45706</v>
      </c>
      <c r="C36" s="13">
        <v>100</v>
      </c>
      <c r="D36" s="13" t="s">
        <v>50</v>
      </c>
      <c r="E36" s="67">
        <v>45669</v>
      </c>
      <c r="F36" s="13" t="s">
        <v>47</v>
      </c>
      <c r="G36" s="13">
        <f>_xlfn.XLOOKUP(E36,'Wk no''s'!B:B,'Wk no''s'!C:C,FALSE)</f>
        <v>3</v>
      </c>
    </row>
    <row r="37" spans="1:7" x14ac:dyDescent="0.25">
      <c r="A37" s="13" t="s">
        <v>89</v>
      </c>
      <c r="B37" s="67">
        <v>45670</v>
      </c>
      <c r="C37" s="13">
        <v>100</v>
      </c>
      <c r="D37" s="13" t="s">
        <v>19</v>
      </c>
      <c r="E37" s="67">
        <v>45670</v>
      </c>
      <c r="F37" s="13" t="s">
        <v>16</v>
      </c>
      <c r="G37" s="13">
        <f>_xlfn.XLOOKUP(E37,'Wk no''s'!B:B,'Wk no''s'!C:C,FALSE)</f>
        <v>3</v>
      </c>
    </row>
    <row r="38" spans="1:7" x14ac:dyDescent="0.25">
      <c r="A38" s="13" t="s">
        <v>94</v>
      </c>
      <c r="B38" s="67">
        <v>45672</v>
      </c>
      <c r="C38" s="13">
        <v>100</v>
      </c>
      <c r="D38" s="13" t="s">
        <v>19</v>
      </c>
      <c r="E38" s="67">
        <v>45670</v>
      </c>
      <c r="F38" s="13" t="s">
        <v>16</v>
      </c>
      <c r="G38" s="13">
        <f>_xlfn.XLOOKUP(E38,'Wk no''s'!B:B,'Wk no''s'!C:C,FALSE)</f>
        <v>3</v>
      </c>
    </row>
    <row r="39" spans="1:7" x14ac:dyDescent="0.25">
      <c r="A39" s="13" t="s">
        <v>122</v>
      </c>
      <c r="B39" s="67">
        <v>45674</v>
      </c>
      <c r="C39" s="13">
        <v>100</v>
      </c>
      <c r="D39" s="13" t="s">
        <v>50</v>
      </c>
      <c r="E39" s="67">
        <v>45670</v>
      </c>
      <c r="F39" s="13" t="s">
        <v>47</v>
      </c>
      <c r="G39" s="13">
        <f>_xlfn.XLOOKUP(E39,'Wk no''s'!B:B,'Wk no''s'!C:C,FALSE)</f>
        <v>3</v>
      </c>
    </row>
    <row r="40" spans="1:7" x14ac:dyDescent="0.25">
      <c r="A40" s="13" t="s">
        <v>91</v>
      </c>
      <c r="B40" s="67">
        <v>45671</v>
      </c>
      <c r="C40" s="13">
        <v>100</v>
      </c>
      <c r="D40" s="13" t="s">
        <v>19</v>
      </c>
      <c r="E40" s="67">
        <v>45671</v>
      </c>
      <c r="F40" s="13" t="s">
        <v>16</v>
      </c>
      <c r="G40" s="13">
        <f>_xlfn.XLOOKUP(E40,'Wk no''s'!B:B,'Wk no''s'!C:C,FALSE)</f>
        <v>3</v>
      </c>
    </row>
    <row r="41" spans="1:7" x14ac:dyDescent="0.25">
      <c r="A41" s="13" t="s">
        <v>96</v>
      </c>
      <c r="B41" s="67">
        <v>45671</v>
      </c>
      <c r="C41" s="13">
        <v>100</v>
      </c>
      <c r="D41" s="13" t="s">
        <v>19</v>
      </c>
      <c r="E41" s="67">
        <v>45671</v>
      </c>
      <c r="F41" s="13" t="s">
        <v>16</v>
      </c>
      <c r="G41" s="13">
        <f>_xlfn.XLOOKUP(E41,'Wk no''s'!B:B,'Wk no''s'!C:C,FALSE)</f>
        <v>3</v>
      </c>
    </row>
    <row r="42" spans="1:7" x14ac:dyDescent="0.25">
      <c r="A42" s="13" t="s">
        <v>100</v>
      </c>
      <c r="B42" s="67">
        <v>45673</v>
      </c>
      <c r="C42" s="13">
        <v>100</v>
      </c>
      <c r="D42" s="13" t="s">
        <v>19</v>
      </c>
      <c r="E42" s="67">
        <v>45671</v>
      </c>
      <c r="F42" s="13" t="s">
        <v>16</v>
      </c>
      <c r="G42" s="13">
        <f>_xlfn.XLOOKUP(E42,'Wk no''s'!B:B,'Wk no''s'!C:C,FALSE)</f>
        <v>3</v>
      </c>
    </row>
    <row r="43" spans="1:7" x14ac:dyDescent="0.25">
      <c r="A43" s="13" t="s">
        <v>116</v>
      </c>
      <c r="B43" s="67">
        <v>45673</v>
      </c>
      <c r="C43" s="13">
        <v>100</v>
      </c>
      <c r="D43" s="13" t="s">
        <v>50</v>
      </c>
      <c r="E43" s="67">
        <v>45671</v>
      </c>
      <c r="F43" s="13" t="s">
        <v>47</v>
      </c>
      <c r="G43" s="13">
        <f>_xlfn.XLOOKUP(E43,'Wk no''s'!B:B,'Wk no''s'!C:C,FALSE)</f>
        <v>3</v>
      </c>
    </row>
    <row r="44" spans="1:7" x14ac:dyDescent="0.25">
      <c r="A44" s="13" t="s">
        <v>114</v>
      </c>
      <c r="B44" s="67">
        <v>45677</v>
      </c>
      <c r="C44" s="13">
        <v>100</v>
      </c>
      <c r="D44" s="13" t="s">
        <v>19</v>
      </c>
      <c r="E44" s="67">
        <v>45671</v>
      </c>
      <c r="F44" s="13" t="s">
        <v>47</v>
      </c>
      <c r="G44" s="13">
        <f>_xlfn.XLOOKUP(E44,'Wk no''s'!B:B,'Wk no''s'!C:C,FALSE)</f>
        <v>3</v>
      </c>
    </row>
    <row r="45" spans="1:7" x14ac:dyDescent="0.25">
      <c r="A45" s="13" t="s">
        <v>109</v>
      </c>
      <c r="B45" s="67">
        <v>45674</v>
      </c>
      <c r="C45" s="13">
        <v>100</v>
      </c>
      <c r="D45" s="13" t="s">
        <v>50</v>
      </c>
      <c r="E45" s="67">
        <v>45672</v>
      </c>
      <c r="F45" s="13" t="s">
        <v>16</v>
      </c>
      <c r="G45" s="13">
        <f>_xlfn.XLOOKUP(E45,'Wk no''s'!B:B,'Wk no''s'!C:C,FALSE)</f>
        <v>3</v>
      </c>
    </row>
    <row r="46" spans="1:7" x14ac:dyDescent="0.25">
      <c r="A46" s="13" t="s">
        <v>101</v>
      </c>
      <c r="B46" s="13"/>
      <c r="C46" s="13">
        <v>100</v>
      </c>
      <c r="D46" s="13" t="s">
        <v>19</v>
      </c>
      <c r="E46" s="67">
        <v>45672</v>
      </c>
      <c r="F46" s="13" t="s">
        <v>16</v>
      </c>
      <c r="G46" s="13">
        <f>_xlfn.XLOOKUP(E46,'Wk no''s'!B:B,'Wk no''s'!C:C,FALSE)</f>
        <v>3</v>
      </c>
    </row>
    <row r="47" spans="1:7" x14ac:dyDescent="0.25">
      <c r="A47" s="13" t="s">
        <v>103</v>
      </c>
      <c r="B47" s="67">
        <v>45672</v>
      </c>
      <c r="C47" s="13">
        <v>100</v>
      </c>
      <c r="D47" s="13" t="s">
        <v>19</v>
      </c>
      <c r="E47" s="67">
        <v>45672</v>
      </c>
      <c r="F47" s="13" t="s">
        <v>16</v>
      </c>
      <c r="G47" s="13">
        <f>_xlfn.XLOOKUP(E47,'Wk no''s'!B:B,'Wk no''s'!C:C,FALSE)</f>
        <v>3</v>
      </c>
    </row>
    <row r="48" spans="1:7" x14ac:dyDescent="0.25">
      <c r="A48" s="13" t="s">
        <v>111</v>
      </c>
      <c r="B48" s="67">
        <v>45673</v>
      </c>
      <c r="C48" s="13">
        <v>100</v>
      </c>
      <c r="D48" s="13" t="s">
        <v>19</v>
      </c>
      <c r="E48" s="67">
        <v>45672</v>
      </c>
      <c r="F48" s="13" t="s">
        <v>41</v>
      </c>
      <c r="G48" s="13">
        <f>_xlfn.XLOOKUP(E48,'Wk no''s'!B:B,'Wk no''s'!C:C,FALSE)</f>
        <v>3</v>
      </c>
    </row>
    <row r="49" spans="1:7" x14ac:dyDescent="0.25">
      <c r="A49" s="13" t="s">
        <v>135</v>
      </c>
      <c r="B49" s="67">
        <v>45673</v>
      </c>
      <c r="C49" s="13">
        <v>100</v>
      </c>
      <c r="D49" s="13" t="s">
        <v>19</v>
      </c>
      <c r="E49" s="67">
        <v>45672</v>
      </c>
      <c r="F49" s="13" t="s">
        <v>72</v>
      </c>
      <c r="G49" s="13">
        <f>_xlfn.XLOOKUP(E49,'Wk no''s'!B:B,'Wk no''s'!C:C,FALSE)</f>
        <v>3</v>
      </c>
    </row>
    <row r="50" spans="1:7" x14ac:dyDescent="0.25">
      <c r="A50" s="13" t="s">
        <v>98</v>
      </c>
      <c r="B50" s="67">
        <v>45673</v>
      </c>
      <c r="C50" s="13">
        <v>100</v>
      </c>
      <c r="D50" s="13" t="s">
        <v>19</v>
      </c>
      <c r="E50" s="67">
        <v>45673</v>
      </c>
      <c r="F50" s="13" t="s">
        <v>16</v>
      </c>
      <c r="G50" s="13">
        <f>_xlfn.XLOOKUP(E50,'Wk no''s'!B:B,'Wk no''s'!C:C,FALSE)</f>
        <v>3</v>
      </c>
    </row>
    <row r="51" spans="1:7" x14ac:dyDescent="0.25">
      <c r="A51" s="13" t="s">
        <v>107</v>
      </c>
      <c r="B51" s="67">
        <v>45677</v>
      </c>
      <c r="C51" s="13">
        <v>100</v>
      </c>
      <c r="D51" s="13" t="s">
        <v>19</v>
      </c>
      <c r="E51" s="67">
        <v>45673</v>
      </c>
      <c r="F51" s="13" t="s">
        <v>16</v>
      </c>
      <c r="G51" s="13">
        <f>_xlfn.XLOOKUP(E51,'Wk no''s'!B:B,'Wk no''s'!C:C,FALSE)</f>
        <v>3</v>
      </c>
    </row>
    <row r="52" spans="1:7" x14ac:dyDescent="0.25">
      <c r="A52" s="13" t="s">
        <v>113</v>
      </c>
      <c r="B52" s="67">
        <v>45673</v>
      </c>
      <c r="C52" s="13">
        <v>100</v>
      </c>
      <c r="D52" s="13" t="s">
        <v>19</v>
      </c>
      <c r="E52" s="67">
        <v>45673</v>
      </c>
      <c r="F52" s="13" t="s">
        <v>47</v>
      </c>
      <c r="G52" s="13">
        <f>_xlfn.XLOOKUP(E52,'Wk no''s'!B:B,'Wk no''s'!C:C,FALSE)</f>
        <v>3</v>
      </c>
    </row>
    <row r="53" spans="1:7" x14ac:dyDescent="0.25">
      <c r="A53" s="13" t="s">
        <v>118</v>
      </c>
      <c r="B53" s="67">
        <v>45674</v>
      </c>
      <c r="C53" s="13">
        <v>100</v>
      </c>
      <c r="D53" s="13" t="s">
        <v>50</v>
      </c>
      <c r="E53" s="67">
        <v>45673</v>
      </c>
      <c r="F53" s="13" t="s">
        <v>47</v>
      </c>
      <c r="G53" s="13">
        <f>_xlfn.XLOOKUP(E53,'Wk no''s'!B:B,'Wk no''s'!C:C,FALSE)</f>
        <v>3</v>
      </c>
    </row>
    <row r="54" spans="1:7" x14ac:dyDescent="0.25">
      <c r="A54" s="13" t="s">
        <v>123</v>
      </c>
      <c r="B54" s="13"/>
      <c r="C54" s="13">
        <v>100</v>
      </c>
      <c r="D54" s="13" t="s">
        <v>50</v>
      </c>
      <c r="E54" s="67">
        <v>45673</v>
      </c>
      <c r="F54" s="13" t="s">
        <v>47</v>
      </c>
      <c r="G54" s="13">
        <f>_xlfn.XLOOKUP(E54,'Wk no''s'!B:B,'Wk no''s'!C:C,FALSE)</f>
        <v>3</v>
      </c>
    </row>
    <row r="55" spans="1:7" x14ac:dyDescent="0.25">
      <c r="A55" s="13" t="s">
        <v>129</v>
      </c>
      <c r="B55" s="67">
        <v>45673</v>
      </c>
      <c r="C55" s="13">
        <v>100</v>
      </c>
      <c r="D55" s="13" t="s">
        <v>19</v>
      </c>
      <c r="E55" s="67">
        <v>45673</v>
      </c>
      <c r="F55" s="13" t="s">
        <v>11</v>
      </c>
      <c r="G55" s="13">
        <f>_xlfn.XLOOKUP(E55,'Wk no''s'!B:B,'Wk no''s'!C:C,FALSE)</f>
        <v>3</v>
      </c>
    </row>
    <row r="56" spans="1:7" x14ac:dyDescent="0.25">
      <c r="A56" s="13" t="s">
        <v>131</v>
      </c>
      <c r="B56" s="13"/>
      <c r="C56" s="13">
        <v>100</v>
      </c>
      <c r="D56" s="13" t="s">
        <v>50</v>
      </c>
      <c r="E56" s="67">
        <v>45673</v>
      </c>
      <c r="F56" s="13" t="s">
        <v>11</v>
      </c>
      <c r="G56" s="13">
        <f>_xlfn.XLOOKUP(E56,'Wk no''s'!B:B,'Wk no''s'!C:C,FALSE)</f>
        <v>3</v>
      </c>
    </row>
    <row r="57" spans="1:7" x14ac:dyDescent="0.25">
      <c r="A57" s="13" t="s">
        <v>133</v>
      </c>
      <c r="B57" s="67">
        <v>45681</v>
      </c>
      <c r="C57" s="13">
        <v>100</v>
      </c>
      <c r="D57" s="13" t="s">
        <v>19</v>
      </c>
      <c r="E57" s="67">
        <v>45673</v>
      </c>
      <c r="F57" s="13" t="s">
        <v>72</v>
      </c>
      <c r="G57" s="13">
        <f>_xlfn.XLOOKUP(E57,'Wk no''s'!B:B,'Wk no''s'!C:C,FALSE)</f>
        <v>3</v>
      </c>
    </row>
    <row r="58" spans="1:7" x14ac:dyDescent="0.25">
      <c r="A58" s="13" t="s">
        <v>93</v>
      </c>
      <c r="B58" s="67">
        <v>45674</v>
      </c>
      <c r="C58" s="13">
        <v>100</v>
      </c>
      <c r="D58" s="13" t="s">
        <v>19</v>
      </c>
      <c r="E58" s="67">
        <v>45674</v>
      </c>
      <c r="F58" s="13" t="s">
        <v>16</v>
      </c>
      <c r="G58" s="13">
        <f>_xlfn.XLOOKUP(E58,'Wk no''s'!B:B,'Wk no''s'!C:C,FALSE)</f>
        <v>3</v>
      </c>
    </row>
    <row r="59" spans="1:7" x14ac:dyDescent="0.25">
      <c r="A59" s="13" t="s">
        <v>105</v>
      </c>
      <c r="B59" s="67">
        <v>45674</v>
      </c>
      <c r="C59" s="13">
        <v>100</v>
      </c>
      <c r="D59" s="13" t="s">
        <v>19</v>
      </c>
      <c r="E59" s="67">
        <v>45674</v>
      </c>
      <c r="F59" s="13" t="s">
        <v>16</v>
      </c>
      <c r="G59" s="13">
        <f>_xlfn.XLOOKUP(E59,'Wk no''s'!B:B,'Wk no''s'!C:C,FALSE)</f>
        <v>3</v>
      </c>
    </row>
    <row r="60" spans="1:7" x14ac:dyDescent="0.25">
      <c r="A60" s="13" t="s">
        <v>87</v>
      </c>
      <c r="B60" s="67">
        <v>45677</v>
      </c>
      <c r="C60" s="13">
        <v>100</v>
      </c>
      <c r="D60" s="13" t="s">
        <v>12</v>
      </c>
      <c r="E60" s="67">
        <v>45674</v>
      </c>
      <c r="F60" s="13" t="s">
        <v>16</v>
      </c>
      <c r="G60" s="13">
        <f>_xlfn.XLOOKUP(E60,'Wk no''s'!B:B,'Wk no''s'!C:C,FALSE)</f>
        <v>3</v>
      </c>
    </row>
    <row r="61" spans="1:7" x14ac:dyDescent="0.25">
      <c r="A61" s="13" t="s">
        <v>120</v>
      </c>
      <c r="B61" s="67">
        <v>45674</v>
      </c>
      <c r="C61" s="13">
        <v>100</v>
      </c>
      <c r="D61" s="13" t="s">
        <v>50</v>
      </c>
      <c r="E61" s="67">
        <v>45674</v>
      </c>
      <c r="F61" s="13" t="s">
        <v>47</v>
      </c>
      <c r="G61" s="13">
        <f>_xlfn.XLOOKUP(E61,'Wk no''s'!B:B,'Wk no''s'!C:C,FALSE)</f>
        <v>3</v>
      </c>
    </row>
    <row r="62" spans="1:7" x14ac:dyDescent="0.25">
      <c r="A62" s="13" t="s">
        <v>125</v>
      </c>
      <c r="B62" s="67">
        <v>45681</v>
      </c>
      <c r="C62" s="13">
        <v>100</v>
      </c>
      <c r="D62" s="13" t="s">
        <v>50</v>
      </c>
      <c r="E62" s="67">
        <v>45674</v>
      </c>
      <c r="F62" s="13" t="s">
        <v>47</v>
      </c>
      <c r="G62" s="13">
        <f>_xlfn.XLOOKUP(E62,'Wk no''s'!B:B,'Wk no''s'!C:C,FALSE)</f>
        <v>3</v>
      </c>
    </row>
    <row r="63" spans="1:7" x14ac:dyDescent="0.25">
      <c r="A63" s="13" t="s">
        <v>127</v>
      </c>
      <c r="B63" s="13"/>
      <c r="C63" s="13">
        <v>100</v>
      </c>
      <c r="D63" s="13" t="s">
        <v>12</v>
      </c>
      <c r="E63" s="67">
        <v>45674</v>
      </c>
      <c r="F63" s="13" t="s">
        <v>11</v>
      </c>
      <c r="G63" s="13">
        <f>_xlfn.XLOOKUP(E63,'Wk no''s'!B:B,'Wk no''s'!C:C,FALSE)</f>
        <v>3</v>
      </c>
    </row>
    <row r="64" spans="1:7" x14ac:dyDescent="0.25">
      <c r="A64" s="13" t="s">
        <v>137</v>
      </c>
      <c r="B64" s="67">
        <v>45674</v>
      </c>
      <c r="C64" s="13">
        <v>100</v>
      </c>
      <c r="D64" s="13" t="s">
        <v>50</v>
      </c>
      <c r="E64" s="67">
        <v>45674</v>
      </c>
      <c r="F64" s="13" t="s">
        <v>72</v>
      </c>
      <c r="G64" s="13">
        <f>_xlfn.XLOOKUP(E64,'Wk no''s'!B:B,'Wk no''s'!C:C,FALSE)</f>
        <v>3</v>
      </c>
    </row>
    <row r="65" spans="1:7" x14ac:dyDescent="0.25">
      <c r="A65" s="13" t="s">
        <v>132</v>
      </c>
      <c r="B65" s="67">
        <v>45674</v>
      </c>
      <c r="C65" s="13">
        <v>0</v>
      </c>
      <c r="D65" s="13" t="s">
        <v>50</v>
      </c>
      <c r="E65" s="67">
        <v>45676</v>
      </c>
      <c r="F65" s="13" t="s">
        <v>11</v>
      </c>
      <c r="G65" s="13">
        <f>_xlfn.XLOOKUP(E65,'Wk no''s'!B:B,'Wk no''s'!C:C,FALSE)</f>
        <v>4</v>
      </c>
    </row>
    <row r="66" spans="1:7" x14ac:dyDescent="0.25">
      <c r="A66" s="13" t="s">
        <v>154</v>
      </c>
      <c r="B66" s="67">
        <v>45677</v>
      </c>
      <c r="C66" s="13">
        <v>100</v>
      </c>
      <c r="D66" s="13" t="s">
        <v>50</v>
      </c>
      <c r="E66" s="67">
        <v>45677</v>
      </c>
      <c r="F66" s="13" t="s">
        <v>16</v>
      </c>
      <c r="G66" s="13">
        <f>_xlfn.XLOOKUP(E66,'Wk no''s'!B:B,'Wk no''s'!C:C,FALSE)</f>
        <v>4</v>
      </c>
    </row>
    <row r="67" spans="1:7" x14ac:dyDescent="0.25">
      <c r="A67" s="13" t="s">
        <v>142</v>
      </c>
      <c r="B67" s="67">
        <v>45685</v>
      </c>
      <c r="C67" s="13">
        <v>100</v>
      </c>
      <c r="D67" s="13" t="s">
        <v>19</v>
      </c>
      <c r="E67" s="67">
        <v>45677</v>
      </c>
      <c r="F67" s="13" t="s">
        <v>16</v>
      </c>
      <c r="G67" s="13">
        <f>_xlfn.XLOOKUP(E67,'Wk no''s'!B:B,'Wk no''s'!C:C,FALSE)</f>
        <v>4</v>
      </c>
    </row>
    <row r="68" spans="1:7" x14ac:dyDescent="0.25">
      <c r="A68" s="13" t="s">
        <v>174</v>
      </c>
      <c r="B68" s="67">
        <v>45681</v>
      </c>
      <c r="C68" s="13">
        <v>100</v>
      </c>
      <c r="D68" s="13" t="s">
        <v>50</v>
      </c>
      <c r="E68" s="67">
        <v>45677</v>
      </c>
      <c r="F68" s="13" t="s">
        <v>47</v>
      </c>
      <c r="G68" s="13">
        <f>_xlfn.XLOOKUP(E68,'Wk no''s'!B:B,'Wk no''s'!C:C,FALSE)</f>
        <v>4</v>
      </c>
    </row>
    <row r="69" spans="1:7" x14ac:dyDescent="0.25">
      <c r="A69" s="13" t="s">
        <v>180</v>
      </c>
      <c r="B69" s="67">
        <v>45677</v>
      </c>
      <c r="C69" s="13">
        <v>100</v>
      </c>
      <c r="D69" s="13" t="s">
        <v>50</v>
      </c>
      <c r="E69" s="67">
        <v>45677</v>
      </c>
      <c r="F69" s="13" t="s">
        <v>11</v>
      </c>
      <c r="G69" s="13">
        <f>_xlfn.XLOOKUP(E69,'Wk no''s'!B:B,'Wk no''s'!C:C,FALSE)</f>
        <v>4</v>
      </c>
    </row>
    <row r="70" spans="1:7" x14ac:dyDescent="0.25">
      <c r="A70" s="13" t="s">
        <v>185</v>
      </c>
      <c r="B70" s="67">
        <v>45679</v>
      </c>
      <c r="C70" s="13">
        <v>100</v>
      </c>
      <c r="D70" s="13" t="s">
        <v>19</v>
      </c>
      <c r="E70" s="67">
        <v>45677</v>
      </c>
      <c r="F70" s="13" t="s">
        <v>72</v>
      </c>
      <c r="G70" s="13">
        <f>_xlfn.XLOOKUP(E70,'Wk no''s'!B:B,'Wk no''s'!C:C,FALSE)</f>
        <v>4</v>
      </c>
    </row>
    <row r="71" spans="1:7" x14ac:dyDescent="0.25">
      <c r="A71" s="13" t="s">
        <v>187</v>
      </c>
      <c r="B71" s="67">
        <v>45677</v>
      </c>
      <c r="C71" s="13">
        <v>100</v>
      </c>
      <c r="D71" s="13" t="s">
        <v>19</v>
      </c>
      <c r="E71" s="67">
        <v>45677</v>
      </c>
      <c r="F71" s="13" t="s">
        <v>72</v>
      </c>
      <c r="G71" s="13">
        <f>_xlfn.XLOOKUP(E71,'Wk no''s'!B:B,'Wk no''s'!C:C,FALSE)</f>
        <v>4</v>
      </c>
    </row>
    <row r="72" spans="1:7" x14ac:dyDescent="0.25">
      <c r="A72" s="13" t="s">
        <v>141</v>
      </c>
      <c r="B72" s="67">
        <v>45674</v>
      </c>
      <c r="C72" s="13">
        <v>0</v>
      </c>
      <c r="D72" s="13" t="s">
        <v>19</v>
      </c>
      <c r="E72" s="67">
        <v>45678</v>
      </c>
      <c r="F72" s="13" t="s">
        <v>16</v>
      </c>
      <c r="G72" s="13">
        <f>_xlfn.XLOOKUP(E72,'Wk no''s'!B:B,'Wk no''s'!C:C,FALSE)</f>
        <v>4</v>
      </c>
    </row>
    <row r="73" spans="1:7" x14ac:dyDescent="0.25">
      <c r="A73" s="13" t="s">
        <v>146</v>
      </c>
      <c r="B73" s="67">
        <v>45678</v>
      </c>
      <c r="C73" s="13">
        <v>100</v>
      </c>
      <c r="D73" s="13" t="s">
        <v>19</v>
      </c>
      <c r="E73" s="67">
        <v>45678</v>
      </c>
      <c r="F73" s="13" t="s">
        <v>16</v>
      </c>
      <c r="G73" s="13">
        <f>_xlfn.XLOOKUP(E73,'Wk no''s'!B:B,'Wk no''s'!C:C,FALSE)</f>
        <v>4</v>
      </c>
    </row>
    <row r="74" spans="1:7" x14ac:dyDescent="0.25">
      <c r="A74" s="13" t="s">
        <v>150</v>
      </c>
      <c r="B74" s="67">
        <v>45680</v>
      </c>
      <c r="C74" s="13">
        <v>100</v>
      </c>
      <c r="D74" s="13" t="s">
        <v>19</v>
      </c>
      <c r="E74" s="67">
        <v>45678</v>
      </c>
      <c r="F74" s="13" t="s">
        <v>16</v>
      </c>
      <c r="G74" s="13">
        <f>_xlfn.XLOOKUP(E74,'Wk no''s'!B:B,'Wk no''s'!C:C,FALSE)</f>
        <v>4</v>
      </c>
    </row>
    <row r="75" spans="1:7" x14ac:dyDescent="0.25">
      <c r="A75" s="13" t="s">
        <v>157</v>
      </c>
      <c r="B75" s="67">
        <v>45679</v>
      </c>
      <c r="C75" s="13">
        <v>100</v>
      </c>
      <c r="D75" s="13" t="s">
        <v>19</v>
      </c>
      <c r="E75" s="67">
        <v>45678</v>
      </c>
      <c r="F75" s="13" t="s">
        <v>41</v>
      </c>
      <c r="G75" s="13">
        <f>_xlfn.XLOOKUP(E75,'Wk no''s'!B:B,'Wk no''s'!C:C,FALSE)</f>
        <v>4</v>
      </c>
    </row>
    <row r="76" spans="1:7" x14ac:dyDescent="0.25">
      <c r="A76" s="13" t="s">
        <v>161</v>
      </c>
      <c r="B76" s="13"/>
      <c r="C76" s="13">
        <v>100</v>
      </c>
      <c r="D76" s="13" t="s">
        <v>19</v>
      </c>
      <c r="E76" s="67">
        <v>45678</v>
      </c>
      <c r="F76" s="13" t="s">
        <v>47</v>
      </c>
      <c r="G76" s="13">
        <f>_xlfn.XLOOKUP(E76,'Wk no''s'!B:B,'Wk no''s'!C:C,FALSE)</f>
        <v>4</v>
      </c>
    </row>
    <row r="77" spans="1:7" x14ac:dyDescent="0.25">
      <c r="A77" s="13" t="s">
        <v>168</v>
      </c>
      <c r="B77" s="67">
        <v>45678</v>
      </c>
      <c r="C77" s="13">
        <v>100</v>
      </c>
      <c r="D77" s="13" t="s">
        <v>50</v>
      </c>
      <c r="E77" s="67">
        <v>45678</v>
      </c>
      <c r="F77" s="13" t="s">
        <v>47</v>
      </c>
      <c r="G77" s="13">
        <f>_xlfn.XLOOKUP(E77,'Wk no''s'!B:B,'Wk no''s'!C:C,FALSE)</f>
        <v>4</v>
      </c>
    </row>
    <row r="78" spans="1:7" x14ac:dyDescent="0.25">
      <c r="A78" s="13" t="s">
        <v>170</v>
      </c>
      <c r="B78" s="67">
        <v>45680</v>
      </c>
      <c r="C78" s="13">
        <v>100</v>
      </c>
      <c r="D78" s="13" t="s">
        <v>50</v>
      </c>
      <c r="E78" s="67">
        <v>45678</v>
      </c>
      <c r="F78" s="13" t="s">
        <v>47</v>
      </c>
      <c r="G78" s="13">
        <f>_xlfn.XLOOKUP(E78,'Wk no''s'!B:B,'Wk no''s'!C:C,FALSE)</f>
        <v>4</v>
      </c>
    </row>
    <row r="79" spans="1:7" x14ac:dyDescent="0.25">
      <c r="A79" s="13" t="s">
        <v>165</v>
      </c>
      <c r="B79" s="67">
        <v>45678</v>
      </c>
      <c r="C79" s="13">
        <v>100</v>
      </c>
      <c r="D79" s="13" t="s">
        <v>19</v>
      </c>
      <c r="E79" s="67">
        <v>45678</v>
      </c>
      <c r="F79" s="13" t="s">
        <v>47</v>
      </c>
      <c r="G79" s="13">
        <f>_xlfn.XLOOKUP(E79,'Wk no''s'!B:B,'Wk no''s'!C:C,FALSE)</f>
        <v>4</v>
      </c>
    </row>
    <row r="80" spans="1:7" x14ac:dyDescent="0.25">
      <c r="A80" s="13" t="s">
        <v>166</v>
      </c>
      <c r="B80" s="13"/>
      <c r="C80" s="13">
        <v>100</v>
      </c>
      <c r="D80" s="13" t="s">
        <v>19</v>
      </c>
      <c r="E80" s="67">
        <v>45678</v>
      </c>
      <c r="F80" s="13" t="s">
        <v>47</v>
      </c>
      <c r="G80" s="13">
        <f>_xlfn.XLOOKUP(E80,'Wk no''s'!B:B,'Wk no''s'!C:C,FALSE)</f>
        <v>4</v>
      </c>
    </row>
    <row r="81" spans="1:7" x14ac:dyDescent="0.25">
      <c r="A81" s="13" t="s">
        <v>182</v>
      </c>
      <c r="B81" s="13"/>
      <c r="C81" s="13">
        <v>100</v>
      </c>
      <c r="D81" s="13" t="s">
        <v>50</v>
      </c>
      <c r="E81" s="67">
        <v>45678</v>
      </c>
      <c r="F81" s="13" t="s">
        <v>11</v>
      </c>
      <c r="G81" s="13">
        <f>_xlfn.XLOOKUP(E81,'Wk no''s'!B:B,'Wk no''s'!C:C,FALSE)</f>
        <v>4</v>
      </c>
    </row>
    <row r="82" spans="1:7" x14ac:dyDescent="0.25">
      <c r="A82" s="13" t="s">
        <v>189</v>
      </c>
      <c r="B82" s="67">
        <v>45678</v>
      </c>
      <c r="C82" s="13">
        <v>100</v>
      </c>
      <c r="D82" s="13" t="s">
        <v>19</v>
      </c>
      <c r="E82" s="67">
        <v>45678</v>
      </c>
      <c r="F82" s="13" t="s">
        <v>72</v>
      </c>
      <c r="G82" s="13">
        <f>_xlfn.XLOOKUP(E82,'Wk no''s'!B:B,'Wk no''s'!C:C,FALSE)</f>
        <v>4</v>
      </c>
    </row>
    <row r="83" spans="1:7" x14ac:dyDescent="0.25">
      <c r="A83" s="13" t="s">
        <v>191</v>
      </c>
      <c r="B83" s="67">
        <v>45680</v>
      </c>
      <c r="C83" s="13">
        <v>100</v>
      </c>
      <c r="D83" s="13" t="s">
        <v>19</v>
      </c>
      <c r="E83" s="67">
        <v>45678</v>
      </c>
      <c r="F83" s="13" t="s">
        <v>72</v>
      </c>
      <c r="G83" s="13">
        <f>_xlfn.XLOOKUP(E83,'Wk no''s'!B:B,'Wk no''s'!C:C,FALSE)</f>
        <v>4</v>
      </c>
    </row>
    <row r="84" spans="1:7" x14ac:dyDescent="0.25">
      <c r="A84" s="13" t="s">
        <v>144</v>
      </c>
      <c r="B84" s="67">
        <v>45679</v>
      </c>
      <c r="C84" s="13">
        <v>100</v>
      </c>
      <c r="D84" s="13" t="s">
        <v>19</v>
      </c>
      <c r="E84" s="67">
        <v>45679</v>
      </c>
      <c r="F84" s="13" t="s">
        <v>16</v>
      </c>
      <c r="G84" s="13">
        <f>_xlfn.XLOOKUP(E84,'Wk no''s'!B:B,'Wk no''s'!C:C,FALSE)</f>
        <v>4</v>
      </c>
    </row>
    <row r="85" spans="1:7" x14ac:dyDescent="0.25">
      <c r="A85" s="13" t="s">
        <v>139</v>
      </c>
      <c r="B85" s="67">
        <v>45679</v>
      </c>
      <c r="C85" s="13">
        <v>100</v>
      </c>
      <c r="D85" s="13" t="s">
        <v>12</v>
      </c>
      <c r="E85" s="67">
        <v>45679</v>
      </c>
      <c r="F85" s="13" t="s">
        <v>16</v>
      </c>
      <c r="G85" s="13">
        <f>_xlfn.XLOOKUP(E85,'Wk no''s'!B:B,'Wk no''s'!C:C,FALSE)</f>
        <v>4</v>
      </c>
    </row>
    <row r="86" spans="1:7" x14ac:dyDescent="0.25">
      <c r="A86" s="13" t="s">
        <v>149</v>
      </c>
      <c r="B86" s="67">
        <v>45680</v>
      </c>
      <c r="C86" s="13">
        <v>100</v>
      </c>
      <c r="D86" s="13" t="s">
        <v>19</v>
      </c>
      <c r="E86" s="67">
        <v>45679</v>
      </c>
      <c r="F86" s="13" t="s">
        <v>16</v>
      </c>
      <c r="G86" s="13">
        <f>_xlfn.XLOOKUP(E86,'Wk no''s'!B:B,'Wk no''s'!C:C,FALSE)</f>
        <v>4</v>
      </c>
    </row>
    <row r="87" spans="1:7" x14ac:dyDescent="0.25">
      <c r="A87" s="13" t="s">
        <v>178</v>
      </c>
      <c r="B87" s="67">
        <v>45679</v>
      </c>
      <c r="C87" s="13">
        <v>100</v>
      </c>
      <c r="D87" s="13" t="s">
        <v>19</v>
      </c>
      <c r="E87" s="67">
        <v>45679</v>
      </c>
      <c r="F87" s="13" t="s">
        <v>11</v>
      </c>
      <c r="G87" s="13">
        <f>_xlfn.XLOOKUP(E87,'Wk no''s'!B:B,'Wk no''s'!C:C,FALSE)</f>
        <v>4</v>
      </c>
    </row>
    <row r="88" spans="1:7" x14ac:dyDescent="0.25">
      <c r="A88" s="13" t="s">
        <v>183</v>
      </c>
      <c r="B88" s="67">
        <v>45679</v>
      </c>
      <c r="C88" s="13">
        <v>100</v>
      </c>
      <c r="D88" s="13" t="s">
        <v>19</v>
      </c>
      <c r="E88" s="67">
        <v>45679</v>
      </c>
      <c r="F88" s="13" t="s">
        <v>72</v>
      </c>
      <c r="G88" s="13">
        <f>_xlfn.XLOOKUP(E88,'Wk no''s'!B:B,'Wk no''s'!C:C,FALSE)</f>
        <v>4</v>
      </c>
    </row>
    <row r="89" spans="1:7" x14ac:dyDescent="0.25">
      <c r="A89" s="13" t="s">
        <v>152</v>
      </c>
      <c r="B89" s="67">
        <v>45681</v>
      </c>
      <c r="C89" s="13">
        <v>100</v>
      </c>
      <c r="D89" s="13" t="s">
        <v>19</v>
      </c>
      <c r="E89" s="67">
        <v>45680</v>
      </c>
      <c r="F89" s="13" t="s">
        <v>16</v>
      </c>
      <c r="G89" s="13">
        <f>_xlfn.XLOOKUP(E89,'Wk no''s'!B:B,'Wk no''s'!C:C,FALSE)</f>
        <v>4</v>
      </c>
    </row>
    <row r="90" spans="1:7" x14ac:dyDescent="0.25">
      <c r="A90" s="13" t="s">
        <v>159</v>
      </c>
      <c r="B90" s="67">
        <v>45685</v>
      </c>
      <c r="C90" s="13">
        <v>100</v>
      </c>
      <c r="D90" s="13" t="s">
        <v>19</v>
      </c>
      <c r="E90" s="67">
        <v>45680</v>
      </c>
      <c r="F90" s="13" t="s">
        <v>41</v>
      </c>
      <c r="G90" s="13">
        <f>_xlfn.XLOOKUP(E90,'Wk no''s'!B:B,'Wk no''s'!C:C,FALSE)</f>
        <v>4</v>
      </c>
    </row>
    <row r="91" spans="1:7" x14ac:dyDescent="0.25">
      <c r="A91" s="13" t="s">
        <v>176</v>
      </c>
      <c r="B91" s="67">
        <v>45681</v>
      </c>
      <c r="C91" s="13">
        <v>100</v>
      </c>
      <c r="D91" s="13" t="s">
        <v>12</v>
      </c>
      <c r="E91" s="67">
        <v>45680</v>
      </c>
      <c r="F91" s="13" t="s">
        <v>11</v>
      </c>
      <c r="G91" s="13">
        <f>_xlfn.XLOOKUP(E91,'Wk no''s'!B:B,'Wk no''s'!C:C,FALSE)</f>
        <v>4</v>
      </c>
    </row>
    <row r="92" spans="1:7" x14ac:dyDescent="0.25">
      <c r="A92" s="13" t="s">
        <v>192</v>
      </c>
      <c r="B92" s="67">
        <v>45684</v>
      </c>
      <c r="C92" s="13">
        <v>100</v>
      </c>
      <c r="D92" s="13" t="s">
        <v>19</v>
      </c>
      <c r="E92" s="67">
        <v>45680</v>
      </c>
      <c r="F92" s="13" t="s">
        <v>72</v>
      </c>
      <c r="G92" s="13">
        <f>_xlfn.XLOOKUP(E92,'Wk no''s'!B:B,'Wk no''s'!C:C,FALSE)</f>
        <v>4</v>
      </c>
    </row>
    <row r="93" spans="1:7" x14ac:dyDescent="0.25">
      <c r="A93" s="13" t="s">
        <v>193</v>
      </c>
      <c r="B93" s="67">
        <v>45686</v>
      </c>
      <c r="C93" s="13">
        <v>100</v>
      </c>
      <c r="D93" s="13" t="s">
        <v>19</v>
      </c>
      <c r="E93" s="67">
        <v>45680</v>
      </c>
      <c r="F93" s="13" t="s">
        <v>72</v>
      </c>
      <c r="G93" s="13">
        <f>_xlfn.XLOOKUP(E93,'Wk no''s'!B:B,'Wk no''s'!C:C,FALSE)</f>
        <v>4</v>
      </c>
    </row>
    <row r="94" spans="1:7" x14ac:dyDescent="0.25">
      <c r="A94" s="13" t="s">
        <v>147</v>
      </c>
      <c r="B94" s="67">
        <v>45679</v>
      </c>
      <c r="C94" s="13">
        <v>0</v>
      </c>
      <c r="D94" s="13" t="s">
        <v>19</v>
      </c>
      <c r="E94" s="67">
        <v>45681</v>
      </c>
      <c r="F94" s="13" t="s">
        <v>16</v>
      </c>
      <c r="G94" s="13">
        <f>_xlfn.XLOOKUP(E94,'Wk no''s'!B:B,'Wk no''s'!C:C,FALSE)</f>
        <v>4</v>
      </c>
    </row>
    <row r="95" spans="1:7" x14ac:dyDescent="0.25">
      <c r="A95" s="13" t="s">
        <v>156</v>
      </c>
      <c r="B95" s="67">
        <v>45685</v>
      </c>
      <c r="C95" s="13">
        <v>100</v>
      </c>
      <c r="D95" s="13" t="s">
        <v>50</v>
      </c>
      <c r="E95" s="67">
        <v>45681</v>
      </c>
      <c r="F95" s="13" t="s">
        <v>16</v>
      </c>
      <c r="G95" s="13">
        <f>_xlfn.XLOOKUP(E95,'Wk no''s'!B:B,'Wk no''s'!C:C,FALSE)</f>
        <v>4</v>
      </c>
    </row>
    <row r="96" spans="1:7" x14ac:dyDescent="0.25">
      <c r="A96" s="13" t="s">
        <v>163</v>
      </c>
      <c r="B96" s="67">
        <v>45677</v>
      </c>
      <c r="C96" s="13">
        <v>0</v>
      </c>
      <c r="D96" s="13" t="s">
        <v>19</v>
      </c>
      <c r="E96" s="67">
        <v>45681</v>
      </c>
      <c r="F96" s="13" t="s">
        <v>47</v>
      </c>
      <c r="G96" s="13">
        <f>_xlfn.XLOOKUP(E96,'Wk no''s'!B:B,'Wk no''s'!C:C,FALSE)</f>
        <v>4</v>
      </c>
    </row>
    <row r="97" spans="1:7" x14ac:dyDescent="0.25">
      <c r="A97" s="13" t="s">
        <v>172</v>
      </c>
      <c r="B97" s="67">
        <v>45681</v>
      </c>
      <c r="C97" s="13">
        <v>100</v>
      </c>
      <c r="D97" s="13" t="s">
        <v>50</v>
      </c>
      <c r="E97" s="67">
        <v>45681</v>
      </c>
      <c r="F97" s="13" t="s">
        <v>47</v>
      </c>
      <c r="G97" s="13">
        <f>_xlfn.XLOOKUP(E97,'Wk no''s'!B:B,'Wk no''s'!C:C,FALSE)</f>
        <v>4</v>
      </c>
    </row>
    <row r="98" spans="1:7" x14ac:dyDescent="0.25">
      <c r="A98" s="13" t="s">
        <v>190</v>
      </c>
      <c r="B98" s="67">
        <v>45681</v>
      </c>
      <c r="C98" s="13">
        <v>100</v>
      </c>
      <c r="D98" s="13" t="s">
        <v>19</v>
      </c>
      <c r="E98" s="67">
        <v>45681</v>
      </c>
      <c r="F98" s="13" t="s">
        <v>72</v>
      </c>
      <c r="G98" s="13">
        <f>_xlfn.XLOOKUP(E98,'Wk no''s'!B:B,'Wk no''s'!C:C,FALSE)</f>
        <v>4</v>
      </c>
    </row>
    <row r="99" spans="1:7" x14ac:dyDescent="0.25">
      <c r="A99" s="13" t="s">
        <v>195</v>
      </c>
      <c r="B99" s="67">
        <v>45685</v>
      </c>
      <c r="C99" s="13">
        <v>100</v>
      </c>
      <c r="D99" s="13" t="s">
        <v>19</v>
      </c>
      <c r="E99" s="67">
        <v>45684</v>
      </c>
      <c r="F99" s="13" t="s">
        <v>16</v>
      </c>
      <c r="G99" s="13">
        <f>_xlfn.XLOOKUP(E99,'Wk no''s'!B:B,'Wk no''s'!C:C,FALSE)</f>
        <v>5</v>
      </c>
    </row>
    <row r="100" spans="1:7" x14ac:dyDescent="0.25">
      <c r="A100" s="13" t="s">
        <v>198</v>
      </c>
      <c r="B100" s="67">
        <v>45686</v>
      </c>
      <c r="C100" s="13">
        <v>100</v>
      </c>
      <c r="D100" s="13" t="s">
        <v>19</v>
      </c>
      <c r="E100" s="67">
        <v>45684</v>
      </c>
      <c r="F100" s="13" t="s">
        <v>16</v>
      </c>
      <c r="G100" s="13">
        <f>_xlfn.XLOOKUP(E100,'Wk no''s'!B:B,'Wk no''s'!C:C,FALSE)</f>
        <v>5</v>
      </c>
    </row>
    <row r="101" spans="1:7" x14ac:dyDescent="0.25">
      <c r="A101" s="13" t="s">
        <v>212</v>
      </c>
      <c r="B101" s="67">
        <v>45684</v>
      </c>
      <c r="C101" s="13">
        <v>100</v>
      </c>
      <c r="D101" s="13" t="s">
        <v>19</v>
      </c>
      <c r="E101" s="67">
        <v>45684</v>
      </c>
      <c r="F101" s="13" t="s">
        <v>47</v>
      </c>
      <c r="G101" s="13">
        <f>_xlfn.XLOOKUP(E101,'Wk no''s'!B:B,'Wk no''s'!C:C,FALSE)</f>
        <v>5</v>
      </c>
    </row>
    <row r="102" spans="1:7" x14ac:dyDescent="0.25">
      <c r="A102" s="13" t="s">
        <v>237</v>
      </c>
      <c r="B102" s="67">
        <v>45686</v>
      </c>
      <c r="C102" s="13">
        <v>100</v>
      </c>
      <c r="D102" s="13" t="s">
        <v>19</v>
      </c>
      <c r="E102" s="67">
        <v>45684</v>
      </c>
      <c r="F102" s="13" t="s">
        <v>72</v>
      </c>
      <c r="G102" s="13">
        <f>_xlfn.XLOOKUP(E102,'Wk no''s'!B:B,'Wk no''s'!C:C,FALSE)</f>
        <v>5</v>
      </c>
    </row>
    <row r="103" spans="1:7" x14ac:dyDescent="0.25">
      <c r="A103" s="13" t="s">
        <v>238</v>
      </c>
      <c r="B103" s="67">
        <v>45686</v>
      </c>
      <c r="C103" s="13">
        <v>100</v>
      </c>
      <c r="D103" s="13" t="s">
        <v>19</v>
      </c>
      <c r="E103" s="67">
        <v>45684</v>
      </c>
      <c r="F103" s="13" t="s">
        <v>72</v>
      </c>
      <c r="G103" s="13">
        <f>_xlfn.XLOOKUP(E103,'Wk no''s'!B:B,'Wk no''s'!C:C,FALSE)</f>
        <v>5</v>
      </c>
    </row>
    <row r="104" spans="1:7" x14ac:dyDescent="0.25">
      <c r="A104" s="13" t="s">
        <v>210</v>
      </c>
      <c r="B104" s="67">
        <v>45685</v>
      </c>
      <c r="C104" s="13">
        <v>100</v>
      </c>
      <c r="D104" s="13" t="s">
        <v>19</v>
      </c>
      <c r="E104" s="67">
        <v>45685</v>
      </c>
      <c r="F104" s="13" t="s">
        <v>47</v>
      </c>
      <c r="G104" s="13">
        <f>_xlfn.XLOOKUP(E104,'Wk no''s'!B:B,'Wk no''s'!C:C,FALSE)</f>
        <v>5</v>
      </c>
    </row>
    <row r="105" spans="1:7" x14ac:dyDescent="0.25">
      <c r="A105" s="13" t="s">
        <v>216</v>
      </c>
      <c r="B105" s="67">
        <v>45691</v>
      </c>
      <c r="C105" s="13">
        <v>100</v>
      </c>
      <c r="D105" s="13" t="s">
        <v>19</v>
      </c>
      <c r="E105" s="67">
        <v>45685</v>
      </c>
      <c r="F105" s="13" t="s">
        <v>47</v>
      </c>
      <c r="G105" s="13">
        <f>_xlfn.XLOOKUP(E105,'Wk no''s'!B:B,'Wk no''s'!C:C,FALSE)</f>
        <v>5</v>
      </c>
    </row>
    <row r="106" spans="1:7" x14ac:dyDescent="0.25">
      <c r="A106" s="13" t="s">
        <v>202</v>
      </c>
      <c r="B106" s="67">
        <v>45686</v>
      </c>
      <c r="C106" s="13">
        <v>100</v>
      </c>
      <c r="D106" s="13" t="s">
        <v>50</v>
      </c>
      <c r="E106" s="67">
        <v>45686</v>
      </c>
      <c r="F106" s="13" t="s">
        <v>16</v>
      </c>
      <c r="G106" s="13">
        <f>_xlfn.XLOOKUP(E106,'Wk no''s'!B:B,'Wk no''s'!C:C,FALSE)</f>
        <v>5</v>
      </c>
    </row>
    <row r="107" spans="1:7" x14ac:dyDescent="0.25">
      <c r="A107" s="13" t="s">
        <v>204</v>
      </c>
      <c r="B107" s="67">
        <v>45691</v>
      </c>
      <c r="C107" s="13">
        <v>100</v>
      </c>
      <c r="D107" s="13" t="s">
        <v>19</v>
      </c>
      <c r="E107" s="67">
        <v>45686</v>
      </c>
      <c r="F107" s="13" t="s">
        <v>41</v>
      </c>
      <c r="G107" s="13">
        <f>_xlfn.XLOOKUP(E107,'Wk no''s'!B:B,'Wk no''s'!C:C,FALSE)</f>
        <v>5</v>
      </c>
    </row>
    <row r="108" spans="1:7" x14ac:dyDescent="0.25">
      <c r="A108" s="13" t="s">
        <v>231</v>
      </c>
      <c r="B108" s="67">
        <v>45686</v>
      </c>
      <c r="C108" s="13">
        <v>100</v>
      </c>
      <c r="D108" s="13" t="s">
        <v>12</v>
      </c>
      <c r="E108" s="67">
        <v>45686</v>
      </c>
      <c r="F108" s="13" t="s">
        <v>11</v>
      </c>
      <c r="G108" s="13">
        <f>_xlfn.XLOOKUP(E108,'Wk no''s'!B:B,'Wk no''s'!C:C,FALSE)</f>
        <v>5</v>
      </c>
    </row>
    <row r="109" spans="1:7" x14ac:dyDescent="0.25">
      <c r="A109" s="13" t="s">
        <v>197</v>
      </c>
      <c r="B109" s="67">
        <v>45687</v>
      </c>
      <c r="C109" s="13">
        <v>100</v>
      </c>
      <c r="D109" s="13" t="s">
        <v>19</v>
      </c>
      <c r="E109" s="67">
        <v>45687</v>
      </c>
      <c r="F109" s="13" t="s">
        <v>16</v>
      </c>
      <c r="G109" s="13">
        <f>_xlfn.XLOOKUP(E109,'Wk no''s'!B:B,'Wk no''s'!C:C,FALSE)</f>
        <v>5</v>
      </c>
    </row>
    <row r="110" spans="1:7" x14ac:dyDescent="0.25">
      <c r="A110" s="13" t="s">
        <v>199</v>
      </c>
      <c r="B110" s="67">
        <v>45687</v>
      </c>
      <c r="C110" s="13">
        <v>100</v>
      </c>
      <c r="D110" s="13" t="s">
        <v>19</v>
      </c>
      <c r="E110" s="67">
        <v>45687</v>
      </c>
      <c r="F110" s="13" t="s">
        <v>16</v>
      </c>
      <c r="G110" s="13">
        <f>_xlfn.XLOOKUP(E110,'Wk no''s'!B:B,'Wk no''s'!C:C,FALSE)</f>
        <v>5</v>
      </c>
    </row>
    <row r="111" spans="1:7" x14ac:dyDescent="0.25">
      <c r="A111" s="13" t="s">
        <v>203</v>
      </c>
      <c r="B111" s="67">
        <v>45687</v>
      </c>
      <c r="C111" s="13">
        <v>100</v>
      </c>
      <c r="D111" s="13" t="s">
        <v>50</v>
      </c>
      <c r="E111" s="67">
        <v>45687</v>
      </c>
      <c r="F111" s="13" t="s">
        <v>16</v>
      </c>
      <c r="G111" s="13">
        <f>_xlfn.XLOOKUP(E111,'Wk no''s'!B:B,'Wk no''s'!C:C,FALSE)</f>
        <v>5</v>
      </c>
    </row>
    <row r="112" spans="1:7" x14ac:dyDescent="0.25">
      <c r="A112" s="13" t="s">
        <v>218</v>
      </c>
      <c r="B112" s="67">
        <v>45685</v>
      </c>
      <c r="C112" s="13">
        <v>0</v>
      </c>
      <c r="D112" s="13" t="s">
        <v>50</v>
      </c>
      <c r="E112" s="67">
        <v>45687</v>
      </c>
      <c r="F112" s="13" t="s">
        <v>47</v>
      </c>
      <c r="G112" s="13">
        <f>_xlfn.XLOOKUP(E112,'Wk no''s'!B:B,'Wk no''s'!C:C,FALSE)</f>
        <v>5</v>
      </c>
    </row>
    <row r="113" spans="1:7" x14ac:dyDescent="0.25">
      <c r="A113" s="13" t="s">
        <v>209</v>
      </c>
      <c r="B113" s="67">
        <v>45687</v>
      </c>
      <c r="C113" s="13">
        <v>100</v>
      </c>
      <c r="D113" s="13" t="s">
        <v>19</v>
      </c>
      <c r="E113" s="67">
        <v>45687</v>
      </c>
      <c r="F113" s="13" t="s">
        <v>47</v>
      </c>
      <c r="G113" s="13">
        <f>_xlfn.XLOOKUP(E113,'Wk no''s'!B:B,'Wk no''s'!C:C,FALSE)</f>
        <v>5</v>
      </c>
    </row>
    <row r="114" spans="1:7" x14ac:dyDescent="0.25">
      <c r="A114" s="13" t="s">
        <v>219</v>
      </c>
      <c r="B114" s="67">
        <v>45687</v>
      </c>
      <c r="C114" s="13">
        <v>100</v>
      </c>
      <c r="D114" s="13" t="s">
        <v>50</v>
      </c>
      <c r="E114" s="67">
        <v>45687</v>
      </c>
      <c r="F114" s="13" t="s">
        <v>47</v>
      </c>
      <c r="G114" s="13">
        <f>_xlfn.XLOOKUP(E114,'Wk no''s'!B:B,'Wk no''s'!C:C,FALSE)</f>
        <v>5</v>
      </c>
    </row>
    <row r="115" spans="1:7" x14ac:dyDescent="0.25">
      <c r="A115" s="13" t="s">
        <v>221</v>
      </c>
      <c r="B115" s="67">
        <v>45688</v>
      </c>
      <c r="C115" s="13">
        <v>100</v>
      </c>
      <c r="D115" s="13" t="s">
        <v>50</v>
      </c>
      <c r="E115" s="67">
        <v>45687</v>
      </c>
      <c r="F115" s="13" t="s">
        <v>47</v>
      </c>
      <c r="G115" s="13">
        <f>_xlfn.XLOOKUP(E115,'Wk no''s'!B:B,'Wk no''s'!C:C,FALSE)</f>
        <v>5</v>
      </c>
    </row>
    <row r="116" spans="1:7" x14ac:dyDescent="0.25">
      <c r="A116" s="13" t="s">
        <v>214</v>
      </c>
      <c r="B116" s="67">
        <v>45687</v>
      </c>
      <c r="C116" s="13">
        <v>100</v>
      </c>
      <c r="D116" s="13" t="s">
        <v>19</v>
      </c>
      <c r="E116" s="67">
        <v>45687</v>
      </c>
      <c r="F116" s="13" t="s">
        <v>47</v>
      </c>
      <c r="G116" s="13">
        <f>_xlfn.XLOOKUP(E116,'Wk no''s'!B:B,'Wk no''s'!C:C,FALSE)</f>
        <v>5</v>
      </c>
    </row>
    <row r="117" spans="1:7" x14ac:dyDescent="0.25">
      <c r="A117" s="13" t="s">
        <v>223</v>
      </c>
      <c r="B117" s="67">
        <v>45687</v>
      </c>
      <c r="C117" s="13">
        <v>100</v>
      </c>
      <c r="D117" s="13" t="s">
        <v>50</v>
      </c>
      <c r="E117" s="67">
        <v>45687</v>
      </c>
      <c r="F117" s="13" t="s">
        <v>47</v>
      </c>
      <c r="G117" s="13">
        <f>_xlfn.XLOOKUP(E117,'Wk no''s'!B:B,'Wk no''s'!C:C,FALSE)</f>
        <v>5</v>
      </c>
    </row>
    <row r="118" spans="1:7" x14ac:dyDescent="0.25">
      <c r="A118" s="13" t="s">
        <v>225</v>
      </c>
      <c r="B118" s="67">
        <v>45687</v>
      </c>
      <c r="C118" s="13">
        <v>100</v>
      </c>
      <c r="D118" s="13" t="s">
        <v>50</v>
      </c>
      <c r="E118" s="67">
        <v>45687</v>
      </c>
      <c r="F118" s="13" t="s">
        <v>47</v>
      </c>
      <c r="G118" s="13">
        <f>_xlfn.XLOOKUP(E118,'Wk no''s'!B:B,'Wk no''s'!C:C,FALSE)</f>
        <v>5</v>
      </c>
    </row>
    <row r="119" spans="1:7" x14ac:dyDescent="0.25">
      <c r="A119" s="13" t="s">
        <v>230</v>
      </c>
      <c r="B119" s="67">
        <v>45687</v>
      </c>
      <c r="C119" s="13">
        <v>100</v>
      </c>
      <c r="D119" s="13" t="s">
        <v>50</v>
      </c>
      <c r="E119" s="67">
        <v>45687</v>
      </c>
      <c r="F119" s="13" t="s">
        <v>47</v>
      </c>
      <c r="G119" s="13">
        <f>_xlfn.XLOOKUP(E119,'Wk no''s'!B:B,'Wk no''s'!C:C,FALSE)</f>
        <v>5</v>
      </c>
    </row>
    <row r="120" spans="1:7" x14ac:dyDescent="0.25">
      <c r="A120" s="13" t="s">
        <v>236</v>
      </c>
      <c r="B120" s="67">
        <v>45687</v>
      </c>
      <c r="C120" s="13">
        <v>100</v>
      </c>
      <c r="D120" s="13" t="s">
        <v>50</v>
      </c>
      <c r="E120" s="67">
        <v>45687</v>
      </c>
      <c r="F120" s="13" t="s">
        <v>11</v>
      </c>
      <c r="G120" s="13">
        <f>_xlfn.XLOOKUP(E120,'Wk no''s'!B:B,'Wk no''s'!C:C,FALSE)</f>
        <v>5</v>
      </c>
    </row>
    <row r="121" spans="1:7" x14ac:dyDescent="0.25">
      <c r="A121" s="13" t="s">
        <v>232</v>
      </c>
      <c r="B121" s="67">
        <v>45688</v>
      </c>
      <c r="C121" s="13">
        <v>100</v>
      </c>
      <c r="D121" s="13" t="s">
        <v>12</v>
      </c>
      <c r="E121" s="67">
        <v>45687</v>
      </c>
      <c r="F121" s="13" t="s">
        <v>11</v>
      </c>
      <c r="G121" s="13">
        <f>_xlfn.XLOOKUP(E121,'Wk no''s'!B:B,'Wk no''s'!C:C,FALSE)</f>
        <v>5</v>
      </c>
    </row>
    <row r="122" spans="1:7" x14ac:dyDescent="0.25">
      <c r="A122" s="13" t="s">
        <v>234</v>
      </c>
      <c r="B122" s="67">
        <v>45687</v>
      </c>
      <c r="C122" s="13">
        <v>100</v>
      </c>
      <c r="D122" s="13" t="s">
        <v>12</v>
      </c>
      <c r="E122" s="67">
        <v>45687</v>
      </c>
      <c r="F122" s="13" t="s">
        <v>11</v>
      </c>
      <c r="G122" s="13">
        <f>_xlfn.XLOOKUP(E122,'Wk no''s'!B:B,'Wk no''s'!C:C,FALSE)</f>
        <v>5</v>
      </c>
    </row>
    <row r="123" spans="1:7" x14ac:dyDescent="0.25">
      <c r="A123" s="13" t="s">
        <v>200</v>
      </c>
      <c r="B123" s="67">
        <v>45688</v>
      </c>
      <c r="C123" s="13">
        <v>100</v>
      </c>
      <c r="D123" s="13" t="s">
        <v>19</v>
      </c>
      <c r="E123" s="67">
        <v>45688</v>
      </c>
      <c r="F123" s="13" t="s">
        <v>16</v>
      </c>
      <c r="G123" s="13">
        <f>_xlfn.XLOOKUP(E123,'Wk no''s'!B:B,'Wk no''s'!C:C,FALSE)</f>
        <v>5</v>
      </c>
    </row>
    <row r="124" spans="1:7" x14ac:dyDescent="0.25">
      <c r="A124" s="13" t="s">
        <v>201</v>
      </c>
      <c r="B124" s="13"/>
      <c r="C124" s="13">
        <v>100</v>
      </c>
      <c r="D124" s="13" t="s">
        <v>19</v>
      </c>
      <c r="E124" s="67">
        <v>45688</v>
      </c>
      <c r="F124" s="13" t="s">
        <v>16</v>
      </c>
      <c r="G124" s="13">
        <f>_xlfn.XLOOKUP(E124,'Wk no''s'!B:B,'Wk no''s'!C:C,FALSE)</f>
        <v>5</v>
      </c>
    </row>
    <row r="125" spans="1:7" x14ac:dyDescent="0.25">
      <c r="A125" s="13" t="s">
        <v>205</v>
      </c>
      <c r="B125" s="67">
        <v>45692</v>
      </c>
      <c r="C125" s="13">
        <v>100</v>
      </c>
      <c r="D125" s="13" t="s">
        <v>19</v>
      </c>
      <c r="E125" s="67">
        <v>45688</v>
      </c>
      <c r="F125" s="13" t="s">
        <v>41</v>
      </c>
      <c r="G125" s="13">
        <f>_xlfn.XLOOKUP(E125,'Wk no''s'!B:B,'Wk no''s'!C:C,FALSE)</f>
        <v>5</v>
      </c>
    </row>
    <row r="126" spans="1:7" x14ac:dyDescent="0.25">
      <c r="A126" s="13" t="s">
        <v>207</v>
      </c>
      <c r="B126" s="67">
        <v>45693</v>
      </c>
      <c r="C126" s="13">
        <v>100</v>
      </c>
      <c r="D126" s="13" t="s">
        <v>19</v>
      </c>
      <c r="E126" s="67">
        <v>45688</v>
      </c>
      <c r="F126" s="13" t="s">
        <v>41</v>
      </c>
      <c r="G126" s="13">
        <f>_xlfn.XLOOKUP(E126,'Wk no''s'!B:B,'Wk no''s'!C:C,FALSE)</f>
        <v>5</v>
      </c>
    </row>
    <row r="127" spans="1:7" x14ac:dyDescent="0.25">
      <c r="A127" s="13" t="s">
        <v>227</v>
      </c>
      <c r="B127" s="67">
        <v>45688</v>
      </c>
      <c r="C127" s="13">
        <v>100</v>
      </c>
      <c r="D127" s="13" t="s">
        <v>50</v>
      </c>
      <c r="E127" s="67">
        <v>45688</v>
      </c>
      <c r="F127" s="13" t="s">
        <v>47</v>
      </c>
      <c r="G127" s="13">
        <f>_xlfn.XLOOKUP(E127,'Wk no''s'!B:B,'Wk no''s'!C:C,FALSE)</f>
        <v>5</v>
      </c>
    </row>
    <row r="128" spans="1:7" x14ac:dyDescent="0.25">
      <c r="A128" s="13" t="s">
        <v>229</v>
      </c>
      <c r="B128" s="67">
        <v>45688</v>
      </c>
      <c r="C128" s="13">
        <v>100</v>
      </c>
      <c r="D128" s="13" t="s">
        <v>50</v>
      </c>
      <c r="E128" s="67">
        <v>45688</v>
      </c>
      <c r="F128" s="13" t="s">
        <v>47</v>
      </c>
      <c r="G128" s="13">
        <f>_xlfn.XLOOKUP(E128,'Wk no''s'!B:B,'Wk no''s'!C:C,FALSE)</f>
        <v>5</v>
      </c>
    </row>
    <row r="129" spans="1:7" x14ac:dyDescent="0.25">
      <c r="A129" s="13" t="s">
        <v>239</v>
      </c>
      <c r="B129" s="67">
        <v>45692</v>
      </c>
      <c r="C129" s="13">
        <v>100</v>
      </c>
      <c r="D129" s="13" t="s">
        <v>19</v>
      </c>
      <c r="E129" s="67">
        <v>45688</v>
      </c>
      <c r="F129" s="13" t="s">
        <v>72</v>
      </c>
      <c r="G129" s="13">
        <f>_xlfn.XLOOKUP(E129,'Wk no''s'!B:B,'Wk no''s'!C:C,FALSE)</f>
        <v>5</v>
      </c>
    </row>
    <row r="130" spans="1:7" x14ac:dyDescent="0.25">
      <c r="A130" s="13" t="s">
        <v>240</v>
      </c>
      <c r="B130" s="67">
        <v>45691</v>
      </c>
      <c r="C130" s="13">
        <v>100</v>
      </c>
      <c r="D130" s="13" t="s">
        <v>19</v>
      </c>
      <c r="E130" s="67">
        <v>45688</v>
      </c>
      <c r="F130" s="13" t="s">
        <v>72</v>
      </c>
      <c r="G130" s="13">
        <f>_xlfn.XLOOKUP(E130,'Wk no''s'!B:B,'Wk no''s'!C:C,FALSE)</f>
        <v>5</v>
      </c>
    </row>
    <row r="131" spans="1:7" x14ac:dyDescent="0.25">
      <c r="A131" s="13" t="s">
        <v>243</v>
      </c>
      <c r="B131" s="67">
        <v>45691</v>
      </c>
      <c r="C131" s="13">
        <v>100</v>
      </c>
      <c r="D131" s="13" t="s">
        <v>19</v>
      </c>
      <c r="E131" s="67">
        <v>45691</v>
      </c>
      <c r="F131" s="13" t="s">
        <v>16</v>
      </c>
      <c r="G131" s="13">
        <f>_xlfn.XLOOKUP(E131,'Wk no''s'!B:B,'Wk no''s'!C:C,FALSE)</f>
        <v>6</v>
      </c>
    </row>
    <row r="132" spans="1:7" x14ac:dyDescent="0.25">
      <c r="A132" s="13" t="s">
        <v>245</v>
      </c>
      <c r="B132" s="67">
        <v>45701</v>
      </c>
      <c r="C132" s="13">
        <v>100</v>
      </c>
      <c r="D132" s="13" t="s">
        <v>19</v>
      </c>
      <c r="E132" s="67">
        <v>45691</v>
      </c>
      <c r="F132" s="13" t="s">
        <v>16</v>
      </c>
      <c r="G132" s="13">
        <f>_xlfn.XLOOKUP(E132,'Wk no''s'!B:B,'Wk no''s'!C:C,FALSE)</f>
        <v>6</v>
      </c>
    </row>
    <row r="133" spans="1:7" x14ac:dyDescent="0.25">
      <c r="A133" s="13" t="s">
        <v>250</v>
      </c>
      <c r="B133" s="13"/>
      <c r="C133" s="13">
        <v>100</v>
      </c>
      <c r="D133" s="13" t="s">
        <v>19</v>
      </c>
      <c r="E133" s="67">
        <v>45691</v>
      </c>
      <c r="F133" s="13" t="s">
        <v>16</v>
      </c>
      <c r="G133" s="13">
        <f>_xlfn.XLOOKUP(E133,'Wk no''s'!B:B,'Wk no''s'!C:C,FALSE)</f>
        <v>6</v>
      </c>
    </row>
    <row r="134" spans="1:7" x14ac:dyDescent="0.25">
      <c r="A134" s="13" t="s">
        <v>256</v>
      </c>
      <c r="B134" s="67">
        <v>45691</v>
      </c>
      <c r="C134" s="13">
        <v>100</v>
      </c>
      <c r="D134" s="13" t="s">
        <v>19</v>
      </c>
      <c r="E134" s="67">
        <v>45691</v>
      </c>
      <c r="F134" s="13" t="s">
        <v>47</v>
      </c>
      <c r="G134" s="13">
        <f>_xlfn.XLOOKUP(E134,'Wk no''s'!B:B,'Wk no''s'!C:C,FALSE)</f>
        <v>6</v>
      </c>
    </row>
    <row r="135" spans="1:7" x14ac:dyDescent="0.25">
      <c r="A135" s="13" t="s">
        <v>280</v>
      </c>
      <c r="B135" s="67">
        <v>45692</v>
      </c>
      <c r="C135" s="13">
        <v>100</v>
      </c>
      <c r="D135" s="13" t="s">
        <v>281</v>
      </c>
      <c r="E135" s="67">
        <v>45691</v>
      </c>
      <c r="F135" s="13" t="s">
        <v>11</v>
      </c>
      <c r="G135" s="13">
        <f>_xlfn.XLOOKUP(E135,'Wk no''s'!B:B,'Wk no''s'!C:C,FALSE)</f>
        <v>6</v>
      </c>
    </row>
    <row r="136" spans="1:7" x14ac:dyDescent="0.25">
      <c r="A136" s="13" t="s">
        <v>286</v>
      </c>
      <c r="B136" s="67">
        <v>45692</v>
      </c>
      <c r="C136" s="13">
        <v>100</v>
      </c>
      <c r="D136" s="13" t="s">
        <v>50</v>
      </c>
      <c r="E136" s="67">
        <v>45691</v>
      </c>
      <c r="F136" s="13" t="s">
        <v>11</v>
      </c>
      <c r="G136" s="13">
        <f>_xlfn.XLOOKUP(E136,'Wk no''s'!B:B,'Wk no''s'!C:C,FALSE)</f>
        <v>6</v>
      </c>
    </row>
    <row r="137" spans="1:7" x14ac:dyDescent="0.25">
      <c r="A137" s="13" t="s">
        <v>292</v>
      </c>
      <c r="B137" s="67">
        <v>45693</v>
      </c>
      <c r="C137" s="13">
        <v>100</v>
      </c>
      <c r="D137" s="13" t="s">
        <v>19</v>
      </c>
      <c r="E137" s="67">
        <v>45691</v>
      </c>
      <c r="F137" s="13" t="s">
        <v>72</v>
      </c>
      <c r="G137" s="13">
        <f>_xlfn.XLOOKUP(E137,'Wk no''s'!B:B,'Wk no''s'!C:C,FALSE)</f>
        <v>6</v>
      </c>
    </row>
    <row r="138" spans="1:7" x14ac:dyDescent="0.25">
      <c r="A138" s="13" t="s">
        <v>294</v>
      </c>
      <c r="B138" s="67">
        <v>45692</v>
      </c>
      <c r="C138" s="13">
        <v>100</v>
      </c>
      <c r="D138" s="13" t="s">
        <v>19</v>
      </c>
      <c r="E138" s="67">
        <v>45691</v>
      </c>
      <c r="F138" s="13" t="s">
        <v>72</v>
      </c>
      <c r="G138" s="13">
        <f>_xlfn.XLOOKUP(E138,'Wk no''s'!B:B,'Wk no''s'!C:C,FALSE)</f>
        <v>6</v>
      </c>
    </row>
    <row r="139" spans="1:7" x14ac:dyDescent="0.25">
      <c r="A139" s="13" t="s">
        <v>295</v>
      </c>
      <c r="B139" s="67">
        <v>45693</v>
      </c>
      <c r="C139" s="13">
        <v>100</v>
      </c>
      <c r="D139" s="13" t="s">
        <v>19</v>
      </c>
      <c r="E139" s="67">
        <v>45691</v>
      </c>
      <c r="F139" s="13" t="s">
        <v>72</v>
      </c>
      <c r="G139" s="13">
        <f>_xlfn.XLOOKUP(E139,'Wk no''s'!B:B,'Wk no''s'!C:C,FALSE)</f>
        <v>6</v>
      </c>
    </row>
    <row r="140" spans="1:7" x14ac:dyDescent="0.25">
      <c r="A140" s="13" t="s">
        <v>251</v>
      </c>
      <c r="B140" s="67">
        <v>45693</v>
      </c>
      <c r="C140" s="13">
        <v>100</v>
      </c>
      <c r="D140" s="13" t="s">
        <v>19</v>
      </c>
      <c r="E140" s="67">
        <v>45692</v>
      </c>
      <c r="F140" s="13" t="s">
        <v>41</v>
      </c>
      <c r="G140" s="13">
        <f>_xlfn.XLOOKUP(E140,'Wk no''s'!B:B,'Wk no''s'!C:C,FALSE)</f>
        <v>6</v>
      </c>
    </row>
    <row r="141" spans="1:7" x14ac:dyDescent="0.25">
      <c r="A141" s="13" t="s">
        <v>270</v>
      </c>
      <c r="B141" s="67">
        <v>45692</v>
      </c>
      <c r="C141" s="13">
        <v>100</v>
      </c>
      <c r="D141" s="13" t="s">
        <v>50</v>
      </c>
      <c r="E141" s="67">
        <v>45692</v>
      </c>
      <c r="F141" s="13" t="s">
        <v>47</v>
      </c>
      <c r="G141" s="13">
        <f>_xlfn.XLOOKUP(E141,'Wk no''s'!B:B,'Wk no''s'!C:C,FALSE)</f>
        <v>6</v>
      </c>
    </row>
    <row r="142" spans="1:7" x14ac:dyDescent="0.25">
      <c r="A142" s="13" t="s">
        <v>262</v>
      </c>
      <c r="B142" s="67">
        <v>45692</v>
      </c>
      <c r="C142" s="13">
        <v>100</v>
      </c>
      <c r="D142" s="13" t="s">
        <v>19</v>
      </c>
      <c r="E142" s="67">
        <v>45692</v>
      </c>
      <c r="F142" s="13" t="s">
        <v>47</v>
      </c>
      <c r="G142" s="13">
        <f>_xlfn.XLOOKUP(E142,'Wk no''s'!B:B,'Wk no''s'!C:C,FALSE)</f>
        <v>6</v>
      </c>
    </row>
    <row r="143" spans="1:7" x14ac:dyDescent="0.25">
      <c r="A143" s="13" t="s">
        <v>296</v>
      </c>
      <c r="B143" s="67">
        <v>45721</v>
      </c>
      <c r="C143" s="13">
        <v>100</v>
      </c>
      <c r="D143" s="13" t="s">
        <v>19</v>
      </c>
      <c r="E143" s="67">
        <v>45692</v>
      </c>
      <c r="F143" s="13" t="s">
        <v>72</v>
      </c>
      <c r="G143" s="13">
        <f>_xlfn.XLOOKUP(E143,'Wk no''s'!B:B,'Wk no''s'!C:C,FALSE)</f>
        <v>6</v>
      </c>
    </row>
    <row r="144" spans="1:7" x14ac:dyDescent="0.25">
      <c r="A144" s="13" t="s">
        <v>247</v>
      </c>
      <c r="B144" s="67">
        <v>45693</v>
      </c>
      <c r="C144" s="13">
        <v>100</v>
      </c>
      <c r="D144" s="13" t="s">
        <v>19</v>
      </c>
      <c r="E144" s="67">
        <v>45693</v>
      </c>
      <c r="F144" s="13" t="s">
        <v>16</v>
      </c>
      <c r="G144" s="13">
        <f>_xlfn.XLOOKUP(E144,'Wk no''s'!B:B,'Wk no''s'!C:C,FALSE)</f>
        <v>6</v>
      </c>
    </row>
    <row r="145" spans="1:7" x14ac:dyDescent="0.25">
      <c r="A145" s="13" t="s">
        <v>258</v>
      </c>
      <c r="B145" s="13"/>
      <c r="C145" s="13">
        <v>100</v>
      </c>
      <c r="D145" s="13" t="s">
        <v>19</v>
      </c>
      <c r="E145" s="67">
        <v>45693</v>
      </c>
      <c r="F145" s="13" t="s">
        <v>47</v>
      </c>
      <c r="G145" s="13">
        <f>_xlfn.XLOOKUP(E145,'Wk no''s'!B:B,'Wk no''s'!C:C,FALSE)</f>
        <v>6</v>
      </c>
    </row>
    <row r="146" spans="1:7" x14ac:dyDescent="0.25">
      <c r="A146" s="13" t="s">
        <v>254</v>
      </c>
      <c r="B146" s="67">
        <v>45693</v>
      </c>
      <c r="C146" s="13">
        <v>100</v>
      </c>
      <c r="D146" s="13" t="s">
        <v>12</v>
      </c>
      <c r="E146" s="67">
        <v>45693</v>
      </c>
      <c r="F146" s="13" t="s">
        <v>47</v>
      </c>
      <c r="G146" s="13">
        <f>_xlfn.XLOOKUP(E146,'Wk no''s'!B:B,'Wk no''s'!C:C,FALSE)</f>
        <v>6</v>
      </c>
    </row>
    <row r="147" spans="1:7" x14ac:dyDescent="0.25">
      <c r="A147" s="13" t="s">
        <v>282</v>
      </c>
      <c r="B147" s="67">
        <v>45595</v>
      </c>
      <c r="C147" s="13">
        <v>0</v>
      </c>
      <c r="D147" s="13" t="s">
        <v>50</v>
      </c>
      <c r="E147" s="67">
        <v>45693</v>
      </c>
      <c r="F147" s="13" t="s">
        <v>11</v>
      </c>
      <c r="G147" s="13">
        <f>_xlfn.XLOOKUP(E147,'Wk no''s'!B:B,'Wk no''s'!C:C,FALSE)</f>
        <v>6</v>
      </c>
    </row>
    <row r="148" spans="1:7" x14ac:dyDescent="0.25">
      <c r="A148" s="13" t="s">
        <v>253</v>
      </c>
      <c r="B148" s="67">
        <v>45699</v>
      </c>
      <c r="C148" s="13">
        <v>100</v>
      </c>
      <c r="D148" s="13" t="s">
        <v>19</v>
      </c>
      <c r="E148" s="67">
        <v>45694</v>
      </c>
      <c r="F148" s="13" t="s">
        <v>41</v>
      </c>
      <c r="G148" s="13">
        <f>_xlfn.XLOOKUP(E148,'Wk no''s'!B:B,'Wk no''s'!C:C,FALSE)</f>
        <v>6</v>
      </c>
    </row>
    <row r="149" spans="1:7" x14ac:dyDescent="0.25">
      <c r="A149" s="13" t="s">
        <v>260</v>
      </c>
      <c r="B149" s="13"/>
      <c r="C149" s="13">
        <v>100</v>
      </c>
      <c r="D149" s="13" t="s">
        <v>19</v>
      </c>
      <c r="E149" s="67">
        <v>45694</v>
      </c>
      <c r="F149" s="13" t="s">
        <v>47</v>
      </c>
      <c r="G149" s="13">
        <f>_xlfn.XLOOKUP(E149,'Wk no''s'!B:B,'Wk no''s'!C:C,FALSE)</f>
        <v>6</v>
      </c>
    </row>
    <row r="150" spans="1:7" x14ac:dyDescent="0.25">
      <c r="A150" s="13" t="s">
        <v>283</v>
      </c>
      <c r="B150" s="67">
        <v>45688</v>
      </c>
      <c r="C150" s="13">
        <v>0</v>
      </c>
      <c r="D150" s="13" t="s">
        <v>50</v>
      </c>
      <c r="E150" s="67">
        <v>45694</v>
      </c>
      <c r="F150" s="13" t="s">
        <v>11</v>
      </c>
      <c r="G150" s="13">
        <f>_xlfn.XLOOKUP(E150,'Wk no''s'!B:B,'Wk no''s'!C:C,FALSE)</f>
        <v>6</v>
      </c>
    </row>
    <row r="151" spans="1:7" x14ac:dyDescent="0.25">
      <c r="A151" s="13" t="s">
        <v>285</v>
      </c>
      <c r="B151" s="67">
        <v>45694</v>
      </c>
      <c r="C151" s="13">
        <v>100</v>
      </c>
      <c r="D151" s="13" t="s">
        <v>50</v>
      </c>
      <c r="E151" s="67">
        <v>45694</v>
      </c>
      <c r="F151" s="13" t="s">
        <v>11</v>
      </c>
      <c r="G151" s="13">
        <f>_xlfn.XLOOKUP(E151,'Wk no''s'!B:B,'Wk no''s'!C:C,FALSE)</f>
        <v>6</v>
      </c>
    </row>
    <row r="152" spans="1:7" x14ac:dyDescent="0.25">
      <c r="A152" s="13" t="s">
        <v>274</v>
      </c>
      <c r="B152" s="67">
        <v>45694</v>
      </c>
      <c r="C152" s="13">
        <v>100</v>
      </c>
      <c r="D152" s="13" t="s">
        <v>12</v>
      </c>
      <c r="E152" s="67">
        <v>45694</v>
      </c>
      <c r="F152" s="13" t="s">
        <v>11</v>
      </c>
      <c r="G152" s="13">
        <f>_xlfn.XLOOKUP(E152,'Wk no''s'!B:B,'Wk no''s'!C:C,FALSE)</f>
        <v>6</v>
      </c>
    </row>
    <row r="153" spans="1:7" x14ac:dyDescent="0.25">
      <c r="A153" s="13" t="s">
        <v>276</v>
      </c>
      <c r="B153" s="67">
        <v>45694</v>
      </c>
      <c r="C153" s="13">
        <v>100</v>
      </c>
      <c r="D153" s="13" t="s">
        <v>12</v>
      </c>
      <c r="E153" s="67">
        <v>45694</v>
      </c>
      <c r="F153" s="13" t="s">
        <v>11</v>
      </c>
      <c r="G153" s="13">
        <f>_xlfn.XLOOKUP(E153,'Wk no''s'!B:B,'Wk no''s'!C:C,FALSE)</f>
        <v>6</v>
      </c>
    </row>
    <row r="154" spans="1:7" x14ac:dyDescent="0.25">
      <c r="A154" s="13" t="s">
        <v>290</v>
      </c>
      <c r="B154" s="67">
        <v>45695</v>
      </c>
      <c r="C154" s="13">
        <v>100</v>
      </c>
      <c r="D154" s="13" t="s">
        <v>19</v>
      </c>
      <c r="E154" s="67">
        <v>45694</v>
      </c>
      <c r="F154" s="13" t="s">
        <v>72</v>
      </c>
      <c r="G154" s="13">
        <f>_xlfn.XLOOKUP(E154,'Wk no''s'!B:B,'Wk no''s'!C:C,FALSE)</f>
        <v>6</v>
      </c>
    </row>
    <row r="155" spans="1:7" x14ac:dyDescent="0.25">
      <c r="A155" s="13" t="s">
        <v>293</v>
      </c>
      <c r="B155" s="67">
        <v>45694</v>
      </c>
      <c r="C155" s="13">
        <v>100</v>
      </c>
      <c r="D155" s="13" t="s">
        <v>19</v>
      </c>
      <c r="E155" s="67">
        <v>45694</v>
      </c>
      <c r="F155" s="13" t="s">
        <v>72</v>
      </c>
      <c r="G155" s="13">
        <f>_xlfn.XLOOKUP(E155,'Wk no''s'!B:B,'Wk no''s'!C:C,FALSE)</f>
        <v>6</v>
      </c>
    </row>
    <row r="156" spans="1:7" x14ac:dyDescent="0.25">
      <c r="A156" s="13" t="s">
        <v>241</v>
      </c>
      <c r="B156" s="67">
        <v>45695</v>
      </c>
      <c r="C156" s="13">
        <v>100</v>
      </c>
      <c r="D156" s="13" t="s">
        <v>12</v>
      </c>
      <c r="E156" s="67">
        <v>45695</v>
      </c>
      <c r="F156" s="13" t="s">
        <v>16</v>
      </c>
      <c r="G156" s="13">
        <f>_xlfn.XLOOKUP(E156,'Wk no''s'!B:B,'Wk no''s'!C:C,FALSE)</f>
        <v>6</v>
      </c>
    </row>
    <row r="157" spans="1:7" x14ac:dyDescent="0.25">
      <c r="A157" s="13" t="s">
        <v>249</v>
      </c>
      <c r="B157" s="13"/>
      <c r="C157" s="13">
        <v>100</v>
      </c>
      <c r="D157" s="13" t="s">
        <v>19</v>
      </c>
      <c r="E157" s="67">
        <v>45695</v>
      </c>
      <c r="F157" s="13" t="s">
        <v>16</v>
      </c>
      <c r="G157" s="13">
        <f>_xlfn.XLOOKUP(E157,'Wk no''s'!B:B,'Wk no''s'!C:C,FALSE)</f>
        <v>6</v>
      </c>
    </row>
    <row r="158" spans="1:7" x14ac:dyDescent="0.25">
      <c r="A158" s="13" t="s">
        <v>268</v>
      </c>
      <c r="B158" s="67">
        <v>45694</v>
      </c>
      <c r="C158" s="13">
        <v>0</v>
      </c>
      <c r="D158" s="13" t="s">
        <v>50</v>
      </c>
      <c r="E158" s="67">
        <v>45695</v>
      </c>
      <c r="F158" s="13" t="s">
        <v>47</v>
      </c>
      <c r="G158" s="13">
        <f>_xlfn.XLOOKUP(E158,'Wk no''s'!B:B,'Wk no''s'!C:C,FALSE)</f>
        <v>6</v>
      </c>
    </row>
    <row r="159" spans="1:7" x14ac:dyDescent="0.25">
      <c r="A159" s="13" t="s">
        <v>266</v>
      </c>
      <c r="B159" s="67">
        <v>45695</v>
      </c>
      <c r="C159" s="13">
        <v>100</v>
      </c>
      <c r="D159" s="13" t="s">
        <v>50</v>
      </c>
      <c r="E159" s="67">
        <v>45695</v>
      </c>
      <c r="F159" s="13" t="s">
        <v>47</v>
      </c>
      <c r="G159" s="13">
        <f>_xlfn.XLOOKUP(E159,'Wk no''s'!B:B,'Wk no''s'!C:C,FALSE)</f>
        <v>6</v>
      </c>
    </row>
    <row r="160" spans="1:7" x14ac:dyDescent="0.25">
      <c r="A160" s="13" t="s">
        <v>271</v>
      </c>
      <c r="B160" s="13"/>
      <c r="C160" s="13">
        <v>100</v>
      </c>
      <c r="D160" s="13" t="s">
        <v>50</v>
      </c>
      <c r="E160" s="67">
        <v>45695</v>
      </c>
      <c r="F160" s="13" t="s">
        <v>47</v>
      </c>
      <c r="G160" s="13">
        <f>_xlfn.XLOOKUP(E160,'Wk no''s'!B:B,'Wk no''s'!C:C,FALSE)</f>
        <v>6</v>
      </c>
    </row>
    <row r="161" spans="1:7" x14ac:dyDescent="0.25">
      <c r="A161" s="13" t="s">
        <v>264</v>
      </c>
      <c r="B161" s="13"/>
      <c r="C161" s="13">
        <v>100</v>
      </c>
      <c r="D161" s="13" t="s">
        <v>19</v>
      </c>
      <c r="E161" s="67">
        <v>45695</v>
      </c>
      <c r="F161" s="13" t="s">
        <v>47</v>
      </c>
      <c r="G161" s="13">
        <f>_xlfn.XLOOKUP(E161,'Wk no''s'!B:B,'Wk no''s'!C:C,FALSE)</f>
        <v>6</v>
      </c>
    </row>
    <row r="162" spans="1:7" x14ac:dyDescent="0.25">
      <c r="A162" s="13" t="s">
        <v>273</v>
      </c>
      <c r="B162" s="13"/>
      <c r="C162" s="13">
        <v>100</v>
      </c>
      <c r="D162" s="13" t="s">
        <v>50</v>
      </c>
      <c r="E162" s="67">
        <v>45695</v>
      </c>
      <c r="F162" s="13" t="s">
        <v>47</v>
      </c>
      <c r="G162" s="13">
        <f>_xlfn.XLOOKUP(E162,'Wk no''s'!B:B,'Wk no''s'!C:C,FALSE)</f>
        <v>6</v>
      </c>
    </row>
    <row r="163" spans="1:7" x14ac:dyDescent="0.25">
      <c r="A163" s="13" t="s">
        <v>278</v>
      </c>
      <c r="B163" s="13"/>
      <c r="C163" s="13">
        <v>100</v>
      </c>
      <c r="D163" s="13" t="s">
        <v>12</v>
      </c>
      <c r="E163" s="67">
        <v>45695</v>
      </c>
      <c r="F163" s="13" t="s">
        <v>11</v>
      </c>
      <c r="G163" s="13">
        <f>_xlfn.XLOOKUP(E163,'Wk no''s'!B:B,'Wk no''s'!C:C,FALSE)</f>
        <v>6</v>
      </c>
    </row>
    <row r="164" spans="1:7" x14ac:dyDescent="0.25">
      <c r="A164" s="13" t="s">
        <v>288</v>
      </c>
      <c r="B164" s="67">
        <v>45685</v>
      </c>
      <c r="C164" s="13">
        <v>0</v>
      </c>
      <c r="D164" s="13" t="s">
        <v>19</v>
      </c>
      <c r="E164" s="67">
        <v>45695</v>
      </c>
      <c r="F164" s="13" t="s">
        <v>72</v>
      </c>
      <c r="G164" s="13">
        <f>_xlfn.XLOOKUP(E164,'Wk no''s'!B:B,'Wk no''s'!C:C,FALSE)</f>
        <v>6</v>
      </c>
    </row>
    <row r="165" spans="1:7" x14ac:dyDescent="0.25">
      <c r="A165" s="13" t="s">
        <v>297</v>
      </c>
      <c r="B165" s="67">
        <v>45698</v>
      </c>
      <c r="C165" s="13">
        <v>100</v>
      </c>
      <c r="D165" s="13" t="s">
        <v>19</v>
      </c>
      <c r="E165" s="67">
        <v>45695</v>
      </c>
      <c r="F165" s="13" t="s">
        <v>72</v>
      </c>
      <c r="G165" s="13">
        <f>_xlfn.XLOOKUP(E165,'Wk no''s'!B:B,'Wk no''s'!C:C,FALSE)</f>
        <v>6</v>
      </c>
    </row>
    <row r="166" spans="1:7" x14ac:dyDescent="0.25">
      <c r="A166" s="13" t="s">
        <v>303</v>
      </c>
      <c r="B166" s="13"/>
      <c r="C166" s="13">
        <v>100</v>
      </c>
      <c r="D166" s="13" t="s">
        <v>19</v>
      </c>
      <c r="E166" s="67">
        <v>45698</v>
      </c>
      <c r="F166" s="13" t="s">
        <v>16</v>
      </c>
      <c r="G166" s="13">
        <f>_xlfn.XLOOKUP(E166,'Wk no''s'!B:B,'Wk no''s'!C:C,FALSE)</f>
        <v>7</v>
      </c>
    </row>
    <row r="167" spans="1:7" x14ac:dyDescent="0.25">
      <c r="A167" s="13" t="s">
        <v>323</v>
      </c>
      <c r="B167" s="67">
        <v>45708</v>
      </c>
      <c r="C167" s="13">
        <v>100</v>
      </c>
      <c r="D167" s="13" t="s">
        <v>19</v>
      </c>
      <c r="E167" s="67">
        <v>45698</v>
      </c>
      <c r="F167" s="13" t="s">
        <v>47</v>
      </c>
      <c r="G167" s="13">
        <f>_xlfn.XLOOKUP(E167,'Wk no''s'!B:B,'Wk no''s'!C:C,FALSE)</f>
        <v>7</v>
      </c>
    </row>
    <row r="168" spans="1:7" x14ac:dyDescent="0.25">
      <c r="A168" s="13" t="s">
        <v>326</v>
      </c>
      <c r="B168" s="67">
        <v>45698</v>
      </c>
      <c r="C168" s="13">
        <v>100</v>
      </c>
      <c r="D168" s="13" t="s">
        <v>50</v>
      </c>
      <c r="E168" s="67">
        <v>45698</v>
      </c>
      <c r="F168" s="13" t="s">
        <v>47</v>
      </c>
      <c r="G168" s="13">
        <f>_xlfn.XLOOKUP(E168,'Wk no''s'!B:B,'Wk no''s'!C:C,FALSE)</f>
        <v>7</v>
      </c>
    </row>
    <row r="169" spans="1:7" x14ac:dyDescent="0.25">
      <c r="A169" s="13" t="s">
        <v>327</v>
      </c>
      <c r="B169" s="67">
        <v>45698</v>
      </c>
      <c r="C169" s="13">
        <v>100</v>
      </c>
      <c r="D169" s="13" t="s">
        <v>50</v>
      </c>
      <c r="E169" s="67">
        <v>45698</v>
      </c>
      <c r="F169" s="13" t="s">
        <v>47</v>
      </c>
      <c r="G169" s="13">
        <f>_xlfn.XLOOKUP(E169,'Wk no''s'!B:B,'Wk no''s'!C:C,FALSE)</f>
        <v>7</v>
      </c>
    </row>
    <row r="170" spans="1:7" x14ac:dyDescent="0.25">
      <c r="A170" s="13" t="s">
        <v>337</v>
      </c>
      <c r="B170" s="67">
        <v>45698</v>
      </c>
      <c r="C170" s="13">
        <v>100</v>
      </c>
      <c r="D170" s="13" t="s">
        <v>12</v>
      </c>
      <c r="E170" s="67">
        <v>45698</v>
      </c>
      <c r="F170" s="13" t="s">
        <v>11</v>
      </c>
      <c r="G170" s="13">
        <f>_xlfn.XLOOKUP(E170,'Wk no''s'!B:B,'Wk no''s'!C:C,FALSE)</f>
        <v>7</v>
      </c>
    </row>
    <row r="171" spans="1:7" x14ac:dyDescent="0.25">
      <c r="A171" s="13" t="s">
        <v>345</v>
      </c>
      <c r="B171" s="67">
        <v>45699</v>
      </c>
      <c r="C171" s="13">
        <v>100</v>
      </c>
      <c r="D171" s="13" t="s">
        <v>50</v>
      </c>
      <c r="E171" s="67">
        <v>45698</v>
      </c>
      <c r="F171" s="13" t="s">
        <v>11</v>
      </c>
      <c r="G171" s="13">
        <f>_xlfn.XLOOKUP(E171,'Wk no''s'!B:B,'Wk no''s'!C:C,FALSE)</f>
        <v>7</v>
      </c>
    </row>
    <row r="172" spans="1:7" x14ac:dyDescent="0.25">
      <c r="A172" s="13" t="s">
        <v>346</v>
      </c>
      <c r="B172" s="67">
        <v>45699</v>
      </c>
      <c r="C172" s="13">
        <v>100</v>
      </c>
      <c r="D172" s="13" t="s">
        <v>19</v>
      </c>
      <c r="E172" s="67">
        <v>45698</v>
      </c>
      <c r="F172" s="13" t="s">
        <v>72</v>
      </c>
      <c r="G172" s="13">
        <f>_xlfn.XLOOKUP(E172,'Wk no''s'!B:B,'Wk no''s'!C:C,FALSE)</f>
        <v>7</v>
      </c>
    </row>
    <row r="173" spans="1:7" x14ac:dyDescent="0.25">
      <c r="A173" s="13" t="s">
        <v>305</v>
      </c>
      <c r="B173" s="67">
        <v>45698</v>
      </c>
      <c r="C173" s="13">
        <v>0</v>
      </c>
      <c r="D173" s="13" t="s">
        <v>19</v>
      </c>
      <c r="E173" s="67">
        <v>45699</v>
      </c>
      <c r="F173" s="13" t="s">
        <v>16</v>
      </c>
      <c r="G173" s="13">
        <f>_xlfn.XLOOKUP(E173,'Wk no''s'!B:B,'Wk no''s'!C:C,FALSE)</f>
        <v>7</v>
      </c>
    </row>
    <row r="174" spans="1:7" x14ac:dyDescent="0.25">
      <c r="A174" s="13" t="s">
        <v>318</v>
      </c>
      <c r="B174" s="67">
        <v>45702</v>
      </c>
      <c r="C174" s="13">
        <v>100</v>
      </c>
      <c r="D174" s="13" t="s">
        <v>19</v>
      </c>
      <c r="E174" s="67">
        <v>45699</v>
      </c>
      <c r="F174" s="13" t="s">
        <v>41</v>
      </c>
      <c r="G174" s="13">
        <f>_xlfn.XLOOKUP(E174,'Wk no''s'!B:B,'Wk no''s'!C:C,FALSE)</f>
        <v>7</v>
      </c>
    </row>
    <row r="175" spans="1:7" x14ac:dyDescent="0.25">
      <c r="A175" s="13" t="s">
        <v>324</v>
      </c>
      <c r="B175" s="67">
        <v>45699</v>
      </c>
      <c r="C175" s="13">
        <v>100</v>
      </c>
      <c r="D175" s="13" t="s">
        <v>50</v>
      </c>
      <c r="E175" s="67">
        <v>45699</v>
      </c>
      <c r="F175" s="13" t="s">
        <v>47</v>
      </c>
      <c r="G175" s="13">
        <f>_xlfn.XLOOKUP(E175,'Wk no''s'!B:B,'Wk no''s'!C:C,FALSE)</f>
        <v>7</v>
      </c>
    </row>
    <row r="176" spans="1:7" x14ac:dyDescent="0.25">
      <c r="A176" s="13" t="s">
        <v>310</v>
      </c>
      <c r="B176" s="67">
        <v>45699</v>
      </c>
      <c r="C176" s="13">
        <v>0</v>
      </c>
      <c r="D176" s="13" t="s">
        <v>19</v>
      </c>
      <c r="E176" s="67">
        <v>45700</v>
      </c>
      <c r="F176" s="13" t="s">
        <v>16</v>
      </c>
      <c r="G176" s="13">
        <f>_xlfn.XLOOKUP(E176,'Wk no''s'!B:B,'Wk no''s'!C:C,FALSE)</f>
        <v>7</v>
      </c>
    </row>
    <row r="177" spans="1:7" x14ac:dyDescent="0.25">
      <c r="A177" s="13" t="s">
        <v>307</v>
      </c>
      <c r="B177" s="67">
        <v>45701</v>
      </c>
      <c r="C177" s="13">
        <v>100</v>
      </c>
      <c r="D177" s="13" t="s">
        <v>19</v>
      </c>
      <c r="E177" s="67">
        <v>45700</v>
      </c>
      <c r="F177" s="13" t="s">
        <v>16</v>
      </c>
      <c r="G177" s="13">
        <f>_xlfn.XLOOKUP(E177,'Wk no''s'!B:B,'Wk no''s'!C:C,FALSE)</f>
        <v>7</v>
      </c>
    </row>
    <row r="178" spans="1:7" x14ac:dyDescent="0.25">
      <c r="A178" s="13" t="s">
        <v>298</v>
      </c>
      <c r="B178" s="67">
        <v>45700</v>
      </c>
      <c r="C178" s="13">
        <v>100</v>
      </c>
      <c r="D178" s="13" t="s">
        <v>12</v>
      </c>
      <c r="E178" s="67">
        <v>45700</v>
      </c>
      <c r="F178" s="13" t="s">
        <v>16</v>
      </c>
      <c r="G178" s="13">
        <f>_xlfn.XLOOKUP(E178,'Wk no''s'!B:B,'Wk no''s'!C:C,FALSE)</f>
        <v>7</v>
      </c>
    </row>
    <row r="179" spans="1:7" x14ac:dyDescent="0.25">
      <c r="A179" s="13" t="s">
        <v>319</v>
      </c>
      <c r="B179" s="67">
        <v>45702</v>
      </c>
      <c r="C179" s="13">
        <v>100</v>
      </c>
      <c r="D179" s="13" t="s">
        <v>19</v>
      </c>
      <c r="E179" s="67">
        <v>45700</v>
      </c>
      <c r="F179" s="13" t="s">
        <v>41</v>
      </c>
      <c r="G179" s="13">
        <f>_xlfn.XLOOKUP(E179,'Wk no''s'!B:B,'Wk no''s'!C:C,FALSE)</f>
        <v>7</v>
      </c>
    </row>
    <row r="180" spans="1:7" x14ac:dyDescent="0.25">
      <c r="A180" s="13" t="s">
        <v>329</v>
      </c>
      <c r="B180" s="67">
        <v>45695</v>
      </c>
      <c r="C180" s="13">
        <v>0</v>
      </c>
      <c r="D180" s="13" t="s">
        <v>50</v>
      </c>
      <c r="E180" s="67">
        <v>45700</v>
      </c>
      <c r="F180" s="13" t="s">
        <v>47</v>
      </c>
      <c r="G180" s="13">
        <f>_xlfn.XLOOKUP(E180,'Wk no''s'!B:B,'Wk no''s'!C:C,FALSE)</f>
        <v>7</v>
      </c>
    </row>
    <row r="181" spans="1:7" x14ac:dyDescent="0.25">
      <c r="A181" s="13" t="s">
        <v>333</v>
      </c>
      <c r="B181" s="67">
        <v>45700</v>
      </c>
      <c r="C181" s="13">
        <v>100</v>
      </c>
      <c r="D181" s="13" t="s">
        <v>50</v>
      </c>
      <c r="E181" s="67">
        <v>45700</v>
      </c>
      <c r="F181" s="13" t="s">
        <v>47</v>
      </c>
      <c r="G181" s="13">
        <f>_xlfn.XLOOKUP(E181,'Wk no''s'!B:B,'Wk no''s'!C:C,FALSE)</f>
        <v>7</v>
      </c>
    </row>
    <row r="182" spans="1:7" x14ac:dyDescent="0.25">
      <c r="A182" s="13" t="s">
        <v>334</v>
      </c>
      <c r="B182" s="13"/>
      <c r="C182" s="13">
        <v>100</v>
      </c>
      <c r="D182" s="13" t="s">
        <v>50</v>
      </c>
      <c r="E182" s="67">
        <v>45700</v>
      </c>
      <c r="F182" s="13" t="s">
        <v>47</v>
      </c>
      <c r="G182" s="13">
        <f>_xlfn.XLOOKUP(E182,'Wk no''s'!B:B,'Wk no''s'!C:C,FALSE)</f>
        <v>7</v>
      </c>
    </row>
    <row r="183" spans="1:7" x14ac:dyDescent="0.25">
      <c r="A183" s="13" t="s">
        <v>343</v>
      </c>
      <c r="B183" s="67">
        <v>45695</v>
      </c>
      <c r="C183" s="13">
        <v>0</v>
      </c>
      <c r="D183" s="13" t="s">
        <v>50</v>
      </c>
      <c r="E183" s="67">
        <v>45700</v>
      </c>
      <c r="F183" s="13" t="s">
        <v>11</v>
      </c>
      <c r="G183" s="13">
        <f>_xlfn.XLOOKUP(E183,'Wk no''s'!B:B,'Wk no''s'!C:C,FALSE)</f>
        <v>7</v>
      </c>
    </row>
    <row r="184" spans="1:7" x14ac:dyDescent="0.25">
      <c r="A184" s="13" t="s">
        <v>340</v>
      </c>
      <c r="B184" s="67">
        <v>45700</v>
      </c>
      <c r="C184" s="13">
        <v>100</v>
      </c>
      <c r="D184" s="13" t="s">
        <v>19</v>
      </c>
      <c r="E184" s="67">
        <v>45700</v>
      </c>
      <c r="F184" s="13" t="s">
        <v>11</v>
      </c>
      <c r="G184" s="13">
        <f>_xlfn.XLOOKUP(E184,'Wk no''s'!B:B,'Wk no''s'!C:C,FALSE)</f>
        <v>7</v>
      </c>
    </row>
    <row r="185" spans="1:7" x14ac:dyDescent="0.25">
      <c r="A185" s="13" t="s">
        <v>341</v>
      </c>
      <c r="B185" s="67">
        <v>45702</v>
      </c>
      <c r="C185" s="13">
        <v>100</v>
      </c>
      <c r="D185" s="13" t="s">
        <v>19</v>
      </c>
      <c r="E185" s="67">
        <v>45700</v>
      </c>
      <c r="F185" s="13" t="s">
        <v>11</v>
      </c>
      <c r="G185" s="13">
        <f>_xlfn.XLOOKUP(E185,'Wk no''s'!B:B,'Wk no''s'!C:C,FALSE)</f>
        <v>7</v>
      </c>
    </row>
    <row r="186" spans="1:7" x14ac:dyDescent="0.25">
      <c r="A186" s="13" t="s">
        <v>350</v>
      </c>
      <c r="B186" s="67">
        <v>45701</v>
      </c>
      <c r="C186" s="13">
        <v>100</v>
      </c>
      <c r="D186" s="13" t="s">
        <v>19</v>
      </c>
      <c r="E186" s="67">
        <v>45700</v>
      </c>
      <c r="F186" s="13" t="s">
        <v>72</v>
      </c>
      <c r="G186" s="13">
        <f>_xlfn.XLOOKUP(E186,'Wk no''s'!B:B,'Wk no''s'!C:C,FALSE)</f>
        <v>7</v>
      </c>
    </row>
    <row r="187" spans="1:7" x14ac:dyDescent="0.25">
      <c r="A187" s="13" t="s">
        <v>309</v>
      </c>
      <c r="B187" s="67">
        <v>45701</v>
      </c>
      <c r="C187" s="13">
        <v>100</v>
      </c>
      <c r="D187" s="13" t="s">
        <v>19</v>
      </c>
      <c r="E187" s="67">
        <v>45701</v>
      </c>
      <c r="F187" s="13" t="s">
        <v>16</v>
      </c>
      <c r="G187" s="13">
        <f>_xlfn.XLOOKUP(E187,'Wk no''s'!B:B,'Wk no''s'!C:C,FALSE)</f>
        <v>7</v>
      </c>
    </row>
    <row r="188" spans="1:7" x14ac:dyDescent="0.25">
      <c r="A188" s="13" t="s">
        <v>313</v>
      </c>
      <c r="B188" s="67">
        <v>45701</v>
      </c>
      <c r="C188" s="13">
        <v>100</v>
      </c>
      <c r="D188" s="13" t="s">
        <v>19</v>
      </c>
      <c r="E188" s="67">
        <v>45701</v>
      </c>
      <c r="F188" s="13" t="s">
        <v>16</v>
      </c>
      <c r="G188" s="13">
        <f>_xlfn.XLOOKUP(E188,'Wk no''s'!B:B,'Wk no''s'!C:C,FALSE)</f>
        <v>7</v>
      </c>
    </row>
    <row r="189" spans="1:7" x14ac:dyDescent="0.25">
      <c r="A189" s="13" t="s">
        <v>331</v>
      </c>
      <c r="B189" s="67">
        <v>45701</v>
      </c>
      <c r="C189" s="13">
        <v>100</v>
      </c>
      <c r="D189" s="13" t="s">
        <v>50</v>
      </c>
      <c r="E189" s="67">
        <v>45701</v>
      </c>
      <c r="F189" s="13" t="s">
        <v>47</v>
      </c>
      <c r="G189" s="13">
        <f>_xlfn.XLOOKUP(E189,'Wk no''s'!B:B,'Wk no''s'!C:C,FALSE)</f>
        <v>7</v>
      </c>
    </row>
    <row r="190" spans="1:7" x14ac:dyDescent="0.25">
      <c r="A190" s="13" t="s">
        <v>336</v>
      </c>
      <c r="B190" s="67">
        <v>45701</v>
      </c>
      <c r="C190" s="13">
        <v>100</v>
      </c>
      <c r="D190" s="13" t="s">
        <v>50</v>
      </c>
      <c r="E190" s="67">
        <v>45701</v>
      </c>
      <c r="F190" s="13" t="s">
        <v>47</v>
      </c>
      <c r="G190" s="13">
        <f>_xlfn.XLOOKUP(E190,'Wk no''s'!B:B,'Wk no''s'!C:C,FALSE)</f>
        <v>7</v>
      </c>
    </row>
    <row r="191" spans="1:7" x14ac:dyDescent="0.25">
      <c r="A191" s="13" t="s">
        <v>349</v>
      </c>
      <c r="B191" s="67">
        <v>45702</v>
      </c>
      <c r="C191" s="13">
        <v>100</v>
      </c>
      <c r="D191" s="13" t="s">
        <v>19</v>
      </c>
      <c r="E191" s="67">
        <v>45701</v>
      </c>
      <c r="F191" s="13" t="s">
        <v>72</v>
      </c>
      <c r="G191" s="13">
        <f>_xlfn.XLOOKUP(E191,'Wk no''s'!B:B,'Wk no''s'!C:C,FALSE)</f>
        <v>7</v>
      </c>
    </row>
    <row r="192" spans="1:7" x14ac:dyDescent="0.25">
      <c r="A192" s="13" t="s">
        <v>311</v>
      </c>
      <c r="B192" s="67">
        <v>45702</v>
      </c>
      <c r="C192" s="13">
        <v>100</v>
      </c>
      <c r="D192" s="13" t="s">
        <v>19</v>
      </c>
      <c r="E192" s="67">
        <v>45702</v>
      </c>
      <c r="F192" s="13" t="s">
        <v>16</v>
      </c>
      <c r="G192" s="13">
        <f>_xlfn.XLOOKUP(E192,'Wk no''s'!B:B,'Wk no''s'!C:C,FALSE)</f>
        <v>7</v>
      </c>
    </row>
    <row r="193" spans="1:7" x14ac:dyDescent="0.25">
      <c r="A193" s="13" t="s">
        <v>315</v>
      </c>
      <c r="B193" s="13"/>
      <c r="C193" s="13">
        <v>100</v>
      </c>
      <c r="D193" s="13" t="s">
        <v>19</v>
      </c>
      <c r="E193" s="67">
        <v>45702</v>
      </c>
      <c r="F193" s="13" t="s">
        <v>16</v>
      </c>
      <c r="G193" s="13">
        <f>_xlfn.XLOOKUP(E193,'Wk no''s'!B:B,'Wk no''s'!C:C,FALSE)</f>
        <v>7</v>
      </c>
    </row>
    <row r="194" spans="1:7" x14ac:dyDescent="0.25">
      <c r="A194" s="13" t="s">
        <v>300</v>
      </c>
      <c r="B194" s="67">
        <v>45702</v>
      </c>
      <c r="C194" s="13">
        <v>100</v>
      </c>
      <c r="D194" s="13" t="s">
        <v>12</v>
      </c>
      <c r="E194" s="67">
        <v>45702</v>
      </c>
      <c r="F194" s="13" t="s">
        <v>16</v>
      </c>
      <c r="G194" s="13">
        <f>_xlfn.XLOOKUP(E194,'Wk no''s'!B:B,'Wk no''s'!C:C,FALSE)</f>
        <v>7</v>
      </c>
    </row>
    <row r="195" spans="1:7" x14ac:dyDescent="0.25">
      <c r="A195" s="13" t="s">
        <v>302</v>
      </c>
      <c r="B195" s="13"/>
      <c r="C195" s="13">
        <v>100</v>
      </c>
      <c r="D195" s="13" t="s">
        <v>281</v>
      </c>
      <c r="E195" s="67">
        <v>45702</v>
      </c>
      <c r="F195" s="13" t="s">
        <v>16</v>
      </c>
      <c r="G195" s="13">
        <f>_xlfn.XLOOKUP(E195,'Wk no''s'!B:B,'Wk no''s'!C:C,FALSE)</f>
        <v>7</v>
      </c>
    </row>
    <row r="196" spans="1:7" x14ac:dyDescent="0.25">
      <c r="A196" s="13" t="s">
        <v>321</v>
      </c>
      <c r="B196" s="67">
        <v>45705</v>
      </c>
      <c r="C196" s="13">
        <v>100</v>
      </c>
      <c r="D196" s="13" t="s">
        <v>19</v>
      </c>
      <c r="E196" s="67">
        <v>45702</v>
      </c>
      <c r="F196" s="13" t="s">
        <v>41</v>
      </c>
      <c r="G196" s="13">
        <f>_xlfn.XLOOKUP(E196,'Wk no''s'!B:B,'Wk no''s'!C:C,FALSE)</f>
        <v>7</v>
      </c>
    </row>
    <row r="197" spans="1:7" x14ac:dyDescent="0.25">
      <c r="A197" s="13" t="s">
        <v>322</v>
      </c>
      <c r="B197" s="13"/>
      <c r="C197" s="13">
        <v>100</v>
      </c>
      <c r="D197" s="13" t="s">
        <v>19</v>
      </c>
      <c r="E197" s="67">
        <v>45702</v>
      </c>
      <c r="F197" s="13" t="s">
        <v>41</v>
      </c>
      <c r="G197" s="13">
        <f>_xlfn.XLOOKUP(E197,'Wk no''s'!B:B,'Wk no''s'!C:C,FALSE)</f>
        <v>7</v>
      </c>
    </row>
    <row r="198" spans="1:7" x14ac:dyDescent="0.25">
      <c r="A198" s="13" t="s">
        <v>348</v>
      </c>
      <c r="B198" s="67">
        <v>45702</v>
      </c>
      <c r="C198" s="13">
        <v>100</v>
      </c>
      <c r="D198" s="13" t="s">
        <v>19</v>
      </c>
      <c r="E198" s="67">
        <v>45702</v>
      </c>
      <c r="F198" s="13" t="s">
        <v>72</v>
      </c>
      <c r="G198" s="13">
        <f>_xlfn.XLOOKUP(E198,'Wk no''s'!B:B,'Wk no''s'!C:C,FALSE)</f>
        <v>7</v>
      </c>
    </row>
    <row r="199" spans="1:7" x14ac:dyDescent="0.25">
      <c r="A199" s="13" t="s">
        <v>351</v>
      </c>
      <c r="B199" s="67">
        <v>45705</v>
      </c>
      <c r="C199" s="13">
        <v>100</v>
      </c>
      <c r="D199" s="13" t="s">
        <v>19</v>
      </c>
      <c r="E199" s="67">
        <v>45702</v>
      </c>
      <c r="F199" s="13" t="s">
        <v>72</v>
      </c>
      <c r="G199" s="13">
        <f>_xlfn.XLOOKUP(E199,'Wk no''s'!B:B,'Wk no''s'!C:C,FALSE)</f>
        <v>7</v>
      </c>
    </row>
    <row r="200" spans="1:7" x14ac:dyDescent="0.25">
      <c r="A200" s="13" t="s">
        <v>353</v>
      </c>
      <c r="B200" s="67">
        <v>45705</v>
      </c>
      <c r="C200" s="13">
        <v>100</v>
      </c>
      <c r="D200" s="13" t="s">
        <v>19</v>
      </c>
      <c r="E200" s="67">
        <v>45702</v>
      </c>
      <c r="F200" s="13" t="s">
        <v>72</v>
      </c>
      <c r="G200" s="13">
        <f>_xlfn.XLOOKUP(E200,'Wk no''s'!B:B,'Wk no''s'!C:C,FALSE)</f>
        <v>7</v>
      </c>
    </row>
    <row r="201" spans="1:7" x14ac:dyDescent="0.25">
      <c r="A201" s="13" t="s">
        <v>317</v>
      </c>
      <c r="B201" s="67">
        <v>45703</v>
      </c>
      <c r="C201" s="13">
        <v>100</v>
      </c>
      <c r="D201" s="13" t="s">
        <v>19</v>
      </c>
      <c r="E201" s="67">
        <v>45703</v>
      </c>
      <c r="F201" s="13" t="s">
        <v>16</v>
      </c>
      <c r="G201" s="13">
        <f>_xlfn.XLOOKUP(E201,'Wk no''s'!B:B,'Wk no''s'!C:C,FALSE)</f>
        <v>8</v>
      </c>
    </row>
    <row r="202" spans="1:7" x14ac:dyDescent="0.25">
      <c r="A202" s="13" t="s">
        <v>338</v>
      </c>
      <c r="B202" s="67">
        <v>45705</v>
      </c>
      <c r="C202" s="13">
        <v>100</v>
      </c>
      <c r="D202" s="13" t="s">
        <v>19</v>
      </c>
      <c r="E202" s="67">
        <v>45704</v>
      </c>
      <c r="F202" s="13" t="s">
        <v>11</v>
      </c>
      <c r="G202" s="13">
        <f>_xlfn.XLOOKUP(E202,'Wk no''s'!B:B,'Wk no''s'!C:C,FALSE)</f>
        <v>8</v>
      </c>
    </row>
    <row r="203" spans="1:7" x14ac:dyDescent="0.25">
      <c r="A203" s="13" t="s">
        <v>358</v>
      </c>
      <c r="B203" s="67">
        <v>45702</v>
      </c>
      <c r="C203" s="13">
        <v>0</v>
      </c>
      <c r="D203" s="13" t="s">
        <v>19</v>
      </c>
      <c r="E203" s="67">
        <v>45705</v>
      </c>
      <c r="F203" s="13" t="s">
        <v>16</v>
      </c>
      <c r="G203" s="13">
        <f>_xlfn.XLOOKUP(E203,'Wk no''s'!B:B,'Wk no''s'!C:C,FALSE)</f>
        <v>8</v>
      </c>
    </row>
    <row r="204" spans="1:7" x14ac:dyDescent="0.25">
      <c r="A204" s="13" t="s">
        <v>385</v>
      </c>
      <c r="B204" s="67">
        <v>45708</v>
      </c>
      <c r="C204" s="13">
        <v>100</v>
      </c>
      <c r="D204" s="13" t="s">
        <v>50</v>
      </c>
      <c r="E204" s="67">
        <v>45705</v>
      </c>
      <c r="F204" s="13" t="s">
        <v>47</v>
      </c>
      <c r="G204" s="13">
        <f>_xlfn.XLOOKUP(E204,'Wk no''s'!B:B,'Wk no''s'!C:C,FALSE)</f>
        <v>8</v>
      </c>
    </row>
    <row r="205" spans="1:7" x14ac:dyDescent="0.25">
      <c r="A205" s="13" t="s">
        <v>391</v>
      </c>
      <c r="B205" s="67">
        <v>45709</v>
      </c>
      <c r="C205" s="13">
        <v>100</v>
      </c>
      <c r="D205" s="13" t="s">
        <v>50</v>
      </c>
      <c r="E205" s="67">
        <v>45705</v>
      </c>
      <c r="F205" s="13" t="s">
        <v>11</v>
      </c>
      <c r="G205" s="13">
        <f>_xlfn.XLOOKUP(E205,'Wk no''s'!B:B,'Wk no''s'!C:C,FALSE)</f>
        <v>8</v>
      </c>
    </row>
    <row r="206" spans="1:7" x14ac:dyDescent="0.25">
      <c r="A206" s="13" t="s">
        <v>381</v>
      </c>
      <c r="B206" s="67">
        <v>45706</v>
      </c>
      <c r="C206" s="13">
        <v>100</v>
      </c>
      <c r="D206" s="13" t="s">
        <v>19</v>
      </c>
      <c r="E206" s="67">
        <v>45706</v>
      </c>
      <c r="F206" s="13" t="s">
        <v>47</v>
      </c>
      <c r="G206" s="13">
        <f>_xlfn.XLOOKUP(E206,'Wk no''s'!B:B,'Wk no''s'!C:C,FALSE)</f>
        <v>8</v>
      </c>
    </row>
    <row r="207" spans="1:7" x14ac:dyDescent="0.25">
      <c r="A207" s="13" t="s">
        <v>399</v>
      </c>
      <c r="B207" s="67">
        <v>45707</v>
      </c>
      <c r="C207" s="13">
        <v>100</v>
      </c>
      <c r="D207" s="13" t="s">
        <v>19</v>
      </c>
      <c r="E207" s="67">
        <v>45706</v>
      </c>
      <c r="F207" s="13" t="s">
        <v>72</v>
      </c>
      <c r="G207" s="13">
        <f>_xlfn.XLOOKUP(E207,'Wk no''s'!B:B,'Wk no''s'!C:C,FALSE)</f>
        <v>8</v>
      </c>
    </row>
    <row r="208" spans="1:7" x14ac:dyDescent="0.25">
      <c r="A208" s="13" t="s">
        <v>362</v>
      </c>
      <c r="B208" s="67">
        <v>45708</v>
      </c>
      <c r="C208" s="13">
        <v>100</v>
      </c>
      <c r="D208" s="13" t="s">
        <v>19</v>
      </c>
      <c r="E208" s="67">
        <v>45707</v>
      </c>
      <c r="F208" s="13" t="s">
        <v>16</v>
      </c>
      <c r="G208" s="13">
        <f>_xlfn.XLOOKUP(E208,'Wk no''s'!B:B,'Wk no''s'!C:C,FALSE)</f>
        <v>8</v>
      </c>
    </row>
    <row r="209" spans="1:7" x14ac:dyDescent="0.25">
      <c r="A209" s="13" t="s">
        <v>364</v>
      </c>
      <c r="B209" s="67">
        <v>45710</v>
      </c>
      <c r="C209" s="13">
        <v>100</v>
      </c>
      <c r="D209" s="13" t="s">
        <v>19</v>
      </c>
      <c r="E209" s="67">
        <v>45707</v>
      </c>
      <c r="F209" s="13" t="s">
        <v>16</v>
      </c>
      <c r="G209" s="13">
        <f>_xlfn.XLOOKUP(E209,'Wk no''s'!B:B,'Wk no''s'!C:C,FALSE)</f>
        <v>8</v>
      </c>
    </row>
    <row r="210" spans="1:7" x14ac:dyDescent="0.25">
      <c r="A210" s="13" t="s">
        <v>366</v>
      </c>
      <c r="B210" s="67">
        <v>45707</v>
      </c>
      <c r="C210" s="13">
        <v>100</v>
      </c>
      <c r="D210" s="13" t="s">
        <v>19</v>
      </c>
      <c r="E210" s="67">
        <v>45707</v>
      </c>
      <c r="F210" s="13" t="s">
        <v>16</v>
      </c>
      <c r="G210" s="13">
        <f>_xlfn.XLOOKUP(E210,'Wk no''s'!B:B,'Wk no''s'!C:C,FALSE)</f>
        <v>8</v>
      </c>
    </row>
    <row r="211" spans="1:7" x14ac:dyDescent="0.25">
      <c r="A211" s="13" t="s">
        <v>382</v>
      </c>
      <c r="B211" s="67">
        <v>45707</v>
      </c>
      <c r="C211" s="13">
        <v>100</v>
      </c>
      <c r="D211" s="13" t="s">
        <v>19</v>
      </c>
      <c r="E211" s="67">
        <v>45707</v>
      </c>
      <c r="F211" s="13" t="s">
        <v>47</v>
      </c>
      <c r="G211" s="13">
        <f>_xlfn.XLOOKUP(E211,'Wk no''s'!B:B,'Wk no''s'!C:C,FALSE)</f>
        <v>8</v>
      </c>
    </row>
    <row r="212" spans="1:7" x14ac:dyDescent="0.25">
      <c r="A212" s="13" t="s">
        <v>390</v>
      </c>
      <c r="B212" s="67">
        <v>45707</v>
      </c>
      <c r="C212" s="13">
        <v>100</v>
      </c>
      <c r="D212" s="13" t="s">
        <v>50</v>
      </c>
      <c r="E212" s="67">
        <v>45707</v>
      </c>
      <c r="F212" s="13" t="s">
        <v>47</v>
      </c>
      <c r="G212" s="13">
        <f>_xlfn.XLOOKUP(E212,'Wk no''s'!B:B,'Wk no''s'!C:C,FALSE)</f>
        <v>8</v>
      </c>
    </row>
    <row r="213" spans="1:7" x14ac:dyDescent="0.25">
      <c r="A213" s="13" t="s">
        <v>393</v>
      </c>
      <c r="B213" s="67">
        <v>45708</v>
      </c>
      <c r="C213" s="13">
        <v>100</v>
      </c>
      <c r="D213" s="13" t="s">
        <v>50</v>
      </c>
      <c r="E213" s="67">
        <v>45707</v>
      </c>
      <c r="F213" s="13" t="s">
        <v>11</v>
      </c>
      <c r="G213" s="13">
        <f>_xlfn.XLOOKUP(E213,'Wk no''s'!B:B,'Wk no''s'!C:C,FALSE)</f>
        <v>8</v>
      </c>
    </row>
    <row r="214" spans="1:7" x14ac:dyDescent="0.25">
      <c r="A214" s="13" t="s">
        <v>400</v>
      </c>
      <c r="B214" s="67">
        <v>45708</v>
      </c>
      <c r="C214" s="13">
        <v>100</v>
      </c>
      <c r="D214" s="13" t="s">
        <v>19</v>
      </c>
      <c r="E214" s="67">
        <v>45707</v>
      </c>
      <c r="F214" s="13" t="s">
        <v>72</v>
      </c>
      <c r="G214" s="13">
        <f>_xlfn.XLOOKUP(E214,'Wk no''s'!B:B,'Wk no''s'!C:C,FALSE)</f>
        <v>8</v>
      </c>
    </row>
    <row r="215" spans="1:7" x14ac:dyDescent="0.25">
      <c r="A215" s="13" t="s">
        <v>354</v>
      </c>
      <c r="B215" s="67">
        <v>45708</v>
      </c>
      <c r="C215" s="13">
        <v>100</v>
      </c>
      <c r="D215" s="13" t="s">
        <v>19</v>
      </c>
      <c r="E215" s="67">
        <v>45708</v>
      </c>
      <c r="F215" s="13" t="s">
        <v>16</v>
      </c>
      <c r="G215" s="13">
        <f>_xlfn.XLOOKUP(E215,'Wk no''s'!B:B,'Wk no''s'!C:C,FALSE)</f>
        <v>8</v>
      </c>
    </row>
    <row r="216" spans="1:7" x14ac:dyDescent="0.25">
      <c r="A216" s="13" t="s">
        <v>356</v>
      </c>
      <c r="B216" s="67">
        <v>45709</v>
      </c>
      <c r="C216" s="13">
        <v>100</v>
      </c>
      <c r="D216" s="13" t="s">
        <v>19</v>
      </c>
      <c r="E216" s="67">
        <v>45708</v>
      </c>
      <c r="F216" s="13" t="s">
        <v>16</v>
      </c>
      <c r="G216" s="13">
        <f>_xlfn.XLOOKUP(E216,'Wk no''s'!B:B,'Wk no''s'!C:C,FALSE)</f>
        <v>8</v>
      </c>
    </row>
    <row r="217" spans="1:7" x14ac:dyDescent="0.25">
      <c r="A217" s="13" t="s">
        <v>360</v>
      </c>
      <c r="B217" s="67">
        <v>45709</v>
      </c>
      <c r="C217" s="13">
        <v>100</v>
      </c>
      <c r="D217" s="13" t="s">
        <v>19</v>
      </c>
      <c r="E217" s="67">
        <v>45708</v>
      </c>
      <c r="F217" s="13" t="s">
        <v>16</v>
      </c>
      <c r="G217" s="13">
        <f>_xlfn.XLOOKUP(E217,'Wk no''s'!B:B,'Wk no''s'!C:C,FALSE)</f>
        <v>8</v>
      </c>
    </row>
    <row r="218" spans="1:7" x14ac:dyDescent="0.25">
      <c r="A218" s="13" t="s">
        <v>368</v>
      </c>
      <c r="B218" s="13"/>
      <c r="C218" s="13">
        <v>100</v>
      </c>
      <c r="D218" s="13" t="s">
        <v>19</v>
      </c>
      <c r="E218" s="67">
        <v>45708</v>
      </c>
      <c r="F218" s="13" t="s">
        <v>16</v>
      </c>
      <c r="G218" s="13">
        <f>_xlfn.XLOOKUP(E218,'Wk no''s'!B:B,'Wk no''s'!C:C,FALSE)</f>
        <v>8</v>
      </c>
    </row>
    <row r="219" spans="1:7" x14ac:dyDescent="0.25">
      <c r="A219" s="13" t="s">
        <v>370</v>
      </c>
      <c r="B219" s="67">
        <v>45709</v>
      </c>
      <c r="C219" s="13">
        <v>100</v>
      </c>
      <c r="D219" s="13" t="s">
        <v>19</v>
      </c>
      <c r="E219" s="67">
        <v>45708</v>
      </c>
      <c r="F219" s="13" t="s">
        <v>16</v>
      </c>
      <c r="G219" s="13">
        <f>_xlfn.XLOOKUP(E219,'Wk no''s'!B:B,'Wk no''s'!C:C,FALSE)</f>
        <v>8</v>
      </c>
    </row>
    <row r="220" spans="1:7" x14ac:dyDescent="0.25">
      <c r="A220" s="13" t="s">
        <v>373</v>
      </c>
      <c r="B220" s="13"/>
      <c r="C220" s="13">
        <v>100</v>
      </c>
      <c r="D220" s="13" t="s">
        <v>50</v>
      </c>
      <c r="E220" s="67">
        <v>45708</v>
      </c>
      <c r="F220" s="13" t="s">
        <v>16</v>
      </c>
      <c r="G220" s="13">
        <f>_xlfn.XLOOKUP(E220,'Wk no''s'!B:B,'Wk no''s'!C:C,FALSE)</f>
        <v>8</v>
      </c>
    </row>
    <row r="221" spans="1:7" x14ac:dyDescent="0.25">
      <c r="A221" s="13" t="s">
        <v>377</v>
      </c>
      <c r="B221" s="13"/>
      <c r="C221" s="13">
        <v>100</v>
      </c>
      <c r="D221" s="13" t="s">
        <v>50</v>
      </c>
      <c r="E221" s="67">
        <v>45708</v>
      </c>
      <c r="F221" s="13" t="s">
        <v>16</v>
      </c>
      <c r="G221" s="13">
        <f>_xlfn.XLOOKUP(E221,'Wk no''s'!B:B,'Wk no''s'!C:C,FALSE)</f>
        <v>8</v>
      </c>
    </row>
    <row r="222" spans="1:7" x14ac:dyDescent="0.25">
      <c r="A222" s="13" t="s">
        <v>379</v>
      </c>
      <c r="B222" s="67">
        <v>45714</v>
      </c>
      <c r="C222" s="13">
        <v>100</v>
      </c>
      <c r="D222" s="13" t="s">
        <v>19</v>
      </c>
      <c r="E222" s="67">
        <v>45708</v>
      </c>
      <c r="F222" s="13" t="s">
        <v>41</v>
      </c>
      <c r="G222" s="13">
        <f>_xlfn.XLOOKUP(E222,'Wk no''s'!B:B,'Wk no''s'!C:C,FALSE)</f>
        <v>8</v>
      </c>
    </row>
    <row r="223" spans="1:7" x14ac:dyDescent="0.25">
      <c r="A223" s="13" t="s">
        <v>383</v>
      </c>
      <c r="B223" s="67">
        <v>45708</v>
      </c>
      <c r="C223" s="13">
        <v>100</v>
      </c>
      <c r="D223" s="13" t="s">
        <v>50</v>
      </c>
      <c r="E223" s="67">
        <v>45708</v>
      </c>
      <c r="F223" s="13" t="s">
        <v>47</v>
      </c>
      <c r="G223" s="13">
        <f>_xlfn.XLOOKUP(E223,'Wk no''s'!B:B,'Wk no''s'!C:C,FALSE)</f>
        <v>8</v>
      </c>
    </row>
    <row r="224" spans="1:7" x14ac:dyDescent="0.25">
      <c r="A224" s="13" t="s">
        <v>389</v>
      </c>
      <c r="B224" s="13"/>
      <c r="C224" s="13">
        <v>100</v>
      </c>
      <c r="D224" s="13" t="s">
        <v>50</v>
      </c>
      <c r="E224" s="67">
        <v>45708</v>
      </c>
      <c r="F224" s="13" t="s">
        <v>47</v>
      </c>
      <c r="G224" s="13">
        <f>_xlfn.XLOOKUP(E224,'Wk no''s'!B:B,'Wk no''s'!C:C,FALSE)</f>
        <v>8</v>
      </c>
    </row>
    <row r="225" spans="1:7" x14ac:dyDescent="0.25">
      <c r="A225" s="13" t="s">
        <v>397</v>
      </c>
      <c r="B225" s="67">
        <v>45708</v>
      </c>
      <c r="C225" s="13">
        <v>100</v>
      </c>
      <c r="D225" s="13" t="s">
        <v>19</v>
      </c>
      <c r="E225" s="67">
        <v>45708</v>
      </c>
      <c r="F225" s="13" t="s">
        <v>72</v>
      </c>
      <c r="G225" s="13">
        <f>_xlfn.XLOOKUP(E225,'Wk no''s'!B:B,'Wk no''s'!C:C,FALSE)</f>
        <v>8</v>
      </c>
    </row>
    <row r="226" spans="1:7" x14ac:dyDescent="0.25">
      <c r="A226" s="13" t="s">
        <v>372</v>
      </c>
      <c r="B226" s="67">
        <v>45709</v>
      </c>
      <c r="C226" s="13">
        <v>100</v>
      </c>
      <c r="D226" s="13" t="s">
        <v>19</v>
      </c>
      <c r="E226" s="67">
        <v>45709</v>
      </c>
      <c r="F226" s="13" t="s">
        <v>16</v>
      </c>
      <c r="G226" s="13">
        <f>_xlfn.XLOOKUP(E226,'Wk no''s'!B:B,'Wk no''s'!C:C,FALSE)</f>
        <v>8</v>
      </c>
    </row>
    <row r="227" spans="1:7" x14ac:dyDescent="0.25">
      <c r="A227" s="13" t="s">
        <v>375</v>
      </c>
      <c r="B227" s="67">
        <v>45709</v>
      </c>
      <c r="C227" s="13">
        <v>100</v>
      </c>
      <c r="D227" s="13" t="s">
        <v>50</v>
      </c>
      <c r="E227" s="67">
        <v>45709</v>
      </c>
      <c r="F227" s="13" t="s">
        <v>16</v>
      </c>
      <c r="G227" s="13">
        <f>_xlfn.XLOOKUP(E227,'Wk no''s'!B:B,'Wk no''s'!C:C,FALSE)</f>
        <v>8</v>
      </c>
    </row>
    <row r="228" spans="1:7" x14ac:dyDescent="0.25">
      <c r="A228" s="13" t="s">
        <v>387</v>
      </c>
      <c r="B228" s="67">
        <v>45705</v>
      </c>
      <c r="C228" s="13">
        <v>0</v>
      </c>
      <c r="D228" s="13" t="s">
        <v>50</v>
      </c>
      <c r="E228" s="67">
        <v>45709</v>
      </c>
      <c r="F228" s="13" t="s">
        <v>47</v>
      </c>
      <c r="G228" s="13">
        <f>_xlfn.XLOOKUP(E228,'Wk no''s'!B:B,'Wk no''s'!C:C,FALSE)</f>
        <v>8</v>
      </c>
    </row>
    <row r="229" spans="1:7" x14ac:dyDescent="0.25">
      <c r="A229" s="13" t="s">
        <v>386</v>
      </c>
      <c r="B229" s="67">
        <v>45709</v>
      </c>
      <c r="C229" s="13">
        <v>100</v>
      </c>
      <c r="D229" s="13" t="s">
        <v>50</v>
      </c>
      <c r="E229" s="67">
        <v>45709</v>
      </c>
      <c r="F229" s="13" t="s">
        <v>47</v>
      </c>
      <c r="G229" s="13">
        <f>_xlfn.XLOOKUP(E229,'Wk no''s'!B:B,'Wk no''s'!C:C,FALSE)</f>
        <v>8</v>
      </c>
    </row>
    <row r="230" spans="1:7" x14ac:dyDescent="0.25">
      <c r="A230" s="13" t="s">
        <v>395</v>
      </c>
      <c r="B230" s="67">
        <v>45709</v>
      </c>
      <c r="C230" s="13">
        <v>100</v>
      </c>
      <c r="D230" s="13" t="s">
        <v>19</v>
      </c>
      <c r="E230" s="67">
        <v>45709</v>
      </c>
      <c r="F230" s="13" t="s">
        <v>72</v>
      </c>
      <c r="G230" s="13">
        <f>_xlfn.XLOOKUP(E230,'Wk no''s'!B:B,'Wk no''s'!C:C,FALSE)</f>
        <v>8</v>
      </c>
    </row>
    <row r="231" spans="1:7" x14ac:dyDescent="0.25">
      <c r="A231" s="13" t="s">
        <v>401</v>
      </c>
      <c r="B231" s="67">
        <v>45712</v>
      </c>
      <c r="C231" s="13">
        <v>100</v>
      </c>
      <c r="D231" s="13" t="s">
        <v>19</v>
      </c>
      <c r="E231" s="67">
        <v>45709</v>
      </c>
      <c r="F231" s="13" t="s">
        <v>72</v>
      </c>
      <c r="G231" s="13">
        <f>_xlfn.XLOOKUP(E231,'Wk no''s'!B:B,'Wk no''s'!C:C,FALSE)</f>
        <v>8</v>
      </c>
    </row>
    <row r="232" spans="1:7" x14ac:dyDescent="0.25">
      <c r="A232" s="13" t="s">
        <v>406</v>
      </c>
      <c r="B232" s="67">
        <v>45713</v>
      </c>
      <c r="C232" s="13">
        <v>100</v>
      </c>
      <c r="D232" s="13" t="s">
        <v>19</v>
      </c>
      <c r="E232" s="67">
        <v>45712</v>
      </c>
      <c r="F232" s="13" t="s">
        <v>16</v>
      </c>
      <c r="G232" s="13">
        <f>_xlfn.XLOOKUP(E232,'Wk no''s'!B:B,'Wk no''s'!C:C,FALSE)</f>
        <v>9</v>
      </c>
    </row>
    <row r="233" spans="1:7" x14ac:dyDescent="0.25">
      <c r="A233" s="13" t="s">
        <v>407</v>
      </c>
      <c r="B233" s="67">
        <v>45713</v>
      </c>
      <c r="C233" s="13">
        <v>100</v>
      </c>
      <c r="D233" s="13" t="s">
        <v>19</v>
      </c>
      <c r="E233" s="67">
        <v>45712</v>
      </c>
      <c r="F233" s="13" t="s">
        <v>16</v>
      </c>
      <c r="G233" s="13">
        <f>_xlfn.XLOOKUP(E233,'Wk no''s'!B:B,'Wk no''s'!C:C,FALSE)</f>
        <v>9</v>
      </c>
    </row>
    <row r="234" spans="1:7" x14ac:dyDescent="0.25">
      <c r="A234" s="13" t="s">
        <v>422</v>
      </c>
      <c r="B234" s="67">
        <v>45712</v>
      </c>
      <c r="C234" s="13">
        <v>100</v>
      </c>
      <c r="D234" s="13" t="s">
        <v>50</v>
      </c>
      <c r="E234" s="67">
        <v>45712</v>
      </c>
      <c r="F234" s="13" t="s">
        <v>47</v>
      </c>
      <c r="G234" s="13">
        <f>_xlfn.XLOOKUP(E234,'Wk no''s'!B:B,'Wk no''s'!C:C,FALSE)</f>
        <v>9</v>
      </c>
    </row>
    <row r="235" spans="1:7" x14ac:dyDescent="0.25">
      <c r="A235" s="13" t="s">
        <v>425</v>
      </c>
      <c r="B235" s="67">
        <v>45712</v>
      </c>
      <c r="C235" s="13">
        <v>100</v>
      </c>
      <c r="D235" s="13" t="s">
        <v>50</v>
      </c>
      <c r="E235" s="67">
        <v>45712</v>
      </c>
      <c r="F235" s="13" t="s">
        <v>47</v>
      </c>
      <c r="G235" s="13">
        <f>_xlfn.XLOOKUP(E235,'Wk no''s'!B:B,'Wk no''s'!C:C,FALSE)</f>
        <v>9</v>
      </c>
    </row>
    <row r="236" spans="1:7" x14ac:dyDescent="0.25">
      <c r="A236" s="13" t="s">
        <v>435</v>
      </c>
      <c r="B236" s="13"/>
      <c r="C236" s="13">
        <v>100</v>
      </c>
      <c r="D236" s="13" t="s">
        <v>50</v>
      </c>
      <c r="E236" s="67">
        <v>45712</v>
      </c>
      <c r="F236" s="13" t="s">
        <v>11</v>
      </c>
      <c r="G236" s="13">
        <f>_xlfn.XLOOKUP(E236,'Wk no''s'!B:B,'Wk no''s'!C:C,FALSE)</f>
        <v>9</v>
      </c>
    </row>
    <row r="237" spans="1:7" x14ac:dyDescent="0.25">
      <c r="A237" s="13" t="s">
        <v>402</v>
      </c>
      <c r="B237" s="67">
        <v>45713</v>
      </c>
      <c r="C237" s="13">
        <v>100</v>
      </c>
      <c r="D237" s="13" t="s">
        <v>19</v>
      </c>
      <c r="E237" s="67">
        <v>45713</v>
      </c>
      <c r="F237" s="13" t="s">
        <v>16</v>
      </c>
      <c r="G237" s="13">
        <f>_xlfn.XLOOKUP(E237,'Wk no''s'!B:B,'Wk no''s'!C:C,FALSE)</f>
        <v>9</v>
      </c>
    </row>
    <row r="238" spans="1:7" x14ac:dyDescent="0.25">
      <c r="A238" s="13" t="s">
        <v>404</v>
      </c>
      <c r="B238" s="13"/>
      <c r="C238" s="13">
        <v>100</v>
      </c>
      <c r="D238" s="13" t="s">
        <v>19</v>
      </c>
      <c r="E238" s="67">
        <v>45713</v>
      </c>
      <c r="F238" s="13" t="s">
        <v>16</v>
      </c>
      <c r="G238" s="13">
        <f>_xlfn.XLOOKUP(E238,'Wk no''s'!B:B,'Wk no''s'!C:C,FALSE)</f>
        <v>9</v>
      </c>
    </row>
    <row r="239" spans="1:7" x14ac:dyDescent="0.25">
      <c r="A239" s="13" t="s">
        <v>415</v>
      </c>
      <c r="B239" s="67">
        <v>45714</v>
      </c>
      <c r="C239" s="13">
        <v>100</v>
      </c>
      <c r="D239" s="13" t="s">
        <v>19</v>
      </c>
      <c r="E239" s="67">
        <v>45713</v>
      </c>
      <c r="F239" s="13" t="s">
        <v>41</v>
      </c>
      <c r="G239" s="13">
        <f>_xlfn.XLOOKUP(E239,'Wk no''s'!B:B,'Wk no''s'!C:C,FALSE)</f>
        <v>9</v>
      </c>
    </row>
    <row r="240" spans="1:7" x14ac:dyDescent="0.25">
      <c r="A240" s="13" t="s">
        <v>428</v>
      </c>
      <c r="B240" s="67">
        <v>45714</v>
      </c>
      <c r="C240" s="13">
        <v>100</v>
      </c>
      <c r="D240" s="13" t="s">
        <v>50</v>
      </c>
      <c r="E240" s="67">
        <v>45713</v>
      </c>
      <c r="F240" s="13" t="s">
        <v>47</v>
      </c>
      <c r="G240" s="13">
        <f>_xlfn.XLOOKUP(E240,'Wk no''s'!B:B,'Wk no''s'!C:C,FALSE)</f>
        <v>9</v>
      </c>
    </row>
    <row r="241" spans="1:7" x14ac:dyDescent="0.25">
      <c r="A241" s="13" t="s">
        <v>429</v>
      </c>
      <c r="B241" s="67">
        <v>45713</v>
      </c>
      <c r="C241" s="13">
        <v>100</v>
      </c>
      <c r="D241" s="13" t="s">
        <v>50</v>
      </c>
      <c r="E241" s="67">
        <v>45713</v>
      </c>
      <c r="F241" s="13" t="s">
        <v>47</v>
      </c>
      <c r="G241" s="13">
        <f>_xlfn.XLOOKUP(E241,'Wk no''s'!B:B,'Wk no''s'!C:C,FALSE)</f>
        <v>9</v>
      </c>
    </row>
    <row r="242" spans="1:7" x14ac:dyDescent="0.25">
      <c r="A242" s="13" t="s">
        <v>430</v>
      </c>
      <c r="B242" s="67">
        <v>45713</v>
      </c>
      <c r="C242" s="13">
        <v>100</v>
      </c>
      <c r="D242" s="13" t="s">
        <v>12</v>
      </c>
      <c r="E242" s="67">
        <v>45713</v>
      </c>
      <c r="F242" s="13" t="s">
        <v>11</v>
      </c>
      <c r="G242" s="13">
        <f>_xlfn.XLOOKUP(E242,'Wk no''s'!B:B,'Wk no''s'!C:C,FALSE)</f>
        <v>9</v>
      </c>
    </row>
    <row r="243" spans="1:7" x14ac:dyDescent="0.25">
      <c r="A243" s="13" t="s">
        <v>440</v>
      </c>
      <c r="B243" s="67">
        <v>45712</v>
      </c>
      <c r="C243" s="13">
        <v>0</v>
      </c>
      <c r="D243" s="13" t="s">
        <v>19</v>
      </c>
      <c r="E243" s="67">
        <v>45713</v>
      </c>
      <c r="F243" s="13" t="s">
        <v>72</v>
      </c>
      <c r="G243" s="13">
        <f>_xlfn.XLOOKUP(E243,'Wk no''s'!B:B,'Wk no''s'!C:C,FALSE)</f>
        <v>9</v>
      </c>
    </row>
    <row r="244" spans="1:7" x14ac:dyDescent="0.25">
      <c r="A244" s="13" t="s">
        <v>412</v>
      </c>
      <c r="B244" s="67">
        <v>45715</v>
      </c>
      <c r="C244" s="13">
        <v>100</v>
      </c>
      <c r="D244" s="13" t="s">
        <v>50</v>
      </c>
      <c r="E244" s="67">
        <v>45714</v>
      </c>
      <c r="F244" s="13" t="s">
        <v>16</v>
      </c>
      <c r="G244" s="13">
        <f>_xlfn.XLOOKUP(E244,'Wk no''s'!B:B,'Wk no''s'!C:C,FALSE)</f>
        <v>9</v>
      </c>
    </row>
    <row r="245" spans="1:7" x14ac:dyDescent="0.25">
      <c r="A245" s="13" t="s">
        <v>419</v>
      </c>
      <c r="B245" s="67">
        <v>45699</v>
      </c>
      <c r="C245" s="13">
        <v>0</v>
      </c>
      <c r="D245" s="13" t="s">
        <v>50</v>
      </c>
      <c r="E245" s="67">
        <v>45714</v>
      </c>
      <c r="F245" s="13" t="s">
        <v>47</v>
      </c>
      <c r="G245" s="13">
        <f>_xlfn.XLOOKUP(E245,'Wk no''s'!B:B,'Wk no''s'!C:C,FALSE)</f>
        <v>9</v>
      </c>
    </row>
    <row r="246" spans="1:7" x14ac:dyDescent="0.25">
      <c r="A246" s="13" t="s">
        <v>423</v>
      </c>
      <c r="B246" s="67">
        <v>45699</v>
      </c>
      <c r="C246" s="13">
        <v>0</v>
      </c>
      <c r="D246" s="13" t="s">
        <v>50</v>
      </c>
      <c r="E246" s="67">
        <v>45714</v>
      </c>
      <c r="F246" s="13" t="s">
        <v>47</v>
      </c>
      <c r="G246" s="13">
        <f>_xlfn.XLOOKUP(E246,'Wk no''s'!B:B,'Wk no''s'!C:C,FALSE)</f>
        <v>9</v>
      </c>
    </row>
    <row r="247" spans="1:7" x14ac:dyDescent="0.25">
      <c r="A247" s="13" t="s">
        <v>431</v>
      </c>
      <c r="B247" s="67">
        <v>45714</v>
      </c>
      <c r="C247" s="13">
        <v>100</v>
      </c>
      <c r="D247" s="13" t="s">
        <v>19</v>
      </c>
      <c r="E247" s="67">
        <v>45714</v>
      </c>
      <c r="F247" s="13" t="s">
        <v>11</v>
      </c>
      <c r="G247" s="13">
        <f>_xlfn.XLOOKUP(E247,'Wk no''s'!B:B,'Wk no''s'!C:C,FALSE)</f>
        <v>9</v>
      </c>
    </row>
    <row r="248" spans="1:7" x14ac:dyDescent="0.25">
      <c r="A248" s="13" t="s">
        <v>437</v>
      </c>
      <c r="B248" s="67">
        <v>45714</v>
      </c>
      <c r="C248" s="13">
        <v>100</v>
      </c>
      <c r="D248" s="13" t="s">
        <v>50</v>
      </c>
      <c r="E248" s="67">
        <v>45714</v>
      </c>
      <c r="F248" s="13" t="s">
        <v>11</v>
      </c>
      <c r="G248" s="13">
        <f>_xlfn.XLOOKUP(E248,'Wk no''s'!B:B,'Wk no''s'!C:C,FALSE)</f>
        <v>9</v>
      </c>
    </row>
    <row r="249" spans="1:7" x14ac:dyDescent="0.25">
      <c r="A249" s="13" t="s">
        <v>443</v>
      </c>
      <c r="B249" s="67">
        <v>45715</v>
      </c>
      <c r="C249" s="13">
        <v>100</v>
      </c>
      <c r="D249" s="13" t="s">
        <v>19</v>
      </c>
      <c r="E249" s="67">
        <v>45714</v>
      </c>
      <c r="F249" s="13" t="s">
        <v>72</v>
      </c>
      <c r="G249" s="13">
        <f>_xlfn.XLOOKUP(E249,'Wk no''s'!B:B,'Wk no''s'!C:C,FALSE)</f>
        <v>9</v>
      </c>
    </row>
    <row r="250" spans="1:7" x14ac:dyDescent="0.25">
      <c r="A250" s="13" t="s">
        <v>445</v>
      </c>
      <c r="B250" s="67">
        <v>45715</v>
      </c>
      <c r="C250" s="13">
        <v>100</v>
      </c>
      <c r="D250" s="13" t="s">
        <v>19</v>
      </c>
      <c r="E250" s="67">
        <v>45714</v>
      </c>
      <c r="F250" s="13" t="s">
        <v>72</v>
      </c>
      <c r="G250" s="13">
        <f>_xlfn.XLOOKUP(E250,'Wk no''s'!B:B,'Wk no''s'!C:C,FALSE)</f>
        <v>9</v>
      </c>
    </row>
    <row r="251" spans="1:7" x14ac:dyDescent="0.25">
      <c r="A251" s="13" t="s">
        <v>413</v>
      </c>
      <c r="B251" s="67">
        <v>45716</v>
      </c>
      <c r="C251" s="13">
        <v>100</v>
      </c>
      <c r="D251" s="13" t="s">
        <v>50</v>
      </c>
      <c r="E251" s="67">
        <v>45715</v>
      </c>
      <c r="F251" s="13" t="s">
        <v>16</v>
      </c>
      <c r="G251" s="13">
        <f>_xlfn.XLOOKUP(E251,'Wk no''s'!B:B,'Wk no''s'!C:C,FALSE)</f>
        <v>9</v>
      </c>
    </row>
    <row r="252" spans="1:7" x14ac:dyDescent="0.25">
      <c r="A252" s="13" t="s">
        <v>420</v>
      </c>
      <c r="B252" s="67">
        <v>45706</v>
      </c>
      <c r="C252" s="13">
        <v>0</v>
      </c>
      <c r="D252" s="13" t="s">
        <v>50</v>
      </c>
      <c r="E252" s="67">
        <v>45715</v>
      </c>
      <c r="F252" s="13" t="s">
        <v>47</v>
      </c>
      <c r="G252" s="13">
        <f>_xlfn.XLOOKUP(E252,'Wk no''s'!B:B,'Wk no''s'!C:C,FALSE)</f>
        <v>9</v>
      </c>
    </row>
    <row r="253" spans="1:7" x14ac:dyDescent="0.25">
      <c r="A253" s="13" t="s">
        <v>436</v>
      </c>
      <c r="B253" s="67">
        <v>45715</v>
      </c>
      <c r="C253" s="13">
        <v>100</v>
      </c>
      <c r="D253" s="13" t="s">
        <v>50</v>
      </c>
      <c r="E253" s="67">
        <v>45715</v>
      </c>
      <c r="F253" s="13" t="s">
        <v>11</v>
      </c>
      <c r="G253" s="13">
        <f>_xlfn.XLOOKUP(E253,'Wk no''s'!B:B,'Wk no''s'!C:C,FALSE)</f>
        <v>9</v>
      </c>
    </row>
    <row r="254" spans="1:7" x14ac:dyDescent="0.25">
      <c r="A254" s="13" t="s">
        <v>441</v>
      </c>
      <c r="B254" s="67">
        <v>45716</v>
      </c>
      <c r="C254" s="13">
        <v>100</v>
      </c>
      <c r="D254" s="13" t="s">
        <v>19</v>
      </c>
      <c r="E254" s="67">
        <v>45715</v>
      </c>
      <c r="F254" s="13" t="s">
        <v>72</v>
      </c>
      <c r="G254" s="13">
        <f>_xlfn.XLOOKUP(E254,'Wk no''s'!B:B,'Wk no''s'!C:C,FALSE)</f>
        <v>9</v>
      </c>
    </row>
    <row r="255" spans="1:7" x14ac:dyDescent="0.25">
      <c r="A255" s="13" t="s">
        <v>442</v>
      </c>
      <c r="B255" s="67">
        <v>45716</v>
      </c>
      <c r="C255" s="13">
        <v>100</v>
      </c>
      <c r="D255" s="13" t="s">
        <v>19</v>
      </c>
      <c r="E255" s="67">
        <v>45715</v>
      </c>
      <c r="F255" s="13" t="s">
        <v>72</v>
      </c>
      <c r="G255" s="13">
        <f>_xlfn.XLOOKUP(E255,'Wk no''s'!B:B,'Wk no''s'!C:C,FALSE)</f>
        <v>9</v>
      </c>
    </row>
    <row r="256" spans="1:7" x14ac:dyDescent="0.25">
      <c r="A256" s="13" t="s">
        <v>411</v>
      </c>
      <c r="B256" s="13"/>
      <c r="C256" s="13">
        <v>100</v>
      </c>
      <c r="D256" s="13" t="s">
        <v>50</v>
      </c>
      <c r="E256" s="67">
        <v>45716</v>
      </c>
      <c r="F256" s="13" t="s">
        <v>16</v>
      </c>
      <c r="G256" s="13">
        <f>_xlfn.XLOOKUP(E256,'Wk no''s'!B:B,'Wk no''s'!C:C,FALSE)</f>
        <v>9</v>
      </c>
    </row>
    <row r="257" spans="1:7" x14ac:dyDescent="0.25">
      <c r="A257" s="13" t="s">
        <v>409</v>
      </c>
      <c r="B257" s="13"/>
      <c r="C257" s="13">
        <v>100</v>
      </c>
      <c r="D257" s="13" t="s">
        <v>19</v>
      </c>
      <c r="E257" s="67">
        <v>45716</v>
      </c>
      <c r="F257" s="13" t="s">
        <v>16</v>
      </c>
      <c r="G257" s="13">
        <f>_xlfn.XLOOKUP(E257,'Wk no''s'!B:B,'Wk no''s'!C:C,FALSE)</f>
        <v>9</v>
      </c>
    </row>
    <row r="258" spans="1:7" x14ac:dyDescent="0.25">
      <c r="A258" s="13" t="s">
        <v>414</v>
      </c>
      <c r="B258" s="67">
        <v>45716</v>
      </c>
      <c r="C258" s="13">
        <v>100</v>
      </c>
      <c r="D258" s="13" t="s">
        <v>50</v>
      </c>
      <c r="E258" s="67">
        <v>45716</v>
      </c>
      <c r="F258" s="13" t="s">
        <v>16</v>
      </c>
      <c r="G258" s="13">
        <f>_xlfn.XLOOKUP(E258,'Wk no''s'!B:B,'Wk no''s'!C:C,FALSE)</f>
        <v>9</v>
      </c>
    </row>
    <row r="259" spans="1:7" x14ac:dyDescent="0.25">
      <c r="A259" s="13" t="s">
        <v>426</v>
      </c>
      <c r="B259" s="67">
        <v>45715</v>
      </c>
      <c r="C259" s="13">
        <v>0</v>
      </c>
      <c r="D259" s="13" t="s">
        <v>50</v>
      </c>
      <c r="E259" s="67">
        <v>45716</v>
      </c>
      <c r="F259" s="13" t="s">
        <v>47</v>
      </c>
      <c r="G259" s="13">
        <f>_xlfn.XLOOKUP(E259,'Wk no''s'!B:B,'Wk no''s'!C:C,FALSE)</f>
        <v>9</v>
      </c>
    </row>
    <row r="260" spans="1:7" x14ac:dyDescent="0.25">
      <c r="A260" s="13" t="s">
        <v>424</v>
      </c>
      <c r="B260" s="67">
        <v>45716</v>
      </c>
      <c r="C260" s="13">
        <v>100</v>
      </c>
      <c r="D260" s="13" t="s">
        <v>50</v>
      </c>
      <c r="E260" s="67">
        <v>45716</v>
      </c>
      <c r="F260" s="13" t="s">
        <v>47</v>
      </c>
      <c r="G260" s="13">
        <f>_xlfn.XLOOKUP(E260,'Wk no''s'!B:B,'Wk no''s'!C:C,FALSE)</f>
        <v>9</v>
      </c>
    </row>
    <row r="261" spans="1:7" x14ac:dyDescent="0.25">
      <c r="A261" s="13" t="s">
        <v>417</v>
      </c>
      <c r="B261" s="67">
        <v>45716</v>
      </c>
      <c r="C261" s="13">
        <v>100</v>
      </c>
      <c r="D261" s="13" t="s">
        <v>19</v>
      </c>
      <c r="E261" s="67">
        <v>45716</v>
      </c>
      <c r="F261" s="13" t="s">
        <v>47</v>
      </c>
      <c r="G261" s="13">
        <f>_xlfn.XLOOKUP(E261,'Wk no''s'!B:B,'Wk no''s'!C:C,FALSE)</f>
        <v>9</v>
      </c>
    </row>
    <row r="262" spans="1:7" x14ac:dyDescent="0.25">
      <c r="A262" s="13" t="s">
        <v>433</v>
      </c>
      <c r="B262" s="13"/>
      <c r="C262" s="13">
        <v>100</v>
      </c>
      <c r="D262" s="13" t="s">
        <v>50</v>
      </c>
      <c r="E262" s="67">
        <v>45716</v>
      </c>
      <c r="F262" s="13" t="s">
        <v>11</v>
      </c>
      <c r="G262" s="13">
        <f>_xlfn.XLOOKUP(E262,'Wk no''s'!B:B,'Wk no''s'!C:C,FALSE)</f>
        <v>9</v>
      </c>
    </row>
    <row r="263" spans="1:7" x14ac:dyDescent="0.25">
      <c r="A263" s="13" t="s">
        <v>434</v>
      </c>
      <c r="B263" s="67">
        <v>45721</v>
      </c>
      <c r="C263" s="13">
        <v>100</v>
      </c>
      <c r="D263" s="13" t="s">
        <v>50</v>
      </c>
      <c r="E263" s="67">
        <v>45716</v>
      </c>
      <c r="F263" s="13" t="s">
        <v>11</v>
      </c>
      <c r="G263" s="13">
        <f>_xlfn.XLOOKUP(E263,'Wk no''s'!B:B,'Wk no''s'!C:C,FALSE)</f>
        <v>9</v>
      </c>
    </row>
    <row r="264" spans="1:7" x14ac:dyDescent="0.25">
      <c r="A264" s="13" t="s">
        <v>439</v>
      </c>
      <c r="B264" s="13"/>
      <c r="C264" s="13">
        <v>100</v>
      </c>
      <c r="D264" s="13" t="s">
        <v>50</v>
      </c>
      <c r="E264" s="67">
        <v>45716</v>
      </c>
      <c r="F264" s="13" t="s">
        <v>11</v>
      </c>
      <c r="G264" s="13">
        <f>_xlfn.XLOOKUP(E264,'Wk no''s'!B:B,'Wk no''s'!C:C,FALSE)</f>
        <v>9</v>
      </c>
    </row>
    <row r="265" spans="1:7" x14ac:dyDescent="0.25">
      <c r="A265" s="13" t="s">
        <v>471</v>
      </c>
      <c r="B265" s="67">
        <v>45719</v>
      </c>
      <c r="C265" s="13">
        <v>100</v>
      </c>
      <c r="D265" s="13" t="s">
        <v>50</v>
      </c>
      <c r="E265" s="67">
        <v>45719</v>
      </c>
      <c r="F265" s="13" t="s">
        <v>11</v>
      </c>
      <c r="G265" s="13">
        <f>_xlfn.XLOOKUP(E265,'Wk no''s'!B:B,'Wk no''s'!C:C,FALSE)</f>
        <v>10</v>
      </c>
    </row>
    <row r="266" spans="1:7" x14ac:dyDescent="0.25">
      <c r="A266" s="13" t="s">
        <v>473</v>
      </c>
      <c r="B266" s="67">
        <v>45719</v>
      </c>
      <c r="C266" s="13">
        <v>100</v>
      </c>
      <c r="D266" s="13" t="s">
        <v>50</v>
      </c>
      <c r="E266" s="67">
        <v>45719</v>
      </c>
      <c r="F266" s="13" t="s">
        <v>11</v>
      </c>
      <c r="G266" s="13">
        <f>_xlfn.XLOOKUP(E266,'Wk no''s'!B:B,'Wk no''s'!C:C,FALSE)</f>
        <v>10</v>
      </c>
    </row>
    <row r="267" spans="1:7" x14ac:dyDescent="0.25">
      <c r="A267" s="13" t="s">
        <v>476</v>
      </c>
      <c r="B267" s="67">
        <v>45723</v>
      </c>
      <c r="C267" s="13">
        <v>100</v>
      </c>
      <c r="D267" s="13" t="s">
        <v>19</v>
      </c>
      <c r="E267" s="67">
        <v>45719</v>
      </c>
      <c r="F267" s="13" t="s">
        <v>72</v>
      </c>
      <c r="G267" s="13">
        <f>_xlfn.XLOOKUP(E267,'Wk no''s'!B:B,'Wk no''s'!C:C,FALSE)</f>
        <v>10</v>
      </c>
    </row>
    <row r="268" spans="1:7" x14ac:dyDescent="0.25">
      <c r="A268" s="13" t="s">
        <v>478</v>
      </c>
      <c r="B268" s="67">
        <v>45722</v>
      </c>
      <c r="C268" s="13">
        <v>100</v>
      </c>
      <c r="D268" s="13" t="s">
        <v>19</v>
      </c>
      <c r="E268" s="67">
        <v>45719</v>
      </c>
      <c r="F268" s="13" t="s">
        <v>72</v>
      </c>
      <c r="G268" s="13">
        <f>_xlfn.XLOOKUP(E268,'Wk no''s'!B:B,'Wk no''s'!C:C,FALSE)</f>
        <v>10</v>
      </c>
    </row>
    <row r="269" spans="1:7" x14ac:dyDescent="0.25">
      <c r="A269" s="13" t="s">
        <v>451</v>
      </c>
      <c r="B269" s="13"/>
      <c r="C269" s="13">
        <v>100</v>
      </c>
      <c r="D269" s="13" t="s">
        <v>19</v>
      </c>
      <c r="E269" s="67">
        <v>45720</v>
      </c>
      <c r="F269" s="13" t="s">
        <v>16</v>
      </c>
      <c r="G269" s="13">
        <f>_xlfn.XLOOKUP(E269,'Wk no''s'!B:B,'Wk no''s'!C:C,FALSE)</f>
        <v>10</v>
      </c>
    </row>
    <row r="270" spans="1:7" x14ac:dyDescent="0.25">
      <c r="A270" s="13" t="s">
        <v>462</v>
      </c>
      <c r="B270" s="67">
        <v>45722</v>
      </c>
      <c r="C270" s="13">
        <v>100</v>
      </c>
      <c r="D270" s="13" t="s">
        <v>19</v>
      </c>
      <c r="E270" s="67">
        <v>45720</v>
      </c>
      <c r="F270" s="13" t="s">
        <v>41</v>
      </c>
      <c r="G270" s="13">
        <f>_xlfn.XLOOKUP(E270,'Wk no''s'!B:B,'Wk no''s'!C:C,FALSE)</f>
        <v>10</v>
      </c>
    </row>
    <row r="271" spans="1:7" x14ac:dyDescent="0.25">
      <c r="A271" s="13" t="s">
        <v>467</v>
      </c>
      <c r="B271" s="67">
        <v>45715</v>
      </c>
      <c r="C271" s="13">
        <v>0</v>
      </c>
      <c r="D271" s="13" t="s">
        <v>50</v>
      </c>
      <c r="E271" s="67">
        <v>45720</v>
      </c>
      <c r="F271" s="13" t="s">
        <v>47</v>
      </c>
      <c r="G271" s="13">
        <f>_xlfn.XLOOKUP(E271,'Wk no''s'!B:B,'Wk no''s'!C:C,FALSE)</f>
        <v>10</v>
      </c>
    </row>
    <row r="272" spans="1:7" x14ac:dyDescent="0.25">
      <c r="A272" s="13" t="s">
        <v>472</v>
      </c>
      <c r="B272" s="13"/>
      <c r="C272" s="13">
        <v>100</v>
      </c>
      <c r="D272" s="13" t="s">
        <v>50</v>
      </c>
      <c r="E272" s="67">
        <v>45720</v>
      </c>
      <c r="F272" s="13" t="s">
        <v>11</v>
      </c>
      <c r="G272" s="13">
        <f>_xlfn.XLOOKUP(E272,'Wk no''s'!B:B,'Wk no''s'!C:C,FALSE)</f>
        <v>10</v>
      </c>
    </row>
    <row r="273" spans="1:7" x14ac:dyDescent="0.25">
      <c r="A273" s="13" t="s">
        <v>475</v>
      </c>
      <c r="B273" s="67">
        <v>45716</v>
      </c>
      <c r="C273" s="13">
        <v>0</v>
      </c>
      <c r="D273" s="13" t="s">
        <v>19</v>
      </c>
      <c r="E273" s="67">
        <v>45720</v>
      </c>
      <c r="F273" s="13" t="s">
        <v>72</v>
      </c>
      <c r="G273" s="13">
        <f>_xlfn.XLOOKUP(E273,'Wk no''s'!B:B,'Wk no''s'!C:C,FALSE)</f>
        <v>10</v>
      </c>
    </row>
    <row r="274" spans="1:7" x14ac:dyDescent="0.25">
      <c r="A274" s="13" t="s">
        <v>450</v>
      </c>
      <c r="B274" s="67">
        <v>45720</v>
      </c>
      <c r="C274" s="13">
        <v>0</v>
      </c>
      <c r="D274" s="13" t="s">
        <v>19</v>
      </c>
      <c r="E274" s="67">
        <v>45721</v>
      </c>
      <c r="F274" s="13" t="s">
        <v>16</v>
      </c>
      <c r="G274" s="13">
        <f>_xlfn.XLOOKUP(E274,'Wk no''s'!B:B,'Wk no''s'!C:C,FALSE)</f>
        <v>10</v>
      </c>
    </row>
    <row r="275" spans="1:7" x14ac:dyDescent="0.25">
      <c r="A275" s="13" t="s">
        <v>448</v>
      </c>
      <c r="B275" s="13"/>
      <c r="C275" s="13">
        <v>100</v>
      </c>
      <c r="D275" s="13" t="s">
        <v>19</v>
      </c>
      <c r="E275" s="67">
        <v>45721</v>
      </c>
      <c r="F275" s="13" t="s">
        <v>16</v>
      </c>
      <c r="G275" s="13">
        <f>_xlfn.XLOOKUP(E275,'Wk no''s'!B:B,'Wk no''s'!C:C,FALSE)</f>
        <v>10</v>
      </c>
    </row>
    <row r="276" spans="1:7" x14ac:dyDescent="0.25">
      <c r="A276" s="13" t="s">
        <v>457</v>
      </c>
      <c r="B276" s="13"/>
      <c r="C276" s="13">
        <v>100</v>
      </c>
      <c r="D276" s="13" t="s">
        <v>19</v>
      </c>
      <c r="E276" s="67">
        <v>45721</v>
      </c>
      <c r="F276" s="13" t="s">
        <v>16</v>
      </c>
      <c r="G276" s="13">
        <f>_xlfn.XLOOKUP(E276,'Wk no''s'!B:B,'Wk no''s'!C:C,FALSE)</f>
        <v>10</v>
      </c>
    </row>
    <row r="277" spans="1:7" x14ac:dyDescent="0.25">
      <c r="A277" s="13" t="s">
        <v>446</v>
      </c>
      <c r="B277" s="67">
        <v>45722</v>
      </c>
      <c r="C277" s="13">
        <v>100</v>
      </c>
      <c r="D277" s="13" t="s">
        <v>12</v>
      </c>
      <c r="E277" s="67">
        <v>45721</v>
      </c>
      <c r="F277" s="13" t="s">
        <v>16</v>
      </c>
      <c r="G277" s="13">
        <f>_xlfn.XLOOKUP(E277,'Wk no''s'!B:B,'Wk no''s'!C:C,FALSE)</f>
        <v>10</v>
      </c>
    </row>
    <row r="278" spans="1:7" x14ac:dyDescent="0.25">
      <c r="A278" s="13" t="s">
        <v>468</v>
      </c>
      <c r="B278" s="67">
        <v>45721</v>
      </c>
      <c r="C278" s="13">
        <v>100</v>
      </c>
      <c r="D278" s="13" t="s">
        <v>50</v>
      </c>
      <c r="E278" s="67">
        <v>45721</v>
      </c>
      <c r="F278" s="13" t="s">
        <v>47</v>
      </c>
      <c r="G278" s="13">
        <f>_xlfn.XLOOKUP(E278,'Wk no''s'!B:B,'Wk no''s'!C:C,FALSE)</f>
        <v>10</v>
      </c>
    </row>
    <row r="279" spans="1:7" x14ac:dyDescent="0.25">
      <c r="A279" s="13" t="s">
        <v>469</v>
      </c>
      <c r="B279" s="67">
        <v>45721</v>
      </c>
      <c r="C279" s="13">
        <v>100</v>
      </c>
      <c r="D279" s="13" t="s">
        <v>50</v>
      </c>
      <c r="E279" s="67">
        <v>45721</v>
      </c>
      <c r="F279" s="13" t="s">
        <v>47</v>
      </c>
      <c r="G279" s="13">
        <f>_xlfn.XLOOKUP(E279,'Wk no''s'!B:B,'Wk no''s'!C:C,FALSE)</f>
        <v>10</v>
      </c>
    </row>
    <row r="280" spans="1:7" x14ac:dyDescent="0.25">
      <c r="A280" s="13" t="s">
        <v>459</v>
      </c>
      <c r="B280" s="67">
        <v>45723</v>
      </c>
      <c r="C280" s="13">
        <v>100</v>
      </c>
      <c r="D280" s="13" t="s">
        <v>50</v>
      </c>
      <c r="E280" s="67">
        <v>45722</v>
      </c>
      <c r="F280" s="13" t="s">
        <v>16</v>
      </c>
      <c r="G280" s="13">
        <f>_xlfn.XLOOKUP(E280,'Wk no''s'!B:B,'Wk no''s'!C:C,FALSE)</f>
        <v>10</v>
      </c>
    </row>
    <row r="281" spans="1:7" x14ac:dyDescent="0.25">
      <c r="A281" s="13" t="s">
        <v>453</v>
      </c>
      <c r="B281" s="13"/>
      <c r="C281" s="13">
        <v>100</v>
      </c>
      <c r="D281" s="13" t="s">
        <v>19</v>
      </c>
      <c r="E281" s="67">
        <v>45722</v>
      </c>
      <c r="F281" s="13" t="s">
        <v>16</v>
      </c>
      <c r="G281" s="13">
        <f>_xlfn.XLOOKUP(E281,'Wk no''s'!B:B,'Wk no''s'!C:C,FALSE)</f>
        <v>10</v>
      </c>
    </row>
    <row r="282" spans="1:7" x14ac:dyDescent="0.25">
      <c r="A282" s="13" t="s">
        <v>455</v>
      </c>
      <c r="B282" s="67">
        <v>45723</v>
      </c>
      <c r="C282" s="13">
        <v>100</v>
      </c>
      <c r="D282" s="13" t="s">
        <v>19</v>
      </c>
      <c r="E282" s="67">
        <v>45722</v>
      </c>
      <c r="F282" s="13" t="s">
        <v>16</v>
      </c>
      <c r="G282" s="13">
        <f>_xlfn.XLOOKUP(E282,'Wk no''s'!B:B,'Wk no''s'!C:C,FALSE)</f>
        <v>10</v>
      </c>
    </row>
    <row r="283" spans="1:7" x14ac:dyDescent="0.25">
      <c r="A283" s="13" t="s">
        <v>456</v>
      </c>
      <c r="B283" s="67">
        <v>45723</v>
      </c>
      <c r="C283" s="13">
        <v>100</v>
      </c>
      <c r="D283" s="13" t="s">
        <v>19</v>
      </c>
      <c r="E283" s="67">
        <v>45722</v>
      </c>
      <c r="F283" s="13" t="s">
        <v>16</v>
      </c>
      <c r="G283" s="13">
        <f>_xlfn.XLOOKUP(E283,'Wk no''s'!B:B,'Wk no''s'!C:C,FALSE)</f>
        <v>10</v>
      </c>
    </row>
    <row r="284" spans="1:7" x14ac:dyDescent="0.25">
      <c r="A284" s="13" t="s">
        <v>458</v>
      </c>
      <c r="B284" s="13"/>
      <c r="C284" s="13">
        <v>100</v>
      </c>
      <c r="D284" s="13" t="s">
        <v>19</v>
      </c>
      <c r="E284" s="67">
        <v>45722</v>
      </c>
      <c r="F284" s="13" t="s">
        <v>16</v>
      </c>
      <c r="G284" s="13">
        <f>_xlfn.XLOOKUP(E284,'Wk no''s'!B:B,'Wk no''s'!C:C,FALSE)</f>
        <v>10</v>
      </c>
    </row>
    <row r="285" spans="1:7" x14ac:dyDescent="0.25">
      <c r="A285" s="13" t="s">
        <v>470</v>
      </c>
      <c r="B285" s="67">
        <v>45722</v>
      </c>
      <c r="C285" s="13">
        <v>100</v>
      </c>
      <c r="D285" s="13" t="s">
        <v>50</v>
      </c>
      <c r="E285" s="67">
        <v>45722</v>
      </c>
      <c r="F285" s="13" t="s">
        <v>47</v>
      </c>
      <c r="G285" s="13">
        <f>_xlfn.XLOOKUP(E285,'Wk no''s'!B:B,'Wk no''s'!C:C,FALSE)</f>
        <v>10</v>
      </c>
    </row>
    <row r="286" spans="1:7" x14ac:dyDescent="0.25">
      <c r="A286" s="13" t="s">
        <v>482</v>
      </c>
      <c r="B286" s="67">
        <v>45723</v>
      </c>
      <c r="C286" s="13">
        <v>100</v>
      </c>
      <c r="D286" s="13" t="s">
        <v>19</v>
      </c>
      <c r="E286" s="67">
        <v>45722</v>
      </c>
      <c r="F286" s="13" t="s">
        <v>72</v>
      </c>
      <c r="G286" s="13">
        <f>_xlfn.XLOOKUP(E286,'Wk no''s'!B:B,'Wk no''s'!C:C,FALSE)</f>
        <v>10</v>
      </c>
    </row>
    <row r="287" spans="1:7" x14ac:dyDescent="0.25">
      <c r="A287" s="13" t="s">
        <v>460</v>
      </c>
      <c r="B287" s="67">
        <v>45726</v>
      </c>
      <c r="C287" s="13">
        <v>100</v>
      </c>
      <c r="D287" s="13" t="s">
        <v>19</v>
      </c>
      <c r="E287" s="67">
        <v>45723</v>
      </c>
      <c r="F287" s="13" t="s">
        <v>41</v>
      </c>
      <c r="G287" s="13">
        <f>_xlfn.XLOOKUP(E287,'Wk no''s'!B:B,'Wk no''s'!C:C,FALSE)</f>
        <v>10</v>
      </c>
    </row>
    <row r="288" spans="1:7" x14ac:dyDescent="0.25">
      <c r="A288" s="13" t="s">
        <v>464</v>
      </c>
      <c r="B288" s="67">
        <v>45723</v>
      </c>
      <c r="C288" s="13">
        <v>100</v>
      </c>
      <c r="D288" s="13" t="s">
        <v>19</v>
      </c>
      <c r="E288" s="67">
        <v>45723</v>
      </c>
      <c r="F288" s="13" t="s">
        <v>47</v>
      </c>
      <c r="G288" s="13">
        <f>_xlfn.XLOOKUP(E288,'Wk no''s'!B:B,'Wk no''s'!C:C,FALSE)</f>
        <v>10</v>
      </c>
    </row>
    <row r="289" spans="1:7" x14ac:dyDescent="0.25">
      <c r="A289" s="13" t="s">
        <v>466</v>
      </c>
      <c r="B289" s="67">
        <v>45723</v>
      </c>
      <c r="C289" s="13">
        <v>100</v>
      </c>
      <c r="D289" s="13" t="s">
        <v>19</v>
      </c>
      <c r="E289" s="67">
        <v>45723</v>
      </c>
      <c r="F289" s="13" t="s">
        <v>47</v>
      </c>
      <c r="G289" s="13">
        <f>_xlfn.XLOOKUP(E289,'Wk no''s'!B:B,'Wk no''s'!C:C,FALSE)</f>
        <v>10</v>
      </c>
    </row>
    <row r="290" spans="1:7" x14ac:dyDescent="0.25">
      <c r="A290" s="13" t="s">
        <v>480</v>
      </c>
      <c r="B290" s="67">
        <v>45726</v>
      </c>
      <c r="C290" s="13">
        <v>100</v>
      </c>
      <c r="D290" s="13" t="s">
        <v>19</v>
      </c>
      <c r="E290" s="67">
        <v>45723</v>
      </c>
      <c r="F290" s="13" t="s">
        <v>72</v>
      </c>
      <c r="G290" s="13">
        <f>_xlfn.XLOOKUP(E290,'Wk no''s'!B:B,'Wk no''s'!C:C,FALSE)</f>
        <v>10</v>
      </c>
    </row>
    <row r="291" spans="1:7" x14ac:dyDescent="0.25">
      <c r="A291" s="13" t="s">
        <v>483</v>
      </c>
      <c r="B291" s="67">
        <v>45727</v>
      </c>
      <c r="C291" s="13">
        <v>100</v>
      </c>
      <c r="D291" s="13" t="s">
        <v>19</v>
      </c>
      <c r="E291" s="67">
        <v>45723</v>
      </c>
      <c r="F291" s="13" t="s">
        <v>72</v>
      </c>
      <c r="G291" s="13">
        <f>_xlfn.XLOOKUP(E291,'Wk no''s'!B:B,'Wk no''s'!C:C,FALSE)</f>
        <v>10</v>
      </c>
    </row>
    <row r="292" spans="1:7" x14ac:dyDescent="0.25">
      <c r="A292" s="13" t="s">
        <v>498</v>
      </c>
      <c r="B292" s="67">
        <v>45726</v>
      </c>
      <c r="C292" s="13">
        <v>100</v>
      </c>
      <c r="D292" s="13" t="s">
        <v>50</v>
      </c>
      <c r="E292" s="67">
        <v>45726</v>
      </c>
      <c r="F292" s="13" t="s">
        <v>16</v>
      </c>
      <c r="G292" s="13">
        <f>_xlfn.XLOOKUP(E292,'Wk no''s'!B:B,'Wk no''s'!C:C,FALSE)</f>
        <v>11</v>
      </c>
    </row>
    <row r="293" spans="1:7" x14ac:dyDescent="0.25">
      <c r="A293" s="13" t="s">
        <v>500</v>
      </c>
      <c r="B293" s="67">
        <v>45727</v>
      </c>
      <c r="C293" s="13">
        <v>100</v>
      </c>
      <c r="D293" s="13" t="s">
        <v>19</v>
      </c>
      <c r="E293" s="67">
        <v>45726</v>
      </c>
      <c r="F293" s="13" t="s">
        <v>41</v>
      </c>
      <c r="G293" s="13">
        <f>_xlfn.XLOOKUP(E293,'Wk no''s'!B:B,'Wk no''s'!C:C,FALSE)</f>
        <v>11</v>
      </c>
    </row>
    <row r="294" spans="1:7" x14ac:dyDescent="0.25">
      <c r="A294" s="13" t="s">
        <v>507</v>
      </c>
      <c r="B294" s="67">
        <v>45726</v>
      </c>
      <c r="C294" s="13">
        <v>100</v>
      </c>
      <c r="D294" s="13" t="s">
        <v>19</v>
      </c>
      <c r="E294" s="67">
        <v>45726</v>
      </c>
      <c r="F294" s="13" t="s">
        <v>47</v>
      </c>
      <c r="G294" s="13">
        <f>_xlfn.XLOOKUP(E294,'Wk no''s'!B:B,'Wk no''s'!C:C,FALSE)</f>
        <v>11</v>
      </c>
    </row>
    <row r="295" spans="1:7" x14ac:dyDescent="0.25">
      <c r="A295" s="13" t="s">
        <v>516</v>
      </c>
      <c r="B295" s="67">
        <v>45726</v>
      </c>
      <c r="C295" s="13">
        <v>100</v>
      </c>
      <c r="D295" s="13" t="s">
        <v>50</v>
      </c>
      <c r="E295" s="67">
        <v>45726</v>
      </c>
      <c r="F295" s="13" t="s">
        <v>47</v>
      </c>
      <c r="G295" s="13">
        <f>_xlfn.XLOOKUP(E295,'Wk no''s'!B:B,'Wk no''s'!C:C,FALSE)</f>
        <v>11</v>
      </c>
    </row>
    <row r="296" spans="1:7" x14ac:dyDescent="0.25">
      <c r="A296" s="13" t="s">
        <v>517</v>
      </c>
      <c r="B296" s="67">
        <v>45736</v>
      </c>
      <c r="C296" s="13">
        <v>100</v>
      </c>
      <c r="D296" s="13" t="s">
        <v>50</v>
      </c>
      <c r="E296" s="67">
        <v>45726</v>
      </c>
      <c r="F296" s="13" t="s">
        <v>47</v>
      </c>
      <c r="G296" s="13">
        <f>_xlfn.XLOOKUP(E296,'Wk no''s'!B:B,'Wk no''s'!C:C,FALSE)</f>
        <v>11</v>
      </c>
    </row>
    <row r="297" spans="1:7" x14ac:dyDescent="0.25">
      <c r="A297" s="13" t="s">
        <v>519</v>
      </c>
      <c r="B297" s="67">
        <v>45726</v>
      </c>
      <c r="C297" s="13">
        <v>100</v>
      </c>
      <c r="D297" s="13" t="s">
        <v>50</v>
      </c>
      <c r="E297" s="67">
        <v>45726</v>
      </c>
      <c r="F297" s="13" t="s">
        <v>47</v>
      </c>
      <c r="G297" s="13">
        <f>_xlfn.XLOOKUP(E297,'Wk no''s'!B:B,'Wk no''s'!C:C,FALSE)</f>
        <v>11</v>
      </c>
    </row>
    <row r="298" spans="1:7" x14ac:dyDescent="0.25">
      <c r="A298" s="13" t="s">
        <v>524</v>
      </c>
      <c r="B298" s="67">
        <v>45727</v>
      </c>
      <c r="C298" s="13">
        <v>100</v>
      </c>
      <c r="D298" s="13" t="s">
        <v>12</v>
      </c>
      <c r="E298" s="67">
        <v>45726</v>
      </c>
      <c r="F298" s="13" t="s">
        <v>11</v>
      </c>
      <c r="G298" s="13">
        <f>_xlfn.XLOOKUP(E298,'Wk no''s'!B:B,'Wk no''s'!C:C,FALSE)</f>
        <v>11</v>
      </c>
    </row>
    <row r="299" spans="1:7" x14ac:dyDescent="0.25">
      <c r="A299" s="13" t="s">
        <v>530</v>
      </c>
      <c r="B299" s="67">
        <v>45729</v>
      </c>
      <c r="C299" s="13">
        <v>100</v>
      </c>
      <c r="D299" s="13" t="s">
        <v>50</v>
      </c>
      <c r="E299" s="67">
        <v>45726</v>
      </c>
      <c r="F299" s="13" t="s">
        <v>11</v>
      </c>
      <c r="G299" s="13">
        <f>_xlfn.XLOOKUP(E299,'Wk no''s'!B:B,'Wk no''s'!C:C,FALSE)</f>
        <v>11</v>
      </c>
    </row>
    <row r="300" spans="1:7" x14ac:dyDescent="0.25">
      <c r="A300" s="13" t="s">
        <v>489</v>
      </c>
      <c r="B300" s="13"/>
      <c r="C300" s="13">
        <v>100</v>
      </c>
      <c r="D300" s="13" t="s">
        <v>19</v>
      </c>
      <c r="E300" s="67">
        <v>45727</v>
      </c>
      <c r="F300" s="13" t="s">
        <v>16</v>
      </c>
      <c r="G300" s="13">
        <f>_xlfn.XLOOKUP(E300,'Wk no''s'!B:B,'Wk no''s'!C:C,FALSE)</f>
        <v>11</v>
      </c>
    </row>
    <row r="301" spans="1:7" x14ac:dyDescent="0.25">
      <c r="A301" s="13" t="s">
        <v>484</v>
      </c>
      <c r="B301" s="67">
        <v>45727</v>
      </c>
      <c r="C301" s="13">
        <v>100</v>
      </c>
      <c r="D301" s="13" t="s">
        <v>281</v>
      </c>
      <c r="E301" s="67">
        <v>45727</v>
      </c>
      <c r="F301" s="13" t="s">
        <v>16</v>
      </c>
      <c r="G301" s="13">
        <f>_xlfn.XLOOKUP(E301,'Wk no''s'!B:B,'Wk no''s'!C:C,FALSE)</f>
        <v>11</v>
      </c>
    </row>
    <row r="302" spans="1:7" x14ac:dyDescent="0.25">
      <c r="A302" s="13" t="s">
        <v>511</v>
      </c>
      <c r="B302" s="67">
        <v>45723</v>
      </c>
      <c r="C302" s="13">
        <v>0</v>
      </c>
      <c r="D302" s="13" t="s">
        <v>50</v>
      </c>
      <c r="E302" s="67">
        <v>45727</v>
      </c>
      <c r="F302" s="13" t="s">
        <v>47</v>
      </c>
      <c r="G302" s="13">
        <f>_xlfn.XLOOKUP(E302,'Wk no''s'!B:B,'Wk no''s'!C:C,FALSE)</f>
        <v>11</v>
      </c>
    </row>
    <row r="303" spans="1:7" x14ac:dyDescent="0.25">
      <c r="A303" s="13" t="s">
        <v>510</v>
      </c>
      <c r="B303" s="67">
        <v>45727</v>
      </c>
      <c r="C303" s="13">
        <v>100</v>
      </c>
      <c r="D303" s="13" t="s">
        <v>19</v>
      </c>
      <c r="E303" s="67">
        <v>45727</v>
      </c>
      <c r="F303" s="13" t="s">
        <v>47</v>
      </c>
      <c r="G303" s="13">
        <f>_xlfn.XLOOKUP(E303,'Wk no''s'!B:B,'Wk no''s'!C:C,FALSE)</f>
        <v>11</v>
      </c>
    </row>
    <row r="304" spans="1:7" x14ac:dyDescent="0.25">
      <c r="A304" s="13" t="s">
        <v>535</v>
      </c>
      <c r="B304" s="67">
        <v>45727</v>
      </c>
      <c r="C304" s="13">
        <v>100</v>
      </c>
      <c r="D304" s="13" t="s">
        <v>19</v>
      </c>
      <c r="E304" s="67">
        <v>45727</v>
      </c>
      <c r="F304" s="13" t="s">
        <v>72</v>
      </c>
      <c r="G304" s="13">
        <f>_xlfn.XLOOKUP(E304,'Wk no''s'!B:B,'Wk no''s'!C:C,FALSE)</f>
        <v>11</v>
      </c>
    </row>
    <row r="305" spans="1:7" x14ac:dyDescent="0.25">
      <c r="A305" s="13" t="s">
        <v>491</v>
      </c>
      <c r="B305" s="67">
        <v>45728</v>
      </c>
      <c r="C305" s="13">
        <v>100</v>
      </c>
      <c r="D305" s="13" t="s">
        <v>19</v>
      </c>
      <c r="E305" s="67">
        <v>45728</v>
      </c>
      <c r="F305" s="13" t="s">
        <v>16</v>
      </c>
      <c r="G305" s="13">
        <f>_xlfn.XLOOKUP(E305,'Wk no''s'!B:B,'Wk no''s'!C:C,FALSE)</f>
        <v>11</v>
      </c>
    </row>
    <row r="306" spans="1:7" x14ac:dyDescent="0.25">
      <c r="A306" s="13" t="s">
        <v>495</v>
      </c>
      <c r="B306" s="67">
        <v>45729</v>
      </c>
      <c r="C306" s="13">
        <v>100</v>
      </c>
      <c r="D306" s="13" t="s">
        <v>19</v>
      </c>
      <c r="E306" s="67">
        <v>45728</v>
      </c>
      <c r="F306" s="13" t="s">
        <v>16</v>
      </c>
      <c r="G306" s="13">
        <f>_xlfn.XLOOKUP(E306,'Wk no''s'!B:B,'Wk no''s'!C:C,FALSE)</f>
        <v>11</v>
      </c>
    </row>
    <row r="307" spans="1:7" x14ac:dyDescent="0.25">
      <c r="A307" s="13" t="s">
        <v>501</v>
      </c>
      <c r="B307" s="67">
        <v>45727</v>
      </c>
      <c r="C307" s="13">
        <v>0</v>
      </c>
      <c r="D307" s="13" t="s">
        <v>19</v>
      </c>
      <c r="E307" s="67">
        <v>45728</v>
      </c>
      <c r="F307" s="13" t="s">
        <v>41</v>
      </c>
      <c r="G307" s="13">
        <f>_xlfn.XLOOKUP(E307,'Wk no''s'!B:B,'Wk no''s'!C:C,FALSE)</f>
        <v>11</v>
      </c>
    </row>
    <row r="308" spans="1:7" x14ac:dyDescent="0.25">
      <c r="A308" s="13" t="s">
        <v>504</v>
      </c>
      <c r="B308" s="67">
        <v>45728</v>
      </c>
      <c r="C308" s="13">
        <v>100</v>
      </c>
      <c r="D308" s="13" t="s">
        <v>19</v>
      </c>
      <c r="E308" s="67">
        <v>45728</v>
      </c>
      <c r="F308" s="13" t="s">
        <v>41</v>
      </c>
      <c r="G308" s="13">
        <f>_xlfn.XLOOKUP(E308,'Wk no''s'!B:B,'Wk no''s'!C:C,FALSE)</f>
        <v>11</v>
      </c>
    </row>
    <row r="309" spans="1:7" x14ac:dyDescent="0.25">
      <c r="A309" s="13" t="s">
        <v>514</v>
      </c>
      <c r="B309" s="67">
        <v>45728</v>
      </c>
      <c r="C309" s="13">
        <v>100</v>
      </c>
      <c r="D309" s="13" t="s">
        <v>50</v>
      </c>
      <c r="E309" s="67">
        <v>45728</v>
      </c>
      <c r="F309" s="13" t="s">
        <v>47</v>
      </c>
      <c r="G309" s="13">
        <f>_xlfn.XLOOKUP(E309,'Wk no''s'!B:B,'Wk no''s'!C:C,FALSE)</f>
        <v>11</v>
      </c>
    </row>
    <row r="310" spans="1:7" x14ac:dyDescent="0.25">
      <c r="A310" s="13" t="s">
        <v>518</v>
      </c>
      <c r="B310" s="67">
        <v>45728</v>
      </c>
      <c r="C310" s="13">
        <v>100</v>
      </c>
      <c r="D310" s="13" t="s">
        <v>50</v>
      </c>
      <c r="E310" s="67">
        <v>45728</v>
      </c>
      <c r="F310" s="13" t="s">
        <v>47</v>
      </c>
      <c r="G310" s="13">
        <f>_xlfn.XLOOKUP(E310,'Wk no''s'!B:B,'Wk no''s'!C:C,FALSE)</f>
        <v>11</v>
      </c>
    </row>
    <row r="311" spans="1:7" x14ac:dyDescent="0.25">
      <c r="A311" s="13" t="s">
        <v>532</v>
      </c>
      <c r="B311" s="67">
        <v>45728</v>
      </c>
      <c r="C311" s="13">
        <v>100</v>
      </c>
      <c r="D311" s="13" t="s">
        <v>19</v>
      </c>
      <c r="E311" s="67">
        <v>45728</v>
      </c>
      <c r="F311" s="13" t="s">
        <v>72</v>
      </c>
      <c r="G311" s="13">
        <f>_xlfn.XLOOKUP(E311,'Wk no''s'!B:B,'Wk no''s'!C:C,FALSE)</f>
        <v>11</v>
      </c>
    </row>
    <row r="312" spans="1:7" x14ac:dyDescent="0.25">
      <c r="A312" s="13" t="s">
        <v>534</v>
      </c>
      <c r="B312" s="67">
        <v>45730</v>
      </c>
      <c r="C312" s="13">
        <v>100</v>
      </c>
      <c r="D312" s="13" t="s">
        <v>19</v>
      </c>
      <c r="E312" s="67">
        <v>45728</v>
      </c>
      <c r="F312" s="13" t="s">
        <v>72</v>
      </c>
      <c r="G312" s="13">
        <f>_xlfn.XLOOKUP(E312,'Wk no''s'!B:B,'Wk no''s'!C:C,FALSE)</f>
        <v>11</v>
      </c>
    </row>
    <row r="313" spans="1:7" x14ac:dyDescent="0.25">
      <c r="A313" s="13" t="s">
        <v>487</v>
      </c>
      <c r="B313" s="13"/>
      <c r="C313" s="13">
        <v>100</v>
      </c>
      <c r="D313" s="13" t="s">
        <v>19</v>
      </c>
      <c r="E313" s="67">
        <v>45729</v>
      </c>
      <c r="F313" s="13" t="s">
        <v>16</v>
      </c>
      <c r="G313" s="13">
        <f>_xlfn.XLOOKUP(E313,'Wk no''s'!B:B,'Wk no''s'!C:C,FALSE)</f>
        <v>11</v>
      </c>
    </row>
    <row r="314" spans="1:7" x14ac:dyDescent="0.25">
      <c r="A314" s="13" t="s">
        <v>493</v>
      </c>
      <c r="B314" s="13"/>
      <c r="C314" s="13">
        <v>100</v>
      </c>
      <c r="D314" s="13" t="s">
        <v>19</v>
      </c>
      <c r="E314" s="67">
        <v>45729</v>
      </c>
      <c r="F314" s="13" t="s">
        <v>16</v>
      </c>
      <c r="G314" s="13">
        <f>_xlfn.XLOOKUP(E314,'Wk no''s'!B:B,'Wk no''s'!C:C,FALSE)</f>
        <v>11</v>
      </c>
    </row>
    <row r="315" spans="1:7" x14ac:dyDescent="0.25">
      <c r="A315" s="13" t="s">
        <v>496</v>
      </c>
      <c r="B315" s="67">
        <v>45729</v>
      </c>
      <c r="C315" s="13">
        <v>100</v>
      </c>
      <c r="D315" s="13" t="s">
        <v>19</v>
      </c>
      <c r="E315" s="67">
        <v>45729</v>
      </c>
      <c r="F315" s="13" t="s">
        <v>16</v>
      </c>
      <c r="G315" s="13">
        <f>_xlfn.XLOOKUP(E315,'Wk no''s'!B:B,'Wk no''s'!C:C,FALSE)</f>
        <v>11</v>
      </c>
    </row>
    <row r="316" spans="1:7" x14ac:dyDescent="0.25">
      <c r="A316" s="13" t="s">
        <v>522</v>
      </c>
      <c r="B316" s="67">
        <v>45714</v>
      </c>
      <c r="C316" s="13">
        <v>0</v>
      </c>
      <c r="D316" s="13" t="s">
        <v>50</v>
      </c>
      <c r="E316" s="67">
        <v>45729</v>
      </c>
      <c r="F316" s="13" t="s">
        <v>47</v>
      </c>
      <c r="G316" s="13">
        <f>_xlfn.XLOOKUP(E316,'Wk no''s'!B:B,'Wk no''s'!C:C,FALSE)</f>
        <v>11</v>
      </c>
    </row>
    <row r="317" spans="1:7" x14ac:dyDescent="0.25">
      <c r="A317" s="13" t="s">
        <v>513</v>
      </c>
      <c r="B317" s="67">
        <v>45729</v>
      </c>
      <c r="C317" s="13">
        <v>100</v>
      </c>
      <c r="D317" s="13" t="s">
        <v>50</v>
      </c>
      <c r="E317" s="67">
        <v>45729</v>
      </c>
      <c r="F317" s="13" t="s">
        <v>47</v>
      </c>
      <c r="G317" s="13">
        <f>_xlfn.XLOOKUP(E317,'Wk no''s'!B:B,'Wk no''s'!C:C,FALSE)</f>
        <v>11</v>
      </c>
    </row>
    <row r="318" spans="1:7" x14ac:dyDescent="0.25">
      <c r="A318" s="13" t="s">
        <v>531</v>
      </c>
      <c r="B318" s="67">
        <v>45726</v>
      </c>
      <c r="C318" s="13">
        <v>0</v>
      </c>
      <c r="D318" s="13" t="s">
        <v>50</v>
      </c>
      <c r="E318" s="67">
        <v>45729</v>
      </c>
      <c r="F318" s="13" t="s">
        <v>11</v>
      </c>
      <c r="G318" s="13">
        <f>_xlfn.XLOOKUP(E318,'Wk no''s'!B:B,'Wk no''s'!C:C,FALSE)</f>
        <v>11</v>
      </c>
    </row>
    <row r="319" spans="1:7" x14ac:dyDescent="0.25">
      <c r="A319" s="13" t="s">
        <v>529</v>
      </c>
      <c r="B319" s="67">
        <v>45729</v>
      </c>
      <c r="C319" s="13">
        <v>100</v>
      </c>
      <c r="D319" s="13" t="s">
        <v>50</v>
      </c>
      <c r="E319" s="67">
        <v>45729</v>
      </c>
      <c r="F319" s="13" t="s">
        <v>11</v>
      </c>
      <c r="G319" s="13">
        <f>_xlfn.XLOOKUP(E319,'Wk no''s'!B:B,'Wk no''s'!C:C,FALSE)</f>
        <v>11</v>
      </c>
    </row>
    <row r="320" spans="1:7" x14ac:dyDescent="0.25">
      <c r="A320" s="13" t="s">
        <v>526</v>
      </c>
      <c r="B320" s="67">
        <v>45729</v>
      </c>
      <c r="C320" s="13">
        <v>100</v>
      </c>
      <c r="D320" s="13" t="s">
        <v>12</v>
      </c>
      <c r="E320" s="67">
        <v>45729</v>
      </c>
      <c r="F320" s="13" t="s">
        <v>11</v>
      </c>
      <c r="G320" s="13">
        <f>_xlfn.XLOOKUP(E320,'Wk no''s'!B:B,'Wk no''s'!C:C,FALSE)</f>
        <v>11</v>
      </c>
    </row>
    <row r="321" spans="1:7" x14ac:dyDescent="0.25">
      <c r="A321" s="13" t="s">
        <v>528</v>
      </c>
      <c r="B321" s="67">
        <v>45730</v>
      </c>
      <c r="C321" s="13">
        <v>100</v>
      </c>
      <c r="D321" s="13" t="s">
        <v>19</v>
      </c>
      <c r="E321" s="67">
        <v>45729</v>
      </c>
      <c r="F321" s="13" t="s">
        <v>11</v>
      </c>
      <c r="G321" s="13">
        <f>_xlfn.XLOOKUP(E321,'Wk no''s'!B:B,'Wk no''s'!C:C,FALSE)</f>
        <v>11</v>
      </c>
    </row>
    <row r="322" spans="1:7" x14ac:dyDescent="0.25">
      <c r="A322" s="13" t="s">
        <v>537</v>
      </c>
      <c r="B322" s="67">
        <v>45729</v>
      </c>
      <c r="C322" s="13">
        <v>100</v>
      </c>
      <c r="D322" s="13" t="s">
        <v>19</v>
      </c>
      <c r="E322" s="67">
        <v>45729</v>
      </c>
      <c r="F322" s="13" t="s">
        <v>72</v>
      </c>
      <c r="G322" s="13">
        <f>_xlfn.XLOOKUP(E322,'Wk no''s'!B:B,'Wk no''s'!C:C,FALSE)</f>
        <v>11</v>
      </c>
    </row>
    <row r="323" spans="1:7" x14ac:dyDescent="0.25">
      <c r="A323" s="13" t="s">
        <v>485</v>
      </c>
      <c r="B323" s="67">
        <v>45730</v>
      </c>
      <c r="C323" s="13">
        <v>100</v>
      </c>
      <c r="D323" s="13" t="s">
        <v>19</v>
      </c>
      <c r="E323" s="67">
        <v>45730</v>
      </c>
      <c r="F323" s="13" t="s">
        <v>16</v>
      </c>
      <c r="G323" s="13">
        <f>_xlfn.XLOOKUP(E323,'Wk no''s'!B:B,'Wk no''s'!C:C,FALSE)</f>
        <v>11</v>
      </c>
    </row>
    <row r="324" spans="1:7" x14ac:dyDescent="0.25">
      <c r="A324" s="13" t="s">
        <v>503</v>
      </c>
      <c r="B324" s="67">
        <v>45736</v>
      </c>
      <c r="C324" s="13">
        <v>100</v>
      </c>
      <c r="D324" s="13" t="s">
        <v>19</v>
      </c>
      <c r="E324" s="67">
        <v>45730</v>
      </c>
      <c r="F324" s="13" t="s">
        <v>41</v>
      </c>
      <c r="G324" s="13">
        <f>_xlfn.XLOOKUP(E324,'Wk no''s'!B:B,'Wk no''s'!C:C,FALSE)</f>
        <v>11</v>
      </c>
    </row>
    <row r="325" spans="1:7" x14ac:dyDescent="0.25">
      <c r="A325" s="13" t="s">
        <v>509</v>
      </c>
      <c r="B325" s="67">
        <v>45730</v>
      </c>
      <c r="C325" s="13">
        <v>100</v>
      </c>
      <c r="D325" s="13" t="s">
        <v>19</v>
      </c>
      <c r="E325" s="67">
        <v>45730</v>
      </c>
      <c r="F325" s="13" t="s">
        <v>47</v>
      </c>
      <c r="G325" s="13">
        <f>_xlfn.XLOOKUP(E325,'Wk no''s'!B:B,'Wk no''s'!C:C,FALSE)</f>
        <v>11</v>
      </c>
    </row>
    <row r="326" spans="1:7" x14ac:dyDescent="0.25">
      <c r="A326" s="13" t="s">
        <v>505</v>
      </c>
      <c r="B326" s="67">
        <v>45730</v>
      </c>
      <c r="C326" s="13">
        <v>100</v>
      </c>
      <c r="D326" s="13" t="s">
        <v>12</v>
      </c>
      <c r="E326" s="67">
        <v>45730</v>
      </c>
      <c r="F326" s="13" t="s">
        <v>47</v>
      </c>
      <c r="G326" s="13">
        <f>_xlfn.XLOOKUP(E326,'Wk no''s'!B:B,'Wk no''s'!C:C,FALSE)</f>
        <v>11</v>
      </c>
    </row>
    <row r="327" spans="1:7" x14ac:dyDescent="0.25">
      <c r="A327" s="13" t="s">
        <v>520</v>
      </c>
      <c r="B327" s="67">
        <v>45730</v>
      </c>
      <c r="C327" s="13">
        <v>100</v>
      </c>
      <c r="D327" s="13" t="s">
        <v>50</v>
      </c>
      <c r="E327" s="67">
        <v>45730</v>
      </c>
      <c r="F327" s="13" t="s">
        <v>47</v>
      </c>
      <c r="G327" s="13">
        <f>_xlfn.XLOOKUP(E327,'Wk no''s'!B:B,'Wk no''s'!C:C,FALSE)</f>
        <v>11</v>
      </c>
    </row>
    <row r="328" spans="1:7" x14ac:dyDescent="0.25">
      <c r="A328" s="13" t="s">
        <v>521</v>
      </c>
      <c r="B328" s="67">
        <v>45730</v>
      </c>
      <c r="C328" s="13">
        <v>100</v>
      </c>
      <c r="D328" s="13" t="s">
        <v>50</v>
      </c>
      <c r="E328" s="67">
        <v>45730</v>
      </c>
      <c r="F328" s="13" t="s">
        <v>47</v>
      </c>
      <c r="G328" s="13">
        <f>_xlfn.XLOOKUP(E328,'Wk no''s'!B:B,'Wk no''s'!C:C,FALSE)</f>
        <v>11</v>
      </c>
    </row>
    <row r="329" spans="1:7" x14ac:dyDescent="0.25">
      <c r="A329" s="13" t="s">
        <v>523</v>
      </c>
      <c r="B329" s="67">
        <v>45730</v>
      </c>
      <c r="C329" s="13">
        <v>100</v>
      </c>
      <c r="D329" s="13" t="s">
        <v>50</v>
      </c>
      <c r="E329" s="67">
        <v>45730</v>
      </c>
      <c r="F329" s="13" t="s">
        <v>47</v>
      </c>
      <c r="G329" s="13">
        <f>_xlfn.XLOOKUP(E329,'Wk no''s'!B:B,'Wk no''s'!C:C,FALSE)</f>
        <v>11</v>
      </c>
    </row>
    <row r="330" spans="1:7" x14ac:dyDescent="0.25">
      <c r="A330" s="13" t="s">
        <v>538</v>
      </c>
      <c r="B330" s="67">
        <v>45736</v>
      </c>
      <c r="C330" s="13">
        <v>100</v>
      </c>
      <c r="D330" s="13" t="s">
        <v>19</v>
      </c>
      <c r="E330" s="67">
        <v>45730</v>
      </c>
      <c r="F330" s="13" t="s">
        <v>72</v>
      </c>
      <c r="G330" s="13">
        <f>_xlfn.XLOOKUP(E330,'Wk no''s'!B:B,'Wk no''s'!C:C,FALSE)</f>
        <v>11</v>
      </c>
    </row>
    <row r="331" spans="1:7" x14ac:dyDescent="0.25">
      <c r="A331" s="13" t="s">
        <v>557</v>
      </c>
      <c r="B331" s="67">
        <v>45735</v>
      </c>
      <c r="C331" s="13">
        <v>100</v>
      </c>
      <c r="D331" s="13" t="s">
        <v>19</v>
      </c>
      <c r="E331" s="67">
        <v>45733</v>
      </c>
      <c r="F331" s="13" t="s">
        <v>41</v>
      </c>
      <c r="G331" s="13">
        <f>_xlfn.XLOOKUP(E331,'Wk no''s'!B:B,'Wk no''s'!C:C,FALSE)</f>
        <v>12</v>
      </c>
    </row>
    <row r="332" spans="1:7" x14ac:dyDescent="0.25">
      <c r="A332" s="13" t="s">
        <v>563</v>
      </c>
      <c r="B332" s="67">
        <v>45728</v>
      </c>
      <c r="C332" s="13">
        <v>0</v>
      </c>
      <c r="D332" s="13" t="s">
        <v>19</v>
      </c>
      <c r="E332" s="67">
        <v>45733</v>
      </c>
      <c r="F332" s="13" t="s">
        <v>47</v>
      </c>
      <c r="G332" s="13">
        <f>_xlfn.XLOOKUP(E332,'Wk no''s'!B:B,'Wk no''s'!C:C,FALSE)</f>
        <v>12</v>
      </c>
    </row>
    <row r="333" spans="1:7" x14ac:dyDescent="0.25">
      <c r="A333" s="13" t="s">
        <v>567</v>
      </c>
      <c r="B333" s="67">
        <v>45733</v>
      </c>
      <c r="C333" s="13">
        <v>100</v>
      </c>
      <c r="D333" s="13" t="s">
        <v>50</v>
      </c>
      <c r="E333" s="67">
        <v>45733</v>
      </c>
      <c r="F333" s="13" t="s">
        <v>47</v>
      </c>
      <c r="G333" s="13">
        <f>_xlfn.XLOOKUP(E333,'Wk no''s'!B:B,'Wk no''s'!C:C,FALSE)</f>
        <v>12</v>
      </c>
    </row>
    <row r="334" spans="1:7" x14ac:dyDescent="0.25">
      <c r="A334" s="13" t="s">
        <v>581</v>
      </c>
      <c r="B334" s="67">
        <v>45733</v>
      </c>
      <c r="C334" s="13">
        <v>100</v>
      </c>
      <c r="D334" s="13" t="s">
        <v>19</v>
      </c>
      <c r="E334" s="67">
        <v>45733</v>
      </c>
      <c r="F334" s="13" t="s">
        <v>72</v>
      </c>
      <c r="G334" s="13">
        <f>_xlfn.XLOOKUP(E334,'Wk no''s'!B:B,'Wk no''s'!C:C,FALSE)</f>
        <v>12</v>
      </c>
    </row>
    <row r="335" spans="1:7" x14ac:dyDescent="0.25">
      <c r="A335" s="13" t="s">
        <v>543</v>
      </c>
      <c r="B335" s="67">
        <v>45733</v>
      </c>
      <c r="C335" s="13">
        <v>0</v>
      </c>
      <c r="D335" s="13" t="s">
        <v>19</v>
      </c>
      <c r="E335" s="67">
        <v>45734</v>
      </c>
      <c r="F335" s="13" t="s">
        <v>16</v>
      </c>
      <c r="G335" s="13">
        <f>_xlfn.XLOOKUP(E335,'Wk no''s'!B:B,'Wk no''s'!C:C,FALSE)</f>
        <v>12</v>
      </c>
    </row>
    <row r="336" spans="1:7" x14ac:dyDescent="0.25">
      <c r="A336" s="13" t="s">
        <v>554</v>
      </c>
      <c r="B336" s="67">
        <v>45735</v>
      </c>
      <c r="C336" s="13">
        <v>100</v>
      </c>
      <c r="D336" s="13" t="s">
        <v>50</v>
      </c>
      <c r="E336" s="67">
        <v>45734</v>
      </c>
      <c r="F336" s="13" t="s">
        <v>16</v>
      </c>
      <c r="G336" s="13">
        <f>_xlfn.XLOOKUP(E336,'Wk no''s'!B:B,'Wk no''s'!C:C,FALSE)</f>
        <v>12</v>
      </c>
    </row>
    <row r="337" spans="1:7" x14ac:dyDescent="0.25">
      <c r="A337" s="13" t="s">
        <v>544</v>
      </c>
      <c r="B337" s="67">
        <v>45737</v>
      </c>
      <c r="C337" s="13">
        <v>100</v>
      </c>
      <c r="D337" s="13" t="s">
        <v>19</v>
      </c>
      <c r="E337" s="67">
        <v>45734</v>
      </c>
      <c r="F337" s="13" t="s">
        <v>16</v>
      </c>
      <c r="G337" s="13">
        <f>_xlfn.XLOOKUP(E337,'Wk no''s'!B:B,'Wk no''s'!C:C,FALSE)</f>
        <v>12</v>
      </c>
    </row>
    <row r="338" spans="1:7" x14ac:dyDescent="0.25">
      <c r="A338" s="13" t="s">
        <v>541</v>
      </c>
      <c r="B338" s="67">
        <v>45765</v>
      </c>
      <c r="C338" s="13">
        <v>100</v>
      </c>
      <c r="D338" s="13" t="s">
        <v>12</v>
      </c>
      <c r="E338" s="67">
        <v>45734</v>
      </c>
      <c r="F338" s="13" t="s">
        <v>16</v>
      </c>
      <c r="G338" s="13">
        <f>_xlfn.XLOOKUP(E338,'Wk no''s'!B:B,'Wk no''s'!C:C,FALSE)</f>
        <v>12</v>
      </c>
    </row>
    <row r="339" spans="1:7" x14ac:dyDescent="0.25">
      <c r="A339" s="13" t="s">
        <v>545</v>
      </c>
      <c r="B339" s="67">
        <v>45734</v>
      </c>
      <c r="C339" s="13">
        <v>100</v>
      </c>
      <c r="D339" s="13" t="s">
        <v>19</v>
      </c>
      <c r="E339" s="67">
        <v>45734</v>
      </c>
      <c r="F339" s="13" t="s">
        <v>16</v>
      </c>
      <c r="G339" s="13">
        <f>_xlfn.XLOOKUP(E339,'Wk no''s'!B:B,'Wk no''s'!C:C,FALSE)</f>
        <v>12</v>
      </c>
    </row>
    <row r="340" spans="1:7" x14ac:dyDescent="0.25">
      <c r="A340" s="13" t="s">
        <v>550</v>
      </c>
      <c r="B340" s="67">
        <v>45775</v>
      </c>
      <c r="C340" s="13">
        <v>100</v>
      </c>
      <c r="D340" s="13" t="s">
        <v>19</v>
      </c>
      <c r="E340" s="67">
        <v>45734</v>
      </c>
      <c r="F340" s="13" t="s">
        <v>16</v>
      </c>
      <c r="G340" s="13">
        <f>_xlfn.XLOOKUP(E340,'Wk no''s'!B:B,'Wk no''s'!C:C,FALSE)</f>
        <v>12</v>
      </c>
    </row>
    <row r="341" spans="1:7" x14ac:dyDescent="0.25">
      <c r="A341" s="13" t="s">
        <v>573</v>
      </c>
      <c r="B341" s="67">
        <v>45734</v>
      </c>
      <c r="C341" s="13">
        <v>100</v>
      </c>
      <c r="D341" s="13" t="s">
        <v>50</v>
      </c>
      <c r="E341" s="67">
        <v>45734</v>
      </c>
      <c r="F341" s="13" t="s">
        <v>47</v>
      </c>
      <c r="G341" s="13">
        <f>_xlfn.XLOOKUP(E341,'Wk no''s'!B:B,'Wk no''s'!C:C,FALSE)</f>
        <v>12</v>
      </c>
    </row>
    <row r="342" spans="1:7" x14ac:dyDescent="0.25">
      <c r="A342" s="13" t="s">
        <v>547</v>
      </c>
      <c r="B342" s="67">
        <v>45736</v>
      </c>
      <c r="C342" s="13">
        <v>100</v>
      </c>
      <c r="D342" s="13" t="s">
        <v>19</v>
      </c>
      <c r="E342" s="67">
        <v>45735</v>
      </c>
      <c r="F342" s="13" t="s">
        <v>16</v>
      </c>
      <c r="G342" s="13">
        <f>_xlfn.XLOOKUP(E342,'Wk no''s'!B:B,'Wk no''s'!C:C,FALSE)</f>
        <v>12</v>
      </c>
    </row>
    <row r="343" spans="1:7" x14ac:dyDescent="0.25">
      <c r="A343" s="13" t="s">
        <v>551</v>
      </c>
      <c r="B343" s="67">
        <v>45735</v>
      </c>
      <c r="C343" s="13">
        <v>100</v>
      </c>
      <c r="D343" s="13" t="s">
        <v>19</v>
      </c>
      <c r="E343" s="67">
        <v>45735</v>
      </c>
      <c r="F343" s="13" t="s">
        <v>16</v>
      </c>
      <c r="G343" s="13">
        <f>_xlfn.XLOOKUP(E343,'Wk no''s'!B:B,'Wk no''s'!C:C,FALSE)</f>
        <v>12</v>
      </c>
    </row>
    <row r="344" spans="1:7" x14ac:dyDescent="0.25">
      <c r="A344" s="13" t="s">
        <v>569</v>
      </c>
      <c r="B344" s="67">
        <v>45736</v>
      </c>
      <c r="C344" s="13">
        <v>100</v>
      </c>
      <c r="D344" s="13" t="s">
        <v>50</v>
      </c>
      <c r="E344" s="67">
        <v>45735</v>
      </c>
      <c r="F344" s="13" t="s">
        <v>47</v>
      </c>
      <c r="G344" s="13">
        <f>_xlfn.XLOOKUP(E344,'Wk no''s'!B:B,'Wk no''s'!C:C,FALSE)</f>
        <v>12</v>
      </c>
    </row>
    <row r="345" spans="1:7" x14ac:dyDescent="0.25">
      <c r="A345" s="13" t="s">
        <v>572</v>
      </c>
      <c r="B345" s="67">
        <v>45736</v>
      </c>
      <c r="C345" s="13">
        <v>100</v>
      </c>
      <c r="D345" s="13" t="s">
        <v>50</v>
      </c>
      <c r="E345" s="67">
        <v>45735</v>
      </c>
      <c r="F345" s="13" t="s">
        <v>47</v>
      </c>
      <c r="G345" s="13">
        <f>_xlfn.XLOOKUP(E345,'Wk no''s'!B:B,'Wk no''s'!C:C,FALSE)</f>
        <v>12</v>
      </c>
    </row>
    <row r="346" spans="1:7" x14ac:dyDescent="0.25">
      <c r="A346" s="13" t="s">
        <v>577</v>
      </c>
      <c r="B346" s="67">
        <v>45730</v>
      </c>
      <c r="C346" s="13">
        <v>0</v>
      </c>
      <c r="D346" s="13" t="s">
        <v>50</v>
      </c>
      <c r="E346" s="67">
        <v>45735</v>
      </c>
      <c r="F346" s="13" t="s">
        <v>11</v>
      </c>
      <c r="G346" s="13">
        <f>_xlfn.XLOOKUP(E346,'Wk no''s'!B:B,'Wk no''s'!C:C,FALSE)</f>
        <v>12</v>
      </c>
    </row>
    <row r="347" spans="1:7" x14ac:dyDescent="0.25">
      <c r="A347" s="13" t="s">
        <v>578</v>
      </c>
      <c r="B347" s="67">
        <v>45733</v>
      </c>
      <c r="C347" s="13">
        <v>0</v>
      </c>
      <c r="D347" s="13" t="s">
        <v>50</v>
      </c>
      <c r="E347" s="67">
        <v>45735</v>
      </c>
      <c r="F347" s="13" t="s">
        <v>11</v>
      </c>
      <c r="G347" s="13">
        <f>_xlfn.XLOOKUP(E347,'Wk no''s'!B:B,'Wk no''s'!C:C,FALSE)</f>
        <v>12</v>
      </c>
    </row>
    <row r="348" spans="1:7" x14ac:dyDescent="0.25">
      <c r="A348" s="13" t="s">
        <v>549</v>
      </c>
      <c r="B348" s="67">
        <v>45736</v>
      </c>
      <c r="C348" s="13">
        <v>100</v>
      </c>
      <c r="D348" s="13" t="s">
        <v>19</v>
      </c>
      <c r="E348" s="67">
        <v>45736</v>
      </c>
      <c r="F348" s="13" t="s">
        <v>16</v>
      </c>
      <c r="G348" s="13">
        <f>_xlfn.XLOOKUP(E348,'Wk no''s'!B:B,'Wk no''s'!C:C,FALSE)</f>
        <v>12</v>
      </c>
    </row>
    <row r="349" spans="1:7" x14ac:dyDescent="0.25">
      <c r="A349" s="13" t="s">
        <v>552</v>
      </c>
      <c r="B349" s="67">
        <v>45736</v>
      </c>
      <c r="C349" s="13">
        <v>100</v>
      </c>
      <c r="D349" s="13" t="s">
        <v>19</v>
      </c>
      <c r="E349" s="67">
        <v>45736</v>
      </c>
      <c r="F349" s="13" t="s">
        <v>16</v>
      </c>
      <c r="G349" s="13">
        <f>_xlfn.XLOOKUP(E349,'Wk no''s'!B:B,'Wk no''s'!C:C,FALSE)</f>
        <v>12</v>
      </c>
    </row>
    <row r="350" spans="1:7" x14ac:dyDescent="0.25">
      <c r="A350" s="13" t="s">
        <v>559</v>
      </c>
      <c r="B350" s="67">
        <v>45740</v>
      </c>
      <c r="C350" s="13">
        <v>100</v>
      </c>
      <c r="D350" s="13" t="s">
        <v>19</v>
      </c>
      <c r="E350" s="67">
        <v>45736</v>
      </c>
      <c r="F350" s="13" t="s">
        <v>41</v>
      </c>
      <c r="G350" s="13">
        <f>_xlfn.XLOOKUP(E350,'Wk no''s'!B:B,'Wk no''s'!C:C,FALSE)</f>
        <v>12</v>
      </c>
    </row>
    <row r="351" spans="1:7" x14ac:dyDescent="0.25">
      <c r="A351" s="13" t="s">
        <v>570</v>
      </c>
      <c r="B351" s="67">
        <v>45729</v>
      </c>
      <c r="C351" s="13">
        <v>0</v>
      </c>
      <c r="D351" s="13" t="s">
        <v>50</v>
      </c>
      <c r="E351" s="67">
        <v>45736</v>
      </c>
      <c r="F351" s="13" t="s">
        <v>47</v>
      </c>
      <c r="G351" s="13">
        <f>_xlfn.XLOOKUP(E351,'Wk no''s'!B:B,'Wk no''s'!C:C,FALSE)</f>
        <v>12</v>
      </c>
    </row>
    <row r="352" spans="1:7" x14ac:dyDescent="0.25">
      <c r="A352" s="13" t="s">
        <v>583</v>
      </c>
      <c r="B352" s="67">
        <v>45737</v>
      </c>
      <c r="C352" s="13">
        <v>100</v>
      </c>
      <c r="D352" s="13" t="s">
        <v>19</v>
      </c>
      <c r="E352" s="67">
        <v>45736</v>
      </c>
      <c r="F352" s="13" t="s">
        <v>72</v>
      </c>
      <c r="G352" s="13">
        <f>_xlfn.XLOOKUP(E352,'Wk no''s'!B:B,'Wk no''s'!C:C,FALSE)</f>
        <v>12</v>
      </c>
    </row>
    <row r="353" spans="1:7" x14ac:dyDescent="0.25">
      <c r="A353" s="13" t="s">
        <v>539</v>
      </c>
      <c r="B353" s="67">
        <v>45737</v>
      </c>
      <c r="C353" s="13">
        <v>100</v>
      </c>
      <c r="D353" s="13" t="s">
        <v>12</v>
      </c>
      <c r="E353" s="67">
        <v>45737</v>
      </c>
      <c r="F353" s="13" t="s">
        <v>16</v>
      </c>
      <c r="G353" s="13">
        <f>_xlfn.XLOOKUP(E353,'Wk no''s'!B:B,'Wk no''s'!C:C,FALSE)</f>
        <v>12</v>
      </c>
    </row>
    <row r="354" spans="1:7" x14ac:dyDescent="0.25">
      <c r="A354" s="13" t="s">
        <v>556</v>
      </c>
      <c r="B354" s="67">
        <v>45737</v>
      </c>
      <c r="C354" s="13">
        <v>100</v>
      </c>
      <c r="D354" s="13" t="s">
        <v>50</v>
      </c>
      <c r="E354" s="67">
        <v>45737</v>
      </c>
      <c r="F354" s="13" t="s">
        <v>16</v>
      </c>
      <c r="G354" s="13">
        <f>_xlfn.XLOOKUP(E354,'Wk no''s'!B:B,'Wk no''s'!C:C,FALSE)</f>
        <v>12</v>
      </c>
    </row>
    <row r="355" spans="1:7" x14ac:dyDescent="0.25">
      <c r="A355" s="13" t="s">
        <v>571</v>
      </c>
      <c r="B355" s="67">
        <v>45737</v>
      </c>
      <c r="C355" s="13">
        <v>100</v>
      </c>
      <c r="D355" s="13" t="s">
        <v>50</v>
      </c>
      <c r="E355" s="67">
        <v>45737</v>
      </c>
      <c r="F355" s="13" t="s">
        <v>47</v>
      </c>
      <c r="G355" s="13">
        <f>_xlfn.XLOOKUP(E355,'Wk no''s'!B:B,'Wk no''s'!C:C,FALSE)</f>
        <v>12</v>
      </c>
    </row>
    <row r="356" spans="1:7" x14ac:dyDescent="0.25">
      <c r="A356" s="13" t="s">
        <v>574</v>
      </c>
      <c r="B356" s="67">
        <v>45745</v>
      </c>
      <c r="C356" s="13">
        <v>100</v>
      </c>
      <c r="D356" s="13" t="s">
        <v>50</v>
      </c>
      <c r="E356" s="67">
        <v>45737</v>
      </c>
      <c r="F356" s="13" t="s">
        <v>47</v>
      </c>
      <c r="G356" s="13">
        <f>_xlfn.XLOOKUP(E356,'Wk no''s'!B:B,'Wk no''s'!C:C,FALSE)</f>
        <v>12</v>
      </c>
    </row>
    <row r="357" spans="1:7" x14ac:dyDescent="0.25">
      <c r="A357" s="13" t="s">
        <v>561</v>
      </c>
      <c r="B357" s="67">
        <v>45737</v>
      </c>
      <c r="C357" s="13">
        <v>100</v>
      </c>
      <c r="D357" s="13" t="s">
        <v>281</v>
      </c>
      <c r="E357" s="67">
        <v>45737</v>
      </c>
      <c r="F357" s="13" t="s">
        <v>47</v>
      </c>
      <c r="G357" s="13">
        <f>_xlfn.XLOOKUP(E357,'Wk no''s'!B:B,'Wk no''s'!C:C,FALSE)</f>
        <v>12</v>
      </c>
    </row>
    <row r="358" spans="1:7" x14ac:dyDescent="0.25">
      <c r="A358" s="13" t="s">
        <v>565</v>
      </c>
      <c r="B358" s="67">
        <v>45737</v>
      </c>
      <c r="C358" s="13">
        <v>100</v>
      </c>
      <c r="D358" s="13" t="s">
        <v>19</v>
      </c>
      <c r="E358" s="67">
        <v>45737</v>
      </c>
      <c r="F358" s="13" t="s">
        <v>47</v>
      </c>
      <c r="G358" s="13">
        <f>_xlfn.XLOOKUP(E358,'Wk no''s'!B:B,'Wk no''s'!C:C,FALSE)</f>
        <v>12</v>
      </c>
    </row>
    <row r="359" spans="1:7" x14ac:dyDescent="0.25">
      <c r="A359" s="13" t="s">
        <v>575</v>
      </c>
      <c r="B359" s="67">
        <v>45737</v>
      </c>
      <c r="C359" s="13">
        <v>100</v>
      </c>
      <c r="D359" s="13" t="s">
        <v>50</v>
      </c>
      <c r="E359" s="67">
        <v>45737</v>
      </c>
      <c r="F359" s="13" t="s">
        <v>47</v>
      </c>
      <c r="G359" s="13">
        <f>_xlfn.XLOOKUP(E359,'Wk no''s'!B:B,'Wk no''s'!C:C,FALSE)</f>
        <v>12</v>
      </c>
    </row>
    <row r="360" spans="1:7" x14ac:dyDescent="0.25">
      <c r="A360" s="13" t="s">
        <v>582</v>
      </c>
      <c r="B360" s="67">
        <v>45736</v>
      </c>
      <c r="C360" s="13">
        <v>0</v>
      </c>
      <c r="D360" s="13" t="s">
        <v>19</v>
      </c>
      <c r="E360" s="67">
        <v>45737</v>
      </c>
      <c r="F360" s="13" t="s">
        <v>72</v>
      </c>
      <c r="G360" s="13">
        <f>_xlfn.XLOOKUP(E360,'Wk no''s'!B:B,'Wk no''s'!C:C,FALSE)</f>
        <v>12</v>
      </c>
    </row>
    <row r="361" spans="1:7" x14ac:dyDescent="0.25">
      <c r="A361" s="13" t="s">
        <v>579</v>
      </c>
      <c r="B361" s="67">
        <v>45744</v>
      </c>
      <c r="C361" s="13">
        <v>100</v>
      </c>
      <c r="D361" s="13" t="s">
        <v>19</v>
      </c>
      <c r="E361" s="67">
        <v>45737</v>
      </c>
      <c r="F361" s="13" t="s">
        <v>72</v>
      </c>
      <c r="G361" s="13">
        <f>_xlfn.XLOOKUP(E361,'Wk no''s'!B:B,'Wk no''s'!C:C,FALSE)</f>
        <v>12</v>
      </c>
    </row>
    <row r="362" spans="1:7" x14ac:dyDescent="0.25">
      <c r="A362" s="13" t="s">
        <v>585</v>
      </c>
      <c r="B362" s="67">
        <v>45737</v>
      </c>
      <c r="C362" s="13">
        <v>100</v>
      </c>
      <c r="D362" s="13" t="s">
        <v>19</v>
      </c>
      <c r="E362" s="67">
        <v>45737</v>
      </c>
      <c r="F362" s="13" t="s">
        <v>72</v>
      </c>
      <c r="G362" s="13">
        <f>_xlfn.XLOOKUP(E362,'Wk no''s'!B:B,'Wk no''s'!C:C,FALSE)</f>
        <v>12</v>
      </c>
    </row>
    <row r="363" spans="1:7" x14ac:dyDescent="0.25">
      <c r="A363" s="13" t="s">
        <v>587</v>
      </c>
      <c r="B363" s="67">
        <v>45740</v>
      </c>
      <c r="C363" s="13">
        <v>100</v>
      </c>
      <c r="D363" s="13" t="s">
        <v>19</v>
      </c>
      <c r="E363" s="67">
        <v>45737</v>
      </c>
      <c r="F363" s="13" t="s">
        <v>72</v>
      </c>
      <c r="G363" s="13">
        <f>_xlfn.XLOOKUP(E363,'Wk no''s'!B:B,'Wk no''s'!C:C,FALSE)</f>
        <v>12</v>
      </c>
    </row>
    <row r="364" spans="1:7" x14ac:dyDescent="0.25">
      <c r="A364" s="13" t="s">
        <v>588</v>
      </c>
      <c r="B364" s="67">
        <v>45737</v>
      </c>
      <c r="C364" s="13">
        <v>100</v>
      </c>
      <c r="D364" s="13" t="s">
        <v>19</v>
      </c>
      <c r="E364" s="67">
        <v>45737</v>
      </c>
      <c r="F364" s="13" t="s">
        <v>72</v>
      </c>
      <c r="G364" s="13">
        <f>_xlfn.XLOOKUP(E364,'Wk no''s'!B:B,'Wk no''s'!C:C,FALSE)</f>
        <v>12</v>
      </c>
    </row>
    <row r="365" spans="1:7" x14ac:dyDescent="0.25">
      <c r="A365" s="13" t="s">
        <v>602</v>
      </c>
      <c r="B365" s="67">
        <v>45740</v>
      </c>
      <c r="C365" s="13">
        <v>100</v>
      </c>
      <c r="D365" s="13" t="s">
        <v>50</v>
      </c>
      <c r="E365" s="67">
        <v>45740</v>
      </c>
      <c r="F365" s="13" t="s">
        <v>16</v>
      </c>
      <c r="G365" s="13">
        <f>_xlfn.XLOOKUP(E365,'Wk no''s'!B:B,'Wk no''s'!C:C,FALSE)</f>
        <v>13</v>
      </c>
    </row>
    <row r="366" spans="1:7" x14ac:dyDescent="0.25">
      <c r="A366" s="13" t="s">
        <v>614</v>
      </c>
      <c r="B366" s="67">
        <v>45740</v>
      </c>
      <c r="C366" s="13">
        <v>100</v>
      </c>
      <c r="D366" s="13" t="s">
        <v>50</v>
      </c>
      <c r="E366" s="67">
        <v>45740</v>
      </c>
      <c r="F366" s="13" t="s">
        <v>47</v>
      </c>
      <c r="G366" s="13">
        <f>_xlfn.XLOOKUP(E366,'Wk no''s'!B:B,'Wk no''s'!C:C,FALSE)</f>
        <v>13</v>
      </c>
    </row>
    <row r="367" spans="1:7" x14ac:dyDescent="0.25">
      <c r="A367" s="13" t="s">
        <v>627</v>
      </c>
      <c r="B367" s="67">
        <v>45740</v>
      </c>
      <c r="C367" s="13">
        <v>100</v>
      </c>
      <c r="D367" s="13" t="s">
        <v>50</v>
      </c>
      <c r="E367" s="67">
        <v>45740</v>
      </c>
      <c r="F367" s="13" t="s">
        <v>11</v>
      </c>
      <c r="G367" s="13">
        <f>_xlfn.XLOOKUP(E367,'Wk no''s'!B:B,'Wk no''s'!C:C,FALSE)</f>
        <v>13</v>
      </c>
    </row>
    <row r="368" spans="1:7" x14ac:dyDescent="0.25">
      <c r="A368" s="13" t="s">
        <v>618</v>
      </c>
      <c r="B368" s="67">
        <v>45741</v>
      </c>
      <c r="C368" s="13">
        <v>100</v>
      </c>
      <c r="D368" s="13" t="s">
        <v>12</v>
      </c>
      <c r="E368" s="67">
        <v>45740</v>
      </c>
      <c r="F368" s="13" t="s">
        <v>11</v>
      </c>
      <c r="G368" s="13">
        <f>_xlfn.XLOOKUP(E368,'Wk no''s'!B:B,'Wk no''s'!C:C,FALSE)</f>
        <v>13</v>
      </c>
    </row>
    <row r="369" spans="1:7" x14ac:dyDescent="0.25">
      <c r="A369" s="13" t="s">
        <v>624</v>
      </c>
      <c r="B369" s="13"/>
      <c r="C369" s="13">
        <v>100</v>
      </c>
      <c r="D369" s="13" t="s">
        <v>19</v>
      </c>
      <c r="E369" s="67">
        <v>45740</v>
      </c>
      <c r="F369" s="13" t="s">
        <v>11</v>
      </c>
      <c r="G369" s="13">
        <f>_xlfn.XLOOKUP(E369,'Wk no''s'!B:B,'Wk no''s'!C:C,FALSE)</f>
        <v>13</v>
      </c>
    </row>
    <row r="370" spans="1:7" x14ac:dyDescent="0.25">
      <c r="A370" s="13" t="s">
        <v>631</v>
      </c>
      <c r="B370" s="67">
        <v>45741</v>
      </c>
      <c r="C370" s="13">
        <v>100</v>
      </c>
      <c r="D370" s="13" t="s">
        <v>19</v>
      </c>
      <c r="E370" s="67">
        <v>45740</v>
      </c>
      <c r="F370" s="13" t="s">
        <v>72</v>
      </c>
      <c r="G370" s="13">
        <f>_xlfn.XLOOKUP(E370,'Wk no''s'!B:B,'Wk no''s'!C:C,FALSE)</f>
        <v>13</v>
      </c>
    </row>
    <row r="371" spans="1:7" x14ac:dyDescent="0.25">
      <c r="A371" s="13" t="s">
        <v>636</v>
      </c>
      <c r="B371" s="67">
        <v>45742</v>
      </c>
      <c r="C371" s="13">
        <v>100</v>
      </c>
      <c r="D371" s="13" t="s">
        <v>19</v>
      </c>
      <c r="E371" s="67">
        <v>45740</v>
      </c>
      <c r="F371" s="13" t="s">
        <v>72</v>
      </c>
      <c r="G371" s="13">
        <f>_xlfn.XLOOKUP(E371,'Wk no''s'!B:B,'Wk no''s'!C:C,FALSE)</f>
        <v>13</v>
      </c>
    </row>
    <row r="372" spans="1:7" x14ac:dyDescent="0.25">
      <c r="A372" s="13" t="s">
        <v>600</v>
      </c>
      <c r="B372" s="67">
        <v>45742</v>
      </c>
      <c r="C372" s="13">
        <v>100</v>
      </c>
      <c r="D372" s="13" t="s">
        <v>50</v>
      </c>
      <c r="E372" s="67">
        <v>45741</v>
      </c>
      <c r="F372" s="13" t="s">
        <v>16</v>
      </c>
      <c r="G372" s="13">
        <f>_xlfn.XLOOKUP(E372,'Wk no''s'!B:B,'Wk no''s'!C:C,FALSE)</f>
        <v>13</v>
      </c>
    </row>
    <row r="373" spans="1:7" x14ac:dyDescent="0.25">
      <c r="A373" s="13" t="s">
        <v>604</v>
      </c>
      <c r="B373" s="67">
        <v>45741</v>
      </c>
      <c r="C373" s="13">
        <v>100</v>
      </c>
      <c r="D373" s="13" t="s">
        <v>50</v>
      </c>
      <c r="E373" s="67">
        <v>45741</v>
      </c>
      <c r="F373" s="13" t="s">
        <v>16</v>
      </c>
      <c r="G373" s="13">
        <f>_xlfn.XLOOKUP(E373,'Wk no''s'!B:B,'Wk no''s'!C:C,FALSE)</f>
        <v>13</v>
      </c>
    </row>
    <row r="374" spans="1:7" x14ac:dyDescent="0.25">
      <c r="A374" s="13" t="s">
        <v>626</v>
      </c>
      <c r="B374" s="67">
        <v>45742</v>
      </c>
      <c r="C374" s="13">
        <v>100</v>
      </c>
      <c r="D374" s="13" t="s">
        <v>50</v>
      </c>
      <c r="E374" s="67">
        <v>45741</v>
      </c>
      <c r="F374" s="13" t="s">
        <v>11</v>
      </c>
      <c r="G374" s="13">
        <f>_xlfn.XLOOKUP(E374,'Wk no''s'!B:B,'Wk no''s'!C:C,FALSE)</f>
        <v>13</v>
      </c>
    </row>
    <row r="375" spans="1:7" x14ac:dyDescent="0.25">
      <c r="A375" s="13" t="s">
        <v>622</v>
      </c>
      <c r="B375" s="67">
        <v>45742</v>
      </c>
      <c r="C375" s="13">
        <v>100</v>
      </c>
      <c r="D375" s="13" t="s">
        <v>19</v>
      </c>
      <c r="E375" s="67">
        <v>45741</v>
      </c>
      <c r="F375" s="13" t="s">
        <v>11</v>
      </c>
      <c r="G375" s="13">
        <f>_xlfn.XLOOKUP(E375,'Wk no''s'!B:B,'Wk no''s'!C:C,FALSE)</f>
        <v>13</v>
      </c>
    </row>
    <row r="376" spans="1:7" x14ac:dyDescent="0.25">
      <c r="A376" s="13" t="s">
        <v>592</v>
      </c>
      <c r="B376" s="67">
        <v>45742</v>
      </c>
      <c r="C376" s="13">
        <v>100</v>
      </c>
      <c r="D376" s="13" t="s">
        <v>19</v>
      </c>
      <c r="E376" s="67">
        <v>45742</v>
      </c>
      <c r="F376" s="13" t="s">
        <v>16</v>
      </c>
      <c r="G376" s="13">
        <f>_xlfn.XLOOKUP(E376,'Wk no''s'!B:B,'Wk no''s'!C:C,FALSE)</f>
        <v>13</v>
      </c>
    </row>
    <row r="377" spans="1:7" x14ac:dyDescent="0.25">
      <c r="A377" s="13" t="s">
        <v>589</v>
      </c>
      <c r="B377" s="67">
        <v>45754</v>
      </c>
      <c r="C377" s="13">
        <v>100</v>
      </c>
      <c r="D377" s="13" t="s">
        <v>12</v>
      </c>
      <c r="E377" s="67">
        <v>45742</v>
      </c>
      <c r="F377" s="13" t="s">
        <v>16</v>
      </c>
      <c r="G377" s="13">
        <f>_xlfn.XLOOKUP(E377,'Wk no''s'!B:B,'Wk no''s'!C:C,FALSE)</f>
        <v>13</v>
      </c>
    </row>
    <row r="378" spans="1:7" x14ac:dyDescent="0.25">
      <c r="A378" s="13" t="s">
        <v>608</v>
      </c>
      <c r="B378" s="67">
        <v>45744</v>
      </c>
      <c r="C378" s="13">
        <v>100</v>
      </c>
      <c r="D378" s="13" t="s">
        <v>19</v>
      </c>
      <c r="E378" s="67">
        <v>45742</v>
      </c>
      <c r="F378" s="13" t="s">
        <v>41</v>
      </c>
      <c r="G378" s="13">
        <f>_xlfn.XLOOKUP(E378,'Wk no''s'!B:B,'Wk no''s'!C:C,FALSE)</f>
        <v>13</v>
      </c>
    </row>
    <row r="379" spans="1:7" x14ac:dyDescent="0.25">
      <c r="A379" s="13" t="s">
        <v>610</v>
      </c>
      <c r="B379" s="67">
        <v>45742</v>
      </c>
      <c r="C379" s="13">
        <v>100</v>
      </c>
      <c r="D379" s="13" t="s">
        <v>19</v>
      </c>
      <c r="E379" s="67">
        <v>45742</v>
      </c>
      <c r="F379" s="13" t="s">
        <v>47</v>
      </c>
      <c r="G379" s="13">
        <f>_xlfn.XLOOKUP(E379,'Wk no''s'!B:B,'Wk no''s'!C:C,FALSE)</f>
        <v>13</v>
      </c>
    </row>
    <row r="380" spans="1:7" x14ac:dyDescent="0.25">
      <c r="A380" s="13" t="s">
        <v>613</v>
      </c>
      <c r="B380" s="67">
        <v>45742</v>
      </c>
      <c r="C380" s="13">
        <v>100</v>
      </c>
      <c r="D380" s="13" t="s">
        <v>50</v>
      </c>
      <c r="E380" s="67">
        <v>45742</v>
      </c>
      <c r="F380" s="13" t="s">
        <v>47</v>
      </c>
      <c r="G380" s="13">
        <f>_xlfn.XLOOKUP(E380,'Wk no''s'!B:B,'Wk no''s'!C:C,FALSE)</f>
        <v>13</v>
      </c>
    </row>
    <row r="381" spans="1:7" x14ac:dyDescent="0.25">
      <c r="A381" s="13" t="s">
        <v>616</v>
      </c>
      <c r="B381" s="67">
        <v>45773</v>
      </c>
      <c r="C381" s="13">
        <v>100</v>
      </c>
      <c r="D381" s="13" t="s">
        <v>50</v>
      </c>
      <c r="E381" s="67">
        <v>45742</v>
      </c>
      <c r="F381" s="13" t="s">
        <v>47</v>
      </c>
      <c r="G381" s="13">
        <f>_xlfn.XLOOKUP(E381,'Wk no''s'!B:B,'Wk no''s'!C:C,FALSE)</f>
        <v>13</v>
      </c>
    </row>
    <row r="382" spans="1:7" x14ac:dyDescent="0.25">
      <c r="A382" s="13" t="s">
        <v>629</v>
      </c>
      <c r="B382" s="67">
        <v>45742</v>
      </c>
      <c r="C382" s="13">
        <v>100</v>
      </c>
      <c r="D382" s="13" t="s">
        <v>50</v>
      </c>
      <c r="E382" s="67">
        <v>45742</v>
      </c>
      <c r="F382" s="13" t="s">
        <v>11</v>
      </c>
      <c r="G382" s="13">
        <f>_xlfn.XLOOKUP(E382,'Wk no''s'!B:B,'Wk no''s'!C:C,FALSE)</f>
        <v>13</v>
      </c>
    </row>
    <row r="383" spans="1:7" x14ac:dyDescent="0.25">
      <c r="A383" s="13" t="s">
        <v>634</v>
      </c>
      <c r="B383" s="67">
        <v>45741</v>
      </c>
      <c r="C383" s="13">
        <v>0</v>
      </c>
      <c r="D383" s="13" t="s">
        <v>19</v>
      </c>
      <c r="E383" s="67">
        <v>45742</v>
      </c>
      <c r="F383" s="13" t="s">
        <v>72</v>
      </c>
      <c r="G383" s="13">
        <f>_xlfn.XLOOKUP(E383,'Wk no''s'!B:B,'Wk no''s'!C:C,FALSE)</f>
        <v>13</v>
      </c>
    </row>
    <row r="384" spans="1:7" x14ac:dyDescent="0.25">
      <c r="A384" s="13" t="s">
        <v>632</v>
      </c>
      <c r="B384" s="67">
        <v>45743</v>
      </c>
      <c r="C384" s="13">
        <v>100</v>
      </c>
      <c r="D384" s="13" t="s">
        <v>19</v>
      </c>
      <c r="E384" s="67">
        <v>45742</v>
      </c>
      <c r="F384" s="13" t="s">
        <v>72</v>
      </c>
      <c r="G384" s="13">
        <f>_xlfn.XLOOKUP(E384,'Wk no''s'!B:B,'Wk no''s'!C:C,FALSE)</f>
        <v>13</v>
      </c>
    </row>
    <row r="385" spans="1:7" x14ac:dyDescent="0.25">
      <c r="A385" s="13" t="s">
        <v>640</v>
      </c>
      <c r="B385" s="67">
        <v>45748</v>
      </c>
      <c r="C385" s="13">
        <v>100</v>
      </c>
      <c r="D385" s="13" t="s">
        <v>19</v>
      </c>
      <c r="E385" s="67">
        <v>45742</v>
      </c>
      <c r="F385" s="13" t="s">
        <v>72</v>
      </c>
      <c r="G385" s="13">
        <f>_xlfn.XLOOKUP(E385,'Wk no''s'!B:B,'Wk no''s'!C:C,FALSE)</f>
        <v>13</v>
      </c>
    </row>
    <row r="386" spans="1:7" x14ac:dyDescent="0.25">
      <c r="A386" s="13" t="s">
        <v>593</v>
      </c>
      <c r="B386" s="67">
        <v>45744</v>
      </c>
      <c r="C386" s="13">
        <v>100</v>
      </c>
      <c r="D386" s="13" t="s">
        <v>19</v>
      </c>
      <c r="E386" s="67">
        <v>45743</v>
      </c>
      <c r="F386" s="13" t="s">
        <v>16</v>
      </c>
      <c r="G386" s="13">
        <f>_xlfn.XLOOKUP(E386,'Wk no''s'!B:B,'Wk no''s'!C:C,FALSE)</f>
        <v>13</v>
      </c>
    </row>
    <row r="387" spans="1:7" x14ac:dyDescent="0.25">
      <c r="A387" s="13" t="s">
        <v>595</v>
      </c>
      <c r="B387" s="67">
        <v>45743</v>
      </c>
      <c r="C387" s="13">
        <v>100</v>
      </c>
      <c r="D387" s="13" t="s">
        <v>19</v>
      </c>
      <c r="E387" s="67">
        <v>45743</v>
      </c>
      <c r="F387" s="13" t="s">
        <v>16</v>
      </c>
      <c r="G387" s="13">
        <f>_xlfn.XLOOKUP(E387,'Wk no''s'!B:B,'Wk no''s'!C:C,FALSE)</f>
        <v>13</v>
      </c>
    </row>
    <row r="388" spans="1:7" x14ac:dyDescent="0.25">
      <c r="A388" s="13" t="s">
        <v>597</v>
      </c>
      <c r="B388" s="13"/>
      <c r="C388" s="13">
        <v>100</v>
      </c>
      <c r="D388" s="13" t="s">
        <v>19</v>
      </c>
      <c r="E388" s="67">
        <v>45743</v>
      </c>
      <c r="F388" s="13" t="s">
        <v>16</v>
      </c>
      <c r="G388" s="13">
        <f>_xlfn.XLOOKUP(E388,'Wk no''s'!B:B,'Wk no''s'!C:C,FALSE)</f>
        <v>13</v>
      </c>
    </row>
    <row r="389" spans="1:7" x14ac:dyDescent="0.25">
      <c r="A389" s="13" t="s">
        <v>590</v>
      </c>
      <c r="B389" s="13"/>
      <c r="C389" s="13">
        <v>100</v>
      </c>
      <c r="D389" s="13" t="s">
        <v>12</v>
      </c>
      <c r="E389" s="67">
        <v>45743</v>
      </c>
      <c r="F389" s="13" t="s">
        <v>16</v>
      </c>
      <c r="G389" s="13">
        <f>_xlfn.XLOOKUP(E389,'Wk no''s'!B:B,'Wk no''s'!C:C,FALSE)</f>
        <v>13</v>
      </c>
    </row>
    <row r="390" spans="1:7" x14ac:dyDescent="0.25">
      <c r="A390" s="13" t="s">
        <v>598</v>
      </c>
      <c r="B390" s="67">
        <v>45743</v>
      </c>
      <c r="C390" s="13">
        <v>0</v>
      </c>
      <c r="D390" s="13" t="s">
        <v>19</v>
      </c>
      <c r="E390" s="67">
        <v>45744</v>
      </c>
      <c r="F390" s="13" t="s">
        <v>16</v>
      </c>
      <c r="G390" s="13">
        <f>_xlfn.XLOOKUP(E390,'Wk no''s'!B:B,'Wk no''s'!C:C,FALSE)</f>
        <v>13</v>
      </c>
    </row>
    <row r="391" spans="1:7" x14ac:dyDescent="0.25">
      <c r="A391" s="13" t="s">
        <v>596</v>
      </c>
      <c r="B391" s="13"/>
      <c r="C391" s="13">
        <v>100</v>
      </c>
      <c r="D391" s="13" t="s">
        <v>19</v>
      </c>
      <c r="E391" s="67">
        <v>45744</v>
      </c>
      <c r="F391" s="13" t="s">
        <v>16</v>
      </c>
      <c r="G391" s="13">
        <f>_xlfn.XLOOKUP(E391,'Wk no''s'!B:B,'Wk no''s'!C:C,FALSE)</f>
        <v>13</v>
      </c>
    </row>
    <row r="392" spans="1:7" x14ac:dyDescent="0.25">
      <c r="A392" s="13" t="s">
        <v>606</v>
      </c>
      <c r="B392" s="67">
        <v>45749</v>
      </c>
      <c r="C392" s="13">
        <v>100</v>
      </c>
      <c r="D392" s="13" t="s">
        <v>50</v>
      </c>
      <c r="E392" s="67">
        <v>45744</v>
      </c>
      <c r="F392" s="13" t="s">
        <v>16</v>
      </c>
      <c r="G392" s="13">
        <f>_xlfn.XLOOKUP(E392,'Wk no''s'!B:B,'Wk no''s'!C:C,FALSE)</f>
        <v>13</v>
      </c>
    </row>
    <row r="393" spans="1:7" x14ac:dyDescent="0.25">
      <c r="A393" s="13" t="s">
        <v>607</v>
      </c>
      <c r="B393" s="67">
        <v>45751</v>
      </c>
      <c r="C393" s="13">
        <v>100</v>
      </c>
      <c r="D393" s="13" t="s">
        <v>50</v>
      </c>
      <c r="E393" s="67">
        <v>45744</v>
      </c>
      <c r="F393" s="13" t="s">
        <v>16</v>
      </c>
      <c r="G393" s="13">
        <f>_xlfn.XLOOKUP(E393,'Wk no''s'!B:B,'Wk no''s'!C:C,FALSE)</f>
        <v>13</v>
      </c>
    </row>
    <row r="394" spans="1:7" x14ac:dyDescent="0.25">
      <c r="A394" s="13" t="s">
        <v>611</v>
      </c>
      <c r="B394" s="67">
        <v>45744</v>
      </c>
      <c r="C394" s="13">
        <v>100</v>
      </c>
      <c r="D394" s="13" t="s">
        <v>50</v>
      </c>
      <c r="E394" s="67">
        <v>45744</v>
      </c>
      <c r="F394" s="13" t="s">
        <v>47</v>
      </c>
      <c r="G394" s="13">
        <f>_xlfn.XLOOKUP(E394,'Wk no''s'!B:B,'Wk no''s'!C:C,FALSE)</f>
        <v>13</v>
      </c>
    </row>
    <row r="395" spans="1:7" x14ac:dyDescent="0.25">
      <c r="A395" s="13" t="s">
        <v>617</v>
      </c>
      <c r="B395" s="13"/>
      <c r="C395" s="13">
        <v>100</v>
      </c>
      <c r="D395" s="13" t="s">
        <v>50</v>
      </c>
      <c r="E395" s="67">
        <v>45744</v>
      </c>
      <c r="F395" s="13" t="s">
        <v>47</v>
      </c>
      <c r="G395" s="13">
        <f>_xlfn.XLOOKUP(E395,'Wk no''s'!B:B,'Wk no''s'!C:C,FALSE)</f>
        <v>13</v>
      </c>
    </row>
    <row r="396" spans="1:7" x14ac:dyDescent="0.25">
      <c r="A396" s="13" t="s">
        <v>628</v>
      </c>
      <c r="B396" s="67">
        <v>45744</v>
      </c>
      <c r="C396" s="13">
        <v>100</v>
      </c>
      <c r="D396" s="13" t="s">
        <v>50</v>
      </c>
      <c r="E396" s="67">
        <v>45744</v>
      </c>
      <c r="F396" s="13" t="s">
        <v>11</v>
      </c>
      <c r="G396" s="13">
        <f>_xlfn.XLOOKUP(E396,'Wk no''s'!B:B,'Wk no''s'!C:C,FALSE)</f>
        <v>13</v>
      </c>
    </row>
    <row r="397" spans="1:7" x14ac:dyDescent="0.25">
      <c r="A397" s="13" t="s">
        <v>637</v>
      </c>
      <c r="B397" s="67">
        <v>45747</v>
      </c>
      <c r="C397" s="13">
        <v>100</v>
      </c>
      <c r="D397" s="13" t="s">
        <v>19</v>
      </c>
      <c r="E397" s="67">
        <v>45744</v>
      </c>
      <c r="F397" s="13" t="s">
        <v>72</v>
      </c>
      <c r="G397" s="13">
        <f>_xlfn.XLOOKUP(E397,'Wk no''s'!B:B,'Wk no''s'!C:C,FALSE)</f>
        <v>13</v>
      </c>
    </row>
    <row r="398" spans="1:7" x14ac:dyDescent="0.25">
      <c r="A398" s="13" t="s">
        <v>639</v>
      </c>
      <c r="B398" s="67">
        <v>45747</v>
      </c>
      <c r="C398" s="13">
        <v>100</v>
      </c>
      <c r="D398" s="13" t="s">
        <v>19</v>
      </c>
      <c r="E398" s="67">
        <v>45744</v>
      </c>
      <c r="F398" s="13" t="s">
        <v>72</v>
      </c>
      <c r="G398" s="13">
        <f>_xlfn.XLOOKUP(E398,'Wk no''s'!B:B,'Wk no''s'!C:C,FALSE)</f>
        <v>13</v>
      </c>
    </row>
    <row r="399" spans="1:7" x14ac:dyDescent="0.25">
      <c r="A399" s="13" t="s">
        <v>642</v>
      </c>
      <c r="B399" s="67">
        <v>45750</v>
      </c>
      <c r="C399" s="13">
        <v>100</v>
      </c>
      <c r="D399" s="13" t="s">
        <v>19</v>
      </c>
      <c r="E399" s="67">
        <v>45744</v>
      </c>
      <c r="F399" s="13" t="s">
        <v>72</v>
      </c>
      <c r="G399" s="13">
        <f>_xlfn.XLOOKUP(E399,'Wk no''s'!B:B,'Wk no''s'!C:C,FALSE)</f>
        <v>13</v>
      </c>
    </row>
    <row r="400" spans="1:7" x14ac:dyDescent="0.25">
      <c r="A400" s="13" t="s">
        <v>643</v>
      </c>
      <c r="B400" s="67">
        <v>45744</v>
      </c>
      <c r="C400" s="13">
        <v>100</v>
      </c>
      <c r="D400" s="13" t="s">
        <v>19</v>
      </c>
      <c r="E400" s="67">
        <v>45744</v>
      </c>
      <c r="F400" s="13" t="s">
        <v>645</v>
      </c>
      <c r="G400" s="13">
        <f>_xlfn.XLOOKUP(E400,'Wk no''s'!B:B,'Wk no''s'!C:C,FALSE)</f>
        <v>13</v>
      </c>
    </row>
    <row r="401" spans="1:7" x14ac:dyDescent="0.25">
      <c r="A401" s="13" t="s">
        <v>620</v>
      </c>
      <c r="B401" s="67">
        <v>45747</v>
      </c>
      <c r="C401" s="13">
        <v>100</v>
      </c>
      <c r="D401" s="13" t="s">
        <v>12</v>
      </c>
      <c r="E401" s="67">
        <v>45746</v>
      </c>
      <c r="F401" s="13" t="s">
        <v>11</v>
      </c>
      <c r="G401" s="13">
        <f>_xlfn.XLOOKUP(E401,'Wk no''s'!B:B,'Wk no''s'!C:C,FALSE)</f>
        <v>14</v>
      </c>
    </row>
    <row r="402" spans="1:7" x14ac:dyDescent="0.25">
      <c r="A402" s="13" t="s">
        <v>650</v>
      </c>
      <c r="B402" s="13"/>
      <c r="C402" s="13">
        <v>100</v>
      </c>
      <c r="D402" s="13" t="s">
        <v>19</v>
      </c>
      <c r="E402" s="67">
        <v>45747</v>
      </c>
      <c r="F402" s="13" t="s">
        <v>16</v>
      </c>
      <c r="G402" s="13">
        <f>_xlfn.XLOOKUP(E402,'Wk no''s'!B:B,'Wk no''s'!C:C,FALSE)</f>
        <v>14</v>
      </c>
    </row>
    <row r="403" spans="1:7" x14ac:dyDescent="0.25">
      <c r="A403" s="13" t="s">
        <v>652</v>
      </c>
      <c r="B403" s="13"/>
      <c r="C403" s="13">
        <v>100</v>
      </c>
      <c r="D403" s="13" t="s">
        <v>19</v>
      </c>
      <c r="E403" s="67">
        <v>45747</v>
      </c>
      <c r="F403" s="13" t="s">
        <v>16</v>
      </c>
      <c r="G403" s="13">
        <f>_xlfn.XLOOKUP(E403,'Wk no''s'!B:B,'Wk no''s'!C:C,FALSE)</f>
        <v>14</v>
      </c>
    </row>
    <row r="404" spans="1:7" x14ac:dyDescent="0.25">
      <c r="A404" s="13" t="s">
        <v>674</v>
      </c>
      <c r="B404" s="67">
        <v>45746</v>
      </c>
      <c r="C404" s="13">
        <v>0</v>
      </c>
      <c r="D404" s="13" t="s">
        <v>50</v>
      </c>
      <c r="E404" s="67">
        <v>45747</v>
      </c>
      <c r="F404" s="13" t="s">
        <v>47</v>
      </c>
      <c r="G404" s="13">
        <f>_xlfn.XLOOKUP(E404,'Wk no''s'!B:B,'Wk no''s'!C:C,FALSE)</f>
        <v>14</v>
      </c>
    </row>
    <row r="405" spans="1:7" x14ac:dyDescent="0.25">
      <c r="A405" s="13" t="s">
        <v>684</v>
      </c>
      <c r="B405" s="67">
        <v>45748</v>
      </c>
      <c r="C405" s="13">
        <v>100</v>
      </c>
      <c r="D405" s="13" t="s">
        <v>50</v>
      </c>
      <c r="E405" s="67">
        <v>45747</v>
      </c>
      <c r="F405" s="13" t="s">
        <v>11</v>
      </c>
      <c r="G405" s="13">
        <f>_xlfn.XLOOKUP(E405,'Wk no''s'!B:B,'Wk no''s'!C:C,FALSE)</f>
        <v>14</v>
      </c>
    </row>
    <row r="406" spans="1:7" x14ac:dyDescent="0.25">
      <c r="A406" s="13" t="s">
        <v>686</v>
      </c>
      <c r="B406" s="67">
        <v>45772</v>
      </c>
      <c r="C406" s="13">
        <v>100</v>
      </c>
      <c r="D406" s="13" t="s">
        <v>50</v>
      </c>
      <c r="E406" s="67">
        <v>45747</v>
      </c>
      <c r="F406" s="13" t="s">
        <v>11</v>
      </c>
      <c r="G406" s="13">
        <f>_xlfn.XLOOKUP(E406,'Wk no''s'!B:B,'Wk no''s'!C:C,FALSE)</f>
        <v>14</v>
      </c>
    </row>
    <row r="407" spans="1:7" x14ac:dyDescent="0.25">
      <c r="A407" s="71" t="s">
        <v>648</v>
      </c>
      <c r="B407" s="70">
        <v>45749</v>
      </c>
      <c r="C407" s="71">
        <v>100</v>
      </c>
      <c r="D407" s="71" t="s">
        <v>19</v>
      </c>
      <c r="E407" s="70">
        <v>45748</v>
      </c>
      <c r="F407" s="71" t="s">
        <v>16</v>
      </c>
      <c r="G407" s="71">
        <f>_xlfn.XLOOKUP(E407,'Wk no''s'!B:B,'Wk no''s'!C:C,FALSE)</f>
        <v>14</v>
      </c>
    </row>
    <row r="408" spans="1:7" x14ac:dyDescent="0.25">
      <c r="A408" s="71" t="s">
        <v>653</v>
      </c>
      <c r="B408" s="71"/>
      <c r="C408" s="71">
        <v>100</v>
      </c>
      <c r="D408" s="71" t="s">
        <v>19</v>
      </c>
      <c r="E408" s="70">
        <v>45748</v>
      </c>
      <c r="F408" s="71" t="s">
        <v>16</v>
      </c>
      <c r="G408" s="71">
        <f>_xlfn.XLOOKUP(E408,'Wk no''s'!B:B,'Wk no''s'!C:C,FALSE)</f>
        <v>14</v>
      </c>
    </row>
    <row r="409" spans="1:7" x14ac:dyDescent="0.25">
      <c r="A409" s="71" t="s">
        <v>655</v>
      </c>
      <c r="B409" s="70">
        <v>45751</v>
      </c>
      <c r="C409" s="71">
        <v>100</v>
      </c>
      <c r="D409" s="71" t="s">
        <v>19</v>
      </c>
      <c r="E409" s="70">
        <v>45751</v>
      </c>
      <c r="F409" s="71" t="s">
        <v>16</v>
      </c>
      <c r="G409" s="71">
        <f>_xlfn.XLOOKUP(E409,'Wk no''s'!B:B,'Wk no''s'!C:C,FALSE)</f>
        <v>14</v>
      </c>
    </row>
    <row r="410" spans="1:7" x14ac:dyDescent="0.25">
      <c r="A410" s="71" t="s">
        <v>657</v>
      </c>
      <c r="B410" s="71"/>
      <c r="C410" s="71">
        <v>100</v>
      </c>
      <c r="D410" s="71" t="s">
        <v>19</v>
      </c>
      <c r="E410" s="70">
        <v>45750</v>
      </c>
      <c r="F410" s="71" t="s">
        <v>16</v>
      </c>
      <c r="G410" s="71">
        <f>_xlfn.XLOOKUP(E410,'Wk no''s'!B:B,'Wk no''s'!C:C,FALSE)</f>
        <v>14</v>
      </c>
    </row>
    <row r="411" spans="1:7" x14ac:dyDescent="0.25">
      <c r="A411" s="71" t="s">
        <v>659</v>
      </c>
      <c r="B411" s="71"/>
      <c r="C411" s="71">
        <v>100</v>
      </c>
      <c r="D411" s="71" t="s">
        <v>19</v>
      </c>
      <c r="E411" s="70">
        <v>45751</v>
      </c>
      <c r="F411" s="71" t="s">
        <v>16</v>
      </c>
      <c r="G411" s="71">
        <f>_xlfn.XLOOKUP(E411,'Wk no''s'!B:B,'Wk no''s'!C:C,FALSE)</f>
        <v>14</v>
      </c>
    </row>
    <row r="412" spans="1:7" x14ac:dyDescent="0.25">
      <c r="A412" s="71" t="s">
        <v>661</v>
      </c>
      <c r="B412" s="70">
        <v>45751</v>
      </c>
      <c r="C412" s="71">
        <v>100</v>
      </c>
      <c r="D412" s="71" t="s">
        <v>19</v>
      </c>
      <c r="E412" s="70">
        <v>45751</v>
      </c>
      <c r="F412" s="71" t="s">
        <v>16</v>
      </c>
      <c r="G412" s="71">
        <f>_xlfn.XLOOKUP(E412,'Wk no''s'!B:B,'Wk no''s'!C:C,FALSE)</f>
        <v>14</v>
      </c>
    </row>
    <row r="413" spans="1:7" x14ac:dyDescent="0.25">
      <c r="A413" s="71" t="s">
        <v>663</v>
      </c>
      <c r="B413" s="71"/>
      <c r="C413" s="71">
        <v>100</v>
      </c>
      <c r="D413" s="71" t="s">
        <v>19</v>
      </c>
      <c r="E413" s="70">
        <v>45749</v>
      </c>
      <c r="F413" s="71" t="s">
        <v>16</v>
      </c>
      <c r="G413" s="71">
        <f>_xlfn.XLOOKUP(E413,'Wk no''s'!B:B,'Wk no''s'!C:C,FALSE)</f>
        <v>14</v>
      </c>
    </row>
    <row r="414" spans="1:7" x14ac:dyDescent="0.25">
      <c r="A414" s="71" t="s">
        <v>646</v>
      </c>
      <c r="B414" s="70">
        <v>45750</v>
      </c>
      <c r="C414" s="71">
        <v>100</v>
      </c>
      <c r="D414" s="71" t="s">
        <v>12</v>
      </c>
      <c r="E414" s="70">
        <v>45750</v>
      </c>
      <c r="F414" s="71" t="s">
        <v>16</v>
      </c>
      <c r="G414" s="71">
        <f>_xlfn.XLOOKUP(E414,'Wk no''s'!B:B,'Wk no''s'!C:C,FALSE)</f>
        <v>14</v>
      </c>
    </row>
    <row r="415" spans="1:7" x14ac:dyDescent="0.25">
      <c r="A415" s="71" t="s">
        <v>664</v>
      </c>
      <c r="B415" s="71"/>
      <c r="C415" s="71">
        <v>100</v>
      </c>
      <c r="D415" s="71" t="s">
        <v>19</v>
      </c>
      <c r="E415" s="70">
        <v>45751</v>
      </c>
      <c r="F415" s="71" t="s">
        <v>16</v>
      </c>
      <c r="G415" s="71">
        <f>_xlfn.XLOOKUP(E415,'Wk no''s'!B:B,'Wk no''s'!C:C,FALSE)</f>
        <v>14</v>
      </c>
    </row>
    <row r="416" spans="1:7" x14ac:dyDescent="0.25">
      <c r="A416" s="71" t="s">
        <v>666</v>
      </c>
      <c r="B416" s="70">
        <v>45750</v>
      </c>
      <c r="C416" s="71">
        <v>100</v>
      </c>
      <c r="D416" s="71" t="s">
        <v>19</v>
      </c>
      <c r="E416" s="70">
        <v>45750</v>
      </c>
      <c r="F416" s="71" t="s">
        <v>16</v>
      </c>
      <c r="G416" s="71">
        <f>_xlfn.XLOOKUP(E416,'Wk no''s'!B:B,'Wk no''s'!C:C,FALSE)</f>
        <v>14</v>
      </c>
    </row>
    <row r="417" spans="1:7" x14ac:dyDescent="0.25">
      <c r="A417" s="71" t="s">
        <v>667</v>
      </c>
      <c r="B417" s="70">
        <v>45751</v>
      </c>
      <c r="C417" s="71">
        <v>100</v>
      </c>
      <c r="D417" s="71" t="s">
        <v>19</v>
      </c>
      <c r="E417" s="70">
        <v>45751</v>
      </c>
      <c r="F417" s="71" t="s">
        <v>41</v>
      </c>
      <c r="G417" s="71">
        <f>_xlfn.XLOOKUP(E417,'Wk no''s'!B:B,'Wk no''s'!C:C,FALSE)</f>
        <v>14</v>
      </c>
    </row>
    <row r="418" spans="1:7" x14ac:dyDescent="0.25">
      <c r="A418" s="71" t="s">
        <v>673</v>
      </c>
      <c r="B418" s="70">
        <v>45744</v>
      </c>
      <c r="C418" s="71">
        <v>0</v>
      </c>
      <c r="D418" s="71" t="s">
        <v>50</v>
      </c>
      <c r="E418" s="70">
        <v>45748</v>
      </c>
      <c r="F418" s="71" t="s">
        <v>47</v>
      </c>
      <c r="G418" s="71">
        <f>_xlfn.XLOOKUP(E418,'Wk no''s'!B:B,'Wk no''s'!C:C,FALSE)</f>
        <v>14</v>
      </c>
    </row>
    <row r="419" spans="1:7" x14ac:dyDescent="0.25">
      <c r="A419" s="71" t="s">
        <v>675</v>
      </c>
      <c r="B419" s="70">
        <v>45749</v>
      </c>
      <c r="C419" s="71">
        <v>100</v>
      </c>
      <c r="D419" s="71" t="s">
        <v>50</v>
      </c>
      <c r="E419" s="70">
        <v>45749</v>
      </c>
      <c r="F419" s="71" t="s">
        <v>47</v>
      </c>
      <c r="G419" s="71">
        <f>_xlfn.XLOOKUP(E419,'Wk no''s'!B:B,'Wk no''s'!C:C,FALSE)</f>
        <v>14</v>
      </c>
    </row>
    <row r="420" spans="1:7" x14ac:dyDescent="0.25">
      <c r="A420" s="71" t="s">
        <v>676</v>
      </c>
      <c r="B420" s="70">
        <v>45749</v>
      </c>
      <c r="C420" s="71">
        <v>100</v>
      </c>
      <c r="D420" s="71" t="s">
        <v>50</v>
      </c>
      <c r="E420" s="70">
        <v>45748</v>
      </c>
      <c r="F420" s="71" t="s">
        <v>47</v>
      </c>
      <c r="G420" s="71">
        <f>_xlfn.XLOOKUP(E420,'Wk no''s'!B:B,'Wk no''s'!C:C,FALSE)</f>
        <v>14</v>
      </c>
    </row>
    <row r="421" spans="1:7" x14ac:dyDescent="0.25">
      <c r="A421" s="71" t="s">
        <v>678</v>
      </c>
      <c r="B421" s="70">
        <v>45749</v>
      </c>
      <c r="C421" s="71">
        <v>100</v>
      </c>
      <c r="D421" s="71" t="s">
        <v>50</v>
      </c>
      <c r="E421" s="70">
        <v>45749</v>
      </c>
      <c r="F421" s="71" t="s">
        <v>47</v>
      </c>
      <c r="G421" s="71">
        <f>_xlfn.XLOOKUP(E421,'Wk no''s'!B:B,'Wk no''s'!C:C,FALSE)</f>
        <v>14</v>
      </c>
    </row>
    <row r="422" spans="1:7" x14ac:dyDescent="0.25">
      <c r="A422" s="71" t="s">
        <v>671</v>
      </c>
      <c r="B422" s="71"/>
      <c r="C422" s="71">
        <v>100</v>
      </c>
      <c r="D422" s="71" t="s">
        <v>19</v>
      </c>
      <c r="E422" s="70">
        <v>45748</v>
      </c>
      <c r="F422" s="71" t="s">
        <v>47</v>
      </c>
      <c r="G422" s="71">
        <f>_xlfn.XLOOKUP(E422,'Wk no''s'!B:B,'Wk no''s'!C:C,FALSE)</f>
        <v>14</v>
      </c>
    </row>
    <row r="423" spans="1:7" x14ac:dyDescent="0.25">
      <c r="A423" s="71" t="s">
        <v>669</v>
      </c>
      <c r="B423" s="71"/>
      <c r="C423" s="71">
        <v>100</v>
      </c>
      <c r="D423" s="71" t="s">
        <v>281</v>
      </c>
      <c r="E423" s="70">
        <v>45748</v>
      </c>
      <c r="F423" s="71" t="s">
        <v>47</v>
      </c>
      <c r="G423" s="71">
        <f>_xlfn.XLOOKUP(E423,'Wk no''s'!B:B,'Wk no''s'!C:C,FALSE)</f>
        <v>14</v>
      </c>
    </row>
    <row r="424" spans="1:7" x14ac:dyDescent="0.25">
      <c r="A424" s="71" t="s">
        <v>680</v>
      </c>
      <c r="B424" s="70">
        <v>45751</v>
      </c>
      <c r="C424" s="71">
        <v>100</v>
      </c>
      <c r="D424" s="71" t="s">
        <v>50</v>
      </c>
      <c r="E424" s="70">
        <v>45751</v>
      </c>
      <c r="F424" s="71" t="s">
        <v>47</v>
      </c>
      <c r="G424" s="71">
        <f>_xlfn.XLOOKUP(E424,'Wk no''s'!B:B,'Wk no''s'!C:C,FALSE)</f>
        <v>14</v>
      </c>
    </row>
    <row r="425" spans="1:7" x14ac:dyDescent="0.25">
      <c r="A425" s="71" t="s">
        <v>681</v>
      </c>
      <c r="B425" s="70">
        <v>45751</v>
      </c>
      <c r="C425" s="71">
        <v>100</v>
      </c>
      <c r="D425" s="71" t="s">
        <v>50</v>
      </c>
      <c r="E425" s="70">
        <v>45751</v>
      </c>
      <c r="F425" s="71" t="s">
        <v>47</v>
      </c>
      <c r="G425" s="71">
        <f>_xlfn.XLOOKUP(E425,'Wk no''s'!B:B,'Wk no''s'!C:C,FALSE)</f>
        <v>14</v>
      </c>
    </row>
    <row r="426" spans="1:7" x14ac:dyDescent="0.25">
      <c r="A426" s="71" t="s">
        <v>683</v>
      </c>
      <c r="B426" s="70">
        <v>45749</v>
      </c>
      <c r="C426" s="71">
        <v>100</v>
      </c>
      <c r="D426" s="71" t="s">
        <v>50</v>
      </c>
      <c r="E426" s="70">
        <v>45748</v>
      </c>
      <c r="F426" s="71" t="s">
        <v>11</v>
      </c>
      <c r="G426" s="71">
        <f>_xlfn.XLOOKUP(E426,'Wk no''s'!B:B,'Wk no''s'!C:C,FALSE)</f>
        <v>14</v>
      </c>
    </row>
    <row r="427" spans="1:7" x14ac:dyDescent="0.25">
      <c r="A427" s="71" t="s">
        <v>685</v>
      </c>
      <c r="B427" s="70">
        <v>45749</v>
      </c>
      <c r="C427" s="71">
        <v>100</v>
      </c>
      <c r="D427" s="71" t="s">
        <v>50</v>
      </c>
      <c r="E427" s="70">
        <v>45749</v>
      </c>
      <c r="F427" s="71" t="s">
        <v>11</v>
      </c>
      <c r="G427" s="71">
        <f>_xlfn.XLOOKUP(E427,'Wk no''s'!B:B,'Wk no''s'!C:C,FALSE)</f>
        <v>14</v>
      </c>
    </row>
    <row r="428" spans="1:7" x14ac:dyDescent="0.25">
      <c r="A428" s="71" t="s">
        <v>682</v>
      </c>
      <c r="B428" s="70">
        <v>45750</v>
      </c>
      <c r="C428" s="71">
        <v>100</v>
      </c>
      <c r="D428" s="71" t="s">
        <v>12</v>
      </c>
      <c r="E428" s="70">
        <v>45750</v>
      </c>
      <c r="F428" s="71" t="s">
        <v>11</v>
      </c>
      <c r="G428" s="71">
        <f>_xlfn.XLOOKUP(E428,'Wk no''s'!B:B,'Wk no''s'!C:C,FALSE)</f>
        <v>14</v>
      </c>
    </row>
    <row r="429" spans="1:7" x14ac:dyDescent="0.25">
      <c r="A429" s="71" t="s">
        <v>687</v>
      </c>
      <c r="B429" s="70">
        <v>45749</v>
      </c>
      <c r="C429" s="71">
        <v>100</v>
      </c>
      <c r="D429" s="71" t="s">
        <v>50</v>
      </c>
      <c r="E429" s="70">
        <v>45748</v>
      </c>
      <c r="F429" s="71" t="s">
        <v>11</v>
      </c>
      <c r="G429" s="71">
        <f>_xlfn.XLOOKUP(E429,'Wk no''s'!B:B,'Wk no''s'!C:C,FALSE)</f>
        <v>14</v>
      </c>
    </row>
    <row r="430" spans="1:7" x14ac:dyDescent="0.25">
      <c r="A430" s="71" t="s">
        <v>688</v>
      </c>
      <c r="B430" s="70">
        <v>45751</v>
      </c>
      <c r="C430" s="71">
        <v>100</v>
      </c>
      <c r="D430" s="71" t="s">
        <v>50</v>
      </c>
      <c r="E430" s="70">
        <v>45751</v>
      </c>
      <c r="F430" s="71" t="s">
        <v>11</v>
      </c>
      <c r="G430" s="71">
        <f>_xlfn.XLOOKUP(E430,'Wk no''s'!B:B,'Wk no''s'!C:C,FALSE)</f>
        <v>14</v>
      </c>
    </row>
    <row r="431" spans="1:7" x14ac:dyDescent="0.25">
      <c r="A431" s="71" t="s">
        <v>692</v>
      </c>
      <c r="B431" s="70">
        <v>45747</v>
      </c>
      <c r="C431" s="71">
        <v>0</v>
      </c>
      <c r="D431" s="71" t="s">
        <v>19</v>
      </c>
      <c r="E431" s="70">
        <v>45748</v>
      </c>
      <c r="F431" s="71" t="s">
        <v>72</v>
      </c>
      <c r="G431" s="71">
        <f>_xlfn.XLOOKUP(E431,'Wk no''s'!B:B,'Wk no''s'!C:C,FALSE)</f>
        <v>14</v>
      </c>
    </row>
    <row r="432" spans="1:7" x14ac:dyDescent="0.25">
      <c r="A432" s="71" t="s">
        <v>689</v>
      </c>
      <c r="B432" s="70">
        <v>45751</v>
      </c>
      <c r="C432" s="71">
        <v>100</v>
      </c>
      <c r="D432" s="71" t="s">
        <v>19</v>
      </c>
      <c r="E432" s="70">
        <v>45750</v>
      </c>
      <c r="F432" s="71" t="s">
        <v>72</v>
      </c>
      <c r="G432" s="71">
        <f>_xlfn.XLOOKUP(E432,'Wk no''s'!B:B,'Wk no''s'!C:C,FALSE)</f>
        <v>14</v>
      </c>
    </row>
    <row r="433" spans="1:7" x14ac:dyDescent="0.25">
      <c r="A433" s="71" t="s">
        <v>690</v>
      </c>
      <c r="B433" s="70">
        <v>45751</v>
      </c>
      <c r="C433" s="71">
        <v>100</v>
      </c>
      <c r="D433" s="71" t="s">
        <v>19</v>
      </c>
      <c r="E433" s="70">
        <v>45748</v>
      </c>
      <c r="F433" s="71" t="s">
        <v>72</v>
      </c>
      <c r="G433" s="71">
        <f>_xlfn.XLOOKUP(E433,'Wk no''s'!B:B,'Wk no''s'!C:C,FALSE)</f>
        <v>14</v>
      </c>
    </row>
    <row r="434" spans="1:7" x14ac:dyDescent="0.25">
      <c r="A434" s="71" t="s">
        <v>693</v>
      </c>
      <c r="B434" s="70">
        <v>45748</v>
      </c>
      <c r="C434" s="71">
        <v>100</v>
      </c>
      <c r="D434" s="71" t="s">
        <v>19</v>
      </c>
      <c r="E434" s="70">
        <v>45748</v>
      </c>
      <c r="F434" s="71" t="s">
        <v>72</v>
      </c>
      <c r="G434" s="71">
        <f>_xlfn.XLOOKUP(E434,'Wk no''s'!B:B,'Wk no''s'!C:C,FALSE)</f>
        <v>14</v>
      </c>
    </row>
    <row r="435" spans="1:7" x14ac:dyDescent="0.25">
      <c r="A435" s="71" t="s">
        <v>695</v>
      </c>
      <c r="B435" s="70">
        <v>45750</v>
      </c>
      <c r="C435" s="71">
        <v>100</v>
      </c>
      <c r="D435" s="71" t="s">
        <v>19</v>
      </c>
      <c r="E435" s="70">
        <v>45750</v>
      </c>
      <c r="F435" s="71" t="s">
        <v>645</v>
      </c>
      <c r="G435" s="71">
        <f>_xlfn.XLOOKUP(E435,'Wk no''s'!B:B,'Wk no''s'!C:C,FALSE)</f>
        <v>14</v>
      </c>
    </row>
    <row r="436" spans="1:7" x14ac:dyDescent="0.25">
      <c r="A436" s="71" t="s">
        <v>698</v>
      </c>
      <c r="B436" s="70">
        <v>45754</v>
      </c>
      <c r="C436" s="71">
        <v>0</v>
      </c>
      <c r="D436" s="71" t="s">
        <v>19</v>
      </c>
      <c r="E436" s="70">
        <v>45755</v>
      </c>
      <c r="F436" s="71" t="s">
        <v>16</v>
      </c>
      <c r="G436" s="71">
        <f>_xlfn.XLOOKUP(E436,'Wk no''s'!B:B,'Wk no''s'!C:C,FALSE)</f>
        <v>15</v>
      </c>
    </row>
    <row r="437" spans="1:7" x14ac:dyDescent="0.25">
      <c r="A437" s="71" t="s">
        <v>706</v>
      </c>
      <c r="B437" s="70">
        <v>45755</v>
      </c>
      <c r="C437" s="71">
        <v>0</v>
      </c>
      <c r="D437" s="71" t="s">
        <v>19</v>
      </c>
      <c r="E437" s="70">
        <v>45757</v>
      </c>
      <c r="F437" s="71" t="s">
        <v>16</v>
      </c>
      <c r="G437" s="71">
        <f>_xlfn.XLOOKUP(E437,'Wk no''s'!B:B,'Wk no''s'!C:C,FALSE)</f>
        <v>15</v>
      </c>
    </row>
    <row r="438" spans="1:7" x14ac:dyDescent="0.25">
      <c r="A438" s="71" t="s">
        <v>699</v>
      </c>
      <c r="B438" s="71"/>
      <c r="C438" s="71">
        <v>100</v>
      </c>
      <c r="D438" s="71" t="s">
        <v>19</v>
      </c>
      <c r="E438" s="70">
        <v>45755</v>
      </c>
      <c r="F438" s="71" t="s">
        <v>16</v>
      </c>
      <c r="G438" s="71">
        <f>_xlfn.XLOOKUP(E438,'Wk no''s'!B:B,'Wk no''s'!C:C,FALSE)</f>
        <v>15</v>
      </c>
    </row>
    <row r="439" spans="1:7" x14ac:dyDescent="0.25">
      <c r="A439" s="71" t="s">
        <v>701</v>
      </c>
      <c r="B439" s="71"/>
      <c r="C439" s="71">
        <v>100</v>
      </c>
      <c r="D439" s="71" t="s">
        <v>19</v>
      </c>
      <c r="E439" s="70">
        <v>45758</v>
      </c>
      <c r="F439" s="71" t="s">
        <v>16</v>
      </c>
      <c r="G439" s="71">
        <f>_xlfn.XLOOKUP(E439,'Wk no''s'!B:B,'Wk no''s'!C:C,FALSE)</f>
        <v>15</v>
      </c>
    </row>
    <row r="440" spans="1:7" x14ac:dyDescent="0.25">
      <c r="A440" s="71" t="s">
        <v>703</v>
      </c>
      <c r="B440" s="71"/>
      <c r="C440" s="71">
        <v>100</v>
      </c>
      <c r="D440" s="71" t="s">
        <v>19</v>
      </c>
      <c r="E440" s="70">
        <v>45754</v>
      </c>
      <c r="F440" s="71" t="s">
        <v>16</v>
      </c>
      <c r="G440" s="71">
        <f>_xlfn.XLOOKUP(E440,'Wk no''s'!B:B,'Wk no''s'!C:C,FALSE)</f>
        <v>15</v>
      </c>
    </row>
    <row r="441" spans="1:7" x14ac:dyDescent="0.25">
      <c r="A441" s="71" t="s">
        <v>704</v>
      </c>
      <c r="B441" s="71"/>
      <c r="C441" s="71">
        <v>100</v>
      </c>
      <c r="D441" s="71" t="s">
        <v>19</v>
      </c>
      <c r="E441" s="70">
        <v>45755</v>
      </c>
      <c r="F441" s="71" t="s">
        <v>16</v>
      </c>
      <c r="G441" s="71">
        <f>_xlfn.XLOOKUP(E441,'Wk no''s'!B:B,'Wk no''s'!C:C,FALSE)</f>
        <v>15</v>
      </c>
    </row>
    <row r="442" spans="1:7" x14ac:dyDescent="0.25">
      <c r="A442" s="71" t="s">
        <v>707</v>
      </c>
      <c r="B442" s="71"/>
      <c r="C442" s="71">
        <v>100</v>
      </c>
      <c r="D442" s="71" t="s">
        <v>19</v>
      </c>
      <c r="E442" s="70">
        <v>45755</v>
      </c>
      <c r="F442" s="71" t="s">
        <v>16</v>
      </c>
      <c r="G442" s="71">
        <f>_xlfn.XLOOKUP(E442,'Wk no''s'!B:B,'Wk no''s'!C:C,FALSE)</f>
        <v>15</v>
      </c>
    </row>
    <row r="443" spans="1:7" x14ac:dyDescent="0.25">
      <c r="A443" s="71" t="s">
        <v>708</v>
      </c>
      <c r="B443" s="70">
        <v>45756</v>
      </c>
      <c r="C443" s="71">
        <v>100</v>
      </c>
      <c r="D443" s="71" t="s">
        <v>19</v>
      </c>
      <c r="E443" s="70">
        <v>45756</v>
      </c>
      <c r="F443" s="71" t="s">
        <v>16</v>
      </c>
      <c r="G443" s="71">
        <f>_xlfn.XLOOKUP(E443,'Wk no''s'!B:B,'Wk no''s'!C:C,FALSE)</f>
        <v>15</v>
      </c>
    </row>
    <row r="444" spans="1:7" x14ac:dyDescent="0.25">
      <c r="A444" s="71" t="s">
        <v>709</v>
      </c>
      <c r="B444" s="70">
        <v>45758</v>
      </c>
      <c r="C444" s="71">
        <v>100</v>
      </c>
      <c r="D444" s="71" t="s">
        <v>19</v>
      </c>
      <c r="E444" s="70">
        <v>45758</v>
      </c>
      <c r="F444" s="71" t="s">
        <v>16</v>
      </c>
      <c r="G444" s="71">
        <f>_xlfn.XLOOKUP(E444,'Wk no''s'!B:B,'Wk no''s'!C:C,FALSE)</f>
        <v>15</v>
      </c>
    </row>
    <row r="445" spans="1:7" x14ac:dyDescent="0.25">
      <c r="A445" s="71" t="s">
        <v>696</v>
      </c>
      <c r="B445" s="70">
        <v>45756</v>
      </c>
      <c r="C445" s="71">
        <v>100</v>
      </c>
      <c r="D445" s="71" t="s">
        <v>12</v>
      </c>
      <c r="E445" s="70">
        <v>45756</v>
      </c>
      <c r="F445" s="71" t="s">
        <v>16</v>
      </c>
      <c r="G445" s="71">
        <f>_xlfn.XLOOKUP(E445,'Wk no''s'!B:B,'Wk no''s'!C:C,FALSE)</f>
        <v>15</v>
      </c>
    </row>
    <row r="446" spans="1:7" x14ac:dyDescent="0.25">
      <c r="A446" s="71" t="s">
        <v>711</v>
      </c>
      <c r="B446" s="71"/>
      <c r="C446" s="71">
        <v>100</v>
      </c>
      <c r="D446" s="71" t="s">
        <v>19</v>
      </c>
      <c r="E446" s="70">
        <v>45758</v>
      </c>
      <c r="F446" s="71" t="s">
        <v>16</v>
      </c>
      <c r="G446" s="71">
        <f>_xlfn.XLOOKUP(E446,'Wk no''s'!B:B,'Wk no''s'!C:C,FALSE)</f>
        <v>15</v>
      </c>
    </row>
    <row r="447" spans="1:7" x14ac:dyDescent="0.25">
      <c r="A447" s="71" t="s">
        <v>713</v>
      </c>
      <c r="B447" s="71"/>
      <c r="C447" s="71">
        <v>100</v>
      </c>
      <c r="D447" s="71" t="s">
        <v>19</v>
      </c>
      <c r="E447" s="70">
        <v>45755</v>
      </c>
      <c r="F447" s="71" t="s">
        <v>16</v>
      </c>
      <c r="G447" s="71">
        <f>_xlfn.XLOOKUP(E447,'Wk no''s'!B:B,'Wk no''s'!C:C,FALSE)</f>
        <v>15</v>
      </c>
    </row>
    <row r="448" spans="1:7" x14ac:dyDescent="0.25">
      <c r="A448" s="71" t="s">
        <v>714</v>
      </c>
      <c r="B448" s="71"/>
      <c r="C448" s="71">
        <v>100</v>
      </c>
      <c r="D448" s="71" t="s">
        <v>19</v>
      </c>
      <c r="E448" s="70">
        <v>45758</v>
      </c>
      <c r="F448" s="71" t="s">
        <v>16</v>
      </c>
      <c r="G448" s="71">
        <f>_xlfn.XLOOKUP(E448,'Wk no''s'!B:B,'Wk no''s'!C:C,FALSE)</f>
        <v>15</v>
      </c>
    </row>
    <row r="449" spans="1:7" x14ac:dyDescent="0.25">
      <c r="A449" s="71" t="s">
        <v>715</v>
      </c>
      <c r="B449" s="70">
        <v>45758</v>
      </c>
      <c r="C449" s="71">
        <v>100</v>
      </c>
      <c r="D449" s="71" t="s">
        <v>19</v>
      </c>
      <c r="E449" s="70">
        <v>45758</v>
      </c>
      <c r="F449" s="71" t="s">
        <v>41</v>
      </c>
      <c r="G449" s="71">
        <f>_xlfn.XLOOKUP(E449,'Wk no''s'!B:B,'Wk no''s'!C:C,FALSE)</f>
        <v>15</v>
      </c>
    </row>
    <row r="450" spans="1:7" x14ac:dyDescent="0.25">
      <c r="A450" s="71" t="s">
        <v>717</v>
      </c>
      <c r="B450" s="70">
        <v>45758</v>
      </c>
      <c r="C450" s="71">
        <v>100</v>
      </c>
      <c r="D450" s="71" t="s">
        <v>19</v>
      </c>
      <c r="E450" s="70">
        <v>45755</v>
      </c>
      <c r="F450" s="71" t="s">
        <v>41</v>
      </c>
      <c r="G450" s="71">
        <f>_xlfn.XLOOKUP(E450,'Wk no''s'!B:B,'Wk no''s'!C:C,FALSE)</f>
        <v>15</v>
      </c>
    </row>
    <row r="451" spans="1:7" x14ac:dyDescent="0.25">
      <c r="A451" s="71" t="s">
        <v>719</v>
      </c>
      <c r="B451" s="70">
        <v>45758</v>
      </c>
      <c r="C451" s="71">
        <v>100</v>
      </c>
      <c r="D451" s="71" t="s">
        <v>19</v>
      </c>
      <c r="E451" s="70">
        <v>45755</v>
      </c>
      <c r="F451" s="71" t="s">
        <v>41</v>
      </c>
      <c r="G451" s="71">
        <f>_xlfn.XLOOKUP(E451,'Wk no''s'!B:B,'Wk no''s'!C:C,FALSE)</f>
        <v>15</v>
      </c>
    </row>
    <row r="452" spans="1:7" x14ac:dyDescent="0.25">
      <c r="A452" s="71" t="s">
        <v>724</v>
      </c>
      <c r="B452" s="70">
        <v>45754</v>
      </c>
      <c r="C452" s="71">
        <v>0</v>
      </c>
      <c r="D452" s="71" t="s">
        <v>50</v>
      </c>
      <c r="E452" s="70">
        <v>45758</v>
      </c>
      <c r="F452" s="71" t="s">
        <v>47</v>
      </c>
      <c r="G452" s="71">
        <f>_xlfn.XLOOKUP(E452,'Wk no''s'!B:B,'Wk no''s'!C:C,FALSE)</f>
        <v>15</v>
      </c>
    </row>
    <row r="453" spans="1:7" x14ac:dyDescent="0.25">
      <c r="A453" s="71" t="s">
        <v>726</v>
      </c>
      <c r="B453" s="70">
        <v>45755</v>
      </c>
      <c r="C453" s="71">
        <v>0</v>
      </c>
      <c r="D453" s="71" t="s">
        <v>50</v>
      </c>
      <c r="E453" s="70">
        <v>45757</v>
      </c>
      <c r="F453" s="71" t="s">
        <v>47</v>
      </c>
      <c r="G453" s="71">
        <f>_xlfn.XLOOKUP(E453,'Wk no''s'!B:B,'Wk no''s'!C:C,FALSE)</f>
        <v>15</v>
      </c>
    </row>
    <row r="454" spans="1:7" x14ac:dyDescent="0.25">
      <c r="A454" s="71" t="s">
        <v>720</v>
      </c>
      <c r="B454" s="70">
        <v>45754</v>
      </c>
      <c r="C454" s="71">
        <v>100</v>
      </c>
      <c r="D454" s="71" t="s">
        <v>19</v>
      </c>
      <c r="E454" s="70">
        <v>45754</v>
      </c>
      <c r="F454" s="71" t="s">
        <v>47</v>
      </c>
      <c r="G454" s="71">
        <f>_xlfn.XLOOKUP(E454,'Wk no''s'!B:B,'Wk no''s'!C:C,FALSE)</f>
        <v>15</v>
      </c>
    </row>
    <row r="455" spans="1:7" x14ac:dyDescent="0.25">
      <c r="A455" s="71" t="s">
        <v>722</v>
      </c>
      <c r="B455" s="70">
        <v>45758</v>
      </c>
      <c r="C455" s="71">
        <v>100</v>
      </c>
      <c r="D455" s="71" t="s">
        <v>50</v>
      </c>
      <c r="E455" s="70">
        <v>45758</v>
      </c>
      <c r="F455" s="71" t="s">
        <v>47</v>
      </c>
      <c r="G455" s="71">
        <f>_xlfn.XLOOKUP(E455,'Wk no''s'!B:B,'Wk no''s'!C:C,FALSE)</f>
        <v>15</v>
      </c>
    </row>
    <row r="456" spans="1:7" x14ac:dyDescent="0.25">
      <c r="A456" s="71" t="s">
        <v>723</v>
      </c>
      <c r="B456" s="70">
        <v>45758</v>
      </c>
      <c r="C456" s="71">
        <v>100</v>
      </c>
      <c r="D456" s="71" t="s">
        <v>50</v>
      </c>
      <c r="E456" s="70">
        <v>45758</v>
      </c>
      <c r="F456" s="71" t="s">
        <v>47</v>
      </c>
      <c r="G456" s="71">
        <f>_xlfn.XLOOKUP(E456,'Wk no''s'!B:B,'Wk no''s'!C:C,FALSE)</f>
        <v>15</v>
      </c>
    </row>
    <row r="457" spans="1:7" x14ac:dyDescent="0.25">
      <c r="A457" s="71" t="s">
        <v>725</v>
      </c>
      <c r="B457" s="70">
        <v>45758</v>
      </c>
      <c r="C457" s="71">
        <v>100</v>
      </c>
      <c r="D457" s="71" t="s">
        <v>50</v>
      </c>
      <c r="E457" s="70">
        <v>45758</v>
      </c>
      <c r="F457" s="71" t="s">
        <v>47</v>
      </c>
      <c r="G457" s="71">
        <f>_xlfn.XLOOKUP(E457,'Wk no''s'!B:B,'Wk no''s'!C:C,FALSE)</f>
        <v>15</v>
      </c>
    </row>
    <row r="458" spans="1:7" x14ac:dyDescent="0.25">
      <c r="A458" s="71" t="s">
        <v>727</v>
      </c>
      <c r="B458" s="70">
        <v>45755</v>
      </c>
      <c r="C458" s="71">
        <v>100</v>
      </c>
      <c r="D458" s="71" t="s">
        <v>50</v>
      </c>
      <c r="E458" s="70">
        <v>45755</v>
      </c>
      <c r="F458" s="71" t="s">
        <v>47</v>
      </c>
      <c r="G458" s="71">
        <f>_xlfn.XLOOKUP(E458,'Wk no''s'!B:B,'Wk no''s'!C:C,FALSE)</f>
        <v>15</v>
      </c>
    </row>
    <row r="459" spans="1:7" x14ac:dyDescent="0.25">
      <c r="A459" s="71" t="s">
        <v>728</v>
      </c>
      <c r="B459" s="70">
        <v>45761</v>
      </c>
      <c r="C459" s="71">
        <v>100</v>
      </c>
      <c r="D459" s="71" t="s">
        <v>50</v>
      </c>
      <c r="E459" s="70">
        <v>45760</v>
      </c>
      <c r="F459" s="71" t="s">
        <v>47</v>
      </c>
      <c r="G459" s="71">
        <f>_xlfn.XLOOKUP(E459,'Wk no''s'!B:B,'Wk no''s'!C:C,FALSE)</f>
        <v>16</v>
      </c>
    </row>
    <row r="460" spans="1:7" x14ac:dyDescent="0.25">
      <c r="A460" s="71" t="s">
        <v>729</v>
      </c>
      <c r="B460" s="70">
        <v>45757</v>
      </c>
      <c r="C460" s="71">
        <v>100</v>
      </c>
      <c r="D460" s="71" t="s">
        <v>50</v>
      </c>
      <c r="E460" s="70">
        <v>45757</v>
      </c>
      <c r="F460" s="71" t="s">
        <v>47</v>
      </c>
      <c r="G460" s="71">
        <f>_xlfn.XLOOKUP(E460,'Wk no''s'!B:B,'Wk no''s'!C:C,FALSE)</f>
        <v>15</v>
      </c>
    </row>
    <row r="461" spans="1:7" x14ac:dyDescent="0.25">
      <c r="A461" s="71" t="s">
        <v>730</v>
      </c>
      <c r="B461" s="71"/>
      <c r="C461" s="71">
        <v>100</v>
      </c>
      <c r="D461" s="71" t="s">
        <v>50</v>
      </c>
      <c r="E461" s="70">
        <v>45756</v>
      </c>
      <c r="F461" s="71" t="s">
        <v>47</v>
      </c>
      <c r="G461" s="71">
        <f>_xlfn.XLOOKUP(E461,'Wk no''s'!B:B,'Wk no''s'!C:C,FALSE)</f>
        <v>15</v>
      </c>
    </row>
    <row r="462" spans="1:7" x14ac:dyDescent="0.25">
      <c r="A462" s="71" t="s">
        <v>732</v>
      </c>
      <c r="B462" s="70">
        <v>45754</v>
      </c>
      <c r="C462" s="71">
        <v>100</v>
      </c>
      <c r="D462" s="71" t="s">
        <v>19</v>
      </c>
      <c r="E462" s="70">
        <v>45754</v>
      </c>
      <c r="F462" s="71" t="s">
        <v>11</v>
      </c>
      <c r="G462" s="71">
        <f>_xlfn.XLOOKUP(E462,'Wk no''s'!B:B,'Wk no''s'!C:C,FALSE)</f>
        <v>15</v>
      </c>
    </row>
    <row r="463" spans="1:7" x14ac:dyDescent="0.25">
      <c r="A463" s="71" t="s">
        <v>734</v>
      </c>
      <c r="B463" s="70">
        <v>45754</v>
      </c>
      <c r="C463" s="71">
        <v>100</v>
      </c>
      <c r="D463" s="71" t="s">
        <v>50</v>
      </c>
      <c r="E463" s="70">
        <v>45754</v>
      </c>
      <c r="F463" s="71" t="s">
        <v>11</v>
      </c>
      <c r="G463" s="71">
        <f>_xlfn.XLOOKUP(E463,'Wk no''s'!B:B,'Wk no''s'!C:C,FALSE)</f>
        <v>15</v>
      </c>
    </row>
    <row r="464" spans="1:7" x14ac:dyDescent="0.25">
      <c r="A464" s="71" t="s">
        <v>731</v>
      </c>
      <c r="B464" s="70">
        <v>45755</v>
      </c>
      <c r="C464" s="71">
        <v>100</v>
      </c>
      <c r="D464" s="71" t="s">
        <v>12</v>
      </c>
      <c r="E464" s="70">
        <v>45755</v>
      </c>
      <c r="F464" s="71" t="s">
        <v>11</v>
      </c>
      <c r="G464" s="71">
        <f>_xlfn.XLOOKUP(E464,'Wk no''s'!B:B,'Wk no''s'!C:C,FALSE)</f>
        <v>15</v>
      </c>
    </row>
    <row r="465" spans="1:7" x14ac:dyDescent="0.25">
      <c r="A465" s="71" t="s">
        <v>735</v>
      </c>
      <c r="B465" s="70">
        <v>45758</v>
      </c>
      <c r="C465" s="71">
        <v>100</v>
      </c>
      <c r="D465" s="71" t="s">
        <v>50</v>
      </c>
      <c r="E465" s="70">
        <v>45758</v>
      </c>
      <c r="F465" s="71" t="s">
        <v>11</v>
      </c>
      <c r="G465" s="71">
        <f>_xlfn.XLOOKUP(E465,'Wk no''s'!B:B,'Wk no''s'!C:C,FALSE)</f>
        <v>15</v>
      </c>
    </row>
    <row r="466" spans="1:7" x14ac:dyDescent="0.25">
      <c r="A466" s="71" t="s">
        <v>736</v>
      </c>
      <c r="B466" s="70">
        <v>45755</v>
      </c>
      <c r="C466" s="71">
        <v>0</v>
      </c>
      <c r="D466" s="71" t="s">
        <v>19</v>
      </c>
      <c r="E466" s="70">
        <v>45758</v>
      </c>
      <c r="F466" s="71" t="s">
        <v>72</v>
      </c>
      <c r="G466" s="71">
        <f>_xlfn.XLOOKUP(E466,'Wk no''s'!B:B,'Wk no''s'!C:C,FALSE)</f>
        <v>15</v>
      </c>
    </row>
    <row r="467" spans="1:7" x14ac:dyDescent="0.25">
      <c r="A467" s="71" t="s">
        <v>738</v>
      </c>
      <c r="B467" s="70">
        <v>45754</v>
      </c>
      <c r="C467" s="71">
        <v>100</v>
      </c>
      <c r="D467" s="71" t="s">
        <v>19</v>
      </c>
      <c r="E467" s="70">
        <v>45754</v>
      </c>
      <c r="F467" s="71" t="s">
        <v>72</v>
      </c>
      <c r="G467" s="71">
        <f>_xlfn.XLOOKUP(E467,'Wk no''s'!B:B,'Wk no''s'!C:C,FALSE)</f>
        <v>15</v>
      </c>
    </row>
    <row r="468" spans="1:7" x14ac:dyDescent="0.25">
      <c r="A468" s="71" t="s">
        <v>739</v>
      </c>
      <c r="B468" s="70">
        <v>45758</v>
      </c>
      <c r="C468" s="71">
        <v>100</v>
      </c>
      <c r="D468" s="71" t="s">
        <v>19</v>
      </c>
      <c r="E468" s="70">
        <v>45756</v>
      </c>
      <c r="F468" s="71" t="s">
        <v>72</v>
      </c>
      <c r="G468" s="71">
        <f>_xlfn.XLOOKUP(E468,'Wk no''s'!B:B,'Wk no''s'!C:C,FALSE)</f>
        <v>15</v>
      </c>
    </row>
    <row r="469" spans="1:7" x14ac:dyDescent="0.25">
      <c r="A469" s="71" t="s">
        <v>740</v>
      </c>
      <c r="B469" s="70">
        <v>45757</v>
      </c>
      <c r="C469" s="71">
        <v>100</v>
      </c>
      <c r="D469" s="71" t="s">
        <v>19</v>
      </c>
      <c r="E469" s="70">
        <v>45756</v>
      </c>
      <c r="F469" s="71" t="s">
        <v>72</v>
      </c>
      <c r="G469" s="71">
        <f>_xlfn.XLOOKUP(E469,'Wk no''s'!B:B,'Wk no''s'!C:C,FALSE)</f>
        <v>15</v>
      </c>
    </row>
    <row r="470" spans="1:7" x14ac:dyDescent="0.25">
      <c r="A470" s="71" t="s">
        <v>741</v>
      </c>
      <c r="B470" s="70">
        <v>45757</v>
      </c>
      <c r="C470" s="71">
        <v>100</v>
      </c>
      <c r="D470" s="71" t="s">
        <v>19</v>
      </c>
      <c r="E470" s="70">
        <v>45754</v>
      </c>
      <c r="F470" s="71" t="s">
        <v>72</v>
      </c>
      <c r="G470" s="71">
        <f>_xlfn.XLOOKUP(E470,'Wk no''s'!B:B,'Wk no''s'!C:C,FALSE)</f>
        <v>15</v>
      </c>
    </row>
    <row r="471" spans="1:7" x14ac:dyDescent="0.25">
      <c r="A471" s="71" t="s">
        <v>757</v>
      </c>
      <c r="B471" s="70">
        <v>45762</v>
      </c>
      <c r="C471" s="71">
        <v>0</v>
      </c>
      <c r="D471" s="71" t="s">
        <v>50</v>
      </c>
      <c r="E471" s="70">
        <v>45763</v>
      </c>
      <c r="F471" s="71" t="s">
        <v>16</v>
      </c>
      <c r="G471" s="71">
        <f>_xlfn.XLOOKUP(E471,'Wk no''s'!B:B,'Wk no''s'!C:C,FALSE)</f>
        <v>16</v>
      </c>
    </row>
    <row r="472" spans="1:7" x14ac:dyDescent="0.25">
      <c r="A472" s="71" t="s">
        <v>746</v>
      </c>
      <c r="B472" s="70">
        <v>45761</v>
      </c>
      <c r="C472" s="71">
        <v>0</v>
      </c>
      <c r="D472" s="71" t="s">
        <v>19</v>
      </c>
      <c r="E472" s="70">
        <v>45762</v>
      </c>
      <c r="F472" s="71" t="s">
        <v>16</v>
      </c>
      <c r="G472" s="71">
        <f>_xlfn.XLOOKUP(E472,'Wk no''s'!B:B,'Wk no''s'!C:C,FALSE)</f>
        <v>16</v>
      </c>
    </row>
    <row r="473" spans="1:7" x14ac:dyDescent="0.25">
      <c r="A473" s="71" t="s">
        <v>755</v>
      </c>
      <c r="B473" s="70">
        <v>45764</v>
      </c>
      <c r="C473" s="71">
        <v>100</v>
      </c>
      <c r="D473" s="71" t="s">
        <v>50</v>
      </c>
      <c r="E473" s="70">
        <v>45761</v>
      </c>
      <c r="F473" s="71" t="s">
        <v>16</v>
      </c>
      <c r="G473" s="71">
        <f>_xlfn.XLOOKUP(E473,'Wk no''s'!B:B,'Wk no''s'!C:C,FALSE)</f>
        <v>16</v>
      </c>
    </row>
    <row r="474" spans="1:7" x14ac:dyDescent="0.25">
      <c r="A474" s="71" t="s">
        <v>742</v>
      </c>
      <c r="B474" s="71"/>
      <c r="C474" s="71">
        <v>100</v>
      </c>
      <c r="D474" s="71" t="s">
        <v>12</v>
      </c>
      <c r="E474" s="70">
        <v>45763</v>
      </c>
      <c r="F474" s="71" t="s">
        <v>16</v>
      </c>
      <c r="G474" s="71">
        <f>_xlfn.XLOOKUP(E474,'Wk no''s'!B:B,'Wk no''s'!C:C,FALSE)</f>
        <v>16</v>
      </c>
    </row>
    <row r="475" spans="1:7" x14ac:dyDescent="0.25">
      <c r="A475" s="71" t="s">
        <v>744</v>
      </c>
      <c r="B475" s="70">
        <v>45763</v>
      </c>
      <c r="C475" s="71">
        <v>100</v>
      </c>
      <c r="D475" s="71" t="s">
        <v>19</v>
      </c>
      <c r="E475" s="70">
        <v>45763</v>
      </c>
      <c r="F475" s="71" t="s">
        <v>16</v>
      </c>
      <c r="G475" s="71">
        <f>_xlfn.XLOOKUP(E475,'Wk no''s'!B:B,'Wk no''s'!C:C,FALSE)</f>
        <v>16</v>
      </c>
    </row>
    <row r="476" spans="1:7" x14ac:dyDescent="0.25">
      <c r="A476" s="71" t="s">
        <v>747</v>
      </c>
      <c r="B476" s="71"/>
      <c r="C476" s="71">
        <v>100</v>
      </c>
      <c r="D476" s="71" t="s">
        <v>19</v>
      </c>
      <c r="E476" s="70">
        <v>45761</v>
      </c>
      <c r="F476" s="71" t="s">
        <v>16</v>
      </c>
      <c r="G476" s="71">
        <f>_xlfn.XLOOKUP(E476,'Wk no''s'!B:B,'Wk no''s'!C:C,FALSE)</f>
        <v>16</v>
      </c>
    </row>
    <row r="477" spans="1:7" x14ac:dyDescent="0.25">
      <c r="A477" s="71" t="s">
        <v>748</v>
      </c>
      <c r="B477" s="70">
        <v>45762</v>
      </c>
      <c r="C477" s="71">
        <v>100</v>
      </c>
      <c r="D477" s="71" t="s">
        <v>19</v>
      </c>
      <c r="E477" s="70">
        <v>45762</v>
      </c>
      <c r="F477" s="71" t="s">
        <v>16</v>
      </c>
      <c r="G477" s="71">
        <f>_xlfn.XLOOKUP(E477,'Wk no''s'!B:B,'Wk no''s'!C:C,FALSE)</f>
        <v>16</v>
      </c>
    </row>
    <row r="478" spans="1:7" x14ac:dyDescent="0.25">
      <c r="A478" s="71" t="s">
        <v>749</v>
      </c>
      <c r="B478" s="71"/>
      <c r="C478" s="71">
        <v>100</v>
      </c>
      <c r="D478" s="71" t="s">
        <v>19</v>
      </c>
      <c r="E478" s="70">
        <v>45761</v>
      </c>
      <c r="F478" s="71" t="s">
        <v>16</v>
      </c>
      <c r="G478" s="71">
        <f>_xlfn.XLOOKUP(E478,'Wk no''s'!B:B,'Wk no''s'!C:C,FALSE)</f>
        <v>16</v>
      </c>
    </row>
    <row r="479" spans="1:7" x14ac:dyDescent="0.25">
      <c r="A479" s="71" t="s">
        <v>750</v>
      </c>
      <c r="B479" s="71"/>
      <c r="C479" s="71">
        <v>100</v>
      </c>
      <c r="D479" s="71" t="s">
        <v>19</v>
      </c>
      <c r="E479" s="70">
        <v>45763</v>
      </c>
      <c r="F479" s="71" t="s">
        <v>16</v>
      </c>
      <c r="G479" s="71">
        <f>_xlfn.XLOOKUP(E479,'Wk no''s'!B:B,'Wk no''s'!C:C,FALSE)</f>
        <v>16</v>
      </c>
    </row>
    <row r="480" spans="1:7" x14ac:dyDescent="0.25">
      <c r="A480" s="71" t="s">
        <v>752</v>
      </c>
      <c r="B480" s="70">
        <v>45764</v>
      </c>
      <c r="C480" s="71">
        <v>100</v>
      </c>
      <c r="D480" s="71" t="s">
        <v>19</v>
      </c>
      <c r="E480" s="70">
        <v>45763</v>
      </c>
      <c r="F480" s="71" t="s">
        <v>16</v>
      </c>
      <c r="G480" s="71">
        <f>_xlfn.XLOOKUP(E480,'Wk no''s'!B:B,'Wk no''s'!C:C,FALSE)</f>
        <v>16</v>
      </c>
    </row>
    <row r="481" spans="1:7" x14ac:dyDescent="0.25">
      <c r="A481" s="71" t="s">
        <v>754</v>
      </c>
      <c r="B481" s="70">
        <v>45764</v>
      </c>
      <c r="C481" s="71">
        <v>100</v>
      </c>
      <c r="D481" s="71" t="s">
        <v>19</v>
      </c>
      <c r="E481" s="70">
        <v>45764</v>
      </c>
      <c r="F481" s="71" t="s">
        <v>16</v>
      </c>
      <c r="G481" s="71">
        <f>_xlfn.XLOOKUP(E481,'Wk no''s'!B:B,'Wk no''s'!C:C,FALSE)</f>
        <v>16</v>
      </c>
    </row>
    <row r="482" spans="1:7" x14ac:dyDescent="0.25">
      <c r="A482" s="71" t="s">
        <v>758</v>
      </c>
      <c r="B482" s="70">
        <v>45763</v>
      </c>
      <c r="C482" s="71">
        <v>0</v>
      </c>
      <c r="D482" s="71" t="s">
        <v>50</v>
      </c>
      <c r="E482" s="70">
        <v>45765</v>
      </c>
      <c r="F482" s="71" t="s">
        <v>47</v>
      </c>
      <c r="G482" s="71">
        <f>_xlfn.XLOOKUP(E482,'Wk no''s'!B:B,'Wk no''s'!C:C,FALSE)</f>
        <v>16</v>
      </c>
    </row>
    <row r="483" spans="1:7" x14ac:dyDescent="0.25">
      <c r="A483" s="71" t="s">
        <v>761</v>
      </c>
      <c r="B483" s="70">
        <v>45763</v>
      </c>
      <c r="C483" s="71">
        <v>0</v>
      </c>
      <c r="D483" s="71" t="s">
        <v>50</v>
      </c>
      <c r="E483" s="70">
        <v>45764</v>
      </c>
      <c r="F483" s="71" t="s">
        <v>47</v>
      </c>
      <c r="G483" s="71">
        <f>_xlfn.XLOOKUP(E483,'Wk no''s'!B:B,'Wk no''s'!C:C,FALSE)</f>
        <v>16</v>
      </c>
    </row>
    <row r="484" spans="1:7" x14ac:dyDescent="0.25">
      <c r="A484" s="71" t="s">
        <v>759</v>
      </c>
      <c r="B484" s="71"/>
      <c r="C484" s="71">
        <v>100</v>
      </c>
      <c r="D484" s="71" t="s">
        <v>50</v>
      </c>
      <c r="E484" s="70">
        <v>45761</v>
      </c>
      <c r="F484" s="71" t="s">
        <v>47</v>
      </c>
      <c r="G484" s="71">
        <f>_xlfn.XLOOKUP(E484,'Wk no''s'!B:B,'Wk no''s'!C:C,FALSE)</f>
        <v>16</v>
      </c>
    </row>
    <row r="485" spans="1:7" x14ac:dyDescent="0.25">
      <c r="A485" s="71" t="s">
        <v>760</v>
      </c>
      <c r="B485" s="70">
        <v>45763</v>
      </c>
      <c r="C485" s="71">
        <v>100</v>
      </c>
      <c r="D485" s="71" t="s">
        <v>50</v>
      </c>
      <c r="E485" s="70">
        <v>45763</v>
      </c>
      <c r="F485" s="71" t="s">
        <v>47</v>
      </c>
      <c r="G485" s="71">
        <f>_xlfn.XLOOKUP(E485,'Wk no''s'!B:B,'Wk no''s'!C:C,FALSE)</f>
        <v>16</v>
      </c>
    </row>
    <row r="486" spans="1:7" x14ac:dyDescent="0.25">
      <c r="A486" s="71" t="s">
        <v>762</v>
      </c>
      <c r="B486" s="70">
        <v>45764</v>
      </c>
      <c r="C486" s="71">
        <v>100</v>
      </c>
      <c r="D486" s="71" t="s">
        <v>50</v>
      </c>
      <c r="E486" s="70">
        <v>45764</v>
      </c>
      <c r="F486" s="71" t="s">
        <v>47</v>
      </c>
      <c r="G486" s="71">
        <f>_xlfn.XLOOKUP(E486,'Wk no''s'!B:B,'Wk no''s'!C:C,FALSE)</f>
        <v>16</v>
      </c>
    </row>
    <row r="487" spans="1:7" x14ac:dyDescent="0.25">
      <c r="A487" s="71" t="s">
        <v>763</v>
      </c>
      <c r="B487" s="70">
        <v>45764</v>
      </c>
      <c r="C487" s="71">
        <v>100</v>
      </c>
      <c r="D487" s="71" t="s">
        <v>50</v>
      </c>
      <c r="E487" s="70">
        <v>45764</v>
      </c>
      <c r="F487" s="71" t="s">
        <v>47</v>
      </c>
      <c r="G487" s="71">
        <f>_xlfn.XLOOKUP(E487,'Wk no''s'!B:B,'Wk no''s'!C:C,FALSE)</f>
        <v>16</v>
      </c>
    </row>
    <row r="488" spans="1:7" x14ac:dyDescent="0.25">
      <c r="A488" s="71" t="s">
        <v>764</v>
      </c>
      <c r="B488" s="70">
        <v>45765</v>
      </c>
      <c r="C488" s="71">
        <v>100</v>
      </c>
      <c r="D488" s="71" t="s">
        <v>50</v>
      </c>
      <c r="E488" s="70">
        <v>45765</v>
      </c>
      <c r="F488" s="71" t="s">
        <v>47</v>
      </c>
      <c r="G488" s="71">
        <f>_xlfn.XLOOKUP(E488,'Wk no''s'!B:B,'Wk no''s'!C:C,FALSE)</f>
        <v>16</v>
      </c>
    </row>
    <row r="489" spans="1:7" x14ac:dyDescent="0.25">
      <c r="A489" s="71" t="s">
        <v>765</v>
      </c>
      <c r="B489" s="71"/>
      <c r="C489" s="71">
        <v>100</v>
      </c>
      <c r="D489" s="71" t="s">
        <v>50</v>
      </c>
      <c r="E489" s="70">
        <v>45761</v>
      </c>
      <c r="F489" s="71" t="s">
        <v>11</v>
      </c>
      <c r="G489" s="71">
        <f>_xlfn.XLOOKUP(E489,'Wk no''s'!B:B,'Wk no''s'!C:C,FALSE)</f>
        <v>16</v>
      </c>
    </row>
    <row r="490" spans="1:7" x14ac:dyDescent="0.25">
      <c r="A490" s="71" t="s">
        <v>766</v>
      </c>
      <c r="B490" s="70">
        <v>45764</v>
      </c>
      <c r="C490" s="71">
        <v>100</v>
      </c>
      <c r="D490" s="71" t="s">
        <v>19</v>
      </c>
      <c r="E490" s="70">
        <v>45764</v>
      </c>
      <c r="F490" s="71" t="s">
        <v>72</v>
      </c>
      <c r="G490" s="71">
        <f>_xlfn.XLOOKUP(E490,'Wk no''s'!B:B,'Wk no''s'!C:C,FALSE)</f>
        <v>16</v>
      </c>
    </row>
    <row r="491" spans="1:7" x14ac:dyDescent="0.25">
      <c r="A491" s="71" t="s">
        <v>773</v>
      </c>
      <c r="B491" s="70">
        <v>45769</v>
      </c>
      <c r="C491" s="71">
        <v>0</v>
      </c>
      <c r="D491" s="71" t="s">
        <v>19</v>
      </c>
      <c r="E491" s="70">
        <v>45770</v>
      </c>
      <c r="F491" s="71" t="s">
        <v>16</v>
      </c>
      <c r="G491" s="71">
        <f>_xlfn.XLOOKUP(E491,'Wk no''s'!B:B,'Wk no''s'!C:C,FALSE)</f>
        <v>17</v>
      </c>
    </row>
    <row r="492" spans="1:7" x14ac:dyDescent="0.25">
      <c r="A492" s="71" t="s">
        <v>771</v>
      </c>
      <c r="B492" s="70">
        <v>45769</v>
      </c>
      <c r="C492" s="71">
        <v>100</v>
      </c>
      <c r="D492" s="71" t="s">
        <v>19</v>
      </c>
      <c r="E492" s="70">
        <v>45769</v>
      </c>
      <c r="F492" s="71" t="s">
        <v>16</v>
      </c>
      <c r="G492" s="71">
        <f>_xlfn.XLOOKUP(E492,'Wk no''s'!B:B,'Wk no''s'!C:C,FALSE)</f>
        <v>17</v>
      </c>
    </row>
    <row r="493" spans="1:7" x14ac:dyDescent="0.25">
      <c r="A493" s="71" t="s">
        <v>775</v>
      </c>
      <c r="B493" s="70">
        <v>45775</v>
      </c>
      <c r="C493" s="71">
        <v>100</v>
      </c>
      <c r="D493" s="71" t="s">
        <v>19</v>
      </c>
      <c r="E493" s="70">
        <v>45772</v>
      </c>
      <c r="F493" s="71" t="s">
        <v>16</v>
      </c>
      <c r="G493" s="71">
        <f>_xlfn.XLOOKUP(E493,'Wk no''s'!B:B,'Wk no''s'!C:C,FALSE)</f>
        <v>17</v>
      </c>
    </row>
    <row r="494" spans="1:7" x14ac:dyDescent="0.25">
      <c r="A494" s="71" t="s">
        <v>776</v>
      </c>
      <c r="B494" s="70">
        <v>45770</v>
      </c>
      <c r="C494" s="71">
        <v>100</v>
      </c>
      <c r="D494" s="71" t="s">
        <v>19</v>
      </c>
      <c r="E494" s="70">
        <v>45770</v>
      </c>
      <c r="F494" s="71" t="s">
        <v>16</v>
      </c>
      <c r="G494" s="71">
        <f>_xlfn.XLOOKUP(E494,'Wk no''s'!B:B,'Wk no''s'!C:C,FALSE)</f>
        <v>17</v>
      </c>
    </row>
    <row r="495" spans="1:7" x14ac:dyDescent="0.25">
      <c r="A495" s="71" t="s">
        <v>768</v>
      </c>
      <c r="B495" s="71"/>
      <c r="C495" s="71">
        <v>100</v>
      </c>
      <c r="D495" s="71" t="s">
        <v>281</v>
      </c>
      <c r="E495" s="70">
        <v>45772</v>
      </c>
      <c r="F495" s="71" t="s">
        <v>16</v>
      </c>
      <c r="G495" s="71">
        <f>_xlfn.XLOOKUP(E495,'Wk no''s'!B:B,'Wk no''s'!C:C,FALSE)</f>
        <v>17</v>
      </c>
    </row>
    <row r="496" spans="1:7" x14ac:dyDescent="0.25">
      <c r="A496" s="71" t="s">
        <v>778</v>
      </c>
      <c r="B496" s="70">
        <v>45775</v>
      </c>
      <c r="C496" s="71">
        <v>100</v>
      </c>
      <c r="D496" s="71" t="s">
        <v>19</v>
      </c>
      <c r="E496" s="70">
        <v>45772</v>
      </c>
      <c r="F496" s="71" t="s">
        <v>16</v>
      </c>
      <c r="G496" s="71">
        <f>_xlfn.XLOOKUP(E496,'Wk no''s'!B:B,'Wk no''s'!C:C,FALSE)</f>
        <v>17</v>
      </c>
    </row>
    <row r="497" spans="1:7" x14ac:dyDescent="0.25">
      <c r="A497" s="71" t="s">
        <v>779</v>
      </c>
      <c r="B497" s="70">
        <v>45772</v>
      </c>
      <c r="C497" s="71">
        <v>100</v>
      </c>
      <c r="D497" s="71" t="s">
        <v>19</v>
      </c>
      <c r="E497" s="70">
        <v>45772</v>
      </c>
      <c r="F497" s="71" t="s">
        <v>16</v>
      </c>
      <c r="G497" s="71">
        <f>_xlfn.XLOOKUP(E497,'Wk no''s'!B:B,'Wk no''s'!C:C,FALSE)</f>
        <v>17</v>
      </c>
    </row>
    <row r="498" spans="1:7" x14ac:dyDescent="0.25">
      <c r="A498" s="71" t="s">
        <v>770</v>
      </c>
      <c r="B498" s="70">
        <v>45772</v>
      </c>
      <c r="C498" s="71">
        <v>100</v>
      </c>
      <c r="D498" s="71" t="s">
        <v>281</v>
      </c>
      <c r="E498" s="70">
        <v>45772</v>
      </c>
      <c r="F498" s="71" t="s">
        <v>16</v>
      </c>
      <c r="G498" s="71">
        <f>_xlfn.XLOOKUP(E498,'Wk no''s'!B:B,'Wk no''s'!C:C,FALSE)</f>
        <v>17</v>
      </c>
    </row>
    <row r="499" spans="1:7" x14ac:dyDescent="0.25">
      <c r="A499" s="71" t="s">
        <v>781</v>
      </c>
      <c r="B499" s="71"/>
      <c r="C499" s="71">
        <v>100</v>
      </c>
      <c r="D499" s="71" t="s">
        <v>19</v>
      </c>
      <c r="E499" s="70">
        <v>45772</v>
      </c>
      <c r="F499" s="71" t="s">
        <v>16</v>
      </c>
      <c r="G499" s="71">
        <f>_xlfn.XLOOKUP(E499,'Wk no''s'!B:B,'Wk no''s'!C:C,FALSE)</f>
        <v>17</v>
      </c>
    </row>
    <row r="500" spans="1:7" x14ac:dyDescent="0.25">
      <c r="A500" s="71" t="s">
        <v>783</v>
      </c>
      <c r="B500" s="70">
        <v>45769</v>
      </c>
      <c r="C500" s="71">
        <v>0</v>
      </c>
      <c r="D500" s="71" t="s">
        <v>50</v>
      </c>
      <c r="E500" s="70">
        <v>45770</v>
      </c>
      <c r="F500" s="71" t="s">
        <v>47</v>
      </c>
      <c r="G500" s="71">
        <f>_xlfn.XLOOKUP(E500,'Wk no''s'!B:B,'Wk no''s'!C:C,FALSE)</f>
        <v>17</v>
      </c>
    </row>
    <row r="501" spans="1:7" x14ac:dyDescent="0.25">
      <c r="A501" s="71" t="s">
        <v>782</v>
      </c>
      <c r="B501" s="71"/>
      <c r="C501" s="71">
        <v>100</v>
      </c>
      <c r="D501" s="71" t="s">
        <v>50</v>
      </c>
      <c r="E501" s="70">
        <v>45772</v>
      </c>
      <c r="F501" s="71" t="s">
        <v>47</v>
      </c>
      <c r="G501" s="71">
        <f>_xlfn.XLOOKUP(E501,'Wk no''s'!B:B,'Wk no''s'!C:C,FALSE)</f>
        <v>17</v>
      </c>
    </row>
    <row r="502" spans="1:7" x14ac:dyDescent="0.25">
      <c r="A502" s="71" t="s">
        <v>784</v>
      </c>
      <c r="B502" s="70">
        <v>45772</v>
      </c>
      <c r="C502" s="71">
        <v>100</v>
      </c>
      <c r="D502" s="71" t="s">
        <v>50</v>
      </c>
      <c r="E502" s="70">
        <v>45772</v>
      </c>
      <c r="F502" s="71" t="s">
        <v>47</v>
      </c>
      <c r="G502" s="71">
        <f>_xlfn.XLOOKUP(E502,'Wk no''s'!B:B,'Wk no''s'!C:C,FALSE)</f>
        <v>17</v>
      </c>
    </row>
    <row r="503" spans="1:7" x14ac:dyDescent="0.25">
      <c r="A503" s="71" t="s">
        <v>786</v>
      </c>
      <c r="B503" s="71"/>
      <c r="C503" s="71">
        <v>100</v>
      </c>
      <c r="D503" s="71" t="s">
        <v>50</v>
      </c>
      <c r="E503" s="70">
        <v>45772</v>
      </c>
      <c r="F503" s="71" t="s">
        <v>47</v>
      </c>
      <c r="G503" s="71">
        <f>_xlfn.XLOOKUP(E503,'Wk no''s'!B:B,'Wk no''s'!C:C,FALSE)</f>
        <v>17</v>
      </c>
    </row>
    <row r="504" spans="1:7" x14ac:dyDescent="0.25">
      <c r="A504" s="71" t="s">
        <v>787</v>
      </c>
      <c r="B504" s="70">
        <v>45771</v>
      </c>
      <c r="C504" s="71">
        <v>100</v>
      </c>
      <c r="D504" s="71" t="s">
        <v>50</v>
      </c>
      <c r="E504" s="70">
        <v>45771</v>
      </c>
      <c r="F504" s="71" t="s">
        <v>11</v>
      </c>
      <c r="G504" s="71">
        <f>_xlfn.XLOOKUP(E504,'Wk no''s'!B:B,'Wk no''s'!C:C,FALSE)</f>
        <v>17</v>
      </c>
    </row>
    <row r="505" spans="1:7" x14ac:dyDescent="0.25">
      <c r="A505" s="71" t="s">
        <v>788</v>
      </c>
      <c r="B505" s="70">
        <v>45764</v>
      </c>
      <c r="C505" s="71">
        <v>0</v>
      </c>
      <c r="D505" s="71" t="s">
        <v>19</v>
      </c>
      <c r="E505" s="70">
        <v>45770</v>
      </c>
      <c r="F505" s="71" t="s">
        <v>72</v>
      </c>
      <c r="G505" s="71">
        <f>_xlfn.XLOOKUP(E505,'Wk no''s'!B:B,'Wk no''s'!C:C,FALSE)</f>
        <v>17</v>
      </c>
    </row>
    <row r="506" spans="1:7" x14ac:dyDescent="0.25">
      <c r="A506" s="71" t="s">
        <v>789</v>
      </c>
      <c r="B506" s="70">
        <v>45772</v>
      </c>
      <c r="C506" s="71">
        <v>100</v>
      </c>
      <c r="D506" s="71" t="s">
        <v>19</v>
      </c>
      <c r="E506" s="70">
        <v>45771</v>
      </c>
      <c r="F506" s="71" t="s">
        <v>72</v>
      </c>
      <c r="G506" s="71">
        <f>_xlfn.XLOOKUP(E506,'Wk no''s'!B:B,'Wk no''s'!C:C,FALSE)</f>
        <v>17</v>
      </c>
    </row>
    <row r="507" spans="1:7" x14ac:dyDescent="0.25">
      <c r="A507" s="71" t="s">
        <v>796</v>
      </c>
      <c r="B507" s="70">
        <v>45775</v>
      </c>
      <c r="C507" s="71">
        <v>0</v>
      </c>
      <c r="D507" s="71" t="s">
        <v>19</v>
      </c>
      <c r="E507" s="70">
        <v>45776</v>
      </c>
      <c r="F507" s="71" t="s">
        <v>16</v>
      </c>
      <c r="G507" s="71">
        <f>_xlfn.XLOOKUP(E507,'Wk no''s'!B:B,'Wk no''s'!C:C,FALSE)</f>
        <v>18</v>
      </c>
    </row>
    <row r="508" spans="1:7" x14ac:dyDescent="0.25">
      <c r="A508" s="71" t="s">
        <v>808</v>
      </c>
      <c r="B508" s="70">
        <v>45778</v>
      </c>
      <c r="C508" s="71">
        <v>0</v>
      </c>
      <c r="D508" s="71" t="s">
        <v>19</v>
      </c>
      <c r="E508" s="70">
        <v>45779</v>
      </c>
      <c r="F508" s="71" t="s">
        <v>16</v>
      </c>
      <c r="G508" s="71">
        <f>_xlfn.XLOOKUP(E508,'Wk no''s'!B:B,'Wk no''s'!C:C,FALSE)</f>
        <v>18</v>
      </c>
    </row>
    <row r="509" spans="1:7" x14ac:dyDescent="0.25">
      <c r="A509" s="71" t="s">
        <v>792</v>
      </c>
      <c r="B509" s="70">
        <v>45776</v>
      </c>
      <c r="C509" s="71">
        <v>100</v>
      </c>
      <c r="D509" s="71" t="s">
        <v>19</v>
      </c>
      <c r="E509" s="70">
        <v>45776</v>
      </c>
      <c r="F509" s="71" t="s">
        <v>16</v>
      </c>
      <c r="G509" s="71">
        <f>_xlfn.XLOOKUP(E509,'Wk no''s'!B:B,'Wk no''s'!C:C,FALSE)</f>
        <v>18</v>
      </c>
    </row>
    <row r="510" spans="1:7" x14ac:dyDescent="0.25">
      <c r="A510" s="71" t="s">
        <v>794</v>
      </c>
      <c r="B510" s="71"/>
      <c r="C510" s="71">
        <v>100</v>
      </c>
      <c r="D510" s="71" t="s">
        <v>19</v>
      </c>
      <c r="E510" s="70">
        <v>45779</v>
      </c>
      <c r="F510" s="71" t="s">
        <v>16</v>
      </c>
      <c r="G510" s="71">
        <f>_xlfn.XLOOKUP(E510,'Wk no''s'!B:B,'Wk no''s'!C:C,FALSE)</f>
        <v>18</v>
      </c>
    </row>
    <row r="511" spans="1:7" x14ac:dyDescent="0.25">
      <c r="A511" s="71" t="s">
        <v>797</v>
      </c>
      <c r="B511" s="70">
        <v>45775</v>
      </c>
      <c r="C511" s="71">
        <v>100</v>
      </c>
      <c r="D511" s="71" t="s">
        <v>19</v>
      </c>
      <c r="E511" s="70">
        <v>45775</v>
      </c>
      <c r="F511" s="71" t="s">
        <v>16</v>
      </c>
      <c r="G511" s="71">
        <f>_xlfn.XLOOKUP(E511,'Wk no''s'!B:B,'Wk no''s'!C:C,FALSE)</f>
        <v>18</v>
      </c>
    </row>
    <row r="512" spans="1:7" x14ac:dyDescent="0.25">
      <c r="A512" s="71" t="s">
        <v>799</v>
      </c>
      <c r="B512" s="70">
        <v>45775</v>
      </c>
      <c r="C512" s="71">
        <v>100</v>
      </c>
      <c r="D512" s="71" t="s">
        <v>19</v>
      </c>
      <c r="E512" s="70">
        <v>45775</v>
      </c>
      <c r="F512" s="71" t="s">
        <v>16</v>
      </c>
      <c r="G512" s="71">
        <f>_xlfn.XLOOKUP(E512,'Wk no''s'!B:B,'Wk no''s'!C:C,FALSE)</f>
        <v>18</v>
      </c>
    </row>
    <row r="513" spans="1:7" x14ac:dyDescent="0.25">
      <c r="A513" s="71" t="s">
        <v>800</v>
      </c>
      <c r="B513" s="70">
        <v>45776</v>
      </c>
      <c r="C513" s="71">
        <v>100</v>
      </c>
      <c r="D513" s="71" t="s">
        <v>19</v>
      </c>
      <c r="E513" s="70">
        <v>45775</v>
      </c>
      <c r="F513" s="71" t="s">
        <v>16</v>
      </c>
      <c r="G513" s="71">
        <f>_xlfn.XLOOKUP(E513,'Wk no''s'!B:B,'Wk no''s'!C:C,FALSE)</f>
        <v>18</v>
      </c>
    </row>
    <row r="514" spans="1:7" x14ac:dyDescent="0.25">
      <c r="A514" s="71" t="s">
        <v>802</v>
      </c>
      <c r="B514" s="70">
        <v>45777</v>
      </c>
      <c r="C514" s="71">
        <v>100</v>
      </c>
      <c r="D514" s="71" t="s">
        <v>19</v>
      </c>
      <c r="E514" s="70">
        <v>45776</v>
      </c>
      <c r="F514" s="71" t="s">
        <v>16</v>
      </c>
      <c r="G514" s="71">
        <f>_xlfn.XLOOKUP(E514,'Wk no''s'!B:B,'Wk no''s'!C:C,FALSE)</f>
        <v>18</v>
      </c>
    </row>
    <row r="515" spans="1:7" x14ac:dyDescent="0.25">
      <c r="A515" s="71" t="s">
        <v>803</v>
      </c>
      <c r="B515" s="70">
        <v>45783</v>
      </c>
      <c r="C515" s="71">
        <v>100</v>
      </c>
      <c r="D515" s="71" t="s">
        <v>19</v>
      </c>
      <c r="E515" s="70">
        <v>45776</v>
      </c>
      <c r="F515" s="71" t="s">
        <v>16</v>
      </c>
      <c r="G515" s="71">
        <f>_xlfn.XLOOKUP(E515,'Wk no''s'!B:B,'Wk no''s'!C:C,FALSE)</f>
        <v>18</v>
      </c>
    </row>
    <row r="516" spans="1:7" x14ac:dyDescent="0.25">
      <c r="A516" s="71" t="s">
        <v>804</v>
      </c>
      <c r="B516" s="70">
        <v>45779</v>
      </c>
      <c r="C516" s="71">
        <v>100</v>
      </c>
      <c r="D516" s="71" t="s">
        <v>19</v>
      </c>
      <c r="E516" s="70">
        <v>45779</v>
      </c>
      <c r="F516" s="71" t="s">
        <v>16</v>
      </c>
      <c r="G516" s="71">
        <f>_xlfn.XLOOKUP(E516,'Wk no''s'!B:B,'Wk no''s'!C:C,FALSE)</f>
        <v>18</v>
      </c>
    </row>
    <row r="517" spans="1:7" x14ac:dyDescent="0.25">
      <c r="A517" s="71" t="s">
        <v>806</v>
      </c>
      <c r="B517" s="70">
        <v>45779</v>
      </c>
      <c r="C517" s="71">
        <v>100</v>
      </c>
      <c r="D517" s="71" t="s">
        <v>19</v>
      </c>
      <c r="E517" s="70">
        <v>45779</v>
      </c>
      <c r="F517" s="71" t="s">
        <v>16</v>
      </c>
      <c r="G517" s="71">
        <f>_xlfn.XLOOKUP(E517,'Wk no''s'!B:B,'Wk no''s'!C:C,FALSE)</f>
        <v>18</v>
      </c>
    </row>
    <row r="518" spans="1:7" x14ac:dyDescent="0.25">
      <c r="A518" s="71" t="s">
        <v>790</v>
      </c>
      <c r="B518" s="70">
        <v>45779</v>
      </c>
      <c r="C518" s="71">
        <v>100</v>
      </c>
      <c r="D518" s="71" t="s">
        <v>281</v>
      </c>
      <c r="E518" s="70">
        <v>45779</v>
      </c>
      <c r="F518" s="71" t="s">
        <v>16</v>
      </c>
      <c r="G518" s="71">
        <f>_xlfn.XLOOKUP(E518,'Wk no''s'!B:B,'Wk no''s'!C:C,FALSE)</f>
        <v>18</v>
      </c>
    </row>
    <row r="519" spans="1:7" x14ac:dyDescent="0.25">
      <c r="A519" s="71" t="s">
        <v>810</v>
      </c>
      <c r="B519" s="70">
        <v>45779</v>
      </c>
      <c r="C519" s="71">
        <v>100</v>
      </c>
      <c r="D519" s="71" t="s">
        <v>50</v>
      </c>
      <c r="E519" s="70">
        <v>45779</v>
      </c>
      <c r="F519" s="71" t="s">
        <v>16</v>
      </c>
      <c r="G519" s="71">
        <f>_xlfn.XLOOKUP(E519,'Wk no''s'!B:B,'Wk no''s'!C:C,FALSE)</f>
        <v>18</v>
      </c>
    </row>
    <row r="520" spans="1:7" x14ac:dyDescent="0.25">
      <c r="A520" s="71" t="s">
        <v>817</v>
      </c>
      <c r="B520" s="70">
        <v>45775</v>
      </c>
      <c r="C520" s="71">
        <v>0</v>
      </c>
      <c r="D520" s="71" t="s">
        <v>50</v>
      </c>
      <c r="E520" s="70">
        <v>45777</v>
      </c>
      <c r="F520" s="71" t="s">
        <v>47</v>
      </c>
      <c r="G520" s="71">
        <f>_xlfn.XLOOKUP(E520,'Wk no''s'!B:B,'Wk no''s'!C:C,FALSE)</f>
        <v>18</v>
      </c>
    </row>
    <row r="521" spans="1:7" x14ac:dyDescent="0.25">
      <c r="A521" s="71" t="s">
        <v>818</v>
      </c>
      <c r="B521" s="70">
        <v>45776</v>
      </c>
      <c r="C521" s="71">
        <v>100</v>
      </c>
      <c r="D521" s="71" t="s">
        <v>50</v>
      </c>
      <c r="E521" s="70">
        <v>45776</v>
      </c>
      <c r="F521" s="71" t="s">
        <v>47</v>
      </c>
      <c r="G521" s="71">
        <f>_xlfn.XLOOKUP(E521,'Wk no''s'!B:B,'Wk no''s'!C:C,FALSE)</f>
        <v>18</v>
      </c>
    </row>
    <row r="522" spans="1:7" x14ac:dyDescent="0.25">
      <c r="A522" s="71" t="s">
        <v>812</v>
      </c>
      <c r="B522" s="71"/>
      <c r="C522" s="71">
        <v>100</v>
      </c>
      <c r="D522" s="71" t="s">
        <v>19</v>
      </c>
      <c r="E522" s="70">
        <v>45776</v>
      </c>
      <c r="F522" s="71" t="s">
        <v>47</v>
      </c>
      <c r="G522" s="71">
        <f>_xlfn.XLOOKUP(E522,'Wk no''s'!B:B,'Wk no''s'!C:C,FALSE)</f>
        <v>18</v>
      </c>
    </row>
    <row r="523" spans="1:7" x14ac:dyDescent="0.25">
      <c r="A523" s="71" t="s">
        <v>815</v>
      </c>
      <c r="B523" s="70">
        <v>45777</v>
      </c>
      <c r="C523" s="71">
        <v>100</v>
      </c>
      <c r="D523" s="71" t="s">
        <v>19</v>
      </c>
      <c r="E523" s="70">
        <v>45775</v>
      </c>
      <c r="F523" s="71" t="s">
        <v>47</v>
      </c>
      <c r="G523" s="71">
        <f>_xlfn.XLOOKUP(E523,'Wk no''s'!B:B,'Wk no''s'!C:C,FALSE)</f>
        <v>18</v>
      </c>
    </row>
    <row r="524" spans="1:7" x14ac:dyDescent="0.25">
      <c r="A524" s="71" t="s">
        <v>819</v>
      </c>
      <c r="B524" s="70">
        <v>45776</v>
      </c>
      <c r="C524" s="71">
        <v>100</v>
      </c>
      <c r="D524" s="71" t="s">
        <v>50</v>
      </c>
      <c r="E524" s="70">
        <v>45775</v>
      </c>
      <c r="F524" s="71" t="s">
        <v>47</v>
      </c>
      <c r="G524" s="71">
        <f>_xlfn.XLOOKUP(E524,'Wk no''s'!B:B,'Wk no''s'!C:C,FALSE)</f>
        <v>18</v>
      </c>
    </row>
    <row r="525" spans="1:7" x14ac:dyDescent="0.25">
      <c r="A525" s="71" t="s">
        <v>820</v>
      </c>
      <c r="B525" s="70">
        <v>45784</v>
      </c>
      <c r="C525" s="71">
        <v>100</v>
      </c>
      <c r="D525" s="71" t="s">
        <v>50</v>
      </c>
      <c r="E525" s="70">
        <v>45779</v>
      </c>
      <c r="F525" s="71" t="s">
        <v>47</v>
      </c>
      <c r="G525" s="71">
        <f>_xlfn.XLOOKUP(E525,'Wk no''s'!B:B,'Wk no''s'!C:C,FALSE)</f>
        <v>18</v>
      </c>
    </row>
    <row r="526" spans="1:7" x14ac:dyDescent="0.25">
      <c r="A526" s="71" t="s">
        <v>821</v>
      </c>
      <c r="B526" s="70">
        <v>45779</v>
      </c>
      <c r="C526" s="71">
        <v>100</v>
      </c>
      <c r="D526" s="71" t="s">
        <v>50</v>
      </c>
      <c r="E526" s="70">
        <v>45779</v>
      </c>
      <c r="F526" s="71" t="s">
        <v>47</v>
      </c>
      <c r="G526" s="71">
        <f>_xlfn.XLOOKUP(E526,'Wk no''s'!B:B,'Wk no''s'!C:C,FALSE)</f>
        <v>18</v>
      </c>
    </row>
    <row r="527" spans="1:7" x14ac:dyDescent="0.25">
      <c r="A527" s="71" t="s">
        <v>822</v>
      </c>
      <c r="B527" s="70">
        <v>45785</v>
      </c>
      <c r="C527" s="71">
        <v>100</v>
      </c>
      <c r="D527" s="71" t="s">
        <v>50</v>
      </c>
      <c r="E527" s="70">
        <v>45778</v>
      </c>
      <c r="F527" s="71" t="s">
        <v>47</v>
      </c>
      <c r="G527" s="71">
        <f>_xlfn.XLOOKUP(E527,'Wk no''s'!B:B,'Wk no''s'!C:C,FALSE)</f>
        <v>18</v>
      </c>
    </row>
    <row r="528" spans="1:7" x14ac:dyDescent="0.25">
      <c r="A528" s="71" t="s">
        <v>825</v>
      </c>
      <c r="B528" s="70">
        <v>45779</v>
      </c>
      <c r="C528" s="71">
        <v>100</v>
      </c>
      <c r="D528" s="71" t="s">
        <v>50</v>
      </c>
      <c r="E528" s="70">
        <v>45779</v>
      </c>
      <c r="F528" s="71" t="s">
        <v>11</v>
      </c>
      <c r="G528" s="71">
        <f>_xlfn.XLOOKUP(E528,'Wk no''s'!B:B,'Wk no''s'!C:C,FALSE)</f>
        <v>18</v>
      </c>
    </row>
    <row r="529" spans="1:7" x14ac:dyDescent="0.25">
      <c r="A529" s="71" t="s">
        <v>826</v>
      </c>
      <c r="B529" s="70">
        <v>45779</v>
      </c>
      <c r="C529" s="71">
        <v>100</v>
      </c>
      <c r="D529" s="71" t="s">
        <v>50</v>
      </c>
      <c r="E529" s="70">
        <v>45779</v>
      </c>
      <c r="F529" s="71" t="s">
        <v>11</v>
      </c>
      <c r="G529" s="71">
        <f>_xlfn.XLOOKUP(E529,'Wk no''s'!B:B,'Wk no''s'!C:C,FALSE)</f>
        <v>18</v>
      </c>
    </row>
    <row r="530" spans="1:7" x14ac:dyDescent="0.25">
      <c r="A530" s="71" t="s">
        <v>827</v>
      </c>
      <c r="B530" s="70">
        <v>45783</v>
      </c>
      <c r="C530" s="71">
        <v>100</v>
      </c>
      <c r="D530" s="71" t="s">
        <v>50</v>
      </c>
      <c r="E530" s="70">
        <v>45776</v>
      </c>
      <c r="F530" s="71" t="s">
        <v>11</v>
      </c>
      <c r="G530" s="71">
        <f>_xlfn.XLOOKUP(E530,'Wk no''s'!B:B,'Wk no''s'!C:C,FALSE)</f>
        <v>18</v>
      </c>
    </row>
    <row r="531" spans="1:7" x14ac:dyDescent="0.25">
      <c r="A531" s="71" t="s">
        <v>823</v>
      </c>
      <c r="B531" s="70">
        <v>45777</v>
      </c>
      <c r="C531" s="71">
        <v>100</v>
      </c>
      <c r="D531" s="71" t="s">
        <v>12</v>
      </c>
      <c r="E531" s="70">
        <v>45776</v>
      </c>
      <c r="F531" s="71" t="s">
        <v>11</v>
      </c>
      <c r="G531" s="71">
        <f>_xlfn.XLOOKUP(E531,'Wk no''s'!B:B,'Wk no''s'!C:C,FALSE)</f>
        <v>18</v>
      </c>
    </row>
    <row r="532" spans="1:7" x14ac:dyDescent="0.25">
      <c r="A532" s="71" t="s">
        <v>829</v>
      </c>
      <c r="B532" s="70">
        <v>45776</v>
      </c>
      <c r="C532" s="71">
        <v>100</v>
      </c>
      <c r="D532" s="71" t="s">
        <v>50</v>
      </c>
      <c r="E532" s="70">
        <v>45776</v>
      </c>
      <c r="F532" s="71" t="s">
        <v>11</v>
      </c>
      <c r="G532" s="71">
        <f>_xlfn.XLOOKUP(E532,'Wk no''s'!B:B,'Wk no''s'!C:C,FALSE)</f>
        <v>18</v>
      </c>
    </row>
    <row r="533" spans="1:7" x14ac:dyDescent="0.25">
      <c r="A533" s="71" t="s">
        <v>830</v>
      </c>
      <c r="B533" s="70">
        <v>45775</v>
      </c>
      <c r="C533" s="71">
        <v>100</v>
      </c>
      <c r="D533" s="71" t="s">
        <v>50</v>
      </c>
      <c r="E533" s="70">
        <v>45775</v>
      </c>
      <c r="F533" s="71" t="s">
        <v>11</v>
      </c>
      <c r="G533" s="71">
        <f>_xlfn.XLOOKUP(E533,'Wk no''s'!B:B,'Wk no''s'!C:C,FALSE)</f>
        <v>18</v>
      </c>
    </row>
    <row r="534" spans="1:7" x14ac:dyDescent="0.25">
      <c r="A534" s="71" t="s">
        <v>824</v>
      </c>
      <c r="B534" s="70">
        <v>45777</v>
      </c>
      <c r="C534" s="71">
        <v>100</v>
      </c>
      <c r="D534" s="71" t="s">
        <v>12</v>
      </c>
      <c r="E534" s="70">
        <v>45777</v>
      </c>
      <c r="F534" s="71" t="s">
        <v>11</v>
      </c>
      <c r="G534" s="71">
        <f>_xlfn.XLOOKUP(E534,'Wk no''s'!B:B,'Wk no''s'!C:C,FALSE)</f>
        <v>18</v>
      </c>
    </row>
    <row r="535" spans="1:7" x14ac:dyDescent="0.25">
      <c r="A535" s="71" t="s">
        <v>831</v>
      </c>
      <c r="B535" s="71"/>
      <c r="C535" s="71">
        <v>100</v>
      </c>
      <c r="D535" s="71" t="s">
        <v>50</v>
      </c>
      <c r="E535" s="70">
        <v>45778</v>
      </c>
      <c r="F535" s="71" t="s">
        <v>11</v>
      </c>
      <c r="G535" s="71">
        <f>_xlfn.XLOOKUP(E535,'Wk no''s'!B:B,'Wk no''s'!C:C,FALSE)</f>
        <v>18</v>
      </c>
    </row>
    <row r="536" spans="1:7" x14ac:dyDescent="0.25">
      <c r="A536" s="71" t="s">
        <v>832</v>
      </c>
      <c r="B536" s="70">
        <v>45776</v>
      </c>
      <c r="C536" s="71">
        <v>100</v>
      </c>
      <c r="D536" s="71" t="s">
        <v>19</v>
      </c>
      <c r="E536" s="70">
        <v>45776</v>
      </c>
      <c r="F536" s="71" t="s">
        <v>72</v>
      </c>
      <c r="G536" s="71">
        <f>_xlfn.XLOOKUP(E536,'Wk no''s'!B:B,'Wk no''s'!C:C,FALSE)</f>
        <v>18</v>
      </c>
    </row>
    <row r="537" spans="1:7" x14ac:dyDescent="0.25">
      <c r="A537" s="71" t="s">
        <v>833</v>
      </c>
      <c r="B537" s="70">
        <v>45777</v>
      </c>
      <c r="C537" s="71">
        <v>100</v>
      </c>
      <c r="D537" s="71" t="s">
        <v>19</v>
      </c>
      <c r="E537" s="70">
        <v>45777</v>
      </c>
      <c r="F537" s="71" t="s">
        <v>72</v>
      </c>
      <c r="G537" s="71">
        <f>_xlfn.XLOOKUP(E537,'Wk no''s'!B:B,'Wk no''s'!C:C,FALSE)</f>
        <v>18</v>
      </c>
    </row>
    <row r="538" spans="1:7" x14ac:dyDescent="0.25">
      <c r="A538" s="71" t="s">
        <v>834</v>
      </c>
      <c r="B538" s="70">
        <v>45777</v>
      </c>
      <c r="C538" s="71">
        <v>100</v>
      </c>
      <c r="D538" s="71" t="s">
        <v>19</v>
      </c>
      <c r="E538" s="70">
        <v>45777</v>
      </c>
      <c r="F538" s="71" t="s">
        <v>72</v>
      </c>
      <c r="G538" s="71">
        <f>_xlfn.XLOOKUP(E538,'Wk no''s'!B:B,'Wk no''s'!C:C,FALSE)</f>
        <v>18</v>
      </c>
    </row>
    <row r="539" spans="1:7" x14ac:dyDescent="0.25">
      <c r="A539" s="71" t="s">
        <v>844</v>
      </c>
      <c r="B539" s="70">
        <v>45783</v>
      </c>
      <c r="C539" s="71">
        <v>0</v>
      </c>
      <c r="D539" s="71" t="s">
        <v>19</v>
      </c>
      <c r="E539" s="70">
        <v>45784</v>
      </c>
      <c r="F539" s="71" t="s">
        <v>16</v>
      </c>
      <c r="G539" s="71">
        <f>_xlfn.XLOOKUP(E539,'Wk no''s'!B:B,'Wk no''s'!C:C,FALSE)</f>
        <v>19</v>
      </c>
    </row>
    <row r="540" spans="1:7" x14ac:dyDescent="0.25">
      <c r="A540" s="71" t="s">
        <v>846</v>
      </c>
      <c r="B540" s="70">
        <v>45784</v>
      </c>
      <c r="C540" s="71">
        <v>0</v>
      </c>
      <c r="D540" s="71" t="s">
        <v>19</v>
      </c>
      <c r="E540" s="70">
        <v>45785</v>
      </c>
      <c r="F540" s="71" t="s">
        <v>16</v>
      </c>
      <c r="G540" s="71">
        <f>_xlfn.XLOOKUP(E540,'Wk no''s'!B:B,'Wk no''s'!C:C,FALSE)</f>
        <v>19</v>
      </c>
    </row>
    <row r="541" spans="1:7" x14ac:dyDescent="0.25">
      <c r="A541" s="71" t="s">
        <v>847</v>
      </c>
      <c r="B541" s="70">
        <v>45784</v>
      </c>
      <c r="C541" s="71">
        <v>0</v>
      </c>
      <c r="D541" s="71" t="s">
        <v>19</v>
      </c>
      <c r="E541" s="70">
        <v>45785</v>
      </c>
      <c r="F541" s="71" t="s">
        <v>16</v>
      </c>
      <c r="G541" s="71">
        <f>_xlfn.XLOOKUP(E541,'Wk no''s'!B:B,'Wk no''s'!C:C,FALSE)</f>
        <v>19</v>
      </c>
    </row>
    <row r="542" spans="1:7" x14ac:dyDescent="0.25">
      <c r="A542" s="71" t="s">
        <v>840</v>
      </c>
      <c r="B542" s="70">
        <v>45784</v>
      </c>
      <c r="C542" s="71">
        <v>100</v>
      </c>
      <c r="D542" s="71" t="s">
        <v>19</v>
      </c>
      <c r="E542" s="70">
        <v>45783</v>
      </c>
      <c r="F542" s="71" t="s">
        <v>16</v>
      </c>
      <c r="G542" s="71">
        <f>_xlfn.XLOOKUP(E542,'Wk no''s'!B:B,'Wk no''s'!C:C,FALSE)</f>
        <v>19</v>
      </c>
    </row>
    <row r="543" spans="1:7" x14ac:dyDescent="0.25">
      <c r="A543" s="71" t="s">
        <v>842</v>
      </c>
      <c r="B543" s="70">
        <v>45786</v>
      </c>
      <c r="C543" s="71">
        <v>100</v>
      </c>
      <c r="D543" s="71" t="s">
        <v>19</v>
      </c>
      <c r="E543" s="70">
        <v>45786</v>
      </c>
      <c r="F543" s="71" t="s">
        <v>16</v>
      </c>
      <c r="G543" s="71">
        <f>_xlfn.XLOOKUP(E543,'Wk no''s'!B:B,'Wk no''s'!C:C,FALSE)</f>
        <v>19</v>
      </c>
    </row>
    <row r="544" spans="1:7" x14ac:dyDescent="0.25">
      <c r="A544" s="71" t="s">
        <v>835</v>
      </c>
      <c r="B544" s="70">
        <v>45783</v>
      </c>
      <c r="C544" s="71">
        <v>100</v>
      </c>
      <c r="D544" s="71" t="s">
        <v>12</v>
      </c>
      <c r="E544" s="70">
        <v>45783</v>
      </c>
      <c r="F544" s="71" t="s">
        <v>16</v>
      </c>
      <c r="G544" s="71">
        <f>_xlfn.XLOOKUP(E544,'Wk no''s'!B:B,'Wk no''s'!C:C,FALSE)</f>
        <v>19</v>
      </c>
    </row>
    <row r="545" spans="1:7" x14ac:dyDescent="0.25">
      <c r="A545" s="71" t="s">
        <v>845</v>
      </c>
      <c r="B545" s="70">
        <v>45785</v>
      </c>
      <c r="C545" s="71">
        <v>100</v>
      </c>
      <c r="D545" s="71" t="s">
        <v>19</v>
      </c>
      <c r="E545" s="70">
        <v>45784</v>
      </c>
      <c r="F545" s="71" t="s">
        <v>16</v>
      </c>
      <c r="G545" s="71">
        <f>_xlfn.XLOOKUP(E545,'Wk no''s'!B:B,'Wk no''s'!C:C,FALSE)</f>
        <v>19</v>
      </c>
    </row>
    <row r="546" spans="1:7" x14ac:dyDescent="0.25">
      <c r="A546" s="71" t="s">
        <v>837</v>
      </c>
      <c r="B546" s="70">
        <v>45784</v>
      </c>
      <c r="C546" s="71">
        <v>100</v>
      </c>
      <c r="D546" s="71" t="s">
        <v>12</v>
      </c>
      <c r="E546" s="70">
        <v>45784</v>
      </c>
      <c r="F546" s="71" t="s">
        <v>16</v>
      </c>
      <c r="G546" s="71">
        <f>_xlfn.XLOOKUP(E546,'Wk no''s'!B:B,'Wk no''s'!C:C,FALSE)</f>
        <v>19</v>
      </c>
    </row>
    <row r="547" spans="1:7" x14ac:dyDescent="0.25">
      <c r="A547" s="71" t="s">
        <v>848</v>
      </c>
      <c r="B547" s="70">
        <v>45786</v>
      </c>
      <c r="C547" s="71">
        <v>100</v>
      </c>
      <c r="D547" s="71" t="s">
        <v>19</v>
      </c>
      <c r="E547" s="70">
        <v>45786</v>
      </c>
      <c r="F547" s="71" t="s">
        <v>16</v>
      </c>
      <c r="G547" s="71">
        <f>_xlfn.XLOOKUP(E547,'Wk no''s'!B:B,'Wk no''s'!C:C,FALSE)</f>
        <v>19</v>
      </c>
    </row>
    <row r="548" spans="1:7" x14ac:dyDescent="0.25">
      <c r="A548" s="71" t="s">
        <v>850</v>
      </c>
      <c r="B548" s="70">
        <v>45786</v>
      </c>
      <c r="C548" s="71">
        <v>100</v>
      </c>
      <c r="D548" s="71" t="s">
        <v>19</v>
      </c>
      <c r="E548" s="70">
        <v>45786</v>
      </c>
      <c r="F548" s="71" t="s">
        <v>16</v>
      </c>
      <c r="G548" s="71">
        <f>_xlfn.XLOOKUP(E548,'Wk no''s'!B:B,'Wk no''s'!C:C,FALSE)</f>
        <v>19</v>
      </c>
    </row>
    <row r="549" spans="1:7" x14ac:dyDescent="0.25">
      <c r="A549" s="71" t="s">
        <v>852</v>
      </c>
      <c r="B549" s="70">
        <v>45785</v>
      </c>
      <c r="C549" s="71">
        <v>100</v>
      </c>
      <c r="D549" s="71" t="s">
        <v>19</v>
      </c>
      <c r="E549" s="70">
        <v>45785</v>
      </c>
      <c r="F549" s="71" t="s">
        <v>16</v>
      </c>
      <c r="G549" s="71">
        <f>_xlfn.XLOOKUP(E549,'Wk no''s'!B:B,'Wk no''s'!C:C,FALSE)</f>
        <v>19</v>
      </c>
    </row>
    <row r="550" spans="1:7" x14ac:dyDescent="0.25">
      <c r="A550" s="71" t="s">
        <v>839</v>
      </c>
      <c r="B550" s="70">
        <v>45785</v>
      </c>
      <c r="C550" s="71">
        <v>100</v>
      </c>
      <c r="D550" s="71" t="s">
        <v>12</v>
      </c>
      <c r="E550" s="70">
        <v>45785</v>
      </c>
      <c r="F550" s="71" t="s">
        <v>16</v>
      </c>
      <c r="G550" s="71">
        <f>_xlfn.XLOOKUP(E550,'Wk no''s'!B:B,'Wk no''s'!C:C,FALSE)</f>
        <v>19</v>
      </c>
    </row>
    <row r="551" spans="1:7" x14ac:dyDescent="0.25">
      <c r="A551" s="71" t="s">
        <v>853</v>
      </c>
      <c r="B551" s="71"/>
      <c r="C551" s="71">
        <v>100</v>
      </c>
      <c r="D551" s="71" t="s">
        <v>19</v>
      </c>
      <c r="E551" s="70">
        <v>45786</v>
      </c>
      <c r="F551" s="71" t="s">
        <v>16</v>
      </c>
      <c r="G551" s="71">
        <f>_xlfn.XLOOKUP(E551,'Wk no''s'!B:B,'Wk no''s'!C:C,FALSE)</f>
        <v>19</v>
      </c>
    </row>
    <row r="552" spans="1:7" x14ac:dyDescent="0.25">
      <c r="A552" s="71" t="s">
        <v>854</v>
      </c>
      <c r="B552" s="70">
        <v>45782</v>
      </c>
      <c r="C552" s="71">
        <v>0</v>
      </c>
      <c r="D552" s="71" t="s">
        <v>19</v>
      </c>
      <c r="E552" s="70">
        <v>45783</v>
      </c>
      <c r="F552" s="71" t="s">
        <v>41</v>
      </c>
      <c r="G552" s="71">
        <f>_xlfn.XLOOKUP(E552,'Wk no''s'!B:B,'Wk no''s'!C:C,FALSE)</f>
        <v>19</v>
      </c>
    </row>
    <row r="553" spans="1:7" x14ac:dyDescent="0.25">
      <c r="A553" s="71" t="s">
        <v>856</v>
      </c>
      <c r="B553" s="70">
        <v>45709</v>
      </c>
      <c r="C553" s="71">
        <v>0</v>
      </c>
      <c r="D553" s="71" t="s">
        <v>19</v>
      </c>
      <c r="E553" s="70">
        <v>45785</v>
      </c>
      <c r="F553" s="71" t="s">
        <v>47</v>
      </c>
      <c r="G553" s="71">
        <f>_xlfn.XLOOKUP(E553,'Wk no''s'!B:B,'Wk no''s'!C:C,FALSE)</f>
        <v>19</v>
      </c>
    </row>
    <row r="554" spans="1:7" x14ac:dyDescent="0.25">
      <c r="A554" s="71" t="s">
        <v>861</v>
      </c>
      <c r="B554" s="70">
        <v>45779</v>
      </c>
      <c r="C554" s="71">
        <v>0</v>
      </c>
      <c r="D554" s="71" t="s">
        <v>50</v>
      </c>
      <c r="E554" s="70">
        <v>45783</v>
      </c>
      <c r="F554" s="71" t="s">
        <v>47</v>
      </c>
      <c r="G554" s="71">
        <f>_xlfn.XLOOKUP(E554,'Wk no''s'!B:B,'Wk no''s'!C:C,FALSE)</f>
        <v>19</v>
      </c>
    </row>
    <row r="555" spans="1:7" x14ac:dyDescent="0.25">
      <c r="A555" s="71" t="s">
        <v>863</v>
      </c>
      <c r="B555" s="70">
        <v>45784</v>
      </c>
      <c r="C555" s="71">
        <v>100</v>
      </c>
      <c r="D555" s="71" t="s">
        <v>50</v>
      </c>
      <c r="E555" s="70">
        <v>45784</v>
      </c>
      <c r="F555" s="71" t="s">
        <v>47</v>
      </c>
      <c r="G555" s="71">
        <f>_xlfn.XLOOKUP(E555,'Wk no''s'!B:B,'Wk no''s'!C:C,FALSE)</f>
        <v>19</v>
      </c>
    </row>
    <row r="556" spans="1:7" x14ac:dyDescent="0.25">
      <c r="A556" s="71" t="s">
        <v>857</v>
      </c>
      <c r="B556" s="70">
        <v>45789</v>
      </c>
      <c r="C556" s="71">
        <v>100</v>
      </c>
      <c r="D556" s="71" t="s">
        <v>19</v>
      </c>
      <c r="E556" s="70">
        <v>45786</v>
      </c>
      <c r="F556" s="71" t="s">
        <v>47</v>
      </c>
      <c r="G556" s="71">
        <f>_xlfn.XLOOKUP(E556,'Wk no''s'!B:B,'Wk no''s'!C:C,FALSE)</f>
        <v>19</v>
      </c>
    </row>
    <row r="557" spans="1:7" x14ac:dyDescent="0.25">
      <c r="A557" s="71" t="s">
        <v>858</v>
      </c>
      <c r="B557" s="70">
        <v>45783</v>
      </c>
      <c r="C557" s="71">
        <v>100</v>
      </c>
      <c r="D557" s="71" t="s">
        <v>19</v>
      </c>
      <c r="E557" s="70">
        <v>45783</v>
      </c>
      <c r="F557" s="71" t="s">
        <v>47</v>
      </c>
      <c r="G557" s="71">
        <f>_xlfn.XLOOKUP(E557,'Wk no''s'!B:B,'Wk no''s'!C:C,FALSE)</f>
        <v>19</v>
      </c>
    </row>
    <row r="558" spans="1:7" x14ac:dyDescent="0.25">
      <c r="A558" s="71" t="s">
        <v>860</v>
      </c>
      <c r="B558" s="70">
        <v>45785</v>
      </c>
      <c r="C558" s="71">
        <v>100</v>
      </c>
      <c r="D558" s="71" t="s">
        <v>19</v>
      </c>
      <c r="E558" s="70">
        <v>45785</v>
      </c>
      <c r="F558" s="71" t="s">
        <v>47</v>
      </c>
      <c r="G558" s="71">
        <f>_xlfn.XLOOKUP(E558,'Wk no''s'!B:B,'Wk no''s'!C:C,FALSE)</f>
        <v>19</v>
      </c>
    </row>
    <row r="559" spans="1:7" x14ac:dyDescent="0.25">
      <c r="A559" s="71" t="s">
        <v>864</v>
      </c>
      <c r="B559" s="70">
        <v>45784</v>
      </c>
      <c r="C559" s="71">
        <v>100</v>
      </c>
      <c r="D559" s="71" t="s">
        <v>50</v>
      </c>
      <c r="E559" s="70">
        <v>45784</v>
      </c>
      <c r="F559" s="71" t="s">
        <v>47</v>
      </c>
      <c r="G559" s="71">
        <f>_xlfn.XLOOKUP(E559,'Wk no''s'!B:B,'Wk no''s'!C:C,FALSE)</f>
        <v>19</v>
      </c>
    </row>
    <row r="560" spans="1:7" x14ac:dyDescent="0.25">
      <c r="A560" s="71" t="s">
        <v>871</v>
      </c>
      <c r="B560" s="70">
        <v>45783</v>
      </c>
      <c r="C560" s="71">
        <v>0</v>
      </c>
      <c r="D560" s="71" t="s">
        <v>19</v>
      </c>
      <c r="E560" s="70">
        <v>45785</v>
      </c>
      <c r="F560" s="71" t="s">
        <v>11</v>
      </c>
      <c r="G560" s="71">
        <f>_xlfn.XLOOKUP(E560,'Wk no''s'!B:B,'Wk no''s'!C:C,FALSE)</f>
        <v>19</v>
      </c>
    </row>
    <row r="561" spans="1:7" x14ac:dyDescent="0.25">
      <c r="A561" s="71" t="s">
        <v>873</v>
      </c>
      <c r="B561" s="70">
        <v>45784</v>
      </c>
      <c r="C561" s="71">
        <v>0</v>
      </c>
      <c r="D561" s="71" t="s">
        <v>50</v>
      </c>
      <c r="E561" s="70">
        <v>45785</v>
      </c>
      <c r="F561" s="71" t="s">
        <v>11</v>
      </c>
      <c r="G561" s="71">
        <f>_xlfn.XLOOKUP(E561,'Wk no''s'!B:B,'Wk no''s'!C:C,FALSE)</f>
        <v>19</v>
      </c>
    </row>
    <row r="562" spans="1:7" x14ac:dyDescent="0.25">
      <c r="A562" s="71" t="s">
        <v>876</v>
      </c>
      <c r="B562" s="70">
        <v>45782</v>
      </c>
      <c r="C562" s="71">
        <v>0</v>
      </c>
      <c r="D562" s="71" t="s">
        <v>50</v>
      </c>
      <c r="E562" s="70">
        <v>45784</v>
      </c>
      <c r="F562" s="71" t="s">
        <v>11</v>
      </c>
      <c r="G562" s="71">
        <f>_xlfn.XLOOKUP(E562,'Wk no''s'!B:B,'Wk no''s'!C:C,FALSE)</f>
        <v>19</v>
      </c>
    </row>
    <row r="563" spans="1:7" x14ac:dyDescent="0.25">
      <c r="A563" s="71" t="s">
        <v>865</v>
      </c>
      <c r="B563" s="71"/>
      <c r="C563" s="71">
        <v>100</v>
      </c>
      <c r="D563" s="71" t="s">
        <v>12</v>
      </c>
      <c r="E563" s="70">
        <v>45784</v>
      </c>
      <c r="F563" s="71" t="s">
        <v>11</v>
      </c>
      <c r="G563" s="71">
        <f>_xlfn.XLOOKUP(E563,'Wk no''s'!B:B,'Wk no''s'!C:C,FALSE)</f>
        <v>19</v>
      </c>
    </row>
    <row r="564" spans="1:7" x14ac:dyDescent="0.25">
      <c r="A564" s="71" t="s">
        <v>866</v>
      </c>
      <c r="B564" s="70">
        <v>45786</v>
      </c>
      <c r="C564" s="71">
        <v>100</v>
      </c>
      <c r="D564" s="71" t="s">
        <v>12</v>
      </c>
      <c r="E564" s="70">
        <v>45786</v>
      </c>
      <c r="F564" s="71" t="s">
        <v>11</v>
      </c>
      <c r="G564" s="71">
        <f>_xlfn.XLOOKUP(E564,'Wk no''s'!B:B,'Wk no''s'!C:C,FALSE)</f>
        <v>19</v>
      </c>
    </row>
    <row r="565" spans="1:7" x14ac:dyDescent="0.25">
      <c r="A565" s="71" t="s">
        <v>875</v>
      </c>
      <c r="B565" s="70">
        <v>45782</v>
      </c>
      <c r="C565" s="71">
        <v>100</v>
      </c>
      <c r="D565" s="71" t="s">
        <v>50</v>
      </c>
      <c r="E565" s="70">
        <v>45782</v>
      </c>
      <c r="F565" s="71" t="s">
        <v>11</v>
      </c>
      <c r="G565" s="71">
        <f>_xlfn.XLOOKUP(E565,'Wk no''s'!B:B,'Wk no''s'!C:C,FALSE)</f>
        <v>19</v>
      </c>
    </row>
    <row r="566" spans="1:7" x14ac:dyDescent="0.25">
      <c r="A566" s="71" t="s">
        <v>868</v>
      </c>
      <c r="B566" s="70">
        <v>45785</v>
      </c>
      <c r="C566" s="71">
        <v>100</v>
      </c>
      <c r="D566" s="71" t="s">
        <v>12</v>
      </c>
      <c r="E566" s="70">
        <v>45785</v>
      </c>
      <c r="F566" s="71" t="s">
        <v>11</v>
      </c>
      <c r="G566" s="71">
        <f>_xlfn.XLOOKUP(E566,'Wk no''s'!B:B,'Wk no''s'!C:C,FALSE)</f>
        <v>19</v>
      </c>
    </row>
    <row r="567" spans="1:7" x14ac:dyDescent="0.25">
      <c r="A567" s="71" t="s">
        <v>877</v>
      </c>
      <c r="B567" s="70">
        <v>45783</v>
      </c>
      <c r="C567" s="71">
        <v>100</v>
      </c>
      <c r="D567" s="71" t="s">
        <v>50</v>
      </c>
      <c r="E567" s="70">
        <v>45783</v>
      </c>
      <c r="F567" s="71" t="s">
        <v>11</v>
      </c>
      <c r="G567" s="71">
        <f>_xlfn.XLOOKUP(E567,'Wk no''s'!B:B,'Wk no''s'!C:C,FALSE)</f>
        <v>19</v>
      </c>
    </row>
    <row r="568" spans="1:7" x14ac:dyDescent="0.25">
      <c r="A568" s="71" t="s">
        <v>879</v>
      </c>
      <c r="B568" s="70">
        <v>45785</v>
      </c>
      <c r="C568" s="71">
        <v>100</v>
      </c>
      <c r="D568" s="71" t="s">
        <v>50</v>
      </c>
      <c r="E568" s="70">
        <v>45785</v>
      </c>
      <c r="F568" s="71" t="s">
        <v>11</v>
      </c>
      <c r="G568" s="71">
        <f>_xlfn.XLOOKUP(E568,'Wk no''s'!B:B,'Wk no''s'!C:C,FALSE)</f>
        <v>19</v>
      </c>
    </row>
    <row r="569" spans="1:7" x14ac:dyDescent="0.25">
      <c r="A569" s="71" t="s">
        <v>869</v>
      </c>
      <c r="B569" s="70">
        <v>45786</v>
      </c>
      <c r="C569" s="71">
        <v>100</v>
      </c>
      <c r="D569" s="71" t="s">
        <v>12</v>
      </c>
      <c r="E569" s="70">
        <v>45786</v>
      </c>
      <c r="F569" s="71" t="s">
        <v>11</v>
      </c>
      <c r="G569" s="71">
        <f>_xlfn.XLOOKUP(E569,'Wk no''s'!B:B,'Wk no''s'!C:C,FALSE)</f>
        <v>19</v>
      </c>
    </row>
    <row r="570" spans="1:7" x14ac:dyDescent="0.25">
      <c r="A570" s="71" t="s">
        <v>881</v>
      </c>
      <c r="B570" s="70">
        <v>45779</v>
      </c>
      <c r="C570" s="71">
        <v>0</v>
      </c>
      <c r="D570" s="71" t="s">
        <v>19</v>
      </c>
      <c r="E570" s="70">
        <v>45785</v>
      </c>
      <c r="F570" s="71" t="s">
        <v>72</v>
      </c>
      <c r="G570" s="71">
        <f>_xlfn.XLOOKUP(E570,'Wk no''s'!B:B,'Wk no''s'!C:C,FALSE)</f>
        <v>19</v>
      </c>
    </row>
    <row r="571" spans="1:7" x14ac:dyDescent="0.25">
      <c r="A571" s="71" t="s">
        <v>885</v>
      </c>
      <c r="B571" s="70">
        <v>45785</v>
      </c>
      <c r="C571" s="71">
        <v>100</v>
      </c>
      <c r="D571" s="71" t="s">
        <v>50</v>
      </c>
      <c r="E571" s="70">
        <v>45785</v>
      </c>
      <c r="F571" s="71" t="s">
        <v>72</v>
      </c>
      <c r="G571" s="71">
        <f>_xlfn.XLOOKUP(E571,'Wk no''s'!B:B,'Wk no''s'!C:C,FALSE)</f>
        <v>19</v>
      </c>
    </row>
    <row r="572" spans="1:7" x14ac:dyDescent="0.25">
      <c r="A572" s="71" t="s">
        <v>882</v>
      </c>
      <c r="B572" s="70">
        <v>45791</v>
      </c>
      <c r="C572" s="71">
        <v>100</v>
      </c>
      <c r="D572" s="71" t="s">
        <v>19</v>
      </c>
      <c r="E572" s="70">
        <v>45785</v>
      </c>
      <c r="F572" s="71" t="s">
        <v>72</v>
      </c>
      <c r="G572" s="71">
        <f>_xlfn.XLOOKUP(E572,'Wk no''s'!B:B,'Wk no''s'!C:C,FALSE)</f>
        <v>19</v>
      </c>
    </row>
    <row r="573" spans="1:7" x14ac:dyDescent="0.25">
      <c r="A573" s="71" t="s">
        <v>912</v>
      </c>
      <c r="B573" s="70">
        <v>45786</v>
      </c>
      <c r="C573" s="71">
        <v>0</v>
      </c>
      <c r="D573" s="71" t="s">
        <v>19</v>
      </c>
      <c r="E573" s="70">
        <v>45790</v>
      </c>
      <c r="F573" s="71" t="s">
        <v>16</v>
      </c>
      <c r="G573" s="71">
        <f>_xlfn.XLOOKUP(E573,'Wk no''s'!B:B,'Wk no''s'!C:C,FALSE)</f>
        <v>20</v>
      </c>
    </row>
    <row r="574" spans="1:7" x14ac:dyDescent="0.25">
      <c r="A574" s="71" t="s">
        <v>917</v>
      </c>
      <c r="B574" s="70">
        <v>45790</v>
      </c>
      <c r="C574" s="71">
        <v>0</v>
      </c>
      <c r="D574" s="71" t="s">
        <v>19</v>
      </c>
      <c r="E574" s="70">
        <v>45792</v>
      </c>
      <c r="F574" s="71" t="s">
        <v>16</v>
      </c>
      <c r="G574" s="71">
        <f>_xlfn.XLOOKUP(E574,'Wk no''s'!B:B,'Wk no''s'!C:C,FALSE)</f>
        <v>20</v>
      </c>
    </row>
    <row r="575" spans="1:7" x14ac:dyDescent="0.25">
      <c r="A575" s="71" t="s">
        <v>911</v>
      </c>
      <c r="B575" s="70">
        <v>45789</v>
      </c>
      <c r="C575" s="71">
        <v>100</v>
      </c>
      <c r="D575" s="71" t="s">
        <v>19</v>
      </c>
      <c r="E575" s="70">
        <v>45789</v>
      </c>
      <c r="F575" s="71" t="s">
        <v>16</v>
      </c>
      <c r="G575" s="71">
        <f>_xlfn.XLOOKUP(E575,'Wk no''s'!B:B,'Wk no''s'!C:C,FALSE)</f>
        <v>20</v>
      </c>
    </row>
    <row r="576" spans="1:7" x14ac:dyDescent="0.25">
      <c r="A576" s="71" t="s">
        <v>913</v>
      </c>
      <c r="B576" s="70">
        <v>45791</v>
      </c>
      <c r="C576" s="71">
        <v>100</v>
      </c>
      <c r="D576" s="71" t="s">
        <v>19</v>
      </c>
      <c r="E576" s="70">
        <v>45791</v>
      </c>
      <c r="F576" s="71" t="s">
        <v>16</v>
      </c>
      <c r="G576" s="71">
        <f>_xlfn.XLOOKUP(E576,'Wk no''s'!B:B,'Wk no''s'!C:C,FALSE)</f>
        <v>20</v>
      </c>
    </row>
    <row r="577" spans="1:7" x14ac:dyDescent="0.25">
      <c r="A577" s="71" t="s">
        <v>914</v>
      </c>
      <c r="B577" s="70">
        <v>45789</v>
      </c>
      <c r="C577" s="71">
        <v>100</v>
      </c>
      <c r="D577" s="71" t="s">
        <v>19</v>
      </c>
      <c r="E577" s="70">
        <v>45789</v>
      </c>
      <c r="F577" s="71" t="s">
        <v>16</v>
      </c>
      <c r="G577" s="71">
        <f>_xlfn.XLOOKUP(E577,'Wk no''s'!B:B,'Wk no''s'!C:C,FALSE)</f>
        <v>20</v>
      </c>
    </row>
    <row r="578" spans="1:7" x14ac:dyDescent="0.25">
      <c r="A578" s="71" t="s">
        <v>915</v>
      </c>
      <c r="B578" s="70">
        <v>45793</v>
      </c>
      <c r="C578" s="71">
        <v>100</v>
      </c>
      <c r="D578" s="71" t="s">
        <v>19</v>
      </c>
      <c r="E578" s="70">
        <v>45793</v>
      </c>
      <c r="F578" s="71" t="s">
        <v>16</v>
      </c>
      <c r="G578" s="71">
        <f>_xlfn.XLOOKUP(E578,'Wk no''s'!B:B,'Wk no''s'!C:C,FALSE)</f>
        <v>20</v>
      </c>
    </row>
    <row r="579" spans="1:7" x14ac:dyDescent="0.25">
      <c r="A579" s="71" t="s">
        <v>918</v>
      </c>
      <c r="B579" s="70">
        <v>45793</v>
      </c>
      <c r="C579" s="71">
        <v>100</v>
      </c>
      <c r="D579" s="71" t="s">
        <v>19</v>
      </c>
      <c r="E579" s="70">
        <v>45792</v>
      </c>
      <c r="F579" s="71" t="s">
        <v>16</v>
      </c>
      <c r="G579" s="71">
        <f>_xlfn.XLOOKUP(E579,'Wk no''s'!B:B,'Wk no''s'!C:C,FALSE)</f>
        <v>20</v>
      </c>
    </row>
    <row r="580" spans="1:7" x14ac:dyDescent="0.25">
      <c r="A580" s="71" t="s">
        <v>920</v>
      </c>
      <c r="B580" s="70">
        <v>45791</v>
      </c>
      <c r="C580" s="71">
        <v>100</v>
      </c>
      <c r="D580" s="71" t="s">
        <v>19</v>
      </c>
      <c r="E580" s="70">
        <v>45791</v>
      </c>
      <c r="F580" s="71" t="s">
        <v>16</v>
      </c>
      <c r="G580" s="71">
        <f>_xlfn.XLOOKUP(E580,'Wk no''s'!B:B,'Wk no''s'!C:C,FALSE)</f>
        <v>20</v>
      </c>
    </row>
    <row r="581" spans="1:7" x14ac:dyDescent="0.25">
      <c r="A581" s="71" t="s">
        <v>921</v>
      </c>
      <c r="B581" s="70">
        <v>45793</v>
      </c>
      <c r="C581" s="71">
        <v>100</v>
      </c>
      <c r="D581" s="71" t="s">
        <v>19</v>
      </c>
      <c r="E581" s="70">
        <v>45793</v>
      </c>
      <c r="F581" s="71" t="s">
        <v>16</v>
      </c>
      <c r="G581" s="71">
        <f>_xlfn.XLOOKUP(E581,'Wk no''s'!B:B,'Wk no''s'!C:C,FALSE)</f>
        <v>20</v>
      </c>
    </row>
    <row r="582" spans="1:7" x14ac:dyDescent="0.25">
      <c r="A582" s="71" t="s">
        <v>922</v>
      </c>
      <c r="B582" s="70">
        <v>45793</v>
      </c>
      <c r="C582" s="71">
        <v>100</v>
      </c>
      <c r="D582" s="71" t="s">
        <v>19</v>
      </c>
      <c r="E582" s="70">
        <v>45793</v>
      </c>
      <c r="F582" s="71" t="s">
        <v>16</v>
      </c>
      <c r="G582" s="71">
        <f>_xlfn.XLOOKUP(E582,'Wk no''s'!B:B,'Wk no''s'!C:C,FALSE)</f>
        <v>20</v>
      </c>
    </row>
    <row r="583" spans="1:7" x14ac:dyDescent="0.25">
      <c r="A583" s="71" t="s">
        <v>923</v>
      </c>
      <c r="B583" s="70">
        <v>45793</v>
      </c>
      <c r="C583" s="71">
        <v>100</v>
      </c>
      <c r="D583" s="71" t="s">
        <v>19</v>
      </c>
      <c r="E583" s="70">
        <v>45793</v>
      </c>
      <c r="F583" s="71" t="s">
        <v>16</v>
      </c>
      <c r="G583" s="71">
        <f>_xlfn.XLOOKUP(E583,'Wk no''s'!B:B,'Wk no''s'!C:C,FALSE)</f>
        <v>20</v>
      </c>
    </row>
    <row r="584" spans="1:7" x14ac:dyDescent="0.25">
      <c r="A584" s="71" t="s">
        <v>924</v>
      </c>
      <c r="B584" s="70">
        <v>45793</v>
      </c>
      <c r="C584" s="71">
        <v>100</v>
      </c>
      <c r="D584" s="71" t="s">
        <v>19</v>
      </c>
      <c r="E584" s="70">
        <v>45793</v>
      </c>
      <c r="F584" s="71" t="s">
        <v>16</v>
      </c>
      <c r="G584" s="71">
        <f>_xlfn.XLOOKUP(E584,'Wk no''s'!B:B,'Wk no''s'!C:C,FALSE)</f>
        <v>20</v>
      </c>
    </row>
    <row r="585" spans="1:7" x14ac:dyDescent="0.25">
      <c r="A585" s="71" t="s">
        <v>925</v>
      </c>
      <c r="B585" s="70">
        <v>45793</v>
      </c>
      <c r="C585" s="71">
        <v>100</v>
      </c>
      <c r="D585" s="71" t="s">
        <v>19</v>
      </c>
      <c r="E585" s="70">
        <v>45793</v>
      </c>
      <c r="F585" s="71" t="s">
        <v>16</v>
      </c>
      <c r="G585" s="71">
        <f>_xlfn.XLOOKUP(E585,'Wk no''s'!B:B,'Wk no''s'!C:C,FALSE)</f>
        <v>20</v>
      </c>
    </row>
    <row r="586" spans="1:7" x14ac:dyDescent="0.25">
      <c r="A586" s="71" t="s">
        <v>926</v>
      </c>
      <c r="B586" s="71"/>
      <c r="C586" s="71">
        <v>100</v>
      </c>
      <c r="D586" s="71" t="s">
        <v>19</v>
      </c>
      <c r="E586" s="70">
        <v>45792</v>
      </c>
      <c r="F586" s="71" t="s">
        <v>41</v>
      </c>
      <c r="G586" s="71">
        <f>_xlfn.XLOOKUP(E586,'Wk no''s'!B:B,'Wk no''s'!C:C,FALSE)</f>
        <v>20</v>
      </c>
    </row>
    <row r="587" spans="1:7" x14ac:dyDescent="0.25">
      <c r="A587" s="71" t="s">
        <v>928</v>
      </c>
      <c r="B587" s="70">
        <v>45790</v>
      </c>
      <c r="C587" s="71">
        <v>0</v>
      </c>
      <c r="D587" s="71" t="s">
        <v>50</v>
      </c>
      <c r="E587" s="70">
        <v>45791</v>
      </c>
      <c r="F587" s="71" t="s">
        <v>47</v>
      </c>
      <c r="G587" s="71">
        <f>_xlfn.XLOOKUP(E587,'Wk no''s'!B:B,'Wk no''s'!C:C,FALSE)</f>
        <v>20</v>
      </c>
    </row>
    <row r="588" spans="1:7" x14ac:dyDescent="0.25">
      <c r="A588" s="71" t="s">
        <v>930</v>
      </c>
      <c r="B588" s="70">
        <v>45791</v>
      </c>
      <c r="C588" s="71">
        <v>0</v>
      </c>
      <c r="D588" s="71" t="s">
        <v>50</v>
      </c>
      <c r="E588" s="70">
        <v>45793</v>
      </c>
      <c r="F588" s="71" t="s">
        <v>47</v>
      </c>
      <c r="G588" s="71">
        <f>_xlfn.XLOOKUP(E588,'Wk no''s'!B:B,'Wk no''s'!C:C,FALSE)</f>
        <v>20</v>
      </c>
    </row>
    <row r="589" spans="1:7" x14ac:dyDescent="0.25">
      <c r="A589" s="71" t="s">
        <v>927</v>
      </c>
      <c r="B589" s="70">
        <v>45793</v>
      </c>
      <c r="C589" s="71">
        <v>100</v>
      </c>
      <c r="D589" s="71" t="s">
        <v>50</v>
      </c>
      <c r="E589" s="70">
        <v>45793</v>
      </c>
      <c r="F589" s="71" t="s">
        <v>47</v>
      </c>
      <c r="G589" s="71">
        <f>_xlfn.XLOOKUP(E589,'Wk no''s'!B:B,'Wk no''s'!C:C,FALSE)</f>
        <v>20</v>
      </c>
    </row>
    <row r="590" spans="1:7" x14ac:dyDescent="0.25">
      <c r="A590" s="71" t="s">
        <v>929</v>
      </c>
      <c r="B590" s="70">
        <v>45791</v>
      </c>
      <c r="C590" s="71">
        <v>100</v>
      </c>
      <c r="D590" s="71" t="s">
        <v>50</v>
      </c>
      <c r="E590" s="70">
        <v>45791</v>
      </c>
      <c r="F590" s="71" t="s">
        <v>47</v>
      </c>
      <c r="G590" s="71">
        <f>_xlfn.XLOOKUP(E590,'Wk no''s'!B:B,'Wk no''s'!C:C,FALSE)</f>
        <v>20</v>
      </c>
    </row>
    <row r="591" spans="1:7" x14ac:dyDescent="0.25">
      <c r="A591" s="71" t="s">
        <v>931</v>
      </c>
      <c r="B591" s="70">
        <v>45800</v>
      </c>
      <c r="C591" s="71">
        <v>100</v>
      </c>
      <c r="D591" s="71" t="s">
        <v>50</v>
      </c>
      <c r="E591" s="70">
        <v>45793</v>
      </c>
      <c r="F591" s="71" t="s">
        <v>47</v>
      </c>
      <c r="G591" s="71">
        <f>_xlfn.XLOOKUP(E591,'Wk no''s'!B:B,'Wk no''s'!C:C,FALSE)</f>
        <v>20</v>
      </c>
    </row>
    <row r="592" spans="1:7" x14ac:dyDescent="0.25">
      <c r="A592" s="71" t="s">
        <v>932</v>
      </c>
      <c r="B592" s="70">
        <v>45790</v>
      </c>
      <c r="C592" s="71">
        <v>100</v>
      </c>
      <c r="D592" s="71" t="s">
        <v>50</v>
      </c>
      <c r="E592" s="70">
        <v>45790</v>
      </c>
      <c r="F592" s="71" t="s">
        <v>47</v>
      </c>
      <c r="G592" s="71">
        <f>_xlfn.XLOOKUP(E592,'Wk no''s'!B:B,'Wk no''s'!C:C,FALSE)</f>
        <v>20</v>
      </c>
    </row>
    <row r="593" spans="1:7" x14ac:dyDescent="0.25">
      <c r="A593" s="71" t="s">
        <v>933</v>
      </c>
      <c r="B593" s="70">
        <v>45789</v>
      </c>
      <c r="C593" s="71">
        <v>100</v>
      </c>
      <c r="D593" s="71" t="s">
        <v>50</v>
      </c>
      <c r="E593" s="70">
        <v>45789</v>
      </c>
      <c r="F593" s="71" t="s">
        <v>47</v>
      </c>
      <c r="G593" s="71">
        <f>_xlfn.XLOOKUP(E593,'Wk no''s'!B:B,'Wk no''s'!C:C,FALSE)</f>
        <v>20</v>
      </c>
    </row>
    <row r="594" spans="1:7" x14ac:dyDescent="0.25">
      <c r="A594" s="71" t="s">
        <v>934</v>
      </c>
      <c r="B594" s="70">
        <v>45792</v>
      </c>
      <c r="C594" s="71">
        <v>100</v>
      </c>
      <c r="D594" s="71" t="s">
        <v>50</v>
      </c>
      <c r="E594" s="70">
        <v>45792</v>
      </c>
      <c r="F594" s="71" t="s">
        <v>47</v>
      </c>
      <c r="G594" s="71">
        <f>_xlfn.XLOOKUP(E594,'Wk no''s'!B:B,'Wk no''s'!C:C,FALSE)</f>
        <v>20</v>
      </c>
    </row>
    <row r="595" spans="1:7" x14ac:dyDescent="0.25">
      <c r="A595" s="71" t="s">
        <v>939</v>
      </c>
      <c r="B595" s="70">
        <v>45800</v>
      </c>
      <c r="C595" s="71">
        <v>100</v>
      </c>
      <c r="D595" s="71" t="s">
        <v>50</v>
      </c>
      <c r="E595" s="70">
        <v>45789</v>
      </c>
      <c r="F595" s="71" t="s">
        <v>11</v>
      </c>
      <c r="G595" s="71">
        <f>_xlfn.XLOOKUP(E595,'Wk no''s'!B:B,'Wk no''s'!C:C,FALSE)</f>
        <v>20</v>
      </c>
    </row>
    <row r="596" spans="1:7" x14ac:dyDescent="0.25">
      <c r="A596" s="71" t="s">
        <v>940</v>
      </c>
      <c r="B596" s="70">
        <v>45793</v>
      </c>
      <c r="C596" s="71">
        <v>100</v>
      </c>
      <c r="D596" s="71" t="s">
        <v>50</v>
      </c>
      <c r="E596" s="70">
        <v>45791</v>
      </c>
      <c r="F596" s="71" t="s">
        <v>11</v>
      </c>
      <c r="G596" s="71">
        <f>_xlfn.XLOOKUP(E596,'Wk no''s'!B:B,'Wk no''s'!C:C,FALSE)</f>
        <v>20</v>
      </c>
    </row>
    <row r="597" spans="1:7" x14ac:dyDescent="0.25">
      <c r="A597" s="71" t="s">
        <v>942</v>
      </c>
      <c r="B597" s="70">
        <v>45796</v>
      </c>
      <c r="C597" s="71">
        <v>100</v>
      </c>
      <c r="D597" s="71" t="s">
        <v>50</v>
      </c>
      <c r="E597" s="70">
        <v>45793</v>
      </c>
      <c r="F597" s="71" t="s">
        <v>11</v>
      </c>
      <c r="G597" s="71">
        <f>_xlfn.XLOOKUP(E597,'Wk no''s'!B:B,'Wk no''s'!C:C,FALSE)</f>
        <v>20</v>
      </c>
    </row>
    <row r="598" spans="1:7" x14ac:dyDescent="0.25">
      <c r="A598" s="71" t="s">
        <v>937</v>
      </c>
      <c r="B598" s="70">
        <v>45789</v>
      </c>
      <c r="C598" s="71">
        <v>100</v>
      </c>
      <c r="D598" s="71" t="s">
        <v>19</v>
      </c>
      <c r="E598" s="70">
        <v>45789</v>
      </c>
      <c r="F598" s="71" t="s">
        <v>11</v>
      </c>
      <c r="G598" s="71">
        <f>_xlfn.XLOOKUP(E598,'Wk no''s'!B:B,'Wk no''s'!C:C,FALSE)</f>
        <v>20</v>
      </c>
    </row>
    <row r="599" spans="1:7" x14ac:dyDescent="0.25">
      <c r="A599" s="71" t="s">
        <v>944</v>
      </c>
      <c r="B599" s="71"/>
      <c r="C599" s="71">
        <v>100</v>
      </c>
      <c r="D599" s="71" t="s">
        <v>50</v>
      </c>
      <c r="E599" s="70">
        <v>45791</v>
      </c>
      <c r="F599" s="71" t="s">
        <v>11</v>
      </c>
      <c r="G599" s="71">
        <f>_xlfn.XLOOKUP(E599,'Wk no''s'!B:B,'Wk no''s'!C:C,FALSE)</f>
        <v>20</v>
      </c>
    </row>
    <row r="600" spans="1:7" x14ac:dyDescent="0.25">
      <c r="A600" s="71" t="s">
        <v>935</v>
      </c>
      <c r="B600" s="70">
        <v>45792</v>
      </c>
      <c r="C600" s="71">
        <v>100</v>
      </c>
      <c r="D600" s="71" t="s">
        <v>12</v>
      </c>
      <c r="E600" s="70">
        <v>45792</v>
      </c>
      <c r="F600" s="71" t="s">
        <v>11</v>
      </c>
      <c r="G600" s="71">
        <f>_xlfn.XLOOKUP(E600,'Wk no''s'!B:B,'Wk no''s'!C:C,FALSE)</f>
        <v>20</v>
      </c>
    </row>
    <row r="601" spans="1:7" x14ac:dyDescent="0.25">
      <c r="A601" s="71" t="s">
        <v>936</v>
      </c>
      <c r="B601" s="70">
        <v>45792</v>
      </c>
      <c r="C601" s="71">
        <v>100</v>
      </c>
      <c r="D601" s="71" t="s">
        <v>12</v>
      </c>
      <c r="E601" s="70">
        <v>45792</v>
      </c>
      <c r="F601" s="71" t="s">
        <v>11</v>
      </c>
      <c r="G601" s="71">
        <f>_xlfn.XLOOKUP(E601,'Wk no''s'!B:B,'Wk no''s'!C:C,FALSE)</f>
        <v>20</v>
      </c>
    </row>
    <row r="602" spans="1:7" x14ac:dyDescent="0.25">
      <c r="A602" s="71" t="s">
        <v>945</v>
      </c>
      <c r="B602" s="70">
        <v>45786</v>
      </c>
      <c r="C602" s="71">
        <v>0</v>
      </c>
      <c r="D602" s="71" t="s">
        <v>19</v>
      </c>
      <c r="E602" s="70">
        <v>45789</v>
      </c>
      <c r="F602" s="71" t="s">
        <v>72</v>
      </c>
      <c r="G602" s="71">
        <f>_xlfn.XLOOKUP(E602,'Wk no''s'!B:B,'Wk no''s'!C:C,FALSE)</f>
        <v>20</v>
      </c>
    </row>
    <row r="603" spans="1:7" x14ac:dyDescent="0.25">
      <c r="A603" s="71" t="s">
        <v>883</v>
      </c>
      <c r="B603" s="70">
        <v>45789</v>
      </c>
      <c r="C603" s="71">
        <v>0</v>
      </c>
      <c r="D603" s="71" t="s">
        <v>19</v>
      </c>
      <c r="E603" s="70">
        <v>45790</v>
      </c>
      <c r="F603" s="71" t="s">
        <v>72</v>
      </c>
      <c r="G603" s="71">
        <f>_xlfn.XLOOKUP(E603,'Wk no''s'!B:B,'Wk no''s'!C:C,FALSE)</f>
        <v>20</v>
      </c>
    </row>
    <row r="604" spans="1:7" x14ac:dyDescent="0.25">
      <c r="A604" s="71" t="s">
        <v>950</v>
      </c>
      <c r="B604" s="70">
        <v>45791</v>
      </c>
      <c r="C604" s="71">
        <v>0</v>
      </c>
      <c r="D604" s="71" t="s">
        <v>19</v>
      </c>
      <c r="E604" s="70">
        <v>45792</v>
      </c>
      <c r="F604" s="71" t="s">
        <v>72</v>
      </c>
      <c r="G604" s="71">
        <f>_xlfn.XLOOKUP(E604,'Wk no''s'!B:B,'Wk no''s'!C:C,FALSE)</f>
        <v>20</v>
      </c>
    </row>
    <row r="605" spans="1:7" x14ac:dyDescent="0.25">
      <c r="A605" s="71" t="s">
        <v>947</v>
      </c>
      <c r="B605" s="70">
        <v>45798</v>
      </c>
      <c r="C605" s="71">
        <v>100</v>
      </c>
      <c r="D605" s="71" t="s">
        <v>19</v>
      </c>
      <c r="E605" s="70">
        <v>45793</v>
      </c>
      <c r="F605" s="71" t="s">
        <v>72</v>
      </c>
      <c r="G605" s="71">
        <f>_xlfn.XLOOKUP(E605,'Wk no''s'!B:B,'Wk no''s'!C:C,FALSE)</f>
        <v>20</v>
      </c>
    </row>
    <row r="606" spans="1:7" x14ac:dyDescent="0.25">
      <c r="A606" s="71" t="s">
        <v>949</v>
      </c>
      <c r="B606" s="70">
        <v>45792</v>
      </c>
      <c r="C606" s="71">
        <v>100</v>
      </c>
      <c r="D606" s="71" t="s">
        <v>19</v>
      </c>
      <c r="E606" s="70">
        <v>45792</v>
      </c>
      <c r="F606" s="71" t="s">
        <v>72</v>
      </c>
      <c r="G606" s="71">
        <f>_xlfn.XLOOKUP(E606,'Wk no''s'!B:B,'Wk no''s'!C:C,FALSE)</f>
        <v>20</v>
      </c>
    </row>
    <row r="607" spans="1:7" x14ac:dyDescent="0.25">
      <c r="A607" s="71" t="s">
        <v>953</v>
      </c>
      <c r="B607" s="70">
        <v>45793</v>
      </c>
      <c r="C607" s="71">
        <v>100</v>
      </c>
      <c r="D607" s="71" t="s">
        <v>50</v>
      </c>
      <c r="E607" s="70">
        <v>45792</v>
      </c>
      <c r="F607" s="71" t="s">
        <v>72</v>
      </c>
      <c r="G607" s="71">
        <f>_xlfn.XLOOKUP(E607,'Wk no''s'!B:B,'Wk no''s'!C:C,FALSE)</f>
        <v>20</v>
      </c>
    </row>
    <row r="608" spans="1:7" x14ac:dyDescent="0.25">
      <c r="A608" s="71" t="s">
        <v>954</v>
      </c>
      <c r="B608" s="70">
        <v>45796</v>
      </c>
      <c r="C608" s="71">
        <v>100</v>
      </c>
      <c r="D608" s="71" t="s">
        <v>50</v>
      </c>
      <c r="E608" s="70">
        <v>45791</v>
      </c>
      <c r="F608" s="71" t="s">
        <v>72</v>
      </c>
      <c r="G608" s="71">
        <f>_xlfn.XLOOKUP(E608,'Wk no''s'!B:B,'Wk no''s'!C:C,FALSE)</f>
        <v>20</v>
      </c>
    </row>
    <row r="609" spans="1:7" x14ac:dyDescent="0.25">
      <c r="A609" s="71" t="s">
        <v>952</v>
      </c>
      <c r="B609" s="70">
        <v>45800</v>
      </c>
      <c r="C609" s="71">
        <v>100</v>
      </c>
      <c r="D609" s="71" t="s">
        <v>19</v>
      </c>
      <c r="E609" s="70">
        <v>45792</v>
      </c>
      <c r="F609" s="71" t="s">
        <v>72</v>
      </c>
      <c r="G609" s="71">
        <f>_xlfn.XLOOKUP(E609,'Wk no''s'!B:B,'Wk no''s'!C:C,FALSE)</f>
        <v>20</v>
      </c>
    </row>
    <row r="610" spans="1:7" x14ac:dyDescent="0.25">
      <c r="A610" s="71" t="s">
        <v>1025</v>
      </c>
      <c r="B610" s="70">
        <v>45797</v>
      </c>
      <c r="C610" s="71">
        <v>0</v>
      </c>
      <c r="D610" s="71" t="s">
        <v>19</v>
      </c>
      <c r="E610" s="70">
        <v>45799</v>
      </c>
      <c r="F610" s="71" t="s">
        <v>16</v>
      </c>
      <c r="G610" s="71">
        <f>_xlfn.XLOOKUP(E610,'Wk no''s'!B:B,'Wk no''s'!C:C,FALSE)</f>
        <v>21</v>
      </c>
    </row>
    <row r="611" spans="1:7" x14ac:dyDescent="0.25">
      <c r="A611" s="71" t="s">
        <v>1026</v>
      </c>
      <c r="B611" s="70">
        <v>45798</v>
      </c>
      <c r="C611" s="71">
        <v>0</v>
      </c>
      <c r="D611" s="71" t="s">
        <v>19</v>
      </c>
      <c r="E611" s="70">
        <v>45799</v>
      </c>
      <c r="F611" s="71" t="s">
        <v>16</v>
      </c>
      <c r="G611" s="71">
        <f>_xlfn.XLOOKUP(E611,'Wk no''s'!B:B,'Wk no''s'!C:C,FALSE)</f>
        <v>21</v>
      </c>
    </row>
    <row r="612" spans="1:7" x14ac:dyDescent="0.25">
      <c r="A612" s="71" t="s">
        <v>1027</v>
      </c>
      <c r="B612" s="70">
        <v>45799</v>
      </c>
      <c r="C612" s="71">
        <v>0</v>
      </c>
      <c r="D612" s="71" t="s">
        <v>19</v>
      </c>
      <c r="E612" s="70">
        <v>45800</v>
      </c>
      <c r="F612" s="71" t="s">
        <v>16</v>
      </c>
      <c r="G612" s="71">
        <f>_xlfn.XLOOKUP(E612,'Wk no''s'!B:B,'Wk no''s'!C:C,FALSE)</f>
        <v>21</v>
      </c>
    </row>
    <row r="613" spans="1:7" x14ac:dyDescent="0.25">
      <c r="A613" s="71" t="s">
        <v>1028</v>
      </c>
      <c r="B613" s="70">
        <v>45797</v>
      </c>
      <c r="C613" s="71">
        <v>100</v>
      </c>
      <c r="D613" s="71" t="s">
        <v>19</v>
      </c>
      <c r="E613" s="70">
        <v>45797</v>
      </c>
      <c r="F613" s="71" t="s">
        <v>16</v>
      </c>
      <c r="G613" s="71">
        <f>_xlfn.XLOOKUP(E613,'Wk no''s'!B:B,'Wk no''s'!C:C,FALSE)</f>
        <v>21</v>
      </c>
    </row>
    <row r="614" spans="1:7" x14ac:dyDescent="0.25">
      <c r="A614" s="71" t="s">
        <v>1029</v>
      </c>
      <c r="B614" s="70">
        <v>45800</v>
      </c>
      <c r="C614" s="71">
        <v>100</v>
      </c>
      <c r="D614" s="71" t="s">
        <v>19</v>
      </c>
      <c r="E614" s="70">
        <v>45800</v>
      </c>
      <c r="F614" s="71" t="s">
        <v>16</v>
      </c>
      <c r="G614" s="71">
        <f>_xlfn.XLOOKUP(E614,'Wk no''s'!B:B,'Wk no''s'!C:C,FALSE)</f>
        <v>21</v>
      </c>
    </row>
    <row r="615" spans="1:7" x14ac:dyDescent="0.25">
      <c r="A615" s="71" t="s">
        <v>1030</v>
      </c>
      <c r="B615" s="70">
        <v>45797</v>
      </c>
      <c r="C615" s="71">
        <v>100</v>
      </c>
      <c r="D615" s="71" t="s">
        <v>19</v>
      </c>
      <c r="E615" s="70">
        <v>45797</v>
      </c>
      <c r="F615" s="71" t="s">
        <v>16</v>
      </c>
      <c r="G615" s="71">
        <f>_xlfn.XLOOKUP(E615,'Wk no''s'!B:B,'Wk no''s'!C:C,FALSE)</f>
        <v>21</v>
      </c>
    </row>
    <row r="616" spans="1:7" x14ac:dyDescent="0.25">
      <c r="A616" s="71" t="s">
        <v>1031</v>
      </c>
      <c r="B616" s="71"/>
      <c r="C616" s="71">
        <v>100</v>
      </c>
      <c r="D616" s="71" t="s">
        <v>19</v>
      </c>
      <c r="E616" s="70">
        <v>45797</v>
      </c>
      <c r="F616" s="71" t="s">
        <v>16</v>
      </c>
      <c r="G616" s="71">
        <f>_xlfn.XLOOKUP(E616,'Wk no''s'!B:B,'Wk no''s'!C:C,FALSE)</f>
        <v>21</v>
      </c>
    </row>
    <row r="617" spans="1:7" x14ac:dyDescent="0.25">
      <c r="A617" s="71" t="s">
        <v>1032</v>
      </c>
      <c r="B617" s="71"/>
      <c r="C617" s="71">
        <v>100</v>
      </c>
      <c r="D617" s="71" t="s">
        <v>19</v>
      </c>
      <c r="E617" s="70">
        <v>45796</v>
      </c>
      <c r="F617" s="71" t="s">
        <v>16</v>
      </c>
      <c r="G617" s="71">
        <f>_xlfn.XLOOKUP(E617,'Wk no''s'!B:B,'Wk no''s'!C:C,FALSE)</f>
        <v>21</v>
      </c>
    </row>
    <row r="618" spans="1:7" x14ac:dyDescent="0.25">
      <c r="A618" s="71" t="s">
        <v>1033</v>
      </c>
      <c r="B618" s="70">
        <v>45800</v>
      </c>
      <c r="C618" s="71">
        <v>100</v>
      </c>
      <c r="D618" s="71" t="s">
        <v>50</v>
      </c>
      <c r="E618" s="70">
        <v>45800</v>
      </c>
      <c r="F618" s="71" t="s">
        <v>16</v>
      </c>
      <c r="G618" s="71">
        <f>_xlfn.XLOOKUP(E618,'Wk no''s'!B:B,'Wk no''s'!C:C,FALSE)</f>
        <v>21</v>
      </c>
    </row>
    <row r="619" spans="1:7" x14ac:dyDescent="0.25">
      <c r="A619" s="71" t="s">
        <v>1034</v>
      </c>
      <c r="B619" s="71"/>
      <c r="C619" s="71">
        <v>100</v>
      </c>
      <c r="D619" s="71" t="s">
        <v>19</v>
      </c>
      <c r="E619" s="70">
        <v>45797</v>
      </c>
      <c r="F619" s="71" t="s">
        <v>16</v>
      </c>
      <c r="G619" s="71">
        <f>_xlfn.XLOOKUP(E619,'Wk no''s'!B:B,'Wk no''s'!C:C,FALSE)</f>
        <v>21</v>
      </c>
    </row>
    <row r="620" spans="1:7" x14ac:dyDescent="0.25">
      <c r="A620" s="71" t="s">
        <v>1035</v>
      </c>
      <c r="B620" s="70">
        <v>45799</v>
      </c>
      <c r="C620" s="71">
        <v>100</v>
      </c>
      <c r="D620" s="71" t="s">
        <v>19</v>
      </c>
      <c r="E620" s="70">
        <v>45799</v>
      </c>
      <c r="F620" s="71" t="s">
        <v>16</v>
      </c>
      <c r="G620" s="71">
        <f>_xlfn.XLOOKUP(E620,'Wk no''s'!B:B,'Wk no''s'!C:C,FALSE)</f>
        <v>21</v>
      </c>
    </row>
    <row r="621" spans="1:7" x14ac:dyDescent="0.25">
      <c r="A621" s="71" t="s">
        <v>1036</v>
      </c>
      <c r="B621" s="70">
        <v>45799</v>
      </c>
      <c r="C621" s="71">
        <v>100</v>
      </c>
      <c r="D621" s="71" t="s">
        <v>281</v>
      </c>
      <c r="E621" s="70">
        <v>45799</v>
      </c>
      <c r="F621" s="71" t="s">
        <v>16</v>
      </c>
      <c r="G621" s="71">
        <f>_xlfn.XLOOKUP(E621,'Wk no''s'!B:B,'Wk no''s'!C:C,FALSE)</f>
        <v>21</v>
      </c>
    </row>
    <row r="622" spans="1:7" x14ac:dyDescent="0.25">
      <c r="A622" s="71" t="s">
        <v>1037</v>
      </c>
      <c r="B622" s="70">
        <v>45800</v>
      </c>
      <c r="C622" s="71">
        <v>100</v>
      </c>
      <c r="D622" s="71" t="s">
        <v>19</v>
      </c>
      <c r="E622" s="70">
        <v>45800</v>
      </c>
      <c r="F622" s="71" t="s">
        <v>16</v>
      </c>
      <c r="G622" s="71">
        <f>_xlfn.XLOOKUP(E622,'Wk no''s'!B:B,'Wk no''s'!C:C,FALSE)</f>
        <v>21</v>
      </c>
    </row>
    <row r="623" spans="1:7" x14ac:dyDescent="0.25">
      <c r="A623" s="71" t="s">
        <v>1038</v>
      </c>
      <c r="B623" s="71"/>
      <c r="C623" s="71">
        <v>100</v>
      </c>
      <c r="D623" s="71" t="s">
        <v>19</v>
      </c>
      <c r="E623" s="70">
        <v>45799</v>
      </c>
      <c r="F623" s="71" t="s">
        <v>16</v>
      </c>
      <c r="G623" s="71">
        <f>_xlfn.XLOOKUP(E623,'Wk no''s'!B:B,'Wk no''s'!C:C,FALSE)</f>
        <v>21</v>
      </c>
    </row>
    <row r="624" spans="1:7" x14ac:dyDescent="0.25">
      <c r="A624" s="71" t="s">
        <v>1039</v>
      </c>
      <c r="B624" s="71"/>
      <c r="C624" s="71">
        <v>100</v>
      </c>
      <c r="D624" s="71" t="s">
        <v>19</v>
      </c>
      <c r="E624" s="70">
        <v>45800</v>
      </c>
      <c r="F624" s="71" t="s">
        <v>16</v>
      </c>
      <c r="G624" s="71">
        <f>_xlfn.XLOOKUP(E624,'Wk no''s'!B:B,'Wk no''s'!C:C,FALSE)</f>
        <v>21</v>
      </c>
    </row>
    <row r="625" spans="1:7" x14ac:dyDescent="0.25">
      <c r="A625" s="71" t="s">
        <v>1040</v>
      </c>
      <c r="B625" s="71"/>
      <c r="C625" s="71">
        <v>100</v>
      </c>
      <c r="D625" s="71" t="s">
        <v>19</v>
      </c>
      <c r="E625" s="70">
        <v>45800</v>
      </c>
      <c r="F625" s="71" t="s">
        <v>16</v>
      </c>
      <c r="G625" s="71">
        <f>_xlfn.XLOOKUP(E625,'Wk no''s'!B:B,'Wk no''s'!C:C,FALSE)</f>
        <v>21</v>
      </c>
    </row>
    <row r="626" spans="1:7" x14ac:dyDescent="0.25">
      <c r="A626" s="71" t="s">
        <v>1041</v>
      </c>
      <c r="B626" s="70">
        <v>45800</v>
      </c>
      <c r="C626" s="71">
        <v>100</v>
      </c>
      <c r="D626" s="71" t="s">
        <v>281</v>
      </c>
      <c r="E626" s="70">
        <v>45800</v>
      </c>
      <c r="F626" s="71" t="s">
        <v>16</v>
      </c>
      <c r="G626" s="71">
        <f>_xlfn.XLOOKUP(E626,'Wk no''s'!B:B,'Wk no''s'!C:C,FALSE)</f>
        <v>21</v>
      </c>
    </row>
    <row r="627" spans="1:7" x14ac:dyDescent="0.25">
      <c r="A627" s="71" t="s">
        <v>1042</v>
      </c>
      <c r="B627" s="70">
        <v>45797</v>
      </c>
      <c r="C627" s="71">
        <v>0</v>
      </c>
      <c r="D627" s="71" t="s">
        <v>50</v>
      </c>
      <c r="E627" s="70">
        <v>45798</v>
      </c>
      <c r="F627" s="71" t="s">
        <v>47</v>
      </c>
      <c r="G627" s="71">
        <f>_xlfn.XLOOKUP(E627,'Wk no''s'!B:B,'Wk no''s'!C:C,FALSE)</f>
        <v>21</v>
      </c>
    </row>
    <row r="628" spans="1:7" x14ac:dyDescent="0.25">
      <c r="A628" s="71" t="s">
        <v>1043</v>
      </c>
      <c r="B628" s="70">
        <v>45799</v>
      </c>
      <c r="C628" s="71">
        <v>100</v>
      </c>
      <c r="D628" s="71" t="s">
        <v>50</v>
      </c>
      <c r="E628" s="70">
        <v>45799</v>
      </c>
      <c r="F628" s="71" t="s">
        <v>47</v>
      </c>
      <c r="G628" s="71">
        <f>_xlfn.XLOOKUP(E628,'Wk no''s'!B:B,'Wk no''s'!C:C,FALSE)</f>
        <v>21</v>
      </c>
    </row>
    <row r="629" spans="1:7" x14ac:dyDescent="0.25">
      <c r="A629" s="71" t="s">
        <v>1044</v>
      </c>
      <c r="B629" s="70">
        <v>45806</v>
      </c>
      <c r="C629" s="71">
        <v>100</v>
      </c>
      <c r="D629" s="71" t="s">
        <v>50</v>
      </c>
      <c r="E629" s="70">
        <v>45800</v>
      </c>
      <c r="F629" s="71" t="s">
        <v>47</v>
      </c>
      <c r="G629" s="71">
        <f>_xlfn.XLOOKUP(E629,'Wk no''s'!B:B,'Wk no''s'!C:C,FALSE)</f>
        <v>21</v>
      </c>
    </row>
    <row r="630" spans="1:7" x14ac:dyDescent="0.25">
      <c r="A630" s="71" t="s">
        <v>1045</v>
      </c>
      <c r="B630" s="70">
        <v>45799</v>
      </c>
      <c r="C630" s="71">
        <v>100</v>
      </c>
      <c r="D630" s="71" t="s">
        <v>50</v>
      </c>
      <c r="E630" s="70">
        <v>45799</v>
      </c>
      <c r="F630" s="71" t="s">
        <v>47</v>
      </c>
      <c r="G630" s="71">
        <f>_xlfn.XLOOKUP(E630,'Wk no''s'!B:B,'Wk no''s'!C:C,FALSE)</f>
        <v>21</v>
      </c>
    </row>
    <row r="631" spans="1:7" x14ac:dyDescent="0.25">
      <c r="A631" s="71" t="s">
        <v>1046</v>
      </c>
      <c r="B631" s="70">
        <v>45799</v>
      </c>
      <c r="C631" s="71">
        <v>100</v>
      </c>
      <c r="D631" s="71" t="s">
        <v>19</v>
      </c>
      <c r="E631" s="70">
        <v>45799</v>
      </c>
      <c r="F631" s="71" t="s">
        <v>47</v>
      </c>
      <c r="G631" s="71">
        <f>_xlfn.XLOOKUP(E631,'Wk no''s'!B:B,'Wk no''s'!C:C,FALSE)</f>
        <v>21</v>
      </c>
    </row>
    <row r="632" spans="1:7" x14ac:dyDescent="0.25">
      <c r="A632" s="71" t="s">
        <v>1047</v>
      </c>
      <c r="B632" s="70">
        <v>45800</v>
      </c>
      <c r="C632" s="71">
        <v>100</v>
      </c>
      <c r="D632" s="71" t="s">
        <v>19</v>
      </c>
      <c r="E632" s="70">
        <v>45800</v>
      </c>
      <c r="F632" s="71" t="s">
        <v>47</v>
      </c>
      <c r="G632" s="71">
        <f>_xlfn.XLOOKUP(E632,'Wk no''s'!B:B,'Wk no''s'!C:C,FALSE)</f>
        <v>21</v>
      </c>
    </row>
    <row r="633" spans="1:7" x14ac:dyDescent="0.25">
      <c r="A633" s="71" t="s">
        <v>1048</v>
      </c>
      <c r="B633" s="70">
        <v>45799</v>
      </c>
      <c r="C633" s="71">
        <v>100</v>
      </c>
      <c r="D633" s="71" t="s">
        <v>50</v>
      </c>
      <c r="E633" s="70">
        <v>45799</v>
      </c>
      <c r="F633" s="71" t="s">
        <v>47</v>
      </c>
      <c r="G633" s="71">
        <f>_xlfn.XLOOKUP(E633,'Wk no''s'!B:B,'Wk no''s'!C:C,FALSE)</f>
        <v>21</v>
      </c>
    </row>
    <row r="634" spans="1:7" x14ac:dyDescent="0.25">
      <c r="A634" s="71" t="s">
        <v>1049</v>
      </c>
      <c r="B634" s="70">
        <v>45792</v>
      </c>
      <c r="C634" s="71">
        <v>0</v>
      </c>
      <c r="D634" s="71" t="s">
        <v>50</v>
      </c>
      <c r="E634" s="70">
        <v>45797</v>
      </c>
      <c r="F634" s="71" t="s">
        <v>11</v>
      </c>
      <c r="G634" s="71">
        <f>_xlfn.XLOOKUP(E634,'Wk no''s'!B:B,'Wk no''s'!C:C,FALSE)</f>
        <v>21</v>
      </c>
    </row>
    <row r="635" spans="1:7" x14ac:dyDescent="0.25">
      <c r="A635" s="71" t="s">
        <v>1050</v>
      </c>
      <c r="B635" s="70">
        <v>45784</v>
      </c>
      <c r="C635" s="71">
        <v>0</v>
      </c>
      <c r="D635" s="71" t="s">
        <v>50</v>
      </c>
      <c r="E635" s="70">
        <v>45796</v>
      </c>
      <c r="F635" s="71" t="s">
        <v>11</v>
      </c>
      <c r="G635" s="71">
        <f>_xlfn.XLOOKUP(E635,'Wk no''s'!B:B,'Wk no''s'!C:C,FALSE)</f>
        <v>21</v>
      </c>
    </row>
    <row r="636" spans="1:7" x14ac:dyDescent="0.25">
      <c r="A636" s="71" t="s">
        <v>1051</v>
      </c>
      <c r="B636" s="70">
        <v>45719</v>
      </c>
      <c r="C636" s="71">
        <v>0</v>
      </c>
      <c r="D636" s="71" t="s">
        <v>50</v>
      </c>
      <c r="E636" s="70">
        <v>45797</v>
      </c>
      <c r="F636" s="71" t="s">
        <v>11</v>
      </c>
      <c r="G636" s="71">
        <f>_xlfn.XLOOKUP(E636,'Wk no''s'!B:B,'Wk no''s'!C:C,FALSE)</f>
        <v>21</v>
      </c>
    </row>
    <row r="637" spans="1:7" x14ac:dyDescent="0.25">
      <c r="A637" s="71" t="s">
        <v>1052</v>
      </c>
      <c r="B637" s="70">
        <v>45807</v>
      </c>
      <c r="C637" s="71">
        <v>100</v>
      </c>
      <c r="D637" s="71" t="s">
        <v>50</v>
      </c>
      <c r="E637" s="70">
        <v>45800</v>
      </c>
      <c r="F637" s="71" t="s">
        <v>11</v>
      </c>
      <c r="G637" s="71">
        <f>_xlfn.XLOOKUP(E637,'Wk no''s'!B:B,'Wk no''s'!C:C,FALSE)</f>
        <v>21</v>
      </c>
    </row>
    <row r="638" spans="1:7" x14ac:dyDescent="0.25">
      <c r="A638" s="71" t="s">
        <v>1053</v>
      </c>
      <c r="B638" s="70">
        <v>45800</v>
      </c>
      <c r="C638" s="71">
        <v>100</v>
      </c>
      <c r="D638" s="71" t="s">
        <v>50</v>
      </c>
      <c r="E638" s="70">
        <v>45800</v>
      </c>
      <c r="F638" s="71" t="s">
        <v>11</v>
      </c>
      <c r="G638" s="71">
        <f>_xlfn.XLOOKUP(E638,'Wk no''s'!B:B,'Wk no''s'!C:C,FALSE)</f>
        <v>21</v>
      </c>
    </row>
    <row r="639" spans="1:7" x14ac:dyDescent="0.25">
      <c r="A639" s="71" t="s">
        <v>1054</v>
      </c>
      <c r="B639" s="70">
        <v>45797</v>
      </c>
      <c r="C639" s="71">
        <v>100</v>
      </c>
      <c r="D639" s="71" t="s">
        <v>50</v>
      </c>
      <c r="E639" s="70">
        <v>45797</v>
      </c>
      <c r="F639" s="71" t="s">
        <v>11</v>
      </c>
      <c r="G639" s="71">
        <f>_xlfn.XLOOKUP(E639,'Wk no''s'!B:B,'Wk no''s'!C:C,FALSE)</f>
        <v>21</v>
      </c>
    </row>
    <row r="640" spans="1:7" x14ac:dyDescent="0.25">
      <c r="A640" s="71" t="s">
        <v>1055</v>
      </c>
      <c r="B640" s="70">
        <v>45798</v>
      </c>
      <c r="C640" s="71">
        <v>100</v>
      </c>
      <c r="D640" s="71" t="s">
        <v>50</v>
      </c>
      <c r="E640" s="70">
        <v>45797</v>
      </c>
      <c r="F640" s="71" t="s">
        <v>11</v>
      </c>
      <c r="G640" s="71">
        <f>_xlfn.XLOOKUP(E640,'Wk no''s'!B:B,'Wk no''s'!C:C,FALSE)</f>
        <v>21</v>
      </c>
    </row>
    <row r="641" spans="1:7" x14ac:dyDescent="0.25">
      <c r="A641" s="71" t="s">
        <v>1056</v>
      </c>
      <c r="B641" s="70">
        <v>45797</v>
      </c>
      <c r="C641" s="71">
        <v>100</v>
      </c>
      <c r="D641" s="71" t="s">
        <v>50</v>
      </c>
      <c r="E641" s="70">
        <v>45796</v>
      </c>
      <c r="F641" s="71" t="s">
        <v>11</v>
      </c>
      <c r="G641" s="71">
        <f>_xlfn.XLOOKUP(E641,'Wk no''s'!B:B,'Wk no''s'!C:C,FALSE)</f>
        <v>21</v>
      </c>
    </row>
    <row r="642" spans="1:7" x14ac:dyDescent="0.25">
      <c r="A642" s="71" t="s">
        <v>1057</v>
      </c>
      <c r="B642" s="71"/>
      <c r="C642" s="71">
        <v>100</v>
      </c>
      <c r="D642" s="71" t="s">
        <v>50</v>
      </c>
      <c r="E642" s="70">
        <v>45799</v>
      </c>
      <c r="F642" s="71" t="s">
        <v>11</v>
      </c>
      <c r="G642" s="71">
        <f>_xlfn.XLOOKUP(E642,'Wk no''s'!B:B,'Wk no''s'!C:C,FALSE)</f>
        <v>21</v>
      </c>
    </row>
    <row r="643" spans="1:7" x14ac:dyDescent="0.25">
      <c r="A643" s="71" t="s">
        <v>1058</v>
      </c>
      <c r="B643" s="70">
        <v>45798</v>
      </c>
      <c r="C643" s="71">
        <v>100</v>
      </c>
      <c r="D643" s="71" t="s">
        <v>50</v>
      </c>
      <c r="E643" s="70">
        <v>45798</v>
      </c>
      <c r="F643" s="71" t="s">
        <v>11</v>
      </c>
      <c r="G643" s="71">
        <f>_xlfn.XLOOKUP(E643,'Wk no''s'!B:B,'Wk no''s'!C:C,FALSE)</f>
        <v>21</v>
      </c>
    </row>
    <row r="644" spans="1:7" x14ac:dyDescent="0.25">
      <c r="A644" s="71" t="s">
        <v>1059</v>
      </c>
      <c r="B644" s="70">
        <v>45800</v>
      </c>
      <c r="C644" s="71">
        <v>100</v>
      </c>
      <c r="D644" s="71" t="s">
        <v>19</v>
      </c>
      <c r="E644" s="70">
        <v>45800</v>
      </c>
      <c r="F644" s="71" t="s">
        <v>72</v>
      </c>
      <c r="G644" s="71">
        <f>_xlfn.XLOOKUP(E644,'Wk no''s'!B:B,'Wk no''s'!C:C,FALSE)</f>
        <v>21</v>
      </c>
    </row>
    <row r="645" spans="1:7" x14ac:dyDescent="0.25">
      <c r="A645" s="71" t="s">
        <v>1060</v>
      </c>
      <c r="B645" s="70">
        <v>45800</v>
      </c>
      <c r="C645" s="71">
        <v>100</v>
      </c>
      <c r="D645" s="71" t="s">
        <v>19</v>
      </c>
      <c r="E645" s="70">
        <v>45800</v>
      </c>
      <c r="F645" s="71" t="s">
        <v>72</v>
      </c>
      <c r="G645" s="71">
        <f>_xlfn.XLOOKUP(E645,'Wk no''s'!B:B,'Wk no''s'!C:C,FALSE)</f>
        <v>21</v>
      </c>
    </row>
    <row r="646" spans="1:7" x14ac:dyDescent="0.25">
      <c r="A646" s="71" t="s">
        <v>1087</v>
      </c>
      <c r="B646" s="70">
        <v>45800</v>
      </c>
      <c r="C646" s="71">
        <v>0</v>
      </c>
      <c r="D646" s="71" t="s">
        <v>19</v>
      </c>
      <c r="E646" s="70">
        <v>45807</v>
      </c>
      <c r="F646" s="71" t="s">
        <v>16</v>
      </c>
      <c r="G646" s="71">
        <f>_xlfn.XLOOKUP(E646,'Wk no''s'!B:B,'Wk no''s'!C:C,FALSE)</f>
        <v>22</v>
      </c>
    </row>
    <row r="647" spans="1:7" x14ac:dyDescent="0.25">
      <c r="A647" s="71" t="s">
        <v>1088</v>
      </c>
      <c r="B647" s="70">
        <v>45806</v>
      </c>
      <c r="C647" s="71">
        <v>0</v>
      </c>
      <c r="D647" s="71" t="s">
        <v>19</v>
      </c>
      <c r="E647" s="70">
        <v>45807</v>
      </c>
      <c r="F647" s="71" t="s">
        <v>16</v>
      </c>
      <c r="G647" s="71">
        <f>_xlfn.XLOOKUP(E647,'Wk no''s'!B:B,'Wk no''s'!C:C,FALSE)</f>
        <v>22</v>
      </c>
    </row>
    <row r="648" spans="1:7" x14ac:dyDescent="0.25">
      <c r="A648" s="71" t="s">
        <v>1089</v>
      </c>
      <c r="B648" s="70">
        <v>45807</v>
      </c>
      <c r="C648" s="71">
        <v>100</v>
      </c>
      <c r="D648" s="71" t="s">
        <v>50</v>
      </c>
      <c r="E648" s="70">
        <v>45807</v>
      </c>
      <c r="F648" s="71" t="s">
        <v>16</v>
      </c>
      <c r="G648" s="71">
        <f>_xlfn.XLOOKUP(E648,'Wk no''s'!B:B,'Wk no''s'!C:C,FALSE)</f>
        <v>22</v>
      </c>
    </row>
    <row r="649" spans="1:7" x14ac:dyDescent="0.25">
      <c r="A649" s="71" t="s">
        <v>1090</v>
      </c>
      <c r="B649" s="70">
        <v>45807</v>
      </c>
      <c r="C649" s="71">
        <v>100</v>
      </c>
      <c r="D649" s="71" t="s">
        <v>50</v>
      </c>
      <c r="E649" s="70">
        <v>45807</v>
      </c>
      <c r="F649" s="71" t="s">
        <v>16</v>
      </c>
      <c r="G649" s="71">
        <f>_xlfn.XLOOKUP(E649,'Wk no''s'!B:B,'Wk no''s'!C:C,FALSE)</f>
        <v>22</v>
      </c>
    </row>
    <row r="650" spans="1:7" x14ac:dyDescent="0.25">
      <c r="A650" s="71" t="s">
        <v>1091</v>
      </c>
      <c r="B650" s="71"/>
      <c r="C650" s="71">
        <v>100</v>
      </c>
      <c r="D650" s="71" t="s">
        <v>19</v>
      </c>
      <c r="E650" s="70">
        <v>45804</v>
      </c>
      <c r="F650" s="71" t="s">
        <v>16</v>
      </c>
      <c r="G650" s="71">
        <f>_xlfn.XLOOKUP(E650,'Wk no''s'!B:B,'Wk no''s'!C:C,FALSE)</f>
        <v>22</v>
      </c>
    </row>
    <row r="651" spans="1:7" x14ac:dyDescent="0.25">
      <c r="A651" s="71" t="s">
        <v>1092</v>
      </c>
      <c r="B651" s="70">
        <v>45804</v>
      </c>
      <c r="C651" s="71">
        <v>100</v>
      </c>
      <c r="D651" s="71" t="s">
        <v>19</v>
      </c>
      <c r="E651" s="70">
        <v>45804</v>
      </c>
      <c r="F651" s="71" t="s">
        <v>16</v>
      </c>
      <c r="G651" s="71">
        <f>_xlfn.XLOOKUP(E651,'Wk no''s'!B:B,'Wk no''s'!C:C,FALSE)</f>
        <v>22</v>
      </c>
    </row>
    <row r="652" spans="1:7" x14ac:dyDescent="0.25">
      <c r="A652" s="71" t="s">
        <v>1093</v>
      </c>
      <c r="B652" s="71"/>
      <c r="C652" s="71">
        <v>100</v>
      </c>
      <c r="D652" s="71" t="s">
        <v>19</v>
      </c>
      <c r="E652" s="70">
        <v>45807</v>
      </c>
      <c r="F652" s="71" t="s">
        <v>16</v>
      </c>
      <c r="G652" s="71">
        <f>_xlfn.XLOOKUP(E652,'Wk no''s'!B:B,'Wk no''s'!C:C,FALSE)</f>
        <v>22</v>
      </c>
    </row>
    <row r="653" spans="1:7" x14ac:dyDescent="0.25">
      <c r="A653" s="71" t="s">
        <v>1094</v>
      </c>
      <c r="B653" s="70">
        <v>45807</v>
      </c>
      <c r="C653" s="71">
        <v>100</v>
      </c>
      <c r="D653" s="71" t="s">
        <v>19</v>
      </c>
      <c r="E653" s="70">
        <v>45807</v>
      </c>
      <c r="F653" s="71" t="s">
        <v>16</v>
      </c>
      <c r="G653" s="71">
        <f>_xlfn.XLOOKUP(E653,'Wk no''s'!B:B,'Wk no''s'!C:C,FALSE)</f>
        <v>22</v>
      </c>
    </row>
    <row r="654" spans="1:7" x14ac:dyDescent="0.25">
      <c r="A654" s="71" t="s">
        <v>1095</v>
      </c>
      <c r="B654" s="70">
        <v>45803</v>
      </c>
      <c r="C654" s="71">
        <v>0</v>
      </c>
      <c r="D654" s="71" t="s">
        <v>19</v>
      </c>
      <c r="E654" s="70">
        <v>45804</v>
      </c>
      <c r="F654" s="71" t="s">
        <v>11</v>
      </c>
      <c r="G654" s="71">
        <f>_xlfn.XLOOKUP(E654,'Wk no''s'!B:B,'Wk no''s'!C:C,FALSE)</f>
        <v>22</v>
      </c>
    </row>
    <row r="655" spans="1:7" x14ac:dyDescent="0.25">
      <c r="A655" s="71" t="s">
        <v>1096</v>
      </c>
      <c r="B655" s="70">
        <v>45804</v>
      </c>
      <c r="C655" s="71">
        <v>100</v>
      </c>
      <c r="D655" s="71" t="s">
        <v>50</v>
      </c>
      <c r="E655" s="70">
        <v>45804</v>
      </c>
      <c r="F655" s="71" t="s">
        <v>11</v>
      </c>
      <c r="G655" s="71">
        <f>_xlfn.XLOOKUP(E655,'Wk no''s'!B:B,'Wk no''s'!C:C,FALSE)</f>
        <v>22</v>
      </c>
    </row>
    <row r="656" spans="1:7" x14ac:dyDescent="0.25">
      <c r="A656" s="71" t="s">
        <v>1097</v>
      </c>
      <c r="B656" s="70">
        <v>45805</v>
      </c>
      <c r="C656" s="71">
        <v>100</v>
      </c>
      <c r="D656" s="71" t="s">
        <v>50</v>
      </c>
      <c r="E656" s="70">
        <v>45805</v>
      </c>
      <c r="F656" s="71" t="s">
        <v>11</v>
      </c>
      <c r="G656" s="71">
        <f>_xlfn.XLOOKUP(E656,'Wk no''s'!B:B,'Wk no''s'!C:C,FALSE)</f>
        <v>22</v>
      </c>
    </row>
    <row r="657" spans="1:7" x14ac:dyDescent="0.25">
      <c r="A657" s="71" t="s">
        <v>1098</v>
      </c>
      <c r="B657" s="70">
        <v>45805</v>
      </c>
      <c r="C657" s="71">
        <v>100</v>
      </c>
      <c r="D657" s="71" t="s">
        <v>50</v>
      </c>
      <c r="E657" s="70">
        <v>45805</v>
      </c>
      <c r="F657" s="71" t="s">
        <v>11</v>
      </c>
      <c r="G657" s="71">
        <f>_xlfn.XLOOKUP(E657,'Wk no''s'!B:B,'Wk no''s'!C:C,FALSE)</f>
        <v>22</v>
      </c>
    </row>
    <row r="658" spans="1:7" x14ac:dyDescent="0.25">
      <c r="A658" s="71" t="s">
        <v>1099</v>
      </c>
      <c r="B658" s="70">
        <v>45805</v>
      </c>
      <c r="C658" s="71">
        <v>100</v>
      </c>
      <c r="D658" s="71" t="s">
        <v>50</v>
      </c>
      <c r="E658" s="70">
        <v>45804</v>
      </c>
      <c r="F658" s="71" t="s">
        <v>11</v>
      </c>
      <c r="G658" s="71">
        <f>_xlfn.XLOOKUP(E658,'Wk no''s'!B:B,'Wk no''s'!C:C,FALSE)</f>
        <v>22</v>
      </c>
    </row>
    <row r="659" spans="1:7" x14ac:dyDescent="0.25">
      <c r="A659" s="71" t="s">
        <v>1100</v>
      </c>
      <c r="B659" s="71"/>
      <c r="C659" s="71">
        <v>100</v>
      </c>
      <c r="D659" s="71" t="s">
        <v>50</v>
      </c>
      <c r="E659" s="70">
        <v>45805</v>
      </c>
      <c r="F659" s="71" t="s">
        <v>11</v>
      </c>
      <c r="G659" s="71">
        <f>_xlfn.XLOOKUP(E659,'Wk no''s'!B:B,'Wk no''s'!C:C,FALSE)</f>
        <v>22</v>
      </c>
    </row>
    <row r="660" spans="1:7" x14ac:dyDescent="0.25">
      <c r="A660" s="71" t="s">
        <v>1101</v>
      </c>
      <c r="B660" s="70">
        <v>45807</v>
      </c>
      <c r="C660" s="71">
        <v>100</v>
      </c>
      <c r="D660" s="71" t="s">
        <v>50</v>
      </c>
      <c r="E660" s="70">
        <v>45807</v>
      </c>
      <c r="F660" s="71" t="s">
        <v>11</v>
      </c>
      <c r="G660" s="71">
        <f>_xlfn.XLOOKUP(E660,'Wk no''s'!B:B,'Wk no''s'!C:C,FALSE)</f>
        <v>22</v>
      </c>
    </row>
    <row r="661" spans="1:7" x14ac:dyDescent="0.25">
      <c r="A661" s="71" t="s">
        <v>1102</v>
      </c>
      <c r="B661" s="70">
        <v>45807</v>
      </c>
      <c r="C661" s="71">
        <v>100</v>
      </c>
      <c r="D661" s="71" t="s">
        <v>50</v>
      </c>
      <c r="E661" s="70">
        <v>45806</v>
      </c>
      <c r="F661" s="71" t="s">
        <v>11</v>
      </c>
      <c r="G661" s="71">
        <f>_xlfn.XLOOKUP(E661,'Wk no''s'!B:B,'Wk no''s'!C:C,FALSE)</f>
        <v>22</v>
      </c>
    </row>
    <row r="662" spans="1:7" x14ac:dyDescent="0.25">
      <c r="A662" s="71" t="s">
        <v>1103</v>
      </c>
      <c r="B662" s="70">
        <v>45807</v>
      </c>
      <c r="C662" s="71">
        <v>100</v>
      </c>
      <c r="D662" s="71" t="s">
        <v>12</v>
      </c>
      <c r="E662" s="70">
        <v>45807</v>
      </c>
      <c r="F662" s="71" t="s">
        <v>11</v>
      </c>
      <c r="G662" s="71">
        <f>_xlfn.XLOOKUP(E662,'Wk no''s'!B:B,'Wk no''s'!C:C,FALSE)</f>
        <v>22</v>
      </c>
    </row>
    <row r="663" spans="1:7" x14ac:dyDescent="0.25">
      <c r="A663" s="71" t="s">
        <v>1104</v>
      </c>
      <c r="B663" s="70">
        <v>45805</v>
      </c>
      <c r="C663" s="71">
        <v>100</v>
      </c>
      <c r="D663" s="71" t="s">
        <v>19</v>
      </c>
      <c r="E663" s="70">
        <v>45805</v>
      </c>
      <c r="F663" s="71" t="s">
        <v>72</v>
      </c>
      <c r="G663" s="71">
        <f>_xlfn.XLOOKUP(E663,'Wk no''s'!B:B,'Wk no''s'!C:C,FALSE)</f>
        <v>22</v>
      </c>
    </row>
    <row r="664" spans="1:7" x14ac:dyDescent="0.25">
      <c r="A664" s="71" t="s">
        <v>1105</v>
      </c>
      <c r="B664" s="70">
        <v>45807</v>
      </c>
      <c r="C664" s="71">
        <v>100</v>
      </c>
      <c r="D664" s="71" t="s">
        <v>19</v>
      </c>
      <c r="E664" s="70">
        <v>45804</v>
      </c>
      <c r="F664" s="71" t="s">
        <v>72</v>
      </c>
      <c r="G664" s="71">
        <f>_xlfn.XLOOKUP(E664,'Wk no''s'!B:B,'Wk no''s'!C:C,FALSE)</f>
        <v>22</v>
      </c>
    </row>
    <row r="665" spans="1:7" x14ac:dyDescent="0.25">
      <c r="A665" s="71" t="s">
        <v>1106</v>
      </c>
      <c r="B665" s="70">
        <v>45814</v>
      </c>
      <c r="C665" s="71">
        <v>100</v>
      </c>
      <c r="D665" s="71" t="s">
        <v>19</v>
      </c>
      <c r="E665" s="70">
        <v>45807</v>
      </c>
      <c r="F665" s="71" t="s">
        <v>72</v>
      </c>
      <c r="G665" s="71">
        <f>_xlfn.XLOOKUP(E665,'Wk no''s'!B:B,'Wk no''s'!C:C,FALSE)</f>
        <v>22</v>
      </c>
    </row>
    <row r="666" spans="1:7" x14ac:dyDescent="0.25">
      <c r="A666" s="71" t="s">
        <v>1112</v>
      </c>
      <c r="B666" s="70">
        <v>45807</v>
      </c>
      <c r="C666" s="71">
        <v>0</v>
      </c>
      <c r="D666" s="71" t="s">
        <v>19</v>
      </c>
      <c r="E666" s="70">
        <v>45813</v>
      </c>
      <c r="F666" s="71" t="s">
        <v>16</v>
      </c>
      <c r="G666" s="71">
        <f>_xlfn.XLOOKUP(E666,'Wk no''s'!B:B,'Wk no''s'!C:C,FALSE)</f>
        <v>23</v>
      </c>
    </row>
    <row r="667" spans="1:7" x14ac:dyDescent="0.25">
      <c r="A667" s="71" t="s">
        <v>1114</v>
      </c>
      <c r="B667" s="70">
        <v>45805</v>
      </c>
      <c r="C667" s="71">
        <v>0</v>
      </c>
      <c r="D667" s="71" t="s">
        <v>19</v>
      </c>
      <c r="E667" s="70">
        <v>45810</v>
      </c>
      <c r="F667" s="71" t="s">
        <v>16</v>
      </c>
      <c r="G667" s="71">
        <f>_xlfn.XLOOKUP(E667,'Wk no''s'!B:B,'Wk no''s'!C:C,FALSE)</f>
        <v>23</v>
      </c>
    </row>
    <row r="668" spans="1:7" x14ac:dyDescent="0.25">
      <c r="A668" s="71" t="s">
        <v>1120</v>
      </c>
      <c r="B668" s="70">
        <v>45811</v>
      </c>
      <c r="C668" s="71">
        <v>0</v>
      </c>
      <c r="D668" s="71" t="s">
        <v>19</v>
      </c>
      <c r="E668" s="70">
        <v>45812</v>
      </c>
      <c r="F668" s="71" t="s">
        <v>16</v>
      </c>
      <c r="G668" s="71">
        <f>_xlfn.XLOOKUP(E668,'Wk no''s'!B:B,'Wk no''s'!C:C,FALSE)</f>
        <v>23</v>
      </c>
    </row>
    <row r="669" spans="1:7" x14ac:dyDescent="0.25">
      <c r="A669" s="71" t="s">
        <v>1116</v>
      </c>
      <c r="B669" s="71"/>
      <c r="C669" s="71">
        <v>100</v>
      </c>
      <c r="D669" s="71" t="s">
        <v>19</v>
      </c>
      <c r="E669" s="70">
        <v>45810</v>
      </c>
      <c r="F669" s="71" t="s">
        <v>16</v>
      </c>
      <c r="G669" s="71">
        <f>_xlfn.XLOOKUP(E669,'Wk no''s'!B:B,'Wk no''s'!C:C,FALSE)</f>
        <v>23</v>
      </c>
    </row>
    <row r="670" spans="1:7" x14ac:dyDescent="0.25">
      <c r="A670" s="71" t="s">
        <v>1117</v>
      </c>
      <c r="B670" s="70">
        <v>45810</v>
      </c>
      <c r="C670" s="71">
        <v>100</v>
      </c>
      <c r="D670" s="71" t="s">
        <v>19</v>
      </c>
      <c r="E670" s="70">
        <v>45810</v>
      </c>
      <c r="F670" s="71" t="s">
        <v>16</v>
      </c>
      <c r="G670" s="71">
        <f>_xlfn.XLOOKUP(E670,'Wk no''s'!B:B,'Wk no''s'!C:C,FALSE)</f>
        <v>23</v>
      </c>
    </row>
    <row r="671" spans="1:7" x14ac:dyDescent="0.25">
      <c r="A671" s="71" t="s">
        <v>1118</v>
      </c>
      <c r="B671" s="70">
        <v>45812</v>
      </c>
      <c r="C671" s="71">
        <v>100</v>
      </c>
      <c r="D671" s="71" t="s">
        <v>19</v>
      </c>
      <c r="E671" s="70">
        <v>45812</v>
      </c>
      <c r="F671" s="71" t="s">
        <v>16</v>
      </c>
      <c r="G671" s="71">
        <f>_xlfn.XLOOKUP(E671,'Wk no''s'!B:B,'Wk no''s'!C:C,FALSE)</f>
        <v>23</v>
      </c>
    </row>
    <row r="672" spans="1:7" x14ac:dyDescent="0.25">
      <c r="A672" s="71" t="s">
        <v>1121</v>
      </c>
      <c r="B672" s="70">
        <v>45812</v>
      </c>
      <c r="C672" s="71">
        <v>100</v>
      </c>
      <c r="D672" s="71" t="s">
        <v>19</v>
      </c>
      <c r="E672" s="70">
        <v>45812</v>
      </c>
      <c r="F672" s="71" t="s">
        <v>16</v>
      </c>
      <c r="G672" s="71">
        <f>_xlfn.XLOOKUP(E672,'Wk no''s'!B:B,'Wk no''s'!C:C,FALSE)</f>
        <v>23</v>
      </c>
    </row>
    <row r="673" spans="1:7" x14ac:dyDescent="0.25">
      <c r="A673" s="71" t="s">
        <v>1123</v>
      </c>
      <c r="B673" s="70">
        <v>45813</v>
      </c>
      <c r="C673" s="71">
        <v>100</v>
      </c>
      <c r="D673" s="71" t="s">
        <v>19</v>
      </c>
      <c r="E673" s="70">
        <v>45813</v>
      </c>
      <c r="F673" s="71" t="s">
        <v>16</v>
      </c>
      <c r="G673" s="71">
        <f>_xlfn.XLOOKUP(E673,'Wk no''s'!B:B,'Wk no''s'!C:C,FALSE)</f>
        <v>23</v>
      </c>
    </row>
    <row r="674" spans="1:7" x14ac:dyDescent="0.25">
      <c r="A674" s="71" t="s">
        <v>1124</v>
      </c>
      <c r="B674" s="70">
        <v>45814</v>
      </c>
      <c r="C674" s="71">
        <v>100</v>
      </c>
      <c r="D674" s="71" t="s">
        <v>19</v>
      </c>
      <c r="E674" s="70">
        <v>45814</v>
      </c>
      <c r="F674" s="71" t="s">
        <v>16</v>
      </c>
      <c r="G674" s="71">
        <f>_xlfn.XLOOKUP(E674,'Wk no''s'!B:B,'Wk no''s'!C:C,FALSE)</f>
        <v>23</v>
      </c>
    </row>
    <row r="675" spans="1:7" x14ac:dyDescent="0.25">
      <c r="A675" s="71" t="s">
        <v>1125</v>
      </c>
      <c r="B675" s="70">
        <v>45796</v>
      </c>
      <c r="C675" s="71">
        <v>0</v>
      </c>
      <c r="D675" s="71" t="s">
        <v>19</v>
      </c>
      <c r="E675" s="70">
        <v>45812</v>
      </c>
      <c r="F675" s="71" t="s">
        <v>47</v>
      </c>
      <c r="G675" s="71">
        <f>_xlfn.XLOOKUP(E675,'Wk no''s'!B:B,'Wk no''s'!C:C,FALSE)</f>
        <v>23</v>
      </c>
    </row>
    <row r="676" spans="1:7" x14ac:dyDescent="0.25">
      <c r="A676" s="71" t="s">
        <v>1126</v>
      </c>
      <c r="B676" s="70">
        <v>45791</v>
      </c>
      <c r="C676" s="71">
        <v>0</v>
      </c>
      <c r="D676" s="71" t="s">
        <v>19</v>
      </c>
      <c r="E676" s="70">
        <v>45813</v>
      </c>
      <c r="F676" s="71" t="s">
        <v>47</v>
      </c>
      <c r="G676" s="71">
        <f>_xlfn.XLOOKUP(E676,'Wk no''s'!B:B,'Wk no''s'!C:C,FALSE)</f>
        <v>23</v>
      </c>
    </row>
    <row r="677" spans="1:7" x14ac:dyDescent="0.25">
      <c r="A677" s="71" t="s">
        <v>1135</v>
      </c>
      <c r="B677" s="70">
        <v>45811</v>
      </c>
      <c r="C677" s="71">
        <v>0</v>
      </c>
      <c r="D677" s="71" t="s">
        <v>50</v>
      </c>
      <c r="E677" s="70">
        <v>45812</v>
      </c>
      <c r="F677" s="71" t="s">
        <v>47</v>
      </c>
      <c r="G677" s="71">
        <f>_xlfn.XLOOKUP(E677,'Wk no''s'!B:B,'Wk no''s'!C:C,FALSE)</f>
        <v>23</v>
      </c>
    </row>
    <row r="678" spans="1:7" x14ac:dyDescent="0.25">
      <c r="A678" s="71" t="s">
        <v>1132</v>
      </c>
      <c r="B678" s="71"/>
      <c r="C678" s="71">
        <v>100</v>
      </c>
      <c r="D678" s="71" t="s">
        <v>50</v>
      </c>
      <c r="E678" s="70">
        <v>45813</v>
      </c>
      <c r="F678" s="71" t="s">
        <v>47</v>
      </c>
      <c r="G678" s="71">
        <f>_xlfn.XLOOKUP(E678,'Wk no''s'!B:B,'Wk no''s'!C:C,FALSE)</f>
        <v>23</v>
      </c>
    </row>
    <row r="679" spans="1:7" x14ac:dyDescent="0.25">
      <c r="A679" s="71" t="s">
        <v>1134</v>
      </c>
      <c r="B679" s="70">
        <v>45812</v>
      </c>
      <c r="C679" s="71">
        <v>100</v>
      </c>
      <c r="D679" s="71" t="s">
        <v>50</v>
      </c>
      <c r="E679" s="70">
        <v>45812</v>
      </c>
      <c r="F679" s="71" t="s">
        <v>47</v>
      </c>
      <c r="G679" s="71">
        <f>_xlfn.XLOOKUP(E679,'Wk no''s'!B:B,'Wk no''s'!C:C,FALSE)</f>
        <v>23</v>
      </c>
    </row>
    <row r="680" spans="1:7" x14ac:dyDescent="0.25">
      <c r="A680" s="71" t="s">
        <v>1128</v>
      </c>
      <c r="B680" s="70">
        <v>45811</v>
      </c>
      <c r="C680" s="71">
        <v>100</v>
      </c>
      <c r="D680" s="71" t="s">
        <v>19</v>
      </c>
      <c r="E680" s="70">
        <v>45811</v>
      </c>
      <c r="F680" s="71" t="s">
        <v>47</v>
      </c>
      <c r="G680" s="71">
        <f>_xlfn.XLOOKUP(E680,'Wk no''s'!B:B,'Wk no''s'!C:C,FALSE)</f>
        <v>23</v>
      </c>
    </row>
    <row r="681" spans="1:7" x14ac:dyDescent="0.25">
      <c r="A681" s="71" t="s">
        <v>1130</v>
      </c>
      <c r="B681" s="71"/>
      <c r="C681" s="71">
        <v>100</v>
      </c>
      <c r="D681" s="71" t="s">
        <v>19</v>
      </c>
      <c r="E681" s="70">
        <v>45813</v>
      </c>
      <c r="F681" s="71" t="s">
        <v>47</v>
      </c>
      <c r="G681" s="71">
        <f>_xlfn.XLOOKUP(E681,'Wk no''s'!B:B,'Wk no''s'!C:C,FALSE)</f>
        <v>23</v>
      </c>
    </row>
    <row r="682" spans="1:7" x14ac:dyDescent="0.25">
      <c r="A682" s="71" t="s">
        <v>1136</v>
      </c>
      <c r="B682" s="70">
        <v>45810</v>
      </c>
      <c r="C682" s="71">
        <v>100</v>
      </c>
      <c r="D682" s="71" t="s">
        <v>50</v>
      </c>
      <c r="E682" s="70">
        <v>45810</v>
      </c>
      <c r="F682" s="71" t="s">
        <v>47</v>
      </c>
      <c r="G682" s="71">
        <f>_xlfn.XLOOKUP(E682,'Wk no''s'!B:B,'Wk no''s'!C:C,FALSE)</f>
        <v>23</v>
      </c>
    </row>
    <row r="683" spans="1:7" x14ac:dyDescent="0.25">
      <c r="A683" s="71" t="s">
        <v>1137</v>
      </c>
      <c r="B683" s="70">
        <v>45810</v>
      </c>
      <c r="C683" s="71">
        <v>100</v>
      </c>
      <c r="D683" s="71" t="s">
        <v>50</v>
      </c>
      <c r="E683" s="70">
        <v>45810</v>
      </c>
      <c r="F683" s="71" t="s">
        <v>47</v>
      </c>
      <c r="G683" s="71">
        <f>_xlfn.XLOOKUP(E683,'Wk no''s'!B:B,'Wk no''s'!C:C,FALSE)</f>
        <v>23</v>
      </c>
    </row>
    <row r="684" spans="1:7" x14ac:dyDescent="0.25">
      <c r="A684" s="71" t="s">
        <v>1138</v>
      </c>
      <c r="B684" s="70">
        <v>45814</v>
      </c>
      <c r="C684" s="71">
        <v>100</v>
      </c>
      <c r="D684" s="71" t="s">
        <v>50</v>
      </c>
      <c r="E684" s="70">
        <v>45814</v>
      </c>
      <c r="F684" s="71" t="s">
        <v>47</v>
      </c>
      <c r="G684" s="71">
        <f>_xlfn.XLOOKUP(E684,'Wk no''s'!B:B,'Wk no''s'!C:C,FALSE)</f>
        <v>23</v>
      </c>
    </row>
    <row r="685" spans="1:7" x14ac:dyDescent="0.25">
      <c r="A685" s="71" t="s">
        <v>1142</v>
      </c>
      <c r="B685" s="70">
        <v>45810</v>
      </c>
      <c r="C685" s="71">
        <v>0</v>
      </c>
      <c r="D685" s="71" t="s">
        <v>50</v>
      </c>
      <c r="E685" s="70">
        <v>45811</v>
      </c>
      <c r="F685" s="71" t="s">
        <v>11</v>
      </c>
      <c r="G685" s="71">
        <f>_xlfn.XLOOKUP(E685,'Wk no''s'!B:B,'Wk no''s'!C:C,FALSE)</f>
        <v>23</v>
      </c>
    </row>
    <row r="686" spans="1:7" x14ac:dyDescent="0.25">
      <c r="A686" s="71" t="s">
        <v>1143</v>
      </c>
      <c r="B686" s="70">
        <v>45807</v>
      </c>
      <c r="C686" s="71">
        <v>0</v>
      </c>
      <c r="D686" s="71" t="s">
        <v>50</v>
      </c>
      <c r="E686" s="70">
        <v>45811</v>
      </c>
      <c r="F686" s="71" t="s">
        <v>11</v>
      </c>
      <c r="G686" s="71">
        <f>_xlfn.XLOOKUP(E686,'Wk no''s'!B:B,'Wk no''s'!C:C,FALSE)</f>
        <v>23</v>
      </c>
    </row>
    <row r="687" spans="1:7" x14ac:dyDescent="0.25">
      <c r="A687" s="71" t="s">
        <v>1144</v>
      </c>
      <c r="B687" s="70">
        <v>45814</v>
      </c>
      <c r="C687" s="71">
        <v>100</v>
      </c>
      <c r="D687" s="71" t="s">
        <v>50</v>
      </c>
      <c r="E687" s="70">
        <v>45814</v>
      </c>
      <c r="F687" s="71" t="s">
        <v>11</v>
      </c>
      <c r="G687" s="71">
        <f>_xlfn.XLOOKUP(E687,'Wk no''s'!B:B,'Wk no''s'!C:C,FALSE)</f>
        <v>23</v>
      </c>
    </row>
    <row r="688" spans="1:7" x14ac:dyDescent="0.25">
      <c r="A688" s="71" t="s">
        <v>1145</v>
      </c>
      <c r="B688" s="70">
        <v>45814</v>
      </c>
      <c r="C688" s="71">
        <v>100</v>
      </c>
      <c r="D688" s="71" t="s">
        <v>50</v>
      </c>
      <c r="E688" s="70">
        <v>45812</v>
      </c>
      <c r="F688" s="71" t="s">
        <v>11</v>
      </c>
      <c r="G688" s="71">
        <f>_xlfn.XLOOKUP(E688,'Wk no''s'!B:B,'Wk no''s'!C:C,FALSE)</f>
        <v>23</v>
      </c>
    </row>
    <row r="689" spans="1:7" x14ac:dyDescent="0.25">
      <c r="A689" s="71" t="s">
        <v>1139</v>
      </c>
      <c r="B689" s="70">
        <v>45812</v>
      </c>
      <c r="C689" s="71">
        <v>100</v>
      </c>
      <c r="D689" s="71" t="s">
        <v>12</v>
      </c>
      <c r="E689" s="70">
        <v>45812</v>
      </c>
      <c r="F689" s="71" t="s">
        <v>11</v>
      </c>
      <c r="G689" s="71">
        <f>_xlfn.XLOOKUP(E689,'Wk no''s'!B:B,'Wk no''s'!C:C,FALSE)</f>
        <v>23</v>
      </c>
    </row>
    <row r="690" spans="1:7" x14ac:dyDescent="0.25">
      <c r="A690" s="71" t="s">
        <v>1141</v>
      </c>
      <c r="B690" s="70">
        <v>45813</v>
      </c>
      <c r="C690" s="71">
        <v>100</v>
      </c>
      <c r="D690" s="71" t="s">
        <v>19</v>
      </c>
      <c r="E690" s="70">
        <v>45813</v>
      </c>
      <c r="F690" s="71" t="s">
        <v>11</v>
      </c>
      <c r="G690" s="71">
        <f>_xlfn.XLOOKUP(E690,'Wk no''s'!B:B,'Wk no''s'!C:C,FALSE)</f>
        <v>23</v>
      </c>
    </row>
    <row r="691" spans="1:7" x14ac:dyDescent="0.25">
      <c r="A691" s="71" t="s">
        <v>1146</v>
      </c>
      <c r="B691" s="71"/>
      <c r="C691" s="71">
        <v>100</v>
      </c>
      <c r="D691" s="71" t="s">
        <v>50</v>
      </c>
      <c r="E691" s="70">
        <v>45812</v>
      </c>
      <c r="F691" s="71" t="s">
        <v>1148</v>
      </c>
      <c r="G691" s="71">
        <f>_xlfn.XLOOKUP(E691,'Wk no''s'!B:B,'Wk no''s'!C:C,FALSE)</f>
        <v>23</v>
      </c>
    </row>
    <row r="692" spans="1:7" x14ac:dyDescent="0.25">
      <c r="A692" s="71" t="s">
        <v>1149</v>
      </c>
      <c r="B692" s="70">
        <v>45812</v>
      </c>
      <c r="C692" s="71">
        <v>100</v>
      </c>
      <c r="D692" s="71" t="s">
        <v>19</v>
      </c>
      <c r="E692" s="70">
        <v>45811</v>
      </c>
      <c r="F692" s="71" t="s">
        <v>72</v>
      </c>
      <c r="G692" s="71">
        <f>_xlfn.XLOOKUP(E692,'Wk no''s'!B:B,'Wk no''s'!C:C,FALSE)</f>
        <v>23</v>
      </c>
    </row>
    <row r="693" spans="1:7" x14ac:dyDescent="0.25">
      <c r="A693" s="71" t="s">
        <v>1151</v>
      </c>
      <c r="B693" s="70">
        <v>45812</v>
      </c>
      <c r="C693" s="71">
        <v>100</v>
      </c>
      <c r="D693" s="71" t="s">
        <v>19</v>
      </c>
      <c r="E693" s="70">
        <v>45810</v>
      </c>
      <c r="F693" s="71" t="s">
        <v>72</v>
      </c>
      <c r="G693" s="71">
        <f>_xlfn.XLOOKUP(E693,'Wk no''s'!B:B,'Wk no''s'!C:C,FALSE)</f>
        <v>23</v>
      </c>
    </row>
    <row r="694" spans="1:7" x14ac:dyDescent="0.25">
      <c r="A694" s="71" t="s">
        <v>1152</v>
      </c>
      <c r="B694" s="70">
        <v>45813</v>
      </c>
      <c r="C694" s="71">
        <v>100</v>
      </c>
      <c r="D694" s="71" t="s">
        <v>19</v>
      </c>
      <c r="E694" s="70">
        <v>45812</v>
      </c>
      <c r="F694" s="71" t="s">
        <v>72</v>
      </c>
      <c r="G694" s="71">
        <f>_xlfn.XLOOKUP(E694,'Wk no''s'!B:B,'Wk no''s'!C:C,FALSE)</f>
        <v>23</v>
      </c>
    </row>
    <row r="695" spans="1:7" x14ac:dyDescent="0.25">
      <c r="A695" s="71" t="s">
        <v>1153</v>
      </c>
      <c r="B695" s="70">
        <v>45810</v>
      </c>
      <c r="C695" s="71">
        <v>100</v>
      </c>
      <c r="D695" s="71" t="s">
        <v>19</v>
      </c>
      <c r="E695" s="70">
        <v>45810</v>
      </c>
      <c r="F695" s="71" t="s">
        <v>72</v>
      </c>
      <c r="G695" s="71">
        <f>_xlfn.XLOOKUP(E695,'Wk no''s'!B:B,'Wk no''s'!C:C,FALSE)</f>
        <v>23</v>
      </c>
    </row>
    <row r="696" spans="1:7" x14ac:dyDescent="0.25">
      <c r="A696" s="71" t="s">
        <v>1154</v>
      </c>
      <c r="B696" s="70">
        <v>45814</v>
      </c>
      <c r="C696" s="71">
        <v>100</v>
      </c>
      <c r="D696" s="71" t="s">
        <v>19</v>
      </c>
      <c r="E696" s="70">
        <v>45813</v>
      </c>
      <c r="F696" s="71" t="s">
        <v>72</v>
      </c>
      <c r="G696" s="71">
        <f>_xlfn.XLOOKUP(E696,'Wk no''s'!B:B,'Wk no''s'!C:C,FALSE)</f>
        <v>23</v>
      </c>
    </row>
    <row r="697" spans="1:7" x14ac:dyDescent="0.25">
      <c r="A697" s="71" t="s">
        <v>1157</v>
      </c>
      <c r="B697" s="70">
        <v>45819</v>
      </c>
      <c r="C697" s="71">
        <v>100</v>
      </c>
      <c r="D697" s="71" t="s">
        <v>19</v>
      </c>
      <c r="E697" s="70">
        <v>45814</v>
      </c>
      <c r="F697" s="71" t="s">
        <v>72</v>
      </c>
      <c r="G697" s="71">
        <f>_xlfn.XLOOKUP(E697,'Wk no''s'!B:B,'Wk no''s'!C:C,FALSE)</f>
        <v>23</v>
      </c>
    </row>
    <row r="698" spans="1:7" x14ac:dyDescent="0.25">
      <c r="A698" s="71" t="s">
        <v>1158</v>
      </c>
      <c r="B698" s="70">
        <v>45814</v>
      </c>
      <c r="C698" s="71">
        <v>100</v>
      </c>
      <c r="D698" s="71" t="s">
        <v>19</v>
      </c>
      <c r="E698" s="70">
        <v>45814</v>
      </c>
      <c r="F698" s="71" t="s">
        <v>72</v>
      </c>
      <c r="G698" s="71">
        <f>_xlfn.XLOOKUP(E698,'Wk no''s'!B:B,'Wk no''s'!C:C,FALSE)</f>
        <v>23</v>
      </c>
    </row>
    <row r="699" spans="1:7" x14ac:dyDescent="0.25">
      <c r="A699" s="71" t="s">
        <v>1161</v>
      </c>
      <c r="B699" s="70">
        <v>45820</v>
      </c>
      <c r="C699" s="71">
        <v>0</v>
      </c>
      <c r="D699" s="71" t="s">
        <v>281</v>
      </c>
      <c r="E699" s="70">
        <v>45821</v>
      </c>
      <c r="F699" s="71" t="s">
        <v>16</v>
      </c>
      <c r="G699" s="71">
        <f>_xlfn.XLOOKUP(E699,'Wk no''s'!B:B,'Wk no''s'!C:C,FALSE)</f>
        <v>24</v>
      </c>
    </row>
    <row r="700" spans="1:7" x14ac:dyDescent="0.25">
      <c r="A700" s="71" t="s">
        <v>1159</v>
      </c>
      <c r="B700" s="70">
        <v>45819</v>
      </c>
      <c r="C700" s="71">
        <v>0</v>
      </c>
      <c r="D700" s="71" t="s">
        <v>19</v>
      </c>
      <c r="E700" s="70">
        <v>45820</v>
      </c>
      <c r="F700" s="71" t="s">
        <v>16</v>
      </c>
      <c r="G700" s="71">
        <f>_xlfn.XLOOKUP(E700,'Wk no''s'!B:B,'Wk no''s'!C:C,FALSE)</f>
        <v>24</v>
      </c>
    </row>
    <row r="701" spans="1:7" x14ac:dyDescent="0.25">
      <c r="A701" s="71" t="s">
        <v>1162</v>
      </c>
      <c r="B701" s="70">
        <v>45821</v>
      </c>
      <c r="C701" s="71">
        <v>100</v>
      </c>
      <c r="D701" s="71" t="s">
        <v>19</v>
      </c>
      <c r="E701" s="70">
        <v>45821</v>
      </c>
      <c r="F701" s="71" t="s">
        <v>16</v>
      </c>
      <c r="G701" s="71">
        <f>_xlfn.XLOOKUP(E701,'Wk no''s'!B:B,'Wk no''s'!C:C,FALSE)</f>
        <v>24</v>
      </c>
    </row>
    <row r="702" spans="1:7" x14ac:dyDescent="0.25">
      <c r="A702" s="71" t="s">
        <v>1160</v>
      </c>
      <c r="B702" s="70">
        <v>45820</v>
      </c>
      <c r="C702" s="71">
        <v>100</v>
      </c>
      <c r="D702" s="71" t="s">
        <v>19</v>
      </c>
      <c r="E702" s="70">
        <v>45820</v>
      </c>
      <c r="F702" s="71" t="s">
        <v>16</v>
      </c>
      <c r="G702" s="71">
        <f>_xlfn.XLOOKUP(E702,'Wk no''s'!B:B,'Wk no''s'!C:C,FALSE)</f>
        <v>24</v>
      </c>
    </row>
    <row r="703" spans="1:7" x14ac:dyDescent="0.25">
      <c r="A703" s="71" t="s">
        <v>1163</v>
      </c>
      <c r="B703" s="70">
        <v>45821</v>
      </c>
      <c r="C703" s="71">
        <v>100</v>
      </c>
      <c r="D703" s="71" t="s">
        <v>19</v>
      </c>
      <c r="E703" s="70">
        <v>45821</v>
      </c>
      <c r="F703" s="71" t="s">
        <v>16</v>
      </c>
      <c r="G703" s="71">
        <f>_xlfn.XLOOKUP(E703,'Wk no''s'!B:B,'Wk no''s'!C:C,FALSE)</f>
        <v>24</v>
      </c>
    </row>
    <row r="704" spans="1:7" x14ac:dyDescent="0.25">
      <c r="A704" s="71" t="s">
        <v>1164</v>
      </c>
      <c r="B704" s="70">
        <v>45821</v>
      </c>
      <c r="C704" s="71">
        <v>100</v>
      </c>
      <c r="D704" s="71" t="s">
        <v>50</v>
      </c>
      <c r="E704" s="70">
        <v>45821</v>
      </c>
      <c r="F704" s="71" t="s">
        <v>47</v>
      </c>
      <c r="G704" s="71">
        <f>_xlfn.XLOOKUP(E704,'Wk no''s'!B:B,'Wk no''s'!C:C,FALSE)</f>
        <v>24</v>
      </c>
    </row>
    <row r="705" spans="1:7" x14ac:dyDescent="0.25">
      <c r="A705" s="71" t="s">
        <v>1165</v>
      </c>
      <c r="B705" s="70">
        <v>45821</v>
      </c>
      <c r="C705" s="71">
        <v>100</v>
      </c>
      <c r="D705" s="71" t="s">
        <v>19</v>
      </c>
      <c r="E705" s="70">
        <v>45821</v>
      </c>
      <c r="F705" s="71" t="s">
        <v>47</v>
      </c>
      <c r="G705" s="71">
        <f>_xlfn.XLOOKUP(E705,'Wk no''s'!B:B,'Wk no''s'!C:C,FALSE)</f>
        <v>24</v>
      </c>
    </row>
    <row r="706" spans="1:7" x14ac:dyDescent="0.25">
      <c r="A706" s="71" t="s">
        <v>1166</v>
      </c>
      <c r="B706" s="70">
        <v>45821</v>
      </c>
      <c r="C706" s="71">
        <v>100</v>
      </c>
      <c r="D706" s="71" t="s">
        <v>50</v>
      </c>
      <c r="E706" s="70">
        <v>45821</v>
      </c>
      <c r="F706" s="71" t="s">
        <v>47</v>
      </c>
      <c r="G706" s="71">
        <f>_xlfn.XLOOKUP(E706,'Wk no''s'!B:B,'Wk no''s'!C:C,FALSE)</f>
        <v>24</v>
      </c>
    </row>
    <row r="707" spans="1:7" x14ac:dyDescent="0.25">
      <c r="A707" s="71" t="s">
        <v>1167</v>
      </c>
      <c r="B707" s="70">
        <v>45818</v>
      </c>
      <c r="C707" s="71">
        <v>100</v>
      </c>
      <c r="D707" s="71" t="s">
        <v>19</v>
      </c>
      <c r="E707" s="70">
        <v>45818</v>
      </c>
      <c r="F707" s="71" t="s">
        <v>47</v>
      </c>
      <c r="G707" s="71">
        <f>_xlfn.XLOOKUP(E707,'Wk no''s'!B:B,'Wk no''s'!C:C,FALSE)</f>
        <v>24</v>
      </c>
    </row>
    <row r="708" spans="1:7" x14ac:dyDescent="0.25">
      <c r="A708" s="71" t="s">
        <v>1168</v>
      </c>
      <c r="B708" s="70">
        <v>45817</v>
      </c>
      <c r="C708" s="71">
        <v>100</v>
      </c>
      <c r="D708" s="71" t="s">
        <v>50</v>
      </c>
      <c r="E708" s="70">
        <v>45817</v>
      </c>
      <c r="F708" s="71" t="s">
        <v>47</v>
      </c>
      <c r="G708" s="71">
        <f>_xlfn.XLOOKUP(E708,'Wk no''s'!B:B,'Wk no''s'!C:C,FALSE)</f>
        <v>24</v>
      </c>
    </row>
    <row r="709" spans="1:7" x14ac:dyDescent="0.25">
      <c r="A709" s="71" t="s">
        <v>1169</v>
      </c>
      <c r="B709" s="70">
        <v>45821</v>
      </c>
      <c r="C709" s="71">
        <v>100</v>
      </c>
      <c r="D709" s="71" t="s">
        <v>50</v>
      </c>
      <c r="E709" s="70">
        <v>45821</v>
      </c>
      <c r="F709" s="71" t="s">
        <v>47</v>
      </c>
      <c r="G709" s="71">
        <f>_xlfn.XLOOKUP(E709,'Wk no''s'!B:B,'Wk no''s'!C:C,FALSE)</f>
        <v>24</v>
      </c>
    </row>
    <row r="710" spans="1:7" x14ac:dyDescent="0.25">
      <c r="A710" s="71" t="s">
        <v>1170</v>
      </c>
      <c r="B710" s="70">
        <v>45819</v>
      </c>
      <c r="C710" s="71">
        <v>0</v>
      </c>
      <c r="D710" s="71" t="s">
        <v>50</v>
      </c>
      <c r="E710" s="70">
        <v>45821</v>
      </c>
      <c r="F710" s="71" t="s">
        <v>11</v>
      </c>
      <c r="G710" s="71">
        <f>_xlfn.XLOOKUP(E710,'Wk no''s'!B:B,'Wk no''s'!C:C,FALSE)</f>
        <v>24</v>
      </c>
    </row>
    <row r="711" spans="1:7" x14ac:dyDescent="0.25">
      <c r="A711" s="71" t="s">
        <v>1171</v>
      </c>
      <c r="B711" s="70">
        <v>45814</v>
      </c>
      <c r="C711" s="71">
        <v>0</v>
      </c>
      <c r="D711" s="71" t="s">
        <v>50</v>
      </c>
      <c r="E711" s="70">
        <v>45821</v>
      </c>
      <c r="F711" s="71" t="s">
        <v>11</v>
      </c>
      <c r="G711" s="71">
        <f>_xlfn.XLOOKUP(E711,'Wk no''s'!B:B,'Wk no''s'!C:C,FALSE)</f>
        <v>24</v>
      </c>
    </row>
    <row r="712" spans="1:7" x14ac:dyDescent="0.25">
      <c r="A712" s="71" t="s">
        <v>1191</v>
      </c>
      <c r="B712" s="70">
        <v>45821</v>
      </c>
      <c r="C712" s="71">
        <v>0</v>
      </c>
      <c r="D712" s="71" t="s">
        <v>19</v>
      </c>
      <c r="E712" s="70">
        <v>45823</v>
      </c>
      <c r="F712" s="71" t="s">
        <v>11</v>
      </c>
      <c r="G712" s="71">
        <f>_xlfn.XLOOKUP(E712,'Wk no''s'!B:B,'Wk no''s'!C:C,FALSE)</f>
        <v>25</v>
      </c>
    </row>
    <row r="713" spans="1:7" x14ac:dyDescent="0.25">
      <c r="A713" s="71" t="s">
        <v>1172</v>
      </c>
      <c r="B713" s="70">
        <v>45818</v>
      </c>
      <c r="C713" s="71">
        <v>0</v>
      </c>
      <c r="D713" s="71" t="s">
        <v>50</v>
      </c>
      <c r="E713" s="70">
        <v>45819</v>
      </c>
      <c r="F713" s="71" t="s">
        <v>11</v>
      </c>
      <c r="G713" s="71">
        <f>_xlfn.XLOOKUP(E713,'Wk no''s'!B:B,'Wk no''s'!C:C,FALSE)</f>
        <v>24</v>
      </c>
    </row>
    <row r="714" spans="1:7" x14ac:dyDescent="0.25">
      <c r="A714" s="71" t="s">
        <v>1173</v>
      </c>
      <c r="B714" s="71"/>
      <c r="C714" s="71">
        <v>100</v>
      </c>
      <c r="D714" s="71" t="s">
        <v>12</v>
      </c>
      <c r="E714" s="70">
        <v>45818</v>
      </c>
      <c r="F714" s="71" t="s">
        <v>11</v>
      </c>
      <c r="G714" s="71">
        <f>_xlfn.XLOOKUP(E714,'Wk no''s'!B:B,'Wk no''s'!C:C,FALSE)</f>
        <v>24</v>
      </c>
    </row>
    <row r="715" spans="1:7" x14ac:dyDescent="0.25">
      <c r="A715" s="71" t="s">
        <v>1174</v>
      </c>
      <c r="B715" s="70">
        <v>45820</v>
      </c>
      <c r="C715" s="71">
        <v>100</v>
      </c>
      <c r="D715" s="71" t="s">
        <v>50</v>
      </c>
      <c r="E715" s="70">
        <v>45820</v>
      </c>
      <c r="F715" s="71" t="s">
        <v>11</v>
      </c>
      <c r="G715" s="71">
        <f>_xlfn.XLOOKUP(E715,'Wk no''s'!B:B,'Wk no''s'!C:C,FALSE)</f>
        <v>24</v>
      </c>
    </row>
    <row r="716" spans="1:7" x14ac:dyDescent="0.25">
      <c r="A716" s="71" t="s">
        <v>1175</v>
      </c>
      <c r="B716" s="70">
        <v>45821</v>
      </c>
      <c r="C716" s="71">
        <v>100</v>
      </c>
      <c r="D716" s="71" t="s">
        <v>50</v>
      </c>
      <c r="E716" s="70">
        <v>45821</v>
      </c>
      <c r="F716" s="71" t="s">
        <v>11</v>
      </c>
      <c r="G716" s="71">
        <f>_xlfn.XLOOKUP(E716,'Wk no''s'!B:B,'Wk no''s'!C:C,FALSE)</f>
        <v>24</v>
      </c>
    </row>
    <row r="717" spans="1:7" x14ac:dyDescent="0.25">
      <c r="A717" s="71" t="s">
        <v>1155</v>
      </c>
      <c r="B717" s="70">
        <v>45824</v>
      </c>
      <c r="C717" s="71">
        <v>100</v>
      </c>
      <c r="D717" s="71" t="s">
        <v>19</v>
      </c>
      <c r="E717" s="70">
        <v>45821</v>
      </c>
      <c r="F717" s="71" t="s">
        <v>72</v>
      </c>
      <c r="G717" s="71">
        <f>_xlfn.XLOOKUP(E717,'Wk no''s'!B:B,'Wk no''s'!C:C,FALSE)</f>
        <v>24</v>
      </c>
    </row>
    <row r="718" spans="1:7" x14ac:dyDescent="0.25">
      <c r="A718" s="71" t="s">
        <v>1176</v>
      </c>
      <c r="B718" s="70">
        <v>45819</v>
      </c>
      <c r="C718" s="71">
        <v>100</v>
      </c>
      <c r="D718" s="71" t="s">
        <v>19</v>
      </c>
      <c r="E718" s="70">
        <v>45817</v>
      </c>
      <c r="F718" s="71" t="s">
        <v>72</v>
      </c>
      <c r="G718" s="71">
        <f>_xlfn.XLOOKUP(E718,'Wk no''s'!B:B,'Wk no''s'!C:C,FALSE)</f>
        <v>24</v>
      </c>
    </row>
    <row r="719" spans="1:7" x14ac:dyDescent="0.25">
      <c r="A719" s="71" t="s">
        <v>1177</v>
      </c>
      <c r="B719" s="70">
        <v>45824</v>
      </c>
      <c r="C719" s="71">
        <v>100</v>
      </c>
      <c r="D719" s="71" t="s">
        <v>19</v>
      </c>
      <c r="E719" s="70">
        <v>45821</v>
      </c>
      <c r="F719" s="71" t="s">
        <v>72</v>
      </c>
      <c r="G719" s="71">
        <f>_xlfn.XLOOKUP(E719,'Wk no''s'!B:B,'Wk no''s'!C:C,FALSE)</f>
        <v>24</v>
      </c>
    </row>
    <row r="720" spans="1:7" x14ac:dyDescent="0.25">
      <c r="A720" s="71" t="s">
        <v>1178</v>
      </c>
      <c r="B720" s="70">
        <v>45820</v>
      </c>
      <c r="C720" s="71">
        <v>100</v>
      </c>
      <c r="D720" s="71" t="s">
        <v>19</v>
      </c>
      <c r="E720" s="70">
        <v>45820</v>
      </c>
      <c r="F720" s="71" t="s">
        <v>72</v>
      </c>
      <c r="G720" s="71">
        <f>_xlfn.XLOOKUP(E720,'Wk no''s'!B:B,'Wk no''s'!C:C,FALSE)</f>
        <v>24</v>
      </c>
    </row>
    <row r="721" spans="1:7" x14ac:dyDescent="0.25">
      <c r="A721" s="71" t="s">
        <v>1179</v>
      </c>
      <c r="B721" s="70">
        <v>45824</v>
      </c>
      <c r="C721" s="71">
        <v>100</v>
      </c>
      <c r="D721" s="71" t="s">
        <v>19</v>
      </c>
      <c r="E721" s="70">
        <v>45821</v>
      </c>
      <c r="F721" s="71" t="s">
        <v>72</v>
      </c>
      <c r="G721" s="71">
        <f>_xlfn.XLOOKUP(E721,'Wk no''s'!B:B,'Wk no''s'!C:C,FALSE)</f>
        <v>24</v>
      </c>
    </row>
    <row r="722" spans="1:7" x14ac:dyDescent="0.25">
      <c r="A722" s="71" t="s">
        <v>1180</v>
      </c>
      <c r="B722" s="70">
        <v>45821</v>
      </c>
      <c r="C722" s="71">
        <v>100</v>
      </c>
      <c r="D722" s="71" t="s">
        <v>19</v>
      </c>
      <c r="E722" s="70">
        <v>45818</v>
      </c>
      <c r="F722" s="71" t="s">
        <v>72</v>
      </c>
      <c r="G722" s="71">
        <f>_xlfn.XLOOKUP(E722,'Wk no''s'!B:B,'Wk no''s'!C:C,FALSE)</f>
        <v>24</v>
      </c>
    </row>
    <row r="723" spans="1:7" x14ac:dyDescent="0.25">
      <c r="A723" s="71" t="s">
        <v>1181</v>
      </c>
      <c r="B723" s="70">
        <v>45819</v>
      </c>
      <c r="C723" s="71">
        <v>100</v>
      </c>
      <c r="D723" s="71" t="s">
        <v>19</v>
      </c>
      <c r="E723" s="70">
        <v>45818</v>
      </c>
      <c r="F723" s="71" t="s">
        <v>72</v>
      </c>
      <c r="G723" s="71">
        <f>_xlfn.XLOOKUP(E723,'Wk no''s'!B:B,'Wk no''s'!C:C,FALSE)</f>
        <v>24</v>
      </c>
    </row>
    <row r="724" spans="1:7" x14ac:dyDescent="0.25">
      <c r="A724" s="71" t="s">
        <v>1192</v>
      </c>
      <c r="B724" s="70">
        <v>45813</v>
      </c>
      <c r="C724" s="71">
        <v>0</v>
      </c>
      <c r="D724" s="71" t="s">
        <v>19</v>
      </c>
      <c r="E724" s="70">
        <v>45824</v>
      </c>
      <c r="F724" s="71" t="s">
        <v>16</v>
      </c>
      <c r="G724" s="71">
        <f>_xlfn.XLOOKUP(E724,'Wk no''s'!B:B,'Wk no''s'!C:C,FALSE)</f>
        <v>25</v>
      </c>
    </row>
    <row r="725" spans="1:7" x14ac:dyDescent="0.25">
      <c r="A725" s="71" t="s">
        <v>1193</v>
      </c>
      <c r="B725" s="70">
        <v>45819</v>
      </c>
      <c r="C725" s="71">
        <v>0</v>
      </c>
      <c r="D725" s="71" t="s">
        <v>19</v>
      </c>
      <c r="E725" s="70">
        <v>45827</v>
      </c>
      <c r="F725" s="71" t="s">
        <v>16</v>
      </c>
      <c r="G725" s="71">
        <f>_xlfn.XLOOKUP(E725,'Wk no''s'!B:B,'Wk no''s'!C:C,FALSE)</f>
        <v>25</v>
      </c>
    </row>
    <row r="726" spans="1:7" x14ac:dyDescent="0.25">
      <c r="A726" s="71" t="s">
        <v>1194</v>
      </c>
      <c r="B726" s="70">
        <v>45824</v>
      </c>
      <c r="C726" s="71">
        <v>0</v>
      </c>
      <c r="D726" s="71" t="s">
        <v>19</v>
      </c>
      <c r="E726" s="70">
        <v>45828</v>
      </c>
      <c r="F726" s="71" t="s">
        <v>16</v>
      </c>
      <c r="G726" s="71">
        <f>_xlfn.XLOOKUP(E726,'Wk no''s'!B:B,'Wk no''s'!C:C,FALSE)</f>
        <v>25</v>
      </c>
    </row>
    <row r="727" spans="1:7" x14ac:dyDescent="0.25">
      <c r="A727" s="71" t="s">
        <v>1195</v>
      </c>
      <c r="B727" s="70">
        <v>45825</v>
      </c>
      <c r="C727" s="71">
        <v>0</v>
      </c>
      <c r="D727" s="71" t="s">
        <v>19</v>
      </c>
      <c r="E727" s="70">
        <v>45826</v>
      </c>
      <c r="F727" s="71" t="s">
        <v>16</v>
      </c>
      <c r="G727" s="71">
        <f>_xlfn.XLOOKUP(E727,'Wk no''s'!B:B,'Wk no''s'!C:C,FALSE)</f>
        <v>25</v>
      </c>
    </row>
    <row r="728" spans="1:7" x14ac:dyDescent="0.25">
      <c r="A728" s="71" t="s">
        <v>1196</v>
      </c>
      <c r="B728" s="70">
        <v>45826</v>
      </c>
      <c r="C728" s="71">
        <v>0</v>
      </c>
      <c r="D728" s="71" t="s">
        <v>19</v>
      </c>
      <c r="E728" s="70">
        <v>45828</v>
      </c>
      <c r="F728" s="71" t="s">
        <v>16</v>
      </c>
      <c r="G728" s="71">
        <f>_xlfn.XLOOKUP(E728,'Wk no''s'!B:B,'Wk no''s'!C:C,FALSE)</f>
        <v>25</v>
      </c>
    </row>
    <row r="729" spans="1:7" x14ac:dyDescent="0.25">
      <c r="A729" s="71" t="s">
        <v>1197</v>
      </c>
      <c r="B729" s="70">
        <v>45826</v>
      </c>
      <c r="C729" s="71">
        <v>100</v>
      </c>
      <c r="D729" s="71" t="s">
        <v>19</v>
      </c>
      <c r="E729" s="70">
        <v>45826</v>
      </c>
      <c r="F729" s="71" t="s">
        <v>16</v>
      </c>
      <c r="G729" s="71">
        <f>_xlfn.XLOOKUP(E729,'Wk no''s'!B:B,'Wk no''s'!C:C,FALSE)</f>
        <v>25</v>
      </c>
    </row>
    <row r="730" spans="1:7" x14ac:dyDescent="0.25">
      <c r="A730" s="71" t="s">
        <v>1198</v>
      </c>
      <c r="B730" s="70">
        <v>45827</v>
      </c>
      <c r="C730" s="71">
        <v>100</v>
      </c>
      <c r="D730" s="71" t="s">
        <v>19</v>
      </c>
      <c r="E730" s="70">
        <v>45827</v>
      </c>
      <c r="F730" s="71" t="s">
        <v>16</v>
      </c>
      <c r="G730" s="71">
        <f>_xlfn.XLOOKUP(E730,'Wk no''s'!B:B,'Wk no''s'!C:C,FALSE)</f>
        <v>25</v>
      </c>
    </row>
    <row r="731" spans="1:7" x14ac:dyDescent="0.25">
      <c r="A731" s="71" t="s">
        <v>1199</v>
      </c>
      <c r="B731" s="70">
        <v>45824</v>
      </c>
      <c r="C731" s="71">
        <v>100</v>
      </c>
      <c r="D731" s="71" t="s">
        <v>19</v>
      </c>
      <c r="E731" s="70">
        <v>45824</v>
      </c>
      <c r="F731" s="71" t="s">
        <v>16</v>
      </c>
      <c r="G731" s="71">
        <f>_xlfn.XLOOKUP(E731,'Wk no''s'!B:B,'Wk no''s'!C:C,FALSE)</f>
        <v>25</v>
      </c>
    </row>
    <row r="732" spans="1:7" x14ac:dyDescent="0.25">
      <c r="A732" s="71" t="s">
        <v>1200</v>
      </c>
      <c r="B732" s="71"/>
      <c r="C732" s="71">
        <v>100</v>
      </c>
      <c r="D732" s="71" t="s">
        <v>19</v>
      </c>
      <c r="E732" s="70">
        <v>45828</v>
      </c>
      <c r="F732" s="71" t="s">
        <v>16</v>
      </c>
      <c r="G732" s="71">
        <f>_xlfn.XLOOKUP(E732,'Wk no''s'!B:B,'Wk no''s'!C:C,FALSE)</f>
        <v>25</v>
      </c>
    </row>
    <row r="733" spans="1:7" x14ac:dyDescent="0.25">
      <c r="A733" s="71" t="s">
        <v>1201</v>
      </c>
      <c r="B733" s="70">
        <v>45828</v>
      </c>
      <c r="C733" s="71">
        <v>100</v>
      </c>
      <c r="D733" s="71" t="s">
        <v>19</v>
      </c>
      <c r="E733" s="70">
        <v>45828</v>
      </c>
      <c r="F733" s="71" t="s">
        <v>16</v>
      </c>
      <c r="G733" s="71">
        <f>_xlfn.XLOOKUP(E733,'Wk no''s'!B:B,'Wk no''s'!C:C,FALSE)</f>
        <v>25</v>
      </c>
    </row>
    <row r="734" spans="1:7" x14ac:dyDescent="0.25">
      <c r="A734" s="71" t="s">
        <v>1202</v>
      </c>
      <c r="B734" s="70">
        <v>45828</v>
      </c>
      <c r="C734" s="71">
        <v>100</v>
      </c>
      <c r="D734" s="71" t="s">
        <v>19</v>
      </c>
      <c r="E734" s="70">
        <v>45828</v>
      </c>
      <c r="F734" s="71" t="s">
        <v>16</v>
      </c>
      <c r="G734" s="71">
        <f>_xlfn.XLOOKUP(E734,'Wk no''s'!B:B,'Wk no''s'!C:C,FALSE)</f>
        <v>25</v>
      </c>
    </row>
    <row r="735" spans="1:7" x14ac:dyDescent="0.25">
      <c r="A735" s="71" t="s">
        <v>1203</v>
      </c>
      <c r="B735" s="71"/>
      <c r="C735" s="71">
        <v>100</v>
      </c>
      <c r="D735" s="71" t="s">
        <v>19</v>
      </c>
      <c r="E735" s="70">
        <v>45827</v>
      </c>
      <c r="F735" s="71" t="s">
        <v>47</v>
      </c>
      <c r="G735" s="71">
        <f>_xlfn.XLOOKUP(E735,'Wk no''s'!B:B,'Wk no''s'!C:C,FALSE)</f>
        <v>25</v>
      </c>
    </row>
    <row r="736" spans="1:7" x14ac:dyDescent="0.25">
      <c r="A736" s="71" t="s">
        <v>1204</v>
      </c>
      <c r="B736" s="71"/>
      <c r="C736" s="71">
        <v>100</v>
      </c>
      <c r="D736" s="71" t="s">
        <v>50</v>
      </c>
      <c r="E736" s="70">
        <v>45827</v>
      </c>
      <c r="F736" s="71" t="s">
        <v>47</v>
      </c>
      <c r="G736" s="71">
        <f>_xlfn.XLOOKUP(E736,'Wk no''s'!B:B,'Wk no''s'!C:C,FALSE)</f>
        <v>25</v>
      </c>
    </row>
    <row r="737" spans="1:7" x14ac:dyDescent="0.25">
      <c r="A737" s="71" t="s">
        <v>1225</v>
      </c>
      <c r="B737" s="70">
        <v>45826</v>
      </c>
      <c r="C737" s="71">
        <v>0</v>
      </c>
      <c r="D737" s="71" t="s">
        <v>19</v>
      </c>
      <c r="E737" s="70">
        <v>45830</v>
      </c>
      <c r="F737" s="71" t="s">
        <v>11</v>
      </c>
      <c r="G737" s="71">
        <f>_xlfn.XLOOKUP(E737,'Wk no''s'!B:B,'Wk no''s'!C:C,FALSE)</f>
        <v>26</v>
      </c>
    </row>
    <row r="738" spans="1:7" x14ac:dyDescent="0.25">
      <c r="A738" s="71" t="s">
        <v>1205</v>
      </c>
      <c r="B738" s="70">
        <v>45827</v>
      </c>
      <c r="C738" s="71">
        <v>0</v>
      </c>
      <c r="D738" s="71" t="s">
        <v>12</v>
      </c>
      <c r="E738" s="70">
        <v>45828</v>
      </c>
      <c r="F738" s="71" t="s">
        <v>11</v>
      </c>
      <c r="G738" s="71">
        <f>_xlfn.XLOOKUP(E738,'Wk no''s'!B:B,'Wk no''s'!C:C,FALSE)</f>
        <v>25</v>
      </c>
    </row>
    <row r="739" spans="1:7" x14ac:dyDescent="0.25">
      <c r="A739" s="71" t="s">
        <v>1206</v>
      </c>
      <c r="B739" s="70">
        <v>45826</v>
      </c>
      <c r="C739" s="71">
        <v>0</v>
      </c>
      <c r="D739" s="71" t="s">
        <v>19</v>
      </c>
      <c r="E739" s="70">
        <v>45828</v>
      </c>
      <c r="F739" s="71" t="s">
        <v>11</v>
      </c>
      <c r="G739" s="71">
        <f>_xlfn.XLOOKUP(E739,'Wk no''s'!B:B,'Wk no''s'!C:C,FALSE)</f>
        <v>25</v>
      </c>
    </row>
    <row r="740" spans="1:7" x14ac:dyDescent="0.25">
      <c r="A740" s="71" t="s">
        <v>1207</v>
      </c>
      <c r="B740" s="70">
        <v>45827</v>
      </c>
      <c r="C740" s="71">
        <v>100</v>
      </c>
      <c r="D740" s="71" t="s">
        <v>19</v>
      </c>
      <c r="E740" s="70">
        <v>45826</v>
      </c>
      <c r="F740" s="71" t="s">
        <v>11</v>
      </c>
      <c r="G740" s="71">
        <f>_xlfn.XLOOKUP(E740,'Wk no''s'!B:B,'Wk no''s'!C:C,FALSE)</f>
        <v>25</v>
      </c>
    </row>
    <row r="741" spans="1:7" x14ac:dyDescent="0.25">
      <c r="A741" s="71" t="s">
        <v>1208</v>
      </c>
      <c r="B741" s="70">
        <v>45825</v>
      </c>
      <c r="C741" s="71">
        <v>100</v>
      </c>
      <c r="D741" s="71" t="s">
        <v>50</v>
      </c>
      <c r="E741" s="70">
        <v>45825</v>
      </c>
      <c r="F741" s="71" t="s">
        <v>11</v>
      </c>
      <c r="G741" s="71">
        <f>_xlfn.XLOOKUP(E741,'Wk no''s'!B:B,'Wk no''s'!C:C,FALSE)</f>
        <v>25</v>
      </c>
    </row>
    <row r="742" spans="1:7" x14ac:dyDescent="0.25">
      <c r="A742" s="71" t="s">
        <v>1209</v>
      </c>
      <c r="B742" s="70">
        <v>45824</v>
      </c>
      <c r="C742" s="71">
        <v>100</v>
      </c>
      <c r="D742" s="71" t="s">
        <v>12</v>
      </c>
      <c r="E742" s="70">
        <v>45824</v>
      </c>
      <c r="F742" s="71" t="s">
        <v>11</v>
      </c>
      <c r="G742" s="71">
        <f>_xlfn.XLOOKUP(E742,'Wk no''s'!B:B,'Wk no''s'!C:C,FALSE)</f>
        <v>25</v>
      </c>
    </row>
    <row r="743" spans="1:7" x14ac:dyDescent="0.25">
      <c r="A743" s="71" t="s">
        <v>1210</v>
      </c>
      <c r="B743" s="70">
        <v>45826</v>
      </c>
      <c r="C743" s="71">
        <v>100</v>
      </c>
      <c r="D743" s="71" t="s">
        <v>19</v>
      </c>
      <c r="E743" s="70">
        <v>45826</v>
      </c>
      <c r="F743" s="71" t="s">
        <v>72</v>
      </c>
      <c r="G743" s="71">
        <f>_xlfn.XLOOKUP(E743,'Wk no''s'!B:B,'Wk no''s'!C:C,FALSE)</f>
        <v>25</v>
      </c>
    </row>
    <row r="744" spans="1:7" x14ac:dyDescent="0.25">
      <c r="A744" s="71" t="s">
        <v>1211</v>
      </c>
      <c r="B744" s="71"/>
      <c r="C744" s="71">
        <v>100</v>
      </c>
      <c r="D744" s="71" t="s">
        <v>19</v>
      </c>
      <c r="E744" s="70">
        <v>45825</v>
      </c>
      <c r="F744" s="71" t="s">
        <v>72</v>
      </c>
      <c r="G744" s="71">
        <f>_xlfn.XLOOKUP(E744,'Wk no''s'!B:B,'Wk no''s'!C:C,FALSE)</f>
        <v>25</v>
      </c>
    </row>
    <row r="745" spans="1:7" x14ac:dyDescent="0.25">
      <c r="A745" s="71" t="s">
        <v>1212</v>
      </c>
      <c r="B745" s="70">
        <v>45828</v>
      </c>
      <c r="C745" s="71">
        <v>100</v>
      </c>
      <c r="D745" s="71" t="s">
        <v>19</v>
      </c>
      <c r="E745" s="70">
        <v>45828</v>
      </c>
      <c r="F745" s="71" t="s">
        <v>72</v>
      </c>
      <c r="G745" s="71">
        <f>_xlfn.XLOOKUP(E745,'Wk no''s'!B:B,'Wk no''s'!C:C,FALSE)</f>
        <v>25</v>
      </c>
    </row>
    <row r="746" spans="1:7" x14ac:dyDescent="0.25">
      <c r="A746" s="71" t="s">
        <v>1226</v>
      </c>
      <c r="B746" s="70">
        <v>45832</v>
      </c>
      <c r="C746" s="71">
        <v>0</v>
      </c>
      <c r="D746" s="71" t="s">
        <v>19</v>
      </c>
      <c r="E746" s="70">
        <v>45834</v>
      </c>
      <c r="F746" s="71" t="s">
        <v>16</v>
      </c>
      <c r="G746" s="71">
        <f>_xlfn.XLOOKUP(E746,'Wk no''s'!B:B,'Wk no''s'!C:C,FALSE)</f>
        <v>26</v>
      </c>
    </row>
    <row r="747" spans="1:7" x14ac:dyDescent="0.25">
      <c r="A747" s="71" t="s">
        <v>1227</v>
      </c>
      <c r="B747" s="70">
        <v>45827</v>
      </c>
      <c r="C747" s="71">
        <v>0</v>
      </c>
      <c r="D747" s="71" t="s">
        <v>19</v>
      </c>
      <c r="E747" s="70">
        <v>45832</v>
      </c>
      <c r="F747" s="71" t="s">
        <v>16</v>
      </c>
      <c r="G747" s="71">
        <f>_xlfn.XLOOKUP(E747,'Wk no''s'!B:B,'Wk no''s'!C:C,FALSE)</f>
        <v>26</v>
      </c>
    </row>
    <row r="748" spans="1:7" x14ac:dyDescent="0.25">
      <c r="A748" s="71" t="s">
        <v>1228</v>
      </c>
      <c r="B748" s="70">
        <v>45834</v>
      </c>
      <c r="C748" s="71">
        <v>0</v>
      </c>
      <c r="D748" s="71" t="s">
        <v>19</v>
      </c>
      <c r="E748" s="70">
        <v>45835</v>
      </c>
      <c r="F748" s="71" t="s">
        <v>16</v>
      </c>
      <c r="G748" s="71">
        <f>_xlfn.XLOOKUP(E748,'Wk no''s'!B:B,'Wk no''s'!C:C,FALSE)</f>
        <v>26</v>
      </c>
    </row>
    <row r="749" spans="1:7" x14ac:dyDescent="0.25">
      <c r="A749" s="71" t="s">
        <v>1229</v>
      </c>
      <c r="B749" s="70">
        <v>45831</v>
      </c>
      <c r="C749" s="71">
        <v>0</v>
      </c>
      <c r="D749" s="71" t="s">
        <v>19</v>
      </c>
      <c r="E749" s="70">
        <v>45833</v>
      </c>
      <c r="F749" s="71" t="s">
        <v>16</v>
      </c>
      <c r="G749" s="71">
        <f>_xlfn.XLOOKUP(E749,'Wk no''s'!B:B,'Wk no''s'!C:C,FALSE)</f>
        <v>26</v>
      </c>
    </row>
    <row r="750" spans="1:7" x14ac:dyDescent="0.25">
      <c r="A750" s="71" t="s">
        <v>1230</v>
      </c>
      <c r="B750" s="70">
        <v>45832</v>
      </c>
      <c r="C750" s="71">
        <v>0</v>
      </c>
      <c r="D750" s="71" t="s">
        <v>19</v>
      </c>
      <c r="E750" s="70">
        <v>45834</v>
      </c>
      <c r="F750" s="71" t="s">
        <v>16</v>
      </c>
      <c r="G750" s="71">
        <f>_xlfn.XLOOKUP(E750,'Wk no''s'!B:B,'Wk no''s'!C:C,FALSE)</f>
        <v>26</v>
      </c>
    </row>
    <row r="751" spans="1:7" x14ac:dyDescent="0.25">
      <c r="A751" s="71" t="s">
        <v>1232</v>
      </c>
      <c r="B751" s="70">
        <v>45834</v>
      </c>
      <c r="C751" s="71">
        <v>100</v>
      </c>
      <c r="D751" s="71" t="s">
        <v>19</v>
      </c>
      <c r="E751" s="70">
        <v>45834</v>
      </c>
      <c r="F751" s="71" t="s">
        <v>16</v>
      </c>
      <c r="G751" s="71">
        <f>_xlfn.XLOOKUP(E751,'Wk no''s'!B:B,'Wk no''s'!C:C,FALSE)</f>
        <v>26</v>
      </c>
    </row>
    <row r="752" spans="1:7" x14ac:dyDescent="0.25">
      <c r="A752" s="71" t="s">
        <v>1233</v>
      </c>
      <c r="B752" s="70">
        <v>45832</v>
      </c>
      <c r="C752" s="71">
        <v>100</v>
      </c>
      <c r="D752" s="71" t="s">
        <v>19</v>
      </c>
      <c r="E752" s="70">
        <v>45832</v>
      </c>
      <c r="F752" s="71" t="s">
        <v>16</v>
      </c>
      <c r="G752" s="71">
        <f>_xlfn.XLOOKUP(E752,'Wk no''s'!B:B,'Wk no''s'!C:C,FALSE)</f>
        <v>26</v>
      </c>
    </row>
    <row r="753" spans="1:7" x14ac:dyDescent="0.25">
      <c r="A753" s="71" t="s">
        <v>1234</v>
      </c>
      <c r="B753" s="70">
        <v>45833</v>
      </c>
      <c r="C753" s="71">
        <v>100</v>
      </c>
      <c r="D753" s="71" t="s">
        <v>19</v>
      </c>
      <c r="E753" s="70">
        <v>45833</v>
      </c>
      <c r="F753" s="71" t="s">
        <v>16</v>
      </c>
      <c r="G753" s="71">
        <f>_xlfn.XLOOKUP(E753,'Wk no''s'!B:B,'Wk no''s'!C:C,FALSE)</f>
        <v>26</v>
      </c>
    </row>
    <row r="754" spans="1:7" x14ac:dyDescent="0.25">
      <c r="A754" s="71" t="s">
        <v>1236</v>
      </c>
      <c r="B754" s="70">
        <v>45835</v>
      </c>
      <c r="C754" s="71">
        <v>100</v>
      </c>
      <c r="D754" s="71" t="s">
        <v>19</v>
      </c>
      <c r="E754" s="70">
        <v>45835</v>
      </c>
      <c r="F754" s="71" t="s">
        <v>16</v>
      </c>
      <c r="G754" s="71">
        <f>_xlfn.XLOOKUP(E754,'Wk no''s'!B:B,'Wk no''s'!C:C,FALSE)</f>
        <v>26</v>
      </c>
    </row>
    <row r="755" spans="1:7" x14ac:dyDescent="0.25">
      <c r="A755" s="71" t="s">
        <v>1237</v>
      </c>
      <c r="B755" s="70">
        <v>45834</v>
      </c>
      <c r="C755" s="71">
        <v>100</v>
      </c>
      <c r="D755" s="71" t="s">
        <v>19</v>
      </c>
      <c r="E755" s="70">
        <v>45833</v>
      </c>
      <c r="F755" s="71" t="s">
        <v>16</v>
      </c>
      <c r="G755" s="71">
        <f>_xlfn.XLOOKUP(E755,'Wk no''s'!B:B,'Wk no''s'!C:C,FALSE)</f>
        <v>26</v>
      </c>
    </row>
    <row r="756" spans="1:7" x14ac:dyDescent="0.25">
      <c r="A756" s="71" t="s">
        <v>1238</v>
      </c>
      <c r="B756" s="71"/>
      <c r="C756" s="71">
        <v>100</v>
      </c>
      <c r="D756" s="71" t="s">
        <v>19</v>
      </c>
      <c r="E756" s="70">
        <v>45831</v>
      </c>
      <c r="F756" s="71" t="s">
        <v>16</v>
      </c>
      <c r="G756" s="71">
        <f>_xlfn.XLOOKUP(E756,'Wk no''s'!B:B,'Wk no''s'!C:C,FALSE)</f>
        <v>26</v>
      </c>
    </row>
    <row r="757" spans="1:7" x14ac:dyDescent="0.25">
      <c r="A757" s="71" t="s">
        <v>1239</v>
      </c>
      <c r="B757" s="70">
        <v>45835</v>
      </c>
      <c r="C757" s="71">
        <v>100</v>
      </c>
      <c r="D757" s="71" t="s">
        <v>12</v>
      </c>
      <c r="E757" s="70">
        <v>45835</v>
      </c>
      <c r="F757" s="71" t="s">
        <v>16</v>
      </c>
      <c r="G757" s="71">
        <f>_xlfn.XLOOKUP(E757,'Wk no''s'!B:B,'Wk no''s'!C:C,FALSE)</f>
        <v>26</v>
      </c>
    </row>
    <row r="758" spans="1:7" x14ac:dyDescent="0.25">
      <c r="A758" s="71" t="s">
        <v>1240</v>
      </c>
      <c r="B758" s="70">
        <v>45831</v>
      </c>
      <c r="C758" s="71">
        <v>100</v>
      </c>
      <c r="D758" s="71" t="s">
        <v>19</v>
      </c>
      <c r="E758" s="70">
        <v>45831</v>
      </c>
      <c r="F758" s="71" t="s">
        <v>16</v>
      </c>
      <c r="G758" s="71">
        <f>_xlfn.XLOOKUP(E758,'Wk no''s'!B:B,'Wk no''s'!C:C,FALSE)</f>
        <v>26</v>
      </c>
    </row>
    <row r="759" spans="1:7" x14ac:dyDescent="0.25">
      <c r="A759" s="71" t="s">
        <v>1231</v>
      </c>
      <c r="B759" s="70">
        <v>45835</v>
      </c>
      <c r="C759" s="71">
        <v>100</v>
      </c>
      <c r="D759" s="71" t="s">
        <v>19</v>
      </c>
      <c r="E759" s="70">
        <v>45835</v>
      </c>
      <c r="F759" s="71" t="s">
        <v>16</v>
      </c>
      <c r="G759" s="71">
        <f>_xlfn.XLOOKUP(E759,'Wk no''s'!B:B,'Wk no''s'!C:C,FALSE)</f>
        <v>26</v>
      </c>
    </row>
    <row r="760" spans="1:7" x14ac:dyDescent="0.25">
      <c r="A760" s="71" t="s">
        <v>1241</v>
      </c>
      <c r="B760" s="70">
        <v>45835</v>
      </c>
      <c r="C760" s="71">
        <v>100</v>
      </c>
      <c r="D760" s="71" t="s">
        <v>19</v>
      </c>
      <c r="E760" s="70">
        <v>45835</v>
      </c>
      <c r="F760" s="71" t="s">
        <v>16</v>
      </c>
      <c r="G760" s="71">
        <f>_xlfn.XLOOKUP(E760,'Wk no''s'!B:B,'Wk no''s'!C:C,FALSE)</f>
        <v>26</v>
      </c>
    </row>
    <row r="761" spans="1:7" x14ac:dyDescent="0.25">
      <c r="A761" s="71" t="s">
        <v>1242</v>
      </c>
      <c r="B761" s="70">
        <v>45831</v>
      </c>
      <c r="C761" s="71">
        <v>0</v>
      </c>
      <c r="D761" s="71" t="s">
        <v>19</v>
      </c>
      <c r="E761" s="70">
        <v>45833</v>
      </c>
      <c r="F761" s="71" t="s">
        <v>47</v>
      </c>
      <c r="G761" s="71">
        <f>_xlfn.XLOOKUP(E761,'Wk no''s'!B:B,'Wk no''s'!C:C,FALSE)</f>
        <v>26</v>
      </c>
    </row>
    <row r="762" spans="1:7" x14ac:dyDescent="0.25">
      <c r="A762" s="71" t="s">
        <v>1243</v>
      </c>
      <c r="B762" s="71"/>
      <c r="C762" s="71">
        <v>100</v>
      </c>
      <c r="D762" s="71" t="s">
        <v>19</v>
      </c>
      <c r="E762" s="70">
        <v>45832</v>
      </c>
      <c r="F762" s="71" t="s">
        <v>47</v>
      </c>
      <c r="G762" s="71">
        <f>_xlfn.XLOOKUP(E762,'Wk no''s'!B:B,'Wk no''s'!C:C,FALSE)</f>
        <v>26</v>
      </c>
    </row>
    <row r="763" spans="1:7" x14ac:dyDescent="0.25">
      <c r="A763" s="71" t="s">
        <v>1244</v>
      </c>
      <c r="B763" s="70">
        <v>45833</v>
      </c>
      <c r="C763" s="71">
        <v>100</v>
      </c>
      <c r="D763" s="71" t="s">
        <v>50</v>
      </c>
      <c r="E763" s="70">
        <v>45832</v>
      </c>
      <c r="F763" s="71" t="s">
        <v>47</v>
      </c>
      <c r="G763" s="71">
        <f>_xlfn.XLOOKUP(E763,'Wk no''s'!B:B,'Wk no''s'!C:C,FALSE)</f>
        <v>26</v>
      </c>
    </row>
    <row r="764" spans="1:7" x14ac:dyDescent="0.25">
      <c r="A764" s="71" t="s">
        <v>1245</v>
      </c>
      <c r="B764" s="70">
        <v>45832</v>
      </c>
      <c r="C764" s="71">
        <v>100</v>
      </c>
      <c r="D764" s="71" t="s">
        <v>50</v>
      </c>
      <c r="E764" s="70">
        <v>45832</v>
      </c>
      <c r="F764" s="71" t="s">
        <v>47</v>
      </c>
      <c r="G764" s="71">
        <f>_xlfn.XLOOKUP(E764,'Wk no''s'!B:B,'Wk no''s'!C:C,FALSE)</f>
        <v>26</v>
      </c>
    </row>
    <row r="765" spans="1:7" x14ac:dyDescent="0.25">
      <c r="A765" s="71" t="s">
        <v>1246</v>
      </c>
      <c r="B765" s="70">
        <v>45832</v>
      </c>
      <c r="C765" s="71">
        <v>100</v>
      </c>
      <c r="D765" s="71" t="s">
        <v>50</v>
      </c>
      <c r="E765" s="70">
        <v>45832</v>
      </c>
      <c r="F765" s="71" t="s">
        <v>47</v>
      </c>
      <c r="G765" s="71">
        <f>_xlfn.XLOOKUP(E765,'Wk no''s'!B:B,'Wk no''s'!C:C,FALSE)</f>
        <v>26</v>
      </c>
    </row>
    <row r="766" spans="1:7" x14ac:dyDescent="0.25">
      <c r="A766" s="71" t="s">
        <v>1247</v>
      </c>
      <c r="B766" s="70">
        <v>45833</v>
      </c>
      <c r="C766" s="71">
        <v>100</v>
      </c>
      <c r="D766" s="71" t="s">
        <v>50</v>
      </c>
      <c r="E766" s="70">
        <v>45833</v>
      </c>
      <c r="F766" s="71" t="s">
        <v>47</v>
      </c>
      <c r="G766" s="71">
        <f>_xlfn.XLOOKUP(E766,'Wk no''s'!B:B,'Wk no''s'!C:C,FALSE)</f>
        <v>26</v>
      </c>
    </row>
    <row r="767" spans="1:7" x14ac:dyDescent="0.25">
      <c r="A767" s="71" t="s">
        <v>1248</v>
      </c>
      <c r="B767" s="70">
        <v>45835</v>
      </c>
      <c r="C767" s="71">
        <v>100</v>
      </c>
      <c r="D767" s="71" t="s">
        <v>50</v>
      </c>
      <c r="E767" s="70">
        <v>45835</v>
      </c>
      <c r="F767" s="71" t="s">
        <v>47</v>
      </c>
      <c r="G767" s="71">
        <f>_xlfn.XLOOKUP(E767,'Wk no''s'!B:B,'Wk no''s'!C:C,FALSE)</f>
        <v>26</v>
      </c>
    </row>
    <row r="768" spans="1:7" x14ac:dyDescent="0.25">
      <c r="A768" s="71" t="s">
        <v>1249</v>
      </c>
      <c r="B768" s="70">
        <v>45797</v>
      </c>
      <c r="C768" s="71">
        <v>0</v>
      </c>
      <c r="D768" s="71" t="s">
        <v>50</v>
      </c>
      <c r="E768" s="70">
        <v>45831</v>
      </c>
      <c r="F768" s="71" t="s">
        <v>11</v>
      </c>
      <c r="G768" s="71">
        <f>_xlfn.XLOOKUP(E768,'Wk no''s'!B:B,'Wk no''s'!C:C,FALSE)</f>
        <v>26</v>
      </c>
    </row>
    <row r="769" spans="1:7" x14ac:dyDescent="0.25">
      <c r="A769" s="71" t="s">
        <v>1250</v>
      </c>
      <c r="B769" s="70">
        <v>45801</v>
      </c>
      <c r="C769" s="71">
        <v>0</v>
      </c>
      <c r="D769" s="71" t="s">
        <v>50</v>
      </c>
      <c r="E769" s="70">
        <v>45833</v>
      </c>
      <c r="F769" s="71" t="s">
        <v>11</v>
      </c>
      <c r="G769" s="71">
        <f>_xlfn.XLOOKUP(E769,'Wk no''s'!B:B,'Wk no''s'!C:C,FALSE)</f>
        <v>26</v>
      </c>
    </row>
    <row r="770" spans="1:7" x14ac:dyDescent="0.25">
      <c r="A770" s="71" t="s">
        <v>1251</v>
      </c>
      <c r="B770" s="70">
        <v>45835</v>
      </c>
      <c r="C770" s="71">
        <v>100</v>
      </c>
      <c r="D770" s="71" t="s">
        <v>50</v>
      </c>
      <c r="E770" s="70">
        <v>45834</v>
      </c>
      <c r="F770" s="71" t="s">
        <v>11</v>
      </c>
      <c r="G770" s="71">
        <f>_xlfn.XLOOKUP(E770,'Wk no''s'!B:B,'Wk no''s'!C:C,FALSE)</f>
        <v>26</v>
      </c>
    </row>
    <row r="771" spans="1:7" x14ac:dyDescent="0.25">
      <c r="A771" s="71" t="s">
        <v>1252</v>
      </c>
      <c r="B771" s="70">
        <v>45832</v>
      </c>
      <c r="C771" s="71">
        <v>100</v>
      </c>
      <c r="D771" s="71" t="s">
        <v>12</v>
      </c>
      <c r="E771" s="70">
        <v>45832</v>
      </c>
      <c r="F771" s="71" t="s">
        <v>11</v>
      </c>
      <c r="G771" s="71">
        <f>_xlfn.XLOOKUP(E771,'Wk no''s'!B:B,'Wk no''s'!C:C,FALSE)</f>
        <v>26</v>
      </c>
    </row>
    <row r="772" spans="1:7" x14ac:dyDescent="0.25">
      <c r="A772" s="71" t="s">
        <v>1253</v>
      </c>
      <c r="B772" s="70">
        <v>45831</v>
      </c>
      <c r="C772" s="71">
        <v>100</v>
      </c>
      <c r="D772" s="71" t="s">
        <v>50</v>
      </c>
      <c r="E772" s="70">
        <v>45831</v>
      </c>
      <c r="F772" s="71" t="s">
        <v>11</v>
      </c>
      <c r="G772" s="71">
        <f>_xlfn.XLOOKUP(E772,'Wk no''s'!B:B,'Wk no''s'!C:C,FALSE)</f>
        <v>26</v>
      </c>
    </row>
    <row r="773" spans="1:7" x14ac:dyDescent="0.25">
      <c r="A773" s="71" t="s">
        <v>1254</v>
      </c>
      <c r="B773" s="70">
        <v>45831</v>
      </c>
      <c r="C773" s="71">
        <v>100</v>
      </c>
      <c r="D773" s="71" t="s">
        <v>12</v>
      </c>
      <c r="E773" s="70">
        <v>45831</v>
      </c>
      <c r="F773" s="71" t="s">
        <v>11</v>
      </c>
      <c r="G773" s="71">
        <f>_xlfn.XLOOKUP(E773,'Wk no''s'!B:B,'Wk no''s'!C:C,FALSE)</f>
        <v>26</v>
      </c>
    </row>
    <row r="774" spans="1:7" x14ac:dyDescent="0.25">
      <c r="A774" s="71" t="s">
        <v>1255</v>
      </c>
      <c r="B774" s="70">
        <v>45834</v>
      </c>
      <c r="C774" s="71">
        <v>100</v>
      </c>
      <c r="D774" s="71" t="s">
        <v>50</v>
      </c>
      <c r="E774" s="70">
        <v>45834</v>
      </c>
      <c r="F774" s="71" t="s">
        <v>11</v>
      </c>
      <c r="G774" s="71">
        <f>_xlfn.XLOOKUP(E774,'Wk no''s'!B:B,'Wk no''s'!C:C,FALSE)</f>
        <v>26</v>
      </c>
    </row>
    <row r="775" spans="1:7" x14ac:dyDescent="0.25">
      <c r="A775" s="71" t="s">
        <v>1256</v>
      </c>
      <c r="B775" s="70">
        <v>45834</v>
      </c>
      <c r="C775" s="71">
        <v>100</v>
      </c>
      <c r="D775" s="71" t="s">
        <v>50</v>
      </c>
      <c r="E775" s="70">
        <v>45833</v>
      </c>
      <c r="F775" s="71" t="s">
        <v>11</v>
      </c>
      <c r="G775" s="71">
        <f>_xlfn.XLOOKUP(E775,'Wk no''s'!B:B,'Wk no''s'!C:C,FALSE)</f>
        <v>26</v>
      </c>
    </row>
    <row r="776" spans="1:7" x14ac:dyDescent="0.25">
      <c r="A776" s="71" t="s">
        <v>1257</v>
      </c>
      <c r="B776" s="70">
        <v>45834</v>
      </c>
      <c r="C776" s="71">
        <v>100</v>
      </c>
      <c r="D776" s="71" t="s">
        <v>12</v>
      </c>
      <c r="E776" s="70">
        <v>45833</v>
      </c>
      <c r="F776" s="71" t="s">
        <v>11</v>
      </c>
      <c r="G776" s="71">
        <f>_xlfn.XLOOKUP(E776,'Wk no''s'!B:B,'Wk no''s'!C:C,FALSE)</f>
        <v>26</v>
      </c>
    </row>
    <row r="777" spans="1:7" x14ac:dyDescent="0.25">
      <c r="A777" s="71" t="s">
        <v>1278</v>
      </c>
      <c r="B777" s="71"/>
      <c r="C777" s="71">
        <v>100</v>
      </c>
      <c r="D777" s="71" t="s">
        <v>50</v>
      </c>
      <c r="E777" s="70">
        <v>45837</v>
      </c>
      <c r="F777" s="71" t="s">
        <v>11</v>
      </c>
      <c r="G777" s="71">
        <f>_xlfn.XLOOKUP(E777,'Wk no''s'!B:B,'Wk no''s'!C:C,FALSE)</f>
        <v>27</v>
      </c>
    </row>
    <row r="778" spans="1:7" x14ac:dyDescent="0.25">
      <c r="A778" s="71" t="s">
        <v>1258</v>
      </c>
      <c r="B778" s="70">
        <v>45835</v>
      </c>
      <c r="C778" s="71">
        <v>100</v>
      </c>
      <c r="D778" s="71" t="s">
        <v>19</v>
      </c>
      <c r="E778" s="70">
        <v>45833</v>
      </c>
      <c r="F778" s="71" t="s">
        <v>72</v>
      </c>
      <c r="G778" s="71">
        <f>_xlfn.XLOOKUP(E778,'Wk no''s'!B:B,'Wk no''s'!C:C,FALSE)</f>
        <v>26</v>
      </c>
    </row>
    <row r="779" spans="1:7" x14ac:dyDescent="0.25">
      <c r="A779" s="71" t="s">
        <v>1259</v>
      </c>
      <c r="B779" s="70">
        <v>45840</v>
      </c>
      <c r="C779" s="71">
        <v>100</v>
      </c>
      <c r="D779" s="71" t="s">
        <v>19</v>
      </c>
      <c r="E779" s="70">
        <v>45831</v>
      </c>
      <c r="F779" s="71" t="s">
        <v>72</v>
      </c>
      <c r="G779" s="71">
        <f>_xlfn.XLOOKUP(E779,'Wk no''s'!B:B,'Wk no''s'!C:C,FALSE)</f>
        <v>26</v>
      </c>
    </row>
    <row r="780" spans="1:7" x14ac:dyDescent="0.25">
      <c r="A780" s="71" t="s">
        <v>1260</v>
      </c>
      <c r="B780" s="70">
        <v>45840</v>
      </c>
      <c r="C780" s="71">
        <v>100</v>
      </c>
      <c r="D780" s="71" t="s">
        <v>19</v>
      </c>
      <c r="E780" s="70">
        <v>45831</v>
      </c>
      <c r="F780" s="71" t="s">
        <v>72</v>
      </c>
      <c r="G780" s="71">
        <f>_xlfn.XLOOKUP(E780,'Wk no''s'!B:B,'Wk no''s'!C:C,FALSE)</f>
        <v>26</v>
      </c>
    </row>
    <row r="781" spans="1:7" x14ac:dyDescent="0.25">
      <c r="A781" s="71" t="s">
        <v>1261</v>
      </c>
      <c r="B781" s="70">
        <v>45837</v>
      </c>
      <c r="C781" s="71">
        <v>100</v>
      </c>
      <c r="D781" s="71" t="s">
        <v>19</v>
      </c>
      <c r="E781" s="70">
        <v>45835</v>
      </c>
      <c r="F781" s="71" t="s">
        <v>72</v>
      </c>
      <c r="G781" s="71">
        <f>_xlfn.XLOOKUP(E781,'Wk no''s'!B:B,'Wk no''s'!C:C,FALSE)</f>
        <v>26</v>
      </c>
    </row>
    <row r="782" spans="1:7" x14ac:dyDescent="0.25">
      <c r="A782" t="s">
        <v>1286</v>
      </c>
      <c r="B782" s="1">
        <v>45839</v>
      </c>
      <c r="C782">
        <v>0</v>
      </c>
      <c r="D782" t="s">
        <v>19</v>
      </c>
      <c r="E782" s="1">
        <v>45841</v>
      </c>
      <c r="F782" t="s">
        <v>16</v>
      </c>
      <c r="G782" s="71">
        <f>_xlfn.XLOOKUP(E782,'Wk no''s'!B:B,'Wk no''s'!C:C,FALSE)</f>
        <v>27</v>
      </c>
    </row>
    <row r="783" spans="1:7" x14ac:dyDescent="0.25">
      <c r="A783" t="s">
        <v>1292</v>
      </c>
      <c r="B783" s="1">
        <v>45840</v>
      </c>
      <c r="C783">
        <v>0</v>
      </c>
      <c r="D783" t="s">
        <v>19</v>
      </c>
      <c r="E783" s="1">
        <v>45841</v>
      </c>
      <c r="F783" t="s">
        <v>16</v>
      </c>
      <c r="G783" s="71">
        <f>_xlfn.XLOOKUP(E783,'Wk no''s'!B:B,'Wk no''s'!C:C,FALSE)</f>
        <v>27</v>
      </c>
    </row>
    <row r="784" spans="1:7" x14ac:dyDescent="0.25">
      <c r="A784" t="s">
        <v>1293</v>
      </c>
      <c r="B784" s="1">
        <v>45841</v>
      </c>
      <c r="C784">
        <v>0</v>
      </c>
      <c r="D784" t="s">
        <v>19</v>
      </c>
      <c r="E784" s="1">
        <v>45842</v>
      </c>
      <c r="F784" t="s">
        <v>16</v>
      </c>
      <c r="G784" s="71">
        <f>_xlfn.XLOOKUP(E784,'Wk no''s'!B:B,'Wk no''s'!C:C,FALSE)</f>
        <v>27</v>
      </c>
    </row>
    <row r="785" spans="1:7" x14ac:dyDescent="0.25">
      <c r="A785" t="s">
        <v>1285</v>
      </c>
      <c r="B785" s="1">
        <v>45839</v>
      </c>
      <c r="C785">
        <v>100</v>
      </c>
      <c r="D785" t="s">
        <v>19</v>
      </c>
      <c r="E785" s="1">
        <v>45839</v>
      </c>
      <c r="F785" t="s">
        <v>16</v>
      </c>
      <c r="G785" s="71">
        <f>_xlfn.XLOOKUP(E785,'Wk no''s'!B:B,'Wk no''s'!C:C,FALSE)</f>
        <v>27</v>
      </c>
    </row>
    <row r="786" spans="1:7" x14ac:dyDescent="0.25">
      <c r="A786" t="s">
        <v>1280</v>
      </c>
      <c r="B786" s="1">
        <v>45840</v>
      </c>
      <c r="C786">
        <v>100</v>
      </c>
      <c r="D786" t="s">
        <v>12</v>
      </c>
      <c r="E786" s="1">
        <v>45840</v>
      </c>
      <c r="F786" t="s">
        <v>16</v>
      </c>
      <c r="G786" s="71">
        <f>_xlfn.XLOOKUP(E786,'Wk no''s'!B:B,'Wk no''s'!C:C,FALSE)</f>
        <v>27</v>
      </c>
    </row>
    <row r="787" spans="1:7" x14ac:dyDescent="0.25">
      <c r="A787" t="s">
        <v>1287</v>
      </c>
      <c r="B787" s="1">
        <v>45842</v>
      </c>
      <c r="C787">
        <v>100</v>
      </c>
      <c r="D787" t="s">
        <v>19</v>
      </c>
      <c r="E787" s="1">
        <v>45842</v>
      </c>
      <c r="F787" t="s">
        <v>16</v>
      </c>
      <c r="G787" s="71">
        <f>_xlfn.XLOOKUP(E787,'Wk no''s'!B:B,'Wk no''s'!C:C,FALSE)</f>
        <v>27</v>
      </c>
    </row>
    <row r="788" spans="1:7" x14ac:dyDescent="0.25">
      <c r="A788" t="s">
        <v>1297</v>
      </c>
      <c r="B788"/>
      <c r="C788">
        <v>100</v>
      </c>
      <c r="D788" t="s">
        <v>50</v>
      </c>
      <c r="E788" s="1">
        <v>45841</v>
      </c>
      <c r="F788" t="s">
        <v>16</v>
      </c>
      <c r="G788" s="71">
        <f>_xlfn.XLOOKUP(E788,'Wk no''s'!B:B,'Wk no''s'!C:C,FALSE)</f>
        <v>27</v>
      </c>
    </row>
    <row r="789" spans="1:7" x14ac:dyDescent="0.25">
      <c r="A789" t="s">
        <v>1289</v>
      </c>
      <c r="B789" s="1">
        <v>45840</v>
      </c>
      <c r="C789">
        <v>100</v>
      </c>
      <c r="D789" t="s">
        <v>19</v>
      </c>
      <c r="E789" s="1">
        <v>45840</v>
      </c>
      <c r="F789" t="s">
        <v>16</v>
      </c>
      <c r="G789" s="71">
        <f>_xlfn.XLOOKUP(E789,'Wk no''s'!B:B,'Wk no''s'!C:C,FALSE)</f>
        <v>27</v>
      </c>
    </row>
    <row r="790" spans="1:7" x14ac:dyDescent="0.25">
      <c r="A790" t="s">
        <v>1290</v>
      </c>
      <c r="B790" s="1">
        <v>45842</v>
      </c>
      <c r="C790">
        <v>100</v>
      </c>
      <c r="D790" t="s">
        <v>19</v>
      </c>
      <c r="E790" s="1">
        <v>45842</v>
      </c>
      <c r="F790" t="s">
        <v>16</v>
      </c>
      <c r="G790" s="71">
        <f>_xlfn.XLOOKUP(E790,'Wk no''s'!B:B,'Wk no''s'!C:C,FALSE)</f>
        <v>27</v>
      </c>
    </row>
    <row r="791" spans="1:7" x14ac:dyDescent="0.25">
      <c r="A791" t="s">
        <v>1295</v>
      </c>
      <c r="B791" s="1">
        <v>45845</v>
      </c>
      <c r="C791">
        <v>100</v>
      </c>
      <c r="D791" t="s">
        <v>19</v>
      </c>
      <c r="E791" s="1">
        <v>45842</v>
      </c>
      <c r="F791" t="s">
        <v>16</v>
      </c>
      <c r="G791" s="71">
        <f>_xlfn.XLOOKUP(E791,'Wk no''s'!B:B,'Wk no''s'!C:C,FALSE)</f>
        <v>27</v>
      </c>
    </row>
    <row r="792" spans="1:7" x14ac:dyDescent="0.25">
      <c r="A792" t="s">
        <v>1296</v>
      </c>
      <c r="B792" s="1">
        <v>45841</v>
      </c>
      <c r="C792">
        <v>100</v>
      </c>
      <c r="D792" t="s">
        <v>19</v>
      </c>
      <c r="E792" s="1">
        <v>45841</v>
      </c>
      <c r="F792" t="s">
        <v>16</v>
      </c>
      <c r="G792" s="71">
        <f>_xlfn.XLOOKUP(E792,'Wk no''s'!B:B,'Wk no''s'!C:C,FALSE)</f>
        <v>27</v>
      </c>
    </row>
    <row r="793" spans="1:7" x14ac:dyDescent="0.25">
      <c r="A793" t="s">
        <v>1298</v>
      </c>
      <c r="B793" s="1">
        <v>45841</v>
      </c>
      <c r="C793">
        <v>100</v>
      </c>
      <c r="D793" t="s">
        <v>50</v>
      </c>
      <c r="E793" s="1">
        <v>45841</v>
      </c>
      <c r="F793" t="s">
        <v>16</v>
      </c>
      <c r="G793" s="71">
        <f>_xlfn.XLOOKUP(E793,'Wk no''s'!B:B,'Wk no''s'!C:C,FALSE)</f>
        <v>27</v>
      </c>
    </row>
    <row r="794" spans="1:7" x14ac:dyDescent="0.25">
      <c r="A794" t="s">
        <v>1282</v>
      </c>
      <c r="B794"/>
      <c r="C794">
        <v>100</v>
      </c>
      <c r="D794" t="s">
        <v>12</v>
      </c>
      <c r="E794" s="1">
        <v>45841</v>
      </c>
      <c r="F794" t="s">
        <v>16</v>
      </c>
      <c r="G794" s="71">
        <f>_xlfn.XLOOKUP(E794,'Wk no''s'!B:B,'Wk no''s'!C:C,FALSE)</f>
        <v>27</v>
      </c>
    </row>
    <row r="795" spans="1:7" x14ac:dyDescent="0.25">
      <c r="A795" t="s">
        <v>1300</v>
      </c>
      <c r="B795" s="1">
        <v>45839</v>
      </c>
      <c r="C795">
        <v>100</v>
      </c>
      <c r="D795" t="s">
        <v>19</v>
      </c>
      <c r="E795" s="1">
        <v>45839</v>
      </c>
      <c r="F795" t="s">
        <v>41</v>
      </c>
      <c r="G795" s="71">
        <f>_xlfn.XLOOKUP(E795,'Wk no''s'!B:B,'Wk no''s'!C:C,FALSE)</f>
        <v>27</v>
      </c>
    </row>
    <row r="796" spans="1:7" x14ac:dyDescent="0.25">
      <c r="A796" t="s">
        <v>1306</v>
      </c>
      <c r="B796" s="1">
        <v>45839</v>
      </c>
      <c r="C796">
        <v>100</v>
      </c>
      <c r="D796" t="s">
        <v>50</v>
      </c>
      <c r="E796" s="1">
        <v>45839</v>
      </c>
      <c r="F796" t="s">
        <v>47</v>
      </c>
      <c r="G796" s="71">
        <f>_xlfn.XLOOKUP(E796,'Wk no''s'!B:B,'Wk no''s'!C:C,FALSE)</f>
        <v>27</v>
      </c>
    </row>
    <row r="797" spans="1:7" x14ac:dyDescent="0.25">
      <c r="A797" t="s">
        <v>1307</v>
      </c>
      <c r="B797" s="1">
        <v>45846</v>
      </c>
      <c r="C797">
        <v>100</v>
      </c>
      <c r="D797" t="s">
        <v>50</v>
      </c>
      <c r="E797" s="1">
        <v>45842</v>
      </c>
      <c r="F797" t="s">
        <v>47</v>
      </c>
      <c r="G797" s="71">
        <f>_xlfn.XLOOKUP(E797,'Wk no''s'!B:B,'Wk no''s'!C:C,FALSE)</f>
        <v>27</v>
      </c>
    </row>
    <row r="798" spans="1:7" x14ac:dyDescent="0.25">
      <c r="A798" t="s">
        <v>1308</v>
      </c>
      <c r="B798" s="1">
        <v>45842</v>
      </c>
      <c r="C798">
        <v>100</v>
      </c>
      <c r="D798" t="s">
        <v>50</v>
      </c>
      <c r="E798" s="1">
        <v>45842</v>
      </c>
      <c r="F798" t="s">
        <v>47</v>
      </c>
      <c r="G798" s="71">
        <f>_xlfn.XLOOKUP(E798,'Wk no''s'!B:B,'Wk no''s'!C:C,FALSE)</f>
        <v>27</v>
      </c>
    </row>
    <row r="799" spans="1:7" x14ac:dyDescent="0.25">
      <c r="A799" t="s">
        <v>1310</v>
      </c>
      <c r="B799" s="1">
        <v>45840</v>
      </c>
      <c r="C799">
        <v>100</v>
      </c>
      <c r="D799" t="s">
        <v>50</v>
      </c>
      <c r="E799" s="1">
        <v>45840</v>
      </c>
      <c r="F799" t="s">
        <v>47</v>
      </c>
      <c r="G799" s="71">
        <f>_xlfn.XLOOKUP(E799,'Wk no''s'!B:B,'Wk no''s'!C:C,FALSE)</f>
        <v>27</v>
      </c>
    </row>
    <row r="800" spans="1:7" x14ac:dyDescent="0.25">
      <c r="A800" t="s">
        <v>1302</v>
      </c>
      <c r="B800"/>
      <c r="C800">
        <v>100</v>
      </c>
      <c r="D800" t="s">
        <v>19</v>
      </c>
      <c r="E800" s="1">
        <v>45840</v>
      </c>
      <c r="F800" t="s">
        <v>47</v>
      </c>
      <c r="G800" s="71">
        <f>_xlfn.XLOOKUP(E800,'Wk no''s'!B:B,'Wk no''s'!C:C,FALSE)</f>
        <v>27</v>
      </c>
    </row>
    <row r="801" spans="1:7" x14ac:dyDescent="0.25">
      <c r="A801" t="s">
        <v>1304</v>
      </c>
      <c r="B801"/>
      <c r="C801">
        <v>100</v>
      </c>
      <c r="D801" t="s">
        <v>19</v>
      </c>
      <c r="E801" s="1">
        <v>45840</v>
      </c>
      <c r="F801" t="s">
        <v>47</v>
      </c>
      <c r="G801" s="71">
        <f>_xlfn.XLOOKUP(E801,'Wk no''s'!B:B,'Wk no''s'!C:C,FALSE)</f>
        <v>27</v>
      </c>
    </row>
    <row r="802" spans="1:7" x14ac:dyDescent="0.25">
      <c r="A802" t="s">
        <v>1317</v>
      </c>
      <c r="B802" s="1">
        <v>45840</v>
      </c>
      <c r="C802">
        <v>100</v>
      </c>
      <c r="D802" t="s">
        <v>50</v>
      </c>
      <c r="E802" s="1">
        <v>45840</v>
      </c>
      <c r="F802" t="s">
        <v>11</v>
      </c>
      <c r="G802" s="71">
        <f>_xlfn.XLOOKUP(E802,'Wk no''s'!B:B,'Wk no''s'!C:C,FALSE)</f>
        <v>27</v>
      </c>
    </row>
    <row r="803" spans="1:7" x14ac:dyDescent="0.25">
      <c r="A803" t="s">
        <v>1313</v>
      </c>
      <c r="B803" s="1">
        <v>45839</v>
      </c>
      <c r="C803">
        <v>100</v>
      </c>
      <c r="D803" t="s">
        <v>19</v>
      </c>
      <c r="E803" s="1">
        <v>45839</v>
      </c>
      <c r="F803" t="s">
        <v>11</v>
      </c>
      <c r="G803" s="71">
        <f>_xlfn.XLOOKUP(E803,'Wk no''s'!B:B,'Wk no''s'!C:C,FALSE)</f>
        <v>27</v>
      </c>
    </row>
    <row r="804" spans="1:7" x14ac:dyDescent="0.25">
      <c r="A804" t="s">
        <v>1318</v>
      </c>
      <c r="B804" s="1">
        <v>45845</v>
      </c>
      <c r="C804">
        <v>100</v>
      </c>
      <c r="D804" t="s">
        <v>50</v>
      </c>
      <c r="E804" s="1">
        <v>45841</v>
      </c>
      <c r="F804" t="s">
        <v>11</v>
      </c>
      <c r="G804" s="71">
        <f>_xlfn.XLOOKUP(E804,'Wk no''s'!B:B,'Wk no''s'!C:C,FALSE)</f>
        <v>27</v>
      </c>
    </row>
    <row r="805" spans="1:7" x14ac:dyDescent="0.25">
      <c r="A805" t="s">
        <v>1311</v>
      </c>
      <c r="B805" s="1">
        <v>45839</v>
      </c>
      <c r="C805">
        <v>100</v>
      </c>
      <c r="D805" t="s">
        <v>12</v>
      </c>
      <c r="E805" s="1">
        <v>45839</v>
      </c>
      <c r="F805" t="s">
        <v>11</v>
      </c>
      <c r="G805" s="71">
        <f>_xlfn.XLOOKUP(E805,'Wk no''s'!B:B,'Wk no''s'!C:C,FALSE)</f>
        <v>27</v>
      </c>
    </row>
    <row r="806" spans="1:7" x14ac:dyDescent="0.25">
      <c r="A806" t="s">
        <v>1315</v>
      </c>
      <c r="B806" s="1">
        <v>45842</v>
      </c>
      <c r="C806">
        <v>100</v>
      </c>
      <c r="D806" t="s">
        <v>19</v>
      </c>
      <c r="E806" s="1">
        <v>45841</v>
      </c>
      <c r="F806" t="s">
        <v>11</v>
      </c>
      <c r="G806" s="71">
        <f>_xlfn.XLOOKUP(E806,'Wk no''s'!B:B,'Wk no''s'!C:C,FALSE)</f>
        <v>27</v>
      </c>
    </row>
    <row r="807" spans="1:7" x14ac:dyDescent="0.25">
      <c r="A807" t="s">
        <v>1319</v>
      </c>
      <c r="B807" s="1">
        <v>45842</v>
      </c>
      <c r="C807">
        <v>100</v>
      </c>
      <c r="D807" t="s">
        <v>50</v>
      </c>
      <c r="E807" s="1">
        <v>45842</v>
      </c>
      <c r="F807" t="s">
        <v>11</v>
      </c>
      <c r="G807" s="71">
        <f>_xlfn.XLOOKUP(E807,'Wk no''s'!B:B,'Wk no''s'!C:C,FALSE)</f>
        <v>27</v>
      </c>
    </row>
    <row r="808" spans="1:7" x14ac:dyDescent="0.25">
      <c r="A808" t="s">
        <v>1320</v>
      </c>
      <c r="B808" s="1">
        <v>45821</v>
      </c>
      <c r="C808">
        <v>0</v>
      </c>
      <c r="D808" t="s">
        <v>19</v>
      </c>
      <c r="E808" s="1">
        <v>45840</v>
      </c>
      <c r="F808" t="s">
        <v>72</v>
      </c>
      <c r="G808" s="71">
        <f>_xlfn.XLOOKUP(E808,'Wk no''s'!B:B,'Wk no''s'!C:C,FALSE)</f>
        <v>27</v>
      </c>
    </row>
    <row r="809" spans="1:7" x14ac:dyDescent="0.25">
      <c r="A809" t="s">
        <v>1321</v>
      </c>
      <c r="B809" s="1">
        <v>45834</v>
      </c>
      <c r="C809">
        <v>0</v>
      </c>
      <c r="D809" t="s">
        <v>19</v>
      </c>
      <c r="E809" s="1">
        <v>45839</v>
      </c>
      <c r="F809" t="s">
        <v>72</v>
      </c>
      <c r="G809" s="71">
        <f>_xlfn.XLOOKUP(E809,'Wk no''s'!B:B,'Wk no''s'!C:C,FALSE)</f>
        <v>27</v>
      </c>
    </row>
    <row r="810" spans="1:7" x14ac:dyDescent="0.25">
      <c r="A810" t="s">
        <v>1322</v>
      </c>
      <c r="B810" s="1">
        <v>45835</v>
      </c>
      <c r="C810">
        <v>0</v>
      </c>
      <c r="D810" t="s">
        <v>19</v>
      </c>
      <c r="E810" s="1">
        <v>45839</v>
      </c>
      <c r="F810" t="s">
        <v>72</v>
      </c>
      <c r="G810" s="71">
        <f>_xlfn.XLOOKUP(E810,'Wk no''s'!B:B,'Wk no''s'!C:C,FALSE)</f>
        <v>27</v>
      </c>
    </row>
    <row r="811" spans="1:7" x14ac:dyDescent="0.25">
      <c r="A811" t="s">
        <v>1323</v>
      </c>
      <c r="B811" s="1">
        <v>45863</v>
      </c>
      <c r="C811">
        <v>100</v>
      </c>
      <c r="D811" t="s">
        <v>19</v>
      </c>
      <c r="E811" s="1">
        <v>45840</v>
      </c>
      <c r="F811" t="s">
        <v>72</v>
      </c>
      <c r="G811" s="71">
        <f>_xlfn.XLOOKUP(E811,'Wk no''s'!B:B,'Wk no''s'!C:C,FALSE)</f>
        <v>27</v>
      </c>
    </row>
    <row r="812" spans="1:7" x14ac:dyDescent="0.25">
      <c r="A812" t="s">
        <v>1324</v>
      </c>
      <c r="B812" s="1">
        <v>45863</v>
      </c>
      <c r="C812">
        <v>100</v>
      </c>
      <c r="D812" t="s">
        <v>19</v>
      </c>
      <c r="E812" s="1">
        <v>45842</v>
      </c>
      <c r="F812" t="s">
        <v>72</v>
      </c>
      <c r="G812" s="71">
        <f>_xlfn.XLOOKUP(E812,'Wk no''s'!B:B,'Wk no''s'!C:C,FALSE)</f>
        <v>27</v>
      </c>
    </row>
    <row r="813" spans="1:7" x14ac:dyDescent="0.25">
      <c r="A813" t="s">
        <v>1326</v>
      </c>
      <c r="B813"/>
      <c r="C813">
        <v>100</v>
      </c>
      <c r="D813" t="s">
        <v>19</v>
      </c>
      <c r="E813" s="1">
        <v>45841</v>
      </c>
      <c r="F813" t="s">
        <v>72</v>
      </c>
      <c r="G813" s="71">
        <f>_xlfn.XLOOKUP(E813,'Wk no''s'!B:B,'Wk no''s'!C:C,FALSE)</f>
        <v>27</v>
      </c>
    </row>
    <row r="814" spans="1:7" x14ac:dyDescent="0.25">
      <c r="A814" t="s">
        <v>1327</v>
      </c>
      <c r="B814" s="1">
        <v>45839</v>
      </c>
      <c r="C814">
        <v>100</v>
      </c>
      <c r="D814" t="s">
        <v>19</v>
      </c>
      <c r="E814" s="1">
        <v>45839</v>
      </c>
      <c r="F814" t="s">
        <v>645</v>
      </c>
      <c r="G814" s="71">
        <f>_xlfn.XLOOKUP(E814,'Wk no''s'!B:B,'Wk no''s'!C:C,FALSE)</f>
        <v>27</v>
      </c>
    </row>
    <row r="815" spans="1:7" x14ac:dyDescent="0.25">
      <c r="A815" t="s">
        <v>1328</v>
      </c>
      <c r="B815" s="1">
        <v>45847</v>
      </c>
      <c r="C815">
        <v>0</v>
      </c>
      <c r="D815" t="s">
        <v>19</v>
      </c>
      <c r="E815" s="1">
        <v>45848</v>
      </c>
      <c r="F815" t="s">
        <v>16</v>
      </c>
      <c r="G815" s="71">
        <f>_xlfn.XLOOKUP(E815,'Wk no''s'!B:B,'Wk no''s'!C:C,FALSE)</f>
        <v>28</v>
      </c>
    </row>
    <row r="816" spans="1:7" x14ac:dyDescent="0.25">
      <c r="A816" t="s">
        <v>1329</v>
      </c>
      <c r="B816" s="1">
        <v>45847</v>
      </c>
      <c r="C816">
        <v>0</v>
      </c>
      <c r="D816" t="s">
        <v>19</v>
      </c>
      <c r="E816" s="1">
        <v>45849</v>
      </c>
      <c r="F816" t="s">
        <v>16</v>
      </c>
      <c r="G816" s="71">
        <f>_xlfn.XLOOKUP(E816,'Wk no''s'!B:B,'Wk no''s'!C:C,FALSE)</f>
        <v>28</v>
      </c>
    </row>
    <row r="817" spans="1:7" x14ac:dyDescent="0.25">
      <c r="A817" t="s">
        <v>1330</v>
      </c>
      <c r="B817" s="1">
        <v>45845</v>
      </c>
      <c r="C817">
        <v>0</v>
      </c>
      <c r="D817" t="s">
        <v>19</v>
      </c>
      <c r="E817" s="1">
        <v>45846</v>
      </c>
      <c r="F817" t="s">
        <v>16</v>
      </c>
      <c r="G817" s="71">
        <f>_xlfn.XLOOKUP(E817,'Wk no''s'!B:B,'Wk no''s'!C:C,FALSE)</f>
        <v>28</v>
      </c>
    </row>
    <row r="818" spans="1:7" x14ac:dyDescent="0.25">
      <c r="A818" t="s">
        <v>1331</v>
      </c>
      <c r="B818" s="1">
        <v>45845</v>
      </c>
      <c r="C818">
        <v>0</v>
      </c>
      <c r="D818" t="s">
        <v>19</v>
      </c>
      <c r="E818" s="1">
        <v>45847</v>
      </c>
      <c r="F818" t="s">
        <v>16</v>
      </c>
      <c r="G818" s="71">
        <f>_xlfn.XLOOKUP(E818,'Wk no''s'!B:B,'Wk no''s'!C:C,FALSE)</f>
        <v>28</v>
      </c>
    </row>
    <row r="819" spans="1:7" x14ac:dyDescent="0.25">
      <c r="A819" t="s">
        <v>1332</v>
      </c>
      <c r="B819" s="1">
        <v>45845</v>
      </c>
      <c r="C819">
        <v>100</v>
      </c>
      <c r="D819" t="s">
        <v>19</v>
      </c>
      <c r="E819" s="1">
        <v>45845</v>
      </c>
      <c r="F819" t="s">
        <v>16</v>
      </c>
      <c r="G819" s="71">
        <f>_xlfn.XLOOKUP(E819,'Wk no''s'!B:B,'Wk no''s'!C:C,FALSE)</f>
        <v>28</v>
      </c>
    </row>
    <row r="820" spans="1:7" x14ac:dyDescent="0.25">
      <c r="A820" t="s">
        <v>1333</v>
      </c>
      <c r="B820" s="1">
        <v>45847</v>
      </c>
      <c r="C820">
        <v>100</v>
      </c>
      <c r="D820" t="s">
        <v>19</v>
      </c>
      <c r="E820" s="1">
        <v>45846</v>
      </c>
      <c r="F820" t="s">
        <v>16</v>
      </c>
      <c r="G820" s="71">
        <f>_xlfn.XLOOKUP(E820,'Wk no''s'!B:B,'Wk no''s'!C:C,FALSE)</f>
        <v>28</v>
      </c>
    </row>
    <row r="821" spans="1:7" x14ac:dyDescent="0.25">
      <c r="A821" t="s">
        <v>1334</v>
      </c>
      <c r="B821" s="1">
        <v>45846</v>
      </c>
      <c r="C821">
        <v>100</v>
      </c>
      <c r="D821" t="s">
        <v>281</v>
      </c>
      <c r="E821" s="1">
        <v>45846</v>
      </c>
      <c r="F821" t="s">
        <v>16</v>
      </c>
      <c r="G821" s="71">
        <f>_xlfn.XLOOKUP(E821,'Wk no''s'!B:B,'Wk no''s'!C:C,FALSE)</f>
        <v>28</v>
      </c>
    </row>
    <row r="822" spans="1:7" x14ac:dyDescent="0.25">
      <c r="A822" t="s">
        <v>1335</v>
      </c>
      <c r="B822" s="1">
        <v>45847</v>
      </c>
      <c r="C822">
        <v>100</v>
      </c>
      <c r="D822" t="s">
        <v>19</v>
      </c>
      <c r="E822" s="1">
        <v>45847</v>
      </c>
      <c r="F822" t="s">
        <v>16</v>
      </c>
      <c r="G822" s="71">
        <f>_xlfn.XLOOKUP(E822,'Wk no''s'!B:B,'Wk no''s'!C:C,FALSE)</f>
        <v>28</v>
      </c>
    </row>
    <row r="823" spans="1:7" x14ac:dyDescent="0.25">
      <c r="A823" t="s">
        <v>1336</v>
      </c>
      <c r="B823" s="1">
        <v>45854</v>
      </c>
      <c r="C823">
        <v>100</v>
      </c>
      <c r="D823" t="s">
        <v>19</v>
      </c>
      <c r="E823" s="1">
        <v>45849</v>
      </c>
      <c r="F823" t="s">
        <v>16</v>
      </c>
      <c r="G823" s="71">
        <f>_xlfn.XLOOKUP(E823,'Wk no''s'!B:B,'Wk no''s'!C:C,FALSE)</f>
        <v>28</v>
      </c>
    </row>
    <row r="824" spans="1:7" x14ac:dyDescent="0.25">
      <c r="A824" t="s">
        <v>1337</v>
      </c>
      <c r="B824" s="1">
        <v>45847</v>
      </c>
      <c r="C824">
        <v>100</v>
      </c>
      <c r="D824" t="s">
        <v>19</v>
      </c>
      <c r="E824" s="1">
        <v>45847</v>
      </c>
      <c r="F824" t="s">
        <v>16</v>
      </c>
      <c r="G824" s="71">
        <f>_xlfn.XLOOKUP(E824,'Wk no''s'!B:B,'Wk no''s'!C:C,FALSE)</f>
        <v>28</v>
      </c>
    </row>
    <row r="825" spans="1:7" x14ac:dyDescent="0.25">
      <c r="A825" t="s">
        <v>1338</v>
      </c>
      <c r="B825" s="1">
        <v>45857</v>
      </c>
      <c r="C825">
        <v>100</v>
      </c>
      <c r="D825" t="s">
        <v>19</v>
      </c>
      <c r="E825" s="1">
        <v>45848</v>
      </c>
      <c r="F825" t="s">
        <v>41</v>
      </c>
      <c r="G825" s="71">
        <f>_xlfn.XLOOKUP(E825,'Wk no''s'!B:B,'Wk no''s'!C:C,FALSE)</f>
        <v>28</v>
      </c>
    </row>
    <row r="826" spans="1:7" x14ac:dyDescent="0.25">
      <c r="A826" t="s">
        <v>1339</v>
      </c>
      <c r="B826" s="1">
        <v>45848</v>
      </c>
      <c r="C826">
        <v>100</v>
      </c>
      <c r="D826" t="s">
        <v>19</v>
      </c>
      <c r="E826" s="1">
        <v>45848</v>
      </c>
      <c r="F826" t="s">
        <v>41</v>
      </c>
      <c r="G826" s="71">
        <f>_xlfn.XLOOKUP(E826,'Wk no''s'!B:B,'Wk no''s'!C:C,FALSE)</f>
        <v>28</v>
      </c>
    </row>
    <row r="827" spans="1:7" x14ac:dyDescent="0.25">
      <c r="A827" t="s">
        <v>1340</v>
      </c>
      <c r="B827" s="1">
        <v>45847</v>
      </c>
      <c r="C827">
        <v>0</v>
      </c>
      <c r="D827" t="s">
        <v>50</v>
      </c>
      <c r="E827" s="1">
        <v>45849</v>
      </c>
      <c r="F827" t="s">
        <v>47</v>
      </c>
      <c r="G827" s="71">
        <f>_xlfn.XLOOKUP(E827,'Wk no''s'!B:B,'Wk no''s'!C:C,FALSE)</f>
        <v>28</v>
      </c>
    </row>
    <row r="828" spans="1:7" x14ac:dyDescent="0.25">
      <c r="A828" t="s">
        <v>1341</v>
      </c>
      <c r="B828" s="1">
        <v>45842</v>
      </c>
      <c r="C828">
        <v>0</v>
      </c>
      <c r="D828" t="s">
        <v>50</v>
      </c>
      <c r="E828" s="1">
        <v>45847</v>
      </c>
      <c r="F828" t="s">
        <v>47</v>
      </c>
      <c r="G828" s="71">
        <f>_xlfn.XLOOKUP(E828,'Wk no''s'!B:B,'Wk no''s'!C:C,FALSE)</f>
        <v>28</v>
      </c>
    </row>
    <row r="829" spans="1:7" x14ac:dyDescent="0.25">
      <c r="A829" t="s">
        <v>1342</v>
      </c>
      <c r="B829" s="1">
        <v>45848</v>
      </c>
      <c r="C829">
        <v>100</v>
      </c>
      <c r="D829" t="s">
        <v>50</v>
      </c>
      <c r="E829" s="1">
        <v>45848</v>
      </c>
      <c r="F829" t="s">
        <v>47</v>
      </c>
      <c r="G829" s="71">
        <f>_xlfn.XLOOKUP(E829,'Wk no''s'!B:B,'Wk no''s'!C:C,FALSE)</f>
        <v>28</v>
      </c>
    </row>
    <row r="830" spans="1:7" x14ac:dyDescent="0.25">
      <c r="A830" t="s">
        <v>1343</v>
      </c>
      <c r="B830" s="1">
        <v>45849</v>
      </c>
      <c r="C830">
        <v>100</v>
      </c>
      <c r="D830" t="s">
        <v>19</v>
      </c>
      <c r="E830" s="1">
        <v>45849</v>
      </c>
      <c r="F830" t="s">
        <v>47</v>
      </c>
      <c r="G830" s="71">
        <f>_xlfn.XLOOKUP(E830,'Wk no''s'!B:B,'Wk no''s'!C:C,FALSE)</f>
        <v>28</v>
      </c>
    </row>
    <row r="831" spans="1:7" x14ac:dyDescent="0.25">
      <c r="A831" t="s">
        <v>1344</v>
      </c>
      <c r="B831" s="1">
        <v>45847</v>
      </c>
      <c r="C831">
        <v>100</v>
      </c>
      <c r="D831" t="s">
        <v>19</v>
      </c>
      <c r="E831" s="1">
        <v>45847</v>
      </c>
      <c r="F831" t="s">
        <v>47</v>
      </c>
      <c r="G831" s="71">
        <f>_xlfn.XLOOKUP(E831,'Wk no''s'!B:B,'Wk no''s'!C:C,FALSE)</f>
        <v>28</v>
      </c>
    </row>
    <row r="832" spans="1:7" x14ac:dyDescent="0.25">
      <c r="A832" t="s">
        <v>1345</v>
      </c>
      <c r="B832"/>
      <c r="C832">
        <v>100</v>
      </c>
      <c r="D832" t="s">
        <v>50</v>
      </c>
      <c r="E832" s="1">
        <v>45849</v>
      </c>
      <c r="F832" t="s">
        <v>47</v>
      </c>
      <c r="G832" s="71">
        <f>_xlfn.XLOOKUP(E832,'Wk no''s'!B:B,'Wk no''s'!C:C,FALSE)</f>
        <v>28</v>
      </c>
    </row>
    <row r="833" spans="1:7" x14ac:dyDescent="0.25">
      <c r="A833" t="s">
        <v>1370</v>
      </c>
      <c r="B833"/>
      <c r="C833">
        <v>100</v>
      </c>
      <c r="D833" t="s">
        <v>50</v>
      </c>
      <c r="E833" s="1">
        <v>45851</v>
      </c>
      <c r="F833" t="s">
        <v>47</v>
      </c>
      <c r="G833" s="71">
        <f>_xlfn.XLOOKUP(E833,'Wk no''s'!B:B,'Wk no''s'!C:C,FALSE)</f>
        <v>29</v>
      </c>
    </row>
    <row r="834" spans="1:7" x14ac:dyDescent="0.25">
      <c r="A834" t="s">
        <v>1346</v>
      </c>
      <c r="B834"/>
      <c r="C834">
        <v>100</v>
      </c>
      <c r="D834" t="s">
        <v>50</v>
      </c>
      <c r="E834" s="1">
        <v>45848</v>
      </c>
      <c r="F834" t="s">
        <v>47</v>
      </c>
      <c r="G834" s="71">
        <f>_xlfn.XLOOKUP(E834,'Wk no''s'!B:B,'Wk no''s'!C:C,FALSE)</f>
        <v>28</v>
      </c>
    </row>
    <row r="835" spans="1:7" x14ac:dyDescent="0.25">
      <c r="A835" t="s">
        <v>1347</v>
      </c>
      <c r="B835" s="1">
        <v>45848</v>
      </c>
      <c r="C835">
        <v>100</v>
      </c>
      <c r="D835" t="s">
        <v>50</v>
      </c>
      <c r="E835" s="1">
        <v>45848</v>
      </c>
      <c r="F835" t="s">
        <v>47</v>
      </c>
      <c r="G835" s="71">
        <f>_xlfn.XLOOKUP(E835,'Wk no''s'!B:B,'Wk no''s'!C:C,FALSE)</f>
        <v>28</v>
      </c>
    </row>
    <row r="836" spans="1:7" x14ac:dyDescent="0.25">
      <c r="A836" t="s">
        <v>1348</v>
      </c>
      <c r="B836" s="1">
        <v>45849</v>
      </c>
      <c r="C836">
        <v>100</v>
      </c>
      <c r="D836" t="s">
        <v>50</v>
      </c>
      <c r="E836" s="1">
        <v>45849</v>
      </c>
      <c r="F836" t="s">
        <v>11</v>
      </c>
      <c r="G836" s="71">
        <f>_xlfn.XLOOKUP(E836,'Wk no''s'!B:B,'Wk no''s'!C:C,FALSE)</f>
        <v>28</v>
      </c>
    </row>
    <row r="837" spans="1:7" x14ac:dyDescent="0.25">
      <c r="A837" t="s">
        <v>1349</v>
      </c>
      <c r="B837" s="1">
        <v>45847</v>
      </c>
      <c r="C837">
        <v>100</v>
      </c>
      <c r="D837" t="s">
        <v>50</v>
      </c>
      <c r="E837" s="1">
        <v>45846</v>
      </c>
      <c r="F837" t="s">
        <v>11</v>
      </c>
      <c r="G837" s="71">
        <f>_xlfn.XLOOKUP(E837,'Wk no''s'!B:B,'Wk no''s'!C:C,FALSE)</f>
        <v>28</v>
      </c>
    </row>
    <row r="838" spans="1:7" x14ac:dyDescent="0.25">
      <c r="A838" t="s">
        <v>1350</v>
      </c>
      <c r="B838" s="1">
        <v>45848</v>
      </c>
      <c r="C838">
        <v>100</v>
      </c>
      <c r="D838" t="s">
        <v>12</v>
      </c>
      <c r="E838" s="1">
        <v>45848</v>
      </c>
      <c r="F838" t="s">
        <v>11</v>
      </c>
      <c r="G838" s="71">
        <f>_xlfn.XLOOKUP(E838,'Wk no''s'!B:B,'Wk no''s'!C:C,FALSE)</f>
        <v>28</v>
      </c>
    </row>
    <row r="839" spans="1:7" x14ac:dyDescent="0.25">
      <c r="A839" t="s">
        <v>1351</v>
      </c>
      <c r="B839" s="1">
        <v>45847</v>
      </c>
      <c r="C839">
        <v>0</v>
      </c>
      <c r="D839" t="s">
        <v>19</v>
      </c>
      <c r="E839" s="1">
        <v>45848</v>
      </c>
      <c r="F839" t="s">
        <v>72</v>
      </c>
      <c r="G839" s="71">
        <f>_xlfn.XLOOKUP(E839,'Wk no''s'!B:B,'Wk no''s'!C:C,FALSE)</f>
        <v>28</v>
      </c>
    </row>
    <row r="840" spans="1:7" x14ac:dyDescent="0.25">
      <c r="A840" t="s">
        <v>1352</v>
      </c>
      <c r="B840" s="1">
        <v>45847</v>
      </c>
      <c r="C840">
        <v>0</v>
      </c>
      <c r="D840" t="s">
        <v>19</v>
      </c>
      <c r="E840" s="1">
        <v>45848</v>
      </c>
      <c r="F840" t="s">
        <v>72</v>
      </c>
      <c r="G840" s="71">
        <f>_xlfn.XLOOKUP(E840,'Wk no''s'!B:B,'Wk no''s'!C:C,FALSE)</f>
        <v>28</v>
      </c>
    </row>
    <row r="841" spans="1:7" x14ac:dyDescent="0.25">
      <c r="A841" t="s">
        <v>1353</v>
      </c>
      <c r="B841" s="1">
        <v>45849</v>
      </c>
      <c r="C841">
        <v>100</v>
      </c>
      <c r="D841" t="s">
        <v>19</v>
      </c>
      <c r="E841" s="1">
        <v>45848</v>
      </c>
      <c r="F841" t="s">
        <v>72</v>
      </c>
      <c r="G841" s="71">
        <f>_xlfn.XLOOKUP(E841,'Wk no''s'!B:B,'Wk no''s'!C:C,FALSE)</f>
        <v>28</v>
      </c>
    </row>
    <row r="842" spans="1:7" x14ac:dyDescent="0.25">
      <c r="A842" t="s">
        <v>1354</v>
      </c>
      <c r="B842" s="1">
        <v>45848</v>
      </c>
      <c r="C842">
        <v>100</v>
      </c>
      <c r="D842" t="s">
        <v>19</v>
      </c>
      <c r="E842" s="1">
        <v>45848</v>
      </c>
      <c r="F842" t="s">
        <v>72</v>
      </c>
      <c r="G842" s="71">
        <f>_xlfn.XLOOKUP(E842,'Wk no''s'!B:B,'Wk no''s'!C:C,FALSE)</f>
        <v>28</v>
      </c>
    </row>
    <row r="843" spans="1:7" x14ac:dyDescent="0.25">
      <c r="A843" t="s">
        <v>1355</v>
      </c>
      <c r="B843" s="1">
        <v>45852</v>
      </c>
      <c r="C843">
        <v>100</v>
      </c>
      <c r="D843" t="s">
        <v>19</v>
      </c>
      <c r="E843" s="1">
        <v>45849</v>
      </c>
      <c r="F843" t="s">
        <v>72</v>
      </c>
      <c r="G843" s="71">
        <f>_xlfn.XLOOKUP(E843,'Wk no''s'!B:B,'Wk no''s'!C:C,FALSE)</f>
        <v>28</v>
      </c>
    </row>
    <row r="844" spans="1:7" x14ac:dyDescent="0.25">
      <c r="A844" t="s">
        <v>1356</v>
      </c>
      <c r="B844" s="1">
        <v>45854</v>
      </c>
      <c r="C844">
        <v>100</v>
      </c>
      <c r="D844" t="s">
        <v>19</v>
      </c>
      <c r="E844" s="1">
        <v>45849</v>
      </c>
      <c r="F844" t="s">
        <v>72</v>
      </c>
      <c r="G844" s="71">
        <f>_xlfn.XLOOKUP(E844,'Wk no''s'!B:B,'Wk no''s'!C:C,FALSE)</f>
        <v>28</v>
      </c>
    </row>
    <row r="845" spans="1:7" x14ac:dyDescent="0.25">
      <c r="A845" t="s">
        <v>1371</v>
      </c>
      <c r="B845" s="1">
        <v>45853</v>
      </c>
      <c r="C845">
        <v>0</v>
      </c>
      <c r="D845" t="s">
        <v>19</v>
      </c>
      <c r="E845" s="1">
        <v>45856</v>
      </c>
      <c r="F845" t="s">
        <v>16</v>
      </c>
      <c r="G845" s="71">
        <f>_xlfn.XLOOKUP(E845,'Wk no''s'!B:B,'Wk no''s'!C:C,FALSE)</f>
        <v>29</v>
      </c>
    </row>
    <row r="846" spans="1:7" x14ac:dyDescent="0.25">
      <c r="A846" t="s">
        <v>1372</v>
      </c>
      <c r="B846" s="1">
        <v>45849</v>
      </c>
      <c r="C846">
        <v>0</v>
      </c>
      <c r="D846" t="s">
        <v>19</v>
      </c>
      <c r="E846" s="1">
        <v>45853</v>
      </c>
      <c r="F846" t="s">
        <v>16</v>
      </c>
      <c r="G846" s="71">
        <f>_xlfn.XLOOKUP(E846,'Wk no''s'!B:B,'Wk no''s'!C:C,FALSE)</f>
        <v>29</v>
      </c>
    </row>
    <row r="847" spans="1:7" x14ac:dyDescent="0.25">
      <c r="A847" t="s">
        <v>1373</v>
      </c>
      <c r="B847" s="1">
        <v>45849</v>
      </c>
      <c r="C847">
        <v>0</v>
      </c>
      <c r="D847" t="s">
        <v>12</v>
      </c>
      <c r="E847" s="1">
        <v>45853</v>
      </c>
      <c r="F847" t="s">
        <v>16</v>
      </c>
      <c r="G847" s="71">
        <f>_xlfn.XLOOKUP(E847,'Wk no''s'!B:B,'Wk no''s'!C:C,FALSE)</f>
        <v>29</v>
      </c>
    </row>
    <row r="848" spans="1:7" x14ac:dyDescent="0.25">
      <c r="A848" t="s">
        <v>1374</v>
      </c>
      <c r="B848" s="1">
        <v>45856</v>
      </c>
      <c r="C848">
        <v>100</v>
      </c>
      <c r="D848" t="s">
        <v>19</v>
      </c>
      <c r="E848" s="1">
        <v>45856</v>
      </c>
      <c r="F848" t="s">
        <v>16</v>
      </c>
      <c r="G848" s="71">
        <f>_xlfn.XLOOKUP(E848,'Wk no''s'!B:B,'Wk no''s'!C:C,FALSE)</f>
        <v>29</v>
      </c>
    </row>
    <row r="849" spans="1:7" x14ac:dyDescent="0.25">
      <c r="A849" t="s">
        <v>1375</v>
      </c>
      <c r="B849"/>
      <c r="C849">
        <v>100</v>
      </c>
      <c r="D849" t="s">
        <v>19</v>
      </c>
      <c r="E849" s="1">
        <v>45855</v>
      </c>
      <c r="F849" t="s">
        <v>16</v>
      </c>
      <c r="G849" s="71">
        <f>_xlfn.XLOOKUP(E849,'Wk no''s'!B:B,'Wk no''s'!C:C,FALSE)</f>
        <v>29</v>
      </c>
    </row>
    <row r="850" spans="1:7" x14ac:dyDescent="0.25">
      <c r="A850" t="s">
        <v>1376</v>
      </c>
      <c r="B850" s="1">
        <v>45856</v>
      </c>
      <c r="C850">
        <v>100</v>
      </c>
      <c r="D850" t="s">
        <v>19</v>
      </c>
      <c r="E850" s="1">
        <v>45855</v>
      </c>
      <c r="F850" t="s">
        <v>16</v>
      </c>
      <c r="G850" s="71">
        <f>_xlfn.XLOOKUP(E850,'Wk no''s'!B:B,'Wk no''s'!C:C,FALSE)</f>
        <v>29</v>
      </c>
    </row>
    <row r="851" spans="1:7" x14ac:dyDescent="0.25">
      <c r="A851" t="s">
        <v>1377</v>
      </c>
      <c r="B851" s="1">
        <v>45855</v>
      </c>
      <c r="C851">
        <v>100</v>
      </c>
      <c r="D851" t="s">
        <v>19</v>
      </c>
      <c r="E851" s="1">
        <v>45855</v>
      </c>
      <c r="F851" t="s">
        <v>16</v>
      </c>
      <c r="G851" s="71">
        <f>_xlfn.XLOOKUP(E851,'Wk no''s'!B:B,'Wk no''s'!C:C,FALSE)</f>
        <v>29</v>
      </c>
    </row>
    <row r="852" spans="1:7" x14ac:dyDescent="0.25">
      <c r="A852" t="s">
        <v>1378</v>
      </c>
      <c r="B852" s="1">
        <v>45856</v>
      </c>
      <c r="C852">
        <v>100</v>
      </c>
      <c r="D852" t="s">
        <v>50</v>
      </c>
      <c r="E852" s="1">
        <v>45855</v>
      </c>
      <c r="F852" t="s">
        <v>16</v>
      </c>
      <c r="G852" s="71">
        <f>_xlfn.XLOOKUP(E852,'Wk no''s'!B:B,'Wk no''s'!C:C,FALSE)</f>
        <v>29</v>
      </c>
    </row>
    <row r="853" spans="1:7" x14ac:dyDescent="0.25">
      <c r="A853" t="s">
        <v>1379</v>
      </c>
      <c r="B853" s="1">
        <v>45856</v>
      </c>
      <c r="C853">
        <v>100</v>
      </c>
      <c r="D853" t="s">
        <v>19</v>
      </c>
      <c r="E853" s="1">
        <v>45856</v>
      </c>
      <c r="F853" t="s">
        <v>41</v>
      </c>
      <c r="G853" s="71">
        <f>_xlfn.XLOOKUP(E853,'Wk no''s'!B:B,'Wk no''s'!C:C,FALSE)</f>
        <v>29</v>
      </c>
    </row>
    <row r="854" spans="1:7" x14ac:dyDescent="0.25">
      <c r="A854" t="s">
        <v>1380</v>
      </c>
      <c r="B854" s="1">
        <v>45852</v>
      </c>
      <c r="C854">
        <v>100</v>
      </c>
      <c r="D854" t="s">
        <v>50</v>
      </c>
      <c r="E854" s="1">
        <v>45852</v>
      </c>
      <c r="F854" t="s">
        <v>47</v>
      </c>
      <c r="G854" s="71">
        <f>_xlfn.XLOOKUP(E854,'Wk no''s'!B:B,'Wk no''s'!C:C,FALSE)</f>
        <v>29</v>
      </c>
    </row>
    <row r="855" spans="1:7" x14ac:dyDescent="0.25">
      <c r="A855" t="s">
        <v>1381</v>
      </c>
      <c r="B855" s="1">
        <v>45852</v>
      </c>
      <c r="C855">
        <v>100</v>
      </c>
      <c r="D855" t="s">
        <v>50</v>
      </c>
      <c r="E855" s="1">
        <v>45852</v>
      </c>
      <c r="F855" t="s">
        <v>47</v>
      </c>
      <c r="G855" s="71">
        <f>_xlfn.XLOOKUP(E855,'Wk no''s'!B:B,'Wk no''s'!C:C,FALSE)</f>
        <v>29</v>
      </c>
    </row>
    <row r="856" spans="1:7" x14ac:dyDescent="0.25">
      <c r="A856" t="s">
        <v>1382</v>
      </c>
      <c r="B856"/>
      <c r="C856">
        <v>100</v>
      </c>
      <c r="D856" t="s">
        <v>19</v>
      </c>
      <c r="E856" s="1">
        <v>45855</v>
      </c>
      <c r="F856" t="s">
        <v>47</v>
      </c>
      <c r="G856" s="71">
        <f>_xlfn.XLOOKUP(E856,'Wk no''s'!B:B,'Wk no''s'!C:C,FALSE)</f>
        <v>29</v>
      </c>
    </row>
    <row r="857" spans="1:7" x14ac:dyDescent="0.25">
      <c r="A857" t="s">
        <v>1383</v>
      </c>
      <c r="B857" s="1">
        <v>45855</v>
      </c>
      <c r="C857">
        <v>100</v>
      </c>
      <c r="D857" t="s">
        <v>50</v>
      </c>
      <c r="E857" s="1">
        <v>45855</v>
      </c>
      <c r="F857" t="s">
        <v>47</v>
      </c>
      <c r="G857" s="71">
        <f>_xlfn.XLOOKUP(E857,'Wk no''s'!B:B,'Wk no''s'!C:C,FALSE)</f>
        <v>29</v>
      </c>
    </row>
    <row r="858" spans="1:7" x14ac:dyDescent="0.25">
      <c r="A858" t="s">
        <v>1384</v>
      </c>
      <c r="B858" s="1">
        <v>45856</v>
      </c>
      <c r="C858">
        <v>100</v>
      </c>
      <c r="D858" t="s">
        <v>50</v>
      </c>
      <c r="E858" s="1">
        <v>45856</v>
      </c>
      <c r="F858" t="s">
        <v>47</v>
      </c>
      <c r="G858" s="71">
        <f>_xlfn.XLOOKUP(E858,'Wk no''s'!B:B,'Wk no''s'!C:C,FALSE)</f>
        <v>29</v>
      </c>
    </row>
    <row r="859" spans="1:7" x14ac:dyDescent="0.25">
      <c r="A859" t="s">
        <v>1385</v>
      </c>
      <c r="B859" s="1">
        <v>45853</v>
      </c>
      <c r="C859">
        <v>100</v>
      </c>
      <c r="D859" t="s">
        <v>19</v>
      </c>
      <c r="E859" s="1">
        <v>45853</v>
      </c>
      <c r="F859" t="s">
        <v>47</v>
      </c>
      <c r="G859" s="71">
        <f>_xlfn.XLOOKUP(E859,'Wk no''s'!B:B,'Wk no''s'!C:C,FALSE)</f>
        <v>29</v>
      </c>
    </row>
    <row r="860" spans="1:7" x14ac:dyDescent="0.25">
      <c r="A860" t="s">
        <v>1386</v>
      </c>
      <c r="B860" s="1">
        <v>45855</v>
      </c>
      <c r="C860">
        <v>100</v>
      </c>
      <c r="D860" t="s">
        <v>19</v>
      </c>
      <c r="E860" s="1">
        <v>45855</v>
      </c>
      <c r="F860" t="s">
        <v>47</v>
      </c>
      <c r="G860" s="71">
        <f>_xlfn.XLOOKUP(E860,'Wk no''s'!B:B,'Wk no''s'!C:C,FALSE)</f>
        <v>29</v>
      </c>
    </row>
    <row r="861" spans="1:7" x14ac:dyDescent="0.25">
      <c r="A861" t="s">
        <v>1387</v>
      </c>
      <c r="B861" s="1">
        <v>45849</v>
      </c>
      <c r="C861">
        <v>0</v>
      </c>
      <c r="D861" t="s">
        <v>50</v>
      </c>
      <c r="E861" s="1">
        <v>45854</v>
      </c>
      <c r="F861" t="s">
        <v>11</v>
      </c>
      <c r="G861" s="71">
        <f>_xlfn.XLOOKUP(E861,'Wk no''s'!B:B,'Wk no''s'!C:C,FALSE)</f>
        <v>29</v>
      </c>
    </row>
    <row r="862" spans="1:7" x14ac:dyDescent="0.25">
      <c r="A862" t="s">
        <v>1388</v>
      </c>
      <c r="B862" s="1">
        <v>45854</v>
      </c>
      <c r="C862">
        <v>100</v>
      </c>
      <c r="D862" t="s">
        <v>50</v>
      </c>
      <c r="E862" s="1">
        <v>45854</v>
      </c>
      <c r="F862" t="s">
        <v>11</v>
      </c>
      <c r="G862" s="71">
        <f>_xlfn.XLOOKUP(E862,'Wk no''s'!B:B,'Wk no''s'!C:C,FALSE)</f>
        <v>29</v>
      </c>
    </row>
    <row r="863" spans="1:7" x14ac:dyDescent="0.25">
      <c r="A863" t="s">
        <v>1389</v>
      </c>
      <c r="B863" s="1">
        <v>45856</v>
      </c>
      <c r="C863">
        <v>100</v>
      </c>
      <c r="D863" t="s">
        <v>12</v>
      </c>
      <c r="E863" s="1">
        <v>45855</v>
      </c>
      <c r="F863" t="s">
        <v>11</v>
      </c>
      <c r="G863" s="71">
        <f>_xlfn.XLOOKUP(E863,'Wk no''s'!B:B,'Wk no''s'!C:C,FALSE)</f>
        <v>29</v>
      </c>
    </row>
    <row r="864" spans="1:7" x14ac:dyDescent="0.25">
      <c r="A864" t="s">
        <v>1390</v>
      </c>
      <c r="B864" s="1">
        <v>45847</v>
      </c>
      <c r="C864">
        <v>0</v>
      </c>
      <c r="D864" t="s">
        <v>19</v>
      </c>
      <c r="E864" s="1">
        <v>45855</v>
      </c>
      <c r="F864" t="s">
        <v>72</v>
      </c>
      <c r="G864" s="71">
        <f>_xlfn.XLOOKUP(E864,'Wk no''s'!B:B,'Wk no''s'!C:C,FALSE)</f>
        <v>29</v>
      </c>
    </row>
    <row r="865" spans="1:7" x14ac:dyDescent="0.25">
      <c r="A865" t="s">
        <v>1391</v>
      </c>
      <c r="B865" s="1">
        <v>45855</v>
      </c>
      <c r="C865">
        <v>0</v>
      </c>
      <c r="D865" t="s">
        <v>19</v>
      </c>
      <c r="E865" s="1">
        <v>45856</v>
      </c>
      <c r="F865" t="s">
        <v>72</v>
      </c>
      <c r="G865" s="71">
        <f>_xlfn.XLOOKUP(E865,'Wk no''s'!B:B,'Wk no''s'!C:C,FALSE)</f>
        <v>29</v>
      </c>
    </row>
    <row r="866" spans="1:7" x14ac:dyDescent="0.25">
      <c r="A866" t="s">
        <v>1392</v>
      </c>
      <c r="B866" s="1">
        <v>45856</v>
      </c>
      <c r="C866">
        <v>100</v>
      </c>
      <c r="D866" t="s">
        <v>19</v>
      </c>
      <c r="E866" s="1">
        <v>45855</v>
      </c>
      <c r="F866" t="s">
        <v>72</v>
      </c>
      <c r="G866" s="71">
        <f>_xlfn.XLOOKUP(E866,'Wk no''s'!B:B,'Wk no''s'!C:C,FALSE)</f>
        <v>29</v>
      </c>
    </row>
    <row r="867" spans="1:7" x14ac:dyDescent="0.25">
      <c r="A867" t="s">
        <v>1393</v>
      </c>
      <c r="B867" s="1">
        <v>45854</v>
      </c>
      <c r="C867">
        <v>100</v>
      </c>
      <c r="D867" t="s">
        <v>19</v>
      </c>
      <c r="E867" s="1">
        <v>45854</v>
      </c>
      <c r="F867" t="s">
        <v>72</v>
      </c>
      <c r="G867" s="71">
        <f>_xlfn.XLOOKUP(E867,'Wk no''s'!B:B,'Wk no''s'!C:C,FALSE)</f>
        <v>29</v>
      </c>
    </row>
    <row r="868" spans="1:7" x14ac:dyDescent="0.25">
      <c r="A868" t="s">
        <v>1394</v>
      </c>
      <c r="B868" s="1">
        <v>45856</v>
      </c>
      <c r="C868">
        <v>100</v>
      </c>
      <c r="D868" t="s">
        <v>19</v>
      </c>
      <c r="E868" s="1">
        <v>45855</v>
      </c>
      <c r="F868" t="s">
        <v>72</v>
      </c>
      <c r="G868" s="71">
        <f>_xlfn.XLOOKUP(E868,'Wk no''s'!B:B,'Wk no''s'!C:C,FALSE)</f>
        <v>29</v>
      </c>
    </row>
    <row r="869" spans="1:7" x14ac:dyDescent="0.25">
      <c r="A869" t="s">
        <v>1405</v>
      </c>
      <c r="B869" s="1">
        <v>45842</v>
      </c>
      <c r="C869">
        <v>0</v>
      </c>
      <c r="D869" t="s">
        <v>19</v>
      </c>
      <c r="E869" s="1">
        <v>45863</v>
      </c>
      <c r="F869" t="s">
        <v>16</v>
      </c>
      <c r="G869" s="71">
        <f>_xlfn.XLOOKUP(E869,'Wk no''s'!B:B,'Wk no''s'!C:C,FALSE)</f>
        <v>30</v>
      </c>
    </row>
    <row r="870" spans="1:7" x14ac:dyDescent="0.25">
      <c r="A870" t="s">
        <v>1406</v>
      </c>
      <c r="B870" s="1">
        <v>45856</v>
      </c>
      <c r="C870">
        <v>0</v>
      </c>
      <c r="D870" t="s">
        <v>19</v>
      </c>
      <c r="E870" s="1">
        <v>45860</v>
      </c>
      <c r="F870" t="s">
        <v>16</v>
      </c>
      <c r="G870" s="71">
        <f>_xlfn.XLOOKUP(E870,'Wk no''s'!B:B,'Wk no''s'!C:C,FALSE)</f>
        <v>30</v>
      </c>
    </row>
    <row r="871" spans="1:7" x14ac:dyDescent="0.25">
      <c r="A871" t="s">
        <v>1407</v>
      </c>
      <c r="B871" s="1">
        <v>45861</v>
      </c>
      <c r="C871">
        <v>0</v>
      </c>
      <c r="D871" t="s">
        <v>19</v>
      </c>
      <c r="E871" s="1">
        <v>45862</v>
      </c>
      <c r="F871" t="s">
        <v>16</v>
      </c>
      <c r="G871" s="71">
        <f>_xlfn.XLOOKUP(E871,'Wk no''s'!B:B,'Wk no''s'!C:C,FALSE)</f>
        <v>30</v>
      </c>
    </row>
    <row r="872" spans="1:7" x14ac:dyDescent="0.25">
      <c r="A872" t="s">
        <v>1408</v>
      </c>
      <c r="B872" s="1">
        <v>45856</v>
      </c>
      <c r="C872">
        <v>0</v>
      </c>
      <c r="D872" t="s">
        <v>50</v>
      </c>
      <c r="E872" s="1">
        <v>45862</v>
      </c>
      <c r="F872" t="s">
        <v>16</v>
      </c>
      <c r="G872" s="71">
        <f>_xlfn.XLOOKUP(E872,'Wk no''s'!B:B,'Wk no''s'!C:C,FALSE)</f>
        <v>30</v>
      </c>
    </row>
    <row r="873" spans="1:7" x14ac:dyDescent="0.25">
      <c r="A873" t="s">
        <v>1409</v>
      </c>
      <c r="B873" s="1">
        <v>45861</v>
      </c>
      <c r="C873">
        <v>0</v>
      </c>
      <c r="D873" t="s">
        <v>19</v>
      </c>
      <c r="E873" s="1">
        <v>45862</v>
      </c>
      <c r="F873" t="s">
        <v>16</v>
      </c>
      <c r="G873" s="71">
        <f>_xlfn.XLOOKUP(E873,'Wk no''s'!B:B,'Wk no''s'!C:C,FALSE)</f>
        <v>30</v>
      </c>
    </row>
    <row r="874" spans="1:7" x14ac:dyDescent="0.25">
      <c r="A874" t="s">
        <v>1410</v>
      </c>
      <c r="B874" s="1">
        <v>45860</v>
      </c>
      <c r="C874">
        <v>100</v>
      </c>
      <c r="D874" t="s">
        <v>19</v>
      </c>
      <c r="E874" s="1">
        <v>45859</v>
      </c>
      <c r="F874" t="s">
        <v>16</v>
      </c>
      <c r="G874" s="71">
        <f>_xlfn.XLOOKUP(E874,'Wk no''s'!B:B,'Wk no''s'!C:C,FALSE)</f>
        <v>30</v>
      </c>
    </row>
    <row r="875" spans="1:7" x14ac:dyDescent="0.25">
      <c r="A875" t="s">
        <v>1411</v>
      </c>
      <c r="B875" s="1">
        <v>45863</v>
      </c>
      <c r="C875">
        <v>100</v>
      </c>
      <c r="D875" t="s">
        <v>12</v>
      </c>
      <c r="E875" s="1">
        <v>45862</v>
      </c>
      <c r="F875" t="s">
        <v>16</v>
      </c>
      <c r="G875" s="71">
        <f>_xlfn.XLOOKUP(E875,'Wk no''s'!B:B,'Wk no''s'!C:C,FALSE)</f>
        <v>30</v>
      </c>
    </row>
    <row r="876" spans="1:7" x14ac:dyDescent="0.25">
      <c r="A876" t="s">
        <v>1412</v>
      </c>
      <c r="B876" s="1">
        <v>45861</v>
      </c>
      <c r="C876">
        <v>100</v>
      </c>
      <c r="D876" t="s">
        <v>12</v>
      </c>
      <c r="E876" s="1">
        <v>45861</v>
      </c>
      <c r="F876" t="s">
        <v>16</v>
      </c>
      <c r="G876" s="71">
        <f>_xlfn.XLOOKUP(E876,'Wk no''s'!B:B,'Wk no''s'!C:C,FALSE)</f>
        <v>30</v>
      </c>
    </row>
    <row r="877" spans="1:7" x14ac:dyDescent="0.25">
      <c r="A877" t="s">
        <v>1413</v>
      </c>
      <c r="B877" s="1">
        <v>45863</v>
      </c>
      <c r="C877">
        <v>100</v>
      </c>
      <c r="D877" t="s">
        <v>19</v>
      </c>
      <c r="E877" s="1">
        <v>45862</v>
      </c>
      <c r="F877" t="s">
        <v>16</v>
      </c>
      <c r="G877" s="71">
        <f>_xlfn.XLOOKUP(E877,'Wk no''s'!B:B,'Wk no''s'!C:C,FALSE)</f>
        <v>30</v>
      </c>
    </row>
    <row r="878" spans="1:7" x14ac:dyDescent="0.25">
      <c r="A878" t="s">
        <v>1414</v>
      </c>
      <c r="B878" s="1">
        <v>45862</v>
      </c>
      <c r="C878">
        <v>100</v>
      </c>
      <c r="D878" t="s">
        <v>19</v>
      </c>
      <c r="E878" s="1">
        <v>45862</v>
      </c>
      <c r="F878" t="s">
        <v>16</v>
      </c>
      <c r="G878" s="71">
        <f>_xlfn.XLOOKUP(E878,'Wk no''s'!B:B,'Wk no''s'!C:C,FALSE)</f>
        <v>30</v>
      </c>
    </row>
    <row r="879" spans="1:7" x14ac:dyDescent="0.25">
      <c r="A879" t="s">
        <v>1416</v>
      </c>
      <c r="B879" s="1">
        <v>45863</v>
      </c>
      <c r="C879">
        <v>100</v>
      </c>
      <c r="D879" t="s">
        <v>12</v>
      </c>
      <c r="E879" s="1">
        <v>45862</v>
      </c>
      <c r="F879" t="s">
        <v>16</v>
      </c>
      <c r="G879" s="71">
        <f>_xlfn.XLOOKUP(E879,'Wk no''s'!B:B,'Wk no''s'!C:C,FALSE)</f>
        <v>30</v>
      </c>
    </row>
    <row r="880" spans="1:7" x14ac:dyDescent="0.25">
      <c r="A880" t="s">
        <v>1417</v>
      </c>
      <c r="B880" s="1">
        <v>45863</v>
      </c>
      <c r="C880">
        <v>100</v>
      </c>
      <c r="D880" t="s">
        <v>19</v>
      </c>
      <c r="E880" s="1">
        <v>45863</v>
      </c>
      <c r="F880" t="s">
        <v>16</v>
      </c>
      <c r="G880" s="71">
        <f>_xlfn.XLOOKUP(E880,'Wk no''s'!B:B,'Wk no''s'!C:C,FALSE)</f>
        <v>30</v>
      </c>
    </row>
    <row r="881" spans="1:7" x14ac:dyDescent="0.25">
      <c r="A881" t="s">
        <v>1418</v>
      </c>
      <c r="B881" s="1">
        <v>45863</v>
      </c>
      <c r="C881">
        <v>100</v>
      </c>
      <c r="D881" t="s">
        <v>50</v>
      </c>
      <c r="E881" s="1">
        <v>45863</v>
      </c>
      <c r="F881" t="s">
        <v>16</v>
      </c>
      <c r="G881" s="71">
        <f>_xlfn.XLOOKUP(E881,'Wk no''s'!B:B,'Wk no''s'!C:C,FALSE)</f>
        <v>30</v>
      </c>
    </row>
    <row r="882" spans="1:7" x14ac:dyDescent="0.25">
      <c r="A882" t="s">
        <v>1419</v>
      </c>
      <c r="B882" s="1">
        <v>45862</v>
      </c>
      <c r="C882">
        <v>100</v>
      </c>
      <c r="D882" t="s">
        <v>19</v>
      </c>
      <c r="E882" s="1">
        <v>45862</v>
      </c>
      <c r="F882" t="s">
        <v>41</v>
      </c>
      <c r="G882" s="71">
        <f>_xlfn.XLOOKUP(E882,'Wk no''s'!B:B,'Wk no''s'!C:C,FALSE)</f>
        <v>30</v>
      </c>
    </row>
    <row r="883" spans="1:7" x14ac:dyDescent="0.25">
      <c r="A883" t="s">
        <v>1420</v>
      </c>
      <c r="B883" s="1">
        <v>45803</v>
      </c>
      <c r="C883">
        <v>0</v>
      </c>
      <c r="D883" t="s">
        <v>50</v>
      </c>
      <c r="E883" s="1">
        <v>45863</v>
      </c>
      <c r="F883" t="s">
        <v>47</v>
      </c>
      <c r="G883" s="71">
        <f>_xlfn.XLOOKUP(E883,'Wk no''s'!B:B,'Wk no''s'!C:C,FALSE)</f>
        <v>30</v>
      </c>
    </row>
    <row r="884" spans="1:7" x14ac:dyDescent="0.25">
      <c r="A884" t="s">
        <v>1421</v>
      </c>
      <c r="B884" s="1">
        <v>45860</v>
      </c>
      <c r="C884">
        <v>0</v>
      </c>
      <c r="D884" t="s">
        <v>50</v>
      </c>
      <c r="E884" s="1">
        <v>45861</v>
      </c>
      <c r="F884" t="s">
        <v>47</v>
      </c>
      <c r="G884" s="71">
        <f>_xlfn.XLOOKUP(E884,'Wk no''s'!B:B,'Wk no''s'!C:C,FALSE)</f>
        <v>30</v>
      </c>
    </row>
    <row r="885" spans="1:7" x14ac:dyDescent="0.25">
      <c r="A885" t="s">
        <v>1422</v>
      </c>
      <c r="B885" s="1">
        <v>45835</v>
      </c>
      <c r="C885">
        <v>0</v>
      </c>
      <c r="D885" t="s">
        <v>19</v>
      </c>
      <c r="E885" s="1">
        <v>45863</v>
      </c>
      <c r="F885" t="s">
        <v>47</v>
      </c>
      <c r="G885" s="71">
        <f>_xlfn.XLOOKUP(E885,'Wk no''s'!B:B,'Wk no''s'!C:C,FALSE)</f>
        <v>30</v>
      </c>
    </row>
    <row r="886" spans="1:7" x14ac:dyDescent="0.25">
      <c r="A886" t="s">
        <v>1423</v>
      </c>
      <c r="B886" s="1">
        <v>45859</v>
      </c>
      <c r="C886">
        <v>0</v>
      </c>
      <c r="D886" t="s">
        <v>50</v>
      </c>
      <c r="E886" s="1">
        <v>45861</v>
      </c>
      <c r="F886" t="s">
        <v>47</v>
      </c>
      <c r="G886" s="71">
        <f>_xlfn.XLOOKUP(E886,'Wk no''s'!B:B,'Wk no''s'!C:C,FALSE)</f>
        <v>30</v>
      </c>
    </row>
    <row r="887" spans="1:7" x14ac:dyDescent="0.25">
      <c r="A887" t="s">
        <v>1424</v>
      </c>
      <c r="B887" s="1">
        <v>45863</v>
      </c>
      <c r="C887">
        <v>100</v>
      </c>
      <c r="D887" t="s">
        <v>50</v>
      </c>
      <c r="E887" s="1">
        <v>45863</v>
      </c>
      <c r="F887" t="s">
        <v>47</v>
      </c>
      <c r="G887" s="71">
        <f>_xlfn.XLOOKUP(E887,'Wk no''s'!B:B,'Wk no''s'!C:C,FALSE)</f>
        <v>30</v>
      </c>
    </row>
    <row r="888" spans="1:7" x14ac:dyDescent="0.25">
      <c r="A888" t="s">
        <v>1425</v>
      </c>
      <c r="B888"/>
      <c r="C888">
        <v>100</v>
      </c>
      <c r="D888" t="s">
        <v>19</v>
      </c>
      <c r="E888" s="1">
        <v>45859</v>
      </c>
      <c r="F888" t="s">
        <v>47</v>
      </c>
      <c r="G888" s="71">
        <f>_xlfn.XLOOKUP(E888,'Wk no''s'!B:B,'Wk no''s'!C:C,FALSE)</f>
        <v>30</v>
      </c>
    </row>
    <row r="889" spans="1:7" x14ac:dyDescent="0.25">
      <c r="A889" t="s">
        <v>1426</v>
      </c>
      <c r="B889" s="1">
        <v>45859</v>
      </c>
      <c r="C889">
        <v>100</v>
      </c>
      <c r="D889" t="s">
        <v>19</v>
      </c>
      <c r="E889" s="1">
        <v>45859</v>
      </c>
      <c r="F889" t="s">
        <v>47</v>
      </c>
      <c r="G889" s="71">
        <f>_xlfn.XLOOKUP(E889,'Wk no''s'!B:B,'Wk no''s'!C:C,FALSE)</f>
        <v>30</v>
      </c>
    </row>
    <row r="890" spans="1:7" x14ac:dyDescent="0.25">
      <c r="A890" t="s">
        <v>1427</v>
      </c>
      <c r="B890" s="1">
        <v>45859</v>
      </c>
      <c r="C890">
        <v>100</v>
      </c>
      <c r="D890" t="s">
        <v>19</v>
      </c>
      <c r="E890" s="1">
        <v>45859</v>
      </c>
      <c r="F890" t="s">
        <v>47</v>
      </c>
      <c r="G890" s="71">
        <f>_xlfn.XLOOKUP(E890,'Wk no''s'!B:B,'Wk no''s'!C:C,FALSE)</f>
        <v>30</v>
      </c>
    </row>
    <row r="891" spans="1:7" x14ac:dyDescent="0.25">
      <c r="A891" t="s">
        <v>1428</v>
      </c>
      <c r="B891" s="1">
        <v>45862</v>
      </c>
      <c r="C891">
        <v>100</v>
      </c>
      <c r="D891" t="s">
        <v>19</v>
      </c>
      <c r="E891" s="1">
        <v>45861</v>
      </c>
      <c r="F891" t="s">
        <v>47</v>
      </c>
      <c r="G891" s="71">
        <f>_xlfn.XLOOKUP(E891,'Wk no''s'!B:B,'Wk no''s'!C:C,FALSE)</f>
        <v>30</v>
      </c>
    </row>
    <row r="892" spans="1:7" x14ac:dyDescent="0.25">
      <c r="A892" t="s">
        <v>1429</v>
      </c>
      <c r="B892" s="1">
        <v>45863</v>
      </c>
      <c r="C892">
        <v>100</v>
      </c>
      <c r="D892" t="s">
        <v>50</v>
      </c>
      <c r="E892" s="1">
        <v>45863</v>
      </c>
      <c r="F892" t="s">
        <v>47</v>
      </c>
      <c r="G892" s="71">
        <f>_xlfn.XLOOKUP(E892,'Wk no''s'!B:B,'Wk no''s'!C:C,FALSE)</f>
        <v>30</v>
      </c>
    </row>
    <row r="893" spans="1:7" x14ac:dyDescent="0.25">
      <c r="A893" t="s">
        <v>1430</v>
      </c>
      <c r="B893" s="1">
        <v>45855</v>
      </c>
      <c r="C893">
        <v>0</v>
      </c>
      <c r="D893" t="s">
        <v>19</v>
      </c>
      <c r="E893" s="1">
        <v>45859</v>
      </c>
      <c r="F893" t="s">
        <v>11</v>
      </c>
      <c r="G893" s="71">
        <f>_xlfn.XLOOKUP(E893,'Wk no''s'!B:B,'Wk no''s'!C:C,FALSE)</f>
        <v>30</v>
      </c>
    </row>
    <row r="894" spans="1:7" x14ac:dyDescent="0.25">
      <c r="A894" t="s">
        <v>1431</v>
      </c>
      <c r="B894" s="1">
        <v>45861</v>
      </c>
      <c r="C894">
        <v>100</v>
      </c>
      <c r="D894" t="s">
        <v>50</v>
      </c>
      <c r="E894" s="1">
        <v>45861</v>
      </c>
      <c r="F894" t="s">
        <v>11</v>
      </c>
      <c r="G894" s="71">
        <f>_xlfn.XLOOKUP(E894,'Wk no''s'!B:B,'Wk no''s'!C:C,FALSE)</f>
        <v>30</v>
      </c>
    </row>
    <row r="895" spans="1:7" x14ac:dyDescent="0.25">
      <c r="A895" t="s">
        <v>1432</v>
      </c>
      <c r="B895" s="1">
        <v>45861</v>
      </c>
      <c r="C895">
        <v>100</v>
      </c>
      <c r="D895" t="s">
        <v>50</v>
      </c>
      <c r="E895" s="1">
        <v>45861</v>
      </c>
      <c r="F895" t="s">
        <v>11</v>
      </c>
      <c r="G895" s="71">
        <f>_xlfn.XLOOKUP(E895,'Wk no''s'!B:B,'Wk no''s'!C:C,FALSE)</f>
        <v>30</v>
      </c>
    </row>
    <row r="896" spans="1:7" x14ac:dyDescent="0.25">
      <c r="A896" t="s">
        <v>1433</v>
      </c>
      <c r="B896" s="1">
        <v>45859</v>
      </c>
      <c r="C896">
        <v>100</v>
      </c>
      <c r="D896" t="s">
        <v>50</v>
      </c>
      <c r="E896" s="1">
        <v>45859</v>
      </c>
      <c r="F896" t="s">
        <v>11</v>
      </c>
      <c r="G896" s="71">
        <f>_xlfn.XLOOKUP(E896,'Wk no''s'!B:B,'Wk no''s'!C:C,FALSE)</f>
        <v>30</v>
      </c>
    </row>
    <row r="897" spans="1:7" x14ac:dyDescent="0.25">
      <c r="A897" t="s">
        <v>1464</v>
      </c>
      <c r="B897"/>
      <c r="C897">
        <v>100</v>
      </c>
      <c r="D897" t="s">
        <v>19</v>
      </c>
      <c r="E897" s="1">
        <v>45862</v>
      </c>
      <c r="F897" t="s">
        <v>11</v>
      </c>
      <c r="G897" s="71">
        <f>_xlfn.XLOOKUP(E897,'Wk no''s'!B:B,'Wk no''s'!C:C,FALSE)</f>
        <v>30</v>
      </c>
    </row>
    <row r="898" spans="1:7" x14ac:dyDescent="0.25">
      <c r="A898" t="s">
        <v>1434</v>
      </c>
      <c r="B898" s="1">
        <v>45860</v>
      </c>
      <c r="C898">
        <v>100</v>
      </c>
      <c r="D898" t="s">
        <v>12</v>
      </c>
      <c r="E898" s="1">
        <v>45860</v>
      </c>
      <c r="F898" t="s">
        <v>11</v>
      </c>
      <c r="G898" s="71">
        <f>_xlfn.XLOOKUP(E898,'Wk no''s'!B:B,'Wk no''s'!C:C,FALSE)</f>
        <v>30</v>
      </c>
    </row>
    <row r="899" spans="1:7" x14ac:dyDescent="0.25">
      <c r="A899" t="s">
        <v>1435</v>
      </c>
      <c r="B899" s="1">
        <v>45863</v>
      </c>
      <c r="C899">
        <v>100</v>
      </c>
      <c r="D899" t="s">
        <v>12</v>
      </c>
      <c r="E899" s="1">
        <v>45863</v>
      </c>
      <c r="F899" t="s">
        <v>11</v>
      </c>
      <c r="G899" s="71">
        <f>_xlfn.XLOOKUP(E899,'Wk no''s'!B:B,'Wk no''s'!C:C,FALSE)</f>
        <v>30</v>
      </c>
    </row>
    <row r="900" spans="1:7" x14ac:dyDescent="0.25">
      <c r="A900" t="s">
        <v>1436</v>
      </c>
      <c r="B900" s="1">
        <v>45867</v>
      </c>
      <c r="C900">
        <v>100</v>
      </c>
      <c r="D900" t="s">
        <v>50</v>
      </c>
      <c r="E900" s="1">
        <v>45862</v>
      </c>
      <c r="F900" t="s">
        <v>11</v>
      </c>
      <c r="G900" s="71">
        <f>_xlfn.XLOOKUP(E900,'Wk no''s'!B:B,'Wk no''s'!C:C,FALSE)</f>
        <v>30</v>
      </c>
    </row>
    <row r="901" spans="1:7" x14ac:dyDescent="0.25">
      <c r="A901" t="s">
        <v>1437</v>
      </c>
      <c r="B901"/>
      <c r="C901">
        <v>100</v>
      </c>
      <c r="D901" t="s">
        <v>12</v>
      </c>
      <c r="E901" s="1">
        <v>45862</v>
      </c>
      <c r="F901" t="s">
        <v>11</v>
      </c>
      <c r="G901" s="71">
        <f>_xlfn.XLOOKUP(E901,'Wk no''s'!B:B,'Wk no''s'!C:C,FALSE)</f>
        <v>30</v>
      </c>
    </row>
    <row r="902" spans="1:7" x14ac:dyDescent="0.25">
      <c r="A902" t="s">
        <v>1438</v>
      </c>
      <c r="B902" s="1">
        <v>45863</v>
      </c>
      <c r="C902">
        <v>100</v>
      </c>
      <c r="D902" t="s">
        <v>12</v>
      </c>
      <c r="E902" s="1">
        <v>45863</v>
      </c>
      <c r="F902" t="s">
        <v>11</v>
      </c>
      <c r="G902" s="71">
        <f>_xlfn.XLOOKUP(E902,'Wk no''s'!B:B,'Wk no''s'!C:C,FALSE)</f>
        <v>30</v>
      </c>
    </row>
    <row r="903" spans="1:7" x14ac:dyDescent="0.25">
      <c r="A903" t="s">
        <v>1463</v>
      </c>
      <c r="B903" s="1">
        <v>45866</v>
      </c>
      <c r="C903">
        <v>100</v>
      </c>
      <c r="D903" t="s">
        <v>12</v>
      </c>
      <c r="E903" s="1">
        <v>45865</v>
      </c>
      <c r="F903" t="s">
        <v>11</v>
      </c>
      <c r="G903" s="71">
        <f>_xlfn.XLOOKUP(E903,'Wk no''s'!B:B,'Wk no''s'!C:C,FALSE)</f>
        <v>31</v>
      </c>
    </row>
    <row r="904" spans="1:7" x14ac:dyDescent="0.25">
      <c r="A904" t="s">
        <v>1439</v>
      </c>
      <c r="B904" s="1">
        <v>45859</v>
      </c>
      <c r="C904">
        <v>0</v>
      </c>
      <c r="D904" t="s">
        <v>19</v>
      </c>
      <c r="E904" s="1">
        <v>45862</v>
      </c>
      <c r="F904" t="s">
        <v>72</v>
      </c>
      <c r="G904" s="71">
        <f>_xlfn.XLOOKUP(E904,'Wk no''s'!B:B,'Wk no''s'!C:C,FALSE)</f>
        <v>30</v>
      </c>
    </row>
    <row r="905" spans="1:7" x14ac:dyDescent="0.25">
      <c r="A905" t="s">
        <v>1440</v>
      </c>
      <c r="B905" s="1">
        <v>45859</v>
      </c>
      <c r="C905">
        <v>0</v>
      </c>
      <c r="D905" t="s">
        <v>19</v>
      </c>
      <c r="E905" s="1">
        <v>45860</v>
      </c>
      <c r="F905" t="s">
        <v>72</v>
      </c>
      <c r="G905" s="71">
        <f>_xlfn.XLOOKUP(E905,'Wk no''s'!B:B,'Wk no''s'!C:C,FALSE)</f>
        <v>30</v>
      </c>
    </row>
    <row r="906" spans="1:7" x14ac:dyDescent="0.25">
      <c r="A906" t="s">
        <v>1441</v>
      </c>
      <c r="B906" s="1">
        <v>45855</v>
      </c>
      <c r="C906">
        <v>0</v>
      </c>
      <c r="D906" t="s">
        <v>19</v>
      </c>
      <c r="E906" s="1">
        <v>45862</v>
      </c>
      <c r="F906" t="s">
        <v>72</v>
      </c>
      <c r="G906" s="71">
        <f>_xlfn.XLOOKUP(E906,'Wk no''s'!B:B,'Wk no''s'!C:C,FALSE)</f>
        <v>30</v>
      </c>
    </row>
    <row r="907" spans="1:7" x14ac:dyDescent="0.25">
      <c r="A907" t="s">
        <v>1442</v>
      </c>
      <c r="B907" s="1">
        <v>45862</v>
      </c>
      <c r="C907">
        <v>100</v>
      </c>
      <c r="D907" t="s">
        <v>19</v>
      </c>
      <c r="E907" s="1">
        <v>45862</v>
      </c>
      <c r="F907" t="s">
        <v>72</v>
      </c>
      <c r="G907" s="71">
        <f>_xlfn.XLOOKUP(E907,'Wk no''s'!B:B,'Wk no''s'!C:C,FALSE)</f>
        <v>30</v>
      </c>
    </row>
    <row r="908" spans="1:7" x14ac:dyDescent="0.25">
      <c r="A908" t="s">
        <v>1443</v>
      </c>
      <c r="B908" s="1">
        <v>45863</v>
      </c>
      <c r="C908">
        <v>100</v>
      </c>
      <c r="D908" t="s">
        <v>19</v>
      </c>
      <c r="E908" s="1">
        <v>45862</v>
      </c>
      <c r="F908" t="s">
        <v>72</v>
      </c>
      <c r="G908" s="71">
        <f>_xlfn.XLOOKUP(E908,'Wk no''s'!B:B,'Wk no''s'!C:C,FALSE)</f>
        <v>30</v>
      </c>
    </row>
    <row r="909" spans="1:7" x14ac:dyDescent="0.25">
      <c r="A909" t="s">
        <v>1444</v>
      </c>
      <c r="B909" s="1">
        <v>45870</v>
      </c>
      <c r="C909">
        <v>100</v>
      </c>
      <c r="D909" t="s">
        <v>19</v>
      </c>
      <c r="E909" s="1">
        <v>45860</v>
      </c>
      <c r="F909" t="s">
        <v>72</v>
      </c>
      <c r="G909" s="71">
        <f>_xlfn.XLOOKUP(E909,'Wk no''s'!B:B,'Wk no''s'!C:C,FALSE)</f>
        <v>30</v>
      </c>
    </row>
    <row r="910" spans="1:7" x14ac:dyDescent="0.25">
      <c r="A910" t="s">
        <v>1445</v>
      </c>
      <c r="B910" s="1">
        <v>45854</v>
      </c>
      <c r="C910">
        <v>0</v>
      </c>
      <c r="D910" t="s">
        <v>19</v>
      </c>
      <c r="E910" s="1">
        <v>45859</v>
      </c>
      <c r="F910" t="s">
        <v>645</v>
      </c>
      <c r="G910" s="71">
        <f>_xlfn.XLOOKUP(E910,'Wk no''s'!B:B,'Wk no''s'!C:C,FALSE)</f>
        <v>30</v>
      </c>
    </row>
    <row r="911" spans="1:7" x14ac:dyDescent="0.25">
      <c r="A911" t="s">
        <v>1469</v>
      </c>
      <c r="B911" s="1">
        <v>45859</v>
      </c>
      <c r="C911">
        <v>0</v>
      </c>
      <c r="D911" t="s">
        <v>19</v>
      </c>
      <c r="E911" s="1">
        <v>45870</v>
      </c>
      <c r="F911" t="s">
        <v>16</v>
      </c>
      <c r="G911" s="71">
        <f>_xlfn.XLOOKUP(E911,'Wk no''s'!B:B,'Wk no''s'!C:C,FALSE)</f>
        <v>31</v>
      </c>
    </row>
    <row r="912" spans="1:7" x14ac:dyDescent="0.25">
      <c r="A912" t="s">
        <v>1471</v>
      </c>
      <c r="B912" s="1">
        <v>45860</v>
      </c>
      <c r="C912">
        <v>0</v>
      </c>
      <c r="D912" t="s">
        <v>19</v>
      </c>
      <c r="E912" s="1">
        <v>45866</v>
      </c>
      <c r="F912" t="s">
        <v>16</v>
      </c>
      <c r="G912" s="71">
        <f>_xlfn.XLOOKUP(E912,'Wk no''s'!B:B,'Wk no''s'!C:C,FALSE)</f>
        <v>31</v>
      </c>
    </row>
    <row r="913" spans="1:7" x14ac:dyDescent="0.25">
      <c r="A913" t="s">
        <v>1476</v>
      </c>
      <c r="B913" s="1">
        <v>45863</v>
      </c>
      <c r="C913">
        <v>0</v>
      </c>
      <c r="D913" t="s">
        <v>19</v>
      </c>
      <c r="E913" s="1">
        <v>45866</v>
      </c>
      <c r="F913" t="s">
        <v>16</v>
      </c>
      <c r="G913" s="71">
        <f>_xlfn.XLOOKUP(E913,'Wk no''s'!B:B,'Wk no''s'!C:C,FALSE)</f>
        <v>31</v>
      </c>
    </row>
    <row r="914" spans="1:7" x14ac:dyDescent="0.25">
      <c r="A914" t="s">
        <v>1467</v>
      </c>
      <c r="B914" s="1">
        <v>45868</v>
      </c>
      <c r="C914">
        <v>100</v>
      </c>
      <c r="D914" t="s">
        <v>19</v>
      </c>
      <c r="E914" s="1">
        <v>45868</v>
      </c>
      <c r="F914" t="s">
        <v>16</v>
      </c>
      <c r="G914" s="71">
        <f>_xlfn.XLOOKUP(E914,'Wk no''s'!B:B,'Wk no''s'!C:C,FALSE)</f>
        <v>31</v>
      </c>
    </row>
    <row r="915" spans="1:7" x14ac:dyDescent="0.25">
      <c r="A915" t="s">
        <v>1415</v>
      </c>
      <c r="B915"/>
      <c r="C915">
        <v>100</v>
      </c>
      <c r="D915" t="s">
        <v>19</v>
      </c>
      <c r="E915" s="1">
        <v>45867</v>
      </c>
      <c r="F915" t="s">
        <v>16</v>
      </c>
      <c r="G915" s="71">
        <f>_xlfn.XLOOKUP(E915,'Wk no''s'!B:B,'Wk no''s'!C:C,FALSE)</f>
        <v>31</v>
      </c>
    </row>
    <row r="916" spans="1:7" x14ac:dyDescent="0.25">
      <c r="A916" t="s">
        <v>1473</v>
      </c>
      <c r="B916"/>
      <c r="C916">
        <v>100</v>
      </c>
      <c r="D916" t="s">
        <v>19</v>
      </c>
      <c r="E916" s="1">
        <v>45869</v>
      </c>
      <c r="F916" t="s">
        <v>16</v>
      </c>
      <c r="G916" s="71">
        <f>_xlfn.XLOOKUP(E916,'Wk no''s'!B:B,'Wk no''s'!C:C,FALSE)</f>
        <v>31</v>
      </c>
    </row>
    <row r="917" spans="1:7" x14ac:dyDescent="0.25">
      <c r="A917" t="s">
        <v>1474</v>
      </c>
      <c r="B917" s="1">
        <v>45870</v>
      </c>
      <c r="C917">
        <v>100</v>
      </c>
      <c r="D917" t="s">
        <v>19</v>
      </c>
      <c r="E917" s="1">
        <v>45870</v>
      </c>
      <c r="F917" t="s">
        <v>16</v>
      </c>
      <c r="G917" s="71">
        <f>_xlfn.XLOOKUP(E917,'Wk no''s'!B:B,'Wk no''s'!C:C,FALSE)</f>
        <v>31</v>
      </c>
    </row>
    <row r="918" spans="1:7" x14ac:dyDescent="0.25">
      <c r="A918" t="s">
        <v>1465</v>
      </c>
      <c r="B918" s="1">
        <v>45866</v>
      </c>
      <c r="C918">
        <v>100</v>
      </c>
      <c r="D918" t="s">
        <v>12</v>
      </c>
      <c r="E918" s="1">
        <v>45866</v>
      </c>
      <c r="F918" t="s">
        <v>16</v>
      </c>
      <c r="G918" s="71">
        <f>_xlfn.XLOOKUP(E918,'Wk no''s'!B:B,'Wk no''s'!C:C,FALSE)</f>
        <v>31</v>
      </c>
    </row>
    <row r="919" spans="1:7" x14ac:dyDescent="0.25">
      <c r="A919" t="s">
        <v>1477</v>
      </c>
      <c r="B919" s="1">
        <v>45867</v>
      </c>
      <c r="C919">
        <v>100</v>
      </c>
      <c r="D919" t="s">
        <v>19</v>
      </c>
      <c r="E919" s="1">
        <v>45867</v>
      </c>
      <c r="F919" t="s">
        <v>16</v>
      </c>
      <c r="G919" s="71">
        <f>_xlfn.XLOOKUP(E919,'Wk no''s'!B:B,'Wk no''s'!C:C,FALSE)</f>
        <v>31</v>
      </c>
    </row>
    <row r="920" spans="1:7" x14ac:dyDescent="0.25">
      <c r="A920" t="s">
        <v>1478</v>
      </c>
      <c r="B920" s="1">
        <v>45870</v>
      </c>
      <c r="C920">
        <v>100</v>
      </c>
      <c r="D920" t="s">
        <v>19</v>
      </c>
      <c r="E920" s="1">
        <v>45870</v>
      </c>
      <c r="F920" t="s">
        <v>16</v>
      </c>
      <c r="G920" s="71">
        <f>_xlfn.XLOOKUP(E920,'Wk no''s'!B:B,'Wk no''s'!C:C,FALSE)</f>
        <v>31</v>
      </c>
    </row>
    <row r="921" spans="1:7" x14ac:dyDescent="0.25">
      <c r="A921" t="s">
        <v>1480</v>
      </c>
      <c r="B921" s="1">
        <v>45867</v>
      </c>
      <c r="C921">
        <v>100</v>
      </c>
      <c r="D921" t="s">
        <v>19</v>
      </c>
      <c r="E921" s="1">
        <v>45867</v>
      </c>
      <c r="F921" t="s">
        <v>16</v>
      </c>
      <c r="G921" s="71">
        <f>_xlfn.XLOOKUP(E921,'Wk no''s'!B:B,'Wk no''s'!C:C,FALSE)</f>
        <v>31</v>
      </c>
    </row>
    <row r="922" spans="1:7" x14ac:dyDescent="0.25">
      <c r="A922" t="s">
        <v>1482</v>
      </c>
      <c r="B922" s="1">
        <v>45870</v>
      </c>
      <c r="C922">
        <v>100</v>
      </c>
      <c r="D922" t="s">
        <v>19</v>
      </c>
      <c r="E922" s="1">
        <v>45870</v>
      </c>
      <c r="F922" t="s">
        <v>16</v>
      </c>
      <c r="G922" s="71">
        <f>_xlfn.XLOOKUP(E922,'Wk no''s'!B:B,'Wk no''s'!C:C,FALSE)</f>
        <v>31</v>
      </c>
    </row>
    <row r="923" spans="1:7" x14ac:dyDescent="0.25">
      <c r="A923" t="s">
        <v>1484</v>
      </c>
      <c r="B923" s="1">
        <v>45869</v>
      </c>
      <c r="C923">
        <v>100</v>
      </c>
      <c r="D923" t="s">
        <v>19</v>
      </c>
      <c r="E923" s="1">
        <v>45869</v>
      </c>
      <c r="F923" t="s">
        <v>16</v>
      </c>
      <c r="G923" s="71">
        <f>_xlfn.XLOOKUP(E923,'Wk no''s'!B:B,'Wk no''s'!C:C,FALSE)</f>
        <v>31</v>
      </c>
    </row>
    <row r="924" spans="1:7" x14ac:dyDescent="0.25">
      <c r="A924" t="s">
        <v>1486</v>
      </c>
      <c r="B924" s="1">
        <v>45869</v>
      </c>
      <c r="C924">
        <v>100</v>
      </c>
      <c r="D924" t="s">
        <v>19</v>
      </c>
      <c r="E924" s="1">
        <v>45869</v>
      </c>
      <c r="F924" t="s">
        <v>16</v>
      </c>
      <c r="G924" s="71">
        <f>_xlfn.XLOOKUP(E924,'Wk no''s'!B:B,'Wk no''s'!C:C,FALSE)</f>
        <v>31</v>
      </c>
    </row>
    <row r="925" spans="1:7" x14ac:dyDescent="0.25">
      <c r="A925" t="s">
        <v>1488</v>
      </c>
      <c r="B925" s="1">
        <v>45867</v>
      </c>
      <c r="C925">
        <v>0</v>
      </c>
      <c r="D925" t="s">
        <v>19</v>
      </c>
      <c r="E925" s="1">
        <v>45868</v>
      </c>
      <c r="F925" t="s">
        <v>47</v>
      </c>
      <c r="G925" s="71">
        <f>_xlfn.XLOOKUP(E925,'Wk no''s'!B:B,'Wk no''s'!C:C,FALSE)</f>
        <v>31</v>
      </c>
    </row>
    <row r="926" spans="1:7" x14ac:dyDescent="0.25">
      <c r="A926" t="s">
        <v>1490</v>
      </c>
      <c r="B926" s="1">
        <v>45861</v>
      </c>
      <c r="C926">
        <v>0</v>
      </c>
      <c r="D926" t="s">
        <v>19</v>
      </c>
      <c r="E926" s="1">
        <v>45867</v>
      </c>
      <c r="F926" t="s">
        <v>47</v>
      </c>
      <c r="G926" s="71">
        <f>_xlfn.XLOOKUP(E926,'Wk no''s'!B:B,'Wk no''s'!C:C,FALSE)</f>
        <v>31</v>
      </c>
    </row>
    <row r="927" spans="1:7" x14ac:dyDescent="0.25">
      <c r="A927" t="s">
        <v>1487</v>
      </c>
      <c r="B927"/>
      <c r="C927">
        <v>100</v>
      </c>
      <c r="D927" t="s">
        <v>19</v>
      </c>
      <c r="E927" s="1">
        <v>45869</v>
      </c>
      <c r="F927" t="s">
        <v>47</v>
      </c>
      <c r="G927" s="71">
        <f>_xlfn.XLOOKUP(E927,'Wk no''s'!B:B,'Wk no''s'!C:C,FALSE)</f>
        <v>31</v>
      </c>
    </row>
    <row r="928" spans="1:7" x14ac:dyDescent="0.25">
      <c r="A928" t="s">
        <v>1491</v>
      </c>
      <c r="B928" s="1">
        <v>45868</v>
      </c>
      <c r="C928">
        <v>100</v>
      </c>
      <c r="D928" t="s">
        <v>50</v>
      </c>
      <c r="E928" s="1">
        <v>45868</v>
      </c>
      <c r="F928" t="s">
        <v>47</v>
      </c>
      <c r="G928" s="71">
        <f>_xlfn.XLOOKUP(E928,'Wk no''s'!B:B,'Wk no''s'!C:C,FALSE)</f>
        <v>31</v>
      </c>
    </row>
    <row r="929" spans="1:7" x14ac:dyDescent="0.25">
      <c r="A929" t="s">
        <v>1492</v>
      </c>
      <c r="B929" s="1">
        <v>45868</v>
      </c>
      <c r="C929">
        <v>100</v>
      </c>
      <c r="D929" t="s">
        <v>50</v>
      </c>
      <c r="E929" s="1">
        <v>45868</v>
      </c>
      <c r="F929" t="s">
        <v>47</v>
      </c>
      <c r="G929" s="71">
        <f>_xlfn.XLOOKUP(E929,'Wk no''s'!B:B,'Wk no''s'!C:C,FALSE)</f>
        <v>31</v>
      </c>
    </row>
    <row r="930" spans="1:7" x14ac:dyDescent="0.25">
      <c r="A930" t="s">
        <v>1496</v>
      </c>
      <c r="B930" s="1">
        <v>45870</v>
      </c>
      <c r="C930">
        <v>100</v>
      </c>
      <c r="D930" t="s">
        <v>50</v>
      </c>
      <c r="E930" s="1">
        <v>45867</v>
      </c>
      <c r="F930" t="s">
        <v>11</v>
      </c>
      <c r="G930" s="71">
        <f>_xlfn.XLOOKUP(E930,'Wk no''s'!B:B,'Wk no''s'!C:C,FALSE)</f>
        <v>31</v>
      </c>
    </row>
    <row r="931" spans="1:7" x14ac:dyDescent="0.25">
      <c r="A931" t="s">
        <v>1497</v>
      </c>
      <c r="B931" s="1">
        <v>45875</v>
      </c>
      <c r="C931">
        <v>100</v>
      </c>
      <c r="D931" t="s">
        <v>50</v>
      </c>
      <c r="E931" s="1">
        <v>45869</v>
      </c>
      <c r="F931" t="s">
        <v>11</v>
      </c>
      <c r="G931" s="71">
        <f>_xlfn.XLOOKUP(E931,'Wk no''s'!B:B,'Wk no''s'!C:C,FALSE)</f>
        <v>31</v>
      </c>
    </row>
    <row r="932" spans="1:7" x14ac:dyDescent="0.25">
      <c r="A932" t="s">
        <v>1498</v>
      </c>
      <c r="B932" s="1">
        <v>45866</v>
      </c>
      <c r="C932">
        <v>100</v>
      </c>
      <c r="D932" t="s">
        <v>50</v>
      </c>
      <c r="E932" s="1">
        <v>45866</v>
      </c>
      <c r="F932" t="s">
        <v>11</v>
      </c>
      <c r="G932" s="71">
        <f>_xlfn.XLOOKUP(E932,'Wk no''s'!B:B,'Wk no''s'!C:C,FALSE)</f>
        <v>31</v>
      </c>
    </row>
    <row r="933" spans="1:7" x14ac:dyDescent="0.25">
      <c r="A933" t="s">
        <v>1499</v>
      </c>
      <c r="B933"/>
      <c r="C933">
        <v>100</v>
      </c>
      <c r="D933" t="s">
        <v>50</v>
      </c>
      <c r="E933" s="1">
        <v>45870</v>
      </c>
      <c r="F933" t="s">
        <v>11</v>
      </c>
      <c r="G933" s="71">
        <f>_xlfn.XLOOKUP(E933,'Wk no''s'!B:B,'Wk no''s'!C:C,FALSE)</f>
        <v>31</v>
      </c>
    </row>
    <row r="934" spans="1:7" x14ac:dyDescent="0.25">
      <c r="A934" t="s">
        <v>1493</v>
      </c>
      <c r="B934" s="1">
        <v>45869</v>
      </c>
      <c r="C934">
        <v>100</v>
      </c>
      <c r="D934" t="s">
        <v>12</v>
      </c>
      <c r="E934" s="1">
        <v>45869</v>
      </c>
      <c r="F934" t="s">
        <v>11</v>
      </c>
      <c r="G934" s="71">
        <f>_xlfn.XLOOKUP(E934,'Wk no''s'!B:B,'Wk no''s'!C:C,FALSE)</f>
        <v>31</v>
      </c>
    </row>
    <row r="935" spans="1:7" x14ac:dyDescent="0.25">
      <c r="A935" t="s">
        <v>1500</v>
      </c>
      <c r="B935"/>
      <c r="C935">
        <v>100</v>
      </c>
      <c r="D935" t="s">
        <v>50</v>
      </c>
      <c r="E935" s="1">
        <v>45869</v>
      </c>
      <c r="F935" t="s">
        <v>11</v>
      </c>
      <c r="G935" s="71">
        <f>_xlfn.XLOOKUP(E935,'Wk no''s'!B:B,'Wk no''s'!C:C,FALSE)</f>
        <v>31</v>
      </c>
    </row>
    <row r="936" spans="1:7" x14ac:dyDescent="0.25">
      <c r="A936" t="s">
        <v>1501</v>
      </c>
      <c r="B936" s="1">
        <v>45870</v>
      </c>
      <c r="C936">
        <v>100</v>
      </c>
      <c r="D936" t="s">
        <v>50</v>
      </c>
      <c r="E936" s="1">
        <v>45870</v>
      </c>
      <c r="F936" t="s">
        <v>11</v>
      </c>
      <c r="G936" s="71">
        <f>_xlfn.XLOOKUP(E936,'Wk no''s'!B:B,'Wk no''s'!C:C,FALSE)</f>
        <v>31</v>
      </c>
    </row>
    <row r="937" spans="1:7" x14ac:dyDescent="0.25">
      <c r="A937" t="s">
        <v>1494</v>
      </c>
      <c r="B937" s="1">
        <v>45870</v>
      </c>
      <c r="C937">
        <v>100</v>
      </c>
      <c r="D937" t="s">
        <v>12</v>
      </c>
      <c r="E937" s="1">
        <v>45870</v>
      </c>
      <c r="F937" t="s">
        <v>11</v>
      </c>
      <c r="G937" s="71">
        <f>_xlfn.XLOOKUP(E937,'Wk no''s'!B:B,'Wk no''s'!C:C,FALSE)</f>
        <v>31</v>
      </c>
    </row>
    <row r="938" spans="1:7" x14ac:dyDescent="0.25">
      <c r="A938" t="s">
        <v>1505</v>
      </c>
      <c r="B938" s="1">
        <v>45856</v>
      </c>
      <c r="C938">
        <v>0</v>
      </c>
      <c r="D938" t="s">
        <v>19</v>
      </c>
      <c r="E938" s="1">
        <v>45868</v>
      </c>
      <c r="F938" t="s">
        <v>72</v>
      </c>
      <c r="G938" s="71">
        <f>_xlfn.XLOOKUP(E938,'Wk no''s'!B:B,'Wk no''s'!C:C,FALSE)</f>
        <v>31</v>
      </c>
    </row>
    <row r="939" spans="1:7" x14ac:dyDescent="0.25">
      <c r="A939" t="s">
        <v>1508</v>
      </c>
      <c r="B939" s="1">
        <v>45868</v>
      </c>
      <c r="C939">
        <v>100</v>
      </c>
      <c r="D939" t="s">
        <v>19</v>
      </c>
      <c r="E939" s="1">
        <v>45866</v>
      </c>
      <c r="F939" t="s">
        <v>72</v>
      </c>
      <c r="G939" s="71">
        <f>_xlfn.XLOOKUP(E939,'Wk no''s'!B:B,'Wk no''s'!C:C,FALSE)</f>
        <v>31</v>
      </c>
    </row>
    <row r="940" spans="1:7" x14ac:dyDescent="0.25">
      <c r="A940" t="s">
        <v>1503</v>
      </c>
      <c r="B940" s="1">
        <v>45869</v>
      </c>
      <c r="C940">
        <v>100</v>
      </c>
      <c r="D940" t="s">
        <v>12</v>
      </c>
      <c r="E940" s="1">
        <v>45869</v>
      </c>
      <c r="F940" t="s">
        <v>72</v>
      </c>
      <c r="G940" s="71">
        <f>_xlfn.XLOOKUP(E940,'Wk no''s'!B:B,'Wk no''s'!C:C,FALSE)</f>
        <v>31</v>
      </c>
    </row>
    <row r="941" spans="1:7" x14ac:dyDescent="0.25">
      <c r="A941" t="s">
        <v>1509</v>
      </c>
      <c r="B941" s="1">
        <v>45869</v>
      </c>
      <c r="C941">
        <v>100</v>
      </c>
      <c r="D941" t="s">
        <v>50</v>
      </c>
      <c r="E941" s="1">
        <v>45869</v>
      </c>
      <c r="F941" t="s">
        <v>72</v>
      </c>
      <c r="G941" s="71">
        <f>_xlfn.XLOOKUP(E941,'Wk no''s'!B:B,'Wk no''s'!C:C,FALSE)</f>
        <v>31</v>
      </c>
    </row>
    <row r="942" spans="1:7" x14ac:dyDescent="0.25">
      <c r="A942" t="s">
        <v>1515</v>
      </c>
      <c r="B942" s="1">
        <v>45870</v>
      </c>
      <c r="C942">
        <v>0</v>
      </c>
      <c r="D942" t="s">
        <v>19</v>
      </c>
      <c r="E942" s="1">
        <v>45876</v>
      </c>
      <c r="F942" t="s">
        <v>16</v>
      </c>
      <c r="G942" s="71">
        <f>_xlfn.XLOOKUP(E942,'Wk no''s'!B:B,'Wk no''s'!C:C,FALSE)</f>
        <v>32</v>
      </c>
    </row>
    <row r="943" spans="1:7" x14ac:dyDescent="0.25">
      <c r="A943" t="s">
        <v>1517</v>
      </c>
      <c r="B943" s="1">
        <v>45870</v>
      </c>
      <c r="C943">
        <v>0</v>
      </c>
      <c r="D943" t="s">
        <v>19</v>
      </c>
      <c r="E943" s="1">
        <v>45875</v>
      </c>
      <c r="F943" t="s">
        <v>16</v>
      </c>
      <c r="G943" s="71">
        <f>_xlfn.XLOOKUP(E943,'Wk no''s'!B:B,'Wk no''s'!C:C,FALSE)</f>
        <v>32</v>
      </c>
    </row>
    <row r="944" spans="1:7" x14ac:dyDescent="0.25">
      <c r="A944" t="s">
        <v>1521</v>
      </c>
      <c r="B944" s="1">
        <v>45875</v>
      </c>
      <c r="C944">
        <v>0</v>
      </c>
      <c r="D944" t="s">
        <v>19</v>
      </c>
      <c r="E944" s="1">
        <v>45876</v>
      </c>
      <c r="F944" t="s">
        <v>16</v>
      </c>
      <c r="G944" s="71">
        <f>_xlfn.XLOOKUP(E944,'Wk no''s'!B:B,'Wk no''s'!C:C,FALSE)</f>
        <v>32</v>
      </c>
    </row>
    <row r="945" spans="1:7" x14ac:dyDescent="0.25">
      <c r="A945" t="s">
        <v>1527</v>
      </c>
      <c r="B945" s="1">
        <v>45873</v>
      </c>
      <c r="C945">
        <v>0</v>
      </c>
      <c r="D945" t="s">
        <v>19</v>
      </c>
      <c r="E945" s="1">
        <v>45875</v>
      </c>
      <c r="F945" t="s">
        <v>16</v>
      </c>
      <c r="G945" s="71">
        <f>_xlfn.XLOOKUP(E945,'Wk no''s'!B:B,'Wk no''s'!C:C,FALSE)</f>
        <v>32</v>
      </c>
    </row>
    <row r="946" spans="1:7" x14ac:dyDescent="0.25">
      <c r="A946" t="s">
        <v>1513</v>
      </c>
      <c r="B946" s="1">
        <v>45877</v>
      </c>
      <c r="C946">
        <v>100</v>
      </c>
      <c r="D946" t="s">
        <v>19</v>
      </c>
      <c r="E946" s="1">
        <v>45877</v>
      </c>
      <c r="F946" t="s">
        <v>16</v>
      </c>
      <c r="G946" s="71">
        <f>_xlfn.XLOOKUP(E946,'Wk no''s'!B:B,'Wk no''s'!C:C,FALSE)</f>
        <v>32</v>
      </c>
    </row>
    <row r="947" spans="1:7" x14ac:dyDescent="0.25">
      <c r="A947" t="s">
        <v>1518</v>
      </c>
      <c r="B947" s="1">
        <v>45873</v>
      </c>
      <c r="C947">
        <v>100</v>
      </c>
      <c r="D947" t="s">
        <v>19</v>
      </c>
      <c r="E947" s="1">
        <v>45873</v>
      </c>
      <c r="F947" t="s">
        <v>16</v>
      </c>
      <c r="G947" s="71">
        <f>_xlfn.XLOOKUP(E947,'Wk no''s'!B:B,'Wk no''s'!C:C,FALSE)</f>
        <v>32</v>
      </c>
    </row>
    <row r="948" spans="1:7" x14ac:dyDescent="0.25">
      <c r="A948" t="s">
        <v>1519</v>
      </c>
      <c r="B948" s="1">
        <v>45877</v>
      </c>
      <c r="C948">
        <v>100</v>
      </c>
      <c r="D948" t="s">
        <v>19</v>
      </c>
      <c r="E948" s="1">
        <v>45877</v>
      </c>
      <c r="F948" t="s">
        <v>16</v>
      </c>
      <c r="G948" s="71">
        <f>_xlfn.XLOOKUP(E948,'Wk no''s'!B:B,'Wk no''s'!C:C,FALSE)</f>
        <v>32</v>
      </c>
    </row>
    <row r="949" spans="1:7" x14ac:dyDescent="0.25">
      <c r="A949" t="s">
        <v>1522</v>
      </c>
      <c r="B949" s="1">
        <v>45876</v>
      </c>
      <c r="C949">
        <v>100</v>
      </c>
      <c r="D949" t="s">
        <v>19</v>
      </c>
      <c r="E949" s="1">
        <v>45874</v>
      </c>
      <c r="F949" t="s">
        <v>16</v>
      </c>
      <c r="G949" s="71">
        <f>_xlfn.XLOOKUP(E949,'Wk no''s'!B:B,'Wk no''s'!C:C,FALSE)</f>
        <v>32</v>
      </c>
    </row>
    <row r="950" spans="1:7" x14ac:dyDescent="0.25">
      <c r="A950" t="s">
        <v>1524</v>
      </c>
      <c r="B950" s="1">
        <v>45875</v>
      </c>
      <c r="C950">
        <v>100</v>
      </c>
      <c r="D950" t="s">
        <v>19</v>
      </c>
      <c r="E950" s="1">
        <v>45875</v>
      </c>
      <c r="F950" t="s">
        <v>16</v>
      </c>
      <c r="G950" s="71">
        <f>_xlfn.XLOOKUP(E950,'Wk no''s'!B:B,'Wk no''s'!C:C,FALSE)</f>
        <v>32</v>
      </c>
    </row>
    <row r="951" spans="1:7" x14ac:dyDescent="0.25">
      <c r="A951" t="s">
        <v>1525</v>
      </c>
      <c r="B951" s="1">
        <v>45875</v>
      </c>
      <c r="C951">
        <v>100</v>
      </c>
      <c r="D951" t="s">
        <v>19</v>
      </c>
      <c r="E951" s="1">
        <v>45875</v>
      </c>
      <c r="F951" t="s">
        <v>16</v>
      </c>
      <c r="G951" s="71">
        <f>_xlfn.XLOOKUP(E951,'Wk no''s'!B:B,'Wk no''s'!C:C,FALSE)</f>
        <v>32</v>
      </c>
    </row>
    <row r="952" spans="1:7" x14ac:dyDescent="0.25">
      <c r="A952" t="s">
        <v>1528</v>
      </c>
      <c r="B952" s="1">
        <v>45875</v>
      </c>
      <c r="C952">
        <v>100</v>
      </c>
      <c r="D952" t="s">
        <v>19</v>
      </c>
      <c r="E952" s="1">
        <v>45875</v>
      </c>
      <c r="F952" t="s">
        <v>16</v>
      </c>
      <c r="G952" s="71">
        <f>_xlfn.XLOOKUP(E952,'Wk no''s'!B:B,'Wk no''s'!C:C,FALSE)</f>
        <v>32</v>
      </c>
    </row>
    <row r="953" spans="1:7" x14ac:dyDescent="0.25">
      <c r="A953" t="s">
        <v>1530</v>
      </c>
      <c r="B953" s="1">
        <v>45873</v>
      </c>
      <c r="C953">
        <v>100</v>
      </c>
      <c r="D953" t="s">
        <v>19</v>
      </c>
      <c r="E953" s="1">
        <v>45873</v>
      </c>
      <c r="F953" t="s">
        <v>16</v>
      </c>
      <c r="G953" s="71">
        <f>_xlfn.XLOOKUP(E953,'Wk no''s'!B:B,'Wk no''s'!C:C,FALSE)</f>
        <v>32</v>
      </c>
    </row>
    <row r="954" spans="1:7" x14ac:dyDescent="0.25">
      <c r="A954" t="s">
        <v>1531</v>
      </c>
      <c r="B954" s="1">
        <v>45875</v>
      </c>
      <c r="C954">
        <v>100</v>
      </c>
      <c r="D954" t="s">
        <v>19</v>
      </c>
      <c r="E954" s="1">
        <v>45875</v>
      </c>
      <c r="F954" t="s">
        <v>16</v>
      </c>
      <c r="G954" s="71">
        <f>_xlfn.XLOOKUP(E954,'Wk no''s'!B:B,'Wk no''s'!C:C,FALSE)</f>
        <v>32</v>
      </c>
    </row>
    <row r="955" spans="1:7" x14ac:dyDescent="0.25">
      <c r="A955" t="s">
        <v>1532</v>
      </c>
      <c r="B955" s="1">
        <v>45875</v>
      </c>
      <c r="C955">
        <v>100</v>
      </c>
      <c r="D955" t="s">
        <v>19</v>
      </c>
      <c r="E955" s="1">
        <v>45875</v>
      </c>
      <c r="F955" t="s">
        <v>16</v>
      </c>
      <c r="G955" s="71">
        <f>_xlfn.XLOOKUP(E955,'Wk no''s'!B:B,'Wk no''s'!C:C,FALSE)</f>
        <v>32</v>
      </c>
    </row>
    <row r="956" spans="1:7" x14ac:dyDescent="0.25">
      <c r="A956" t="s">
        <v>1534</v>
      </c>
      <c r="B956" s="1">
        <v>45875</v>
      </c>
      <c r="C956">
        <v>100</v>
      </c>
      <c r="D956" t="s">
        <v>19</v>
      </c>
      <c r="E956" s="1">
        <v>45875</v>
      </c>
      <c r="F956" t="s">
        <v>16</v>
      </c>
      <c r="G956" s="71">
        <f>_xlfn.XLOOKUP(E956,'Wk no''s'!B:B,'Wk no''s'!C:C,FALSE)</f>
        <v>32</v>
      </c>
    </row>
    <row r="957" spans="1:7" x14ac:dyDescent="0.25">
      <c r="A957" t="s">
        <v>1535</v>
      </c>
      <c r="B957" s="1">
        <v>45876</v>
      </c>
      <c r="C957">
        <v>100</v>
      </c>
      <c r="D957" t="s">
        <v>19</v>
      </c>
      <c r="E957" s="1">
        <v>45876</v>
      </c>
      <c r="F957" t="s">
        <v>16</v>
      </c>
      <c r="G957" s="71">
        <f>_xlfn.XLOOKUP(E957,'Wk no''s'!B:B,'Wk no''s'!C:C,FALSE)</f>
        <v>32</v>
      </c>
    </row>
    <row r="958" spans="1:7" x14ac:dyDescent="0.25">
      <c r="A958" t="s">
        <v>1536</v>
      </c>
      <c r="B958" s="1">
        <v>45875</v>
      </c>
      <c r="C958">
        <v>100</v>
      </c>
      <c r="D958" t="s">
        <v>19</v>
      </c>
      <c r="E958" s="1">
        <v>45874</v>
      </c>
      <c r="F958" t="s">
        <v>41</v>
      </c>
      <c r="G958" s="71">
        <f>_xlfn.XLOOKUP(E958,'Wk no''s'!B:B,'Wk no''s'!C:C,FALSE)</f>
        <v>32</v>
      </c>
    </row>
    <row r="959" spans="1:7" x14ac:dyDescent="0.25">
      <c r="A959" t="s">
        <v>1537</v>
      </c>
      <c r="B959" s="1">
        <v>45862</v>
      </c>
      <c r="C959">
        <v>0</v>
      </c>
      <c r="D959" t="s">
        <v>19</v>
      </c>
      <c r="E959" s="1">
        <v>45875</v>
      </c>
      <c r="F959" t="s">
        <v>47</v>
      </c>
      <c r="G959" s="71">
        <f>_xlfn.XLOOKUP(E959,'Wk no''s'!B:B,'Wk no''s'!C:C,FALSE)</f>
        <v>32</v>
      </c>
    </row>
    <row r="960" spans="1:7" x14ac:dyDescent="0.25">
      <c r="A960" t="s">
        <v>1541</v>
      </c>
      <c r="B960" s="1">
        <v>45869</v>
      </c>
      <c r="C960">
        <v>0</v>
      </c>
      <c r="D960" t="s">
        <v>50</v>
      </c>
      <c r="E960" s="1">
        <v>45873</v>
      </c>
      <c r="F960" t="s">
        <v>47</v>
      </c>
      <c r="G960" s="71">
        <f>_xlfn.XLOOKUP(E960,'Wk no''s'!B:B,'Wk no''s'!C:C,FALSE)</f>
        <v>32</v>
      </c>
    </row>
    <row r="961" spans="1:7" x14ac:dyDescent="0.25">
      <c r="A961" t="s">
        <v>1539</v>
      </c>
      <c r="B961" s="1">
        <v>45870</v>
      </c>
      <c r="C961">
        <v>0</v>
      </c>
      <c r="D961" t="s">
        <v>19</v>
      </c>
      <c r="E961" s="1">
        <v>45874</v>
      </c>
      <c r="F961" t="s">
        <v>47</v>
      </c>
      <c r="G961" s="71">
        <f>_xlfn.XLOOKUP(E961,'Wk no''s'!B:B,'Wk no''s'!C:C,FALSE)</f>
        <v>32</v>
      </c>
    </row>
    <row r="962" spans="1:7" x14ac:dyDescent="0.25">
      <c r="A962" t="s">
        <v>1542</v>
      </c>
      <c r="B962" s="1">
        <v>45874</v>
      </c>
      <c r="C962">
        <v>100</v>
      </c>
      <c r="D962" t="s">
        <v>50</v>
      </c>
      <c r="E962" s="1">
        <v>45874</v>
      </c>
      <c r="F962" t="s">
        <v>47</v>
      </c>
      <c r="G962" s="71">
        <f>_xlfn.XLOOKUP(E962,'Wk no''s'!B:B,'Wk no''s'!C:C,FALSE)</f>
        <v>32</v>
      </c>
    </row>
    <row r="963" spans="1:7" x14ac:dyDescent="0.25">
      <c r="A963" t="s">
        <v>1544</v>
      </c>
      <c r="B963" s="1">
        <v>45875</v>
      </c>
      <c r="C963">
        <v>100</v>
      </c>
      <c r="D963" t="s">
        <v>50</v>
      </c>
      <c r="E963" s="1">
        <v>45875</v>
      </c>
      <c r="F963" t="s">
        <v>47</v>
      </c>
      <c r="G963" s="71">
        <f>_xlfn.XLOOKUP(E963,'Wk no''s'!B:B,'Wk no''s'!C:C,FALSE)</f>
        <v>32</v>
      </c>
    </row>
    <row r="964" spans="1:7" x14ac:dyDescent="0.25">
      <c r="A964" t="s">
        <v>1540</v>
      </c>
      <c r="B964" s="1">
        <v>45877</v>
      </c>
      <c r="C964">
        <v>100</v>
      </c>
      <c r="D964" t="s">
        <v>19</v>
      </c>
      <c r="E964" s="1">
        <v>45876</v>
      </c>
      <c r="F964" t="s">
        <v>47</v>
      </c>
      <c r="G964" s="71">
        <f>_xlfn.XLOOKUP(E964,'Wk no''s'!B:B,'Wk no''s'!C:C,FALSE)</f>
        <v>32</v>
      </c>
    </row>
    <row r="965" spans="1:7" x14ac:dyDescent="0.25">
      <c r="A965" t="s">
        <v>1545</v>
      </c>
      <c r="B965" s="1">
        <v>45876</v>
      </c>
      <c r="C965">
        <v>100</v>
      </c>
      <c r="D965" t="s">
        <v>50</v>
      </c>
      <c r="E965" s="1">
        <v>45876</v>
      </c>
      <c r="F965" t="s">
        <v>47</v>
      </c>
      <c r="G965" s="71">
        <f>_xlfn.XLOOKUP(E965,'Wk no''s'!B:B,'Wk no''s'!C:C,FALSE)</f>
        <v>32</v>
      </c>
    </row>
    <row r="966" spans="1:7" x14ac:dyDescent="0.25">
      <c r="A966" t="s">
        <v>1546</v>
      </c>
      <c r="B966" s="1">
        <v>45873</v>
      </c>
      <c r="C966">
        <v>100</v>
      </c>
      <c r="D966" t="s">
        <v>12</v>
      </c>
      <c r="E966" s="1">
        <v>45873</v>
      </c>
      <c r="F966" t="s">
        <v>11</v>
      </c>
      <c r="G966" s="71">
        <f>_xlfn.XLOOKUP(E966,'Wk no''s'!B:B,'Wk no''s'!C:C,FALSE)</f>
        <v>32</v>
      </c>
    </row>
    <row r="967" spans="1:7" x14ac:dyDescent="0.25">
      <c r="A967" t="s">
        <v>1502</v>
      </c>
      <c r="B967" s="1">
        <v>45875</v>
      </c>
      <c r="C967">
        <v>100</v>
      </c>
      <c r="D967" t="s">
        <v>50</v>
      </c>
      <c r="E967" s="1">
        <v>45875</v>
      </c>
      <c r="F967" t="s">
        <v>11</v>
      </c>
      <c r="G967" s="71">
        <f>_xlfn.XLOOKUP(E967,'Wk no''s'!B:B,'Wk no''s'!C:C,FALSE)</f>
        <v>32</v>
      </c>
    </row>
    <row r="968" spans="1:7" x14ac:dyDescent="0.25">
      <c r="A968" t="s">
        <v>1547</v>
      </c>
      <c r="B968" s="1">
        <v>45877</v>
      </c>
      <c r="C968">
        <v>100</v>
      </c>
      <c r="D968" t="s">
        <v>50</v>
      </c>
      <c r="E968" s="1">
        <v>45877</v>
      </c>
      <c r="F968" t="s">
        <v>11</v>
      </c>
      <c r="G968" s="71">
        <f>_xlfn.XLOOKUP(E968,'Wk no''s'!B:B,'Wk no''s'!C:C,FALSE)</f>
        <v>32</v>
      </c>
    </row>
    <row r="969" spans="1:7" x14ac:dyDescent="0.25">
      <c r="A969" t="s">
        <v>1548</v>
      </c>
      <c r="B969"/>
      <c r="C969">
        <v>100</v>
      </c>
      <c r="D969" t="s">
        <v>50</v>
      </c>
      <c r="E969" s="1">
        <v>45875</v>
      </c>
      <c r="F969" t="s">
        <v>11</v>
      </c>
      <c r="G969" s="71">
        <f>_xlfn.XLOOKUP(E969,'Wk no''s'!B:B,'Wk no''s'!C:C,FALSE)</f>
        <v>32</v>
      </c>
    </row>
    <row r="970" spans="1:7" x14ac:dyDescent="0.25">
      <c r="A970" t="s">
        <v>1550</v>
      </c>
      <c r="B970" s="1">
        <v>45880</v>
      </c>
      <c r="C970">
        <v>100</v>
      </c>
      <c r="D970" t="s">
        <v>50</v>
      </c>
      <c r="E970" s="1">
        <v>45877</v>
      </c>
      <c r="F970" t="s">
        <v>11</v>
      </c>
      <c r="G970" s="71">
        <f>_xlfn.XLOOKUP(E970,'Wk no''s'!B:B,'Wk no''s'!C:C,FALSE)</f>
        <v>32</v>
      </c>
    </row>
    <row r="971" spans="1:7" x14ac:dyDescent="0.25">
      <c r="A971" t="s">
        <v>1553</v>
      </c>
      <c r="B971" s="1">
        <v>45870</v>
      </c>
      <c r="C971">
        <v>0</v>
      </c>
      <c r="D971" t="s">
        <v>50</v>
      </c>
      <c r="E971" s="1">
        <v>45874</v>
      </c>
      <c r="F971" t="s">
        <v>72</v>
      </c>
      <c r="G971" s="71">
        <f>_xlfn.XLOOKUP(E971,'Wk no''s'!B:B,'Wk no''s'!C:C,FALSE)</f>
        <v>32</v>
      </c>
    </row>
    <row r="972" spans="1:7" x14ac:dyDescent="0.25">
      <c r="A972" t="s">
        <v>1551</v>
      </c>
      <c r="B972" s="1">
        <v>45883</v>
      </c>
      <c r="C972">
        <v>100</v>
      </c>
      <c r="D972" t="s">
        <v>19</v>
      </c>
      <c r="E972" s="1">
        <v>45877</v>
      </c>
      <c r="F972" t="s">
        <v>72</v>
      </c>
      <c r="G972" s="71">
        <f>_xlfn.XLOOKUP(E972,'Wk no''s'!B:B,'Wk no''s'!C:C,FALSE)</f>
        <v>32</v>
      </c>
    </row>
    <row r="973" spans="1:7" x14ac:dyDescent="0.25">
      <c r="A973" t="s">
        <v>1506</v>
      </c>
      <c r="B973" s="1">
        <v>45877</v>
      </c>
      <c r="C973">
        <v>100</v>
      </c>
      <c r="D973" t="s">
        <v>19</v>
      </c>
      <c r="E973" s="1">
        <v>45874</v>
      </c>
      <c r="F973" t="s">
        <v>72</v>
      </c>
      <c r="G973" s="71">
        <f>_xlfn.XLOOKUP(E973,'Wk no''s'!B:B,'Wk no''s'!C:C,FALSE)</f>
        <v>32</v>
      </c>
    </row>
    <row r="974" spans="1:7" x14ac:dyDescent="0.25">
      <c r="A974" t="s">
        <v>1555</v>
      </c>
      <c r="B974" s="1">
        <v>45877</v>
      </c>
      <c r="C974">
        <v>100</v>
      </c>
      <c r="D974" t="s">
        <v>19</v>
      </c>
      <c r="E974" s="1">
        <v>45877</v>
      </c>
      <c r="F974" t="s">
        <v>645</v>
      </c>
      <c r="G974" s="71">
        <f>_xlfn.XLOOKUP(E974,'Wk no''s'!B:B,'Wk no''s'!C:C,FALSE)</f>
        <v>32</v>
      </c>
    </row>
    <row r="975" spans="1:7" x14ac:dyDescent="0.25">
      <c r="A975" t="s">
        <v>1559</v>
      </c>
      <c r="B975" s="1">
        <v>45880</v>
      </c>
      <c r="C975">
        <v>100</v>
      </c>
      <c r="D975" t="s">
        <v>50</v>
      </c>
      <c r="E975" s="1">
        <v>45880</v>
      </c>
      <c r="F975" t="s">
        <v>47</v>
      </c>
      <c r="G975" s="71">
        <f>_xlfn.XLOOKUP(E975,'Wk no''s'!B:B,'Wk no''s'!C:C,FALSE)</f>
        <v>33</v>
      </c>
    </row>
    <row r="976" spans="1:7" x14ac:dyDescent="0.25">
      <c r="A976" t="s">
        <v>1560</v>
      </c>
      <c r="B976" s="1">
        <v>45884</v>
      </c>
      <c r="C976">
        <v>100</v>
      </c>
      <c r="D976" t="s">
        <v>50</v>
      </c>
      <c r="E976" s="1">
        <v>45884</v>
      </c>
      <c r="F976" t="s">
        <v>47</v>
      </c>
      <c r="G976" s="71">
        <f>_xlfn.XLOOKUP(E976,'Wk no''s'!B:B,'Wk no''s'!C:C,FALSE)</f>
        <v>33</v>
      </c>
    </row>
    <row r="977" spans="1:7" x14ac:dyDescent="0.25">
      <c r="A977" t="s">
        <v>1568</v>
      </c>
      <c r="B977" s="1">
        <v>45881</v>
      </c>
      <c r="C977">
        <v>0</v>
      </c>
      <c r="D977" t="s">
        <v>50</v>
      </c>
      <c r="E977" s="1">
        <v>45884</v>
      </c>
      <c r="F977" t="s">
        <v>11</v>
      </c>
      <c r="G977" s="71">
        <f>_xlfn.XLOOKUP(E977,'Wk no''s'!B:B,'Wk no''s'!C:C,FALSE)</f>
        <v>33</v>
      </c>
    </row>
    <row r="978" spans="1:7" x14ac:dyDescent="0.25">
      <c r="A978" t="s">
        <v>1567</v>
      </c>
      <c r="B978" s="1">
        <v>45884</v>
      </c>
      <c r="C978">
        <v>100</v>
      </c>
      <c r="D978" t="s">
        <v>50</v>
      </c>
      <c r="E978" s="1">
        <v>45882</v>
      </c>
      <c r="F978" t="s">
        <v>11</v>
      </c>
      <c r="G978" s="71">
        <f>_xlfn.XLOOKUP(E978,'Wk no''s'!B:B,'Wk no''s'!C:C,FALSE)</f>
        <v>33</v>
      </c>
    </row>
    <row r="979" spans="1:7" x14ac:dyDescent="0.25">
      <c r="A979" t="s">
        <v>1561</v>
      </c>
      <c r="B979" s="1">
        <v>45881</v>
      </c>
      <c r="C979">
        <v>100</v>
      </c>
      <c r="D979" t="s">
        <v>12</v>
      </c>
      <c r="E979" s="1">
        <v>45880</v>
      </c>
      <c r="F979" t="s">
        <v>11</v>
      </c>
      <c r="G979" s="71">
        <f>_xlfn.XLOOKUP(E979,'Wk no''s'!B:B,'Wk no''s'!C:C,FALSE)</f>
        <v>33</v>
      </c>
    </row>
    <row r="980" spans="1:7" x14ac:dyDescent="0.25">
      <c r="A980" t="s">
        <v>1569</v>
      </c>
      <c r="B980" s="1">
        <v>45882</v>
      </c>
      <c r="C980">
        <v>100</v>
      </c>
      <c r="D980" t="s">
        <v>50</v>
      </c>
      <c r="E980" s="1">
        <v>45881</v>
      </c>
      <c r="F980" t="s">
        <v>11</v>
      </c>
      <c r="G980" s="71">
        <f>_xlfn.XLOOKUP(E980,'Wk no''s'!B:B,'Wk no''s'!C:C,FALSE)</f>
        <v>33</v>
      </c>
    </row>
    <row r="981" spans="1:7" x14ac:dyDescent="0.25">
      <c r="A981" t="s">
        <v>1570</v>
      </c>
      <c r="B981"/>
      <c r="C981">
        <v>100</v>
      </c>
      <c r="D981" t="s">
        <v>50</v>
      </c>
      <c r="E981" s="1">
        <v>45881</v>
      </c>
      <c r="F981" t="s">
        <v>11</v>
      </c>
      <c r="G981" s="71">
        <f>_xlfn.XLOOKUP(E981,'Wk no''s'!B:B,'Wk no''s'!C:C,FALSE)</f>
        <v>33</v>
      </c>
    </row>
    <row r="982" spans="1:7" x14ac:dyDescent="0.25">
      <c r="A982" t="s">
        <v>1563</v>
      </c>
      <c r="B982" s="1">
        <v>45884</v>
      </c>
      <c r="C982">
        <v>100</v>
      </c>
      <c r="D982" t="s">
        <v>12</v>
      </c>
      <c r="E982" s="1">
        <v>45883</v>
      </c>
      <c r="F982" t="s">
        <v>11</v>
      </c>
      <c r="G982" s="71">
        <f>_xlfn.XLOOKUP(E982,'Wk no''s'!B:B,'Wk no''s'!C:C,FALSE)</f>
        <v>33</v>
      </c>
    </row>
    <row r="983" spans="1:7" x14ac:dyDescent="0.25">
      <c r="A983" t="s">
        <v>1565</v>
      </c>
      <c r="B983"/>
      <c r="C983">
        <v>100</v>
      </c>
      <c r="D983" t="s">
        <v>12</v>
      </c>
      <c r="E983" s="1">
        <v>45883</v>
      </c>
      <c r="F983" t="s">
        <v>11</v>
      </c>
      <c r="G983" s="71">
        <f>_xlfn.XLOOKUP(E983,'Wk no''s'!B:B,'Wk no''s'!C:C,FALSE)</f>
        <v>33</v>
      </c>
    </row>
    <row r="984" spans="1:7" x14ac:dyDescent="0.25">
      <c r="A984" t="s">
        <v>1571</v>
      </c>
      <c r="B984"/>
      <c r="C984">
        <v>100</v>
      </c>
      <c r="D984" t="s">
        <v>19</v>
      </c>
      <c r="E984" s="1">
        <v>45884</v>
      </c>
      <c r="F984" t="s">
        <v>645</v>
      </c>
      <c r="G984" s="71">
        <f>_xlfn.XLOOKUP(E984,'Wk no''s'!B:B,'Wk no''s'!C:C,FALSE)</f>
        <v>33</v>
      </c>
    </row>
    <row r="985" spans="1:7" x14ac:dyDescent="0.25">
      <c r="A985" t="s">
        <v>1573</v>
      </c>
      <c r="B985" s="1">
        <v>45889</v>
      </c>
      <c r="C985">
        <v>100</v>
      </c>
      <c r="D985" t="s">
        <v>19</v>
      </c>
      <c r="E985" s="1">
        <v>45889</v>
      </c>
      <c r="F985" t="s">
        <v>16</v>
      </c>
      <c r="G985" s="71">
        <f>_xlfn.XLOOKUP(E985,'Wk no''s'!B:B,'Wk no''s'!C:C,FALSE)</f>
        <v>34</v>
      </c>
    </row>
    <row r="986" spans="1:7" x14ac:dyDescent="0.25">
      <c r="A986" t="s">
        <v>1574</v>
      </c>
      <c r="B986"/>
      <c r="C986">
        <v>100</v>
      </c>
      <c r="D986" t="s">
        <v>19</v>
      </c>
      <c r="E986" s="1">
        <v>45888</v>
      </c>
      <c r="F986" t="s">
        <v>47</v>
      </c>
      <c r="G986" s="71">
        <f>_xlfn.XLOOKUP(E986,'Wk no''s'!B:B,'Wk no''s'!C:C,FALSE)</f>
        <v>34</v>
      </c>
    </row>
    <row r="987" spans="1:7" x14ac:dyDescent="0.25">
      <c r="A987" t="s">
        <v>1575</v>
      </c>
      <c r="B987" s="1">
        <v>45891</v>
      </c>
      <c r="C987">
        <v>100</v>
      </c>
      <c r="D987" t="s">
        <v>12</v>
      </c>
      <c r="E987" s="1">
        <v>45891</v>
      </c>
      <c r="F987" t="s">
        <v>47</v>
      </c>
      <c r="G987" s="71">
        <f>_xlfn.XLOOKUP(E987,'Wk no''s'!B:B,'Wk no''s'!C:C,FALSE)</f>
        <v>34</v>
      </c>
    </row>
    <row r="988" spans="1:7" x14ac:dyDescent="0.25">
      <c r="A988" t="s">
        <v>1586</v>
      </c>
      <c r="B988" s="1">
        <v>45890</v>
      </c>
      <c r="C988">
        <v>0</v>
      </c>
      <c r="D988" t="s">
        <v>50</v>
      </c>
      <c r="E988" s="1">
        <v>45893</v>
      </c>
      <c r="F988" t="s">
        <v>11</v>
      </c>
      <c r="G988" s="71">
        <f>_xlfn.XLOOKUP(E988,'Wk no''s'!B:B,'Wk no''s'!C:C,FALSE)</f>
        <v>35</v>
      </c>
    </row>
    <row r="989" spans="1:7" x14ac:dyDescent="0.25">
      <c r="A989" t="s">
        <v>1576</v>
      </c>
      <c r="B989" s="1">
        <v>45891</v>
      </c>
      <c r="C989">
        <v>100</v>
      </c>
      <c r="D989" t="s">
        <v>50</v>
      </c>
      <c r="E989" s="1">
        <v>45891</v>
      </c>
      <c r="F989" t="s">
        <v>11</v>
      </c>
      <c r="G989" s="71">
        <f>_xlfn.XLOOKUP(E989,'Wk no''s'!B:B,'Wk no''s'!C:C,FALSE)</f>
        <v>34</v>
      </c>
    </row>
    <row r="990" spans="1:7" x14ac:dyDescent="0.25">
      <c r="A990" t="s">
        <v>1577</v>
      </c>
      <c r="B990" s="1">
        <v>45887</v>
      </c>
      <c r="C990">
        <v>100</v>
      </c>
      <c r="D990" t="s">
        <v>50</v>
      </c>
      <c r="E990" s="1">
        <v>45887</v>
      </c>
      <c r="F990" t="s">
        <v>11</v>
      </c>
      <c r="G990" s="71">
        <f>_xlfn.XLOOKUP(E990,'Wk no''s'!B:B,'Wk no''s'!C:C,FALSE)</f>
        <v>34</v>
      </c>
    </row>
    <row r="991" spans="1:7" x14ac:dyDescent="0.25">
      <c r="A991" t="s">
        <v>1578</v>
      </c>
      <c r="B991" s="1">
        <v>45890</v>
      </c>
      <c r="C991">
        <v>100</v>
      </c>
      <c r="D991" t="s">
        <v>50</v>
      </c>
      <c r="E991" s="1">
        <v>45889</v>
      </c>
      <c r="F991" t="s">
        <v>11</v>
      </c>
      <c r="G991" s="71">
        <f>_xlfn.XLOOKUP(E991,'Wk no''s'!B:B,'Wk no''s'!C:C,FALSE)</f>
        <v>34</v>
      </c>
    </row>
    <row r="992" spans="1:7" x14ac:dyDescent="0.25">
      <c r="A992" t="s">
        <v>1579</v>
      </c>
      <c r="B992" s="1">
        <v>45896</v>
      </c>
      <c r="C992">
        <v>100</v>
      </c>
      <c r="D992" t="s">
        <v>50</v>
      </c>
      <c r="E992" s="1">
        <v>45891</v>
      </c>
      <c r="F992" t="s">
        <v>11</v>
      </c>
      <c r="G992" s="71">
        <f>_xlfn.XLOOKUP(E992,'Wk no''s'!B:B,'Wk no''s'!C:C,FALSE)</f>
        <v>34</v>
      </c>
    </row>
    <row r="993" spans="1:7" x14ac:dyDescent="0.25">
      <c r="A993" t="s">
        <v>1587</v>
      </c>
      <c r="B993" s="1">
        <v>45882</v>
      </c>
      <c r="C993">
        <v>0</v>
      </c>
      <c r="D993" t="s">
        <v>19</v>
      </c>
      <c r="E993" s="1">
        <v>45895</v>
      </c>
      <c r="F993" t="s">
        <v>16</v>
      </c>
      <c r="G993" s="71">
        <f>_xlfn.XLOOKUP(E993,'Wk no''s'!B:B,'Wk no''s'!C:C,FALSE)</f>
        <v>35</v>
      </c>
    </row>
    <row r="994" spans="1:7" x14ac:dyDescent="0.25">
      <c r="A994" t="s">
        <v>1557</v>
      </c>
      <c r="B994" s="1">
        <v>45875</v>
      </c>
      <c r="C994">
        <v>0</v>
      </c>
      <c r="D994" t="s">
        <v>19</v>
      </c>
      <c r="E994" s="1">
        <v>45895</v>
      </c>
      <c r="F994" t="s">
        <v>16</v>
      </c>
      <c r="G994" s="71">
        <f>_xlfn.XLOOKUP(E994,'Wk no''s'!B:B,'Wk no''s'!C:C,FALSE)</f>
        <v>35</v>
      </c>
    </row>
    <row r="995" spans="1:7" x14ac:dyDescent="0.25">
      <c r="A995" t="s">
        <v>1588</v>
      </c>
      <c r="B995" s="1">
        <v>45880</v>
      </c>
      <c r="C995">
        <v>0</v>
      </c>
      <c r="D995" t="s">
        <v>19</v>
      </c>
      <c r="E995" s="1">
        <v>45895</v>
      </c>
      <c r="F995" t="s">
        <v>16</v>
      </c>
      <c r="G995" s="71">
        <f>_xlfn.XLOOKUP(E995,'Wk no''s'!B:B,'Wk no''s'!C:C,FALSE)</f>
        <v>35</v>
      </c>
    </row>
    <row r="996" spans="1:7" x14ac:dyDescent="0.25">
      <c r="A996" t="s">
        <v>1589</v>
      </c>
      <c r="B996" s="1">
        <v>45877</v>
      </c>
      <c r="C996">
        <v>0</v>
      </c>
      <c r="D996" t="s">
        <v>19</v>
      </c>
      <c r="E996" s="1">
        <v>45895</v>
      </c>
      <c r="F996" t="s">
        <v>16</v>
      </c>
      <c r="G996" s="71">
        <f>_xlfn.XLOOKUP(E996,'Wk no''s'!B:B,'Wk no''s'!C:C,FALSE)</f>
        <v>35</v>
      </c>
    </row>
    <row r="997" spans="1:7" x14ac:dyDescent="0.25">
      <c r="A997" t="s">
        <v>1590</v>
      </c>
      <c r="B997" s="1">
        <v>45875</v>
      </c>
      <c r="C997">
        <v>0</v>
      </c>
      <c r="D997" t="s">
        <v>19</v>
      </c>
      <c r="E997" s="1">
        <v>45895</v>
      </c>
      <c r="F997" t="s">
        <v>16</v>
      </c>
      <c r="G997" s="71">
        <f>_xlfn.XLOOKUP(E997,'Wk no''s'!B:B,'Wk no''s'!C:C,FALSE)</f>
        <v>35</v>
      </c>
    </row>
    <row r="998" spans="1:7" x14ac:dyDescent="0.25">
      <c r="A998" t="s">
        <v>1591</v>
      </c>
      <c r="B998" s="1">
        <v>45877</v>
      </c>
      <c r="C998">
        <v>0</v>
      </c>
      <c r="D998" t="s">
        <v>19</v>
      </c>
      <c r="E998" s="1">
        <v>45895</v>
      </c>
      <c r="F998" t="s">
        <v>16</v>
      </c>
      <c r="G998" s="71">
        <f>_xlfn.XLOOKUP(E998,'Wk no''s'!B:B,'Wk no''s'!C:C,FALSE)</f>
        <v>35</v>
      </c>
    </row>
    <row r="999" spans="1:7" x14ac:dyDescent="0.25">
      <c r="A999" t="s">
        <v>1592</v>
      </c>
      <c r="B999" s="1">
        <v>45877</v>
      </c>
      <c r="C999">
        <v>0</v>
      </c>
      <c r="D999" t="s">
        <v>19</v>
      </c>
      <c r="E999" s="1">
        <v>45895</v>
      </c>
      <c r="F999" t="s">
        <v>16</v>
      </c>
      <c r="G999" s="71">
        <f>_xlfn.XLOOKUP(E999,'Wk no''s'!B:B,'Wk no''s'!C:C,FALSE)</f>
        <v>35</v>
      </c>
    </row>
    <row r="1000" spans="1:7" x14ac:dyDescent="0.25">
      <c r="A1000" t="s">
        <v>1580</v>
      </c>
      <c r="B1000" s="1">
        <v>45884</v>
      </c>
      <c r="C1000">
        <v>0</v>
      </c>
      <c r="D1000" t="s">
        <v>19</v>
      </c>
      <c r="E1000" s="1">
        <v>45895</v>
      </c>
      <c r="F1000" t="s">
        <v>16</v>
      </c>
      <c r="G1000" s="71">
        <f>_xlfn.XLOOKUP(E1000,'Wk no''s'!B:B,'Wk no''s'!C:C,FALSE)</f>
        <v>35</v>
      </c>
    </row>
    <row r="1001" spans="1:7" x14ac:dyDescent="0.25">
      <c r="A1001" t="s">
        <v>1596</v>
      </c>
      <c r="B1001" s="1">
        <v>45880</v>
      </c>
      <c r="C1001">
        <v>0</v>
      </c>
      <c r="D1001" t="s">
        <v>19</v>
      </c>
      <c r="E1001" s="1">
        <v>45895</v>
      </c>
      <c r="F1001" t="s">
        <v>16</v>
      </c>
      <c r="G1001" s="71">
        <f>_xlfn.XLOOKUP(E1001,'Wk no''s'!B:B,'Wk no''s'!C:C,FALSE)</f>
        <v>35</v>
      </c>
    </row>
    <row r="1002" spans="1:7" x14ac:dyDescent="0.25">
      <c r="A1002" t="s">
        <v>1597</v>
      </c>
      <c r="B1002" s="1">
        <v>45882</v>
      </c>
      <c r="C1002">
        <v>0</v>
      </c>
      <c r="D1002" t="s">
        <v>19</v>
      </c>
      <c r="E1002" s="1">
        <v>45895</v>
      </c>
      <c r="F1002" t="s">
        <v>16</v>
      </c>
      <c r="G1002" s="71">
        <f>_xlfn.XLOOKUP(E1002,'Wk no''s'!B:B,'Wk no''s'!C:C,FALSE)</f>
        <v>35</v>
      </c>
    </row>
    <row r="1003" spans="1:7" x14ac:dyDescent="0.25">
      <c r="A1003" t="s">
        <v>1603</v>
      </c>
      <c r="B1003" s="1">
        <v>45884</v>
      </c>
      <c r="C1003">
        <v>0</v>
      </c>
      <c r="D1003" t="s">
        <v>281</v>
      </c>
      <c r="E1003" s="1">
        <v>45895</v>
      </c>
      <c r="F1003" t="s">
        <v>16</v>
      </c>
      <c r="G1003" s="71">
        <f>_xlfn.XLOOKUP(E1003,'Wk no''s'!B:B,'Wk no''s'!C:C,FALSE)</f>
        <v>35</v>
      </c>
    </row>
    <row r="1004" spans="1:7" x14ac:dyDescent="0.25">
      <c r="A1004" t="s">
        <v>1604</v>
      </c>
      <c r="B1004" s="1">
        <v>45895</v>
      </c>
      <c r="C1004">
        <v>0</v>
      </c>
      <c r="D1004" t="s">
        <v>19</v>
      </c>
      <c r="E1004" s="1">
        <v>45897</v>
      </c>
      <c r="F1004" t="s">
        <v>16</v>
      </c>
      <c r="G1004" s="71">
        <f>_xlfn.XLOOKUP(E1004,'Wk no''s'!B:B,'Wk no''s'!C:C,FALSE)</f>
        <v>35</v>
      </c>
    </row>
    <row r="1005" spans="1:7" x14ac:dyDescent="0.25">
      <c r="A1005" t="s">
        <v>1605</v>
      </c>
      <c r="B1005" s="1">
        <v>45895</v>
      </c>
      <c r="C1005">
        <v>0</v>
      </c>
      <c r="D1005" t="s">
        <v>19</v>
      </c>
      <c r="E1005" s="1">
        <v>45897</v>
      </c>
      <c r="F1005" t="s">
        <v>16</v>
      </c>
      <c r="G1005" s="71">
        <f>_xlfn.XLOOKUP(E1005,'Wk no''s'!B:B,'Wk no''s'!C:C,FALSE)</f>
        <v>35</v>
      </c>
    </row>
    <row r="1006" spans="1:7" x14ac:dyDescent="0.25">
      <c r="A1006" t="s">
        <v>1606</v>
      </c>
      <c r="B1006" s="1">
        <v>45890</v>
      </c>
      <c r="C1006">
        <v>0</v>
      </c>
      <c r="D1006" t="s">
        <v>19</v>
      </c>
      <c r="E1006" s="1">
        <v>45897</v>
      </c>
      <c r="F1006" t="s">
        <v>16</v>
      </c>
      <c r="G1006" s="71">
        <f>_xlfn.XLOOKUP(E1006,'Wk no''s'!B:B,'Wk no''s'!C:C,FALSE)</f>
        <v>35</v>
      </c>
    </row>
    <row r="1007" spans="1:7" x14ac:dyDescent="0.25">
      <c r="A1007" t="s">
        <v>1593</v>
      </c>
      <c r="B1007" s="1">
        <v>45895</v>
      </c>
      <c r="C1007">
        <v>100</v>
      </c>
      <c r="D1007" t="s">
        <v>19</v>
      </c>
      <c r="E1007" s="1">
        <v>45895</v>
      </c>
      <c r="F1007" t="s">
        <v>16</v>
      </c>
      <c r="G1007" s="71">
        <f>_xlfn.XLOOKUP(E1007,'Wk no''s'!B:B,'Wk no''s'!C:C,FALSE)</f>
        <v>35</v>
      </c>
    </row>
    <row r="1008" spans="1:7" x14ac:dyDescent="0.25">
      <c r="A1008" t="s">
        <v>1611</v>
      </c>
      <c r="B1008" s="1">
        <v>45896</v>
      </c>
      <c r="C1008">
        <v>100</v>
      </c>
      <c r="D1008" t="s">
        <v>19</v>
      </c>
      <c r="E1008" s="1">
        <v>45896</v>
      </c>
      <c r="F1008" t="s">
        <v>16</v>
      </c>
      <c r="G1008" s="71">
        <f>_xlfn.XLOOKUP(E1008,'Wk no''s'!B:B,'Wk no''s'!C:C,FALSE)</f>
        <v>35</v>
      </c>
    </row>
    <row r="1009" spans="1:7" x14ac:dyDescent="0.25">
      <c r="A1009" t="s">
        <v>1594</v>
      </c>
      <c r="B1009" s="1">
        <v>45895</v>
      </c>
      <c r="C1009">
        <v>100</v>
      </c>
      <c r="D1009" t="s">
        <v>19</v>
      </c>
      <c r="E1009" s="1">
        <v>45895</v>
      </c>
      <c r="F1009" t="s">
        <v>16</v>
      </c>
      <c r="G1009" s="71">
        <f>_xlfn.XLOOKUP(E1009,'Wk no''s'!B:B,'Wk no''s'!C:C,FALSE)</f>
        <v>35</v>
      </c>
    </row>
    <row r="1010" spans="1:7" x14ac:dyDescent="0.25">
      <c r="A1010" t="s">
        <v>1595</v>
      </c>
      <c r="B1010" s="1">
        <v>45895</v>
      </c>
      <c r="C1010">
        <v>100</v>
      </c>
      <c r="D1010" t="s">
        <v>19</v>
      </c>
      <c r="E1010" s="1">
        <v>45895</v>
      </c>
      <c r="F1010" t="s">
        <v>16</v>
      </c>
      <c r="G1010" s="71">
        <f>_xlfn.XLOOKUP(E1010,'Wk no''s'!B:B,'Wk no''s'!C:C,FALSE)</f>
        <v>35</v>
      </c>
    </row>
    <row r="1011" spans="1:7" x14ac:dyDescent="0.25">
      <c r="A1011" t="s">
        <v>1598</v>
      </c>
      <c r="B1011" s="1">
        <v>45895</v>
      </c>
      <c r="C1011">
        <v>100</v>
      </c>
      <c r="D1011" t="s">
        <v>19</v>
      </c>
      <c r="E1011" s="1">
        <v>45895</v>
      </c>
      <c r="F1011" t="s">
        <v>16</v>
      </c>
      <c r="G1011" s="71">
        <f>_xlfn.XLOOKUP(E1011,'Wk no''s'!B:B,'Wk no''s'!C:C,FALSE)</f>
        <v>35</v>
      </c>
    </row>
    <row r="1012" spans="1:7" x14ac:dyDescent="0.25">
      <c r="A1012" t="s">
        <v>1599</v>
      </c>
      <c r="B1012" s="1">
        <v>45895</v>
      </c>
      <c r="C1012">
        <v>100</v>
      </c>
      <c r="D1012" t="s">
        <v>19</v>
      </c>
      <c r="E1012" s="1">
        <v>45895</v>
      </c>
      <c r="F1012" t="s">
        <v>16</v>
      </c>
      <c r="G1012" s="71">
        <f>_xlfn.XLOOKUP(E1012,'Wk no''s'!B:B,'Wk no''s'!C:C,FALSE)</f>
        <v>35</v>
      </c>
    </row>
    <row r="1013" spans="1:7" x14ac:dyDescent="0.25">
      <c r="A1013" t="s">
        <v>1600</v>
      </c>
      <c r="B1013" s="1">
        <v>45895</v>
      </c>
      <c r="C1013">
        <v>100</v>
      </c>
      <c r="D1013" t="s">
        <v>19</v>
      </c>
      <c r="E1013" s="1">
        <v>45895</v>
      </c>
      <c r="F1013" t="s">
        <v>16</v>
      </c>
      <c r="G1013" s="71">
        <f>_xlfn.XLOOKUP(E1013,'Wk no''s'!B:B,'Wk no''s'!C:C,FALSE)</f>
        <v>35</v>
      </c>
    </row>
    <row r="1014" spans="1:7" x14ac:dyDescent="0.25">
      <c r="A1014" t="s">
        <v>1601</v>
      </c>
      <c r="B1014" s="1">
        <v>45895</v>
      </c>
      <c r="C1014">
        <v>100</v>
      </c>
      <c r="D1014" t="s">
        <v>19</v>
      </c>
      <c r="E1014" s="1">
        <v>45895</v>
      </c>
      <c r="F1014" t="s">
        <v>16</v>
      </c>
      <c r="G1014" s="71">
        <f>_xlfn.XLOOKUP(E1014,'Wk no''s'!B:B,'Wk no''s'!C:C,FALSE)</f>
        <v>35</v>
      </c>
    </row>
    <row r="1015" spans="1:7" x14ac:dyDescent="0.25">
      <c r="A1015" t="s">
        <v>1602</v>
      </c>
      <c r="B1015" s="1">
        <v>45895</v>
      </c>
      <c r="C1015">
        <v>100</v>
      </c>
      <c r="D1015" t="s">
        <v>19</v>
      </c>
      <c r="E1015" s="1">
        <v>45895</v>
      </c>
      <c r="F1015" t="s">
        <v>16</v>
      </c>
      <c r="G1015" s="71">
        <f>_xlfn.XLOOKUP(E1015,'Wk no''s'!B:B,'Wk no''s'!C:C,FALSE)</f>
        <v>35</v>
      </c>
    </row>
    <row r="1016" spans="1:7" x14ac:dyDescent="0.25">
      <c r="A1016" t="s">
        <v>1612</v>
      </c>
      <c r="B1016"/>
      <c r="C1016">
        <v>100</v>
      </c>
      <c r="D1016" t="s">
        <v>19</v>
      </c>
      <c r="E1016" s="1">
        <v>45895</v>
      </c>
      <c r="F1016" t="s">
        <v>16</v>
      </c>
      <c r="G1016" s="71">
        <f>_xlfn.XLOOKUP(E1016,'Wk no''s'!B:B,'Wk no''s'!C:C,FALSE)</f>
        <v>35</v>
      </c>
    </row>
    <row r="1017" spans="1:7" x14ac:dyDescent="0.25">
      <c r="A1017" t="s">
        <v>1607</v>
      </c>
      <c r="B1017" s="1">
        <v>45895</v>
      </c>
      <c r="C1017">
        <v>100</v>
      </c>
      <c r="D1017" t="s">
        <v>19</v>
      </c>
      <c r="E1017" s="1">
        <v>45895</v>
      </c>
      <c r="F1017" t="s">
        <v>16</v>
      </c>
      <c r="G1017" s="71">
        <f>_xlfn.XLOOKUP(E1017,'Wk no''s'!B:B,'Wk no''s'!C:C,FALSE)</f>
        <v>35</v>
      </c>
    </row>
    <row r="1018" spans="1:7" x14ac:dyDescent="0.25">
      <c r="A1018" t="s">
        <v>1608</v>
      </c>
      <c r="B1018" s="1">
        <v>45895</v>
      </c>
      <c r="C1018">
        <v>100</v>
      </c>
      <c r="D1018" t="s">
        <v>19</v>
      </c>
      <c r="E1018" s="1">
        <v>45895</v>
      </c>
      <c r="F1018" t="s">
        <v>16</v>
      </c>
      <c r="G1018" s="71">
        <f>_xlfn.XLOOKUP(E1018,'Wk no''s'!B:B,'Wk no''s'!C:C,FALSE)</f>
        <v>35</v>
      </c>
    </row>
    <row r="1019" spans="1:7" x14ac:dyDescent="0.25">
      <c r="A1019" t="s">
        <v>1613</v>
      </c>
      <c r="B1019" s="1">
        <v>45926</v>
      </c>
      <c r="C1019">
        <v>100</v>
      </c>
      <c r="D1019" t="s">
        <v>281</v>
      </c>
      <c r="E1019" s="1">
        <v>45895</v>
      </c>
      <c r="F1019" t="s">
        <v>16</v>
      </c>
      <c r="G1019" s="71">
        <f>_xlfn.XLOOKUP(E1019,'Wk no''s'!B:B,'Wk no''s'!C:C,FALSE)</f>
        <v>35</v>
      </c>
    </row>
    <row r="1020" spans="1:7" x14ac:dyDescent="0.25">
      <c r="A1020" t="s">
        <v>1609</v>
      </c>
      <c r="B1020" s="1">
        <v>45898</v>
      </c>
      <c r="C1020">
        <v>100</v>
      </c>
      <c r="D1020" t="s">
        <v>12</v>
      </c>
      <c r="E1020" s="1">
        <v>45898</v>
      </c>
      <c r="F1020" t="s">
        <v>16</v>
      </c>
      <c r="G1020" s="71">
        <f>_xlfn.XLOOKUP(E1020,'Wk no''s'!B:B,'Wk no''s'!C:C,FALSE)</f>
        <v>35</v>
      </c>
    </row>
    <row r="1021" spans="1:7" x14ac:dyDescent="0.25">
      <c r="A1021" t="s">
        <v>1614</v>
      </c>
      <c r="B1021" s="1">
        <v>45897</v>
      </c>
      <c r="C1021">
        <v>100</v>
      </c>
      <c r="D1021" t="s">
        <v>12</v>
      </c>
      <c r="E1021" s="1">
        <v>45897</v>
      </c>
      <c r="F1021" t="s">
        <v>16</v>
      </c>
      <c r="G1021" s="71">
        <f>_xlfn.XLOOKUP(E1021,'Wk no''s'!B:B,'Wk no''s'!C:C,FALSE)</f>
        <v>35</v>
      </c>
    </row>
    <row r="1022" spans="1:7" x14ac:dyDescent="0.25">
      <c r="A1022" t="s">
        <v>1615</v>
      </c>
      <c r="B1022" s="1">
        <v>45896</v>
      </c>
      <c r="C1022">
        <v>100</v>
      </c>
      <c r="D1022" t="s">
        <v>281</v>
      </c>
      <c r="E1022" s="1">
        <v>45896</v>
      </c>
      <c r="F1022" t="s">
        <v>16</v>
      </c>
      <c r="G1022" s="71">
        <f>_xlfn.XLOOKUP(E1022,'Wk no''s'!B:B,'Wk no''s'!C:C,FALSE)</f>
        <v>35</v>
      </c>
    </row>
    <row r="1023" spans="1:7" x14ac:dyDescent="0.25">
      <c r="A1023" t="s">
        <v>1610</v>
      </c>
      <c r="B1023" s="1">
        <v>45898</v>
      </c>
      <c r="C1023">
        <v>100</v>
      </c>
      <c r="D1023" t="s">
        <v>19</v>
      </c>
      <c r="E1023" s="1">
        <v>45898</v>
      </c>
      <c r="F1023" t="s">
        <v>16</v>
      </c>
      <c r="G1023" s="71">
        <f>_xlfn.XLOOKUP(E1023,'Wk no''s'!B:B,'Wk no''s'!C:C,FALSE)</f>
        <v>35</v>
      </c>
    </row>
    <row r="1024" spans="1:7" x14ac:dyDescent="0.25">
      <c r="A1024" t="s">
        <v>1616</v>
      </c>
      <c r="B1024" s="1">
        <v>45870</v>
      </c>
      <c r="C1024">
        <v>0</v>
      </c>
      <c r="D1024" t="s">
        <v>50</v>
      </c>
      <c r="E1024" s="1">
        <v>45896</v>
      </c>
      <c r="F1024" t="s">
        <v>47</v>
      </c>
      <c r="G1024" s="71">
        <f>_xlfn.XLOOKUP(E1024,'Wk no''s'!B:B,'Wk no''s'!C:C,FALSE)</f>
        <v>35</v>
      </c>
    </row>
    <row r="1025" spans="1:7" x14ac:dyDescent="0.25">
      <c r="A1025" t="s">
        <v>1273</v>
      </c>
      <c r="B1025" s="1">
        <v>45898</v>
      </c>
      <c r="C1025">
        <v>100</v>
      </c>
      <c r="D1025" t="s">
        <v>50</v>
      </c>
      <c r="E1025" s="1">
        <v>45898</v>
      </c>
      <c r="F1025" t="s">
        <v>47</v>
      </c>
      <c r="G1025" s="71">
        <f>_xlfn.XLOOKUP(E1025,'Wk no''s'!B:B,'Wk no''s'!C:C,FALSE)</f>
        <v>35</v>
      </c>
    </row>
    <row r="1026" spans="1:7" x14ac:dyDescent="0.25">
      <c r="A1026" t="s">
        <v>1617</v>
      </c>
      <c r="B1026" s="1">
        <v>45895</v>
      </c>
      <c r="C1026">
        <v>100</v>
      </c>
      <c r="D1026" t="s">
        <v>50</v>
      </c>
      <c r="E1026" s="1">
        <v>45895</v>
      </c>
      <c r="F1026" t="s">
        <v>47</v>
      </c>
      <c r="G1026" s="71">
        <f>_xlfn.XLOOKUP(E1026,'Wk no''s'!B:B,'Wk no''s'!C:C,FALSE)</f>
        <v>35</v>
      </c>
    </row>
    <row r="1027" spans="1:7" x14ac:dyDescent="0.25">
      <c r="A1027" t="s">
        <v>1621</v>
      </c>
      <c r="B1027"/>
      <c r="C1027">
        <v>100</v>
      </c>
      <c r="D1027" t="s">
        <v>50</v>
      </c>
      <c r="E1027" s="1">
        <v>45895</v>
      </c>
      <c r="F1027" t="s">
        <v>47</v>
      </c>
      <c r="G1027" s="71">
        <f>_xlfn.XLOOKUP(E1027,'Wk no''s'!B:B,'Wk no''s'!C:C,FALSE)</f>
        <v>35</v>
      </c>
    </row>
    <row r="1028" spans="1:7" x14ac:dyDescent="0.25">
      <c r="A1028" t="s">
        <v>1618</v>
      </c>
      <c r="B1028" s="1">
        <v>45895</v>
      </c>
      <c r="C1028">
        <v>100</v>
      </c>
      <c r="D1028" t="s">
        <v>50</v>
      </c>
      <c r="E1028" s="1">
        <v>45895</v>
      </c>
      <c r="F1028" t="s">
        <v>47</v>
      </c>
      <c r="G1028" s="71">
        <f>_xlfn.XLOOKUP(E1028,'Wk no''s'!B:B,'Wk no''s'!C:C,FALSE)</f>
        <v>35</v>
      </c>
    </row>
    <row r="1029" spans="1:7" x14ac:dyDescent="0.25">
      <c r="A1029" t="s">
        <v>1622</v>
      </c>
      <c r="B1029"/>
      <c r="C1029">
        <v>100</v>
      </c>
      <c r="D1029" t="s">
        <v>50</v>
      </c>
      <c r="E1029" s="1">
        <v>45895</v>
      </c>
      <c r="F1029" t="s">
        <v>47</v>
      </c>
      <c r="G1029" s="71">
        <f>_xlfn.XLOOKUP(E1029,'Wk no''s'!B:B,'Wk no''s'!C:C,FALSE)</f>
        <v>35</v>
      </c>
    </row>
    <row r="1030" spans="1:7" x14ac:dyDescent="0.25">
      <c r="A1030" t="s">
        <v>1619</v>
      </c>
      <c r="B1030" s="1">
        <v>45896</v>
      </c>
      <c r="C1030">
        <v>100</v>
      </c>
      <c r="D1030" t="s">
        <v>50</v>
      </c>
      <c r="E1030" s="1">
        <v>45896</v>
      </c>
      <c r="F1030" t="s">
        <v>47</v>
      </c>
      <c r="G1030" s="71">
        <f>_xlfn.XLOOKUP(E1030,'Wk no''s'!B:B,'Wk no''s'!C:C,FALSE)</f>
        <v>35</v>
      </c>
    </row>
    <row r="1031" spans="1:7" x14ac:dyDescent="0.25">
      <c r="A1031" t="s">
        <v>1623</v>
      </c>
      <c r="B1031"/>
      <c r="C1031">
        <v>100</v>
      </c>
      <c r="D1031" t="s">
        <v>50</v>
      </c>
      <c r="E1031" s="1">
        <v>45895</v>
      </c>
      <c r="F1031" t="s">
        <v>47</v>
      </c>
      <c r="G1031" s="71">
        <f>_xlfn.XLOOKUP(E1031,'Wk no''s'!B:B,'Wk no''s'!C:C,FALSE)</f>
        <v>35</v>
      </c>
    </row>
    <row r="1032" spans="1:7" x14ac:dyDescent="0.25">
      <c r="A1032" t="s">
        <v>1620</v>
      </c>
      <c r="B1032" s="1">
        <v>45896</v>
      </c>
      <c r="C1032">
        <v>100</v>
      </c>
      <c r="D1032" t="s">
        <v>50</v>
      </c>
      <c r="E1032" s="1">
        <v>45896</v>
      </c>
      <c r="F1032" t="s">
        <v>47</v>
      </c>
      <c r="G1032" s="71">
        <f>_xlfn.XLOOKUP(E1032,'Wk no''s'!B:B,'Wk no''s'!C:C,FALSE)</f>
        <v>35</v>
      </c>
    </row>
    <row r="1033" spans="1:7" x14ac:dyDescent="0.25">
      <c r="A1033" t="s">
        <v>1624</v>
      </c>
      <c r="B1033"/>
      <c r="C1033">
        <v>100</v>
      </c>
      <c r="D1033" t="s">
        <v>50</v>
      </c>
      <c r="E1033" s="1">
        <v>45895</v>
      </c>
      <c r="F1033" t="s">
        <v>47</v>
      </c>
      <c r="G1033" s="71">
        <f>_xlfn.XLOOKUP(E1033,'Wk no''s'!B:B,'Wk no''s'!C:C,FALSE)</f>
        <v>35</v>
      </c>
    </row>
    <row r="1034" spans="1:7" x14ac:dyDescent="0.25">
      <c r="A1034" t="s">
        <v>1625</v>
      </c>
      <c r="B1034"/>
      <c r="C1034">
        <v>100</v>
      </c>
      <c r="D1034" t="s">
        <v>50</v>
      </c>
      <c r="E1034" s="1">
        <v>45895</v>
      </c>
      <c r="F1034" t="s">
        <v>47</v>
      </c>
      <c r="G1034" s="71">
        <f>_xlfn.XLOOKUP(E1034,'Wk no''s'!B:B,'Wk no''s'!C:C,FALSE)</f>
        <v>35</v>
      </c>
    </row>
    <row r="1035" spans="1:7" x14ac:dyDescent="0.25">
      <c r="A1035" t="s">
        <v>1626</v>
      </c>
      <c r="B1035"/>
      <c r="C1035">
        <v>100</v>
      </c>
      <c r="D1035" t="s">
        <v>50</v>
      </c>
      <c r="E1035" s="1">
        <v>45895</v>
      </c>
      <c r="F1035" t="s">
        <v>47</v>
      </c>
      <c r="G1035" s="71">
        <f>_xlfn.XLOOKUP(E1035,'Wk no''s'!B:B,'Wk no''s'!C:C,FALSE)</f>
        <v>35</v>
      </c>
    </row>
    <row r="1036" spans="1:7" x14ac:dyDescent="0.25">
      <c r="A1036" t="s">
        <v>1627</v>
      </c>
      <c r="B1036" s="1">
        <v>45898</v>
      </c>
      <c r="C1036">
        <v>100</v>
      </c>
      <c r="D1036" t="s">
        <v>50</v>
      </c>
      <c r="E1036" s="1">
        <v>45898</v>
      </c>
      <c r="F1036" t="s">
        <v>47</v>
      </c>
      <c r="G1036" s="71">
        <f>_xlfn.XLOOKUP(E1036,'Wk no''s'!B:B,'Wk no''s'!C:C,FALSE)</f>
        <v>35</v>
      </c>
    </row>
    <row r="1037" spans="1:7" x14ac:dyDescent="0.25">
      <c r="A1037" t="s">
        <v>1628</v>
      </c>
      <c r="B1037" s="1">
        <v>45897</v>
      </c>
      <c r="C1037">
        <v>0</v>
      </c>
      <c r="D1037" t="s">
        <v>50</v>
      </c>
      <c r="E1037" s="1">
        <v>45898</v>
      </c>
      <c r="F1037" t="s">
        <v>11</v>
      </c>
      <c r="G1037" s="71">
        <f>_xlfn.XLOOKUP(E1037,'Wk no''s'!B:B,'Wk no''s'!C:C,FALSE)</f>
        <v>35</v>
      </c>
    </row>
    <row r="1038" spans="1:7" x14ac:dyDescent="0.25">
      <c r="A1038" t="s">
        <v>1629</v>
      </c>
      <c r="B1038" s="1">
        <v>45898</v>
      </c>
      <c r="C1038">
        <v>100</v>
      </c>
      <c r="D1038" t="s">
        <v>50</v>
      </c>
      <c r="E1038" s="1">
        <v>45897</v>
      </c>
      <c r="F1038" t="s">
        <v>11</v>
      </c>
      <c r="G1038" s="71">
        <f>_xlfn.XLOOKUP(E1038,'Wk no''s'!B:B,'Wk no''s'!C:C,FALSE)</f>
        <v>35</v>
      </c>
    </row>
    <row r="1039" spans="1:7" x14ac:dyDescent="0.25">
      <c r="A1039" t="s">
        <v>1630</v>
      </c>
      <c r="B1039" s="1">
        <v>45895</v>
      </c>
      <c r="C1039">
        <v>100</v>
      </c>
      <c r="D1039" t="s">
        <v>50</v>
      </c>
      <c r="E1039" s="1">
        <v>45894</v>
      </c>
      <c r="F1039" t="s">
        <v>11</v>
      </c>
      <c r="G1039" s="71">
        <f>_xlfn.XLOOKUP(E1039,'Wk no''s'!B:B,'Wk no''s'!C:C,FALSE)</f>
        <v>35</v>
      </c>
    </row>
    <row r="1040" spans="1:7" x14ac:dyDescent="0.25">
      <c r="A1040" t="s">
        <v>1631</v>
      </c>
      <c r="B1040" s="1">
        <v>45896</v>
      </c>
      <c r="C1040">
        <v>100</v>
      </c>
      <c r="D1040" t="s">
        <v>50</v>
      </c>
      <c r="E1040" s="1">
        <v>45895</v>
      </c>
      <c r="F1040" t="s">
        <v>11</v>
      </c>
      <c r="G1040" s="71">
        <f>_xlfn.XLOOKUP(E1040,'Wk no''s'!B:B,'Wk no''s'!C:C,FALSE)</f>
        <v>35</v>
      </c>
    </row>
    <row r="1041" spans="1:7" x14ac:dyDescent="0.25">
      <c r="A1041" t="s">
        <v>1632</v>
      </c>
      <c r="B1041" s="1">
        <v>45896</v>
      </c>
      <c r="C1041">
        <v>100</v>
      </c>
      <c r="D1041" t="s">
        <v>50</v>
      </c>
      <c r="E1041" s="1">
        <v>45895</v>
      </c>
      <c r="F1041" t="s">
        <v>11</v>
      </c>
      <c r="G1041" s="71">
        <f>_xlfn.XLOOKUP(E1041,'Wk no''s'!B:B,'Wk no''s'!C:C,FALSE)</f>
        <v>35</v>
      </c>
    </row>
    <row r="1042" spans="1:7" x14ac:dyDescent="0.25">
      <c r="A1042" t="s">
        <v>1633</v>
      </c>
      <c r="B1042"/>
      <c r="C1042">
        <v>100</v>
      </c>
      <c r="D1042" t="s">
        <v>12</v>
      </c>
      <c r="E1042" s="1">
        <v>45898</v>
      </c>
      <c r="F1042" t="s">
        <v>11</v>
      </c>
      <c r="G1042" s="71">
        <f>_xlfn.XLOOKUP(E1042,'Wk no''s'!B:B,'Wk no''s'!C:C,FALSE)</f>
        <v>35</v>
      </c>
    </row>
    <row r="1043" spans="1:7" x14ac:dyDescent="0.25">
      <c r="A1043" t="s">
        <v>1662</v>
      </c>
      <c r="B1043" s="1">
        <v>45901</v>
      </c>
      <c r="C1043">
        <v>100</v>
      </c>
      <c r="D1043" t="s">
        <v>50</v>
      </c>
      <c r="E1043" s="1">
        <v>45900</v>
      </c>
      <c r="F1043" t="s">
        <v>11</v>
      </c>
      <c r="G1043" s="71">
        <f>_xlfn.XLOOKUP(E1043,'Wk no''s'!B:B,'Wk no''s'!C:C,FALSE)</f>
        <v>36</v>
      </c>
    </row>
    <row r="1044" spans="1:7" x14ac:dyDescent="0.25">
      <c r="A1044" t="s">
        <v>1634</v>
      </c>
      <c r="B1044" s="1">
        <v>45890</v>
      </c>
      <c r="C1044">
        <v>0</v>
      </c>
      <c r="D1044" t="s">
        <v>50</v>
      </c>
      <c r="E1044" s="1">
        <v>45895</v>
      </c>
      <c r="F1044" t="s">
        <v>72</v>
      </c>
      <c r="G1044" s="71">
        <f>_xlfn.XLOOKUP(E1044,'Wk no''s'!B:B,'Wk no''s'!C:C,FALSE)</f>
        <v>35</v>
      </c>
    </row>
    <row r="1045" spans="1:7" x14ac:dyDescent="0.25">
      <c r="A1045" t="s">
        <v>1635</v>
      </c>
      <c r="B1045" s="1">
        <v>45887</v>
      </c>
      <c r="C1045">
        <v>0</v>
      </c>
      <c r="D1045" t="s">
        <v>19</v>
      </c>
      <c r="E1045" s="1">
        <v>45895</v>
      </c>
      <c r="F1045" t="s">
        <v>72</v>
      </c>
      <c r="G1045" s="71">
        <f>_xlfn.XLOOKUP(E1045,'Wk no''s'!B:B,'Wk no''s'!C:C,FALSE)</f>
        <v>35</v>
      </c>
    </row>
    <row r="1046" spans="1:7" x14ac:dyDescent="0.25">
      <c r="A1046" t="s">
        <v>1636</v>
      </c>
      <c r="B1046" s="1">
        <v>45883</v>
      </c>
      <c r="C1046">
        <v>0</v>
      </c>
      <c r="D1046" t="s">
        <v>19</v>
      </c>
      <c r="E1046" s="1">
        <v>45895</v>
      </c>
      <c r="F1046" t="s">
        <v>72</v>
      </c>
      <c r="G1046" s="71">
        <f>_xlfn.XLOOKUP(E1046,'Wk no''s'!B:B,'Wk no''s'!C:C,FALSE)</f>
        <v>35</v>
      </c>
    </row>
    <row r="1047" spans="1:7" x14ac:dyDescent="0.25">
      <c r="A1047" t="s">
        <v>1637</v>
      </c>
      <c r="B1047" s="1">
        <v>45887</v>
      </c>
      <c r="C1047">
        <v>0</v>
      </c>
      <c r="D1047" t="s">
        <v>19</v>
      </c>
      <c r="E1047" s="1">
        <v>45895</v>
      </c>
      <c r="F1047" t="s">
        <v>72</v>
      </c>
      <c r="G1047" s="71">
        <f>_xlfn.XLOOKUP(E1047,'Wk no''s'!B:B,'Wk no''s'!C:C,FALSE)</f>
        <v>35</v>
      </c>
    </row>
    <row r="1048" spans="1:7" x14ac:dyDescent="0.25">
      <c r="A1048" t="s">
        <v>1638</v>
      </c>
      <c r="B1048" s="1">
        <v>45889</v>
      </c>
      <c r="C1048">
        <v>0</v>
      </c>
      <c r="D1048" t="s">
        <v>19</v>
      </c>
      <c r="E1048" s="1">
        <v>45895</v>
      </c>
      <c r="F1048" t="s">
        <v>72</v>
      </c>
      <c r="G1048" s="71">
        <f>_xlfn.XLOOKUP(E1048,'Wk no''s'!B:B,'Wk no''s'!C:C,FALSE)</f>
        <v>35</v>
      </c>
    </row>
    <row r="1049" spans="1:7" x14ac:dyDescent="0.25">
      <c r="A1049" t="s">
        <v>1639</v>
      </c>
      <c r="B1049"/>
      <c r="C1049">
        <v>100</v>
      </c>
      <c r="D1049" t="s">
        <v>50</v>
      </c>
      <c r="E1049" s="1">
        <v>45895</v>
      </c>
      <c r="F1049" t="s">
        <v>72</v>
      </c>
      <c r="G1049" s="71">
        <f>_xlfn.XLOOKUP(E1049,'Wk no''s'!B:B,'Wk no''s'!C:C,FALSE)</f>
        <v>35</v>
      </c>
    </row>
    <row r="1050" spans="1:7" x14ac:dyDescent="0.25">
      <c r="A1050" t="s">
        <v>1640</v>
      </c>
      <c r="B1050" s="1">
        <v>45895</v>
      </c>
      <c r="C1050">
        <v>100</v>
      </c>
      <c r="D1050" t="s">
        <v>19</v>
      </c>
      <c r="E1050" s="1">
        <v>45895</v>
      </c>
      <c r="F1050" t="s">
        <v>72</v>
      </c>
      <c r="G1050" s="71">
        <f>_xlfn.XLOOKUP(E1050,'Wk no''s'!B:B,'Wk no''s'!C:C,FALSE)</f>
        <v>35</v>
      </c>
    </row>
    <row r="1051" spans="1:7" x14ac:dyDescent="0.25">
      <c r="A1051" t="s">
        <v>1641</v>
      </c>
      <c r="B1051" s="1">
        <v>45897</v>
      </c>
      <c r="C1051">
        <v>100</v>
      </c>
      <c r="D1051" t="s">
        <v>50</v>
      </c>
      <c r="E1051" s="1">
        <v>45897</v>
      </c>
      <c r="F1051" t="s">
        <v>72</v>
      </c>
      <c r="G1051" s="71">
        <f>_xlfn.XLOOKUP(E1051,'Wk no''s'!B:B,'Wk no''s'!C:C,FALSE)</f>
        <v>35</v>
      </c>
    </row>
    <row r="1052" spans="1:7" x14ac:dyDescent="0.25">
      <c r="A1052" t="s">
        <v>1642</v>
      </c>
      <c r="B1052" s="1">
        <v>45897</v>
      </c>
      <c r="C1052">
        <v>100</v>
      </c>
      <c r="D1052" t="s">
        <v>19</v>
      </c>
      <c r="E1052" s="1">
        <v>45896</v>
      </c>
      <c r="F1052" t="s">
        <v>72</v>
      </c>
      <c r="G1052" s="71">
        <f>_xlfn.XLOOKUP(E1052,'Wk no''s'!B:B,'Wk no''s'!C:C,FALSE)</f>
        <v>35</v>
      </c>
    </row>
    <row r="1053" spans="1:7" x14ac:dyDescent="0.25">
      <c r="A1053" t="s">
        <v>1643</v>
      </c>
      <c r="B1053" s="1">
        <v>45897</v>
      </c>
      <c r="C1053">
        <v>100</v>
      </c>
      <c r="D1053" t="s">
        <v>19</v>
      </c>
      <c r="E1053" s="1">
        <v>45896</v>
      </c>
      <c r="F1053" t="s">
        <v>645</v>
      </c>
      <c r="G1053" s="71">
        <f>_xlfn.XLOOKUP(E1053,'Wk no''s'!B:B,'Wk no''s'!C:C,FALSE)</f>
        <v>35</v>
      </c>
    </row>
    <row r="1054" spans="1:7" x14ac:dyDescent="0.25">
      <c r="A1054" t="s">
        <v>1673</v>
      </c>
      <c r="B1054" s="1">
        <v>45898</v>
      </c>
      <c r="C1054">
        <v>0</v>
      </c>
      <c r="D1054" t="s">
        <v>50</v>
      </c>
      <c r="E1054" s="1">
        <v>45905</v>
      </c>
      <c r="F1054" t="s">
        <v>16</v>
      </c>
      <c r="G1054" s="71">
        <f>_xlfn.XLOOKUP(E1054,'Wk no''s'!B:B,'Wk no''s'!C:C,FALSE)</f>
        <v>36</v>
      </c>
    </row>
    <row r="1055" spans="1:7" x14ac:dyDescent="0.25">
      <c r="A1055" t="s">
        <v>1667</v>
      </c>
      <c r="B1055" s="1">
        <v>45898</v>
      </c>
      <c r="C1055">
        <v>0</v>
      </c>
      <c r="D1055" t="s">
        <v>19</v>
      </c>
      <c r="E1055" s="1">
        <v>45905</v>
      </c>
      <c r="F1055" t="s">
        <v>16</v>
      </c>
      <c r="G1055" s="71">
        <f>_xlfn.XLOOKUP(E1055,'Wk no''s'!B:B,'Wk no''s'!C:C,FALSE)</f>
        <v>36</v>
      </c>
    </row>
    <row r="1056" spans="1:7" x14ac:dyDescent="0.25">
      <c r="A1056" t="s">
        <v>1668</v>
      </c>
      <c r="B1056" s="1">
        <v>45901</v>
      </c>
      <c r="C1056">
        <v>0</v>
      </c>
      <c r="D1056" t="s">
        <v>19</v>
      </c>
      <c r="E1056" s="1">
        <v>45905</v>
      </c>
      <c r="F1056" t="s">
        <v>16</v>
      </c>
      <c r="G1056" s="71">
        <f>_xlfn.XLOOKUP(E1056,'Wk no''s'!B:B,'Wk no''s'!C:C,FALSE)</f>
        <v>36</v>
      </c>
    </row>
    <row r="1057" spans="1:7" x14ac:dyDescent="0.25">
      <c r="A1057" t="s">
        <v>1669</v>
      </c>
      <c r="B1057" s="1">
        <v>45903</v>
      </c>
      <c r="C1057">
        <v>0</v>
      </c>
      <c r="D1057" t="s">
        <v>19</v>
      </c>
      <c r="E1057" s="1">
        <v>45905</v>
      </c>
      <c r="F1057" t="s">
        <v>16</v>
      </c>
      <c r="G1057" s="71">
        <f>_xlfn.XLOOKUP(E1057,'Wk no''s'!B:B,'Wk no''s'!C:C,FALSE)</f>
        <v>36</v>
      </c>
    </row>
    <row r="1058" spans="1:7" x14ac:dyDescent="0.25">
      <c r="A1058" t="s">
        <v>1666</v>
      </c>
      <c r="B1058"/>
      <c r="C1058">
        <v>100</v>
      </c>
      <c r="D1058" t="s">
        <v>19</v>
      </c>
      <c r="E1058" s="1">
        <v>45905</v>
      </c>
      <c r="F1058" t="s">
        <v>16</v>
      </c>
      <c r="G1058" s="71">
        <f>_xlfn.XLOOKUP(E1058,'Wk no''s'!B:B,'Wk no''s'!C:C,FALSE)</f>
        <v>36</v>
      </c>
    </row>
    <row r="1059" spans="1:7" x14ac:dyDescent="0.25">
      <c r="A1059" t="s">
        <v>1671</v>
      </c>
      <c r="B1059" s="1">
        <v>45902</v>
      </c>
      <c r="C1059">
        <v>100</v>
      </c>
      <c r="D1059" t="s">
        <v>19</v>
      </c>
      <c r="E1059" s="1">
        <v>45902</v>
      </c>
      <c r="F1059" t="s">
        <v>16</v>
      </c>
      <c r="G1059" s="71">
        <f>_xlfn.XLOOKUP(E1059,'Wk no''s'!B:B,'Wk no''s'!C:C,FALSE)</f>
        <v>36</v>
      </c>
    </row>
    <row r="1060" spans="1:7" x14ac:dyDescent="0.25">
      <c r="A1060" t="s">
        <v>1664</v>
      </c>
      <c r="B1060"/>
      <c r="C1060">
        <v>100</v>
      </c>
      <c r="D1060" t="s">
        <v>12</v>
      </c>
      <c r="E1060" s="1">
        <v>45903</v>
      </c>
      <c r="F1060" t="s">
        <v>16</v>
      </c>
      <c r="G1060" s="71">
        <f>_xlfn.XLOOKUP(E1060,'Wk no''s'!B:B,'Wk no''s'!C:C,FALSE)</f>
        <v>36</v>
      </c>
    </row>
    <row r="1061" spans="1:7" x14ac:dyDescent="0.25">
      <c r="A1061" t="s">
        <v>1672</v>
      </c>
      <c r="B1061" s="1">
        <v>45905</v>
      </c>
      <c r="C1061">
        <v>100</v>
      </c>
      <c r="D1061" t="s">
        <v>19</v>
      </c>
      <c r="E1061" s="1">
        <v>45905</v>
      </c>
      <c r="F1061" t="s">
        <v>16</v>
      </c>
      <c r="G1061" s="71">
        <f>_xlfn.XLOOKUP(E1061,'Wk no''s'!B:B,'Wk no''s'!C:C,FALSE)</f>
        <v>36</v>
      </c>
    </row>
    <row r="1062" spans="1:7" x14ac:dyDescent="0.25">
      <c r="A1062" t="s">
        <v>1675</v>
      </c>
      <c r="B1062" s="1">
        <v>45874</v>
      </c>
      <c r="C1062">
        <v>0</v>
      </c>
      <c r="D1062" t="s">
        <v>50</v>
      </c>
      <c r="E1062" s="1">
        <v>45905</v>
      </c>
      <c r="F1062" t="s">
        <v>47</v>
      </c>
      <c r="G1062" s="71">
        <f>_xlfn.XLOOKUP(E1062,'Wk no''s'!B:B,'Wk no''s'!C:C,FALSE)</f>
        <v>36</v>
      </c>
    </row>
    <row r="1063" spans="1:7" x14ac:dyDescent="0.25">
      <c r="A1063" t="s">
        <v>1676</v>
      </c>
      <c r="B1063"/>
      <c r="C1063">
        <v>100</v>
      </c>
      <c r="D1063" t="s">
        <v>50</v>
      </c>
      <c r="E1063" s="1">
        <v>45905</v>
      </c>
      <c r="F1063" t="s">
        <v>47</v>
      </c>
      <c r="G1063" s="71">
        <f>_xlfn.XLOOKUP(E1063,'Wk no''s'!B:B,'Wk no''s'!C:C,FALSE)</f>
        <v>36</v>
      </c>
    </row>
    <row r="1064" spans="1:7" x14ac:dyDescent="0.25">
      <c r="A1064" t="s">
        <v>1677</v>
      </c>
      <c r="B1064"/>
      <c r="C1064">
        <v>100</v>
      </c>
      <c r="D1064" t="s">
        <v>50</v>
      </c>
      <c r="E1064" s="1">
        <v>45905</v>
      </c>
      <c r="F1064" t="s">
        <v>47</v>
      </c>
      <c r="G1064" s="71">
        <f>_xlfn.XLOOKUP(E1064,'Wk no''s'!B:B,'Wk no''s'!C:C,FALSE)</f>
        <v>36</v>
      </c>
    </row>
    <row r="1065" spans="1:7" x14ac:dyDescent="0.25">
      <c r="A1065" t="s">
        <v>1678</v>
      </c>
      <c r="B1065" s="1">
        <v>45902</v>
      </c>
      <c r="C1065">
        <v>100</v>
      </c>
      <c r="D1065" t="s">
        <v>50</v>
      </c>
      <c r="E1065" s="1">
        <v>45902</v>
      </c>
      <c r="F1065" t="s">
        <v>11</v>
      </c>
      <c r="G1065" s="71">
        <f>_xlfn.XLOOKUP(E1065,'Wk no''s'!B:B,'Wk no''s'!C:C,FALSE)</f>
        <v>36</v>
      </c>
    </row>
    <row r="1066" spans="1:7" x14ac:dyDescent="0.25">
      <c r="A1066" t="s">
        <v>1681</v>
      </c>
      <c r="B1066" s="1">
        <v>45908</v>
      </c>
      <c r="C1066">
        <v>100</v>
      </c>
      <c r="D1066" t="s">
        <v>50</v>
      </c>
      <c r="E1066" s="1">
        <v>45907</v>
      </c>
      <c r="F1066" t="s">
        <v>11</v>
      </c>
      <c r="G1066" s="71">
        <f>_xlfn.XLOOKUP(E1066,'Wk no''s'!B:B,'Wk no''s'!C:C,FALSE)</f>
        <v>37</v>
      </c>
    </row>
    <row r="1067" spans="1:7" x14ac:dyDescent="0.25">
      <c r="A1067" t="s">
        <v>1680</v>
      </c>
      <c r="B1067" s="1">
        <v>45902</v>
      </c>
      <c r="C1067">
        <v>0</v>
      </c>
      <c r="D1067" t="s">
        <v>19</v>
      </c>
      <c r="E1067" s="1">
        <v>45904</v>
      </c>
      <c r="F1067" t="s">
        <v>72</v>
      </c>
      <c r="G1067" s="71">
        <f>_xlfn.XLOOKUP(E1067,'Wk no''s'!B:B,'Wk no''s'!C:C,FALSE)</f>
        <v>36</v>
      </c>
    </row>
    <row r="1068" spans="1:7" x14ac:dyDescent="0.25">
      <c r="A1068" t="s">
        <v>1235</v>
      </c>
      <c r="B1068" s="1">
        <v>45831</v>
      </c>
      <c r="C1068">
        <v>0</v>
      </c>
      <c r="D1068" t="s">
        <v>19</v>
      </c>
      <c r="E1068" s="1">
        <v>45908</v>
      </c>
      <c r="F1068" t="s">
        <v>16</v>
      </c>
      <c r="G1068" s="71">
        <f>_xlfn.XLOOKUP(E1068,'Wk no''s'!B:B,'Wk no''s'!C:C,FALSE)</f>
        <v>37</v>
      </c>
    </row>
    <row r="1069" spans="1:7" x14ac:dyDescent="0.25">
      <c r="A1069" t="s">
        <v>1682</v>
      </c>
      <c r="B1069" s="1">
        <v>45904</v>
      </c>
      <c r="C1069">
        <v>0</v>
      </c>
      <c r="D1069" t="s">
        <v>19</v>
      </c>
      <c r="E1069" s="1">
        <v>45911</v>
      </c>
      <c r="F1069" t="s">
        <v>16</v>
      </c>
      <c r="G1069" s="71">
        <f>_xlfn.XLOOKUP(E1069,'Wk no''s'!B:B,'Wk no''s'!C:C,FALSE)</f>
        <v>37</v>
      </c>
    </row>
    <row r="1070" spans="1:7" x14ac:dyDescent="0.25">
      <c r="A1070" t="s">
        <v>1683</v>
      </c>
      <c r="B1070" s="1">
        <v>45904</v>
      </c>
      <c r="C1070">
        <v>0</v>
      </c>
      <c r="D1070" t="s">
        <v>19</v>
      </c>
      <c r="E1070" s="1">
        <v>45912</v>
      </c>
      <c r="F1070" t="s">
        <v>16</v>
      </c>
      <c r="G1070" s="71">
        <f>_xlfn.XLOOKUP(E1070,'Wk no''s'!B:B,'Wk no''s'!C:C,FALSE)</f>
        <v>37</v>
      </c>
    </row>
    <row r="1071" spans="1:7" x14ac:dyDescent="0.25">
      <c r="A1071" t="s">
        <v>1684</v>
      </c>
      <c r="B1071" s="1">
        <v>45910</v>
      </c>
      <c r="C1071">
        <v>0</v>
      </c>
      <c r="D1071" t="s">
        <v>12</v>
      </c>
      <c r="E1071" s="1">
        <v>45911</v>
      </c>
      <c r="F1071" t="s">
        <v>16</v>
      </c>
      <c r="G1071" s="71">
        <f>_xlfn.XLOOKUP(E1071,'Wk no''s'!B:B,'Wk no''s'!C:C,FALSE)</f>
        <v>37</v>
      </c>
    </row>
    <row r="1072" spans="1:7" x14ac:dyDescent="0.25">
      <c r="A1072" t="s">
        <v>1685</v>
      </c>
      <c r="B1072" s="1">
        <v>45910</v>
      </c>
      <c r="C1072">
        <v>100</v>
      </c>
      <c r="D1072" t="s">
        <v>19</v>
      </c>
      <c r="E1072" s="1">
        <v>45910</v>
      </c>
      <c r="F1072" t="s">
        <v>16</v>
      </c>
      <c r="G1072" s="71">
        <f>_xlfn.XLOOKUP(E1072,'Wk no''s'!B:B,'Wk no''s'!C:C,FALSE)</f>
        <v>37</v>
      </c>
    </row>
    <row r="1073" spans="1:7" x14ac:dyDescent="0.25">
      <c r="A1073" t="s">
        <v>1686</v>
      </c>
      <c r="B1073" s="1">
        <v>45912</v>
      </c>
      <c r="C1073">
        <v>100</v>
      </c>
      <c r="D1073" t="s">
        <v>50</v>
      </c>
      <c r="E1073" s="1">
        <v>45912</v>
      </c>
      <c r="F1073" t="s">
        <v>16</v>
      </c>
      <c r="G1073" s="71">
        <f>_xlfn.XLOOKUP(E1073,'Wk no''s'!B:B,'Wk no''s'!C:C,FALSE)</f>
        <v>37</v>
      </c>
    </row>
    <row r="1074" spans="1:7" x14ac:dyDescent="0.25">
      <c r="A1074" t="s">
        <v>1687</v>
      </c>
      <c r="B1074" s="1">
        <v>45910</v>
      </c>
      <c r="C1074">
        <v>100</v>
      </c>
      <c r="D1074" t="s">
        <v>19</v>
      </c>
      <c r="E1074" s="1">
        <v>45910</v>
      </c>
      <c r="F1074" t="s">
        <v>16</v>
      </c>
      <c r="G1074" s="71">
        <f>_xlfn.XLOOKUP(E1074,'Wk no''s'!B:B,'Wk no''s'!C:C,FALSE)</f>
        <v>37</v>
      </c>
    </row>
    <row r="1075" spans="1:7" x14ac:dyDescent="0.25">
      <c r="A1075" t="s">
        <v>1688</v>
      </c>
      <c r="B1075" s="1">
        <v>45909</v>
      </c>
      <c r="C1075">
        <v>100</v>
      </c>
      <c r="D1075" t="s">
        <v>19</v>
      </c>
      <c r="E1075" s="1">
        <v>45909</v>
      </c>
      <c r="F1075" t="s">
        <v>16</v>
      </c>
      <c r="G1075" s="71">
        <f>_xlfn.XLOOKUP(E1075,'Wk no''s'!B:B,'Wk no''s'!C:C,FALSE)</f>
        <v>37</v>
      </c>
    </row>
    <row r="1076" spans="1:7" x14ac:dyDescent="0.25">
      <c r="A1076" t="s">
        <v>1689</v>
      </c>
      <c r="B1076" s="1">
        <v>45910</v>
      </c>
      <c r="C1076">
        <v>100</v>
      </c>
      <c r="D1076" t="s">
        <v>19</v>
      </c>
      <c r="E1076" s="1">
        <v>45910</v>
      </c>
      <c r="F1076" t="s">
        <v>16</v>
      </c>
      <c r="G1076" s="71">
        <f>_xlfn.XLOOKUP(E1076,'Wk no''s'!B:B,'Wk no''s'!C:C,FALSE)</f>
        <v>37</v>
      </c>
    </row>
    <row r="1077" spans="1:7" x14ac:dyDescent="0.25">
      <c r="A1077" t="s">
        <v>1690</v>
      </c>
      <c r="B1077" s="1">
        <v>45912</v>
      </c>
      <c r="C1077">
        <v>100</v>
      </c>
      <c r="D1077" t="s">
        <v>19</v>
      </c>
      <c r="E1077" s="1">
        <v>45912</v>
      </c>
      <c r="F1077" t="s">
        <v>16</v>
      </c>
      <c r="G1077" s="71">
        <f>_xlfn.XLOOKUP(E1077,'Wk no''s'!B:B,'Wk no''s'!C:C,FALSE)</f>
        <v>37</v>
      </c>
    </row>
    <row r="1078" spans="1:7" x14ac:dyDescent="0.25">
      <c r="A1078" t="s">
        <v>382</v>
      </c>
      <c r="B1078" s="1">
        <v>45707</v>
      </c>
      <c r="C1078">
        <v>0</v>
      </c>
      <c r="D1078" t="s">
        <v>19</v>
      </c>
      <c r="E1078" s="1">
        <v>45910</v>
      </c>
      <c r="F1078" t="s">
        <v>47</v>
      </c>
      <c r="G1078" s="71">
        <f>_xlfn.XLOOKUP(E1078,'Wk no''s'!B:B,'Wk no''s'!C:C,FALSE)</f>
        <v>37</v>
      </c>
    </row>
    <row r="1079" spans="1:7" x14ac:dyDescent="0.25">
      <c r="A1079" t="s">
        <v>1691</v>
      </c>
      <c r="B1079" s="1">
        <v>45889</v>
      </c>
      <c r="C1079">
        <v>0</v>
      </c>
      <c r="D1079" t="s">
        <v>50</v>
      </c>
      <c r="E1079" s="1">
        <v>45908</v>
      </c>
      <c r="F1079" t="s">
        <v>47</v>
      </c>
      <c r="G1079" s="71">
        <f>_xlfn.XLOOKUP(E1079,'Wk no''s'!B:B,'Wk no''s'!C:C,FALSE)</f>
        <v>37</v>
      </c>
    </row>
    <row r="1080" spans="1:7" x14ac:dyDescent="0.25">
      <c r="A1080" t="s">
        <v>1692</v>
      </c>
      <c r="B1080" s="1">
        <v>45913</v>
      </c>
      <c r="C1080">
        <v>100</v>
      </c>
      <c r="D1080" t="s">
        <v>50</v>
      </c>
      <c r="E1080" s="1">
        <v>45913</v>
      </c>
      <c r="F1080" t="s">
        <v>47</v>
      </c>
      <c r="G1080" s="71">
        <f>_xlfn.XLOOKUP(E1080,'Wk no''s'!B:B,'Wk no''s'!C:C,FALSE)</f>
        <v>38</v>
      </c>
    </row>
    <row r="1081" spans="1:7" x14ac:dyDescent="0.25">
      <c r="A1081" t="s">
        <v>1693</v>
      </c>
      <c r="B1081"/>
      <c r="C1081">
        <v>100</v>
      </c>
      <c r="D1081" t="s">
        <v>19</v>
      </c>
      <c r="E1081" s="1">
        <v>45908</v>
      </c>
      <c r="F1081" t="s">
        <v>47</v>
      </c>
      <c r="G1081" s="71">
        <f>_xlfn.XLOOKUP(E1081,'Wk no''s'!B:B,'Wk no''s'!C:C,FALSE)</f>
        <v>37</v>
      </c>
    </row>
    <row r="1082" spans="1:7" x14ac:dyDescent="0.25">
      <c r="A1082" t="s">
        <v>1694</v>
      </c>
      <c r="B1082"/>
      <c r="C1082">
        <v>100</v>
      </c>
      <c r="D1082" t="s">
        <v>50</v>
      </c>
      <c r="E1082" s="1">
        <v>45908</v>
      </c>
      <c r="F1082" t="s">
        <v>47</v>
      </c>
      <c r="G1082" s="71">
        <f>_xlfn.XLOOKUP(E1082,'Wk no''s'!B:B,'Wk no''s'!C:C,FALSE)</f>
        <v>37</v>
      </c>
    </row>
    <row r="1083" spans="1:7" x14ac:dyDescent="0.25">
      <c r="A1083" t="s">
        <v>1695</v>
      </c>
      <c r="B1083" s="1">
        <v>45909</v>
      </c>
      <c r="C1083">
        <v>100</v>
      </c>
      <c r="D1083" t="s">
        <v>50</v>
      </c>
      <c r="E1083" s="1">
        <v>45909</v>
      </c>
      <c r="F1083" t="s">
        <v>47</v>
      </c>
      <c r="G1083" s="71">
        <f>_xlfn.XLOOKUP(E1083,'Wk no''s'!B:B,'Wk no''s'!C:C,FALSE)</f>
        <v>37</v>
      </c>
    </row>
    <row r="1084" spans="1:7" x14ac:dyDescent="0.25">
      <c r="A1084" t="s">
        <v>1696</v>
      </c>
      <c r="B1084" s="1">
        <v>45908</v>
      </c>
      <c r="C1084">
        <v>0</v>
      </c>
      <c r="D1084" t="s">
        <v>12</v>
      </c>
      <c r="E1084" s="1">
        <v>45909</v>
      </c>
      <c r="F1084" t="s">
        <v>11</v>
      </c>
      <c r="G1084" s="71">
        <f>_xlfn.XLOOKUP(E1084,'Wk no''s'!B:B,'Wk no''s'!C:C,FALSE)</f>
        <v>37</v>
      </c>
    </row>
    <row r="1085" spans="1:7" x14ac:dyDescent="0.25">
      <c r="A1085" t="s">
        <v>1697</v>
      </c>
      <c r="B1085"/>
      <c r="C1085">
        <v>100</v>
      </c>
      <c r="D1085" t="s">
        <v>19</v>
      </c>
      <c r="E1085" s="1">
        <v>45910</v>
      </c>
      <c r="F1085" t="s">
        <v>11</v>
      </c>
      <c r="G1085" s="71">
        <f>_xlfn.XLOOKUP(E1085,'Wk no''s'!B:B,'Wk no''s'!C:C,FALSE)</f>
        <v>37</v>
      </c>
    </row>
    <row r="1086" spans="1:7" x14ac:dyDescent="0.25">
      <c r="A1086" t="s">
        <v>1698</v>
      </c>
      <c r="B1086" s="1">
        <v>45910</v>
      </c>
      <c r="C1086">
        <v>100</v>
      </c>
      <c r="D1086" t="s">
        <v>50</v>
      </c>
      <c r="E1086" s="1">
        <v>45910</v>
      </c>
      <c r="F1086" t="s">
        <v>11</v>
      </c>
      <c r="G1086" s="71">
        <f>_xlfn.XLOOKUP(E1086,'Wk no''s'!B:B,'Wk no''s'!C:C,FALSE)</f>
        <v>37</v>
      </c>
    </row>
    <row r="1087" spans="1:7" x14ac:dyDescent="0.25">
      <c r="A1087" t="s">
        <v>1699</v>
      </c>
      <c r="B1087" s="1">
        <v>45909</v>
      </c>
      <c r="C1087">
        <v>100</v>
      </c>
      <c r="D1087" t="s">
        <v>50</v>
      </c>
      <c r="E1087" s="1">
        <v>45909</v>
      </c>
      <c r="F1087" t="s">
        <v>11</v>
      </c>
      <c r="G1087" s="71">
        <f>_xlfn.XLOOKUP(E1087,'Wk no''s'!B:B,'Wk no''s'!C:C,FALSE)</f>
        <v>37</v>
      </c>
    </row>
    <row r="1088" spans="1:7" x14ac:dyDescent="0.25">
      <c r="A1088" t="s">
        <v>1700</v>
      </c>
      <c r="B1088" s="1">
        <v>45911</v>
      </c>
      <c r="C1088">
        <v>100</v>
      </c>
      <c r="D1088" t="s">
        <v>12</v>
      </c>
      <c r="E1088" s="1">
        <v>45911</v>
      </c>
      <c r="F1088" t="s">
        <v>11</v>
      </c>
      <c r="G1088" s="71">
        <f>_xlfn.XLOOKUP(E1088,'Wk no''s'!B:B,'Wk no''s'!C:C,FALSE)</f>
        <v>37</v>
      </c>
    </row>
    <row r="1089" spans="1:7" x14ac:dyDescent="0.25">
      <c r="A1089" t="s">
        <v>1701</v>
      </c>
      <c r="B1089" s="1">
        <v>45909</v>
      </c>
      <c r="C1089">
        <v>100</v>
      </c>
      <c r="D1089" t="s">
        <v>50</v>
      </c>
      <c r="E1089" s="1">
        <v>45909</v>
      </c>
      <c r="F1089" t="s">
        <v>11</v>
      </c>
      <c r="G1089" s="71">
        <f>_xlfn.XLOOKUP(E1089,'Wk no''s'!B:B,'Wk no''s'!C:C,FALSE)</f>
        <v>37</v>
      </c>
    </row>
    <row r="1090" spans="1:7" x14ac:dyDescent="0.25">
      <c r="A1090" t="s">
        <v>1702</v>
      </c>
      <c r="B1090" s="1">
        <v>45905</v>
      </c>
      <c r="C1090">
        <v>0</v>
      </c>
      <c r="D1090" t="s">
        <v>19</v>
      </c>
      <c r="E1090" s="1">
        <v>45910</v>
      </c>
      <c r="F1090" t="s">
        <v>72</v>
      </c>
      <c r="G1090" s="71">
        <f>_xlfn.XLOOKUP(E1090,'Wk no''s'!B:B,'Wk no''s'!C:C,FALSE)</f>
        <v>37</v>
      </c>
    </row>
    <row r="1091" spans="1:7" x14ac:dyDescent="0.25">
      <c r="A1091" t="s">
        <v>1703</v>
      </c>
      <c r="B1091" s="1">
        <v>45911</v>
      </c>
      <c r="C1091">
        <v>0</v>
      </c>
      <c r="D1091" t="s">
        <v>50</v>
      </c>
      <c r="E1091" s="1">
        <v>45912</v>
      </c>
      <c r="F1091" t="s">
        <v>72</v>
      </c>
      <c r="G1091" s="71">
        <f>_xlfn.XLOOKUP(E1091,'Wk no''s'!B:B,'Wk no''s'!C:C,FALSE)</f>
        <v>37</v>
      </c>
    </row>
    <row r="1092" spans="1:7" x14ac:dyDescent="0.25">
      <c r="A1092" t="s">
        <v>1704</v>
      </c>
      <c r="B1092" s="1">
        <v>45912</v>
      </c>
      <c r="C1092">
        <v>100</v>
      </c>
      <c r="D1092" t="s">
        <v>19</v>
      </c>
      <c r="E1092" s="1">
        <v>45911</v>
      </c>
      <c r="F1092" t="s">
        <v>72</v>
      </c>
      <c r="G1092" s="71">
        <f>_xlfn.XLOOKUP(E1092,'Wk no''s'!B:B,'Wk no''s'!C:C,FALSE)</f>
        <v>37</v>
      </c>
    </row>
    <row r="1093" spans="1:7" x14ac:dyDescent="0.25">
      <c r="A1093" t="s">
        <v>1705</v>
      </c>
      <c r="B1093" s="1">
        <v>45910</v>
      </c>
      <c r="C1093">
        <v>100</v>
      </c>
      <c r="D1093" t="s">
        <v>19</v>
      </c>
      <c r="E1093" s="1">
        <v>45910</v>
      </c>
      <c r="F1093" t="s">
        <v>72</v>
      </c>
      <c r="G1093" s="71">
        <f>_xlfn.XLOOKUP(E1093,'Wk no''s'!B:B,'Wk no''s'!C:C,FALSE)</f>
        <v>37</v>
      </c>
    </row>
    <row r="1094" spans="1:7" x14ac:dyDescent="0.25">
      <c r="A1094" t="s">
        <v>1706</v>
      </c>
      <c r="B1094" s="1">
        <v>45910</v>
      </c>
      <c r="C1094">
        <v>100</v>
      </c>
      <c r="D1094" t="s">
        <v>19</v>
      </c>
      <c r="E1094" s="1">
        <v>45910</v>
      </c>
      <c r="F1094" t="s">
        <v>72</v>
      </c>
      <c r="G1094" s="71">
        <f>_xlfn.XLOOKUP(E1094,'Wk no''s'!B:B,'Wk no''s'!C:C,FALSE)</f>
        <v>37</v>
      </c>
    </row>
    <row r="1095" spans="1:7" x14ac:dyDescent="0.25">
      <c r="A1095" t="s">
        <v>1707</v>
      </c>
      <c r="B1095" s="1">
        <v>45911</v>
      </c>
      <c r="C1095">
        <v>100</v>
      </c>
      <c r="D1095" t="s">
        <v>19</v>
      </c>
      <c r="E1095" s="1">
        <v>45910</v>
      </c>
      <c r="F1095" t="s">
        <v>645</v>
      </c>
      <c r="G1095" s="71">
        <f>_xlfn.XLOOKUP(E1095,'Wk no''s'!B:B,'Wk no''s'!C:C,FALSE)</f>
        <v>37</v>
      </c>
    </row>
    <row r="1096" spans="1:7" x14ac:dyDescent="0.25">
      <c r="A1096" t="s">
        <v>1723</v>
      </c>
      <c r="B1096" s="1">
        <v>45915</v>
      </c>
      <c r="C1096">
        <v>0</v>
      </c>
      <c r="D1096" t="s">
        <v>19</v>
      </c>
      <c r="E1096" s="1">
        <v>45916</v>
      </c>
      <c r="F1096" t="s">
        <v>16</v>
      </c>
      <c r="G1096" s="71">
        <f>_xlfn.XLOOKUP(E1096,'Wk no''s'!B:B,'Wk no''s'!C:C,FALSE)</f>
        <v>38</v>
      </c>
    </row>
    <row r="1097" spans="1:7" x14ac:dyDescent="0.25">
      <c r="A1097" t="s">
        <v>1726</v>
      </c>
      <c r="B1097" s="1">
        <v>45917</v>
      </c>
      <c r="C1097">
        <v>0</v>
      </c>
      <c r="D1097" t="s">
        <v>19</v>
      </c>
      <c r="E1097" s="1">
        <v>45919</v>
      </c>
      <c r="F1097" t="s">
        <v>16</v>
      </c>
      <c r="G1097" s="71">
        <f>_xlfn.XLOOKUP(E1097,'Wk no''s'!B:B,'Wk no''s'!C:C,FALSE)</f>
        <v>38</v>
      </c>
    </row>
    <row r="1098" spans="1:7" x14ac:dyDescent="0.25">
      <c r="A1098" t="s">
        <v>1728</v>
      </c>
      <c r="B1098" s="1">
        <v>45915</v>
      </c>
      <c r="C1098">
        <v>0</v>
      </c>
      <c r="D1098" t="s">
        <v>19</v>
      </c>
      <c r="E1098" s="1">
        <v>45918</v>
      </c>
      <c r="F1098" t="s">
        <v>16</v>
      </c>
      <c r="G1098" s="71">
        <f>_xlfn.XLOOKUP(E1098,'Wk no''s'!B:B,'Wk no''s'!C:C,FALSE)</f>
        <v>38</v>
      </c>
    </row>
    <row r="1099" spans="1:7" x14ac:dyDescent="0.25">
      <c r="A1099" t="s">
        <v>1722</v>
      </c>
      <c r="B1099"/>
      <c r="C1099">
        <v>100</v>
      </c>
      <c r="D1099" t="s">
        <v>19</v>
      </c>
      <c r="E1099" s="1">
        <v>45917</v>
      </c>
      <c r="F1099" t="s">
        <v>16</v>
      </c>
      <c r="G1099" s="71">
        <f>_xlfn.XLOOKUP(E1099,'Wk no''s'!B:B,'Wk no''s'!C:C,FALSE)</f>
        <v>38</v>
      </c>
    </row>
    <row r="1100" spans="1:7" x14ac:dyDescent="0.25">
      <c r="A1100" t="s">
        <v>1725</v>
      </c>
      <c r="B1100" s="1">
        <v>45916</v>
      </c>
      <c r="C1100">
        <v>100</v>
      </c>
      <c r="D1100" t="s">
        <v>19</v>
      </c>
      <c r="E1100" s="1">
        <v>45916</v>
      </c>
      <c r="F1100" t="s">
        <v>16</v>
      </c>
      <c r="G1100" s="71">
        <f>_xlfn.XLOOKUP(E1100,'Wk no''s'!B:B,'Wk no''s'!C:C,FALSE)</f>
        <v>38</v>
      </c>
    </row>
    <row r="1101" spans="1:7" x14ac:dyDescent="0.25">
      <c r="A1101" t="s">
        <v>1731</v>
      </c>
      <c r="B1101" s="1">
        <v>45885</v>
      </c>
      <c r="C1101">
        <v>0</v>
      </c>
      <c r="D1101" t="s">
        <v>50</v>
      </c>
      <c r="E1101" s="1">
        <v>45916</v>
      </c>
      <c r="F1101" t="s">
        <v>47</v>
      </c>
      <c r="G1101" s="71">
        <f>_xlfn.XLOOKUP(E1101,'Wk no''s'!B:B,'Wk no''s'!C:C,FALSE)</f>
        <v>38</v>
      </c>
    </row>
    <row r="1102" spans="1:7" x14ac:dyDescent="0.25">
      <c r="A1102" t="s">
        <v>1735</v>
      </c>
      <c r="B1102" s="1">
        <v>45917</v>
      </c>
      <c r="C1102">
        <v>0</v>
      </c>
      <c r="D1102" t="s">
        <v>50</v>
      </c>
      <c r="E1102" s="1">
        <v>45918</v>
      </c>
      <c r="F1102" t="s">
        <v>47</v>
      </c>
      <c r="G1102" s="71">
        <f>_xlfn.XLOOKUP(E1102,'Wk no''s'!B:B,'Wk no''s'!C:C,FALSE)</f>
        <v>38</v>
      </c>
    </row>
    <row r="1103" spans="1:7" x14ac:dyDescent="0.25">
      <c r="A1103" t="s">
        <v>1737</v>
      </c>
      <c r="B1103" s="1">
        <v>45912</v>
      </c>
      <c r="C1103">
        <v>0</v>
      </c>
      <c r="D1103" t="s">
        <v>50</v>
      </c>
      <c r="E1103" s="1">
        <v>45916</v>
      </c>
      <c r="F1103" t="s">
        <v>47</v>
      </c>
      <c r="G1103" s="71">
        <f>_xlfn.XLOOKUP(E1103,'Wk no''s'!B:B,'Wk no''s'!C:C,FALSE)</f>
        <v>38</v>
      </c>
    </row>
    <row r="1104" spans="1:7" x14ac:dyDescent="0.25">
      <c r="A1104" t="s">
        <v>1732</v>
      </c>
      <c r="B1104" s="1">
        <v>45918</v>
      </c>
      <c r="C1104">
        <v>100</v>
      </c>
      <c r="D1104" t="s">
        <v>50</v>
      </c>
      <c r="E1104" s="1">
        <v>45916</v>
      </c>
      <c r="F1104" t="s">
        <v>47</v>
      </c>
      <c r="G1104" s="71">
        <f>_xlfn.XLOOKUP(E1104,'Wk no''s'!B:B,'Wk no''s'!C:C,FALSE)</f>
        <v>38</v>
      </c>
    </row>
    <row r="1105" spans="1:7" x14ac:dyDescent="0.25">
      <c r="A1105" t="s">
        <v>1733</v>
      </c>
      <c r="B1105" s="1">
        <v>45916</v>
      </c>
      <c r="C1105">
        <v>100</v>
      </c>
      <c r="D1105" t="s">
        <v>50</v>
      </c>
      <c r="E1105" s="1">
        <v>45916</v>
      </c>
      <c r="F1105" t="s">
        <v>47</v>
      </c>
      <c r="G1105" s="71">
        <f>_xlfn.XLOOKUP(E1105,'Wk no''s'!B:B,'Wk no''s'!C:C,FALSE)</f>
        <v>38</v>
      </c>
    </row>
    <row r="1106" spans="1:7" x14ac:dyDescent="0.25">
      <c r="A1106" t="s">
        <v>1734</v>
      </c>
      <c r="B1106" s="1">
        <v>45915</v>
      </c>
      <c r="C1106">
        <v>100</v>
      </c>
      <c r="D1106" t="s">
        <v>50</v>
      </c>
      <c r="E1106" s="1">
        <v>45915</v>
      </c>
      <c r="F1106" t="s">
        <v>47</v>
      </c>
      <c r="G1106" s="71">
        <f>_xlfn.XLOOKUP(E1106,'Wk no''s'!B:B,'Wk no''s'!C:C,FALSE)</f>
        <v>38</v>
      </c>
    </row>
    <row r="1107" spans="1:7" x14ac:dyDescent="0.25">
      <c r="A1107" t="s">
        <v>1738</v>
      </c>
      <c r="B1107" s="1">
        <v>45916</v>
      </c>
      <c r="C1107">
        <v>100</v>
      </c>
      <c r="D1107" t="s">
        <v>50</v>
      </c>
      <c r="E1107" s="1">
        <v>45916</v>
      </c>
      <c r="F1107" t="s">
        <v>47</v>
      </c>
      <c r="G1107" s="71">
        <f>_xlfn.XLOOKUP(E1107,'Wk no''s'!B:B,'Wk no''s'!C:C,FALSE)</f>
        <v>38</v>
      </c>
    </row>
    <row r="1108" spans="1:7" x14ac:dyDescent="0.25">
      <c r="A1108" t="s">
        <v>1739</v>
      </c>
      <c r="B1108" s="1">
        <v>45918</v>
      </c>
      <c r="C1108">
        <v>100</v>
      </c>
      <c r="D1108" t="s">
        <v>50</v>
      </c>
      <c r="E1108" s="1">
        <v>45918</v>
      </c>
      <c r="F1108" t="s">
        <v>47</v>
      </c>
      <c r="G1108" s="71">
        <f>_xlfn.XLOOKUP(E1108,'Wk no''s'!B:B,'Wk no''s'!C:C,FALSE)</f>
        <v>38</v>
      </c>
    </row>
    <row r="1109" spans="1:7" x14ac:dyDescent="0.25">
      <c r="A1109" t="s">
        <v>1730</v>
      </c>
      <c r="B1109" s="1">
        <v>45918</v>
      </c>
      <c r="C1109">
        <v>100</v>
      </c>
      <c r="D1109" t="s">
        <v>19</v>
      </c>
      <c r="E1109" s="1">
        <v>45918</v>
      </c>
      <c r="F1109" t="s">
        <v>47</v>
      </c>
      <c r="G1109" s="71">
        <f>_xlfn.XLOOKUP(E1109,'Wk no''s'!B:B,'Wk no''s'!C:C,FALSE)</f>
        <v>38</v>
      </c>
    </row>
    <row r="1110" spans="1:7" x14ac:dyDescent="0.25">
      <c r="A1110" t="s">
        <v>1740</v>
      </c>
      <c r="B1110" s="1">
        <v>45910</v>
      </c>
      <c r="C1110">
        <v>0</v>
      </c>
      <c r="D1110" t="s">
        <v>50</v>
      </c>
      <c r="E1110" s="1">
        <v>45915</v>
      </c>
      <c r="F1110" t="s">
        <v>11</v>
      </c>
      <c r="G1110" s="71">
        <f>_xlfn.XLOOKUP(E1110,'Wk no''s'!B:B,'Wk no''s'!C:C,FALSE)</f>
        <v>38</v>
      </c>
    </row>
    <row r="1111" spans="1:7" x14ac:dyDescent="0.25">
      <c r="A1111" t="s">
        <v>1741</v>
      </c>
      <c r="B1111" s="1">
        <v>45911</v>
      </c>
      <c r="C1111">
        <v>0</v>
      </c>
      <c r="D1111" t="s">
        <v>50</v>
      </c>
      <c r="E1111" s="1">
        <v>45915</v>
      </c>
      <c r="F1111" t="s">
        <v>11</v>
      </c>
      <c r="G1111" s="71">
        <f>_xlfn.XLOOKUP(E1111,'Wk no''s'!B:B,'Wk no''s'!C:C,FALSE)</f>
        <v>38</v>
      </c>
    </row>
    <row r="1112" spans="1:7" x14ac:dyDescent="0.25">
      <c r="A1112" t="s">
        <v>1742</v>
      </c>
      <c r="B1112" s="1">
        <v>45916</v>
      </c>
      <c r="C1112">
        <v>100</v>
      </c>
      <c r="D1112" t="s">
        <v>50</v>
      </c>
      <c r="E1112" s="1">
        <v>45916</v>
      </c>
      <c r="F1112" t="s">
        <v>11</v>
      </c>
      <c r="G1112" s="71">
        <f>_xlfn.XLOOKUP(E1112,'Wk no''s'!B:B,'Wk no''s'!C:C,FALSE)</f>
        <v>38</v>
      </c>
    </row>
    <row r="1113" spans="1:7" x14ac:dyDescent="0.25">
      <c r="A1113" t="s">
        <v>1743</v>
      </c>
      <c r="B1113"/>
      <c r="C1113">
        <v>100</v>
      </c>
      <c r="D1113" t="s">
        <v>50</v>
      </c>
      <c r="E1113" s="1">
        <v>45915</v>
      </c>
      <c r="F1113" t="s">
        <v>11</v>
      </c>
      <c r="G1113" s="71">
        <f>_xlfn.XLOOKUP(E1113,'Wk no''s'!B:B,'Wk no''s'!C:C,FALSE)</f>
        <v>38</v>
      </c>
    </row>
    <row r="1114" spans="1:7" x14ac:dyDescent="0.25">
      <c r="A1114" t="s">
        <v>1744</v>
      </c>
      <c r="B1114" s="1">
        <v>45917</v>
      </c>
      <c r="C1114">
        <v>100</v>
      </c>
      <c r="D1114" t="s">
        <v>50</v>
      </c>
      <c r="E1114" s="1">
        <v>45917</v>
      </c>
      <c r="F1114" t="s">
        <v>11</v>
      </c>
      <c r="G1114" s="71">
        <f>_xlfn.XLOOKUP(E1114,'Wk no''s'!B:B,'Wk no''s'!C:C,FALSE)</f>
        <v>38</v>
      </c>
    </row>
    <row r="1115" spans="1:7" x14ac:dyDescent="0.25">
      <c r="A1115" t="s">
        <v>1745</v>
      </c>
      <c r="B1115"/>
      <c r="C1115">
        <v>100</v>
      </c>
      <c r="D1115" t="s">
        <v>19</v>
      </c>
      <c r="E1115" s="1">
        <v>45918</v>
      </c>
      <c r="F1115" t="s">
        <v>1148</v>
      </c>
      <c r="G1115" s="71">
        <f>_xlfn.XLOOKUP(E1115,'Wk no''s'!B:B,'Wk no''s'!C:C,FALSE)</f>
        <v>38</v>
      </c>
    </row>
    <row r="1116" spans="1:7" x14ac:dyDescent="0.25">
      <c r="A1116" t="s">
        <v>1746</v>
      </c>
      <c r="B1116"/>
      <c r="C1116">
        <v>100</v>
      </c>
      <c r="D1116" t="s">
        <v>19</v>
      </c>
      <c r="E1116" s="1">
        <v>45918</v>
      </c>
      <c r="F1116" t="s">
        <v>1148</v>
      </c>
      <c r="G1116" s="71">
        <f>_xlfn.XLOOKUP(E1116,'Wk no''s'!B:B,'Wk no''s'!C:C,FALSE)</f>
        <v>38</v>
      </c>
    </row>
    <row r="1117" spans="1:7" x14ac:dyDescent="0.25">
      <c r="A1117" t="s">
        <v>1748</v>
      </c>
      <c r="B1117" s="1">
        <v>45915</v>
      </c>
      <c r="C1117">
        <v>100</v>
      </c>
      <c r="D1117" t="s">
        <v>19</v>
      </c>
      <c r="E1117" s="1">
        <v>45915</v>
      </c>
      <c r="F1117" t="s">
        <v>72</v>
      </c>
      <c r="G1117" s="71">
        <f>_xlfn.XLOOKUP(E1117,'Wk no''s'!B:B,'Wk no''s'!C:C,FALSE)</f>
        <v>38</v>
      </c>
    </row>
    <row r="1118" spans="1:7" x14ac:dyDescent="0.25">
      <c r="A1118" t="s">
        <v>1751</v>
      </c>
      <c r="B1118" s="1">
        <v>45917</v>
      </c>
      <c r="C1118">
        <v>100</v>
      </c>
      <c r="D1118" t="s">
        <v>50</v>
      </c>
      <c r="E1118" s="1">
        <v>45915</v>
      </c>
      <c r="F1118" t="s">
        <v>72</v>
      </c>
      <c r="G1118" s="71">
        <f>_xlfn.XLOOKUP(E1118,'Wk no''s'!B:B,'Wk no''s'!C:C,FALSE)</f>
        <v>38</v>
      </c>
    </row>
    <row r="1119" spans="1:7" x14ac:dyDescent="0.25">
      <c r="A1119" t="s">
        <v>1749</v>
      </c>
      <c r="B1119" s="1">
        <v>45917</v>
      </c>
      <c r="C1119">
        <v>100</v>
      </c>
      <c r="D1119" t="s">
        <v>19</v>
      </c>
      <c r="E1119" s="1">
        <v>45917</v>
      </c>
      <c r="F1119" t="s">
        <v>72</v>
      </c>
      <c r="G1119" s="71">
        <f>_xlfn.XLOOKUP(E1119,'Wk no''s'!B:B,'Wk no''s'!C:C,FALSE)</f>
        <v>38</v>
      </c>
    </row>
    <row r="1120" spans="1:7" x14ac:dyDescent="0.25">
      <c r="A1120" t="s">
        <v>1720</v>
      </c>
      <c r="B1120" s="1">
        <v>45915</v>
      </c>
      <c r="C1120">
        <v>0</v>
      </c>
      <c r="D1120" t="s">
        <v>19</v>
      </c>
      <c r="E1120" s="1">
        <v>45922</v>
      </c>
      <c r="F1120" t="s">
        <v>16</v>
      </c>
      <c r="G1120" s="71">
        <f>_xlfn.XLOOKUP(E1120,'Wk no''s'!B:B,'Wk no''s'!C:C,FALSE)</f>
        <v>39</v>
      </c>
    </row>
    <row r="1121" spans="1:7" x14ac:dyDescent="0.25">
      <c r="A1121" t="s">
        <v>1752</v>
      </c>
      <c r="B1121" s="1">
        <v>45915</v>
      </c>
      <c r="C1121">
        <v>0</v>
      </c>
      <c r="D1121" t="s">
        <v>19</v>
      </c>
      <c r="E1121" s="1">
        <v>45926</v>
      </c>
      <c r="F1121" t="s">
        <v>16</v>
      </c>
      <c r="G1121" s="71">
        <f>_xlfn.XLOOKUP(E1121,'Wk no''s'!B:B,'Wk no''s'!C:C,FALSE)</f>
        <v>39</v>
      </c>
    </row>
    <row r="1122" spans="1:7" x14ac:dyDescent="0.25">
      <c r="A1122" t="s">
        <v>1753</v>
      </c>
      <c r="B1122" s="1">
        <v>45922</v>
      </c>
      <c r="C1122">
        <v>0</v>
      </c>
      <c r="D1122" t="s">
        <v>19</v>
      </c>
      <c r="E1122" s="1">
        <v>45923</v>
      </c>
      <c r="F1122" t="s">
        <v>16</v>
      </c>
      <c r="G1122" s="71">
        <f>_xlfn.XLOOKUP(E1122,'Wk no''s'!B:B,'Wk no''s'!C:C,FALSE)</f>
        <v>39</v>
      </c>
    </row>
    <row r="1123" spans="1:7" x14ac:dyDescent="0.25">
      <c r="A1123" t="s">
        <v>1754</v>
      </c>
      <c r="B1123" s="1">
        <v>45922</v>
      </c>
      <c r="C1123">
        <v>100</v>
      </c>
      <c r="D1123" t="s">
        <v>19</v>
      </c>
      <c r="E1123" s="1">
        <v>45922</v>
      </c>
      <c r="F1123" t="s">
        <v>16</v>
      </c>
      <c r="G1123" s="71">
        <f>_xlfn.XLOOKUP(E1123,'Wk no''s'!B:B,'Wk no''s'!C:C,FALSE)</f>
        <v>39</v>
      </c>
    </row>
    <row r="1124" spans="1:7" x14ac:dyDescent="0.25">
      <c r="A1124" t="s">
        <v>1755</v>
      </c>
      <c r="B1124" s="1">
        <v>45923</v>
      </c>
      <c r="C1124">
        <v>100</v>
      </c>
      <c r="D1124" t="s">
        <v>19</v>
      </c>
      <c r="E1124" s="1">
        <v>45923</v>
      </c>
      <c r="F1124" t="s">
        <v>16</v>
      </c>
      <c r="G1124" s="71">
        <f>_xlfn.XLOOKUP(E1124,'Wk no''s'!B:B,'Wk no''s'!C:C,FALSE)</f>
        <v>39</v>
      </c>
    </row>
    <row r="1125" spans="1:7" x14ac:dyDescent="0.25">
      <c r="A1125" t="s">
        <v>1756</v>
      </c>
      <c r="B1125" s="1">
        <v>45922</v>
      </c>
      <c r="C1125">
        <v>100</v>
      </c>
      <c r="D1125" t="s">
        <v>281</v>
      </c>
      <c r="E1125" s="1">
        <v>45922</v>
      </c>
      <c r="F1125" t="s">
        <v>16</v>
      </c>
      <c r="G1125" s="71">
        <f>_xlfn.XLOOKUP(E1125,'Wk no''s'!B:B,'Wk no''s'!C:C,FALSE)</f>
        <v>39</v>
      </c>
    </row>
    <row r="1126" spans="1:7" x14ac:dyDescent="0.25">
      <c r="A1126" t="s">
        <v>1757</v>
      </c>
      <c r="B1126" s="1">
        <v>45926</v>
      </c>
      <c r="C1126">
        <v>100</v>
      </c>
      <c r="D1126" t="s">
        <v>19</v>
      </c>
      <c r="E1126" s="1">
        <v>45926</v>
      </c>
      <c r="F1126" t="s">
        <v>16</v>
      </c>
      <c r="G1126" s="71">
        <f>_xlfn.XLOOKUP(E1126,'Wk no''s'!B:B,'Wk no''s'!C:C,FALSE)</f>
        <v>39</v>
      </c>
    </row>
    <row r="1127" spans="1:7" x14ac:dyDescent="0.25">
      <c r="A1127" t="s">
        <v>1758</v>
      </c>
      <c r="B1127" s="1">
        <v>45926</v>
      </c>
      <c r="C1127">
        <v>100</v>
      </c>
      <c r="D1127" t="s">
        <v>19</v>
      </c>
      <c r="E1127" s="1">
        <v>45926</v>
      </c>
      <c r="F1127" t="s">
        <v>16</v>
      </c>
      <c r="G1127" s="71">
        <f>_xlfn.XLOOKUP(E1127,'Wk no''s'!B:B,'Wk no''s'!C:C,FALSE)</f>
        <v>39</v>
      </c>
    </row>
    <row r="1128" spans="1:7" x14ac:dyDescent="0.25">
      <c r="A1128" t="s">
        <v>1759</v>
      </c>
      <c r="B1128" s="1">
        <v>45925</v>
      </c>
      <c r="C1128">
        <v>100</v>
      </c>
      <c r="D1128" t="s">
        <v>19</v>
      </c>
      <c r="E1128" s="1">
        <v>45925</v>
      </c>
      <c r="F1128" t="s">
        <v>16</v>
      </c>
      <c r="G1128" s="71">
        <f>_xlfn.XLOOKUP(E1128,'Wk no''s'!B:B,'Wk no''s'!C:C,FALSE)</f>
        <v>39</v>
      </c>
    </row>
    <row r="1129" spans="1:7" x14ac:dyDescent="0.25">
      <c r="A1129" t="s">
        <v>1760</v>
      </c>
      <c r="B1129"/>
      <c r="C1129">
        <v>100</v>
      </c>
      <c r="D1129" t="s">
        <v>50</v>
      </c>
      <c r="E1129" s="1">
        <v>45926</v>
      </c>
      <c r="F1129" t="s">
        <v>41</v>
      </c>
      <c r="G1129" s="71">
        <f>_xlfn.XLOOKUP(E1129,'Wk no''s'!B:B,'Wk no''s'!C:C,FALSE)</f>
        <v>39</v>
      </c>
    </row>
    <row r="1130" spans="1:7" x14ac:dyDescent="0.25">
      <c r="A1130" t="s">
        <v>1778</v>
      </c>
      <c r="B1130" s="1">
        <v>45918</v>
      </c>
      <c r="C1130">
        <v>0</v>
      </c>
      <c r="D1130" t="s">
        <v>50</v>
      </c>
      <c r="E1130" s="1">
        <v>45927</v>
      </c>
      <c r="F1130" t="s">
        <v>47</v>
      </c>
      <c r="G1130" s="71">
        <f>_xlfn.XLOOKUP(E1130,'Wk no''s'!B:B,'Wk no''s'!C:C,FALSE)</f>
        <v>40</v>
      </c>
    </row>
    <row r="1131" spans="1:7" x14ac:dyDescent="0.25">
      <c r="A1131" t="s">
        <v>1761</v>
      </c>
      <c r="B1131" s="1">
        <v>45922</v>
      </c>
      <c r="C1131">
        <v>100</v>
      </c>
      <c r="D1131" t="s">
        <v>50</v>
      </c>
      <c r="E1131" s="1">
        <v>45922</v>
      </c>
      <c r="F1131" t="s">
        <v>47</v>
      </c>
      <c r="G1131" s="71">
        <f>_xlfn.XLOOKUP(E1131,'Wk no''s'!B:B,'Wk no''s'!C:C,FALSE)</f>
        <v>39</v>
      </c>
    </row>
    <row r="1132" spans="1:7" x14ac:dyDescent="0.25">
      <c r="A1132" t="s">
        <v>1762</v>
      </c>
      <c r="B1132" s="1">
        <v>45923</v>
      </c>
      <c r="C1132">
        <v>100</v>
      </c>
      <c r="D1132" t="s">
        <v>50</v>
      </c>
      <c r="E1132" s="1">
        <v>45923</v>
      </c>
      <c r="F1132" t="s">
        <v>47</v>
      </c>
      <c r="G1132" s="71">
        <f>_xlfn.XLOOKUP(E1132,'Wk no''s'!B:B,'Wk no''s'!C:C,FALSE)</f>
        <v>39</v>
      </c>
    </row>
    <row r="1133" spans="1:7" x14ac:dyDescent="0.25">
      <c r="A1133" t="s">
        <v>1763</v>
      </c>
      <c r="B1133" s="1">
        <v>45926</v>
      </c>
      <c r="C1133">
        <v>100</v>
      </c>
      <c r="D1133" t="s">
        <v>19</v>
      </c>
      <c r="E1133" s="1">
        <v>45926</v>
      </c>
      <c r="F1133" t="s">
        <v>47</v>
      </c>
      <c r="G1133" s="71">
        <f>_xlfn.XLOOKUP(E1133,'Wk no''s'!B:B,'Wk no''s'!C:C,FALSE)</f>
        <v>39</v>
      </c>
    </row>
    <row r="1134" spans="1:7" x14ac:dyDescent="0.25">
      <c r="A1134" t="s">
        <v>1764</v>
      </c>
      <c r="B1134" s="1">
        <v>45924</v>
      </c>
      <c r="C1134">
        <v>100</v>
      </c>
      <c r="D1134" t="s">
        <v>50</v>
      </c>
      <c r="E1134" s="1">
        <v>45924</v>
      </c>
      <c r="F1134" t="s">
        <v>47</v>
      </c>
      <c r="G1134" s="71">
        <f>_xlfn.XLOOKUP(E1134,'Wk no''s'!B:B,'Wk no''s'!C:C,FALSE)</f>
        <v>39</v>
      </c>
    </row>
    <row r="1135" spans="1:7" x14ac:dyDescent="0.25">
      <c r="A1135" t="s">
        <v>1765</v>
      </c>
      <c r="B1135" s="1">
        <v>45923</v>
      </c>
      <c r="C1135">
        <v>100</v>
      </c>
      <c r="D1135" t="s">
        <v>50</v>
      </c>
      <c r="E1135" s="1">
        <v>45923</v>
      </c>
      <c r="F1135" t="s">
        <v>47</v>
      </c>
      <c r="G1135" s="71">
        <f>_xlfn.XLOOKUP(E1135,'Wk no''s'!B:B,'Wk no''s'!C:C,FALSE)</f>
        <v>39</v>
      </c>
    </row>
    <row r="1136" spans="1:7" x14ac:dyDescent="0.25">
      <c r="A1136" t="s">
        <v>1766</v>
      </c>
      <c r="B1136" s="1">
        <v>45926</v>
      </c>
      <c r="C1136">
        <v>100</v>
      </c>
      <c r="D1136" t="s">
        <v>50</v>
      </c>
      <c r="E1136" s="1">
        <v>45925</v>
      </c>
      <c r="F1136" t="s">
        <v>47</v>
      </c>
      <c r="G1136" s="71">
        <f>_xlfn.XLOOKUP(E1136,'Wk no''s'!B:B,'Wk no''s'!C:C,FALSE)</f>
        <v>39</v>
      </c>
    </row>
    <row r="1137" spans="1:7" x14ac:dyDescent="0.25">
      <c r="A1137" t="s">
        <v>1779</v>
      </c>
      <c r="B1137" s="1">
        <v>45928</v>
      </c>
      <c r="C1137">
        <v>100</v>
      </c>
      <c r="D1137" t="s">
        <v>50</v>
      </c>
      <c r="E1137" s="1">
        <v>45928</v>
      </c>
      <c r="F1137" t="s">
        <v>47</v>
      </c>
      <c r="G1137" s="71">
        <f>_xlfn.XLOOKUP(E1137,'Wk no''s'!B:B,'Wk no''s'!C:C,FALSE)</f>
        <v>40</v>
      </c>
    </row>
    <row r="1138" spans="1:7" x14ac:dyDescent="0.25">
      <c r="A1138" t="s">
        <v>1767</v>
      </c>
      <c r="B1138" s="1">
        <v>45919</v>
      </c>
      <c r="C1138">
        <v>0</v>
      </c>
      <c r="D1138" t="s">
        <v>50</v>
      </c>
      <c r="E1138" s="1">
        <v>45924</v>
      </c>
      <c r="F1138" t="s">
        <v>11</v>
      </c>
      <c r="G1138" s="71">
        <f>_xlfn.XLOOKUP(E1138,'Wk no''s'!B:B,'Wk no''s'!C:C,FALSE)</f>
        <v>39</v>
      </c>
    </row>
    <row r="1139" spans="1:7" x14ac:dyDescent="0.25">
      <c r="A1139" t="s">
        <v>1780</v>
      </c>
      <c r="B1139" s="1">
        <v>45932</v>
      </c>
      <c r="C1139">
        <v>100</v>
      </c>
      <c r="D1139" t="s">
        <v>50</v>
      </c>
      <c r="E1139" s="1">
        <v>45928</v>
      </c>
      <c r="F1139" t="s">
        <v>11</v>
      </c>
      <c r="G1139" s="71">
        <f>_xlfn.XLOOKUP(E1139,'Wk no''s'!B:B,'Wk no''s'!C:C,FALSE)</f>
        <v>40</v>
      </c>
    </row>
    <row r="1140" spans="1:7" x14ac:dyDescent="0.25">
      <c r="A1140" t="s">
        <v>1768</v>
      </c>
      <c r="B1140"/>
      <c r="C1140">
        <v>100</v>
      </c>
      <c r="D1140" t="s">
        <v>50</v>
      </c>
      <c r="E1140" s="1">
        <v>45924</v>
      </c>
      <c r="F1140" t="s">
        <v>11</v>
      </c>
      <c r="G1140" s="71">
        <f>_xlfn.XLOOKUP(E1140,'Wk no''s'!B:B,'Wk no''s'!C:C,FALSE)</f>
        <v>39</v>
      </c>
    </row>
    <row r="1141" spans="1:7" x14ac:dyDescent="0.25">
      <c r="A1141" t="s">
        <v>1769</v>
      </c>
      <c r="B1141" s="1">
        <v>45925</v>
      </c>
      <c r="C1141">
        <v>0</v>
      </c>
      <c r="D1141" t="s">
        <v>19</v>
      </c>
      <c r="E1141" s="1">
        <v>45926</v>
      </c>
      <c r="F1141" t="s">
        <v>72</v>
      </c>
      <c r="G1141" s="71">
        <f>_xlfn.XLOOKUP(E1141,'Wk no''s'!B:B,'Wk no''s'!C:C,FALSE)</f>
        <v>39</v>
      </c>
    </row>
    <row r="1142" spans="1:7" x14ac:dyDescent="0.25">
      <c r="A1142" t="s">
        <v>1770</v>
      </c>
      <c r="B1142" s="1">
        <v>45922</v>
      </c>
      <c r="C1142">
        <v>100</v>
      </c>
      <c r="D1142" t="s">
        <v>19</v>
      </c>
      <c r="E1142" s="1">
        <v>45922</v>
      </c>
      <c r="F1142" t="s">
        <v>72</v>
      </c>
      <c r="G1142" s="71">
        <f>_xlfn.XLOOKUP(E1142,'Wk no''s'!B:B,'Wk no''s'!C:C,FALSE)</f>
        <v>39</v>
      </c>
    </row>
    <row r="1143" spans="1:7" x14ac:dyDescent="0.25">
      <c r="A1143" t="s">
        <v>1771</v>
      </c>
      <c r="B1143" s="1">
        <v>45933</v>
      </c>
      <c r="C1143">
        <v>100</v>
      </c>
      <c r="D1143" t="s">
        <v>19</v>
      </c>
      <c r="E1143" s="1">
        <v>45926</v>
      </c>
      <c r="F1143" t="s">
        <v>72</v>
      </c>
      <c r="G1143" s="71">
        <f>_xlfn.XLOOKUP(E1143,'Wk no''s'!B:B,'Wk no''s'!C:C,FALSE)</f>
        <v>39</v>
      </c>
    </row>
    <row r="1144" spans="1:7" x14ac:dyDescent="0.25">
      <c r="A1144" t="s">
        <v>1772</v>
      </c>
      <c r="B1144" s="1">
        <v>45929</v>
      </c>
      <c r="C1144">
        <v>100</v>
      </c>
      <c r="D1144" t="s">
        <v>19</v>
      </c>
      <c r="E1144" s="1">
        <v>45926</v>
      </c>
      <c r="F1144" t="s">
        <v>72</v>
      </c>
      <c r="G1144" s="71">
        <f>_xlfn.XLOOKUP(E1144,'Wk no''s'!B:B,'Wk no''s'!C:C,FALSE)</f>
        <v>39</v>
      </c>
    </row>
    <row r="1145" spans="1:7" x14ac:dyDescent="0.25">
      <c r="A1145" t="s">
        <v>1781</v>
      </c>
      <c r="B1145" s="1">
        <v>45930</v>
      </c>
      <c r="C1145">
        <v>0</v>
      </c>
      <c r="D1145" t="s">
        <v>19</v>
      </c>
      <c r="E1145" s="1">
        <v>45931</v>
      </c>
      <c r="F1145" t="s">
        <v>16</v>
      </c>
      <c r="G1145" s="71">
        <f>_xlfn.XLOOKUP(E1145,'Wk no''s'!B:B,'Wk no''s'!C:C,FALSE)</f>
        <v>40</v>
      </c>
    </row>
    <row r="1146" spans="1:7" x14ac:dyDescent="0.25">
      <c r="A1146" t="s">
        <v>1782</v>
      </c>
      <c r="B1146" s="1">
        <v>45931</v>
      </c>
      <c r="C1146">
        <v>0</v>
      </c>
      <c r="D1146" t="s">
        <v>19</v>
      </c>
      <c r="E1146" s="1">
        <v>45933</v>
      </c>
      <c r="F1146" t="s">
        <v>16</v>
      </c>
      <c r="G1146" s="71">
        <f>_xlfn.XLOOKUP(E1146,'Wk no''s'!B:B,'Wk no''s'!C:C,FALSE)</f>
        <v>40</v>
      </c>
    </row>
    <row r="1147" spans="1:7" x14ac:dyDescent="0.25">
      <c r="A1147" t="s">
        <v>1783</v>
      </c>
      <c r="B1147"/>
      <c r="C1147">
        <v>100</v>
      </c>
      <c r="D1147" t="s">
        <v>19</v>
      </c>
      <c r="E1147" s="1">
        <v>45929</v>
      </c>
      <c r="F1147" t="s">
        <v>16</v>
      </c>
      <c r="G1147" s="71">
        <f>_xlfn.XLOOKUP(E1147,'Wk no''s'!B:B,'Wk no''s'!C:C,FALSE)</f>
        <v>40</v>
      </c>
    </row>
    <row r="1148" spans="1:7" x14ac:dyDescent="0.25">
      <c r="A1148" t="s">
        <v>1784</v>
      </c>
      <c r="B1148" s="1">
        <v>45930</v>
      </c>
      <c r="C1148">
        <v>100</v>
      </c>
      <c r="D1148" t="s">
        <v>19</v>
      </c>
      <c r="E1148" s="1">
        <v>45930</v>
      </c>
      <c r="F1148" t="s">
        <v>16</v>
      </c>
      <c r="G1148" s="71">
        <f>_xlfn.XLOOKUP(E1148,'Wk no''s'!B:B,'Wk no''s'!C:C,FALSE)</f>
        <v>40</v>
      </c>
    </row>
    <row r="1149" spans="1:7" x14ac:dyDescent="0.25">
      <c r="A1149" t="s">
        <v>1785</v>
      </c>
      <c r="B1149" s="1">
        <v>45932</v>
      </c>
      <c r="C1149">
        <v>100</v>
      </c>
      <c r="D1149" t="s">
        <v>19</v>
      </c>
      <c r="E1149" s="1">
        <v>45932</v>
      </c>
      <c r="F1149" t="s">
        <v>16</v>
      </c>
      <c r="G1149" s="71">
        <f>_xlfn.XLOOKUP(E1149,'Wk no''s'!B:B,'Wk no''s'!C:C,FALSE)</f>
        <v>40</v>
      </c>
    </row>
    <row r="1150" spans="1:7" x14ac:dyDescent="0.25">
      <c r="A1150" t="s">
        <v>1786</v>
      </c>
      <c r="B1150" s="1">
        <v>45932</v>
      </c>
      <c r="C1150">
        <v>100</v>
      </c>
      <c r="D1150" t="s">
        <v>19</v>
      </c>
      <c r="E1150" s="1">
        <v>45932</v>
      </c>
      <c r="F1150" t="s">
        <v>16</v>
      </c>
      <c r="G1150" s="71">
        <f>_xlfn.XLOOKUP(E1150,'Wk no''s'!B:B,'Wk no''s'!C:C,FALSE)</f>
        <v>40</v>
      </c>
    </row>
    <row r="1151" spans="1:7" x14ac:dyDescent="0.25">
      <c r="A1151" t="s">
        <v>1787</v>
      </c>
      <c r="B1151" s="1">
        <v>45929</v>
      </c>
      <c r="C1151">
        <v>100</v>
      </c>
      <c r="D1151" t="s">
        <v>19</v>
      </c>
      <c r="E1151" s="1">
        <v>45929</v>
      </c>
      <c r="F1151" t="s">
        <v>16</v>
      </c>
      <c r="G1151" s="71">
        <f>_xlfn.XLOOKUP(E1151,'Wk no''s'!B:B,'Wk no''s'!C:C,FALSE)</f>
        <v>40</v>
      </c>
    </row>
    <row r="1152" spans="1:7" x14ac:dyDescent="0.25">
      <c r="A1152" t="s">
        <v>1788</v>
      </c>
      <c r="B1152" s="1">
        <v>45929</v>
      </c>
      <c r="C1152">
        <v>100</v>
      </c>
      <c r="D1152" t="s">
        <v>19</v>
      </c>
      <c r="E1152" s="1">
        <v>45929</v>
      </c>
      <c r="F1152" t="s">
        <v>16</v>
      </c>
      <c r="G1152" s="71">
        <f>_xlfn.XLOOKUP(E1152,'Wk no''s'!B:B,'Wk no''s'!C:C,FALSE)</f>
        <v>40</v>
      </c>
    </row>
    <row r="1153" spans="1:7" x14ac:dyDescent="0.25">
      <c r="A1153" t="s">
        <v>1789</v>
      </c>
      <c r="B1153" s="1">
        <v>45933</v>
      </c>
      <c r="C1153">
        <v>100</v>
      </c>
      <c r="D1153" t="s">
        <v>19</v>
      </c>
      <c r="E1153" s="1">
        <v>45933</v>
      </c>
      <c r="F1153" t="s">
        <v>16</v>
      </c>
      <c r="G1153" s="71">
        <f>_xlfn.XLOOKUP(E1153,'Wk no''s'!B:B,'Wk no''s'!C:C,FALSE)</f>
        <v>40</v>
      </c>
    </row>
    <row r="1154" spans="1:7" x14ac:dyDescent="0.25">
      <c r="A1154" t="s">
        <v>1790</v>
      </c>
      <c r="B1154" s="1">
        <v>45924</v>
      </c>
      <c r="C1154">
        <v>0</v>
      </c>
      <c r="D1154" t="s">
        <v>50</v>
      </c>
      <c r="E1154" s="1">
        <v>45930</v>
      </c>
      <c r="F1154" t="s">
        <v>47</v>
      </c>
      <c r="G1154" s="71">
        <f>_xlfn.XLOOKUP(E1154,'Wk no''s'!B:B,'Wk no''s'!C:C,FALSE)</f>
        <v>40</v>
      </c>
    </row>
    <row r="1155" spans="1:7" x14ac:dyDescent="0.25">
      <c r="A1155" t="s">
        <v>1791</v>
      </c>
      <c r="B1155" s="1">
        <v>45931</v>
      </c>
      <c r="C1155">
        <v>100</v>
      </c>
      <c r="D1155" t="s">
        <v>19</v>
      </c>
      <c r="E1155" s="1">
        <v>45931</v>
      </c>
      <c r="F1155" t="s">
        <v>47</v>
      </c>
      <c r="G1155" s="71">
        <f>_xlfn.XLOOKUP(E1155,'Wk no''s'!B:B,'Wk no''s'!C:C,FALSE)</f>
        <v>40</v>
      </c>
    </row>
    <row r="1156" spans="1:7" x14ac:dyDescent="0.25">
      <c r="A1156" t="s">
        <v>1792</v>
      </c>
      <c r="B1156" s="1">
        <v>45932</v>
      </c>
      <c r="C1156">
        <v>100</v>
      </c>
      <c r="D1156" t="s">
        <v>50</v>
      </c>
      <c r="E1156" s="1">
        <v>45931</v>
      </c>
      <c r="F1156" t="s">
        <v>47</v>
      </c>
      <c r="G1156" s="71">
        <f>_xlfn.XLOOKUP(E1156,'Wk no''s'!B:B,'Wk no''s'!C:C,FALSE)</f>
        <v>40</v>
      </c>
    </row>
    <row r="1157" spans="1:7" x14ac:dyDescent="0.25">
      <c r="A1157" t="s">
        <v>1793</v>
      </c>
      <c r="B1157"/>
      <c r="C1157">
        <v>100</v>
      </c>
      <c r="D1157" t="s">
        <v>50</v>
      </c>
      <c r="E1157" s="1">
        <v>45930</v>
      </c>
      <c r="F1157" t="s">
        <v>47</v>
      </c>
      <c r="G1157" s="71">
        <f>_xlfn.XLOOKUP(E1157,'Wk no''s'!B:B,'Wk no''s'!C:C,FALSE)</f>
        <v>40</v>
      </c>
    </row>
    <row r="1158" spans="1:7" x14ac:dyDescent="0.25">
      <c r="A1158" t="s">
        <v>1794</v>
      </c>
      <c r="B1158" s="1">
        <v>45926</v>
      </c>
      <c r="C1158">
        <v>0</v>
      </c>
      <c r="D1158" t="s">
        <v>50</v>
      </c>
      <c r="E1158" s="1">
        <v>45931</v>
      </c>
      <c r="F1158" t="s">
        <v>11</v>
      </c>
      <c r="G1158" s="71">
        <f>_xlfn.XLOOKUP(E1158,'Wk no''s'!B:B,'Wk no''s'!C:C,FALSE)</f>
        <v>40</v>
      </c>
    </row>
    <row r="1159" spans="1:7" x14ac:dyDescent="0.25">
      <c r="A1159" t="s">
        <v>1795</v>
      </c>
      <c r="B1159" s="1">
        <v>45932</v>
      </c>
      <c r="C1159">
        <v>0</v>
      </c>
      <c r="D1159" t="s">
        <v>50</v>
      </c>
      <c r="E1159" s="1">
        <v>45933</v>
      </c>
      <c r="F1159" t="s">
        <v>11</v>
      </c>
      <c r="G1159" s="71">
        <f>_xlfn.XLOOKUP(E1159,'Wk no''s'!B:B,'Wk no''s'!C:C,FALSE)</f>
        <v>40</v>
      </c>
    </row>
    <row r="1160" spans="1:7" x14ac:dyDescent="0.25">
      <c r="A1160" t="s">
        <v>1796</v>
      </c>
      <c r="B1160" s="1">
        <v>45931</v>
      </c>
      <c r="C1160">
        <v>100</v>
      </c>
      <c r="D1160" t="s">
        <v>50</v>
      </c>
      <c r="E1160" s="1">
        <v>45930</v>
      </c>
      <c r="F1160" t="s">
        <v>11</v>
      </c>
      <c r="G1160" s="71">
        <f>_xlfn.XLOOKUP(E1160,'Wk no''s'!B:B,'Wk no''s'!C:C,FALSE)</f>
        <v>40</v>
      </c>
    </row>
    <row r="1161" spans="1:7" x14ac:dyDescent="0.25">
      <c r="A1161" t="s">
        <v>1797</v>
      </c>
      <c r="B1161" s="1">
        <v>45931</v>
      </c>
      <c r="C1161">
        <v>100</v>
      </c>
      <c r="D1161" t="s">
        <v>50</v>
      </c>
      <c r="E1161" s="1">
        <v>45930</v>
      </c>
      <c r="F1161" t="s">
        <v>11</v>
      </c>
      <c r="G1161" s="71">
        <f>_xlfn.XLOOKUP(E1161,'Wk no''s'!B:B,'Wk no''s'!C:C,FALSE)</f>
        <v>40</v>
      </c>
    </row>
    <row r="1162" spans="1:7" x14ac:dyDescent="0.25">
      <c r="A1162" t="s">
        <v>1798</v>
      </c>
      <c r="B1162" s="1">
        <v>45931</v>
      </c>
      <c r="C1162">
        <v>100</v>
      </c>
      <c r="D1162" t="s">
        <v>50</v>
      </c>
      <c r="E1162" s="1">
        <v>45930</v>
      </c>
      <c r="F1162" t="s">
        <v>11</v>
      </c>
      <c r="G1162" s="71">
        <f>_xlfn.XLOOKUP(E1162,'Wk no''s'!B:B,'Wk no''s'!C:C,FALSE)</f>
        <v>40</v>
      </c>
    </row>
    <row r="1163" spans="1:7" x14ac:dyDescent="0.25">
      <c r="A1163" t="s">
        <v>1799</v>
      </c>
      <c r="B1163" s="1">
        <v>45932</v>
      </c>
      <c r="C1163">
        <v>100</v>
      </c>
      <c r="D1163" t="s">
        <v>19</v>
      </c>
      <c r="E1163" s="1">
        <v>45931</v>
      </c>
      <c r="F1163" t="s">
        <v>11</v>
      </c>
      <c r="G1163" s="71">
        <f>_xlfn.XLOOKUP(E1163,'Wk no''s'!B:B,'Wk no''s'!C:C,FALSE)</f>
        <v>40</v>
      </c>
    </row>
    <row r="1164" spans="1:7" x14ac:dyDescent="0.25">
      <c r="A1164" t="s">
        <v>1800</v>
      </c>
      <c r="B1164"/>
      <c r="C1164">
        <v>100</v>
      </c>
      <c r="D1164" t="s">
        <v>12</v>
      </c>
      <c r="E1164" s="1">
        <v>45931</v>
      </c>
      <c r="F1164" t="s">
        <v>11</v>
      </c>
      <c r="G1164" s="71">
        <f>_xlfn.XLOOKUP(E1164,'Wk no''s'!B:B,'Wk no''s'!C:C,FALSE)</f>
        <v>40</v>
      </c>
    </row>
    <row r="1165" spans="1:7" x14ac:dyDescent="0.25">
      <c r="A1165" t="s">
        <v>1801</v>
      </c>
      <c r="B1165" s="1">
        <v>45933</v>
      </c>
      <c r="C1165">
        <v>100</v>
      </c>
      <c r="D1165" t="s">
        <v>50</v>
      </c>
      <c r="E1165" s="1">
        <v>45933</v>
      </c>
      <c r="F1165" t="s">
        <v>11</v>
      </c>
      <c r="G1165" s="71">
        <f>_xlfn.XLOOKUP(E1165,'Wk no''s'!B:B,'Wk no''s'!C:C,FALSE)</f>
        <v>40</v>
      </c>
    </row>
    <row r="1166" spans="1:7" x14ac:dyDescent="0.25">
      <c r="A1166" t="s">
        <v>1802</v>
      </c>
      <c r="B1166" s="1">
        <v>45932</v>
      </c>
      <c r="C1166">
        <v>100</v>
      </c>
      <c r="D1166" t="s">
        <v>19</v>
      </c>
      <c r="E1166" s="1">
        <v>45929</v>
      </c>
      <c r="F1166" t="s">
        <v>72</v>
      </c>
      <c r="G1166" s="71">
        <f>_xlfn.XLOOKUP(E1166,'Wk no''s'!B:B,'Wk no''s'!C:C,FALSE)</f>
        <v>40</v>
      </c>
    </row>
    <row r="1167" spans="1:7" x14ac:dyDescent="0.25">
      <c r="A1167" t="s">
        <v>1803</v>
      </c>
      <c r="B1167" s="1">
        <v>45933</v>
      </c>
      <c r="C1167">
        <v>100</v>
      </c>
      <c r="D1167" t="s">
        <v>19</v>
      </c>
      <c r="E1167" s="1">
        <v>45932</v>
      </c>
      <c r="F1167" t="s">
        <v>72</v>
      </c>
      <c r="G1167" s="71">
        <f>_xlfn.XLOOKUP(E1167,'Wk no''s'!B:B,'Wk no''s'!C:C,FALSE)</f>
        <v>40</v>
      </c>
    </row>
    <row r="1168" spans="1:7" x14ac:dyDescent="0.25">
      <c r="A1168" t="s">
        <v>1815</v>
      </c>
      <c r="B1168" s="1">
        <v>45936</v>
      </c>
      <c r="C1168">
        <v>0</v>
      </c>
      <c r="D1168" t="s">
        <v>19</v>
      </c>
      <c r="E1168" s="1">
        <v>45937</v>
      </c>
      <c r="F1168" t="s">
        <v>16</v>
      </c>
      <c r="G1168" s="71">
        <f>_xlfn.XLOOKUP(E1168,'Wk no''s'!B:B,'Wk no''s'!C:C,FALSE)</f>
        <v>41</v>
      </c>
    </row>
    <row r="1169" spans="1:7" x14ac:dyDescent="0.25">
      <c r="A1169" t="s">
        <v>1816</v>
      </c>
      <c r="B1169" s="1">
        <v>45932</v>
      </c>
      <c r="C1169">
        <v>0</v>
      </c>
      <c r="D1169" t="s">
        <v>19</v>
      </c>
      <c r="E1169" s="1">
        <v>45938</v>
      </c>
      <c r="F1169" t="s">
        <v>16</v>
      </c>
      <c r="G1169" s="71">
        <f>_xlfn.XLOOKUP(E1169,'Wk no''s'!B:B,'Wk no''s'!C:C,FALSE)</f>
        <v>41</v>
      </c>
    </row>
    <row r="1170" spans="1:7" x14ac:dyDescent="0.25">
      <c r="A1170" t="s">
        <v>1817</v>
      </c>
      <c r="B1170" s="1">
        <v>45860</v>
      </c>
      <c r="C1170">
        <v>0</v>
      </c>
      <c r="D1170" t="s">
        <v>19</v>
      </c>
      <c r="E1170" s="1">
        <v>45940</v>
      </c>
      <c r="F1170" t="s">
        <v>16</v>
      </c>
      <c r="G1170" s="71">
        <f>_xlfn.XLOOKUP(E1170,'Wk no''s'!B:B,'Wk no''s'!C:C,FALSE)</f>
        <v>41</v>
      </c>
    </row>
    <row r="1171" spans="1:7" x14ac:dyDescent="0.25">
      <c r="A1171" t="s">
        <v>1818</v>
      </c>
      <c r="B1171" s="1">
        <v>45937</v>
      </c>
      <c r="C1171">
        <v>100</v>
      </c>
      <c r="D1171" t="s">
        <v>19</v>
      </c>
      <c r="E1171" s="1">
        <v>45937</v>
      </c>
      <c r="F1171" t="s">
        <v>16</v>
      </c>
      <c r="G1171" s="71">
        <f>_xlfn.XLOOKUP(E1171,'Wk no''s'!B:B,'Wk no''s'!C:C,FALSE)</f>
        <v>41</v>
      </c>
    </row>
    <row r="1172" spans="1:7" x14ac:dyDescent="0.25">
      <c r="A1172" t="s">
        <v>1819</v>
      </c>
      <c r="B1172" s="1">
        <v>45940</v>
      </c>
      <c r="C1172">
        <v>100</v>
      </c>
      <c r="D1172" t="s">
        <v>19</v>
      </c>
      <c r="E1172" s="1">
        <v>45939</v>
      </c>
      <c r="F1172" t="s">
        <v>16</v>
      </c>
      <c r="G1172" s="71">
        <f>_xlfn.XLOOKUP(E1172,'Wk no''s'!B:B,'Wk no''s'!C:C,FALSE)</f>
        <v>41</v>
      </c>
    </row>
    <row r="1173" spans="1:7" x14ac:dyDescent="0.25">
      <c r="A1173" t="s">
        <v>1820</v>
      </c>
      <c r="B1173"/>
      <c r="C1173">
        <v>100</v>
      </c>
      <c r="D1173" t="s">
        <v>19</v>
      </c>
      <c r="E1173" s="1">
        <v>45937</v>
      </c>
      <c r="F1173" t="s">
        <v>16</v>
      </c>
      <c r="G1173" s="71">
        <f>_xlfn.XLOOKUP(E1173,'Wk no''s'!B:B,'Wk no''s'!C:C,FALSE)</f>
        <v>41</v>
      </c>
    </row>
    <row r="1174" spans="1:7" x14ac:dyDescent="0.25">
      <c r="A1174" t="s">
        <v>1821</v>
      </c>
      <c r="B1174" s="1">
        <v>45937</v>
      </c>
      <c r="C1174">
        <v>100</v>
      </c>
      <c r="D1174" t="s">
        <v>19</v>
      </c>
      <c r="E1174" s="1">
        <v>45937</v>
      </c>
      <c r="F1174" t="s">
        <v>16</v>
      </c>
      <c r="G1174" s="71">
        <f>_xlfn.XLOOKUP(E1174,'Wk no''s'!B:B,'Wk no''s'!C:C,FALSE)</f>
        <v>41</v>
      </c>
    </row>
    <row r="1175" spans="1:7" x14ac:dyDescent="0.25">
      <c r="A1175" t="s">
        <v>1822</v>
      </c>
      <c r="B1175" s="1">
        <v>45939</v>
      </c>
      <c r="C1175">
        <v>100</v>
      </c>
      <c r="D1175" t="s">
        <v>19</v>
      </c>
      <c r="E1175" s="1">
        <v>45936</v>
      </c>
      <c r="F1175" t="s">
        <v>16</v>
      </c>
      <c r="G1175" s="71">
        <f>_xlfn.XLOOKUP(E1175,'Wk no''s'!B:B,'Wk no''s'!C:C,FALSE)</f>
        <v>41</v>
      </c>
    </row>
    <row r="1176" spans="1:7" x14ac:dyDescent="0.25">
      <c r="A1176" t="s">
        <v>1823</v>
      </c>
      <c r="B1176" s="1">
        <v>45939</v>
      </c>
      <c r="C1176">
        <v>100</v>
      </c>
      <c r="D1176" t="s">
        <v>281</v>
      </c>
      <c r="E1176" s="1">
        <v>45939</v>
      </c>
      <c r="F1176" t="s">
        <v>16</v>
      </c>
      <c r="G1176" s="71">
        <f>_xlfn.XLOOKUP(E1176,'Wk no''s'!B:B,'Wk no''s'!C:C,FALSE)</f>
        <v>41</v>
      </c>
    </row>
    <row r="1177" spans="1:7" x14ac:dyDescent="0.25">
      <c r="A1177" t="s">
        <v>1824</v>
      </c>
      <c r="B1177" s="1">
        <v>45943</v>
      </c>
      <c r="C1177">
        <v>100</v>
      </c>
      <c r="D1177" t="s">
        <v>19</v>
      </c>
      <c r="E1177" s="1">
        <v>45940</v>
      </c>
      <c r="F1177" t="s">
        <v>16</v>
      </c>
      <c r="G1177" s="71">
        <f>_xlfn.XLOOKUP(E1177,'Wk no''s'!B:B,'Wk no''s'!C:C,FALSE)</f>
        <v>41</v>
      </c>
    </row>
    <row r="1178" spans="1:7" x14ac:dyDescent="0.25">
      <c r="A1178" t="s">
        <v>1825</v>
      </c>
      <c r="B1178" s="1">
        <v>45939</v>
      </c>
      <c r="C1178">
        <v>100</v>
      </c>
      <c r="D1178" t="s">
        <v>19</v>
      </c>
      <c r="E1178" s="1">
        <v>45939</v>
      </c>
      <c r="F1178" t="s">
        <v>16</v>
      </c>
      <c r="G1178" s="71">
        <f>_xlfn.XLOOKUP(E1178,'Wk no''s'!B:B,'Wk no''s'!C:C,FALSE)</f>
        <v>41</v>
      </c>
    </row>
    <row r="1179" spans="1:7" x14ac:dyDescent="0.25">
      <c r="A1179" t="s">
        <v>1826</v>
      </c>
      <c r="B1179" s="1">
        <v>45939</v>
      </c>
      <c r="C1179">
        <v>100</v>
      </c>
      <c r="D1179" t="s">
        <v>19</v>
      </c>
      <c r="E1179" s="1">
        <v>45939</v>
      </c>
      <c r="F1179" t="s">
        <v>16</v>
      </c>
      <c r="G1179" s="71">
        <f>_xlfn.XLOOKUP(E1179,'Wk no''s'!B:B,'Wk no''s'!C:C,FALSE)</f>
        <v>41</v>
      </c>
    </row>
    <row r="1180" spans="1:7" x14ac:dyDescent="0.25">
      <c r="A1180" t="s">
        <v>1827</v>
      </c>
      <c r="B1180"/>
      <c r="C1180">
        <v>100</v>
      </c>
      <c r="D1180" t="s">
        <v>19</v>
      </c>
      <c r="E1180" s="1">
        <v>45939</v>
      </c>
      <c r="F1180" t="s">
        <v>16</v>
      </c>
      <c r="G1180" s="71">
        <f>_xlfn.XLOOKUP(E1180,'Wk no''s'!B:B,'Wk no''s'!C:C,FALSE)</f>
        <v>41</v>
      </c>
    </row>
    <row r="1181" spans="1:7" x14ac:dyDescent="0.25">
      <c r="A1181" t="s">
        <v>1828</v>
      </c>
      <c r="B1181"/>
      <c r="C1181">
        <v>100</v>
      </c>
      <c r="D1181" t="s">
        <v>19</v>
      </c>
      <c r="E1181" s="1">
        <v>45939</v>
      </c>
      <c r="F1181" t="s">
        <v>16</v>
      </c>
      <c r="G1181" s="71">
        <f>_xlfn.XLOOKUP(E1181,'Wk no''s'!B:B,'Wk no''s'!C:C,FALSE)</f>
        <v>41</v>
      </c>
    </row>
    <row r="1182" spans="1:7" x14ac:dyDescent="0.25">
      <c r="A1182" t="s">
        <v>1829</v>
      </c>
      <c r="B1182" s="1">
        <v>45929</v>
      </c>
      <c r="C1182">
        <v>0</v>
      </c>
      <c r="D1182" t="s">
        <v>50</v>
      </c>
      <c r="E1182" s="1">
        <v>45936</v>
      </c>
      <c r="F1182" t="s">
        <v>47</v>
      </c>
      <c r="G1182" s="71">
        <f>_xlfn.XLOOKUP(E1182,'Wk no''s'!B:B,'Wk no''s'!C:C,FALSE)</f>
        <v>41</v>
      </c>
    </row>
    <row r="1183" spans="1:7" x14ac:dyDescent="0.25">
      <c r="A1183" t="s">
        <v>1853</v>
      </c>
      <c r="B1183" s="1">
        <v>45936</v>
      </c>
      <c r="C1183">
        <v>0</v>
      </c>
      <c r="D1183" t="s">
        <v>50</v>
      </c>
      <c r="E1183" s="1">
        <v>45942</v>
      </c>
      <c r="F1183" t="s">
        <v>47</v>
      </c>
      <c r="G1183" s="71">
        <f>_xlfn.XLOOKUP(E1183,'Wk no''s'!B:B,'Wk no''s'!C:C,FALSE)</f>
        <v>42</v>
      </c>
    </row>
    <row r="1184" spans="1:7" x14ac:dyDescent="0.25">
      <c r="A1184" t="s">
        <v>1830</v>
      </c>
      <c r="B1184" s="1">
        <v>45940</v>
      </c>
      <c r="C1184">
        <v>100</v>
      </c>
      <c r="D1184" t="s">
        <v>19</v>
      </c>
      <c r="E1184" s="1">
        <v>45939</v>
      </c>
      <c r="F1184" t="s">
        <v>47</v>
      </c>
      <c r="G1184" s="71">
        <f>_xlfn.XLOOKUP(E1184,'Wk no''s'!B:B,'Wk no''s'!C:C,FALSE)</f>
        <v>41</v>
      </c>
    </row>
    <row r="1185" spans="1:7" x14ac:dyDescent="0.25">
      <c r="A1185" t="s">
        <v>1831</v>
      </c>
      <c r="B1185"/>
      <c r="C1185">
        <v>100</v>
      </c>
      <c r="D1185" t="s">
        <v>50</v>
      </c>
      <c r="E1185" s="1">
        <v>45936</v>
      </c>
      <c r="F1185" t="s">
        <v>47</v>
      </c>
      <c r="G1185" s="71">
        <f>_xlfn.XLOOKUP(E1185,'Wk no''s'!B:B,'Wk no''s'!C:C,FALSE)</f>
        <v>41</v>
      </c>
    </row>
    <row r="1186" spans="1:7" x14ac:dyDescent="0.25">
      <c r="A1186" t="s">
        <v>1832</v>
      </c>
      <c r="B1186"/>
      <c r="C1186">
        <v>100</v>
      </c>
      <c r="D1186" t="s">
        <v>19</v>
      </c>
      <c r="E1186" s="1">
        <v>45940</v>
      </c>
      <c r="F1186" t="s">
        <v>47</v>
      </c>
      <c r="G1186" s="71">
        <f>_xlfn.XLOOKUP(E1186,'Wk no''s'!B:B,'Wk no''s'!C:C,FALSE)</f>
        <v>41</v>
      </c>
    </row>
    <row r="1187" spans="1:7" x14ac:dyDescent="0.25">
      <c r="A1187" t="s">
        <v>1833</v>
      </c>
      <c r="B1187"/>
      <c r="C1187">
        <v>100</v>
      </c>
      <c r="D1187" t="s">
        <v>50</v>
      </c>
      <c r="E1187" s="1">
        <v>45939</v>
      </c>
      <c r="F1187" t="s">
        <v>47</v>
      </c>
      <c r="G1187" s="71">
        <f>_xlfn.XLOOKUP(E1187,'Wk no''s'!B:B,'Wk no''s'!C:C,FALSE)</f>
        <v>41</v>
      </c>
    </row>
    <row r="1188" spans="1:7" x14ac:dyDescent="0.25">
      <c r="A1188" t="s">
        <v>1834</v>
      </c>
      <c r="B1188"/>
      <c r="C1188">
        <v>100</v>
      </c>
      <c r="D1188" t="s">
        <v>19</v>
      </c>
      <c r="E1188" s="1">
        <v>45939</v>
      </c>
      <c r="F1188" t="s">
        <v>11</v>
      </c>
      <c r="G1188" s="71">
        <f>_xlfn.XLOOKUP(E1188,'Wk no''s'!B:B,'Wk no''s'!C:C,FALSE)</f>
        <v>41</v>
      </c>
    </row>
    <row r="1189" spans="1:7" x14ac:dyDescent="0.25">
      <c r="A1189" t="s">
        <v>1835</v>
      </c>
      <c r="B1189" s="1">
        <v>45940</v>
      </c>
      <c r="C1189">
        <v>100</v>
      </c>
      <c r="D1189" t="s">
        <v>50</v>
      </c>
      <c r="E1189" s="1">
        <v>45939</v>
      </c>
      <c r="F1189" t="s">
        <v>11</v>
      </c>
      <c r="G1189" s="71">
        <f>_xlfn.XLOOKUP(E1189,'Wk no''s'!B:B,'Wk no''s'!C:C,FALSE)</f>
        <v>41</v>
      </c>
    </row>
    <row r="1190" spans="1:7" x14ac:dyDescent="0.25">
      <c r="A1190" t="s">
        <v>1836</v>
      </c>
      <c r="B1190" s="1">
        <v>45939</v>
      </c>
      <c r="C1190">
        <v>100</v>
      </c>
      <c r="D1190" t="s">
        <v>50</v>
      </c>
      <c r="E1190" s="1">
        <v>45939</v>
      </c>
      <c r="F1190" t="s">
        <v>11</v>
      </c>
      <c r="G1190" s="71">
        <f>_xlfn.XLOOKUP(E1190,'Wk no''s'!B:B,'Wk no''s'!C:C,FALSE)</f>
        <v>41</v>
      </c>
    </row>
    <row r="1191" spans="1:7" x14ac:dyDescent="0.25">
      <c r="A1191" t="s">
        <v>1837</v>
      </c>
      <c r="B1191" s="1">
        <v>45938</v>
      </c>
      <c r="C1191">
        <v>0</v>
      </c>
      <c r="D1191" t="s">
        <v>19</v>
      </c>
      <c r="E1191" s="1">
        <v>45940</v>
      </c>
      <c r="F1191" t="s">
        <v>72</v>
      </c>
      <c r="G1191" s="71">
        <f>_xlfn.XLOOKUP(E1191,'Wk no''s'!B:B,'Wk no''s'!C:C,FALSE)</f>
        <v>41</v>
      </c>
    </row>
    <row r="1192" spans="1:7" x14ac:dyDescent="0.25">
      <c r="A1192" t="s">
        <v>1838</v>
      </c>
      <c r="B1192" s="1">
        <v>45940</v>
      </c>
      <c r="C1192">
        <v>100</v>
      </c>
      <c r="D1192" t="s">
        <v>19</v>
      </c>
      <c r="E1192" s="1">
        <v>45939</v>
      </c>
      <c r="F1192" t="s">
        <v>72</v>
      </c>
      <c r="G1192" s="71">
        <f>_xlfn.XLOOKUP(E1192,'Wk no''s'!B:B,'Wk no''s'!C:C,FALSE)</f>
        <v>41</v>
      </c>
    </row>
    <row r="1193" spans="1:7" x14ac:dyDescent="0.25">
      <c r="A1193" t="s">
        <v>1839</v>
      </c>
      <c r="B1193" s="1">
        <v>45936</v>
      </c>
      <c r="C1193">
        <v>100</v>
      </c>
      <c r="D1193" t="s">
        <v>19</v>
      </c>
      <c r="E1193" s="1">
        <v>45936</v>
      </c>
      <c r="F1193" t="s">
        <v>72</v>
      </c>
      <c r="G1193" s="71">
        <f>_xlfn.XLOOKUP(E1193,'Wk no''s'!B:B,'Wk no''s'!C:C,FALSE)</f>
        <v>41</v>
      </c>
    </row>
    <row r="1194" spans="1:7" x14ac:dyDescent="0.25">
      <c r="A1194" t="s">
        <v>1840</v>
      </c>
      <c r="B1194" s="1">
        <v>45946</v>
      </c>
      <c r="C1194">
        <v>100</v>
      </c>
      <c r="D1194" t="s">
        <v>19</v>
      </c>
      <c r="E1194" s="1">
        <v>45940</v>
      </c>
      <c r="F1194" t="s">
        <v>72</v>
      </c>
      <c r="G1194" s="71">
        <f>_xlfn.XLOOKUP(E1194,'Wk no''s'!B:B,'Wk no''s'!C:C,FALSE)</f>
        <v>41</v>
      </c>
    </row>
    <row r="1195" spans="1:7" x14ac:dyDescent="0.25">
      <c r="A1195" t="s">
        <v>1841</v>
      </c>
      <c r="B1195"/>
      <c r="C1195">
        <v>100</v>
      </c>
      <c r="D1195" t="s">
        <v>19</v>
      </c>
      <c r="E1195" s="1">
        <v>45939</v>
      </c>
      <c r="F1195" t="s">
        <v>72</v>
      </c>
      <c r="G1195" s="71">
        <f>_xlfn.XLOOKUP(E1195,'Wk no''s'!B:B,'Wk no''s'!C:C,FALSE)</f>
        <v>41</v>
      </c>
    </row>
    <row r="1196" spans="1:7" x14ac:dyDescent="0.25">
      <c r="A1196" t="s">
        <v>1854</v>
      </c>
      <c r="B1196" s="1">
        <v>45937</v>
      </c>
      <c r="C1196">
        <v>0</v>
      </c>
      <c r="D1196" t="s">
        <v>19</v>
      </c>
      <c r="E1196" s="1">
        <v>45946</v>
      </c>
      <c r="F1196" t="s">
        <v>16</v>
      </c>
      <c r="G1196" s="71">
        <f>_xlfn.XLOOKUP(E1196,'Wk no''s'!B:B,'Wk no''s'!C:C,FALSE)</f>
        <v>42</v>
      </c>
    </row>
    <row r="1197" spans="1:7" x14ac:dyDescent="0.25">
      <c r="A1197" t="s">
        <v>1855</v>
      </c>
      <c r="B1197" s="1">
        <v>45946</v>
      </c>
      <c r="C1197">
        <v>0</v>
      </c>
      <c r="D1197" t="s">
        <v>12</v>
      </c>
      <c r="E1197" s="1">
        <v>45947</v>
      </c>
      <c r="F1197" t="s">
        <v>16</v>
      </c>
      <c r="G1197" s="71">
        <f>_xlfn.XLOOKUP(E1197,'Wk no''s'!B:B,'Wk no''s'!C:C,FALSE)</f>
        <v>42</v>
      </c>
    </row>
    <row r="1198" spans="1:7" x14ac:dyDescent="0.25">
      <c r="A1198" t="s">
        <v>1856</v>
      </c>
      <c r="B1198" s="1">
        <v>45947</v>
      </c>
      <c r="C1198">
        <v>100</v>
      </c>
      <c r="D1198" t="s">
        <v>19</v>
      </c>
      <c r="E1198" s="1">
        <v>45947</v>
      </c>
      <c r="F1198" t="s">
        <v>16</v>
      </c>
      <c r="G1198" s="71">
        <f>_xlfn.XLOOKUP(E1198,'Wk no''s'!B:B,'Wk no''s'!C:C,FALSE)</f>
        <v>42</v>
      </c>
    </row>
    <row r="1199" spans="1:7" x14ac:dyDescent="0.25">
      <c r="A1199" t="s">
        <v>1857</v>
      </c>
      <c r="B1199" s="1">
        <v>45943</v>
      </c>
      <c r="C1199">
        <v>100</v>
      </c>
      <c r="D1199" t="s">
        <v>19</v>
      </c>
      <c r="E1199" s="1">
        <v>45943</v>
      </c>
      <c r="F1199" t="s">
        <v>16</v>
      </c>
      <c r="G1199" s="71">
        <f>_xlfn.XLOOKUP(E1199,'Wk no''s'!B:B,'Wk no''s'!C:C,FALSE)</f>
        <v>42</v>
      </c>
    </row>
    <row r="1200" spans="1:7" x14ac:dyDescent="0.25">
      <c r="A1200" t="s">
        <v>1858</v>
      </c>
      <c r="B1200" s="1">
        <v>45945</v>
      </c>
      <c r="C1200">
        <v>100</v>
      </c>
      <c r="D1200" t="s">
        <v>19</v>
      </c>
      <c r="E1200" s="1">
        <v>45945</v>
      </c>
      <c r="F1200" t="s">
        <v>16</v>
      </c>
      <c r="G1200" s="71">
        <f>_xlfn.XLOOKUP(E1200,'Wk no''s'!B:B,'Wk no''s'!C:C,FALSE)</f>
        <v>42</v>
      </c>
    </row>
    <row r="1201" spans="1:7" x14ac:dyDescent="0.25">
      <c r="A1201" t="s">
        <v>1859</v>
      </c>
      <c r="B1201" s="1">
        <v>45946</v>
      </c>
      <c r="C1201">
        <v>100</v>
      </c>
      <c r="D1201" t="s">
        <v>19</v>
      </c>
      <c r="E1201" s="1">
        <v>45943</v>
      </c>
      <c r="F1201" t="s">
        <v>16</v>
      </c>
      <c r="G1201" s="71">
        <f>_xlfn.XLOOKUP(E1201,'Wk no''s'!B:B,'Wk no''s'!C:C,FALSE)</f>
        <v>42</v>
      </c>
    </row>
    <row r="1202" spans="1:7" x14ac:dyDescent="0.25">
      <c r="A1202" t="s">
        <v>1860</v>
      </c>
      <c r="B1202" s="1">
        <v>45944</v>
      </c>
      <c r="C1202">
        <v>100</v>
      </c>
      <c r="D1202" t="s">
        <v>12</v>
      </c>
      <c r="E1202" s="1">
        <v>45944</v>
      </c>
      <c r="F1202" t="s">
        <v>16</v>
      </c>
      <c r="G1202" s="71">
        <f>_xlfn.XLOOKUP(E1202,'Wk no''s'!B:B,'Wk no''s'!C:C,FALSE)</f>
        <v>42</v>
      </c>
    </row>
    <row r="1203" spans="1:7" x14ac:dyDescent="0.25">
      <c r="A1203" t="s">
        <v>1861</v>
      </c>
      <c r="B1203" s="1">
        <v>45947</v>
      </c>
      <c r="C1203">
        <v>100</v>
      </c>
      <c r="D1203" t="s">
        <v>19</v>
      </c>
      <c r="E1203" s="1">
        <v>45947</v>
      </c>
      <c r="F1203" t="s">
        <v>16</v>
      </c>
      <c r="G1203" s="71">
        <f>_xlfn.XLOOKUP(E1203,'Wk no''s'!B:B,'Wk no''s'!C:C,FALSE)</f>
        <v>42</v>
      </c>
    </row>
    <row r="1204" spans="1:7" x14ac:dyDescent="0.25">
      <c r="A1204" t="s">
        <v>1862</v>
      </c>
      <c r="B1204" s="1">
        <v>45946</v>
      </c>
      <c r="C1204">
        <v>100</v>
      </c>
      <c r="D1204" t="s">
        <v>19</v>
      </c>
      <c r="E1204" s="1">
        <v>45946</v>
      </c>
      <c r="F1204" t="s">
        <v>16</v>
      </c>
      <c r="G1204" s="71">
        <f>_xlfn.XLOOKUP(E1204,'Wk no''s'!B:B,'Wk no''s'!C:C,FALSE)</f>
        <v>42</v>
      </c>
    </row>
    <row r="1205" spans="1:7" x14ac:dyDescent="0.25">
      <c r="A1205" t="s">
        <v>1863</v>
      </c>
      <c r="B1205" s="1">
        <v>45947</v>
      </c>
      <c r="C1205">
        <v>100</v>
      </c>
      <c r="D1205" t="s">
        <v>50</v>
      </c>
      <c r="E1205" s="1">
        <v>45947</v>
      </c>
      <c r="F1205" t="s">
        <v>47</v>
      </c>
      <c r="G1205" s="71">
        <f>_xlfn.XLOOKUP(E1205,'Wk no''s'!B:B,'Wk no''s'!C:C,FALSE)</f>
        <v>42</v>
      </c>
    </row>
    <row r="1206" spans="1:7" x14ac:dyDescent="0.25">
      <c r="A1206" t="s">
        <v>1864</v>
      </c>
      <c r="B1206"/>
      <c r="C1206">
        <v>100</v>
      </c>
      <c r="D1206" t="s">
        <v>50</v>
      </c>
      <c r="E1206" s="1">
        <v>45943</v>
      </c>
      <c r="F1206" t="s">
        <v>47</v>
      </c>
      <c r="G1206" s="71">
        <f>_xlfn.XLOOKUP(E1206,'Wk no''s'!B:B,'Wk no''s'!C:C,FALSE)</f>
        <v>42</v>
      </c>
    </row>
    <row r="1207" spans="1:7" x14ac:dyDescent="0.25">
      <c r="A1207" t="s">
        <v>1865</v>
      </c>
      <c r="B1207" s="1">
        <v>45945</v>
      </c>
      <c r="C1207">
        <v>100</v>
      </c>
      <c r="D1207" t="s">
        <v>19</v>
      </c>
      <c r="E1207" s="1">
        <v>45945</v>
      </c>
      <c r="F1207" t="s">
        <v>11</v>
      </c>
      <c r="G1207" s="71">
        <f>_xlfn.XLOOKUP(E1207,'Wk no''s'!B:B,'Wk no''s'!C:C,FALSE)</f>
        <v>42</v>
      </c>
    </row>
    <row r="1208" spans="1:7" x14ac:dyDescent="0.25">
      <c r="A1208" t="s">
        <v>1866</v>
      </c>
      <c r="B1208" s="1">
        <v>45945</v>
      </c>
      <c r="C1208">
        <v>100</v>
      </c>
      <c r="D1208" t="s">
        <v>50</v>
      </c>
      <c r="E1208" s="1">
        <v>45945</v>
      </c>
      <c r="F1208" t="s">
        <v>11</v>
      </c>
      <c r="G1208" s="71">
        <f>_xlfn.XLOOKUP(E1208,'Wk no''s'!B:B,'Wk no''s'!C:C,FALSE)</f>
        <v>42</v>
      </c>
    </row>
    <row r="1209" spans="1:7" x14ac:dyDescent="0.25">
      <c r="A1209" t="s">
        <v>1867</v>
      </c>
      <c r="B1209" s="1">
        <v>45943</v>
      </c>
      <c r="C1209">
        <v>0</v>
      </c>
      <c r="D1209" t="s">
        <v>19</v>
      </c>
      <c r="E1209" s="1">
        <v>45944</v>
      </c>
      <c r="F1209" t="s">
        <v>72</v>
      </c>
      <c r="G1209" s="71">
        <f>_xlfn.XLOOKUP(E1209,'Wk no''s'!B:B,'Wk no''s'!C:C,FALSE)</f>
        <v>42</v>
      </c>
    </row>
    <row r="1210" spans="1:7" x14ac:dyDescent="0.25">
      <c r="A1210" t="s">
        <v>1868</v>
      </c>
      <c r="B1210" s="1">
        <v>45945</v>
      </c>
      <c r="C1210">
        <v>0</v>
      </c>
      <c r="D1210" t="s">
        <v>19</v>
      </c>
      <c r="E1210" s="1">
        <v>45946</v>
      </c>
      <c r="F1210" t="s">
        <v>72</v>
      </c>
      <c r="G1210" s="71">
        <f>_xlfn.XLOOKUP(E1210,'Wk no''s'!B:B,'Wk no''s'!C:C,FALSE)</f>
        <v>42</v>
      </c>
    </row>
    <row r="1211" spans="1:7" x14ac:dyDescent="0.25">
      <c r="A1211" t="s">
        <v>1869</v>
      </c>
      <c r="B1211" s="1">
        <v>45943</v>
      </c>
      <c r="C1211">
        <v>100</v>
      </c>
      <c r="D1211" t="s">
        <v>19</v>
      </c>
      <c r="E1211" s="1">
        <v>45943</v>
      </c>
      <c r="F1211" t="s">
        <v>72</v>
      </c>
      <c r="G1211" s="71">
        <f>_xlfn.XLOOKUP(E1211,'Wk no''s'!B:B,'Wk no''s'!C:C,FALSE)</f>
        <v>42</v>
      </c>
    </row>
    <row r="1212" spans="1:7" x14ac:dyDescent="0.25">
      <c r="A1212" t="s">
        <v>1870</v>
      </c>
      <c r="B1212" s="1">
        <v>45945</v>
      </c>
      <c r="C1212">
        <v>100</v>
      </c>
      <c r="D1212" t="s">
        <v>19</v>
      </c>
      <c r="E1212" s="1">
        <v>45945</v>
      </c>
      <c r="F1212" t="s">
        <v>72</v>
      </c>
      <c r="G1212" s="71">
        <f>_xlfn.XLOOKUP(E1212,'Wk no''s'!B:B,'Wk no''s'!C:C,FALSE)</f>
        <v>42</v>
      </c>
    </row>
    <row r="1213" spans="1:7" x14ac:dyDescent="0.25">
      <c r="A1213" t="s">
        <v>1871</v>
      </c>
      <c r="B1213"/>
      <c r="C1213">
        <v>100</v>
      </c>
      <c r="D1213" t="s">
        <v>19</v>
      </c>
      <c r="E1213" s="1">
        <v>45943</v>
      </c>
      <c r="F1213" t="s">
        <v>72</v>
      </c>
      <c r="G1213" s="71">
        <f>_xlfn.XLOOKUP(E1213,'Wk no''s'!B:B,'Wk no''s'!C:C,FALSE)</f>
        <v>42</v>
      </c>
    </row>
    <row r="1214" spans="1:7" x14ac:dyDescent="0.25">
      <c r="A1214" t="s">
        <v>1872</v>
      </c>
      <c r="B1214" s="1">
        <v>45943</v>
      </c>
      <c r="C1214">
        <v>100</v>
      </c>
      <c r="D1214" t="s">
        <v>19</v>
      </c>
      <c r="E1214" s="1">
        <v>45943</v>
      </c>
      <c r="F1214" t="s">
        <v>72</v>
      </c>
      <c r="G1214" s="71">
        <f>_xlfn.XLOOKUP(E1214,'Wk no''s'!B:B,'Wk no''s'!C:C,FALSE)</f>
        <v>42</v>
      </c>
    </row>
    <row r="1215" spans="1:7" x14ac:dyDescent="0.25">
      <c r="A1215" t="s">
        <v>1873</v>
      </c>
      <c r="B1215" s="1">
        <v>45945</v>
      </c>
      <c r="C1215">
        <v>100</v>
      </c>
      <c r="D1215" t="s">
        <v>50</v>
      </c>
      <c r="E1215" s="1">
        <v>45945</v>
      </c>
      <c r="F1215" t="s">
        <v>72</v>
      </c>
      <c r="G1215" s="71">
        <f>_xlfn.XLOOKUP(E1215,'Wk no''s'!B:B,'Wk no''s'!C:C,FALSE)</f>
        <v>42</v>
      </c>
    </row>
    <row r="1216" spans="1:7" x14ac:dyDescent="0.25">
      <c r="B1216"/>
      <c r="E1216"/>
    </row>
    <row r="1217" spans="2:5" x14ac:dyDescent="0.25">
      <c r="B1217"/>
      <c r="E1217"/>
    </row>
    <row r="1218" spans="2:5" x14ac:dyDescent="0.25">
      <c r="B1218"/>
      <c r="E1218"/>
    </row>
    <row r="1219" spans="2:5" x14ac:dyDescent="0.25">
      <c r="B1219"/>
      <c r="E1219"/>
    </row>
    <row r="1220" spans="2:5" x14ac:dyDescent="0.25">
      <c r="B1220"/>
      <c r="E1220"/>
    </row>
    <row r="1221" spans="2:5" x14ac:dyDescent="0.25">
      <c r="B1221"/>
      <c r="E1221"/>
    </row>
    <row r="1222" spans="2:5" x14ac:dyDescent="0.25">
      <c r="B1222"/>
      <c r="E1222"/>
    </row>
    <row r="1223" spans="2:5" x14ac:dyDescent="0.25">
      <c r="B1223"/>
      <c r="E1223"/>
    </row>
    <row r="1224" spans="2:5" x14ac:dyDescent="0.25">
      <c r="B1224"/>
      <c r="E1224"/>
    </row>
    <row r="1225" spans="2:5" x14ac:dyDescent="0.25">
      <c r="B1225"/>
      <c r="E1225"/>
    </row>
    <row r="1226" spans="2:5" x14ac:dyDescent="0.25">
      <c r="B1226"/>
      <c r="E1226"/>
    </row>
    <row r="1227" spans="2:5" x14ac:dyDescent="0.25">
      <c r="B1227"/>
      <c r="E1227"/>
    </row>
    <row r="1228" spans="2:5" x14ac:dyDescent="0.25">
      <c r="B1228"/>
      <c r="E1228"/>
    </row>
    <row r="1229" spans="2:5" x14ac:dyDescent="0.25">
      <c r="B1229"/>
      <c r="E1229"/>
    </row>
    <row r="1230" spans="2:5" x14ac:dyDescent="0.25">
      <c r="B1230"/>
      <c r="E1230"/>
    </row>
    <row r="1231" spans="2:5" x14ac:dyDescent="0.25">
      <c r="B1231"/>
      <c r="E1231"/>
    </row>
    <row r="1232" spans="2:5" x14ac:dyDescent="0.25">
      <c r="B1232"/>
      <c r="E1232"/>
    </row>
    <row r="1233" spans="2:5" x14ac:dyDescent="0.25">
      <c r="B1233"/>
      <c r="E1233"/>
    </row>
    <row r="1234" spans="2:5" x14ac:dyDescent="0.25">
      <c r="B1234"/>
      <c r="E1234"/>
    </row>
    <row r="1235" spans="2:5" x14ac:dyDescent="0.25">
      <c r="B1235"/>
      <c r="E1235"/>
    </row>
    <row r="1236" spans="2:5" x14ac:dyDescent="0.25">
      <c r="B1236"/>
      <c r="E1236"/>
    </row>
    <row r="1237" spans="2:5" x14ac:dyDescent="0.25">
      <c r="B1237"/>
      <c r="E1237"/>
    </row>
    <row r="1238" spans="2:5" x14ac:dyDescent="0.25">
      <c r="B1238"/>
      <c r="E1238"/>
    </row>
    <row r="1239" spans="2:5" x14ac:dyDescent="0.25">
      <c r="B1239"/>
      <c r="E1239"/>
    </row>
    <row r="1240" spans="2:5" x14ac:dyDescent="0.25">
      <c r="B1240"/>
      <c r="E1240"/>
    </row>
    <row r="1241" spans="2:5" x14ac:dyDescent="0.25">
      <c r="B1241"/>
      <c r="E1241"/>
    </row>
    <row r="1242" spans="2:5" x14ac:dyDescent="0.25">
      <c r="B1242"/>
      <c r="E1242"/>
    </row>
    <row r="1243" spans="2:5" x14ac:dyDescent="0.25">
      <c r="B1243"/>
      <c r="E1243"/>
    </row>
    <row r="1244" spans="2:5" x14ac:dyDescent="0.25">
      <c r="B1244"/>
      <c r="E1244"/>
    </row>
    <row r="1245" spans="2:5" x14ac:dyDescent="0.25">
      <c r="B1245"/>
      <c r="E1245"/>
    </row>
    <row r="1246" spans="2:5" x14ac:dyDescent="0.25">
      <c r="B1246"/>
      <c r="E1246"/>
    </row>
    <row r="1247" spans="2:5" x14ac:dyDescent="0.25">
      <c r="B1247"/>
      <c r="E1247"/>
    </row>
    <row r="1248" spans="2:5" x14ac:dyDescent="0.25">
      <c r="B1248"/>
      <c r="E1248"/>
    </row>
    <row r="1249" spans="2:5" x14ac:dyDescent="0.25">
      <c r="B1249"/>
      <c r="E1249"/>
    </row>
    <row r="1250" spans="2:5" x14ac:dyDescent="0.25">
      <c r="B1250"/>
      <c r="E1250"/>
    </row>
    <row r="1251" spans="2:5" x14ac:dyDescent="0.25">
      <c r="B1251"/>
      <c r="E1251"/>
    </row>
    <row r="1252" spans="2:5" x14ac:dyDescent="0.25">
      <c r="B1252"/>
      <c r="E1252"/>
    </row>
    <row r="1253" spans="2:5" x14ac:dyDescent="0.25">
      <c r="B1253"/>
      <c r="E1253"/>
    </row>
    <row r="1254" spans="2:5" x14ac:dyDescent="0.25">
      <c r="B1254"/>
      <c r="E1254"/>
    </row>
    <row r="1255" spans="2:5" x14ac:dyDescent="0.25">
      <c r="B1255"/>
      <c r="E1255"/>
    </row>
    <row r="1256" spans="2:5" x14ac:dyDescent="0.25">
      <c r="B1256"/>
      <c r="E1256"/>
    </row>
    <row r="1257" spans="2:5" x14ac:dyDescent="0.25">
      <c r="B1257"/>
      <c r="E1257"/>
    </row>
    <row r="1258" spans="2:5" x14ac:dyDescent="0.25">
      <c r="B1258"/>
      <c r="E1258"/>
    </row>
    <row r="1259" spans="2:5" x14ac:dyDescent="0.25">
      <c r="B1259"/>
      <c r="E1259"/>
    </row>
    <row r="1260" spans="2:5" x14ac:dyDescent="0.25">
      <c r="B1260"/>
      <c r="E1260"/>
    </row>
    <row r="1261" spans="2:5" x14ac:dyDescent="0.25">
      <c r="B1261"/>
      <c r="E1261"/>
    </row>
    <row r="1262" spans="2:5" x14ac:dyDescent="0.25">
      <c r="B1262"/>
      <c r="E1262"/>
    </row>
    <row r="1263" spans="2:5" x14ac:dyDescent="0.25">
      <c r="B1263"/>
      <c r="E1263"/>
    </row>
    <row r="1264" spans="2:5" x14ac:dyDescent="0.25">
      <c r="B1264"/>
      <c r="E1264"/>
    </row>
    <row r="1265" spans="2:5" x14ac:dyDescent="0.25">
      <c r="B1265"/>
      <c r="E1265"/>
    </row>
    <row r="1266" spans="2:5" x14ac:dyDescent="0.25">
      <c r="B1266"/>
      <c r="E1266"/>
    </row>
    <row r="1267" spans="2:5" x14ac:dyDescent="0.25">
      <c r="B1267"/>
      <c r="E1267"/>
    </row>
    <row r="1268" spans="2:5" x14ac:dyDescent="0.25">
      <c r="B1268"/>
      <c r="E1268"/>
    </row>
    <row r="1269" spans="2:5" x14ac:dyDescent="0.25">
      <c r="B1269"/>
      <c r="E1269"/>
    </row>
    <row r="1270" spans="2:5" x14ac:dyDescent="0.25">
      <c r="B1270"/>
      <c r="E1270"/>
    </row>
    <row r="1271" spans="2:5" x14ac:dyDescent="0.25">
      <c r="B1271"/>
      <c r="E1271"/>
    </row>
    <row r="1272" spans="2:5" x14ac:dyDescent="0.25">
      <c r="B1272"/>
      <c r="E1272"/>
    </row>
    <row r="1273" spans="2:5" x14ac:dyDescent="0.25">
      <c r="B1273"/>
      <c r="E1273"/>
    </row>
    <row r="1274" spans="2:5" x14ac:dyDescent="0.25">
      <c r="B1274"/>
      <c r="E1274"/>
    </row>
    <row r="1275" spans="2:5" x14ac:dyDescent="0.25">
      <c r="B1275"/>
      <c r="E1275"/>
    </row>
    <row r="1276" spans="2:5" x14ac:dyDescent="0.25">
      <c r="B1276"/>
      <c r="E1276"/>
    </row>
    <row r="1277" spans="2:5" x14ac:dyDescent="0.25">
      <c r="B1277"/>
      <c r="E1277"/>
    </row>
    <row r="1278" spans="2:5" x14ac:dyDescent="0.25">
      <c r="B1278"/>
      <c r="E1278"/>
    </row>
    <row r="1279" spans="2:5" x14ac:dyDescent="0.25">
      <c r="B1279"/>
      <c r="E1279"/>
    </row>
    <row r="1280" spans="2:5" x14ac:dyDescent="0.25">
      <c r="B1280"/>
      <c r="E1280"/>
    </row>
    <row r="1281" spans="2:5" x14ac:dyDescent="0.25">
      <c r="B1281"/>
      <c r="E1281"/>
    </row>
    <row r="1282" spans="2:5" x14ac:dyDescent="0.25">
      <c r="B1282"/>
      <c r="E1282"/>
    </row>
    <row r="1283" spans="2:5" x14ac:dyDescent="0.25">
      <c r="B1283"/>
      <c r="E1283"/>
    </row>
    <row r="1284" spans="2:5" x14ac:dyDescent="0.25">
      <c r="B1284"/>
      <c r="E1284"/>
    </row>
    <row r="1285" spans="2:5" x14ac:dyDescent="0.25">
      <c r="B1285"/>
      <c r="E1285"/>
    </row>
    <row r="1286" spans="2:5" x14ac:dyDescent="0.25">
      <c r="B1286"/>
      <c r="E1286"/>
    </row>
    <row r="1287" spans="2:5" x14ac:dyDescent="0.25">
      <c r="B1287"/>
      <c r="E1287"/>
    </row>
    <row r="1288" spans="2:5" x14ac:dyDescent="0.25">
      <c r="B1288"/>
      <c r="E1288"/>
    </row>
    <row r="1289" spans="2:5" x14ac:dyDescent="0.25">
      <c r="B1289"/>
      <c r="E1289"/>
    </row>
    <row r="1290" spans="2:5" x14ac:dyDescent="0.25">
      <c r="B1290"/>
      <c r="E1290"/>
    </row>
    <row r="1291" spans="2:5" x14ac:dyDescent="0.25">
      <c r="B1291"/>
      <c r="E1291"/>
    </row>
    <row r="1292" spans="2:5" x14ac:dyDescent="0.25">
      <c r="B1292"/>
      <c r="E1292"/>
    </row>
    <row r="1293" spans="2:5" x14ac:dyDescent="0.25">
      <c r="B1293"/>
      <c r="E1293"/>
    </row>
    <row r="1294" spans="2:5" x14ac:dyDescent="0.25">
      <c r="B1294"/>
      <c r="E1294"/>
    </row>
    <row r="1295" spans="2:5" x14ac:dyDescent="0.25">
      <c r="B1295"/>
      <c r="E1295"/>
    </row>
    <row r="1296" spans="2:5" x14ac:dyDescent="0.25">
      <c r="B1296"/>
      <c r="E1296"/>
    </row>
    <row r="1297" spans="2:5" x14ac:dyDescent="0.25">
      <c r="B1297"/>
      <c r="E1297"/>
    </row>
    <row r="1298" spans="2:5" x14ac:dyDescent="0.25">
      <c r="B1298"/>
      <c r="E1298"/>
    </row>
    <row r="1299" spans="2:5" x14ac:dyDescent="0.25">
      <c r="B1299"/>
      <c r="E1299"/>
    </row>
    <row r="1300" spans="2:5" x14ac:dyDescent="0.25">
      <c r="B1300"/>
      <c r="E1300"/>
    </row>
    <row r="1301" spans="2:5" x14ac:dyDescent="0.25">
      <c r="B1301"/>
      <c r="E1301"/>
    </row>
    <row r="1302" spans="2:5" x14ac:dyDescent="0.25">
      <c r="B1302"/>
      <c r="E1302"/>
    </row>
    <row r="1303" spans="2:5" x14ac:dyDescent="0.25">
      <c r="B1303"/>
      <c r="E1303"/>
    </row>
    <row r="1304" spans="2:5" x14ac:dyDescent="0.25">
      <c r="B1304"/>
      <c r="E1304"/>
    </row>
    <row r="1305" spans="2:5" x14ac:dyDescent="0.25">
      <c r="B1305"/>
      <c r="E1305"/>
    </row>
    <row r="1306" spans="2:5" x14ac:dyDescent="0.25">
      <c r="B1306"/>
      <c r="E1306"/>
    </row>
    <row r="1307" spans="2:5" x14ac:dyDescent="0.25">
      <c r="B1307"/>
      <c r="E1307"/>
    </row>
    <row r="1308" spans="2:5" x14ac:dyDescent="0.25">
      <c r="B1308"/>
      <c r="E1308"/>
    </row>
    <row r="1309" spans="2:5" x14ac:dyDescent="0.25">
      <c r="B1309"/>
      <c r="E1309"/>
    </row>
    <row r="1310" spans="2:5" x14ac:dyDescent="0.25">
      <c r="B1310"/>
      <c r="E1310"/>
    </row>
    <row r="1311" spans="2:5" x14ac:dyDescent="0.25">
      <c r="B1311"/>
      <c r="E1311"/>
    </row>
    <row r="1312" spans="2:5" x14ac:dyDescent="0.25">
      <c r="B1312"/>
      <c r="E1312"/>
    </row>
    <row r="1313" spans="2:5" x14ac:dyDescent="0.25">
      <c r="B1313"/>
      <c r="E1313"/>
    </row>
    <row r="1314" spans="2:5" x14ac:dyDescent="0.25">
      <c r="B1314"/>
      <c r="E1314"/>
    </row>
    <row r="1315" spans="2:5" x14ac:dyDescent="0.25">
      <c r="B1315"/>
      <c r="E1315"/>
    </row>
    <row r="1316" spans="2:5" x14ac:dyDescent="0.25">
      <c r="B1316"/>
      <c r="E1316"/>
    </row>
    <row r="1317" spans="2:5" x14ac:dyDescent="0.25">
      <c r="B1317"/>
      <c r="E1317"/>
    </row>
    <row r="1318" spans="2:5" x14ac:dyDescent="0.25">
      <c r="B1318"/>
      <c r="E1318"/>
    </row>
    <row r="1319" spans="2:5" x14ac:dyDescent="0.25">
      <c r="B1319"/>
      <c r="E1319"/>
    </row>
    <row r="1320" spans="2:5" x14ac:dyDescent="0.25">
      <c r="B1320"/>
      <c r="E1320"/>
    </row>
    <row r="1321" spans="2:5" x14ac:dyDescent="0.25">
      <c r="B1321"/>
      <c r="E1321"/>
    </row>
    <row r="1322" spans="2:5" x14ac:dyDescent="0.25">
      <c r="B1322"/>
      <c r="E1322"/>
    </row>
    <row r="1323" spans="2:5" x14ac:dyDescent="0.25">
      <c r="B1323"/>
      <c r="E1323"/>
    </row>
    <row r="1324" spans="2:5" x14ac:dyDescent="0.25">
      <c r="B1324"/>
      <c r="E1324"/>
    </row>
    <row r="1325" spans="2:5" x14ac:dyDescent="0.25">
      <c r="B1325"/>
      <c r="E1325"/>
    </row>
    <row r="1326" spans="2:5" x14ac:dyDescent="0.25">
      <c r="B1326"/>
      <c r="E1326"/>
    </row>
    <row r="1327" spans="2:5" x14ac:dyDescent="0.25">
      <c r="B1327"/>
      <c r="E1327"/>
    </row>
    <row r="1328" spans="2:5" x14ac:dyDescent="0.25">
      <c r="B1328"/>
      <c r="E1328"/>
    </row>
    <row r="1329" spans="2:5" x14ac:dyDescent="0.25">
      <c r="B1329"/>
      <c r="E1329"/>
    </row>
    <row r="1330" spans="2:5" x14ac:dyDescent="0.25">
      <c r="B1330"/>
      <c r="E1330"/>
    </row>
    <row r="1331" spans="2:5" x14ac:dyDescent="0.25">
      <c r="B1331"/>
      <c r="E1331"/>
    </row>
    <row r="1332" spans="2:5" x14ac:dyDescent="0.25">
      <c r="B1332"/>
      <c r="E1332"/>
    </row>
    <row r="1333" spans="2:5" x14ac:dyDescent="0.25">
      <c r="B1333"/>
      <c r="E1333"/>
    </row>
    <row r="1334" spans="2:5" x14ac:dyDescent="0.25">
      <c r="B1334"/>
      <c r="E1334"/>
    </row>
    <row r="1335" spans="2:5" x14ac:dyDescent="0.25">
      <c r="B1335"/>
      <c r="E1335"/>
    </row>
    <row r="1336" spans="2:5" x14ac:dyDescent="0.25">
      <c r="B1336"/>
      <c r="E1336"/>
    </row>
    <row r="1337" spans="2:5" x14ac:dyDescent="0.25">
      <c r="B1337"/>
      <c r="E1337"/>
    </row>
    <row r="1338" spans="2:5" x14ac:dyDescent="0.25">
      <c r="B1338"/>
      <c r="E1338"/>
    </row>
    <row r="1339" spans="2:5" x14ac:dyDescent="0.25">
      <c r="B1339"/>
      <c r="E1339"/>
    </row>
    <row r="1340" spans="2:5" x14ac:dyDescent="0.25">
      <c r="B1340"/>
      <c r="E1340"/>
    </row>
    <row r="1341" spans="2:5" x14ac:dyDescent="0.25">
      <c r="B1341"/>
      <c r="E1341"/>
    </row>
    <row r="1342" spans="2:5" x14ac:dyDescent="0.25">
      <c r="B1342"/>
      <c r="E1342"/>
    </row>
    <row r="1343" spans="2:5" x14ac:dyDescent="0.25">
      <c r="B1343"/>
      <c r="E1343"/>
    </row>
    <row r="1344" spans="2:5" x14ac:dyDescent="0.25">
      <c r="B1344"/>
      <c r="E1344"/>
    </row>
    <row r="1345" spans="2:5" x14ac:dyDescent="0.25">
      <c r="B1345"/>
      <c r="E1345"/>
    </row>
    <row r="1346" spans="2:5" x14ac:dyDescent="0.25">
      <c r="B1346"/>
      <c r="E1346"/>
    </row>
    <row r="1347" spans="2:5" x14ac:dyDescent="0.25">
      <c r="B1347"/>
      <c r="E1347"/>
    </row>
    <row r="1348" spans="2:5" x14ac:dyDescent="0.25">
      <c r="B1348"/>
      <c r="E1348"/>
    </row>
    <row r="1349" spans="2:5" x14ac:dyDescent="0.25">
      <c r="B1349"/>
      <c r="E1349"/>
    </row>
    <row r="1350" spans="2:5" x14ac:dyDescent="0.25">
      <c r="B1350"/>
      <c r="E1350"/>
    </row>
    <row r="1351" spans="2:5" x14ac:dyDescent="0.25">
      <c r="B1351"/>
      <c r="E1351"/>
    </row>
    <row r="1352" spans="2:5" x14ac:dyDescent="0.25">
      <c r="B1352"/>
      <c r="E1352"/>
    </row>
    <row r="1353" spans="2:5" x14ac:dyDescent="0.25">
      <c r="B1353"/>
      <c r="E1353"/>
    </row>
    <row r="1354" spans="2:5" x14ac:dyDescent="0.25">
      <c r="B1354"/>
      <c r="E1354"/>
    </row>
    <row r="1355" spans="2:5" x14ac:dyDescent="0.25">
      <c r="B1355"/>
      <c r="E1355"/>
    </row>
    <row r="1356" spans="2:5" x14ac:dyDescent="0.25">
      <c r="B1356"/>
      <c r="E1356"/>
    </row>
    <row r="1357" spans="2:5" x14ac:dyDescent="0.25">
      <c r="B1357"/>
      <c r="E1357"/>
    </row>
    <row r="1358" spans="2:5" x14ac:dyDescent="0.25">
      <c r="B1358"/>
      <c r="E1358"/>
    </row>
    <row r="1359" spans="2:5" x14ac:dyDescent="0.25">
      <c r="B1359"/>
      <c r="E1359"/>
    </row>
    <row r="1360" spans="2:5" x14ac:dyDescent="0.25">
      <c r="B1360"/>
      <c r="E1360"/>
    </row>
    <row r="1361" spans="2:5" x14ac:dyDescent="0.25">
      <c r="B1361"/>
      <c r="E1361"/>
    </row>
    <row r="1362" spans="2:5" x14ac:dyDescent="0.25">
      <c r="B1362"/>
      <c r="E1362"/>
    </row>
    <row r="1363" spans="2:5" x14ac:dyDescent="0.25">
      <c r="B1363"/>
      <c r="E1363"/>
    </row>
    <row r="1364" spans="2:5" x14ac:dyDescent="0.25">
      <c r="B1364"/>
      <c r="E1364"/>
    </row>
    <row r="1365" spans="2:5" x14ac:dyDescent="0.25">
      <c r="B1365"/>
      <c r="E1365"/>
    </row>
    <row r="1366" spans="2:5" x14ac:dyDescent="0.25">
      <c r="B1366"/>
      <c r="E1366"/>
    </row>
    <row r="1367" spans="2:5" x14ac:dyDescent="0.25">
      <c r="B1367"/>
      <c r="E1367"/>
    </row>
    <row r="1368" spans="2:5" x14ac:dyDescent="0.25">
      <c r="B1368"/>
      <c r="E1368"/>
    </row>
    <row r="1369" spans="2:5" x14ac:dyDescent="0.25">
      <c r="B1369"/>
      <c r="E1369"/>
    </row>
    <row r="1370" spans="2:5" x14ac:dyDescent="0.25">
      <c r="B1370"/>
      <c r="E1370"/>
    </row>
    <row r="1371" spans="2:5" x14ac:dyDescent="0.25">
      <c r="B1371"/>
      <c r="E1371"/>
    </row>
    <row r="1372" spans="2:5" x14ac:dyDescent="0.25">
      <c r="B1372"/>
      <c r="E1372"/>
    </row>
    <row r="1373" spans="2:5" x14ac:dyDescent="0.25">
      <c r="B1373"/>
      <c r="E1373"/>
    </row>
    <row r="1374" spans="2:5" x14ac:dyDescent="0.25">
      <c r="B1374"/>
      <c r="E1374"/>
    </row>
    <row r="1375" spans="2:5" x14ac:dyDescent="0.25">
      <c r="B1375"/>
      <c r="E1375"/>
    </row>
    <row r="1376" spans="2:5" x14ac:dyDescent="0.25">
      <c r="B1376"/>
      <c r="E1376"/>
    </row>
    <row r="1377" spans="2:5" x14ac:dyDescent="0.25">
      <c r="B1377"/>
      <c r="E1377"/>
    </row>
    <row r="1378" spans="2:5" x14ac:dyDescent="0.25">
      <c r="B1378"/>
      <c r="E1378"/>
    </row>
    <row r="1379" spans="2:5" x14ac:dyDescent="0.25">
      <c r="B1379"/>
      <c r="E1379"/>
    </row>
    <row r="1380" spans="2:5" x14ac:dyDescent="0.25">
      <c r="B1380"/>
      <c r="E1380"/>
    </row>
    <row r="1381" spans="2:5" x14ac:dyDescent="0.25">
      <c r="B1381"/>
      <c r="E1381"/>
    </row>
    <row r="1382" spans="2:5" x14ac:dyDescent="0.25">
      <c r="B1382"/>
      <c r="E1382"/>
    </row>
    <row r="1383" spans="2:5" x14ac:dyDescent="0.25">
      <c r="B1383"/>
      <c r="E1383"/>
    </row>
    <row r="1384" spans="2:5" x14ac:dyDescent="0.25">
      <c r="B1384"/>
      <c r="E1384"/>
    </row>
    <row r="1385" spans="2:5" x14ac:dyDescent="0.25">
      <c r="B1385"/>
      <c r="E1385"/>
    </row>
    <row r="1386" spans="2:5" x14ac:dyDescent="0.25">
      <c r="B1386"/>
      <c r="E1386"/>
    </row>
    <row r="1387" spans="2:5" x14ac:dyDescent="0.25">
      <c r="B1387"/>
      <c r="E1387"/>
    </row>
    <row r="1388" spans="2:5" x14ac:dyDescent="0.25">
      <c r="B1388"/>
      <c r="E1388"/>
    </row>
    <row r="1389" spans="2:5" x14ac:dyDescent="0.25">
      <c r="B1389"/>
      <c r="E1389"/>
    </row>
    <row r="1390" spans="2:5" x14ac:dyDescent="0.25">
      <c r="B1390"/>
      <c r="E1390"/>
    </row>
    <row r="1391" spans="2:5" x14ac:dyDescent="0.25">
      <c r="B1391"/>
      <c r="E1391"/>
    </row>
    <row r="1392" spans="2:5" x14ac:dyDescent="0.25">
      <c r="B1392"/>
      <c r="E1392"/>
    </row>
    <row r="1393" spans="2:5" x14ac:dyDescent="0.25">
      <c r="B1393"/>
      <c r="E1393"/>
    </row>
    <row r="1394" spans="2:5" x14ac:dyDescent="0.25">
      <c r="B1394"/>
      <c r="E1394"/>
    </row>
    <row r="1395" spans="2:5" x14ac:dyDescent="0.25">
      <c r="B1395"/>
      <c r="E1395"/>
    </row>
    <row r="1396" spans="2:5" x14ac:dyDescent="0.25">
      <c r="B1396"/>
      <c r="E1396"/>
    </row>
    <row r="1397" spans="2:5" x14ac:dyDescent="0.25">
      <c r="B1397"/>
      <c r="E1397"/>
    </row>
    <row r="1398" spans="2:5" x14ac:dyDescent="0.25">
      <c r="B1398"/>
      <c r="E1398"/>
    </row>
    <row r="1399" spans="2:5" x14ac:dyDescent="0.25">
      <c r="B1399"/>
      <c r="E1399"/>
    </row>
    <row r="1400" spans="2:5" x14ac:dyDescent="0.25">
      <c r="B1400"/>
      <c r="E1400"/>
    </row>
    <row r="1401" spans="2:5" x14ac:dyDescent="0.25">
      <c r="B1401"/>
      <c r="E1401"/>
    </row>
    <row r="1402" spans="2:5" x14ac:dyDescent="0.25">
      <c r="B1402"/>
      <c r="E1402"/>
    </row>
    <row r="1403" spans="2:5" x14ac:dyDescent="0.25">
      <c r="B1403"/>
      <c r="E1403"/>
    </row>
    <row r="1404" spans="2:5" x14ac:dyDescent="0.25">
      <c r="B1404"/>
      <c r="E1404"/>
    </row>
    <row r="1405" spans="2:5" x14ac:dyDescent="0.25">
      <c r="B1405"/>
      <c r="E1405"/>
    </row>
    <row r="1406" spans="2:5" x14ac:dyDescent="0.25">
      <c r="B1406"/>
      <c r="E1406"/>
    </row>
    <row r="1407" spans="2:5" x14ac:dyDescent="0.25">
      <c r="B1407"/>
      <c r="E1407"/>
    </row>
    <row r="1408" spans="2:5" x14ac:dyDescent="0.25">
      <c r="B1408"/>
      <c r="E1408"/>
    </row>
    <row r="1409" spans="2:5" x14ac:dyDescent="0.25">
      <c r="B1409"/>
      <c r="E1409"/>
    </row>
    <row r="1410" spans="2:5" x14ac:dyDescent="0.25">
      <c r="B1410"/>
      <c r="E1410"/>
    </row>
    <row r="1411" spans="2:5" x14ac:dyDescent="0.25">
      <c r="B1411"/>
      <c r="E1411"/>
    </row>
    <row r="1412" spans="2:5" x14ac:dyDescent="0.25">
      <c r="B1412"/>
      <c r="E1412"/>
    </row>
    <row r="1413" spans="2:5" x14ac:dyDescent="0.25">
      <c r="B1413"/>
      <c r="E1413"/>
    </row>
    <row r="1414" spans="2:5" x14ac:dyDescent="0.25">
      <c r="B1414"/>
      <c r="E1414"/>
    </row>
    <row r="1415" spans="2:5" x14ac:dyDescent="0.25">
      <c r="B1415"/>
      <c r="E1415"/>
    </row>
  </sheetData>
  <autoFilter ref="A1:G575" xr:uid="{231C67C0-7A01-4670-B546-CCF7822CCC8D}"/>
  <sortState xmlns:xlrd2="http://schemas.microsoft.com/office/spreadsheetml/2017/richdata2" ref="A2:F784">
    <sortCondition ref="E2:E78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7D65-216B-4E20-BAE6-DAB7C72B7E3E}">
  <sheetPr>
    <tabColor rgb="FF0070C0"/>
  </sheetPr>
  <dimension ref="A1:E366"/>
  <sheetViews>
    <sheetView topLeftCell="A149" workbookViewId="0">
      <selection activeCell="E2" sqref="E2:E366"/>
    </sheetView>
  </sheetViews>
  <sheetFormatPr defaultRowHeight="15" x14ac:dyDescent="0.25"/>
  <cols>
    <col min="2" max="2" width="10.28515625" bestFit="1" customWidth="1"/>
    <col min="4" max="4" width="10.7109375" customWidth="1"/>
  </cols>
  <sheetData>
    <row r="1" spans="1:5" ht="45" x14ac:dyDescent="0.25">
      <c r="B1" s="9" t="s">
        <v>903</v>
      </c>
      <c r="C1" s="9" t="s">
        <v>904</v>
      </c>
      <c r="D1" s="11" t="s">
        <v>902</v>
      </c>
    </row>
    <row r="2" spans="1:5" x14ac:dyDescent="0.25">
      <c r="B2" s="1">
        <v>45658</v>
      </c>
      <c r="C2">
        <v>1</v>
      </c>
      <c r="D2" t="str">
        <f>TEXT(B2,"DD")&amp;"/"&amp;TEXT(B2,"MM")&amp;"/"&amp;TEXT(B2,"YYYY")</f>
        <v>01/01/2025</v>
      </c>
      <c r="E2" t="str">
        <f>TEXT(B2,"MMM")</f>
        <v>Jan</v>
      </c>
    </row>
    <row r="3" spans="1:5" x14ac:dyDescent="0.25">
      <c r="B3" s="1">
        <f>+B2+1</f>
        <v>45659</v>
      </c>
      <c r="C3">
        <v>1</v>
      </c>
      <c r="D3" t="str">
        <f t="shared" ref="D3:D66" si="0">TEXT(B3,"DD")&amp;"/"&amp;TEXT(B3,"MM")&amp;"/"&amp;TEXT(B3,"YYYY")</f>
        <v>02/01/2025</v>
      </c>
      <c r="E3" t="str">
        <f t="shared" ref="E3:E66" si="1">TEXT(B3,"MMM")</f>
        <v>Jan</v>
      </c>
    </row>
    <row r="4" spans="1:5" x14ac:dyDescent="0.25">
      <c r="A4" t="str">
        <f>TEXT(B4,"ddd")</f>
        <v>Fri</v>
      </c>
      <c r="B4" s="1">
        <f t="shared" ref="B4:B67" si="2">+B3+1</f>
        <v>45660</v>
      </c>
      <c r="C4">
        <f>IF(A4="Sat",C3+1,C3)</f>
        <v>1</v>
      </c>
      <c r="D4" t="str">
        <f t="shared" si="0"/>
        <v>03/01/2025</v>
      </c>
      <c r="E4" t="str">
        <f t="shared" si="1"/>
        <v>Jan</v>
      </c>
    </row>
    <row r="5" spans="1:5" x14ac:dyDescent="0.25">
      <c r="A5" t="str">
        <f t="shared" ref="A5:A68" si="3">TEXT(B5,"ddd")</f>
        <v>Sat</v>
      </c>
      <c r="B5" s="1">
        <f t="shared" si="2"/>
        <v>45661</v>
      </c>
      <c r="C5">
        <f t="shared" ref="C5:C68" si="4">IF(A5="Sat",C4+1,C4)</f>
        <v>2</v>
      </c>
      <c r="D5" t="str">
        <f t="shared" si="0"/>
        <v>04/01/2025</v>
      </c>
      <c r="E5" t="str">
        <f t="shared" si="1"/>
        <v>Jan</v>
      </c>
    </row>
    <row r="6" spans="1:5" x14ac:dyDescent="0.25">
      <c r="A6" t="str">
        <f t="shared" si="3"/>
        <v>Sun</v>
      </c>
      <c r="B6" s="1">
        <f t="shared" si="2"/>
        <v>45662</v>
      </c>
      <c r="C6">
        <f t="shared" si="4"/>
        <v>2</v>
      </c>
      <c r="D6" t="str">
        <f t="shared" si="0"/>
        <v>05/01/2025</v>
      </c>
      <c r="E6" t="str">
        <f t="shared" si="1"/>
        <v>Jan</v>
      </c>
    </row>
    <row r="7" spans="1:5" x14ac:dyDescent="0.25">
      <c r="A7" t="str">
        <f t="shared" si="3"/>
        <v>Mon</v>
      </c>
      <c r="B7" s="1">
        <f t="shared" si="2"/>
        <v>45663</v>
      </c>
      <c r="C7">
        <f t="shared" si="4"/>
        <v>2</v>
      </c>
      <c r="D7" t="str">
        <f t="shared" si="0"/>
        <v>06/01/2025</v>
      </c>
      <c r="E7" t="str">
        <f t="shared" si="1"/>
        <v>Jan</v>
      </c>
    </row>
    <row r="8" spans="1:5" x14ac:dyDescent="0.25">
      <c r="A8" t="str">
        <f t="shared" si="3"/>
        <v>Tue</v>
      </c>
      <c r="B8" s="1">
        <f t="shared" si="2"/>
        <v>45664</v>
      </c>
      <c r="C8">
        <f t="shared" si="4"/>
        <v>2</v>
      </c>
      <c r="D8" t="str">
        <f t="shared" si="0"/>
        <v>07/01/2025</v>
      </c>
      <c r="E8" t="str">
        <f t="shared" si="1"/>
        <v>Jan</v>
      </c>
    </row>
    <row r="9" spans="1:5" x14ac:dyDescent="0.25">
      <c r="A9" t="str">
        <f t="shared" si="3"/>
        <v>Wed</v>
      </c>
      <c r="B9" s="1">
        <f t="shared" si="2"/>
        <v>45665</v>
      </c>
      <c r="C9">
        <f t="shared" si="4"/>
        <v>2</v>
      </c>
      <c r="D9" t="str">
        <f t="shared" si="0"/>
        <v>08/01/2025</v>
      </c>
      <c r="E9" t="str">
        <f t="shared" si="1"/>
        <v>Jan</v>
      </c>
    </row>
    <row r="10" spans="1:5" x14ac:dyDescent="0.25">
      <c r="A10" t="str">
        <f t="shared" si="3"/>
        <v>Thu</v>
      </c>
      <c r="B10" s="1">
        <f t="shared" si="2"/>
        <v>45666</v>
      </c>
      <c r="C10">
        <f t="shared" si="4"/>
        <v>2</v>
      </c>
      <c r="D10" t="str">
        <f t="shared" si="0"/>
        <v>09/01/2025</v>
      </c>
      <c r="E10" t="str">
        <f t="shared" si="1"/>
        <v>Jan</v>
      </c>
    </row>
    <row r="11" spans="1:5" x14ac:dyDescent="0.25">
      <c r="A11" t="str">
        <f t="shared" si="3"/>
        <v>Fri</v>
      </c>
      <c r="B11" s="1">
        <f t="shared" si="2"/>
        <v>45667</v>
      </c>
      <c r="C11">
        <f t="shared" si="4"/>
        <v>2</v>
      </c>
      <c r="D11" t="str">
        <f t="shared" si="0"/>
        <v>10/01/2025</v>
      </c>
      <c r="E11" t="str">
        <f t="shared" si="1"/>
        <v>Jan</v>
      </c>
    </row>
    <row r="12" spans="1:5" x14ac:dyDescent="0.25">
      <c r="A12" t="str">
        <f t="shared" si="3"/>
        <v>Sat</v>
      </c>
      <c r="B12" s="1">
        <f t="shared" si="2"/>
        <v>45668</v>
      </c>
      <c r="C12">
        <f t="shared" si="4"/>
        <v>3</v>
      </c>
      <c r="D12" t="str">
        <f t="shared" si="0"/>
        <v>11/01/2025</v>
      </c>
      <c r="E12" t="str">
        <f t="shared" si="1"/>
        <v>Jan</v>
      </c>
    </row>
    <row r="13" spans="1:5" x14ac:dyDescent="0.25">
      <c r="A13" t="str">
        <f t="shared" si="3"/>
        <v>Sun</v>
      </c>
      <c r="B13" s="1">
        <f t="shared" si="2"/>
        <v>45669</v>
      </c>
      <c r="C13">
        <f t="shared" si="4"/>
        <v>3</v>
      </c>
      <c r="D13" t="str">
        <f t="shared" si="0"/>
        <v>12/01/2025</v>
      </c>
      <c r="E13" t="str">
        <f t="shared" si="1"/>
        <v>Jan</v>
      </c>
    </row>
    <row r="14" spans="1:5" x14ac:dyDescent="0.25">
      <c r="A14" t="str">
        <f t="shared" si="3"/>
        <v>Mon</v>
      </c>
      <c r="B14" s="1">
        <f t="shared" si="2"/>
        <v>45670</v>
      </c>
      <c r="C14">
        <f t="shared" si="4"/>
        <v>3</v>
      </c>
      <c r="D14" t="str">
        <f t="shared" si="0"/>
        <v>13/01/2025</v>
      </c>
      <c r="E14" t="str">
        <f t="shared" si="1"/>
        <v>Jan</v>
      </c>
    </row>
    <row r="15" spans="1:5" x14ac:dyDescent="0.25">
      <c r="A15" t="str">
        <f t="shared" si="3"/>
        <v>Tue</v>
      </c>
      <c r="B15" s="1">
        <f t="shared" si="2"/>
        <v>45671</v>
      </c>
      <c r="C15">
        <f t="shared" si="4"/>
        <v>3</v>
      </c>
      <c r="D15" t="str">
        <f t="shared" si="0"/>
        <v>14/01/2025</v>
      </c>
      <c r="E15" t="str">
        <f t="shared" si="1"/>
        <v>Jan</v>
      </c>
    </row>
    <row r="16" spans="1:5" x14ac:dyDescent="0.25">
      <c r="A16" t="str">
        <f t="shared" si="3"/>
        <v>Wed</v>
      </c>
      <c r="B16" s="1">
        <f t="shared" si="2"/>
        <v>45672</v>
      </c>
      <c r="C16">
        <f t="shared" si="4"/>
        <v>3</v>
      </c>
      <c r="D16" t="str">
        <f t="shared" si="0"/>
        <v>15/01/2025</v>
      </c>
      <c r="E16" t="str">
        <f t="shared" si="1"/>
        <v>Jan</v>
      </c>
    </row>
    <row r="17" spans="1:5" x14ac:dyDescent="0.25">
      <c r="A17" t="str">
        <f t="shared" si="3"/>
        <v>Thu</v>
      </c>
      <c r="B17" s="1">
        <f t="shared" si="2"/>
        <v>45673</v>
      </c>
      <c r="C17">
        <f t="shared" si="4"/>
        <v>3</v>
      </c>
      <c r="D17" t="str">
        <f t="shared" si="0"/>
        <v>16/01/2025</v>
      </c>
      <c r="E17" t="str">
        <f t="shared" si="1"/>
        <v>Jan</v>
      </c>
    </row>
    <row r="18" spans="1:5" x14ac:dyDescent="0.25">
      <c r="A18" t="str">
        <f t="shared" si="3"/>
        <v>Fri</v>
      </c>
      <c r="B18" s="1">
        <f t="shared" si="2"/>
        <v>45674</v>
      </c>
      <c r="C18">
        <f t="shared" si="4"/>
        <v>3</v>
      </c>
      <c r="D18" t="str">
        <f t="shared" si="0"/>
        <v>17/01/2025</v>
      </c>
      <c r="E18" t="str">
        <f t="shared" si="1"/>
        <v>Jan</v>
      </c>
    </row>
    <row r="19" spans="1:5" x14ac:dyDescent="0.25">
      <c r="A19" t="str">
        <f t="shared" si="3"/>
        <v>Sat</v>
      </c>
      <c r="B19" s="1">
        <f t="shared" si="2"/>
        <v>45675</v>
      </c>
      <c r="C19">
        <f t="shared" si="4"/>
        <v>4</v>
      </c>
      <c r="D19" t="str">
        <f t="shared" si="0"/>
        <v>18/01/2025</v>
      </c>
      <c r="E19" t="str">
        <f t="shared" si="1"/>
        <v>Jan</v>
      </c>
    </row>
    <row r="20" spans="1:5" x14ac:dyDescent="0.25">
      <c r="A20" t="str">
        <f t="shared" si="3"/>
        <v>Sun</v>
      </c>
      <c r="B20" s="1">
        <f t="shared" si="2"/>
        <v>45676</v>
      </c>
      <c r="C20">
        <f t="shared" si="4"/>
        <v>4</v>
      </c>
      <c r="D20" t="str">
        <f t="shared" si="0"/>
        <v>19/01/2025</v>
      </c>
      <c r="E20" t="str">
        <f t="shared" si="1"/>
        <v>Jan</v>
      </c>
    </row>
    <row r="21" spans="1:5" x14ac:dyDescent="0.25">
      <c r="A21" t="str">
        <f t="shared" si="3"/>
        <v>Mon</v>
      </c>
      <c r="B21" s="1">
        <f t="shared" si="2"/>
        <v>45677</v>
      </c>
      <c r="C21">
        <f t="shared" si="4"/>
        <v>4</v>
      </c>
      <c r="D21" t="str">
        <f t="shared" si="0"/>
        <v>20/01/2025</v>
      </c>
      <c r="E21" t="str">
        <f t="shared" si="1"/>
        <v>Jan</v>
      </c>
    </row>
    <row r="22" spans="1:5" x14ac:dyDescent="0.25">
      <c r="A22" t="str">
        <f t="shared" si="3"/>
        <v>Tue</v>
      </c>
      <c r="B22" s="1">
        <f t="shared" si="2"/>
        <v>45678</v>
      </c>
      <c r="C22">
        <f t="shared" si="4"/>
        <v>4</v>
      </c>
      <c r="D22" t="str">
        <f t="shared" si="0"/>
        <v>21/01/2025</v>
      </c>
      <c r="E22" t="str">
        <f t="shared" si="1"/>
        <v>Jan</v>
      </c>
    </row>
    <row r="23" spans="1:5" x14ac:dyDescent="0.25">
      <c r="A23" t="str">
        <f t="shared" si="3"/>
        <v>Wed</v>
      </c>
      <c r="B23" s="1">
        <f t="shared" si="2"/>
        <v>45679</v>
      </c>
      <c r="C23">
        <f t="shared" si="4"/>
        <v>4</v>
      </c>
      <c r="D23" t="str">
        <f t="shared" si="0"/>
        <v>22/01/2025</v>
      </c>
      <c r="E23" t="str">
        <f t="shared" si="1"/>
        <v>Jan</v>
      </c>
    </row>
    <row r="24" spans="1:5" x14ac:dyDescent="0.25">
      <c r="A24" t="str">
        <f t="shared" si="3"/>
        <v>Thu</v>
      </c>
      <c r="B24" s="1">
        <f t="shared" si="2"/>
        <v>45680</v>
      </c>
      <c r="C24">
        <f t="shared" si="4"/>
        <v>4</v>
      </c>
      <c r="D24" t="str">
        <f t="shared" si="0"/>
        <v>23/01/2025</v>
      </c>
      <c r="E24" t="str">
        <f t="shared" si="1"/>
        <v>Jan</v>
      </c>
    </row>
    <row r="25" spans="1:5" x14ac:dyDescent="0.25">
      <c r="A25" t="str">
        <f t="shared" si="3"/>
        <v>Fri</v>
      </c>
      <c r="B25" s="1">
        <f t="shared" si="2"/>
        <v>45681</v>
      </c>
      <c r="C25">
        <f t="shared" si="4"/>
        <v>4</v>
      </c>
      <c r="D25" t="str">
        <f t="shared" si="0"/>
        <v>24/01/2025</v>
      </c>
      <c r="E25" t="str">
        <f t="shared" si="1"/>
        <v>Jan</v>
      </c>
    </row>
    <row r="26" spans="1:5" x14ac:dyDescent="0.25">
      <c r="A26" t="str">
        <f t="shared" si="3"/>
        <v>Sat</v>
      </c>
      <c r="B26" s="1">
        <f t="shared" si="2"/>
        <v>45682</v>
      </c>
      <c r="C26">
        <f t="shared" si="4"/>
        <v>5</v>
      </c>
      <c r="D26" t="str">
        <f t="shared" si="0"/>
        <v>25/01/2025</v>
      </c>
      <c r="E26" t="str">
        <f t="shared" si="1"/>
        <v>Jan</v>
      </c>
    </row>
    <row r="27" spans="1:5" x14ac:dyDescent="0.25">
      <c r="A27" t="str">
        <f t="shared" si="3"/>
        <v>Sun</v>
      </c>
      <c r="B27" s="1">
        <f t="shared" si="2"/>
        <v>45683</v>
      </c>
      <c r="C27">
        <f t="shared" si="4"/>
        <v>5</v>
      </c>
      <c r="D27" t="str">
        <f t="shared" si="0"/>
        <v>26/01/2025</v>
      </c>
      <c r="E27" t="str">
        <f t="shared" si="1"/>
        <v>Jan</v>
      </c>
    </row>
    <row r="28" spans="1:5" x14ac:dyDescent="0.25">
      <c r="A28" t="str">
        <f t="shared" si="3"/>
        <v>Mon</v>
      </c>
      <c r="B28" s="1">
        <f t="shared" si="2"/>
        <v>45684</v>
      </c>
      <c r="C28">
        <f t="shared" si="4"/>
        <v>5</v>
      </c>
      <c r="D28" t="str">
        <f t="shared" si="0"/>
        <v>27/01/2025</v>
      </c>
      <c r="E28" t="str">
        <f t="shared" si="1"/>
        <v>Jan</v>
      </c>
    </row>
    <row r="29" spans="1:5" x14ac:dyDescent="0.25">
      <c r="A29" t="str">
        <f t="shared" si="3"/>
        <v>Tue</v>
      </c>
      <c r="B29" s="1">
        <f t="shared" si="2"/>
        <v>45685</v>
      </c>
      <c r="C29">
        <f t="shared" si="4"/>
        <v>5</v>
      </c>
      <c r="D29" t="str">
        <f t="shared" si="0"/>
        <v>28/01/2025</v>
      </c>
      <c r="E29" t="str">
        <f t="shared" si="1"/>
        <v>Jan</v>
      </c>
    </row>
    <row r="30" spans="1:5" x14ac:dyDescent="0.25">
      <c r="A30" t="str">
        <f t="shared" si="3"/>
        <v>Wed</v>
      </c>
      <c r="B30" s="1">
        <f t="shared" si="2"/>
        <v>45686</v>
      </c>
      <c r="C30">
        <f t="shared" si="4"/>
        <v>5</v>
      </c>
      <c r="D30" t="str">
        <f t="shared" si="0"/>
        <v>29/01/2025</v>
      </c>
      <c r="E30" t="str">
        <f t="shared" si="1"/>
        <v>Jan</v>
      </c>
    </row>
    <row r="31" spans="1:5" x14ac:dyDescent="0.25">
      <c r="A31" t="str">
        <f t="shared" si="3"/>
        <v>Thu</v>
      </c>
      <c r="B31" s="1">
        <f t="shared" si="2"/>
        <v>45687</v>
      </c>
      <c r="C31">
        <f t="shared" si="4"/>
        <v>5</v>
      </c>
      <c r="D31" t="str">
        <f t="shared" si="0"/>
        <v>30/01/2025</v>
      </c>
      <c r="E31" t="str">
        <f t="shared" si="1"/>
        <v>Jan</v>
      </c>
    </row>
    <row r="32" spans="1:5" x14ac:dyDescent="0.25">
      <c r="A32" t="str">
        <f t="shared" si="3"/>
        <v>Fri</v>
      </c>
      <c r="B32" s="1">
        <f t="shared" si="2"/>
        <v>45688</v>
      </c>
      <c r="C32">
        <f t="shared" si="4"/>
        <v>5</v>
      </c>
      <c r="D32" t="str">
        <f t="shared" si="0"/>
        <v>31/01/2025</v>
      </c>
      <c r="E32" t="str">
        <f t="shared" si="1"/>
        <v>Jan</v>
      </c>
    </row>
    <row r="33" spans="1:5" x14ac:dyDescent="0.25">
      <c r="A33" t="str">
        <f t="shared" si="3"/>
        <v>Sat</v>
      </c>
      <c r="B33" s="1">
        <f t="shared" si="2"/>
        <v>45689</v>
      </c>
      <c r="C33">
        <f t="shared" si="4"/>
        <v>6</v>
      </c>
      <c r="D33" t="str">
        <f t="shared" si="0"/>
        <v>01/02/2025</v>
      </c>
      <c r="E33" t="str">
        <f t="shared" si="1"/>
        <v>Feb</v>
      </c>
    </row>
    <row r="34" spans="1:5" x14ac:dyDescent="0.25">
      <c r="A34" t="str">
        <f t="shared" si="3"/>
        <v>Sun</v>
      </c>
      <c r="B34" s="1">
        <f t="shared" si="2"/>
        <v>45690</v>
      </c>
      <c r="C34">
        <f t="shared" si="4"/>
        <v>6</v>
      </c>
      <c r="D34" t="str">
        <f t="shared" si="0"/>
        <v>02/02/2025</v>
      </c>
      <c r="E34" t="str">
        <f t="shared" si="1"/>
        <v>Feb</v>
      </c>
    </row>
    <row r="35" spans="1:5" x14ac:dyDescent="0.25">
      <c r="A35" t="str">
        <f t="shared" si="3"/>
        <v>Mon</v>
      </c>
      <c r="B35" s="1">
        <f t="shared" si="2"/>
        <v>45691</v>
      </c>
      <c r="C35">
        <f t="shared" si="4"/>
        <v>6</v>
      </c>
      <c r="D35" t="str">
        <f t="shared" si="0"/>
        <v>03/02/2025</v>
      </c>
      <c r="E35" t="str">
        <f t="shared" si="1"/>
        <v>Feb</v>
      </c>
    </row>
    <row r="36" spans="1:5" x14ac:dyDescent="0.25">
      <c r="A36" t="str">
        <f t="shared" si="3"/>
        <v>Tue</v>
      </c>
      <c r="B36" s="1">
        <f t="shared" si="2"/>
        <v>45692</v>
      </c>
      <c r="C36">
        <f t="shared" si="4"/>
        <v>6</v>
      </c>
      <c r="D36" t="str">
        <f t="shared" si="0"/>
        <v>04/02/2025</v>
      </c>
      <c r="E36" t="str">
        <f t="shared" si="1"/>
        <v>Feb</v>
      </c>
    </row>
    <row r="37" spans="1:5" x14ac:dyDescent="0.25">
      <c r="A37" t="str">
        <f t="shared" si="3"/>
        <v>Wed</v>
      </c>
      <c r="B37" s="1">
        <f t="shared" si="2"/>
        <v>45693</v>
      </c>
      <c r="C37">
        <f t="shared" si="4"/>
        <v>6</v>
      </c>
      <c r="D37" t="str">
        <f t="shared" si="0"/>
        <v>05/02/2025</v>
      </c>
      <c r="E37" t="str">
        <f t="shared" si="1"/>
        <v>Feb</v>
      </c>
    </row>
    <row r="38" spans="1:5" x14ac:dyDescent="0.25">
      <c r="A38" t="str">
        <f t="shared" si="3"/>
        <v>Thu</v>
      </c>
      <c r="B38" s="1">
        <f t="shared" si="2"/>
        <v>45694</v>
      </c>
      <c r="C38">
        <f t="shared" si="4"/>
        <v>6</v>
      </c>
      <c r="D38" t="str">
        <f t="shared" si="0"/>
        <v>06/02/2025</v>
      </c>
      <c r="E38" t="str">
        <f t="shared" si="1"/>
        <v>Feb</v>
      </c>
    </row>
    <row r="39" spans="1:5" x14ac:dyDescent="0.25">
      <c r="A39" t="str">
        <f t="shared" si="3"/>
        <v>Fri</v>
      </c>
      <c r="B39" s="1">
        <f t="shared" si="2"/>
        <v>45695</v>
      </c>
      <c r="C39">
        <f t="shared" si="4"/>
        <v>6</v>
      </c>
      <c r="D39" t="str">
        <f t="shared" si="0"/>
        <v>07/02/2025</v>
      </c>
      <c r="E39" t="str">
        <f t="shared" si="1"/>
        <v>Feb</v>
      </c>
    </row>
    <row r="40" spans="1:5" x14ac:dyDescent="0.25">
      <c r="A40" t="str">
        <f t="shared" si="3"/>
        <v>Sat</v>
      </c>
      <c r="B40" s="1">
        <f t="shared" si="2"/>
        <v>45696</v>
      </c>
      <c r="C40">
        <f t="shared" si="4"/>
        <v>7</v>
      </c>
      <c r="D40" t="str">
        <f t="shared" si="0"/>
        <v>08/02/2025</v>
      </c>
      <c r="E40" t="str">
        <f t="shared" si="1"/>
        <v>Feb</v>
      </c>
    </row>
    <row r="41" spans="1:5" x14ac:dyDescent="0.25">
      <c r="A41" t="str">
        <f t="shared" si="3"/>
        <v>Sun</v>
      </c>
      <c r="B41" s="1">
        <f t="shared" si="2"/>
        <v>45697</v>
      </c>
      <c r="C41">
        <f t="shared" si="4"/>
        <v>7</v>
      </c>
      <c r="D41" t="str">
        <f t="shared" si="0"/>
        <v>09/02/2025</v>
      </c>
      <c r="E41" t="str">
        <f t="shared" si="1"/>
        <v>Feb</v>
      </c>
    </row>
    <row r="42" spans="1:5" x14ac:dyDescent="0.25">
      <c r="A42" t="str">
        <f t="shared" si="3"/>
        <v>Mon</v>
      </c>
      <c r="B42" s="1">
        <f t="shared" si="2"/>
        <v>45698</v>
      </c>
      <c r="C42">
        <f t="shared" si="4"/>
        <v>7</v>
      </c>
      <c r="D42" t="str">
        <f t="shared" si="0"/>
        <v>10/02/2025</v>
      </c>
      <c r="E42" t="str">
        <f t="shared" si="1"/>
        <v>Feb</v>
      </c>
    </row>
    <row r="43" spans="1:5" x14ac:dyDescent="0.25">
      <c r="A43" t="str">
        <f t="shared" si="3"/>
        <v>Tue</v>
      </c>
      <c r="B43" s="1">
        <f t="shared" si="2"/>
        <v>45699</v>
      </c>
      <c r="C43">
        <f t="shared" si="4"/>
        <v>7</v>
      </c>
      <c r="D43" t="str">
        <f t="shared" si="0"/>
        <v>11/02/2025</v>
      </c>
      <c r="E43" t="str">
        <f t="shared" si="1"/>
        <v>Feb</v>
      </c>
    </row>
    <row r="44" spans="1:5" x14ac:dyDescent="0.25">
      <c r="A44" t="str">
        <f t="shared" si="3"/>
        <v>Wed</v>
      </c>
      <c r="B44" s="1">
        <f t="shared" si="2"/>
        <v>45700</v>
      </c>
      <c r="C44">
        <f t="shared" si="4"/>
        <v>7</v>
      </c>
      <c r="D44" t="str">
        <f t="shared" si="0"/>
        <v>12/02/2025</v>
      </c>
      <c r="E44" t="str">
        <f t="shared" si="1"/>
        <v>Feb</v>
      </c>
    </row>
    <row r="45" spans="1:5" x14ac:dyDescent="0.25">
      <c r="A45" t="str">
        <f t="shared" si="3"/>
        <v>Thu</v>
      </c>
      <c r="B45" s="1">
        <f t="shared" si="2"/>
        <v>45701</v>
      </c>
      <c r="C45">
        <f t="shared" si="4"/>
        <v>7</v>
      </c>
      <c r="D45" t="str">
        <f t="shared" si="0"/>
        <v>13/02/2025</v>
      </c>
      <c r="E45" t="str">
        <f t="shared" si="1"/>
        <v>Feb</v>
      </c>
    </row>
    <row r="46" spans="1:5" x14ac:dyDescent="0.25">
      <c r="A46" t="str">
        <f t="shared" si="3"/>
        <v>Fri</v>
      </c>
      <c r="B46" s="1">
        <f t="shared" si="2"/>
        <v>45702</v>
      </c>
      <c r="C46">
        <f t="shared" si="4"/>
        <v>7</v>
      </c>
      <c r="D46" t="str">
        <f t="shared" si="0"/>
        <v>14/02/2025</v>
      </c>
      <c r="E46" t="str">
        <f t="shared" si="1"/>
        <v>Feb</v>
      </c>
    </row>
    <row r="47" spans="1:5" x14ac:dyDescent="0.25">
      <c r="A47" t="str">
        <f t="shared" si="3"/>
        <v>Sat</v>
      </c>
      <c r="B47" s="1">
        <f t="shared" si="2"/>
        <v>45703</v>
      </c>
      <c r="C47">
        <f t="shared" si="4"/>
        <v>8</v>
      </c>
      <c r="D47" t="str">
        <f t="shared" si="0"/>
        <v>15/02/2025</v>
      </c>
      <c r="E47" t="str">
        <f t="shared" si="1"/>
        <v>Feb</v>
      </c>
    </row>
    <row r="48" spans="1:5" x14ac:dyDescent="0.25">
      <c r="A48" t="str">
        <f t="shared" si="3"/>
        <v>Sun</v>
      </c>
      <c r="B48" s="1">
        <f t="shared" si="2"/>
        <v>45704</v>
      </c>
      <c r="C48">
        <f t="shared" si="4"/>
        <v>8</v>
      </c>
      <c r="D48" t="str">
        <f t="shared" si="0"/>
        <v>16/02/2025</v>
      </c>
      <c r="E48" t="str">
        <f t="shared" si="1"/>
        <v>Feb</v>
      </c>
    </row>
    <row r="49" spans="1:5" x14ac:dyDescent="0.25">
      <c r="A49" t="str">
        <f t="shared" si="3"/>
        <v>Mon</v>
      </c>
      <c r="B49" s="1">
        <f t="shared" si="2"/>
        <v>45705</v>
      </c>
      <c r="C49">
        <f t="shared" si="4"/>
        <v>8</v>
      </c>
      <c r="D49" t="str">
        <f t="shared" si="0"/>
        <v>17/02/2025</v>
      </c>
      <c r="E49" t="str">
        <f t="shared" si="1"/>
        <v>Feb</v>
      </c>
    </row>
    <row r="50" spans="1:5" x14ac:dyDescent="0.25">
      <c r="A50" t="str">
        <f t="shared" si="3"/>
        <v>Tue</v>
      </c>
      <c r="B50" s="1">
        <f t="shared" si="2"/>
        <v>45706</v>
      </c>
      <c r="C50">
        <f t="shared" si="4"/>
        <v>8</v>
      </c>
      <c r="D50" t="str">
        <f t="shared" si="0"/>
        <v>18/02/2025</v>
      </c>
      <c r="E50" t="str">
        <f t="shared" si="1"/>
        <v>Feb</v>
      </c>
    </row>
    <row r="51" spans="1:5" x14ac:dyDescent="0.25">
      <c r="A51" t="str">
        <f t="shared" si="3"/>
        <v>Wed</v>
      </c>
      <c r="B51" s="1">
        <f t="shared" si="2"/>
        <v>45707</v>
      </c>
      <c r="C51">
        <f t="shared" si="4"/>
        <v>8</v>
      </c>
      <c r="D51" t="str">
        <f t="shared" si="0"/>
        <v>19/02/2025</v>
      </c>
      <c r="E51" t="str">
        <f t="shared" si="1"/>
        <v>Feb</v>
      </c>
    </row>
    <row r="52" spans="1:5" x14ac:dyDescent="0.25">
      <c r="A52" t="str">
        <f t="shared" si="3"/>
        <v>Thu</v>
      </c>
      <c r="B52" s="1">
        <f t="shared" si="2"/>
        <v>45708</v>
      </c>
      <c r="C52">
        <f t="shared" si="4"/>
        <v>8</v>
      </c>
      <c r="D52" t="str">
        <f t="shared" si="0"/>
        <v>20/02/2025</v>
      </c>
      <c r="E52" t="str">
        <f t="shared" si="1"/>
        <v>Feb</v>
      </c>
    </row>
    <row r="53" spans="1:5" x14ac:dyDescent="0.25">
      <c r="A53" t="str">
        <f t="shared" si="3"/>
        <v>Fri</v>
      </c>
      <c r="B53" s="1">
        <f t="shared" si="2"/>
        <v>45709</v>
      </c>
      <c r="C53">
        <f t="shared" si="4"/>
        <v>8</v>
      </c>
      <c r="D53" t="str">
        <f t="shared" si="0"/>
        <v>21/02/2025</v>
      </c>
      <c r="E53" t="str">
        <f t="shared" si="1"/>
        <v>Feb</v>
      </c>
    </row>
    <row r="54" spans="1:5" x14ac:dyDescent="0.25">
      <c r="A54" t="str">
        <f t="shared" si="3"/>
        <v>Sat</v>
      </c>
      <c r="B54" s="1">
        <f t="shared" si="2"/>
        <v>45710</v>
      </c>
      <c r="C54">
        <f t="shared" si="4"/>
        <v>9</v>
      </c>
      <c r="D54" t="str">
        <f t="shared" si="0"/>
        <v>22/02/2025</v>
      </c>
      <c r="E54" t="str">
        <f t="shared" si="1"/>
        <v>Feb</v>
      </c>
    </row>
    <row r="55" spans="1:5" x14ac:dyDescent="0.25">
      <c r="A55" t="str">
        <f t="shared" si="3"/>
        <v>Sun</v>
      </c>
      <c r="B55" s="1">
        <f t="shared" si="2"/>
        <v>45711</v>
      </c>
      <c r="C55">
        <f t="shared" si="4"/>
        <v>9</v>
      </c>
      <c r="D55" t="str">
        <f t="shared" si="0"/>
        <v>23/02/2025</v>
      </c>
      <c r="E55" t="str">
        <f t="shared" si="1"/>
        <v>Feb</v>
      </c>
    </row>
    <row r="56" spans="1:5" x14ac:dyDescent="0.25">
      <c r="A56" t="str">
        <f t="shared" si="3"/>
        <v>Mon</v>
      </c>
      <c r="B56" s="1">
        <f t="shared" si="2"/>
        <v>45712</v>
      </c>
      <c r="C56">
        <f t="shared" si="4"/>
        <v>9</v>
      </c>
      <c r="D56" t="str">
        <f t="shared" si="0"/>
        <v>24/02/2025</v>
      </c>
      <c r="E56" t="str">
        <f t="shared" si="1"/>
        <v>Feb</v>
      </c>
    </row>
    <row r="57" spans="1:5" x14ac:dyDescent="0.25">
      <c r="A57" t="str">
        <f t="shared" si="3"/>
        <v>Tue</v>
      </c>
      <c r="B57" s="1">
        <f t="shared" si="2"/>
        <v>45713</v>
      </c>
      <c r="C57">
        <f t="shared" si="4"/>
        <v>9</v>
      </c>
      <c r="D57" t="str">
        <f t="shared" si="0"/>
        <v>25/02/2025</v>
      </c>
      <c r="E57" t="str">
        <f t="shared" si="1"/>
        <v>Feb</v>
      </c>
    </row>
    <row r="58" spans="1:5" x14ac:dyDescent="0.25">
      <c r="A58" t="str">
        <f t="shared" si="3"/>
        <v>Wed</v>
      </c>
      <c r="B58" s="1">
        <f t="shared" si="2"/>
        <v>45714</v>
      </c>
      <c r="C58">
        <f t="shared" si="4"/>
        <v>9</v>
      </c>
      <c r="D58" t="str">
        <f t="shared" si="0"/>
        <v>26/02/2025</v>
      </c>
      <c r="E58" t="str">
        <f t="shared" si="1"/>
        <v>Feb</v>
      </c>
    </row>
    <row r="59" spans="1:5" x14ac:dyDescent="0.25">
      <c r="A59" t="str">
        <f t="shared" si="3"/>
        <v>Thu</v>
      </c>
      <c r="B59" s="1">
        <f t="shared" si="2"/>
        <v>45715</v>
      </c>
      <c r="C59">
        <f t="shared" si="4"/>
        <v>9</v>
      </c>
      <c r="D59" t="str">
        <f t="shared" si="0"/>
        <v>27/02/2025</v>
      </c>
      <c r="E59" t="str">
        <f t="shared" si="1"/>
        <v>Feb</v>
      </c>
    </row>
    <row r="60" spans="1:5" x14ac:dyDescent="0.25">
      <c r="A60" t="str">
        <f t="shared" si="3"/>
        <v>Fri</v>
      </c>
      <c r="B60" s="1">
        <f t="shared" si="2"/>
        <v>45716</v>
      </c>
      <c r="C60">
        <f t="shared" si="4"/>
        <v>9</v>
      </c>
      <c r="D60" t="str">
        <f t="shared" si="0"/>
        <v>28/02/2025</v>
      </c>
      <c r="E60" t="str">
        <f t="shared" si="1"/>
        <v>Feb</v>
      </c>
    </row>
    <row r="61" spans="1:5" x14ac:dyDescent="0.25">
      <c r="A61" t="str">
        <f t="shared" si="3"/>
        <v>Sat</v>
      </c>
      <c r="B61" s="1">
        <f t="shared" si="2"/>
        <v>45717</v>
      </c>
      <c r="C61">
        <f t="shared" si="4"/>
        <v>10</v>
      </c>
      <c r="D61" t="str">
        <f t="shared" si="0"/>
        <v>01/03/2025</v>
      </c>
      <c r="E61" t="str">
        <f t="shared" si="1"/>
        <v>Mar</v>
      </c>
    </row>
    <row r="62" spans="1:5" x14ac:dyDescent="0.25">
      <c r="A62" t="str">
        <f t="shared" si="3"/>
        <v>Sun</v>
      </c>
      <c r="B62" s="1">
        <f t="shared" si="2"/>
        <v>45718</v>
      </c>
      <c r="C62">
        <f t="shared" si="4"/>
        <v>10</v>
      </c>
      <c r="D62" t="str">
        <f t="shared" si="0"/>
        <v>02/03/2025</v>
      </c>
      <c r="E62" t="str">
        <f t="shared" si="1"/>
        <v>Mar</v>
      </c>
    </row>
    <row r="63" spans="1:5" x14ac:dyDescent="0.25">
      <c r="A63" t="str">
        <f t="shared" si="3"/>
        <v>Mon</v>
      </c>
      <c r="B63" s="1">
        <f t="shared" si="2"/>
        <v>45719</v>
      </c>
      <c r="C63">
        <f t="shared" si="4"/>
        <v>10</v>
      </c>
      <c r="D63" t="str">
        <f t="shared" si="0"/>
        <v>03/03/2025</v>
      </c>
      <c r="E63" t="str">
        <f t="shared" si="1"/>
        <v>Mar</v>
      </c>
    </row>
    <row r="64" spans="1:5" x14ac:dyDescent="0.25">
      <c r="A64" t="str">
        <f t="shared" si="3"/>
        <v>Tue</v>
      </c>
      <c r="B64" s="1">
        <f t="shared" si="2"/>
        <v>45720</v>
      </c>
      <c r="C64">
        <f t="shared" si="4"/>
        <v>10</v>
      </c>
      <c r="D64" t="str">
        <f t="shared" si="0"/>
        <v>04/03/2025</v>
      </c>
      <c r="E64" t="str">
        <f t="shared" si="1"/>
        <v>Mar</v>
      </c>
    </row>
    <row r="65" spans="1:5" x14ac:dyDescent="0.25">
      <c r="A65" t="str">
        <f t="shared" si="3"/>
        <v>Wed</v>
      </c>
      <c r="B65" s="1">
        <f t="shared" si="2"/>
        <v>45721</v>
      </c>
      <c r="C65">
        <f t="shared" si="4"/>
        <v>10</v>
      </c>
      <c r="D65" t="str">
        <f t="shared" si="0"/>
        <v>05/03/2025</v>
      </c>
      <c r="E65" t="str">
        <f t="shared" si="1"/>
        <v>Mar</v>
      </c>
    </row>
    <row r="66" spans="1:5" x14ac:dyDescent="0.25">
      <c r="A66" t="str">
        <f t="shared" si="3"/>
        <v>Thu</v>
      </c>
      <c r="B66" s="1">
        <f t="shared" si="2"/>
        <v>45722</v>
      </c>
      <c r="C66">
        <f t="shared" si="4"/>
        <v>10</v>
      </c>
      <c r="D66" t="str">
        <f t="shared" si="0"/>
        <v>06/03/2025</v>
      </c>
      <c r="E66" t="str">
        <f t="shared" si="1"/>
        <v>Mar</v>
      </c>
    </row>
    <row r="67" spans="1:5" x14ac:dyDescent="0.25">
      <c r="A67" t="str">
        <f t="shared" si="3"/>
        <v>Fri</v>
      </c>
      <c r="B67" s="1">
        <f t="shared" si="2"/>
        <v>45723</v>
      </c>
      <c r="C67">
        <f t="shared" si="4"/>
        <v>10</v>
      </c>
      <c r="D67" t="str">
        <f t="shared" ref="D67:D130" si="5">TEXT(B67,"DD")&amp;"/"&amp;TEXT(B67,"MM")&amp;"/"&amp;TEXT(B67,"YYYY")</f>
        <v>07/03/2025</v>
      </c>
      <c r="E67" t="str">
        <f t="shared" ref="E67:E130" si="6">TEXT(B67,"MMM")</f>
        <v>Mar</v>
      </c>
    </row>
    <row r="68" spans="1:5" x14ac:dyDescent="0.25">
      <c r="A68" t="str">
        <f t="shared" si="3"/>
        <v>Sat</v>
      </c>
      <c r="B68" s="1">
        <f t="shared" ref="B68:B131" si="7">+B67+1</f>
        <v>45724</v>
      </c>
      <c r="C68">
        <f t="shared" si="4"/>
        <v>11</v>
      </c>
      <c r="D68" t="str">
        <f t="shared" si="5"/>
        <v>08/03/2025</v>
      </c>
      <c r="E68" t="str">
        <f t="shared" si="6"/>
        <v>Mar</v>
      </c>
    </row>
    <row r="69" spans="1:5" x14ac:dyDescent="0.25">
      <c r="A69" t="str">
        <f t="shared" ref="A69:A132" si="8">TEXT(B69,"ddd")</f>
        <v>Sun</v>
      </c>
      <c r="B69" s="1">
        <f t="shared" si="7"/>
        <v>45725</v>
      </c>
      <c r="C69">
        <f t="shared" ref="C69:C132" si="9">IF(A69="Sat",C68+1,C68)</f>
        <v>11</v>
      </c>
      <c r="D69" t="str">
        <f t="shared" si="5"/>
        <v>09/03/2025</v>
      </c>
      <c r="E69" t="str">
        <f t="shared" si="6"/>
        <v>Mar</v>
      </c>
    </row>
    <row r="70" spans="1:5" x14ac:dyDescent="0.25">
      <c r="A70" t="str">
        <f t="shared" si="8"/>
        <v>Mon</v>
      </c>
      <c r="B70" s="1">
        <f t="shared" si="7"/>
        <v>45726</v>
      </c>
      <c r="C70">
        <f t="shared" si="9"/>
        <v>11</v>
      </c>
      <c r="D70" t="str">
        <f t="shared" si="5"/>
        <v>10/03/2025</v>
      </c>
      <c r="E70" t="str">
        <f t="shared" si="6"/>
        <v>Mar</v>
      </c>
    </row>
    <row r="71" spans="1:5" x14ac:dyDescent="0.25">
      <c r="A71" t="str">
        <f t="shared" si="8"/>
        <v>Tue</v>
      </c>
      <c r="B71" s="1">
        <f t="shared" si="7"/>
        <v>45727</v>
      </c>
      <c r="C71">
        <f t="shared" si="9"/>
        <v>11</v>
      </c>
      <c r="D71" t="str">
        <f t="shared" si="5"/>
        <v>11/03/2025</v>
      </c>
      <c r="E71" t="str">
        <f t="shared" si="6"/>
        <v>Mar</v>
      </c>
    </row>
    <row r="72" spans="1:5" x14ac:dyDescent="0.25">
      <c r="A72" t="str">
        <f t="shared" si="8"/>
        <v>Wed</v>
      </c>
      <c r="B72" s="1">
        <f t="shared" si="7"/>
        <v>45728</v>
      </c>
      <c r="C72">
        <f t="shared" si="9"/>
        <v>11</v>
      </c>
      <c r="D72" t="str">
        <f t="shared" si="5"/>
        <v>12/03/2025</v>
      </c>
      <c r="E72" t="str">
        <f t="shared" si="6"/>
        <v>Mar</v>
      </c>
    </row>
    <row r="73" spans="1:5" x14ac:dyDescent="0.25">
      <c r="A73" t="str">
        <f t="shared" si="8"/>
        <v>Thu</v>
      </c>
      <c r="B73" s="1">
        <f t="shared" si="7"/>
        <v>45729</v>
      </c>
      <c r="C73">
        <f t="shared" si="9"/>
        <v>11</v>
      </c>
      <c r="D73" t="str">
        <f t="shared" si="5"/>
        <v>13/03/2025</v>
      </c>
      <c r="E73" t="str">
        <f t="shared" si="6"/>
        <v>Mar</v>
      </c>
    </row>
    <row r="74" spans="1:5" x14ac:dyDescent="0.25">
      <c r="A74" t="str">
        <f t="shared" si="8"/>
        <v>Fri</v>
      </c>
      <c r="B74" s="1">
        <f t="shared" si="7"/>
        <v>45730</v>
      </c>
      <c r="C74">
        <f t="shared" si="9"/>
        <v>11</v>
      </c>
      <c r="D74" t="str">
        <f t="shared" si="5"/>
        <v>14/03/2025</v>
      </c>
      <c r="E74" t="str">
        <f t="shared" si="6"/>
        <v>Mar</v>
      </c>
    </row>
    <row r="75" spans="1:5" x14ac:dyDescent="0.25">
      <c r="A75" t="str">
        <f t="shared" si="8"/>
        <v>Sat</v>
      </c>
      <c r="B75" s="1">
        <f t="shared" si="7"/>
        <v>45731</v>
      </c>
      <c r="C75">
        <f t="shared" si="9"/>
        <v>12</v>
      </c>
      <c r="D75" t="str">
        <f t="shared" si="5"/>
        <v>15/03/2025</v>
      </c>
      <c r="E75" t="str">
        <f t="shared" si="6"/>
        <v>Mar</v>
      </c>
    </row>
    <row r="76" spans="1:5" x14ac:dyDescent="0.25">
      <c r="A76" t="str">
        <f t="shared" si="8"/>
        <v>Sun</v>
      </c>
      <c r="B76" s="1">
        <f t="shared" si="7"/>
        <v>45732</v>
      </c>
      <c r="C76">
        <f t="shared" si="9"/>
        <v>12</v>
      </c>
      <c r="D76" t="str">
        <f t="shared" si="5"/>
        <v>16/03/2025</v>
      </c>
      <c r="E76" t="str">
        <f t="shared" si="6"/>
        <v>Mar</v>
      </c>
    </row>
    <row r="77" spans="1:5" x14ac:dyDescent="0.25">
      <c r="A77" t="str">
        <f t="shared" si="8"/>
        <v>Mon</v>
      </c>
      <c r="B77" s="1">
        <f t="shared" si="7"/>
        <v>45733</v>
      </c>
      <c r="C77">
        <f t="shared" si="9"/>
        <v>12</v>
      </c>
      <c r="D77" t="str">
        <f t="shared" si="5"/>
        <v>17/03/2025</v>
      </c>
      <c r="E77" t="str">
        <f t="shared" si="6"/>
        <v>Mar</v>
      </c>
    </row>
    <row r="78" spans="1:5" x14ac:dyDescent="0.25">
      <c r="A78" t="str">
        <f t="shared" si="8"/>
        <v>Tue</v>
      </c>
      <c r="B78" s="1">
        <f t="shared" si="7"/>
        <v>45734</v>
      </c>
      <c r="C78">
        <f t="shared" si="9"/>
        <v>12</v>
      </c>
      <c r="D78" t="str">
        <f t="shared" si="5"/>
        <v>18/03/2025</v>
      </c>
      <c r="E78" t="str">
        <f t="shared" si="6"/>
        <v>Mar</v>
      </c>
    </row>
    <row r="79" spans="1:5" x14ac:dyDescent="0.25">
      <c r="A79" t="str">
        <f t="shared" si="8"/>
        <v>Wed</v>
      </c>
      <c r="B79" s="1">
        <f t="shared" si="7"/>
        <v>45735</v>
      </c>
      <c r="C79">
        <f t="shared" si="9"/>
        <v>12</v>
      </c>
      <c r="D79" t="str">
        <f t="shared" si="5"/>
        <v>19/03/2025</v>
      </c>
      <c r="E79" t="str">
        <f t="shared" si="6"/>
        <v>Mar</v>
      </c>
    </row>
    <row r="80" spans="1:5" x14ac:dyDescent="0.25">
      <c r="A80" t="str">
        <f t="shared" si="8"/>
        <v>Thu</v>
      </c>
      <c r="B80" s="1">
        <f t="shared" si="7"/>
        <v>45736</v>
      </c>
      <c r="C80">
        <f t="shared" si="9"/>
        <v>12</v>
      </c>
      <c r="D80" t="str">
        <f t="shared" si="5"/>
        <v>20/03/2025</v>
      </c>
      <c r="E80" t="str">
        <f t="shared" si="6"/>
        <v>Mar</v>
      </c>
    </row>
    <row r="81" spans="1:5" x14ac:dyDescent="0.25">
      <c r="A81" t="str">
        <f t="shared" si="8"/>
        <v>Fri</v>
      </c>
      <c r="B81" s="1">
        <f t="shared" si="7"/>
        <v>45737</v>
      </c>
      <c r="C81">
        <f t="shared" si="9"/>
        <v>12</v>
      </c>
      <c r="D81" t="str">
        <f t="shared" si="5"/>
        <v>21/03/2025</v>
      </c>
      <c r="E81" t="str">
        <f t="shared" si="6"/>
        <v>Mar</v>
      </c>
    </row>
    <row r="82" spans="1:5" x14ac:dyDescent="0.25">
      <c r="A82" t="str">
        <f t="shared" si="8"/>
        <v>Sat</v>
      </c>
      <c r="B82" s="1">
        <f t="shared" si="7"/>
        <v>45738</v>
      </c>
      <c r="C82">
        <f t="shared" si="9"/>
        <v>13</v>
      </c>
      <c r="D82" t="str">
        <f t="shared" si="5"/>
        <v>22/03/2025</v>
      </c>
      <c r="E82" t="str">
        <f t="shared" si="6"/>
        <v>Mar</v>
      </c>
    </row>
    <row r="83" spans="1:5" x14ac:dyDescent="0.25">
      <c r="A83" t="str">
        <f t="shared" si="8"/>
        <v>Sun</v>
      </c>
      <c r="B83" s="1">
        <f t="shared" si="7"/>
        <v>45739</v>
      </c>
      <c r="C83">
        <f t="shared" si="9"/>
        <v>13</v>
      </c>
      <c r="D83" t="str">
        <f t="shared" si="5"/>
        <v>23/03/2025</v>
      </c>
      <c r="E83" t="str">
        <f t="shared" si="6"/>
        <v>Mar</v>
      </c>
    </row>
    <row r="84" spans="1:5" x14ac:dyDescent="0.25">
      <c r="A84" t="str">
        <f t="shared" si="8"/>
        <v>Mon</v>
      </c>
      <c r="B84" s="1">
        <f t="shared" si="7"/>
        <v>45740</v>
      </c>
      <c r="C84">
        <f t="shared" si="9"/>
        <v>13</v>
      </c>
      <c r="D84" t="str">
        <f t="shared" si="5"/>
        <v>24/03/2025</v>
      </c>
      <c r="E84" t="str">
        <f t="shared" si="6"/>
        <v>Mar</v>
      </c>
    </row>
    <row r="85" spans="1:5" x14ac:dyDescent="0.25">
      <c r="A85" t="str">
        <f t="shared" si="8"/>
        <v>Tue</v>
      </c>
      <c r="B85" s="1">
        <f t="shared" si="7"/>
        <v>45741</v>
      </c>
      <c r="C85">
        <f t="shared" si="9"/>
        <v>13</v>
      </c>
      <c r="D85" t="str">
        <f t="shared" si="5"/>
        <v>25/03/2025</v>
      </c>
      <c r="E85" t="str">
        <f t="shared" si="6"/>
        <v>Mar</v>
      </c>
    </row>
    <row r="86" spans="1:5" x14ac:dyDescent="0.25">
      <c r="A86" t="str">
        <f t="shared" si="8"/>
        <v>Wed</v>
      </c>
      <c r="B86" s="1">
        <f t="shared" si="7"/>
        <v>45742</v>
      </c>
      <c r="C86">
        <f t="shared" si="9"/>
        <v>13</v>
      </c>
      <c r="D86" t="str">
        <f t="shared" si="5"/>
        <v>26/03/2025</v>
      </c>
      <c r="E86" t="str">
        <f t="shared" si="6"/>
        <v>Mar</v>
      </c>
    </row>
    <row r="87" spans="1:5" x14ac:dyDescent="0.25">
      <c r="A87" t="str">
        <f t="shared" si="8"/>
        <v>Thu</v>
      </c>
      <c r="B87" s="1">
        <f t="shared" si="7"/>
        <v>45743</v>
      </c>
      <c r="C87">
        <f t="shared" si="9"/>
        <v>13</v>
      </c>
      <c r="D87" t="str">
        <f t="shared" si="5"/>
        <v>27/03/2025</v>
      </c>
      <c r="E87" t="str">
        <f t="shared" si="6"/>
        <v>Mar</v>
      </c>
    </row>
    <row r="88" spans="1:5" x14ac:dyDescent="0.25">
      <c r="A88" t="str">
        <f t="shared" si="8"/>
        <v>Fri</v>
      </c>
      <c r="B88" s="1">
        <f t="shared" si="7"/>
        <v>45744</v>
      </c>
      <c r="C88">
        <f t="shared" si="9"/>
        <v>13</v>
      </c>
      <c r="D88" t="str">
        <f t="shared" si="5"/>
        <v>28/03/2025</v>
      </c>
      <c r="E88" t="str">
        <f t="shared" si="6"/>
        <v>Mar</v>
      </c>
    </row>
    <row r="89" spans="1:5" x14ac:dyDescent="0.25">
      <c r="A89" t="str">
        <f t="shared" si="8"/>
        <v>Sat</v>
      </c>
      <c r="B89" s="1">
        <f t="shared" si="7"/>
        <v>45745</v>
      </c>
      <c r="C89">
        <f t="shared" si="9"/>
        <v>14</v>
      </c>
      <c r="D89" t="str">
        <f t="shared" si="5"/>
        <v>29/03/2025</v>
      </c>
      <c r="E89" t="str">
        <f t="shared" si="6"/>
        <v>Mar</v>
      </c>
    </row>
    <row r="90" spans="1:5" x14ac:dyDescent="0.25">
      <c r="A90" t="str">
        <f t="shared" si="8"/>
        <v>Sun</v>
      </c>
      <c r="B90" s="1">
        <f t="shared" si="7"/>
        <v>45746</v>
      </c>
      <c r="C90">
        <f t="shared" si="9"/>
        <v>14</v>
      </c>
      <c r="D90" t="str">
        <f t="shared" si="5"/>
        <v>30/03/2025</v>
      </c>
      <c r="E90" t="str">
        <f t="shared" si="6"/>
        <v>Mar</v>
      </c>
    </row>
    <row r="91" spans="1:5" x14ac:dyDescent="0.25">
      <c r="A91" t="str">
        <f t="shared" si="8"/>
        <v>Mon</v>
      </c>
      <c r="B91" s="1">
        <f t="shared" si="7"/>
        <v>45747</v>
      </c>
      <c r="C91">
        <f t="shared" si="9"/>
        <v>14</v>
      </c>
      <c r="D91" t="str">
        <f t="shared" si="5"/>
        <v>31/03/2025</v>
      </c>
      <c r="E91" t="str">
        <f t="shared" si="6"/>
        <v>Mar</v>
      </c>
    </row>
    <row r="92" spans="1:5" x14ac:dyDescent="0.25">
      <c r="A92" t="str">
        <f t="shared" si="8"/>
        <v>Tue</v>
      </c>
      <c r="B92" s="1">
        <f t="shared" si="7"/>
        <v>45748</v>
      </c>
      <c r="C92">
        <f t="shared" si="9"/>
        <v>14</v>
      </c>
      <c r="D92" t="str">
        <f t="shared" si="5"/>
        <v>01/04/2025</v>
      </c>
      <c r="E92" t="str">
        <f t="shared" si="6"/>
        <v>Apr</v>
      </c>
    </row>
    <row r="93" spans="1:5" x14ac:dyDescent="0.25">
      <c r="A93" t="str">
        <f t="shared" si="8"/>
        <v>Wed</v>
      </c>
      <c r="B93" s="1">
        <f t="shared" si="7"/>
        <v>45749</v>
      </c>
      <c r="C93">
        <f t="shared" si="9"/>
        <v>14</v>
      </c>
      <c r="D93" t="str">
        <f t="shared" si="5"/>
        <v>02/04/2025</v>
      </c>
      <c r="E93" t="str">
        <f t="shared" si="6"/>
        <v>Apr</v>
      </c>
    </row>
    <row r="94" spans="1:5" x14ac:dyDescent="0.25">
      <c r="A94" t="str">
        <f t="shared" si="8"/>
        <v>Thu</v>
      </c>
      <c r="B94" s="1">
        <f t="shared" si="7"/>
        <v>45750</v>
      </c>
      <c r="C94">
        <f t="shared" si="9"/>
        <v>14</v>
      </c>
      <c r="D94" t="str">
        <f t="shared" si="5"/>
        <v>03/04/2025</v>
      </c>
      <c r="E94" t="str">
        <f t="shared" si="6"/>
        <v>Apr</v>
      </c>
    </row>
    <row r="95" spans="1:5" x14ac:dyDescent="0.25">
      <c r="A95" t="str">
        <f t="shared" si="8"/>
        <v>Fri</v>
      </c>
      <c r="B95" s="1">
        <f t="shared" si="7"/>
        <v>45751</v>
      </c>
      <c r="C95">
        <f t="shared" si="9"/>
        <v>14</v>
      </c>
      <c r="D95" t="str">
        <f t="shared" si="5"/>
        <v>04/04/2025</v>
      </c>
      <c r="E95" t="str">
        <f t="shared" si="6"/>
        <v>Apr</v>
      </c>
    </row>
    <row r="96" spans="1:5" x14ac:dyDescent="0.25">
      <c r="A96" t="str">
        <f t="shared" si="8"/>
        <v>Sat</v>
      </c>
      <c r="B96" s="1">
        <f t="shared" si="7"/>
        <v>45752</v>
      </c>
      <c r="C96">
        <f t="shared" si="9"/>
        <v>15</v>
      </c>
      <c r="D96" t="str">
        <f t="shared" si="5"/>
        <v>05/04/2025</v>
      </c>
      <c r="E96" t="str">
        <f t="shared" si="6"/>
        <v>Apr</v>
      </c>
    </row>
    <row r="97" spans="1:5" x14ac:dyDescent="0.25">
      <c r="A97" t="str">
        <f t="shared" si="8"/>
        <v>Sun</v>
      </c>
      <c r="B97" s="1">
        <f t="shared" si="7"/>
        <v>45753</v>
      </c>
      <c r="C97">
        <f t="shared" si="9"/>
        <v>15</v>
      </c>
      <c r="D97" t="str">
        <f t="shared" si="5"/>
        <v>06/04/2025</v>
      </c>
      <c r="E97" t="str">
        <f t="shared" si="6"/>
        <v>Apr</v>
      </c>
    </row>
    <row r="98" spans="1:5" x14ac:dyDescent="0.25">
      <c r="A98" t="str">
        <f t="shared" si="8"/>
        <v>Mon</v>
      </c>
      <c r="B98" s="1">
        <f t="shared" si="7"/>
        <v>45754</v>
      </c>
      <c r="C98">
        <f t="shared" si="9"/>
        <v>15</v>
      </c>
      <c r="D98" t="str">
        <f t="shared" si="5"/>
        <v>07/04/2025</v>
      </c>
      <c r="E98" t="str">
        <f t="shared" si="6"/>
        <v>Apr</v>
      </c>
    </row>
    <row r="99" spans="1:5" x14ac:dyDescent="0.25">
      <c r="A99" t="str">
        <f t="shared" si="8"/>
        <v>Tue</v>
      </c>
      <c r="B99" s="1">
        <f t="shared" si="7"/>
        <v>45755</v>
      </c>
      <c r="C99">
        <f t="shared" si="9"/>
        <v>15</v>
      </c>
      <c r="D99" t="str">
        <f t="shared" si="5"/>
        <v>08/04/2025</v>
      </c>
      <c r="E99" t="str">
        <f t="shared" si="6"/>
        <v>Apr</v>
      </c>
    </row>
    <row r="100" spans="1:5" x14ac:dyDescent="0.25">
      <c r="A100" t="str">
        <f t="shared" si="8"/>
        <v>Wed</v>
      </c>
      <c r="B100" s="1">
        <f t="shared" si="7"/>
        <v>45756</v>
      </c>
      <c r="C100">
        <f t="shared" si="9"/>
        <v>15</v>
      </c>
      <c r="D100" t="str">
        <f t="shared" si="5"/>
        <v>09/04/2025</v>
      </c>
      <c r="E100" t="str">
        <f t="shared" si="6"/>
        <v>Apr</v>
      </c>
    </row>
    <row r="101" spans="1:5" x14ac:dyDescent="0.25">
      <c r="A101" t="str">
        <f t="shared" si="8"/>
        <v>Thu</v>
      </c>
      <c r="B101" s="1">
        <f t="shared" si="7"/>
        <v>45757</v>
      </c>
      <c r="C101">
        <f t="shared" si="9"/>
        <v>15</v>
      </c>
      <c r="D101" t="str">
        <f t="shared" si="5"/>
        <v>10/04/2025</v>
      </c>
      <c r="E101" t="str">
        <f t="shared" si="6"/>
        <v>Apr</v>
      </c>
    </row>
    <row r="102" spans="1:5" x14ac:dyDescent="0.25">
      <c r="A102" t="str">
        <f t="shared" si="8"/>
        <v>Fri</v>
      </c>
      <c r="B102" s="1">
        <f t="shared" si="7"/>
        <v>45758</v>
      </c>
      <c r="C102">
        <f t="shared" si="9"/>
        <v>15</v>
      </c>
      <c r="D102" t="str">
        <f t="shared" si="5"/>
        <v>11/04/2025</v>
      </c>
      <c r="E102" t="str">
        <f t="shared" si="6"/>
        <v>Apr</v>
      </c>
    </row>
    <row r="103" spans="1:5" x14ac:dyDescent="0.25">
      <c r="A103" t="str">
        <f t="shared" si="8"/>
        <v>Sat</v>
      </c>
      <c r="B103" s="1">
        <f t="shared" si="7"/>
        <v>45759</v>
      </c>
      <c r="C103">
        <f t="shared" si="9"/>
        <v>16</v>
      </c>
      <c r="D103" t="str">
        <f t="shared" si="5"/>
        <v>12/04/2025</v>
      </c>
      <c r="E103" t="str">
        <f t="shared" si="6"/>
        <v>Apr</v>
      </c>
    </row>
    <row r="104" spans="1:5" x14ac:dyDescent="0.25">
      <c r="A104" t="str">
        <f t="shared" si="8"/>
        <v>Sun</v>
      </c>
      <c r="B104" s="1">
        <f t="shared" si="7"/>
        <v>45760</v>
      </c>
      <c r="C104">
        <f t="shared" si="9"/>
        <v>16</v>
      </c>
      <c r="D104" t="str">
        <f t="shared" si="5"/>
        <v>13/04/2025</v>
      </c>
      <c r="E104" t="str">
        <f t="shared" si="6"/>
        <v>Apr</v>
      </c>
    </row>
    <row r="105" spans="1:5" x14ac:dyDescent="0.25">
      <c r="A105" t="str">
        <f t="shared" si="8"/>
        <v>Mon</v>
      </c>
      <c r="B105" s="1">
        <f t="shared" si="7"/>
        <v>45761</v>
      </c>
      <c r="C105">
        <f t="shared" si="9"/>
        <v>16</v>
      </c>
      <c r="D105" t="str">
        <f t="shared" si="5"/>
        <v>14/04/2025</v>
      </c>
      <c r="E105" t="str">
        <f t="shared" si="6"/>
        <v>Apr</v>
      </c>
    </row>
    <row r="106" spans="1:5" x14ac:dyDescent="0.25">
      <c r="A106" t="str">
        <f t="shared" si="8"/>
        <v>Tue</v>
      </c>
      <c r="B106" s="1">
        <f t="shared" si="7"/>
        <v>45762</v>
      </c>
      <c r="C106">
        <f t="shared" si="9"/>
        <v>16</v>
      </c>
      <c r="D106" t="str">
        <f t="shared" si="5"/>
        <v>15/04/2025</v>
      </c>
      <c r="E106" t="str">
        <f t="shared" si="6"/>
        <v>Apr</v>
      </c>
    </row>
    <row r="107" spans="1:5" x14ac:dyDescent="0.25">
      <c r="A107" t="str">
        <f t="shared" si="8"/>
        <v>Wed</v>
      </c>
      <c r="B107" s="1">
        <f t="shared" si="7"/>
        <v>45763</v>
      </c>
      <c r="C107">
        <f t="shared" si="9"/>
        <v>16</v>
      </c>
      <c r="D107" t="str">
        <f t="shared" si="5"/>
        <v>16/04/2025</v>
      </c>
      <c r="E107" t="str">
        <f t="shared" si="6"/>
        <v>Apr</v>
      </c>
    </row>
    <row r="108" spans="1:5" x14ac:dyDescent="0.25">
      <c r="A108" t="str">
        <f t="shared" si="8"/>
        <v>Thu</v>
      </c>
      <c r="B108" s="1">
        <f t="shared" si="7"/>
        <v>45764</v>
      </c>
      <c r="C108">
        <f t="shared" si="9"/>
        <v>16</v>
      </c>
      <c r="D108" t="str">
        <f t="shared" si="5"/>
        <v>17/04/2025</v>
      </c>
      <c r="E108" t="str">
        <f t="shared" si="6"/>
        <v>Apr</v>
      </c>
    </row>
    <row r="109" spans="1:5" x14ac:dyDescent="0.25">
      <c r="A109" t="str">
        <f t="shared" si="8"/>
        <v>Fri</v>
      </c>
      <c r="B109" s="1">
        <f t="shared" si="7"/>
        <v>45765</v>
      </c>
      <c r="C109">
        <f t="shared" si="9"/>
        <v>16</v>
      </c>
      <c r="D109" t="str">
        <f t="shared" si="5"/>
        <v>18/04/2025</v>
      </c>
      <c r="E109" t="str">
        <f t="shared" si="6"/>
        <v>Apr</v>
      </c>
    </row>
    <row r="110" spans="1:5" x14ac:dyDescent="0.25">
      <c r="A110" t="str">
        <f t="shared" si="8"/>
        <v>Sat</v>
      </c>
      <c r="B110" s="1">
        <f t="shared" si="7"/>
        <v>45766</v>
      </c>
      <c r="C110">
        <f t="shared" si="9"/>
        <v>17</v>
      </c>
      <c r="D110" t="str">
        <f t="shared" si="5"/>
        <v>19/04/2025</v>
      </c>
      <c r="E110" t="str">
        <f t="shared" si="6"/>
        <v>Apr</v>
      </c>
    </row>
    <row r="111" spans="1:5" x14ac:dyDescent="0.25">
      <c r="A111" t="str">
        <f t="shared" si="8"/>
        <v>Sun</v>
      </c>
      <c r="B111" s="1">
        <f t="shared" si="7"/>
        <v>45767</v>
      </c>
      <c r="C111">
        <f t="shared" si="9"/>
        <v>17</v>
      </c>
      <c r="D111" t="str">
        <f t="shared" si="5"/>
        <v>20/04/2025</v>
      </c>
      <c r="E111" t="str">
        <f t="shared" si="6"/>
        <v>Apr</v>
      </c>
    </row>
    <row r="112" spans="1:5" x14ac:dyDescent="0.25">
      <c r="A112" t="str">
        <f t="shared" si="8"/>
        <v>Mon</v>
      </c>
      <c r="B112" s="1">
        <f t="shared" si="7"/>
        <v>45768</v>
      </c>
      <c r="C112">
        <f t="shared" si="9"/>
        <v>17</v>
      </c>
      <c r="D112" t="str">
        <f t="shared" si="5"/>
        <v>21/04/2025</v>
      </c>
      <c r="E112" t="str">
        <f t="shared" si="6"/>
        <v>Apr</v>
      </c>
    </row>
    <row r="113" spans="1:5" x14ac:dyDescent="0.25">
      <c r="A113" t="str">
        <f t="shared" si="8"/>
        <v>Tue</v>
      </c>
      <c r="B113" s="1">
        <f t="shared" si="7"/>
        <v>45769</v>
      </c>
      <c r="C113">
        <f t="shared" si="9"/>
        <v>17</v>
      </c>
      <c r="D113" t="str">
        <f t="shared" si="5"/>
        <v>22/04/2025</v>
      </c>
      <c r="E113" t="str">
        <f t="shared" si="6"/>
        <v>Apr</v>
      </c>
    </row>
    <row r="114" spans="1:5" x14ac:dyDescent="0.25">
      <c r="A114" t="str">
        <f t="shared" si="8"/>
        <v>Wed</v>
      </c>
      <c r="B114" s="1">
        <f t="shared" si="7"/>
        <v>45770</v>
      </c>
      <c r="C114">
        <f t="shared" si="9"/>
        <v>17</v>
      </c>
      <c r="D114" t="str">
        <f t="shared" si="5"/>
        <v>23/04/2025</v>
      </c>
      <c r="E114" t="str">
        <f t="shared" si="6"/>
        <v>Apr</v>
      </c>
    </row>
    <row r="115" spans="1:5" x14ac:dyDescent="0.25">
      <c r="A115" t="str">
        <f t="shared" si="8"/>
        <v>Thu</v>
      </c>
      <c r="B115" s="1">
        <f t="shared" si="7"/>
        <v>45771</v>
      </c>
      <c r="C115">
        <f t="shared" si="9"/>
        <v>17</v>
      </c>
      <c r="D115" t="str">
        <f t="shared" si="5"/>
        <v>24/04/2025</v>
      </c>
      <c r="E115" t="str">
        <f t="shared" si="6"/>
        <v>Apr</v>
      </c>
    </row>
    <row r="116" spans="1:5" x14ac:dyDescent="0.25">
      <c r="A116" t="str">
        <f t="shared" si="8"/>
        <v>Fri</v>
      </c>
      <c r="B116" s="1">
        <f t="shared" si="7"/>
        <v>45772</v>
      </c>
      <c r="C116">
        <f t="shared" si="9"/>
        <v>17</v>
      </c>
      <c r="D116" t="str">
        <f t="shared" si="5"/>
        <v>25/04/2025</v>
      </c>
      <c r="E116" t="str">
        <f t="shared" si="6"/>
        <v>Apr</v>
      </c>
    </row>
    <row r="117" spans="1:5" x14ac:dyDescent="0.25">
      <c r="A117" t="str">
        <f t="shared" si="8"/>
        <v>Sat</v>
      </c>
      <c r="B117" s="1">
        <f t="shared" si="7"/>
        <v>45773</v>
      </c>
      <c r="C117">
        <f t="shared" si="9"/>
        <v>18</v>
      </c>
      <c r="D117" t="str">
        <f t="shared" si="5"/>
        <v>26/04/2025</v>
      </c>
      <c r="E117" t="str">
        <f t="shared" si="6"/>
        <v>Apr</v>
      </c>
    </row>
    <row r="118" spans="1:5" x14ac:dyDescent="0.25">
      <c r="A118" t="str">
        <f t="shared" si="8"/>
        <v>Sun</v>
      </c>
      <c r="B118" s="1">
        <f t="shared" si="7"/>
        <v>45774</v>
      </c>
      <c r="C118">
        <f t="shared" si="9"/>
        <v>18</v>
      </c>
      <c r="D118" t="str">
        <f t="shared" si="5"/>
        <v>27/04/2025</v>
      </c>
      <c r="E118" t="str">
        <f t="shared" si="6"/>
        <v>Apr</v>
      </c>
    </row>
    <row r="119" spans="1:5" x14ac:dyDescent="0.25">
      <c r="A119" t="str">
        <f t="shared" si="8"/>
        <v>Mon</v>
      </c>
      <c r="B119" s="1">
        <f t="shared" si="7"/>
        <v>45775</v>
      </c>
      <c r="C119">
        <f t="shared" si="9"/>
        <v>18</v>
      </c>
      <c r="D119" t="str">
        <f t="shared" si="5"/>
        <v>28/04/2025</v>
      </c>
      <c r="E119" t="str">
        <f t="shared" si="6"/>
        <v>Apr</v>
      </c>
    </row>
    <row r="120" spans="1:5" x14ac:dyDescent="0.25">
      <c r="A120" t="str">
        <f t="shared" si="8"/>
        <v>Tue</v>
      </c>
      <c r="B120" s="1">
        <f t="shared" si="7"/>
        <v>45776</v>
      </c>
      <c r="C120">
        <f t="shared" si="9"/>
        <v>18</v>
      </c>
      <c r="D120" t="str">
        <f t="shared" si="5"/>
        <v>29/04/2025</v>
      </c>
      <c r="E120" t="str">
        <f t="shared" si="6"/>
        <v>Apr</v>
      </c>
    </row>
    <row r="121" spans="1:5" x14ac:dyDescent="0.25">
      <c r="A121" t="str">
        <f t="shared" si="8"/>
        <v>Wed</v>
      </c>
      <c r="B121" s="1">
        <f t="shared" si="7"/>
        <v>45777</v>
      </c>
      <c r="C121">
        <f t="shared" si="9"/>
        <v>18</v>
      </c>
      <c r="D121" t="str">
        <f t="shared" si="5"/>
        <v>30/04/2025</v>
      </c>
      <c r="E121" t="str">
        <f t="shared" si="6"/>
        <v>Apr</v>
      </c>
    </row>
    <row r="122" spans="1:5" x14ac:dyDescent="0.25">
      <c r="A122" t="str">
        <f t="shared" si="8"/>
        <v>Thu</v>
      </c>
      <c r="B122" s="1">
        <f t="shared" si="7"/>
        <v>45778</v>
      </c>
      <c r="C122">
        <f t="shared" si="9"/>
        <v>18</v>
      </c>
      <c r="D122" t="str">
        <f t="shared" si="5"/>
        <v>01/05/2025</v>
      </c>
      <c r="E122" t="str">
        <f t="shared" si="6"/>
        <v>May</v>
      </c>
    </row>
    <row r="123" spans="1:5" x14ac:dyDescent="0.25">
      <c r="A123" t="str">
        <f t="shared" si="8"/>
        <v>Fri</v>
      </c>
      <c r="B123" s="1">
        <f t="shared" si="7"/>
        <v>45779</v>
      </c>
      <c r="C123">
        <f t="shared" si="9"/>
        <v>18</v>
      </c>
      <c r="D123" t="str">
        <f t="shared" si="5"/>
        <v>02/05/2025</v>
      </c>
      <c r="E123" t="str">
        <f t="shared" si="6"/>
        <v>May</v>
      </c>
    </row>
    <row r="124" spans="1:5" x14ac:dyDescent="0.25">
      <c r="A124" t="str">
        <f t="shared" si="8"/>
        <v>Sat</v>
      </c>
      <c r="B124" s="1">
        <f t="shared" si="7"/>
        <v>45780</v>
      </c>
      <c r="C124">
        <f t="shared" si="9"/>
        <v>19</v>
      </c>
      <c r="D124" t="str">
        <f t="shared" si="5"/>
        <v>03/05/2025</v>
      </c>
      <c r="E124" t="str">
        <f t="shared" si="6"/>
        <v>May</v>
      </c>
    </row>
    <row r="125" spans="1:5" x14ac:dyDescent="0.25">
      <c r="A125" t="str">
        <f t="shared" si="8"/>
        <v>Sun</v>
      </c>
      <c r="B125" s="1">
        <f t="shared" si="7"/>
        <v>45781</v>
      </c>
      <c r="C125">
        <f t="shared" si="9"/>
        <v>19</v>
      </c>
      <c r="D125" t="str">
        <f t="shared" si="5"/>
        <v>04/05/2025</v>
      </c>
      <c r="E125" t="str">
        <f t="shared" si="6"/>
        <v>May</v>
      </c>
    </row>
    <row r="126" spans="1:5" x14ac:dyDescent="0.25">
      <c r="A126" t="str">
        <f t="shared" si="8"/>
        <v>Mon</v>
      </c>
      <c r="B126" s="1">
        <f t="shared" si="7"/>
        <v>45782</v>
      </c>
      <c r="C126">
        <f t="shared" si="9"/>
        <v>19</v>
      </c>
      <c r="D126" t="str">
        <f t="shared" si="5"/>
        <v>05/05/2025</v>
      </c>
      <c r="E126" t="str">
        <f t="shared" si="6"/>
        <v>May</v>
      </c>
    </row>
    <row r="127" spans="1:5" x14ac:dyDescent="0.25">
      <c r="A127" t="str">
        <f t="shared" si="8"/>
        <v>Tue</v>
      </c>
      <c r="B127" s="1">
        <f t="shared" si="7"/>
        <v>45783</v>
      </c>
      <c r="C127">
        <f t="shared" si="9"/>
        <v>19</v>
      </c>
      <c r="D127" t="str">
        <f t="shared" si="5"/>
        <v>06/05/2025</v>
      </c>
      <c r="E127" t="str">
        <f t="shared" si="6"/>
        <v>May</v>
      </c>
    </row>
    <row r="128" spans="1:5" x14ac:dyDescent="0.25">
      <c r="A128" t="str">
        <f t="shared" si="8"/>
        <v>Wed</v>
      </c>
      <c r="B128" s="1">
        <f t="shared" si="7"/>
        <v>45784</v>
      </c>
      <c r="C128">
        <f t="shared" si="9"/>
        <v>19</v>
      </c>
      <c r="D128" t="str">
        <f t="shared" si="5"/>
        <v>07/05/2025</v>
      </c>
      <c r="E128" t="str">
        <f t="shared" si="6"/>
        <v>May</v>
      </c>
    </row>
    <row r="129" spans="1:5" x14ac:dyDescent="0.25">
      <c r="A129" t="str">
        <f t="shared" si="8"/>
        <v>Thu</v>
      </c>
      <c r="B129" s="1">
        <f t="shared" si="7"/>
        <v>45785</v>
      </c>
      <c r="C129">
        <f t="shared" si="9"/>
        <v>19</v>
      </c>
      <c r="D129" t="str">
        <f t="shared" si="5"/>
        <v>08/05/2025</v>
      </c>
      <c r="E129" t="str">
        <f t="shared" si="6"/>
        <v>May</v>
      </c>
    </row>
    <row r="130" spans="1:5" x14ac:dyDescent="0.25">
      <c r="A130" t="str">
        <f t="shared" si="8"/>
        <v>Fri</v>
      </c>
      <c r="B130" s="1">
        <f t="shared" si="7"/>
        <v>45786</v>
      </c>
      <c r="C130">
        <f t="shared" si="9"/>
        <v>19</v>
      </c>
      <c r="D130" t="str">
        <f t="shared" si="5"/>
        <v>09/05/2025</v>
      </c>
      <c r="E130" t="str">
        <f t="shared" si="6"/>
        <v>May</v>
      </c>
    </row>
    <row r="131" spans="1:5" x14ac:dyDescent="0.25">
      <c r="A131" t="str">
        <f t="shared" si="8"/>
        <v>Sat</v>
      </c>
      <c r="B131" s="1">
        <f t="shared" si="7"/>
        <v>45787</v>
      </c>
      <c r="C131">
        <f t="shared" si="9"/>
        <v>20</v>
      </c>
      <c r="D131" t="str">
        <f t="shared" ref="D131:D194" si="10">TEXT(B131,"DD")&amp;"/"&amp;TEXT(B131,"MM")&amp;"/"&amp;TEXT(B131,"YYYY")</f>
        <v>10/05/2025</v>
      </c>
      <c r="E131" t="str">
        <f t="shared" ref="E131:E194" si="11">TEXT(B131,"MMM")</f>
        <v>May</v>
      </c>
    </row>
    <row r="132" spans="1:5" x14ac:dyDescent="0.25">
      <c r="A132" t="str">
        <f t="shared" si="8"/>
        <v>Sun</v>
      </c>
      <c r="B132" s="1">
        <f t="shared" ref="B132:B195" si="12">+B131+1</f>
        <v>45788</v>
      </c>
      <c r="C132">
        <f t="shared" si="9"/>
        <v>20</v>
      </c>
      <c r="D132" t="str">
        <f t="shared" si="10"/>
        <v>11/05/2025</v>
      </c>
      <c r="E132" t="str">
        <f t="shared" si="11"/>
        <v>May</v>
      </c>
    </row>
    <row r="133" spans="1:5" x14ac:dyDescent="0.25">
      <c r="A133" t="str">
        <f t="shared" ref="A133:A196" si="13">TEXT(B133,"ddd")</f>
        <v>Mon</v>
      </c>
      <c r="B133" s="1">
        <f t="shared" si="12"/>
        <v>45789</v>
      </c>
      <c r="C133">
        <f t="shared" ref="C133:C196" si="14">IF(A133="Sat",C132+1,C132)</f>
        <v>20</v>
      </c>
      <c r="D133" t="str">
        <f t="shared" si="10"/>
        <v>12/05/2025</v>
      </c>
      <c r="E133" t="str">
        <f t="shared" si="11"/>
        <v>May</v>
      </c>
    </row>
    <row r="134" spans="1:5" x14ac:dyDescent="0.25">
      <c r="A134" t="str">
        <f t="shared" si="13"/>
        <v>Tue</v>
      </c>
      <c r="B134" s="1">
        <f t="shared" si="12"/>
        <v>45790</v>
      </c>
      <c r="C134">
        <f t="shared" si="14"/>
        <v>20</v>
      </c>
      <c r="D134" t="str">
        <f t="shared" si="10"/>
        <v>13/05/2025</v>
      </c>
      <c r="E134" t="str">
        <f t="shared" si="11"/>
        <v>May</v>
      </c>
    </row>
    <row r="135" spans="1:5" x14ac:dyDescent="0.25">
      <c r="A135" t="str">
        <f t="shared" si="13"/>
        <v>Wed</v>
      </c>
      <c r="B135" s="1">
        <f t="shared" si="12"/>
        <v>45791</v>
      </c>
      <c r="C135">
        <f t="shared" si="14"/>
        <v>20</v>
      </c>
      <c r="D135" t="str">
        <f t="shared" si="10"/>
        <v>14/05/2025</v>
      </c>
      <c r="E135" t="str">
        <f t="shared" si="11"/>
        <v>May</v>
      </c>
    </row>
    <row r="136" spans="1:5" x14ac:dyDescent="0.25">
      <c r="A136" t="str">
        <f t="shared" si="13"/>
        <v>Thu</v>
      </c>
      <c r="B136" s="1">
        <f t="shared" si="12"/>
        <v>45792</v>
      </c>
      <c r="C136">
        <f t="shared" si="14"/>
        <v>20</v>
      </c>
      <c r="D136" t="str">
        <f t="shared" si="10"/>
        <v>15/05/2025</v>
      </c>
      <c r="E136" t="str">
        <f t="shared" si="11"/>
        <v>May</v>
      </c>
    </row>
    <row r="137" spans="1:5" x14ac:dyDescent="0.25">
      <c r="A137" t="str">
        <f t="shared" si="13"/>
        <v>Fri</v>
      </c>
      <c r="B137" s="1">
        <f t="shared" si="12"/>
        <v>45793</v>
      </c>
      <c r="C137">
        <f t="shared" si="14"/>
        <v>20</v>
      </c>
      <c r="D137" t="str">
        <f t="shared" si="10"/>
        <v>16/05/2025</v>
      </c>
      <c r="E137" t="str">
        <f t="shared" si="11"/>
        <v>May</v>
      </c>
    </row>
    <row r="138" spans="1:5" x14ac:dyDescent="0.25">
      <c r="A138" t="str">
        <f t="shared" si="13"/>
        <v>Sat</v>
      </c>
      <c r="B138" s="1">
        <f t="shared" si="12"/>
        <v>45794</v>
      </c>
      <c r="C138">
        <f t="shared" si="14"/>
        <v>21</v>
      </c>
      <c r="D138" t="str">
        <f t="shared" si="10"/>
        <v>17/05/2025</v>
      </c>
      <c r="E138" t="str">
        <f t="shared" si="11"/>
        <v>May</v>
      </c>
    </row>
    <row r="139" spans="1:5" x14ac:dyDescent="0.25">
      <c r="A139" t="str">
        <f t="shared" si="13"/>
        <v>Sun</v>
      </c>
      <c r="B139" s="1">
        <f t="shared" si="12"/>
        <v>45795</v>
      </c>
      <c r="C139">
        <f t="shared" si="14"/>
        <v>21</v>
      </c>
      <c r="D139" t="str">
        <f t="shared" si="10"/>
        <v>18/05/2025</v>
      </c>
      <c r="E139" t="str">
        <f t="shared" si="11"/>
        <v>May</v>
      </c>
    </row>
    <row r="140" spans="1:5" x14ac:dyDescent="0.25">
      <c r="A140" t="str">
        <f t="shared" si="13"/>
        <v>Mon</v>
      </c>
      <c r="B140" s="1">
        <f t="shared" si="12"/>
        <v>45796</v>
      </c>
      <c r="C140">
        <f t="shared" si="14"/>
        <v>21</v>
      </c>
      <c r="D140" t="str">
        <f t="shared" si="10"/>
        <v>19/05/2025</v>
      </c>
      <c r="E140" t="str">
        <f t="shared" si="11"/>
        <v>May</v>
      </c>
    </row>
    <row r="141" spans="1:5" x14ac:dyDescent="0.25">
      <c r="A141" t="str">
        <f t="shared" si="13"/>
        <v>Tue</v>
      </c>
      <c r="B141" s="1">
        <f t="shared" si="12"/>
        <v>45797</v>
      </c>
      <c r="C141">
        <f t="shared" si="14"/>
        <v>21</v>
      </c>
      <c r="D141" t="str">
        <f t="shared" si="10"/>
        <v>20/05/2025</v>
      </c>
      <c r="E141" t="str">
        <f t="shared" si="11"/>
        <v>May</v>
      </c>
    </row>
    <row r="142" spans="1:5" x14ac:dyDescent="0.25">
      <c r="A142" t="str">
        <f t="shared" si="13"/>
        <v>Wed</v>
      </c>
      <c r="B142" s="1">
        <f t="shared" si="12"/>
        <v>45798</v>
      </c>
      <c r="C142">
        <f t="shared" si="14"/>
        <v>21</v>
      </c>
      <c r="D142" t="str">
        <f t="shared" si="10"/>
        <v>21/05/2025</v>
      </c>
      <c r="E142" t="str">
        <f t="shared" si="11"/>
        <v>May</v>
      </c>
    </row>
    <row r="143" spans="1:5" x14ac:dyDescent="0.25">
      <c r="A143" t="str">
        <f t="shared" si="13"/>
        <v>Thu</v>
      </c>
      <c r="B143" s="1">
        <f t="shared" si="12"/>
        <v>45799</v>
      </c>
      <c r="C143">
        <f t="shared" si="14"/>
        <v>21</v>
      </c>
      <c r="D143" t="str">
        <f t="shared" si="10"/>
        <v>22/05/2025</v>
      </c>
      <c r="E143" t="str">
        <f t="shared" si="11"/>
        <v>May</v>
      </c>
    </row>
    <row r="144" spans="1:5" x14ac:dyDescent="0.25">
      <c r="A144" t="str">
        <f t="shared" si="13"/>
        <v>Fri</v>
      </c>
      <c r="B144" s="1">
        <f t="shared" si="12"/>
        <v>45800</v>
      </c>
      <c r="C144">
        <f t="shared" si="14"/>
        <v>21</v>
      </c>
      <c r="D144" t="str">
        <f t="shared" si="10"/>
        <v>23/05/2025</v>
      </c>
      <c r="E144" t="str">
        <f t="shared" si="11"/>
        <v>May</v>
      </c>
    </row>
    <row r="145" spans="1:5" x14ac:dyDescent="0.25">
      <c r="A145" t="str">
        <f t="shared" si="13"/>
        <v>Sat</v>
      </c>
      <c r="B145" s="1">
        <f t="shared" si="12"/>
        <v>45801</v>
      </c>
      <c r="C145">
        <f t="shared" si="14"/>
        <v>22</v>
      </c>
      <c r="D145" t="str">
        <f t="shared" si="10"/>
        <v>24/05/2025</v>
      </c>
      <c r="E145" t="str">
        <f t="shared" si="11"/>
        <v>May</v>
      </c>
    </row>
    <row r="146" spans="1:5" x14ac:dyDescent="0.25">
      <c r="A146" t="str">
        <f t="shared" si="13"/>
        <v>Sun</v>
      </c>
      <c r="B146" s="1">
        <f t="shared" si="12"/>
        <v>45802</v>
      </c>
      <c r="C146">
        <f t="shared" si="14"/>
        <v>22</v>
      </c>
      <c r="D146" t="str">
        <f t="shared" si="10"/>
        <v>25/05/2025</v>
      </c>
      <c r="E146" t="str">
        <f t="shared" si="11"/>
        <v>May</v>
      </c>
    </row>
    <row r="147" spans="1:5" x14ac:dyDescent="0.25">
      <c r="A147" t="str">
        <f t="shared" si="13"/>
        <v>Mon</v>
      </c>
      <c r="B147" s="1">
        <f t="shared" si="12"/>
        <v>45803</v>
      </c>
      <c r="C147">
        <f t="shared" si="14"/>
        <v>22</v>
      </c>
      <c r="D147" t="str">
        <f t="shared" si="10"/>
        <v>26/05/2025</v>
      </c>
      <c r="E147" t="str">
        <f t="shared" si="11"/>
        <v>May</v>
      </c>
    </row>
    <row r="148" spans="1:5" x14ac:dyDescent="0.25">
      <c r="A148" t="str">
        <f t="shared" si="13"/>
        <v>Tue</v>
      </c>
      <c r="B148" s="1">
        <f t="shared" si="12"/>
        <v>45804</v>
      </c>
      <c r="C148">
        <f t="shared" si="14"/>
        <v>22</v>
      </c>
      <c r="D148" t="str">
        <f t="shared" si="10"/>
        <v>27/05/2025</v>
      </c>
      <c r="E148" t="str">
        <f t="shared" si="11"/>
        <v>May</v>
      </c>
    </row>
    <row r="149" spans="1:5" x14ac:dyDescent="0.25">
      <c r="A149" t="str">
        <f t="shared" si="13"/>
        <v>Wed</v>
      </c>
      <c r="B149" s="1">
        <f t="shared" si="12"/>
        <v>45805</v>
      </c>
      <c r="C149">
        <f t="shared" si="14"/>
        <v>22</v>
      </c>
      <c r="D149" t="str">
        <f t="shared" si="10"/>
        <v>28/05/2025</v>
      </c>
      <c r="E149" t="str">
        <f t="shared" si="11"/>
        <v>May</v>
      </c>
    </row>
    <row r="150" spans="1:5" x14ac:dyDescent="0.25">
      <c r="A150" t="str">
        <f t="shared" si="13"/>
        <v>Thu</v>
      </c>
      <c r="B150" s="1">
        <f t="shared" si="12"/>
        <v>45806</v>
      </c>
      <c r="C150">
        <f t="shared" si="14"/>
        <v>22</v>
      </c>
      <c r="D150" t="str">
        <f t="shared" si="10"/>
        <v>29/05/2025</v>
      </c>
      <c r="E150" t="str">
        <f t="shared" si="11"/>
        <v>May</v>
      </c>
    </row>
    <row r="151" spans="1:5" x14ac:dyDescent="0.25">
      <c r="A151" t="str">
        <f t="shared" si="13"/>
        <v>Fri</v>
      </c>
      <c r="B151" s="1">
        <f t="shared" si="12"/>
        <v>45807</v>
      </c>
      <c r="C151">
        <f t="shared" si="14"/>
        <v>22</v>
      </c>
      <c r="D151" t="str">
        <f t="shared" si="10"/>
        <v>30/05/2025</v>
      </c>
      <c r="E151" t="str">
        <f t="shared" si="11"/>
        <v>May</v>
      </c>
    </row>
    <row r="152" spans="1:5" x14ac:dyDescent="0.25">
      <c r="A152" t="str">
        <f t="shared" si="13"/>
        <v>Sat</v>
      </c>
      <c r="B152" s="1">
        <f t="shared" si="12"/>
        <v>45808</v>
      </c>
      <c r="C152">
        <f t="shared" si="14"/>
        <v>23</v>
      </c>
      <c r="D152" t="str">
        <f t="shared" si="10"/>
        <v>31/05/2025</v>
      </c>
      <c r="E152" t="str">
        <f t="shared" si="11"/>
        <v>May</v>
      </c>
    </row>
    <row r="153" spans="1:5" x14ac:dyDescent="0.25">
      <c r="A153" t="str">
        <f t="shared" si="13"/>
        <v>Sun</v>
      </c>
      <c r="B153" s="1">
        <f t="shared" si="12"/>
        <v>45809</v>
      </c>
      <c r="C153">
        <f t="shared" si="14"/>
        <v>23</v>
      </c>
      <c r="D153" t="str">
        <f t="shared" si="10"/>
        <v>01/06/2025</v>
      </c>
      <c r="E153" t="str">
        <f t="shared" si="11"/>
        <v>Jun</v>
      </c>
    </row>
    <row r="154" spans="1:5" x14ac:dyDescent="0.25">
      <c r="A154" t="str">
        <f t="shared" si="13"/>
        <v>Mon</v>
      </c>
      <c r="B154" s="1">
        <f t="shared" si="12"/>
        <v>45810</v>
      </c>
      <c r="C154">
        <f t="shared" si="14"/>
        <v>23</v>
      </c>
      <c r="D154" t="str">
        <f t="shared" si="10"/>
        <v>02/06/2025</v>
      </c>
      <c r="E154" t="str">
        <f t="shared" si="11"/>
        <v>Jun</v>
      </c>
    </row>
    <row r="155" spans="1:5" x14ac:dyDescent="0.25">
      <c r="A155" t="str">
        <f t="shared" si="13"/>
        <v>Tue</v>
      </c>
      <c r="B155" s="1">
        <f t="shared" si="12"/>
        <v>45811</v>
      </c>
      <c r="C155">
        <f t="shared" si="14"/>
        <v>23</v>
      </c>
      <c r="D155" t="str">
        <f t="shared" si="10"/>
        <v>03/06/2025</v>
      </c>
      <c r="E155" t="str">
        <f t="shared" si="11"/>
        <v>Jun</v>
      </c>
    </row>
    <row r="156" spans="1:5" x14ac:dyDescent="0.25">
      <c r="A156" t="str">
        <f t="shared" si="13"/>
        <v>Wed</v>
      </c>
      <c r="B156" s="1">
        <f t="shared" si="12"/>
        <v>45812</v>
      </c>
      <c r="C156">
        <f t="shared" si="14"/>
        <v>23</v>
      </c>
      <c r="D156" t="str">
        <f t="shared" si="10"/>
        <v>04/06/2025</v>
      </c>
      <c r="E156" t="str">
        <f t="shared" si="11"/>
        <v>Jun</v>
      </c>
    </row>
    <row r="157" spans="1:5" x14ac:dyDescent="0.25">
      <c r="A157" t="str">
        <f t="shared" si="13"/>
        <v>Thu</v>
      </c>
      <c r="B157" s="1">
        <f t="shared" si="12"/>
        <v>45813</v>
      </c>
      <c r="C157">
        <f t="shared" si="14"/>
        <v>23</v>
      </c>
      <c r="D157" t="str">
        <f t="shared" si="10"/>
        <v>05/06/2025</v>
      </c>
      <c r="E157" t="str">
        <f t="shared" si="11"/>
        <v>Jun</v>
      </c>
    </row>
    <row r="158" spans="1:5" x14ac:dyDescent="0.25">
      <c r="A158" t="str">
        <f t="shared" si="13"/>
        <v>Fri</v>
      </c>
      <c r="B158" s="1">
        <f t="shared" si="12"/>
        <v>45814</v>
      </c>
      <c r="C158">
        <f t="shared" si="14"/>
        <v>23</v>
      </c>
      <c r="D158" t="str">
        <f t="shared" si="10"/>
        <v>06/06/2025</v>
      </c>
      <c r="E158" t="str">
        <f t="shared" si="11"/>
        <v>Jun</v>
      </c>
    </row>
    <row r="159" spans="1:5" x14ac:dyDescent="0.25">
      <c r="A159" t="str">
        <f t="shared" si="13"/>
        <v>Sat</v>
      </c>
      <c r="B159" s="1">
        <f t="shared" si="12"/>
        <v>45815</v>
      </c>
      <c r="C159">
        <f t="shared" si="14"/>
        <v>24</v>
      </c>
      <c r="D159" t="str">
        <f t="shared" si="10"/>
        <v>07/06/2025</v>
      </c>
      <c r="E159" t="str">
        <f t="shared" si="11"/>
        <v>Jun</v>
      </c>
    </row>
    <row r="160" spans="1:5" x14ac:dyDescent="0.25">
      <c r="A160" t="str">
        <f t="shared" si="13"/>
        <v>Sun</v>
      </c>
      <c r="B160" s="1">
        <f t="shared" si="12"/>
        <v>45816</v>
      </c>
      <c r="C160">
        <f t="shared" si="14"/>
        <v>24</v>
      </c>
      <c r="D160" t="str">
        <f t="shared" si="10"/>
        <v>08/06/2025</v>
      </c>
      <c r="E160" t="str">
        <f t="shared" si="11"/>
        <v>Jun</v>
      </c>
    </row>
    <row r="161" spans="1:5" x14ac:dyDescent="0.25">
      <c r="A161" t="str">
        <f t="shared" si="13"/>
        <v>Mon</v>
      </c>
      <c r="B161" s="1">
        <f t="shared" si="12"/>
        <v>45817</v>
      </c>
      <c r="C161">
        <f t="shared" si="14"/>
        <v>24</v>
      </c>
      <c r="D161" t="str">
        <f t="shared" si="10"/>
        <v>09/06/2025</v>
      </c>
      <c r="E161" t="str">
        <f t="shared" si="11"/>
        <v>Jun</v>
      </c>
    </row>
    <row r="162" spans="1:5" x14ac:dyDescent="0.25">
      <c r="A162" t="str">
        <f t="shared" si="13"/>
        <v>Tue</v>
      </c>
      <c r="B162" s="1">
        <f t="shared" si="12"/>
        <v>45818</v>
      </c>
      <c r="C162">
        <f t="shared" si="14"/>
        <v>24</v>
      </c>
      <c r="D162" t="str">
        <f t="shared" si="10"/>
        <v>10/06/2025</v>
      </c>
      <c r="E162" t="str">
        <f t="shared" si="11"/>
        <v>Jun</v>
      </c>
    </row>
    <row r="163" spans="1:5" x14ac:dyDescent="0.25">
      <c r="A163" t="str">
        <f t="shared" si="13"/>
        <v>Wed</v>
      </c>
      <c r="B163" s="1">
        <f t="shared" si="12"/>
        <v>45819</v>
      </c>
      <c r="C163">
        <f t="shared" si="14"/>
        <v>24</v>
      </c>
      <c r="D163" t="str">
        <f t="shared" si="10"/>
        <v>11/06/2025</v>
      </c>
      <c r="E163" t="str">
        <f t="shared" si="11"/>
        <v>Jun</v>
      </c>
    </row>
    <row r="164" spans="1:5" x14ac:dyDescent="0.25">
      <c r="A164" t="str">
        <f t="shared" si="13"/>
        <v>Thu</v>
      </c>
      <c r="B164" s="1">
        <f t="shared" si="12"/>
        <v>45820</v>
      </c>
      <c r="C164">
        <f t="shared" si="14"/>
        <v>24</v>
      </c>
      <c r="D164" t="str">
        <f t="shared" si="10"/>
        <v>12/06/2025</v>
      </c>
      <c r="E164" t="str">
        <f t="shared" si="11"/>
        <v>Jun</v>
      </c>
    </row>
    <row r="165" spans="1:5" x14ac:dyDescent="0.25">
      <c r="A165" t="str">
        <f t="shared" si="13"/>
        <v>Fri</v>
      </c>
      <c r="B165" s="1">
        <f t="shared" si="12"/>
        <v>45821</v>
      </c>
      <c r="C165">
        <f t="shared" si="14"/>
        <v>24</v>
      </c>
      <c r="D165" t="str">
        <f t="shared" si="10"/>
        <v>13/06/2025</v>
      </c>
      <c r="E165" t="str">
        <f t="shared" si="11"/>
        <v>Jun</v>
      </c>
    </row>
    <row r="166" spans="1:5" x14ac:dyDescent="0.25">
      <c r="A166" t="str">
        <f t="shared" si="13"/>
        <v>Sat</v>
      </c>
      <c r="B166" s="1">
        <f t="shared" si="12"/>
        <v>45822</v>
      </c>
      <c r="C166">
        <f t="shared" si="14"/>
        <v>25</v>
      </c>
      <c r="D166" t="str">
        <f t="shared" si="10"/>
        <v>14/06/2025</v>
      </c>
      <c r="E166" t="str">
        <f t="shared" si="11"/>
        <v>Jun</v>
      </c>
    </row>
    <row r="167" spans="1:5" x14ac:dyDescent="0.25">
      <c r="A167" t="str">
        <f t="shared" si="13"/>
        <v>Sun</v>
      </c>
      <c r="B167" s="1">
        <f t="shared" si="12"/>
        <v>45823</v>
      </c>
      <c r="C167">
        <f t="shared" si="14"/>
        <v>25</v>
      </c>
      <c r="D167" t="str">
        <f t="shared" si="10"/>
        <v>15/06/2025</v>
      </c>
      <c r="E167" t="str">
        <f t="shared" si="11"/>
        <v>Jun</v>
      </c>
    </row>
    <row r="168" spans="1:5" x14ac:dyDescent="0.25">
      <c r="A168" t="str">
        <f t="shared" si="13"/>
        <v>Mon</v>
      </c>
      <c r="B168" s="1">
        <f t="shared" si="12"/>
        <v>45824</v>
      </c>
      <c r="C168">
        <f t="shared" si="14"/>
        <v>25</v>
      </c>
      <c r="D168" t="str">
        <f t="shared" si="10"/>
        <v>16/06/2025</v>
      </c>
      <c r="E168" t="str">
        <f t="shared" si="11"/>
        <v>Jun</v>
      </c>
    </row>
    <row r="169" spans="1:5" x14ac:dyDescent="0.25">
      <c r="A169" t="str">
        <f t="shared" si="13"/>
        <v>Tue</v>
      </c>
      <c r="B169" s="1">
        <f t="shared" si="12"/>
        <v>45825</v>
      </c>
      <c r="C169">
        <f t="shared" si="14"/>
        <v>25</v>
      </c>
      <c r="D169" t="str">
        <f t="shared" si="10"/>
        <v>17/06/2025</v>
      </c>
      <c r="E169" t="str">
        <f t="shared" si="11"/>
        <v>Jun</v>
      </c>
    </row>
    <row r="170" spans="1:5" x14ac:dyDescent="0.25">
      <c r="A170" t="str">
        <f t="shared" si="13"/>
        <v>Wed</v>
      </c>
      <c r="B170" s="1">
        <f t="shared" si="12"/>
        <v>45826</v>
      </c>
      <c r="C170">
        <f t="shared" si="14"/>
        <v>25</v>
      </c>
      <c r="D170" t="str">
        <f t="shared" si="10"/>
        <v>18/06/2025</v>
      </c>
      <c r="E170" t="str">
        <f t="shared" si="11"/>
        <v>Jun</v>
      </c>
    </row>
    <row r="171" spans="1:5" x14ac:dyDescent="0.25">
      <c r="A171" t="str">
        <f t="shared" si="13"/>
        <v>Thu</v>
      </c>
      <c r="B171" s="1">
        <f t="shared" si="12"/>
        <v>45827</v>
      </c>
      <c r="C171">
        <f t="shared" si="14"/>
        <v>25</v>
      </c>
      <c r="D171" t="str">
        <f t="shared" si="10"/>
        <v>19/06/2025</v>
      </c>
      <c r="E171" t="str">
        <f t="shared" si="11"/>
        <v>Jun</v>
      </c>
    </row>
    <row r="172" spans="1:5" x14ac:dyDescent="0.25">
      <c r="A172" t="str">
        <f t="shared" si="13"/>
        <v>Fri</v>
      </c>
      <c r="B172" s="1">
        <f t="shared" si="12"/>
        <v>45828</v>
      </c>
      <c r="C172">
        <f t="shared" si="14"/>
        <v>25</v>
      </c>
      <c r="D172" t="str">
        <f t="shared" si="10"/>
        <v>20/06/2025</v>
      </c>
      <c r="E172" t="str">
        <f t="shared" si="11"/>
        <v>Jun</v>
      </c>
    </row>
    <row r="173" spans="1:5" x14ac:dyDescent="0.25">
      <c r="A173" t="str">
        <f t="shared" si="13"/>
        <v>Sat</v>
      </c>
      <c r="B173" s="1">
        <f t="shared" si="12"/>
        <v>45829</v>
      </c>
      <c r="C173">
        <f t="shared" si="14"/>
        <v>26</v>
      </c>
      <c r="D173" t="str">
        <f t="shared" si="10"/>
        <v>21/06/2025</v>
      </c>
      <c r="E173" t="str">
        <f t="shared" si="11"/>
        <v>Jun</v>
      </c>
    </row>
    <row r="174" spans="1:5" x14ac:dyDescent="0.25">
      <c r="A174" t="str">
        <f t="shared" si="13"/>
        <v>Sun</v>
      </c>
      <c r="B174" s="1">
        <f t="shared" si="12"/>
        <v>45830</v>
      </c>
      <c r="C174">
        <f t="shared" si="14"/>
        <v>26</v>
      </c>
      <c r="D174" t="str">
        <f t="shared" si="10"/>
        <v>22/06/2025</v>
      </c>
      <c r="E174" t="str">
        <f t="shared" si="11"/>
        <v>Jun</v>
      </c>
    </row>
    <row r="175" spans="1:5" x14ac:dyDescent="0.25">
      <c r="A175" t="str">
        <f t="shared" si="13"/>
        <v>Mon</v>
      </c>
      <c r="B175" s="1">
        <f t="shared" si="12"/>
        <v>45831</v>
      </c>
      <c r="C175">
        <f t="shared" si="14"/>
        <v>26</v>
      </c>
      <c r="D175" t="str">
        <f t="shared" si="10"/>
        <v>23/06/2025</v>
      </c>
      <c r="E175" t="str">
        <f t="shared" si="11"/>
        <v>Jun</v>
      </c>
    </row>
    <row r="176" spans="1:5" x14ac:dyDescent="0.25">
      <c r="A176" t="str">
        <f t="shared" si="13"/>
        <v>Tue</v>
      </c>
      <c r="B176" s="1">
        <f t="shared" si="12"/>
        <v>45832</v>
      </c>
      <c r="C176">
        <f t="shared" si="14"/>
        <v>26</v>
      </c>
      <c r="D176" t="str">
        <f t="shared" si="10"/>
        <v>24/06/2025</v>
      </c>
      <c r="E176" t="str">
        <f t="shared" si="11"/>
        <v>Jun</v>
      </c>
    </row>
    <row r="177" spans="1:5" x14ac:dyDescent="0.25">
      <c r="A177" t="str">
        <f t="shared" si="13"/>
        <v>Wed</v>
      </c>
      <c r="B177" s="1">
        <f t="shared" si="12"/>
        <v>45833</v>
      </c>
      <c r="C177">
        <f t="shared" si="14"/>
        <v>26</v>
      </c>
      <c r="D177" t="str">
        <f t="shared" si="10"/>
        <v>25/06/2025</v>
      </c>
      <c r="E177" t="str">
        <f t="shared" si="11"/>
        <v>Jun</v>
      </c>
    </row>
    <row r="178" spans="1:5" x14ac:dyDescent="0.25">
      <c r="A178" t="str">
        <f t="shared" si="13"/>
        <v>Thu</v>
      </c>
      <c r="B178" s="1">
        <f t="shared" si="12"/>
        <v>45834</v>
      </c>
      <c r="C178">
        <f t="shared" si="14"/>
        <v>26</v>
      </c>
      <c r="D178" t="str">
        <f t="shared" si="10"/>
        <v>26/06/2025</v>
      </c>
      <c r="E178" t="str">
        <f t="shared" si="11"/>
        <v>Jun</v>
      </c>
    </row>
    <row r="179" spans="1:5" x14ac:dyDescent="0.25">
      <c r="A179" t="str">
        <f t="shared" si="13"/>
        <v>Fri</v>
      </c>
      <c r="B179" s="1">
        <f t="shared" si="12"/>
        <v>45835</v>
      </c>
      <c r="C179">
        <f t="shared" si="14"/>
        <v>26</v>
      </c>
      <c r="D179" t="str">
        <f t="shared" si="10"/>
        <v>27/06/2025</v>
      </c>
      <c r="E179" t="str">
        <f t="shared" si="11"/>
        <v>Jun</v>
      </c>
    </row>
    <row r="180" spans="1:5" x14ac:dyDescent="0.25">
      <c r="A180" t="str">
        <f t="shared" si="13"/>
        <v>Sat</v>
      </c>
      <c r="B180" s="1">
        <f t="shared" si="12"/>
        <v>45836</v>
      </c>
      <c r="C180">
        <f t="shared" si="14"/>
        <v>27</v>
      </c>
      <c r="D180" t="str">
        <f t="shared" si="10"/>
        <v>28/06/2025</v>
      </c>
      <c r="E180" t="str">
        <f t="shared" si="11"/>
        <v>Jun</v>
      </c>
    </row>
    <row r="181" spans="1:5" x14ac:dyDescent="0.25">
      <c r="A181" t="str">
        <f t="shared" si="13"/>
        <v>Sun</v>
      </c>
      <c r="B181" s="1">
        <f t="shared" si="12"/>
        <v>45837</v>
      </c>
      <c r="C181">
        <f t="shared" si="14"/>
        <v>27</v>
      </c>
      <c r="D181" t="str">
        <f t="shared" si="10"/>
        <v>29/06/2025</v>
      </c>
      <c r="E181" t="str">
        <f t="shared" si="11"/>
        <v>Jun</v>
      </c>
    </row>
    <row r="182" spans="1:5" x14ac:dyDescent="0.25">
      <c r="A182" t="str">
        <f t="shared" si="13"/>
        <v>Mon</v>
      </c>
      <c r="B182" s="1">
        <f t="shared" si="12"/>
        <v>45838</v>
      </c>
      <c r="C182">
        <f t="shared" si="14"/>
        <v>27</v>
      </c>
      <c r="D182" t="str">
        <f t="shared" si="10"/>
        <v>30/06/2025</v>
      </c>
      <c r="E182" t="str">
        <f t="shared" si="11"/>
        <v>Jun</v>
      </c>
    </row>
    <row r="183" spans="1:5" x14ac:dyDescent="0.25">
      <c r="A183" t="str">
        <f t="shared" si="13"/>
        <v>Tue</v>
      </c>
      <c r="B183" s="1">
        <f t="shared" si="12"/>
        <v>45839</v>
      </c>
      <c r="C183">
        <f t="shared" si="14"/>
        <v>27</v>
      </c>
      <c r="D183" t="str">
        <f t="shared" si="10"/>
        <v>01/07/2025</v>
      </c>
      <c r="E183" t="str">
        <f t="shared" si="11"/>
        <v>Jul</v>
      </c>
    </row>
    <row r="184" spans="1:5" x14ac:dyDescent="0.25">
      <c r="A184" t="str">
        <f t="shared" si="13"/>
        <v>Wed</v>
      </c>
      <c r="B184" s="1">
        <f t="shared" si="12"/>
        <v>45840</v>
      </c>
      <c r="C184">
        <f t="shared" si="14"/>
        <v>27</v>
      </c>
      <c r="D184" t="str">
        <f t="shared" si="10"/>
        <v>02/07/2025</v>
      </c>
      <c r="E184" t="str">
        <f t="shared" si="11"/>
        <v>Jul</v>
      </c>
    </row>
    <row r="185" spans="1:5" x14ac:dyDescent="0.25">
      <c r="A185" t="str">
        <f t="shared" si="13"/>
        <v>Thu</v>
      </c>
      <c r="B185" s="1">
        <f t="shared" si="12"/>
        <v>45841</v>
      </c>
      <c r="C185">
        <f t="shared" si="14"/>
        <v>27</v>
      </c>
      <c r="D185" t="str">
        <f t="shared" si="10"/>
        <v>03/07/2025</v>
      </c>
      <c r="E185" t="str">
        <f t="shared" si="11"/>
        <v>Jul</v>
      </c>
    </row>
    <row r="186" spans="1:5" x14ac:dyDescent="0.25">
      <c r="A186" t="str">
        <f t="shared" si="13"/>
        <v>Fri</v>
      </c>
      <c r="B186" s="1">
        <f t="shared" si="12"/>
        <v>45842</v>
      </c>
      <c r="C186">
        <f t="shared" si="14"/>
        <v>27</v>
      </c>
      <c r="D186" t="str">
        <f t="shared" si="10"/>
        <v>04/07/2025</v>
      </c>
      <c r="E186" t="str">
        <f t="shared" si="11"/>
        <v>Jul</v>
      </c>
    </row>
    <row r="187" spans="1:5" x14ac:dyDescent="0.25">
      <c r="A187" t="str">
        <f t="shared" si="13"/>
        <v>Sat</v>
      </c>
      <c r="B187" s="1">
        <f t="shared" si="12"/>
        <v>45843</v>
      </c>
      <c r="C187">
        <f t="shared" si="14"/>
        <v>28</v>
      </c>
      <c r="D187" t="str">
        <f t="shared" si="10"/>
        <v>05/07/2025</v>
      </c>
      <c r="E187" t="str">
        <f t="shared" si="11"/>
        <v>Jul</v>
      </c>
    </row>
    <row r="188" spans="1:5" x14ac:dyDescent="0.25">
      <c r="A188" t="str">
        <f t="shared" si="13"/>
        <v>Sun</v>
      </c>
      <c r="B188" s="1">
        <f t="shared" si="12"/>
        <v>45844</v>
      </c>
      <c r="C188">
        <f t="shared" si="14"/>
        <v>28</v>
      </c>
      <c r="D188" t="str">
        <f t="shared" si="10"/>
        <v>06/07/2025</v>
      </c>
      <c r="E188" t="str">
        <f t="shared" si="11"/>
        <v>Jul</v>
      </c>
    </row>
    <row r="189" spans="1:5" x14ac:dyDescent="0.25">
      <c r="A189" t="str">
        <f t="shared" si="13"/>
        <v>Mon</v>
      </c>
      <c r="B189" s="1">
        <f t="shared" si="12"/>
        <v>45845</v>
      </c>
      <c r="C189">
        <f t="shared" si="14"/>
        <v>28</v>
      </c>
      <c r="D189" t="str">
        <f t="shared" si="10"/>
        <v>07/07/2025</v>
      </c>
      <c r="E189" t="str">
        <f t="shared" si="11"/>
        <v>Jul</v>
      </c>
    </row>
    <row r="190" spans="1:5" x14ac:dyDescent="0.25">
      <c r="A190" t="str">
        <f t="shared" si="13"/>
        <v>Tue</v>
      </c>
      <c r="B190" s="1">
        <f t="shared" si="12"/>
        <v>45846</v>
      </c>
      <c r="C190">
        <f t="shared" si="14"/>
        <v>28</v>
      </c>
      <c r="D190" t="str">
        <f t="shared" si="10"/>
        <v>08/07/2025</v>
      </c>
      <c r="E190" t="str">
        <f t="shared" si="11"/>
        <v>Jul</v>
      </c>
    </row>
    <row r="191" spans="1:5" x14ac:dyDescent="0.25">
      <c r="A191" t="str">
        <f t="shared" si="13"/>
        <v>Wed</v>
      </c>
      <c r="B191" s="1">
        <f t="shared" si="12"/>
        <v>45847</v>
      </c>
      <c r="C191">
        <f t="shared" si="14"/>
        <v>28</v>
      </c>
      <c r="D191" t="str">
        <f t="shared" si="10"/>
        <v>09/07/2025</v>
      </c>
      <c r="E191" t="str">
        <f t="shared" si="11"/>
        <v>Jul</v>
      </c>
    </row>
    <row r="192" spans="1:5" x14ac:dyDescent="0.25">
      <c r="A192" t="str">
        <f t="shared" si="13"/>
        <v>Thu</v>
      </c>
      <c r="B192" s="1">
        <f t="shared" si="12"/>
        <v>45848</v>
      </c>
      <c r="C192">
        <f t="shared" si="14"/>
        <v>28</v>
      </c>
      <c r="D192" t="str">
        <f t="shared" si="10"/>
        <v>10/07/2025</v>
      </c>
      <c r="E192" t="str">
        <f t="shared" si="11"/>
        <v>Jul</v>
      </c>
    </row>
    <row r="193" spans="1:5" x14ac:dyDescent="0.25">
      <c r="A193" t="str">
        <f t="shared" si="13"/>
        <v>Fri</v>
      </c>
      <c r="B193" s="1">
        <f t="shared" si="12"/>
        <v>45849</v>
      </c>
      <c r="C193">
        <f t="shared" si="14"/>
        <v>28</v>
      </c>
      <c r="D193" t="str">
        <f t="shared" si="10"/>
        <v>11/07/2025</v>
      </c>
      <c r="E193" t="str">
        <f t="shared" si="11"/>
        <v>Jul</v>
      </c>
    </row>
    <row r="194" spans="1:5" x14ac:dyDescent="0.25">
      <c r="A194" t="str">
        <f t="shared" si="13"/>
        <v>Sat</v>
      </c>
      <c r="B194" s="1">
        <f t="shared" si="12"/>
        <v>45850</v>
      </c>
      <c r="C194">
        <f t="shared" si="14"/>
        <v>29</v>
      </c>
      <c r="D194" t="str">
        <f t="shared" si="10"/>
        <v>12/07/2025</v>
      </c>
      <c r="E194" t="str">
        <f t="shared" si="11"/>
        <v>Jul</v>
      </c>
    </row>
    <row r="195" spans="1:5" x14ac:dyDescent="0.25">
      <c r="A195" t="str">
        <f t="shared" si="13"/>
        <v>Sun</v>
      </c>
      <c r="B195" s="1">
        <f t="shared" si="12"/>
        <v>45851</v>
      </c>
      <c r="C195">
        <f t="shared" si="14"/>
        <v>29</v>
      </c>
      <c r="D195" t="str">
        <f t="shared" ref="D195:D258" si="15">TEXT(B195,"DD")&amp;"/"&amp;TEXT(B195,"MM")&amp;"/"&amp;TEXT(B195,"YYYY")</f>
        <v>13/07/2025</v>
      </c>
      <c r="E195" t="str">
        <f t="shared" ref="E195:E258" si="16">TEXT(B195,"MMM")</f>
        <v>Jul</v>
      </c>
    </row>
    <row r="196" spans="1:5" x14ac:dyDescent="0.25">
      <c r="A196" t="str">
        <f t="shared" si="13"/>
        <v>Mon</v>
      </c>
      <c r="B196" s="1">
        <f t="shared" ref="B196:B259" si="17">+B195+1</f>
        <v>45852</v>
      </c>
      <c r="C196">
        <f t="shared" si="14"/>
        <v>29</v>
      </c>
      <c r="D196" t="str">
        <f t="shared" si="15"/>
        <v>14/07/2025</v>
      </c>
      <c r="E196" t="str">
        <f t="shared" si="16"/>
        <v>Jul</v>
      </c>
    </row>
    <row r="197" spans="1:5" x14ac:dyDescent="0.25">
      <c r="A197" t="str">
        <f t="shared" ref="A197:A260" si="18">TEXT(B197,"ddd")</f>
        <v>Tue</v>
      </c>
      <c r="B197" s="1">
        <f t="shared" si="17"/>
        <v>45853</v>
      </c>
      <c r="C197">
        <f t="shared" ref="C197:C260" si="19">IF(A197="Sat",C196+1,C196)</f>
        <v>29</v>
      </c>
      <c r="D197" t="str">
        <f t="shared" si="15"/>
        <v>15/07/2025</v>
      </c>
      <c r="E197" t="str">
        <f t="shared" si="16"/>
        <v>Jul</v>
      </c>
    </row>
    <row r="198" spans="1:5" x14ac:dyDescent="0.25">
      <c r="A198" t="str">
        <f t="shared" si="18"/>
        <v>Wed</v>
      </c>
      <c r="B198" s="1">
        <f t="shared" si="17"/>
        <v>45854</v>
      </c>
      <c r="C198">
        <f t="shared" si="19"/>
        <v>29</v>
      </c>
      <c r="D198" t="str">
        <f t="shared" si="15"/>
        <v>16/07/2025</v>
      </c>
      <c r="E198" t="str">
        <f t="shared" si="16"/>
        <v>Jul</v>
      </c>
    </row>
    <row r="199" spans="1:5" x14ac:dyDescent="0.25">
      <c r="A199" t="str">
        <f t="shared" si="18"/>
        <v>Thu</v>
      </c>
      <c r="B199" s="1">
        <f t="shared" si="17"/>
        <v>45855</v>
      </c>
      <c r="C199">
        <f t="shared" si="19"/>
        <v>29</v>
      </c>
      <c r="D199" t="str">
        <f t="shared" si="15"/>
        <v>17/07/2025</v>
      </c>
      <c r="E199" t="str">
        <f t="shared" si="16"/>
        <v>Jul</v>
      </c>
    </row>
    <row r="200" spans="1:5" x14ac:dyDescent="0.25">
      <c r="A200" t="str">
        <f t="shared" si="18"/>
        <v>Fri</v>
      </c>
      <c r="B200" s="1">
        <f t="shared" si="17"/>
        <v>45856</v>
      </c>
      <c r="C200">
        <f t="shared" si="19"/>
        <v>29</v>
      </c>
      <c r="D200" t="str">
        <f t="shared" si="15"/>
        <v>18/07/2025</v>
      </c>
      <c r="E200" t="str">
        <f t="shared" si="16"/>
        <v>Jul</v>
      </c>
    </row>
    <row r="201" spans="1:5" x14ac:dyDescent="0.25">
      <c r="A201" t="str">
        <f t="shared" si="18"/>
        <v>Sat</v>
      </c>
      <c r="B201" s="1">
        <f t="shared" si="17"/>
        <v>45857</v>
      </c>
      <c r="C201">
        <f t="shared" si="19"/>
        <v>30</v>
      </c>
      <c r="D201" t="str">
        <f t="shared" si="15"/>
        <v>19/07/2025</v>
      </c>
      <c r="E201" t="str">
        <f t="shared" si="16"/>
        <v>Jul</v>
      </c>
    </row>
    <row r="202" spans="1:5" x14ac:dyDescent="0.25">
      <c r="A202" t="str">
        <f t="shared" si="18"/>
        <v>Sun</v>
      </c>
      <c r="B202" s="1">
        <f t="shared" si="17"/>
        <v>45858</v>
      </c>
      <c r="C202">
        <f t="shared" si="19"/>
        <v>30</v>
      </c>
      <c r="D202" t="str">
        <f t="shared" si="15"/>
        <v>20/07/2025</v>
      </c>
      <c r="E202" t="str">
        <f t="shared" si="16"/>
        <v>Jul</v>
      </c>
    </row>
    <row r="203" spans="1:5" x14ac:dyDescent="0.25">
      <c r="A203" t="str">
        <f t="shared" si="18"/>
        <v>Mon</v>
      </c>
      <c r="B203" s="1">
        <f t="shared" si="17"/>
        <v>45859</v>
      </c>
      <c r="C203">
        <f t="shared" si="19"/>
        <v>30</v>
      </c>
      <c r="D203" t="str">
        <f t="shared" si="15"/>
        <v>21/07/2025</v>
      </c>
      <c r="E203" t="str">
        <f t="shared" si="16"/>
        <v>Jul</v>
      </c>
    </row>
    <row r="204" spans="1:5" x14ac:dyDescent="0.25">
      <c r="A204" t="str">
        <f t="shared" si="18"/>
        <v>Tue</v>
      </c>
      <c r="B204" s="1">
        <f t="shared" si="17"/>
        <v>45860</v>
      </c>
      <c r="C204">
        <f t="shared" si="19"/>
        <v>30</v>
      </c>
      <c r="D204" t="str">
        <f t="shared" si="15"/>
        <v>22/07/2025</v>
      </c>
      <c r="E204" t="str">
        <f t="shared" si="16"/>
        <v>Jul</v>
      </c>
    </row>
    <row r="205" spans="1:5" x14ac:dyDescent="0.25">
      <c r="A205" t="str">
        <f t="shared" si="18"/>
        <v>Wed</v>
      </c>
      <c r="B205" s="1">
        <f t="shared" si="17"/>
        <v>45861</v>
      </c>
      <c r="C205">
        <f t="shared" si="19"/>
        <v>30</v>
      </c>
      <c r="D205" t="str">
        <f t="shared" si="15"/>
        <v>23/07/2025</v>
      </c>
      <c r="E205" t="str">
        <f t="shared" si="16"/>
        <v>Jul</v>
      </c>
    </row>
    <row r="206" spans="1:5" x14ac:dyDescent="0.25">
      <c r="A206" t="str">
        <f t="shared" si="18"/>
        <v>Thu</v>
      </c>
      <c r="B206" s="1">
        <f t="shared" si="17"/>
        <v>45862</v>
      </c>
      <c r="C206">
        <f t="shared" si="19"/>
        <v>30</v>
      </c>
      <c r="D206" t="str">
        <f t="shared" si="15"/>
        <v>24/07/2025</v>
      </c>
      <c r="E206" t="str">
        <f t="shared" si="16"/>
        <v>Jul</v>
      </c>
    </row>
    <row r="207" spans="1:5" x14ac:dyDescent="0.25">
      <c r="A207" t="str">
        <f t="shared" si="18"/>
        <v>Fri</v>
      </c>
      <c r="B207" s="1">
        <f t="shared" si="17"/>
        <v>45863</v>
      </c>
      <c r="C207">
        <f t="shared" si="19"/>
        <v>30</v>
      </c>
      <c r="D207" t="str">
        <f t="shared" si="15"/>
        <v>25/07/2025</v>
      </c>
      <c r="E207" t="str">
        <f t="shared" si="16"/>
        <v>Jul</v>
      </c>
    </row>
    <row r="208" spans="1:5" x14ac:dyDescent="0.25">
      <c r="A208" t="str">
        <f t="shared" si="18"/>
        <v>Sat</v>
      </c>
      <c r="B208" s="1">
        <f t="shared" si="17"/>
        <v>45864</v>
      </c>
      <c r="C208">
        <f t="shared" si="19"/>
        <v>31</v>
      </c>
      <c r="D208" t="str">
        <f t="shared" si="15"/>
        <v>26/07/2025</v>
      </c>
      <c r="E208" t="str">
        <f t="shared" si="16"/>
        <v>Jul</v>
      </c>
    </row>
    <row r="209" spans="1:5" x14ac:dyDescent="0.25">
      <c r="A209" t="str">
        <f t="shared" si="18"/>
        <v>Sun</v>
      </c>
      <c r="B209" s="1">
        <f t="shared" si="17"/>
        <v>45865</v>
      </c>
      <c r="C209">
        <f t="shared" si="19"/>
        <v>31</v>
      </c>
      <c r="D209" t="str">
        <f t="shared" si="15"/>
        <v>27/07/2025</v>
      </c>
      <c r="E209" t="str">
        <f t="shared" si="16"/>
        <v>Jul</v>
      </c>
    </row>
    <row r="210" spans="1:5" x14ac:dyDescent="0.25">
      <c r="A210" t="str">
        <f t="shared" si="18"/>
        <v>Mon</v>
      </c>
      <c r="B210" s="1">
        <f t="shared" si="17"/>
        <v>45866</v>
      </c>
      <c r="C210">
        <f t="shared" si="19"/>
        <v>31</v>
      </c>
      <c r="D210" t="str">
        <f t="shared" si="15"/>
        <v>28/07/2025</v>
      </c>
      <c r="E210" t="str">
        <f t="shared" si="16"/>
        <v>Jul</v>
      </c>
    </row>
    <row r="211" spans="1:5" x14ac:dyDescent="0.25">
      <c r="A211" t="str">
        <f t="shared" si="18"/>
        <v>Tue</v>
      </c>
      <c r="B211" s="1">
        <f t="shared" si="17"/>
        <v>45867</v>
      </c>
      <c r="C211">
        <f t="shared" si="19"/>
        <v>31</v>
      </c>
      <c r="D211" t="str">
        <f t="shared" si="15"/>
        <v>29/07/2025</v>
      </c>
      <c r="E211" t="str">
        <f t="shared" si="16"/>
        <v>Jul</v>
      </c>
    </row>
    <row r="212" spans="1:5" x14ac:dyDescent="0.25">
      <c r="A212" t="str">
        <f t="shared" si="18"/>
        <v>Wed</v>
      </c>
      <c r="B212" s="1">
        <f t="shared" si="17"/>
        <v>45868</v>
      </c>
      <c r="C212">
        <f t="shared" si="19"/>
        <v>31</v>
      </c>
      <c r="D212" t="str">
        <f t="shared" si="15"/>
        <v>30/07/2025</v>
      </c>
      <c r="E212" t="str">
        <f t="shared" si="16"/>
        <v>Jul</v>
      </c>
    </row>
    <row r="213" spans="1:5" x14ac:dyDescent="0.25">
      <c r="A213" t="str">
        <f t="shared" si="18"/>
        <v>Thu</v>
      </c>
      <c r="B213" s="1">
        <f t="shared" si="17"/>
        <v>45869</v>
      </c>
      <c r="C213">
        <f t="shared" si="19"/>
        <v>31</v>
      </c>
      <c r="D213" t="str">
        <f t="shared" si="15"/>
        <v>31/07/2025</v>
      </c>
      <c r="E213" t="str">
        <f t="shared" si="16"/>
        <v>Jul</v>
      </c>
    </row>
    <row r="214" spans="1:5" x14ac:dyDescent="0.25">
      <c r="A214" t="str">
        <f t="shared" si="18"/>
        <v>Fri</v>
      </c>
      <c r="B214" s="1">
        <f t="shared" si="17"/>
        <v>45870</v>
      </c>
      <c r="C214">
        <f t="shared" si="19"/>
        <v>31</v>
      </c>
      <c r="D214" t="str">
        <f t="shared" si="15"/>
        <v>01/08/2025</v>
      </c>
      <c r="E214" t="str">
        <f t="shared" si="16"/>
        <v>Aug</v>
      </c>
    </row>
    <row r="215" spans="1:5" x14ac:dyDescent="0.25">
      <c r="A215" t="str">
        <f t="shared" si="18"/>
        <v>Sat</v>
      </c>
      <c r="B215" s="1">
        <f t="shared" si="17"/>
        <v>45871</v>
      </c>
      <c r="C215">
        <f t="shared" si="19"/>
        <v>32</v>
      </c>
      <c r="D215" t="str">
        <f t="shared" si="15"/>
        <v>02/08/2025</v>
      </c>
      <c r="E215" t="str">
        <f t="shared" si="16"/>
        <v>Aug</v>
      </c>
    </row>
    <row r="216" spans="1:5" x14ac:dyDescent="0.25">
      <c r="A216" t="str">
        <f t="shared" si="18"/>
        <v>Sun</v>
      </c>
      <c r="B216" s="1">
        <f t="shared" si="17"/>
        <v>45872</v>
      </c>
      <c r="C216">
        <f t="shared" si="19"/>
        <v>32</v>
      </c>
      <c r="D216" t="str">
        <f t="shared" si="15"/>
        <v>03/08/2025</v>
      </c>
      <c r="E216" t="str">
        <f t="shared" si="16"/>
        <v>Aug</v>
      </c>
    </row>
    <row r="217" spans="1:5" x14ac:dyDescent="0.25">
      <c r="A217" t="str">
        <f t="shared" si="18"/>
        <v>Mon</v>
      </c>
      <c r="B217" s="1">
        <f t="shared" si="17"/>
        <v>45873</v>
      </c>
      <c r="C217">
        <f t="shared" si="19"/>
        <v>32</v>
      </c>
      <c r="D217" t="str">
        <f t="shared" si="15"/>
        <v>04/08/2025</v>
      </c>
      <c r="E217" t="str">
        <f t="shared" si="16"/>
        <v>Aug</v>
      </c>
    </row>
    <row r="218" spans="1:5" x14ac:dyDescent="0.25">
      <c r="A218" t="str">
        <f t="shared" si="18"/>
        <v>Tue</v>
      </c>
      <c r="B218" s="1">
        <f t="shared" si="17"/>
        <v>45874</v>
      </c>
      <c r="C218">
        <f t="shared" si="19"/>
        <v>32</v>
      </c>
      <c r="D218" t="str">
        <f t="shared" si="15"/>
        <v>05/08/2025</v>
      </c>
      <c r="E218" t="str">
        <f t="shared" si="16"/>
        <v>Aug</v>
      </c>
    </row>
    <row r="219" spans="1:5" x14ac:dyDescent="0.25">
      <c r="A219" t="str">
        <f t="shared" si="18"/>
        <v>Wed</v>
      </c>
      <c r="B219" s="1">
        <f t="shared" si="17"/>
        <v>45875</v>
      </c>
      <c r="C219">
        <f t="shared" si="19"/>
        <v>32</v>
      </c>
      <c r="D219" t="str">
        <f t="shared" si="15"/>
        <v>06/08/2025</v>
      </c>
      <c r="E219" t="str">
        <f t="shared" si="16"/>
        <v>Aug</v>
      </c>
    </row>
    <row r="220" spans="1:5" x14ac:dyDescent="0.25">
      <c r="A220" t="str">
        <f t="shared" si="18"/>
        <v>Thu</v>
      </c>
      <c r="B220" s="1">
        <f t="shared" si="17"/>
        <v>45876</v>
      </c>
      <c r="C220">
        <f t="shared" si="19"/>
        <v>32</v>
      </c>
      <c r="D220" t="str">
        <f t="shared" si="15"/>
        <v>07/08/2025</v>
      </c>
      <c r="E220" t="str">
        <f t="shared" si="16"/>
        <v>Aug</v>
      </c>
    </row>
    <row r="221" spans="1:5" x14ac:dyDescent="0.25">
      <c r="A221" t="str">
        <f t="shared" si="18"/>
        <v>Fri</v>
      </c>
      <c r="B221" s="1">
        <f t="shared" si="17"/>
        <v>45877</v>
      </c>
      <c r="C221">
        <f t="shared" si="19"/>
        <v>32</v>
      </c>
      <c r="D221" t="str">
        <f t="shared" si="15"/>
        <v>08/08/2025</v>
      </c>
      <c r="E221" t="str">
        <f t="shared" si="16"/>
        <v>Aug</v>
      </c>
    </row>
    <row r="222" spans="1:5" x14ac:dyDescent="0.25">
      <c r="A222" t="str">
        <f t="shared" si="18"/>
        <v>Sat</v>
      </c>
      <c r="B222" s="1">
        <f t="shared" si="17"/>
        <v>45878</v>
      </c>
      <c r="C222">
        <f t="shared" si="19"/>
        <v>33</v>
      </c>
      <c r="D222" t="str">
        <f t="shared" si="15"/>
        <v>09/08/2025</v>
      </c>
      <c r="E222" t="str">
        <f t="shared" si="16"/>
        <v>Aug</v>
      </c>
    </row>
    <row r="223" spans="1:5" x14ac:dyDescent="0.25">
      <c r="A223" t="str">
        <f t="shared" si="18"/>
        <v>Sun</v>
      </c>
      <c r="B223" s="1">
        <f t="shared" si="17"/>
        <v>45879</v>
      </c>
      <c r="C223">
        <f t="shared" si="19"/>
        <v>33</v>
      </c>
      <c r="D223" t="str">
        <f t="shared" si="15"/>
        <v>10/08/2025</v>
      </c>
      <c r="E223" t="str">
        <f t="shared" si="16"/>
        <v>Aug</v>
      </c>
    </row>
    <row r="224" spans="1:5" x14ac:dyDescent="0.25">
      <c r="A224" t="str">
        <f t="shared" si="18"/>
        <v>Mon</v>
      </c>
      <c r="B224" s="1">
        <f t="shared" si="17"/>
        <v>45880</v>
      </c>
      <c r="C224">
        <f t="shared" si="19"/>
        <v>33</v>
      </c>
      <c r="D224" t="str">
        <f t="shared" si="15"/>
        <v>11/08/2025</v>
      </c>
      <c r="E224" t="str">
        <f t="shared" si="16"/>
        <v>Aug</v>
      </c>
    </row>
    <row r="225" spans="1:5" x14ac:dyDescent="0.25">
      <c r="A225" t="str">
        <f t="shared" si="18"/>
        <v>Tue</v>
      </c>
      <c r="B225" s="1">
        <f t="shared" si="17"/>
        <v>45881</v>
      </c>
      <c r="C225">
        <f t="shared" si="19"/>
        <v>33</v>
      </c>
      <c r="D225" t="str">
        <f t="shared" si="15"/>
        <v>12/08/2025</v>
      </c>
      <c r="E225" t="str">
        <f t="shared" si="16"/>
        <v>Aug</v>
      </c>
    </row>
    <row r="226" spans="1:5" x14ac:dyDescent="0.25">
      <c r="A226" t="str">
        <f t="shared" si="18"/>
        <v>Wed</v>
      </c>
      <c r="B226" s="1">
        <f t="shared" si="17"/>
        <v>45882</v>
      </c>
      <c r="C226">
        <f t="shared" si="19"/>
        <v>33</v>
      </c>
      <c r="D226" t="str">
        <f t="shared" si="15"/>
        <v>13/08/2025</v>
      </c>
      <c r="E226" t="str">
        <f t="shared" si="16"/>
        <v>Aug</v>
      </c>
    </row>
    <row r="227" spans="1:5" x14ac:dyDescent="0.25">
      <c r="A227" t="str">
        <f t="shared" si="18"/>
        <v>Thu</v>
      </c>
      <c r="B227" s="1">
        <f t="shared" si="17"/>
        <v>45883</v>
      </c>
      <c r="C227">
        <f t="shared" si="19"/>
        <v>33</v>
      </c>
      <c r="D227" t="str">
        <f t="shared" si="15"/>
        <v>14/08/2025</v>
      </c>
      <c r="E227" t="str">
        <f t="shared" si="16"/>
        <v>Aug</v>
      </c>
    </row>
    <row r="228" spans="1:5" x14ac:dyDescent="0.25">
      <c r="A228" t="str">
        <f t="shared" si="18"/>
        <v>Fri</v>
      </c>
      <c r="B228" s="1">
        <f t="shared" si="17"/>
        <v>45884</v>
      </c>
      <c r="C228">
        <f t="shared" si="19"/>
        <v>33</v>
      </c>
      <c r="D228" t="str">
        <f t="shared" si="15"/>
        <v>15/08/2025</v>
      </c>
      <c r="E228" t="str">
        <f t="shared" si="16"/>
        <v>Aug</v>
      </c>
    </row>
    <row r="229" spans="1:5" x14ac:dyDescent="0.25">
      <c r="A229" t="str">
        <f t="shared" si="18"/>
        <v>Sat</v>
      </c>
      <c r="B229" s="1">
        <f t="shared" si="17"/>
        <v>45885</v>
      </c>
      <c r="C229">
        <f t="shared" si="19"/>
        <v>34</v>
      </c>
      <c r="D229" t="str">
        <f t="shared" si="15"/>
        <v>16/08/2025</v>
      </c>
      <c r="E229" t="str">
        <f t="shared" si="16"/>
        <v>Aug</v>
      </c>
    </row>
    <row r="230" spans="1:5" x14ac:dyDescent="0.25">
      <c r="A230" t="str">
        <f t="shared" si="18"/>
        <v>Sun</v>
      </c>
      <c r="B230" s="1">
        <f t="shared" si="17"/>
        <v>45886</v>
      </c>
      <c r="C230">
        <f t="shared" si="19"/>
        <v>34</v>
      </c>
      <c r="D230" t="str">
        <f t="shared" si="15"/>
        <v>17/08/2025</v>
      </c>
      <c r="E230" t="str">
        <f t="shared" si="16"/>
        <v>Aug</v>
      </c>
    </row>
    <row r="231" spans="1:5" x14ac:dyDescent="0.25">
      <c r="A231" t="str">
        <f t="shared" si="18"/>
        <v>Mon</v>
      </c>
      <c r="B231" s="1">
        <f t="shared" si="17"/>
        <v>45887</v>
      </c>
      <c r="C231">
        <f t="shared" si="19"/>
        <v>34</v>
      </c>
      <c r="D231" t="str">
        <f t="shared" si="15"/>
        <v>18/08/2025</v>
      </c>
      <c r="E231" t="str">
        <f t="shared" si="16"/>
        <v>Aug</v>
      </c>
    </row>
    <row r="232" spans="1:5" x14ac:dyDescent="0.25">
      <c r="A232" t="str">
        <f t="shared" si="18"/>
        <v>Tue</v>
      </c>
      <c r="B232" s="1">
        <f t="shared" si="17"/>
        <v>45888</v>
      </c>
      <c r="C232">
        <f t="shared" si="19"/>
        <v>34</v>
      </c>
      <c r="D232" t="str">
        <f t="shared" si="15"/>
        <v>19/08/2025</v>
      </c>
      <c r="E232" t="str">
        <f t="shared" si="16"/>
        <v>Aug</v>
      </c>
    </row>
    <row r="233" spans="1:5" x14ac:dyDescent="0.25">
      <c r="A233" t="str">
        <f t="shared" si="18"/>
        <v>Wed</v>
      </c>
      <c r="B233" s="1">
        <f t="shared" si="17"/>
        <v>45889</v>
      </c>
      <c r="C233">
        <f t="shared" si="19"/>
        <v>34</v>
      </c>
      <c r="D233" t="str">
        <f t="shared" si="15"/>
        <v>20/08/2025</v>
      </c>
      <c r="E233" t="str">
        <f t="shared" si="16"/>
        <v>Aug</v>
      </c>
    </row>
    <row r="234" spans="1:5" x14ac:dyDescent="0.25">
      <c r="A234" t="str">
        <f t="shared" si="18"/>
        <v>Thu</v>
      </c>
      <c r="B234" s="1">
        <f t="shared" si="17"/>
        <v>45890</v>
      </c>
      <c r="C234">
        <f t="shared" si="19"/>
        <v>34</v>
      </c>
      <c r="D234" t="str">
        <f t="shared" si="15"/>
        <v>21/08/2025</v>
      </c>
      <c r="E234" t="str">
        <f t="shared" si="16"/>
        <v>Aug</v>
      </c>
    </row>
    <row r="235" spans="1:5" x14ac:dyDescent="0.25">
      <c r="A235" t="str">
        <f t="shared" si="18"/>
        <v>Fri</v>
      </c>
      <c r="B235" s="1">
        <f t="shared" si="17"/>
        <v>45891</v>
      </c>
      <c r="C235">
        <f t="shared" si="19"/>
        <v>34</v>
      </c>
      <c r="D235" t="str">
        <f t="shared" si="15"/>
        <v>22/08/2025</v>
      </c>
      <c r="E235" t="str">
        <f t="shared" si="16"/>
        <v>Aug</v>
      </c>
    </row>
    <row r="236" spans="1:5" x14ac:dyDescent="0.25">
      <c r="A236" t="str">
        <f t="shared" si="18"/>
        <v>Sat</v>
      </c>
      <c r="B236" s="1">
        <f t="shared" si="17"/>
        <v>45892</v>
      </c>
      <c r="C236">
        <f t="shared" si="19"/>
        <v>35</v>
      </c>
      <c r="D236" t="str">
        <f t="shared" si="15"/>
        <v>23/08/2025</v>
      </c>
      <c r="E236" t="str">
        <f t="shared" si="16"/>
        <v>Aug</v>
      </c>
    </row>
    <row r="237" spans="1:5" x14ac:dyDescent="0.25">
      <c r="A237" t="str">
        <f t="shared" si="18"/>
        <v>Sun</v>
      </c>
      <c r="B237" s="1">
        <f t="shared" si="17"/>
        <v>45893</v>
      </c>
      <c r="C237">
        <f t="shared" si="19"/>
        <v>35</v>
      </c>
      <c r="D237" t="str">
        <f t="shared" si="15"/>
        <v>24/08/2025</v>
      </c>
      <c r="E237" t="str">
        <f t="shared" si="16"/>
        <v>Aug</v>
      </c>
    </row>
    <row r="238" spans="1:5" x14ac:dyDescent="0.25">
      <c r="A238" t="str">
        <f t="shared" si="18"/>
        <v>Mon</v>
      </c>
      <c r="B238" s="1">
        <f t="shared" si="17"/>
        <v>45894</v>
      </c>
      <c r="C238">
        <f t="shared" si="19"/>
        <v>35</v>
      </c>
      <c r="D238" t="str">
        <f t="shared" si="15"/>
        <v>25/08/2025</v>
      </c>
      <c r="E238" t="str">
        <f t="shared" si="16"/>
        <v>Aug</v>
      </c>
    </row>
    <row r="239" spans="1:5" x14ac:dyDescent="0.25">
      <c r="A239" t="str">
        <f t="shared" si="18"/>
        <v>Tue</v>
      </c>
      <c r="B239" s="1">
        <f t="shared" si="17"/>
        <v>45895</v>
      </c>
      <c r="C239">
        <f t="shared" si="19"/>
        <v>35</v>
      </c>
      <c r="D239" t="str">
        <f t="shared" si="15"/>
        <v>26/08/2025</v>
      </c>
      <c r="E239" t="str">
        <f t="shared" si="16"/>
        <v>Aug</v>
      </c>
    </row>
    <row r="240" spans="1:5" x14ac:dyDescent="0.25">
      <c r="A240" t="str">
        <f t="shared" si="18"/>
        <v>Wed</v>
      </c>
      <c r="B240" s="1">
        <f t="shared" si="17"/>
        <v>45896</v>
      </c>
      <c r="C240">
        <f t="shared" si="19"/>
        <v>35</v>
      </c>
      <c r="D240" t="str">
        <f t="shared" si="15"/>
        <v>27/08/2025</v>
      </c>
      <c r="E240" t="str">
        <f t="shared" si="16"/>
        <v>Aug</v>
      </c>
    </row>
    <row r="241" spans="1:5" x14ac:dyDescent="0.25">
      <c r="A241" t="str">
        <f t="shared" si="18"/>
        <v>Thu</v>
      </c>
      <c r="B241" s="1">
        <f t="shared" si="17"/>
        <v>45897</v>
      </c>
      <c r="C241">
        <f t="shared" si="19"/>
        <v>35</v>
      </c>
      <c r="D241" t="str">
        <f t="shared" si="15"/>
        <v>28/08/2025</v>
      </c>
      <c r="E241" t="str">
        <f t="shared" si="16"/>
        <v>Aug</v>
      </c>
    </row>
    <row r="242" spans="1:5" x14ac:dyDescent="0.25">
      <c r="A242" t="str">
        <f t="shared" si="18"/>
        <v>Fri</v>
      </c>
      <c r="B242" s="1">
        <f t="shared" si="17"/>
        <v>45898</v>
      </c>
      <c r="C242">
        <f t="shared" si="19"/>
        <v>35</v>
      </c>
      <c r="D242" t="str">
        <f t="shared" si="15"/>
        <v>29/08/2025</v>
      </c>
      <c r="E242" t="str">
        <f t="shared" si="16"/>
        <v>Aug</v>
      </c>
    </row>
    <row r="243" spans="1:5" x14ac:dyDescent="0.25">
      <c r="A243" t="str">
        <f t="shared" si="18"/>
        <v>Sat</v>
      </c>
      <c r="B243" s="1">
        <f t="shared" si="17"/>
        <v>45899</v>
      </c>
      <c r="C243">
        <f t="shared" si="19"/>
        <v>36</v>
      </c>
      <c r="D243" t="str">
        <f t="shared" si="15"/>
        <v>30/08/2025</v>
      </c>
      <c r="E243" t="str">
        <f t="shared" si="16"/>
        <v>Aug</v>
      </c>
    </row>
    <row r="244" spans="1:5" x14ac:dyDescent="0.25">
      <c r="A244" t="str">
        <f t="shared" si="18"/>
        <v>Sun</v>
      </c>
      <c r="B244" s="1">
        <f t="shared" si="17"/>
        <v>45900</v>
      </c>
      <c r="C244">
        <f t="shared" si="19"/>
        <v>36</v>
      </c>
      <c r="D244" t="str">
        <f t="shared" si="15"/>
        <v>31/08/2025</v>
      </c>
      <c r="E244" t="str">
        <f t="shared" si="16"/>
        <v>Aug</v>
      </c>
    </row>
    <row r="245" spans="1:5" x14ac:dyDescent="0.25">
      <c r="A245" t="str">
        <f t="shared" si="18"/>
        <v>Mon</v>
      </c>
      <c r="B245" s="1">
        <f t="shared" si="17"/>
        <v>45901</v>
      </c>
      <c r="C245">
        <f t="shared" si="19"/>
        <v>36</v>
      </c>
      <c r="D245" t="str">
        <f t="shared" si="15"/>
        <v>01/09/2025</v>
      </c>
      <c r="E245" t="str">
        <f t="shared" si="16"/>
        <v>Sep</v>
      </c>
    </row>
    <row r="246" spans="1:5" x14ac:dyDescent="0.25">
      <c r="A246" t="str">
        <f t="shared" si="18"/>
        <v>Tue</v>
      </c>
      <c r="B246" s="1">
        <f t="shared" si="17"/>
        <v>45902</v>
      </c>
      <c r="C246">
        <f t="shared" si="19"/>
        <v>36</v>
      </c>
      <c r="D246" t="str">
        <f t="shared" si="15"/>
        <v>02/09/2025</v>
      </c>
      <c r="E246" t="str">
        <f t="shared" si="16"/>
        <v>Sep</v>
      </c>
    </row>
    <row r="247" spans="1:5" x14ac:dyDescent="0.25">
      <c r="A247" t="str">
        <f t="shared" si="18"/>
        <v>Wed</v>
      </c>
      <c r="B247" s="1">
        <f t="shared" si="17"/>
        <v>45903</v>
      </c>
      <c r="C247">
        <f t="shared" si="19"/>
        <v>36</v>
      </c>
      <c r="D247" t="str">
        <f t="shared" si="15"/>
        <v>03/09/2025</v>
      </c>
      <c r="E247" t="str">
        <f t="shared" si="16"/>
        <v>Sep</v>
      </c>
    </row>
    <row r="248" spans="1:5" x14ac:dyDescent="0.25">
      <c r="A248" t="str">
        <f t="shared" si="18"/>
        <v>Thu</v>
      </c>
      <c r="B248" s="1">
        <f t="shared" si="17"/>
        <v>45904</v>
      </c>
      <c r="C248">
        <f t="shared" si="19"/>
        <v>36</v>
      </c>
      <c r="D248" t="str">
        <f t="shared" si="15"/>
        <v>04/09/2025</v>
      </c>
      <c r="E248" t="str">
        <f t="shared" si="16"/>
        <v>Sep</v>
      </c>
    </row>
    <row r="249" spans="1:5" x14ac:dyDescent="0.25">
      <c r="A249" t="str">
        <f t="shared" si="18"/>
        <v>Fri</v>
      </c>
      <c r="B249" s="1">
        <f t="shared" si="17"/>
        <v>45905</v>
      </c>
      <c r="C249">
        <f t="shared" si="19"/>
        <v>36</v>
      </c>
      <c r="D249" t="str">
        <f t="shared" si="15"/>
        <v>05/09/2025</v>
      </c>
      <c r="E249" t="str">
        <f t="shared" si="16"/>
        <v>Sep</v>
      </c>
    </row>
    <row r="250" spans="1:5" x14ac:dyDescent="0.25">
      <c r="A250" t="str">
        <f t="shared" si="18"/>
        <v>Sat</v>
      </c>
      <c r="B250" s="1">
        <f t="shared" si="17"/>
        <v>45906</v>
      </c>
      <c r="C250">
        <f t="shared" si="19"/>
        <v>37</v>
      </c>
      <c r="D250" t="str">
        <f t="shared" si="15"/>
        <v>06/09/2025</v>
      </c>
      <c r="E250" t="str">
        <f t="shared" si="16"/>
        <v>Sep</v>
      </c>
    </row>
    <row r="251" spans="1:5" x14ac:dyDescent="0.25">
      <c r="A251" t="str">
        <f t="shared" si="18"/>
        <v>Sun</v>
      </c>
      <c r="B251" s="1">
        <f t="shared" si="17"/>
        <v>45907</v>
      </c>
      <c r="C251">
        <f t="shared" si="19"/>
        <v>37</v>
      </c>
      <c r="D251" t="str">
        <f t="shared" si="15"/>
        <v>07/09/2025</v>
      </c>
      <c r="E251" t="str">
        <f t="shared" si="16"/>
        <v>Sep</v>
      </c>
    </row>
    <row r="252" spans="1:5" x14ac:dyDescent="0.25">
      <c r="A252" t="str">
        <f t="shared" si="18"/>
        <v>Mon</v>
      </c>
      <c r="B252" s="1">
        <f t="shared" si="17"/>
        <v>45908</v>
      </c>
      <c r="C252">
        <f t="shared" si="19"/>
        <v>37</v>
      </c>
      <c r="D252" t="str">
        <f t="shared" si="15"/>
        <v>08/09/2025</v>
      </c>
      <c r="E252" t="str">
        <f t="shared" si="16"/>
        <v>Sep</v>
      </c>
    </row>
    <row r="253" spans="1:5" x14ac:dyDescent="0.25">
      <c r="A253" t="str">
        <f t="shared" si="18"/>
        <v>Tue</v>
      </c>
      <c r="B253" s="1">
        <f t="shared" si="17"/>
        <v>45909</v>
      </c>
      <c r="C253">
        <f t="shared" si="19"/>
        <v>37</v>
      </c>
      <c r="D253" t="str">
        <f t="shared" si="15"/>
        <v>09/09/2025</v>
      </c>
      <c r="E253" t="str">
        <f t="shared" si="16"/>
        <v>Sep</v>
      </c>
    </row>
    <row r="254" spans="1:5" x14ac:dyDescent="0.25">
      <c r="A254" t="str">
        <f t="shared" si="18"/>
        <v>Wed</v>
      </c>
      <c r="B254" s="1">
        <f t="shared" si="17"/>
        <v>45910</v>
      </c>
      <c r="C254">
        <f t="shared" si="19"/>
        <v>37</v>
      </c>
      <c r="D254" t="str">
        <f t="shared" si="15"/>
        <v>10/09/2025</v>
      </c>
      <c r="E254" t="str">
        <f t="shared" si="16"/>
        <v>Sep</v>
      </c>
    </row>
    <row r="255" spans="1:5" x14ac:dyDescent="0.25">
      <c r="A255" t="str">
        <f t="shared" si="18"/>
        <v>Thu</v>
      </c>
      <c r="B255" s="1">
        <f t="shared" si="17"/>
        <v>45911</v>
      </c>
      <c r="C255">
        <f t="shared" si="19"/>
        <v>37</v>
      </c>
      <c r="D255" t="str">
        <f t="shared" si="15"/>
        <v>11/09/2025</v>
      </c>
      <c r="E255" t="str">
        <f t="shared" si="16"/>
        <v>Sep</v>
      </c>
    </row>
    <row r="256" spans="1:5" x14ac:dyDescent="0.25">
      <c r="A256" t="str">
        <f t="shared" si="18"/>
        <v>Fri</v>
      </c>
      <c r="B256" s="1">
        <f t="shared" si="17"/>
        <v>45912</v>
      </c>
      <c r="C256">
        <f t="shared" si="19"/>
        <v>37</v>
      </c>
      <c r="D256" t="str">
        <f t="shared" si="15"/>
        <v>12/09/2025</v>
      </c>
      <c r="E256" t="str">
        <f t="shared" si="16"/>
        <v>Sep</v>
      </c>
    </row>
    <row r="257" spans="1:5" x14ac:dyDescent="0.25">
      <c r="A257" t="str">
        <f t="shared" si="18"/>
        <v>Sat</v>
      </c>
      <c r="B257" s="1">
        <f t="shared" si="17"/>
        <v>45913</v>
      </c>
      <c r="C257">
        <f t="shared" si="19"/>
        <v>38</v>
      </c>
      <c r="D257" t="str">
        <f t="shared" si="15"/>
        <v>13/09/2025</v>
      </c>
      <c r="E257" t="str">
        <f t="shared" si="16"/>
        <v>Sep</v>
      </c>
    </row>
    <row r="258" spans="1:5" x14ac:dyDescent="0.25">
      <c r="A258" t="str">
        <f t="shared" si="18"/>
        <v>Sun</v>
      </c>
      <c r="B258" s="1">
        <f t="shared" si="17"/>
        <v>45914</v>
      </c>
      <c r="C258">
        <f t="shared" si="19"/>
        <v>38</v>
      </c>
      <c r="D258" t="str">
        <f t="shared" si="15"/>
        <v>14/09/2025</v>
      </c>
      <c r="E258" t="str">
        <f t="shared" si="16"/>
        <v>Sep</v>
      </c>
    </row>
    <row r="259" spans="1:5" x14ac:dyDescent="0.25">
      <c r="A259" t="str">
        <f t="shared" si="18"/>
        <v>Mon</v>
      </c>
      <c r="B259" s="1">
        <f t="shared" si="17"/>
        <v>45915</v>
      </c>
      <c r="C259">
        <f t="shared" si="19"/>
        <v>38</v>
      </c>
      <c r="D259" t="str">
        <f t="shared" ref="D259:D322" si="20">TEXT(B259,"DD")&amp;"/"&amp;TEXT(B259,"MM")&amp;"/"&amp;TEXT(B259,"YYYY")</f>
        <v>15/09/2025</v>
      </c>
      <c r="E259" t="str">
        <f t="shared" ref="E259:E322" si="21">TEXT(B259,"MMM")</f>
        <v>Sep</v>
      </c>
    </row>
    <row r="260" spans="1:5" x14ac:dyDescent="0.25">
      <c r="A260" t="str">
        <f t="shared" si="18"/>
        <v>Tue</v>
      </c>
      <c r="B260" s="1">
        <f t="shared" ref="B260:B323" si="22">+B259+1</f>
        <v>45916</v>
      </c>
      <c r="C260">
        <f t="shared" si="19"/>
        <v>38</v>
      </c>
      <c r="D260" t="str">
        <f t="shared" si="20"/>
        <v>16/09/2025</v>
      </c>
      <c r="E260" t="str">
        <f t="shared" si="21"/>
        <v>Sep</v>
      </c>
    </row>
    <row r="261" spans="1:5" x14ac:dyDescent="0.25">
      <c r="A261" t="str">
        <f t="shared" ref="A261:A324" si="23">TEXT(B261,"ddd")</f>
        <v>Wed</v>
      </c>
      <c r="B261" s="1">
        <f t="shared" si="22"/>
        <v>45917</v>
      </c>
      <c r="C261">
        <f t="shared" ref="C261:C324" si="24">IF(A261="Sat",C260+1,C260)</f>
        <v>38</v>
      </c>
      <c r="D261" t="str">
        <f t="shared" si="20"/>
        <v>17/09/2025</v>
      </c>
      <c r="E261" t="str">
        <f t="shared" si="21"/>
        <v>Sep</v>
      </c>
    </row>
    <row r="262" spans="1:5" x14ac:dyDescent="0.25">
      <c r="A262" t="str">
        <f t="shared" si="23"/>
        <v>Thu</v>
      </c>
      <c r="B262" s="1">
        <f t="shared" si="22"/>
        <v>45918</v>
      </c>
      <c r="C262">
        <f t="shared" si="24"/>
        <v>38</v>
      </c>
      <c r="D262" t="str">
        <f t="shared" si="20"/>
        <v>18/09/2025</v>
      </c>
      <c r="E262" t="str">
        <f t="shared" si="21"/>
        <v>Sep</v>
      </c>
    </row>
    <row r="263" spans="1:5" x14ac:dyDescent="0.25">
      <c r="A263" t="str">
        <f t="shared" si="23"/>
        <v>Fri</v>
      </c>
      <c r="B263" s="1">
        <f t="shared" si="22"/>
        <v>45919</v>
      </c>
      <c r="C263">
        <f t="shared" si="24"/>
        <v>38</v>
      </c>
      <c r="D263" t="str">
        <f t="shared" si="20"/>
        <v>19/09/2025</v>
      </c>
      <c r="E263" t="str">
        <f t="shared" si="21"/>
        <v>Sep</v>
      </c>
    </row>
    <row r="264" spans="1:5" x14ac:dyDescent="0.25">
      <c r="A264" t="str">
        <f t="shared" si="23"/>
        <v>Sat</v>
      </c>
      <c r="B264" s="1">
        <f t="shared" si="22"/>
        <v>45920</v>
      </c>
      <c r="C264">
        <f t="shared" si="24"/>
        <v>39</v>
      </c>
      <c r="D264" t="str">
        <f t="shared" si="20"/>
        <v>20/09/2025</v>
      </c>
      <c r="E264" t="str">
        <f t="shared" si="21"/>
        <v>Sep</v>
      </c>
    </row>
    <row r="265" spans="1:5" x14ac:dyDescent="0.25">
      <c r="A265" t="str">
        <f t="shared" si="23"/>
        <v>Sun</v>
      </c>
      <c r="B265" s="1">
        <f t="shared" si="22"/>
        <v>45921</v>
      </c>
      <c r="C265">
        <f t="shared" si="24"/>
        <v>39</v>
      </c>
      <c r="D265" t="str">
        <f t="shared" si="20"/>
        <v>21/09/2025</v>
      </c>
      <c r="E265" t="str">
        <f t="shared" si="21"/>
        <v>Sep</v>
      </c>
    </row>
    <row r="266" spans="1:5" x14ac:dyDescent="0.25">
      <c r="A266" t="str">
        <f t="shared" si="23"/>
        <v>Mon</v>
      </c>
      <c r="B266" s="1">
        <f t="shared" si="22"/>
        <v>45922</v>
      </c>
      <c r="C266">
        <f t="shared" si="24"/>
        <v>39</v>
      </c>
      <c r="D266" t="str">
        <f t="shared" si="20"/>
        <v>22/09/2025</v>
      </c>
      <c r="E266" t="str">
        <f t="shared" si="21"/>
        <v>Sep</v>
      </c>
    </row>
    <row r="267" spans="1:5" x14ac:dyDescent="0.25">
      <c r="A267" t="str">
        <f t="shared" si="23"/>
        <v>Tue</v>
      </c>
      <c r="B267" s="1">
        <f t="shared" si="22"/>
        <v>45923</v>
      </c>
      <c r="C267">
        <f t="shared" si="24"/>
        <v>39</v>
      </c>
      <c r="D267" t="str">
        <f t="shared" si="20"/>
        <v>23/09/2025</v>
      </c>
      <c r="E267" t="str">
        <f t="shared" si="21"/>
        <v>Sep</v>
      </c>
    </row>
    <row r="268" spans="1:5" x14ac:dyDescent="0.25">
      <c r="A268" t="str">
        <f t="shared" si="23"/>
        <v>Wed</v>
      </c>
      <c r="B268" s="1">
        <f t="shared" si="22"/>
        <v>45924</v>
      </c>
      <c r="C268">
        <f t="shared" si="24"/>
        <v>39</v>
      </c>
      <c r="D268" t="str">
        <f t="shared" si="20"/>
        <v>24/09/2025</v>
      </c>
      <c r="E268" t="str">
        <f t="shared" si="21"/>
        <v>Sep</v>
      </c>
    </row>
    <row r="269" spans="1:5" x14ac:dyDescent="0.25">
      <c r="A269" t="str">
        <f t="shared" si="23"/>
        <v>Thu</v>
      </c>
      <c r="B269" s="1">
        <f t="shared" si="22"/>
        <v>45925</v>
      </c>
      <c r="C269">
        <f t="shared" si="24"/>
        <v>39</v>
      </c>
      <c r="D269" t="str">
        <f t="shared" si="20"/>
        <v>25/09/2025</v>
      </c>
      <c r="E269" t="str">
        <f t="shared" si="21"/>
        <v>Sep</v>
      </c>
    </row>
    <row r="270" spans="1:5" x14ac:dyDescent="0.25">
      <c r="A270" t="str">
        <f t="shared" si="23"/>
        <v>Fri</v>
      </c>
      <c r="B270" s="1">
        <f t="shared" si="22"/>
        <v>45926</v>
      </c>
      <c r="C270">
        <f t="shared" si="24"/>
        <v>39</v>
      </c>
      <c r="D270" t="str">
        <f t="shared" si="20"/>
        <v>26/09/2025</v>
      </c>
      <c r="E270" t="str">
        <f t="shared" si="21"/>
        <v>Sep</v>
      </c>
    </row>
    <row r="271" spans="1:5" x14ac:dyDescent="0.25">
      <c r="A271" t="str">
        <f t="shared" si="23"/>
        <v>Sat</v>
      </c>
      <c r="B271" s="1">
        <f t="shared" si="22"/>
        <v>45927</v>
      </c>
      <c r="C271">
        <f t="shared" si="24"/>
        <v>40</v>
      </c>
      <c r="D271" t="str">
        <f t="shared" si="20"/>
        <v>27/09/2025</v>
      </c>
      <c r="E271" t="str">
        <f t="shared" si="21"/>
        <v>Sep</v>
      </c>
    </row>
    <row r="272" spans="1:5" x14ac:dyDescent="0.25">
      <c r="A272" t="str">
        <f t="shared" si="23"/>
        <v>Sun</v>
      </c>
      <c r="B272" s="1">
        <f t="shared" si="22"/>
        <v>45928</v>
      </c>
      <c r="C272">
        <f t="shared" si="24"/>
        <v>40</v>
      </c>
      <c r="D272" t="str">
        <f t="shared" si="20"/>
        <v>28/09/2025</v>
      </c>
      <c r="E272" t="str">
        <f t="shared" si="21"/>
        <v>Sep</v>
      </c>
    </row>
    <row r="273" spans="1:5" x14ac:dyDescent="0.25">
      <c r="A273" t="str">
        <f t="shared" si="23"/>
        <v>Mon</v>
      </c>
      <c r="B273" s="1">
        <f t="shared" si="22"/>
        <v>45929</v>
      </c>
      <c r="C273">
        <f t="shared" si="24"/>
        <v>40</v>
      </c>
      <c r="D273" t="str">
        <f t="shared" si="20"/>
        <v>29/09/2025</v>
      </c>
      <c r="E273" t="str">
        <f t="shared" si="21"/>
        <v>Sep</v>
      </c>
    </row>
    <row r="274" spans="1:5" x14ac:dyDescent="0.25">
      <c r="A274" t="str">
        <f t="shared" si="23"/>
        <v>Tue</v>
      </c>
      <c r="B274" s="1">
        <f t="shared" si="22"/>
        <v>45930</v>
      </c>
      <c r="C274">
        <f t="shared" si="24"/>
        <v>40</v>
      </c>
      <c r="D274" t="str">
        <f t="shared" si="20"/>
        <v>30/09/2025</v>
      </c>
      <c r="E274" t="str">
        <f t="shared" si="21"/>
        <v>Sep</v>
      </c>
    </row>
    <row r="275" spans="1:5" x14ac:dyDescent="0.25">
      <c r="A275" t="str">
        <f t="shared" si="23"/>
        <v>Wed</v>
      </c>
      <c r="B275" s="1">
        <f t="shared" si="22"/>
        <v>45931</v>
      </c>
      <c r="C275">
        <f t="shared" si="24"/>
        <v>40</v>
      </c>
      <c r="D275" t="str">
        <f t="shared" si="20"/>
        <v>01/10/2025</v>
      </c>
      <c r="E275" t="str">
        <f t="shared" si="21"/>
        <v>Oct</v>
      </c>
    </row>
    <row r="276" spans="1:5" x14ac:dyDescent="0.25">
      <c r="A276" t="str">
        <f t="shared" si="23"/>
        <v>Thu</v>
      </c>
      <c r="B276" s="1">
        <f t="shared" si="22"/>
        <v>45932</v>
      </c>
      <c r="C276">
        <f t="shared" si="24"/>
        <v>40</v>
      </c>
      <c r="D276" t="str">
        <f t="shared" si="20"/>
        <v>02/10/2025</v>
      </c>
      <c r="E276" t="str">
        <f t="shared" si="21"/>
        <v>Oct</v>
      </c>
    </row>
    <row r="277" spans="1:5" x14ac:dyDescent="0.25">
      <c r="A277" t="str">
        <f t="shared" si="23"/>
        <v>Fri</v>
      </c>
      <c r="B277" s="1">
        <f t="shared" si="22"/>
        <v>45933</v>
      </c>
      <c r="C277">
        <f t="shared" si="24"/>
        <v>40</v>
      </c>
      <c r="D277" t="str">
        <f t="shared" si="20"/>
        <v>03/10/2025</v>
      </c>
      <c r="E277" t="str">
        <f t="shared" si="21"/>
        <v>Oct</v>
      </c>
    </row>
    <row r="278" spans="1:5" x14ac:dyDescent="0.25">
      <c r="A278" t="str">
        <f t="shared" si="23"/>
        <v>Sat</v>
      </c>
      <c r="B278" s="1">
        <f t="shared" si="22"/>
        <v>45934</v>
      </c>
      <c r="C278">
        <f t="shared" si="24"/>
        <v>41</v>
      </c>
      <c r="D278" t="str">
        <f t="shared" si="20"/>
        <v>04/10/2025</v>
      </c>
      <c r="E278" t="str">
        <f t="shared" si="21"/>
        <v>Oct</v>
      </c>
    </row>
    <row r="279" spans="1:5" x14ac:dyDescent="0.25">
      <c r="A279" t="str">
        <f t="shared" si="23"/>
        <v>Sun</v>
      </c>
      <c r="B279" s="1">
        <f t="shared" si="22"/>
        <v>45935</v>
      </c>
      <c r="C279">
        <f t="shared" si="24"/>
        <v>41</v>
      </c>
      <c r="D279" t="str">
        <f t="shared" si="20"/>
        <v>05/10/2025</v>
      </c>
      <c r="E279" t="str">
        <f t="shared" si="21"/>
        <v>Oct</v>
      </c>
    </row>
    <row r="280" spans="1:5" x14ac:dyDescent="0.25">
      <c r="A280" t="str">
        <f t="shared" si="23"/>
        <v>Mon</v>
      </c>
      <c r="B280" s="1">
        <f t="shared" si="22"/>
        <v>45936</v>
      </c>
      <c r="C280">
        <f t="shared" si="24"/>
        <v>41</v>
      </c>
      <c r="D280" t="str">
        <f t="shared" si="20"/>
        <v>06/10/2025</v>
      </c>
      <c r="E280" t="str">
        <f t="shared" si="21"/>
        <v>Oct</v>
      </c>
    </row>
    <row r="281" spans="1:5" x14ac:dyDescent="0.25">
      <c r="A281" t="str">
        <f t="shared" si="23"/>
        <v>Tue</v>
      </c>
      <c r="B281" s="1">
        <f t="shared" si="22"/>
        <v>45937</v>
      </c>
      <c r="C281">
        <f t="shared" si="24"/>
        <v>41</v>
      </c>
      <c r="D281" t="str">
        <f t="shared" si="20"/>
        <v>07/10/2025</v>
      </c>
      <c r="E281" t="str">
        <f t="shared" si="21"/>
        <v>Oct</v>
      </c>
    </row>
    <row r="282" spans="1:5" x14ac:dyDescent="0.25">
      <c r="A282" t="str">
        <f t="shared" si="23"/>
        <v>Wed</v>
      </c>
      <c r="B282" s="1">
        <f t="shared" si="22"/>
        <v>45938</v>
      </c>
      <c r="C282">
        <f t="shared" si="24"/>
        <v>41</v>
      </c>
      <c r="D282" t="str">
        <f t="shared" si="20"/>
        <v>08/10/2025</v>
      </c>
      <c r="E282" t="str">
        <f t="shared" si="21"/>
        <v>Oct</v>
      </c>
    </row>
    <row r="283" spans="1:5" x14ac:dyDescent="0.25">
      <c r="A283" t="str">
        <f t="shared" si="23"/>
        <v>Thu</v>
      </c>
      <c r="B283" s="1">
        <f t="shared" si="22"/>
        <v>45939</v>
      </c>
      <c r="C283">
        <f t="shared" si="24"/>
        <v>41</v>
      </c>
      <c r="D283" t="str">
        <f t="shared" si="20"/>
        <v>09/10/2025</v>
      </c>
      <c r="E283" t="str">
        <f t="shared" si="21"/>
        <v>Oct</v>
      </c>
    </row>
    <row r="284" spans="1:5" x14ac:dyDescent="0.25">
      <c r="A284" t="str">
        <f t="shared" si="23"/>
        <v>Fri</v>
      </c>
      <c r="B284" s="1">
        <f t="shared" si="22"/>
        <v>45940</v>
      </c>
      <c r="C284">
        <f t="shared" si="24"/>
        <v>41</v>
      </c>
      <c r="D284" t="str">
        <f t="shared" si="20"/>
        <v>10/10/2025</v>
      </c>
      <c r="E284" t="str">
        <f t="shared" si="21"/>
        <v>Oct</v>
      </c>
    </row>
    <row r="285" spans="1:5" x14ac:dyDescent="0.25">
      <c r="A285" t="str">
        <f t="shared" si="23"/>
        <v>Sat</v>
      </c>
      <c r="B285" s="1">
        <f t="shared" si="22"/>
        <v>45941</v>
      </c>
      <c r="C285">
        <f t="shared" si="24"/>
        <v>42</v>
      </c>
      <c r="D285" t="str">
        <f t="shared" si="20"/>
        <v>11/10/2025</v>
      </c>
      <c r="E285" t="str">
        <f t="shared" si="21"/>
        <v>Oct</v>
      </c>
    </row>
    <row r="286" spans="1:5" x14ac:dyDescent="0.25">
      <c r="A286" t="str">
        <f t="shared" si="23"/>
        <v>Sun</v>
      </c>
      <c r="B286" s="1">
        <f t="shared" si="22"/>
        <v>45942</v>
      </c>
      <c r="C286">
        <f t="shared" si="24"/>
        <v>42</v>
      </c>
      <c r="D286" t="str">
        <f t="shared" si="20"/>
        <v>12/10/2025</v>
      </c>
      <c r="E286" t="str">
        <f t="shared" si="21"/>
        <v>Oct</v>
      </c>
    </row>
    <row r="287" spans="1:5" x14ac:dyDescent="0.25">
      <c r="A287" t="str">
        <f t="shared" si="23"/>
        <v>Mon</v>
      </c>
      <c r="B287" s="1">
        <f t="shared" si="22"/>
        <v>45943</v>
      </c>
      <c r="C287">
        <f t="shared" si="24"/>
        <v>42</v>
      </c>
      <c r="D287" t="str">
        <f t="shared" si="20"/>
        <v>13/10/2025</v>
      </c>
      <c r="E287" t="str">
        <f t="shared" si="21"/>
        <v>Oct</v>
      </c>
    </row>
    <row r="288" spans="1:5" x14ac:dyDescent="0.25">
      <c r="A288" t="str">
        <f t="shared" si="23"/>
        <v>Tue</v>
      </c>
      <c r="B288" s="1">
        <f t="shared" si="22"/>
        <v>45944</v>
      </c>
      <c r="C288">
        <f t="shared" si="24"/>
        <v>42</v>
      </c>
      <c r="D288" t="str">
        <f t="shared" si="20"/>
        <v>14/10/2025</v>
      </c>
      <c r="E288" t="str">
        <f t="shared" si="21"/>
        <v>Oct</v>
      </c>
    </row>
    <row r="289" spans="1:5" x14ac:dyDescent="0.25">
      <c r="A289" t="str">
        <f t="shared" si="23"/>
        <v>Wed</v>
      </c>
      <c r="B289" s="1">
        <f t="shared" si="22"/>
        <v>45945</v>
      </c>
      <c r="C289">
        <f t="shared" si="24"/>
        <v>42</v>
      </c>
      <c r="D289" t="str">
        <f t="shared" si="20"/>
        <v>15/10/2025</v>
      </c>
      <c r="E289" t="str">
        <f t="shared" si="21"/>
        <v>Oct</v>
      </c>
    </row>
    <row r="290" spans="1:5" x14ac:dyDescent="0.25">
      <c r="A290" t="str">
        <f t="shared" si="23"/>
        <v>Thu</v>
      </c>
      <c r="B290" s="1">
        <f t="shared" si="22"/>
        <v>45946</v>
      </c>
      <c r="C290">
        <f t="shared" si="24"/>
        <v>42</v>
      </c>
      <c r="D290" t="str">
        <f t="shared" si="20"/>
        <v>16/10/2025</v>
      </c>
      <c r="E290" t="str">
        <f t="shared" si="21"/>
        <v>Oct</v>
      </c>
    </row>
    <row r="291" spans="1:5" x14ac:dyDescent="0.25">
      <c r="A291" t="str">
        <f t="shared" si="23"/>
        <v>Fri</v>
      </c>
      <c r="B291" s="1">
        <f t="shared" si="22"/>
        <v>45947</v>
      </c>
      <c r="C291">
        <f t="shared" si="24"/>
        <v>42</v>
      </c>
      <c r="D291" t="str">
        <f t="shared" si="20"/>
        <v>17/10/2025</v>
      </c>
      <c r="E291" t="str">
        <f t="shared" si="21"/>
        <v>Oct</v>
      </c>
    </row>
    <row r="292" spans="1:5" x14ac:dyDescent="0.25">
      <c r="A292" t="str">
        <f t="shared" si="23"/>
        <v>Sat</v>
      </c>
      <c r="B292" s="1">
        <f t="shared" si="22"/>
        <v>45948</v>
      </c>
      <c r="C292">
        <f t="shared" si="24"/>
        <v>43</v>
      </c>
      <c r="D292" t="str">
        <f t="shared" si="20"/>
        <v>18/10/2025</v>
      </c>
      <c r="E292" t="str">
        <f t="shared" si="21"/>
        <v>Oct</v>
      </c>
    </row>
    <row r="293" spans="1:5" x14ac:dyDescent="0.25">
      <c r="A293" t="str">
        <f t="shared" si="23"/>
        <v>Sun</v>
      </c>
      <c r="B293" s="1">
        <f t="shared" si="22"/>
        <v>45949</v>
      </c>
      <c r="C293">
        <f t="shared" si="24"/>
        <v>43</v>
      </c>
      <c r="D293" t="str">
        <f t="shared" si="20"/>
        <v>19/10/2025</v>
      </c>
      <c r="E293" t="str">
        <f t="shared" si="21"/>
        <v>Oct</v>
      </c>
    </row>
    <row r="294" spans="1:5" x14ac:dyDescent="0.25">
      <c r="A294" t="str">
        <f t="shared" si="23"/>
        <v>Mon</v>
      </c>
      <c r="B294" s="1">
        <f t="shared" si="22"/>
        <v>45950</v>
      </c>
      <c r="C294">
        <f t="shared" si="24"/>
        <v>43</v>
      </c>
      <c r="D294" t="str">
        <f t="shared" si="20"/>
        <v>20/10/2025</v>
      </c>
      <c r="E294" t="str">
        <f t="shared" si="21"/>
        <v>Oct</v>
      </c>
    </row>
    <row r="295" spans="1:5" x14ac:dyDescent="0.25">
      <c r="A295" t="str">
        <f t="shared" si="23"/>
        <v>Tue</v>
      </c>
      <c r="B295" s="1">
        <f t="shared" si="22"/>
        <v>45951</v>
      </c>
      <c r="C295">
        <f t="shared" si="24"/>
        <v>43</v>
      </c>
      <c r="D295" t="str">
        <f t="shared" si="20"/>
        <v>21/10/2025</v>
      </c>
      <c r="E295" t="str">
        <f t="shared" si="21"/>
        <v>Oct</v>
      </c>
    </row>
    <row r="296" spans="1:5" x14ac:dyDescent="0.25">
      <c r="A296" t="str">
        <f t="shared" si="23"/>
        <v>Wed</v>
      </c>
      <c r="B296" s="1">
        <f t="shared" si="22"/>
        <v>45952</v>
      </c>
      <c r="C296">
        <f t="shared" si="24"/>
        <v>43</v>
      </c>
      <c r="D296" t="str">
        <f t="shared" si="20"/>
        <v>22/10/2025</v>
      </c>
      <c r="E296" t="str">
        <f t="shared" si="21"/>
        <v>Oct</v>
      </c>
    </row>
    <row r="297" spans="1:5" x14ac:dyDescent="0.25">
      <c r="A297" t="str">
        <f t="shared" si="23"/>
        <v>Thu</v>
      </c>
      <c r="B297" s="1">
        <f t="shared" si="22"/>
        <v>45953</v>
      </c>
      <c r="C297">
        <f t="shared" si="24"/>
        <v>43</v>
      </c>
      <c r="D297" t="str">
        <f t="shared" si="20"/>
        <v>23/10/2025</v>
      </c>
      <c r="E297" t="str">
        <f t="shared" si="21"/>
        <v>Oct</v>
      </c>
    </row>
    <row r="298" spans="1:5" x14ac:dyDescent="0.25">
      <c r="A298" t="str">
        <f t="shared" si="23"/>
        <v>Fri</v>
      </c>
      <c r="B298" s="1">
        <f t="shared" si="22"/>
        <v>45954</v>
      </c>
      <c r="C298">
        <f t="shared" si="24"/>
        <v>43</v>
      </c>
      <c r="D298" t="str">
        <f t="shared" si="20"/>
        <v>24/10/2025</v>
      </c>
      <c r="E298" t="str">
        <f t="shared" si="21"/>
        <v>Oct</v>
      </c>
    </row>
    <row r="299" spans="1:5" x14ac:dyDescent="0.25">
      <c r="A299" t="str">
        <f t="shared" si="23"/>
        <v>Sat</v>
      </c>
      <c r="B299" s="1">
        <f t="shared" si="22"/>
        <v>45955</v>
      </c>
      <c r="C299">
        <f t="shared" si="24"/>
        <v>44</v>
      </c>
      <c r="D299" t="str">
        <f t="shared" si="20"/>
        <v>25/10/2025</v>
      </c>
      <c r="E299" t="str">
        <f t="shared" si="21"/>
        <v>Oct</v>
      </c>
    </row>
    <row r="300" spans="1:5" x14ac:dyDescent="0.25">
      <c r="A300" t="str">
        <f t="shared" si="23"/>
        <v>Sun</v>
      </c>
      <c r="B300" s="1">
        <f t="shared" si="22"/>
        <v>45956</v>
      </c>
      <c r="C300">
        <f t="shared" si="24"/>
        <v>44</v>
      </c>
      <c r="D300" t="str">
        <f t="shared" si="20"/>
        <v>26/10/2025</v>
      </c>
      <c r="E300" t="str">
        <f t="shared" si="21"/>
        <v>Oct</v>
      </c>
    </row>
    <row r="301" spans="1:5" x14ac:dyDescent="0.25">
      <c r="A301" t="str">
        <f t="shared" si="23"/>
        <v>Mon</v>
      </c>
      <c r="B301" s="1">
        <f t="shared" si="22"/>
        <v>45957</v>
      </c>
      <c r="C301">
        <f t="shared" si="24"/>
        <v>44</v>
      </c>
      <c r="D301" t="str">
        <f t="shared" si="20"/>
        <v>27/10/2025</v>
      </c>
      <c r="E301" t="str">
        <f t="shared" si="21"/>
        <v>Oct</v>
      </c>
    </row>
    <row r="302" spans="1:5" x14ac:dyDescent="0.25">
      <c r="A302" t="str">
        <f t="shared" si="23"/>
        <v>Tue</v>
      </c>
      <c r="B302" s="1">
        <f t="shared" si="22"/>
        <v>45958</v>
      </c>
      <c r="C302">
        <f t="shared" si="24"/>
        <v>44</v>
      </c>
      <c r="D302" t="str">
        <f t="shared" si="20"/>
        <v>28/10/2025</v>
      </c>
      <c r="E302" t="str">
        <f t="shared" si="21"/>
        <v>Oct</v>
      </c>
    </row>
    <row r="303" spans="1:5" x14ac:dyDescent="0.25">
      <c r="A303" t="str">
        <f t="shared" si="23"/>
        <v>Wed</v>
      </c>
      <c r="B303" s="1">
        <f t="shared" si="22"/>
        <v>45959</v>
      </c>
      <c r="C303">
        <f t="shared" si="24"/>
        <v>44</v>
      </c>
      <c r="D303" t="str">
        <f t="shared" si="20"/>
        <v>29/10/2025</v>
      </c>
      <c r="E303" t="str">
        <f t="shared" si="21"/>
        <v>Oct</v>
      </c>
    </row>
    <row r="304" spans="1:5" x14ac:dyDescent="0.25">
      <c r="A304" t="str">
        <f t="shared" si="23"/>
        <v>Thu</v>
      </c>
      <c r="B304" s="1">
        <f t="shared" si="22"/>
        <v>45960</v>
      </c>
      <c r="C304">
        <f t="shared" si="24"/>
        <v>44</v>
      </c>
      <c r="D304" t="str">
        <f t="shared" si="20"/>
        <v>30/10/2025</v>
      </c>
      <c r="E304" t="str">
        <f t="shared" si="21"/>
        <v>Oct</v>
      </c>
    </row>
    <row r="305" spans="1:5" x14ac:dyDescent="0.25">
      <c r="A305" t="str">
        <f t="shared" si="23"/>
        <v>Fri</v>
      </c>
      <c r="B305" s="1">
        <f t="shared" si="22"/>
        <v>45961</v>
      </c>
      <c r="C305">
        <f t="shared" si="24"/>
        <v>44</v>
      </c>
      <c r="D305" t="str">
        <f t="shared" si="20"/>
        <v>31/10/2025</v>
      </c>
      <c r="E305" t="str">
        <f t="shared" si="21"/>
        <v>Oct</v>
      </c>
    </row>
    <row r="306" spans="1:5" x14ac:dyDescent="0.25">
      <c r="A306" t="str">
        <f t="shared" si="23"/>
        <v>Sat</v>
      </c>
      <c r="B306" s="1">
        <f t="shared" si="22"/>
        <v>45962</v>
      </c>
      <c r="C306">
        <f t="shared" si="24"/>
        <v>45</v>
      </c>
      <c r="D306" t="str">
        <f t="shared" si="20"/>
        <v>01/11/2025</v>
      </c>
      <c r="E306" t="str">
        <f t="shared" si="21"/>
        <v>Nov</v>
      </c>
    </row>
    <row r="307" spans="1:5" x14ac:dyDescent="0.25">
      <c r="A307" t="str">
        <f t="shared" si="23"/>
        <v>Sun</v>
      </c>
      <c r="B307" s="1">
        <f t="shared" si="22"/>
        <v>45963</v>
      </c>
      <c r="C307">
        <f t="shared" si="24"/>
        <v>45</v>
      </c>
      <c r="D307" t="str">
        <f t="shared" si="20"/>
        <v>02/11/2025</v>
      </c>
      <c r="E307" t="str">
        <f t="shared" si="21"/>
        <v>Nov</v>
      </c>
    </row>
    <row r="308" spans="1:5" x14ac:dyDescent="0.25">
      <c r="A308" t="str">
        <f t="shared" si="23"/>
        <v>Mon</v>
      </c>
      <c r="B308" s="1">
        <f t="shared" si="22"/>
        <v>45964</v>
      </c>
      <c r="C308">
        <f t="shared" si="24"/>
        <v>45</v>
      </c>
      <c r="D308" t="str">
        <f t="shared" si="20"/>
        <v>03/11/2025</v>
      </c>
      <c r="E308" t="str">
        <f t="shared" si="21"/>
        <v>Nov</v>
      </c>
    </row>
    <row r="309" spans="1:5" x14ac:dyDescent="0.25">
      <c r="A309" t="str">
        <f t="shared" si="23"/>
        <v>Tue</v>
      </c>
      <c r="B309" s="1">
        <f t="shared" si="22"/>
        <v>45965</v>
      </c>
      <c r="C309">
        <f t="shared" si="24"/>
        <v>45</v>
      </c>
      <c r="D309" t="str">
        <f t="shared" si="20"/>
        <v>04/11/2025</v>
      </c>
      <c r="E309" t="str">
        <f t="shared" si="21"/>
        <v>Nov</v>
      </c>
    </row>
    <row r="310" spans="1:5" x14ac:dyDescent="0.25">
      <c r="A310" t="str">
        <f t="shared" si="23"/>
        <v>Wed</v>
      </c>
      <c r="B310" s="1">
        <f t="shared" si="22"/>
        <v>45966</v>
      </c>
      <c r="C310">
        <f t="shared" si="24"/>
        <v>45</v>
      </c>
      <c r="D310" t="str">
        <f t="shared" si="20"/>
        <v>05/11/2025</v>
      </c>
      <c r="E310" t="str">
        <f t="shared" si="21"/>
        <v>Nov</v>
      </c>
    </row>
    <row r="311" spans="1:5" x14ac:dyDescent="0.25">
      <c r="A311" t="str">
        <f t="shared" si="23"/>
        <v>Thu</v>
      </c>
      <c r="B311" s="1">
        <f t="shared" si="22"/>
        <v>45967</v>
      </c>
      <c r="C311">
        <f t="shared" si="24"/>
        <v>45</v>
      </c>
      <c r="D311" t="str">
        <f t="shared" si="20"/>
        <v>06/11/2025</v>
      </c>
      <c r="E311" t="str">
        <f t="shared" si="21"/>
        <v>Nov</v>
      </c>
    </row>
    <row r="312" spans="1:5" x14ac:dyDescent="0.25">
      <c r="A312" t="str">
        <f t="shared" si="23"/>
        <v>Fri</v>
      </c>
      <c r="B312" s="1">
        <f t="shared" si="22"/>
        <v>45968</v>
      </c>
      <c r="C312">
        <f t="shared" si="24"/>
        <v>45</v>
      </c>
      <c r="D312" t="str">
        <f t="shared" si="20"/>
        <v>07/11/2025</v>
      </c>
      <c r="E312" t="str">
        <f t="shared" si="21"/>
        <v>Nov</v>
      </c>
    </row>
    <row r="313" spans="1:5" x14ac:dyDescent="0.25">
      <c r="A313" t="str">
        <f t="shared" si="23"/>
        <v>Sat</v>
      </c>
      <c r="B313" s="1">
        <f t="shared" si="22"/>
        <v>45969</v>
      </c>
      <c r="C313">
        <f t="shared" si="24"/>
        <v>46</v>
      </c>
      <c r="D313" t="str">
        <f t="shared" si="20"/>
        <v>08/11/2025</v>
      </c>
      <c r="E313" t="str">
        <f t="shared" si="21"/>
        <v>Nov</v>
      </c>
    </row>
    <row r="314" spans="1:5" x14ac:dyDescent="0.25">
      <c r="A314" t="str">
        <f t="shared" si="23"/>
        <v>Sun</v>
      </c>
      <c r="B314" s="1">
        <f t="shared" si="22"/>
        <v>45970</v>
      </c>
      <c r="C314">
        <f t="shared" si="24"/>
        <v>46</v>
      </c>
      <c r="D314" t="str">
        <f t="shared" si="20"/>
        <v>09/11/2025</v>
      </c>
      <c r="E314" t="str">
        <f t="shared" si="21"/>
        <v>Nov</v>
      </c>
    </row>
    <row r="315" spans="1:5" x14ac:dyDescent="0.25">
      <c r="A315" t="str">
        <f t="shared" si="23"/>
        <v>Mon</v>
      </c>
      <c r="B315" s="1">
        <f t="shared" si="22"/>
        <v>45971</v>
      </c>
      <c r="C315">
        <f t="shared" si="24"/>
        <v>46</v>
      </c>
      <c r="D315" t="str">
        <f t="shared" si="20"/>
        <v>10/11/2025</v>
      </c>
      <c r="E315" t="str">
        <f t="shared" si="21"/>
        <v>Nov</v>
      </c>
    </row>
    <row r="316" spans="1:5" x14ac:dyDescent="0.25">
      <c r="A316" t="str">
        <f t="shared" si="23"/>
        <v>Tue</v>
      </c>
      <c r="B316" s="1">
        <f t="shared" si="22"/>
        <v>45972</v>
      </c>
      <c r="C316">
        <f t="shared" si="24"/>
        <v>46</v>
      </c>
      <c r="D316" t="str">
        <f t="shared" si="20"/>
        <v>11/11/2025</v>
      </c>
      <c r="E316" t="str">
        <f t="shared" si="21"/>
        <v>Nov</v>
      </c>
    </row>
    <row r="317" spans="1:5" x14ac:dyDescent="0.25">
      <c r="A317" t="str">
        <f t="shared" si="23"/>
        <v>Wed</v>
      </c>
      <c r="B317" s="1">
        <f t="shared" si="22"/>
        <v>45973</v>
      </c>
      <c r="C317">
        <f t="shared" si="24"/>
        <v>46</v>
      </c>
      <c r="D317" t="str">
        <f t="shared" si="20"/>
        <v>12/11/2025</v>
      </c>
      <c r="E317" t="str">
        <f t="shared" si="21"/>
        <v>Nov</v>
      </c>
    </row>
    <row r="318" spans="1:5" x14ac:dyDescent="0.25">
      <c r="A318" t="str">
        <f t="shared" si="23"/>
        <v>Thu</v>
      </c>
      <c r="B318" s="1">
        <f t="shared" si="22"/>
        <v>45974</v>
      </c>
      <c r="C318">
        <f t="shared" si="24"/>
        <v>46</v>
      </c>
      <c r="D318" t="str">
        <f t="shared" si="20"/>
        <v>13/11/2025</v>
      </c>
      <c r="E318" t="str">
        <f t="shared" si="21"/>
        <v>Nov</v>
      </c>
    </row>
    <row r="319" spans="1:5" x14ac:dyDescent="0.25">
      <c r="A319" t="str">
        <f t="shared" si="23"/>
        <v>Fri</v>
      </c>
      <c r="B319" s="1">
        <f t="shared" si="22"/>
        <v>45975</v>
      </c>
      <c r="C319">
        <f t="shared" si="24"/>
        <v>46</v>
      </c>
      <c r="D319" t="str">
        <f t="shared" si="20"/>
        <v>14/11/2025</v>
      </c>
      <c r="E319" t="str">
        <f t="shared" si="21"/>
        <v>Nov</v>
      </c>
    </row>
    <row r="320" spans="1:5" x14ac:dyDescent="0.25">
      <c r="A320" t="str">
        <f t="shared" si="23"/>
        <v>Sat</v>
      </c>
      <c r="B320" s="1">
        <f t="shared" si="22"/>
        <v>45976</v>
      </c>
      <c r="C320">
        <f t="shared" si="24"/>
        <v>47</v>
      </c>
      <c r="D320" t="str">
        <f t="shared" si="20"/>
        <v>15/11/2025</v>
      </c>
      <c r="E320" t="str">
        <f t="shared" si="21"/>
        <v>Nov</v>
      </c>
    </row>
    <row r="321" spans="1:5" x14ac:dyDescent="0.25">
      <c r="A321" t="str">
        <f t="shared" si="23"/>
        <v>Sun</v>
      </c>
      <c r="B321" s="1">
        <f t="shared" si="22"/>
        <v>45977</v>
      </c>
      <c r="C321">
        <f t="shared" si="24"/>
        <v>47</v>
      </c>
      <c r="D321" t="str">
        <f t="shared" si="20"/>
        <v>16/11/2025</v>
      </c>
      <c r="E321" t="str">
        <f t="shared" si="21"/>
        <v>Nov</v>
      </c>
    </row>
    <row r="322" spans="1:5" x14ac:dyDescent="0.25">
      <c r="A322" t="str">
        <f t="shared" si="23"/>
        <v>Mon</v>
      </c>
      <c r="B322" s="1">
        <f t="shared" si="22"/>
        <v>45978</v>
      </c>
      <c r="C322">
        <f t="shared" si="24"/>
        <v>47</v>
      </c>
      <c r="D322" t="str">
        <f t="shared" si="20"/>
        <v>17/11/2025</v>
      </c>
      <c r="E322" t="str">
        <f t="shared" si="21"/>
        <v>Nov</v>
      </c>
    </row>
    <row r="323" spans="1:5" x14ac:dyDescent="0.25">
      <c r="A323" t="str">
        <f t="shared" si="23"/>
        <v>Tue</v>
      </c>
      <c r="B323" s="1">
        <f t="shared" si="22"/>
        <v>45979</v>
      </c>
      <c r="C323">
        <f t="shared" si="24"/>
        <v>47</v>
      </c>
      <c r="D323" t="str">
        <f t="shared" ref="D323:D366" si="25">TEXT(B323,"DD")&amp;"/"&amp;TEXT(B323,"MM")&amp;"/"&amp;TEXT(B323,"YYYY")</f>
        <v>18/11/2025</v>
      </c>
      <c r="E323" t="str">
        <f t="shared" ref="E323:E366" si="26">TEXT(B323,"MMM")</f>
        <v>Nov</v>
      </c>
    </row>
    <row r="324" spans="1:5" x14ac:dyDescent="0.25">
      <c r="A324" t="str">
        <f t="shared" si="23"/>
        <v>Wed</v>
      </c>
      <c r="B324" s="1">
        <f t="shared" ref="B324:B366" si="27">+B323+1</f>
        <v>45980</v>
      </c>
      <c r="C324">
        <f t="shared" si="24"/>
        <v>47</v>
      </c>
      <c r="D324" t="str">
        <f t="shared" si="25"/>
        <v>19/11/2025</v>
      </c>
      <c r="E324" t="str">
        <f t="shared" si="26"/>
        <v>Nov</v>
      </c>
    </row>
    <row r="325" spans="1:5" x14ac:dyDescent="0.25">
      <c r="A325" t="str">
        <f t="shared" ref="A325:A366" si="28">TEXT(B325,"ddd")</f>
        <v>Thu</v>
      </c>
      <c r="B325" s="1">
        <f t="shared" si="27"/>
        <v>45981</v>
      </c>
      <c r="C325">
        <f t="shared" ref="C325:C366" si="29">IF(A325="Sat",C324+1,C324)</f>
        <v>47</v>
      </c>
      <c r="D325" t="str">
        <f t="shared" si="25"/>
        <v>20/11/2025</v>
      </c>
      <c r="E325" t="str">
        <f t="shared" si="26"/>
        <v>Nov</v>
      </c>
    </row>
    <row r="326" spans="1:5" x14ac:dyDescent="0.25">
      <c r="A326" t="str">
        <f t="shared" si="28"/>
        <v>Fri</v>
      </c>
      <c r="B326" s="1">
        <f t="shared" si="27"/>
        <v>45982</v>
      </c>
      <c r="C326">
        <f t="shared" si="29"/>
        <v>47</v>
      </c>
      <c r="D326" t="str">
        <f t="shared" si="25"/>
        <v>21/11/2025</v>
      </c>
      <c r="E326" t="str">
        <f t="shared" si="26"/>
        <v>Nov</v>
      </c>
    </row>
    <row r="327" spans="1:5" x14ac:dyDescent="0.25">
      <c r="A327" t="str">
        <f t="shared" si="28"/>
        <v>Sat</v>
      </c>
      <c r="B327" s="1">
        <f t="shared" si="27"/>
        <v>45983</v>
      </c>
      <c r="C327">
        <f t="shared" si="29"/>
        <v>48</v>
      </c>
      <c r="D327" t="str">
        <f t="shared" si="25"/>
        <v>22/11/2025</v>
      </c>
      <c r="E327" t="str">
        <f t="shared" si="26"/>
        <v>Nov</v>
      </c>
    </row>
    <row r="328" spans="1:5" x14ac:dyDescent="0.25">
      <c r="A328" t="str">
        <f t="shared" si="28"/>
        <v>Sun</v>
      </c>
      <c r="B328" s="1">
        <f t="shared" si="27"/>
        <v>45984</v>
      </c>
      <c r="C328">
        <f t="shared" si="29"/>
        <v>48</v>
      </c>
      <c r="D328" t="str">
        <f t="shared" si="25"/>
        <v>23/11/2025</v>
      </c>
      <c r="E328" t="str">
        <f t="shared" si="26"/>
        <v>Nov</v>
      </c>
    </row>
    <row r="329" spans="1:5" x14ac:dyDescent="0.25">
      <c r="A329" t="str">
        <f t="shared" si="28"/>
        <v>Mon</v>
      </c>
      <c r="B329" s="1">
        <f t="shared" si="27"/>
        <v>45985</v>
      </c>
      <c r="C329">
        <f t="shared" si="29"/>
        <v>48</v>
      </c>
      <c r="D329" t="str">
        <f t="shared" si="25"/>
        <v>24/11/2025</v>
      </c>
      <c r="E329" t="str">
        <f t="shared" si="26"/>
        <v>Nov</v>
      </c>
    </row>
    <row r="330" spans="1:5" x14ac:dyDescent="0.25">
      <c r="A330" t="str">
        <f t="shared" si="28"/>
        <v>Tue</v>
      </c>
      <c r="B330" s="1">
        <f t="shared" si="27"/>
        <v>45986</v>
      </c>
      <c r="C330">
        <f t="shared" si="29"/>
        <v>48</v>
      </c>
      <c r="D330" t="str">
        <f t="shared" si="25"/>
        <v>25/11/2025</v>
      </c>
      <c r="E330" t="str">
        <f t="shared" si="26"/>
        <v>Nov</v>
      </c>
    </row>
    <row r="331" spans="1:5" x14ac:dyDescent="0.25">
      <c r="A331" t="str">
        <f t="shared" si="28"/>
        <v>Wed</v>
      </c>
      <c r="B331" s="1">
        <f t="shared" si="27"/>
        <v>45987</v>
      </c>
      <c r="C331">
        <f t="shared" si="29"/>
        <v>48</v>
      </c>
      <c r="D331" t="str">
        <f t="shared" si="25"/>
        <v>26/11/2025</v>
      </c>
      <c r="E331" t="str">
        <f t="shared" si="26"/>
        <v>Nov</v>
      </c>
    </row>
    <row r="332" spans="1:5" x14ac:dyDescent="0.25">
      <c r="A332" t="str">
        <f t="shared" si="28"/>
        <v>Thu</v>
      </c>
      <c r="B332" s="1">
        <f t="shared" si="27"/>
        <v>45988</v>
      </c>
      <c r="C332">
        <f t="shared" si="29"/>
        <v>48</v>
      </c>
      <c r="D332" t="str">
        <f t="shared" si="25"/>
        <v>27/11/2025</v>
      </c>
      <c r="E332" t="str">
        <f t="shared" si="26"/>
        <v>Nov</v>
      </c>
    </row>
    <row r="333" spans="1:5" x14ac:dyDescent="0.25">
      <c r="A333" t="str">
        <f t="shared" si="28"/>
        <v>Fri</v>
      </c>
      <c r="B333" s="1">
        <f t="shared" si="27"/>
        <v>45989</v>
      </c>
      <c r="C333">
        <f t="shared" si="29"/>
        <v>48</v>
      </c>
      <c r="D333" t="str">
        <f t="shared" si="25"/>
        <v>28/11/2025</v>
      </c>
      <c r="E333" t="str">
        <f t="shared" si="26"/>
        <v>Nov</v>
      </c>
    </row>
    <row r="334" spans="1:5" x14ac:dyDescent="0.25">
      <c r="A334" t="str">
        <f t="shared" si="28"/>
        <v>Sat</v>
      </c>
      <c r="B334" s="1">
        <f t="shared" si="27"/>
        <v>45990</v>
      </c>
      <c r="C334">
        <f t="shared" si="29"/>
        <v>49</v>
      </c>
      <c r="D334" t="str">
        <f t="shared" si="25"/>
        <v>29/11/2025</v>
      </c>
      <c r="E334" t="str">
        <f t="shared" si="26"/>
        <v>Nov</v>
      </c>
    </row>
    <row r="335" spans="1:5" x14ac:dyDescent="0.25">
      <c r="A335" t="str">
        <f t="shared" si="28"/>
        <v>Sun</v>
      </c>
      <c r="B335" s="1">
        <f t="shared" si="27"/>
        <v>45991</v>
      </c>
      <c r="C335">
        <f t="shared" si="29"/>
        <v>49</v>
      </c>
      <c r="D335" t="str">
        <f t="shared" si="25"/>
        <v>30/11/2025</v>
      </c>
      <c r="E335" t="str">
        <f t="shared" si="26"/>
        <v>Nov</v>
      </c>
    </row>
    <row r="336" spans="1:5" x14ac:dyDescent="0.25">
      <c r="A336" t="str">
        <f t="shared" si="28"/>
        <v>Mon</v>
      </c>
      <c r="B336" s="1">
        <f t="shared" si="27"/>
        <v>45992</v>
      </c>
      <c r="C336">
        <f t="shared" si="29"/>
        <v>49</v>
      </c>
      <c r="D336" t="str">
        <f t="shared" si="25"/>
        <v>01/12/2025</v>
      </c>
      <c r="E336" t="str">
        <f t="shared" si="26"/>
        <v>Dec</v>
      </c>
    </row>
    <row r="337" spans="1:5" x14ac:dyDescent="0.25">
      <c r="A337" t="str">
        <f t="shared" si="28"/>
        <v>Tue</v>
      </c>
      <c r="B337" s="1">
        <f t="shared" si="27"/>
        <v>45993</v>
      </c>
      <c r="C337">
        <f t="shared" si="29"/>
        <v>49</v>
      </c>
      <c r="D337" t="str">
        <f t="shared" si="25"/>
        <v>02/12/2025</v>
      </c>
      <c r="E337" t="str">
        <f t="shared" si="26"/>
        <v>Dec</v>
      </c>
    </row>
    <row r="338" spans="1:5" x14ac:dyDescent="0.25">
      <c r="A338" t="str">
        <f t="shared" si="28"/>
        <v>Wed</v>
      </c>
      <c r="B338" s="1">
        <f t="shared" si="27"/>
        <v>45994</v>
      </c>
      <c r="C338">
        <f t="shared" si="29"/>
        <v>49</v>
      </c>
      <c r="D338" t="str">
        <f t="shared" si="25"/>
        <v>03/12/2025</v>
      </c>
      <c r="E338" t="str">
        <f t="shared" si="26"/>
        <v>Dec</v>
      </c>
    </row>
    <row r="339" spans="1:5" x14ac:dyDescent="0.25">
      <c r="A339" t="str">
        <f t="shared" si="28"/>
        <v>Thu</v>
      </c>
      <c r="B339" s="1">
        <f t="shared" si="27"/>
        <v>45995</v>
      </c>
      <c r="C339">
        <f t="shared" si="29"/>
        <v>49</v>
      </c>
      <c r="D339" t="str">
        <f t="shared" si="25"/>
        <v>04/12/2025</v>
      </c>
      <c r="E339" t="str">
        <f t="shared" si="26"/>
        <v>Dec</v>
      </c>
    </row>
    <row r="340" spans="1:5" x14ac:dyDescent="0.25">
      <c r="A340" t="str">
        <f t="shared" si="28"/>
        <v>Fri</v>
      </c>
      <c r="B340" s="1">
        <f t="shared" si="27"/>
        <v>45996</v>
      </c>
      <c r="C340">
        <f t="shared" si="29"/>
        <v>49</v>
      </c>
      <c r="D340" t="str">
        <f t="shared" si="25"/>
        <v>05/12/2025</v>
      </c>
      <c r="E340" t="str">
        <f t="shared" si="26"/>
        <v>Dec</v>
      </c>
    </row>
    <row r="341" spans="1:5" x14ac:dyDescent="0.25">
      <c r="A341" t="str">
        <f t="shared" si="28"/>
        <v>Sat</v>
      </c>
      <c r="B341" s="1">
        <f t="shared" si="27"/>
        <v>45997</v>
      </c>
      <c r="C341">
        <f t="shared" si="29"/>
        <v>50</v>
      </c>
      <c r="D341" t="str">
        <f t="shared" si="25"/>
        <v>06/12/2025</v>
      </c>
      <c r="E341" t="str">
        <f t="shared" si="26"/>
        <v>Dec</v>
      </c>
    </row>
    <row r="342" spans="1:5" x14ac:dyDescent="0.25">
      <c r="A342" t="str">
        <f t="shared" si="28"/>
        <v>Sun</v>
      </c>
      <c r="B342" s="1">
        <f t="shared" si="27"/>
        <v>45998</v>
      </c>
      <c r="C342">
        <f t="shared" si="29"/>
        <v>50</v>
      </c>
      <c r="D342" t="str">
        <f t="shared" si="25"/>
        <v>07/12/2025</v>
      </c>
      <c r="E342" t="str">
        <f t="shared" si="26"/>
        <v>Dec</v>
      </c>
    </row>
    <row r="343" spans="1:5" x14ac:dyDescent="0.25">
      <c r="A343" t="str">
        <f t="shared" si="28"/>
        <v>Mon</v>
      </c>
      <c r="B343" s="1">
        <f t="shared" si="27"/>
        <v>45999</v>
      </c>
      <c r="C343">
        <f t="shared" si="29"/>
        <v>50</v>
      </c>
      <c r="D343" t="str">
        <f t="shared" si="25"/>
        <v>08/12/2025</v>
      </c>
      <c r="E343" t="str">
        <f t="shared" si="26"/>
        <v>Dec</v>
      </c>
    </row>
    <row r="344" spans="1:5" x14ac:dyDescent="0.25">
      <c r="A344" t="str">
        <f t="shared" si="28"/>
        <v>Tue</v>
      </c>
      <c r="B344" s="1">
        <f t="shared" si="27"/>
        <v>46000</v>
      </c>
      <c r="C344">
        <f t="shared" si="29"/>
        <v>50</v>
      </c>
      <c r="D344" t="str">
        <f t="shared" si="25"/>
        <v>09/12/2025</v>
      </c>
      <c r="E344" t="str">
        <f t="shared" si="26"/>
        <v>Dec</v>
      </c>
    </row>
    <row r="345" spans="1:5" x14ac:dyDescent="0.25">
      <c r="A345" t="str">
        <f t="shared" si="28"/>
        <v>Wed</v>
      </c>
      <c r="B345" s="1">
        <f t="shared" si="27"/>
        <v>46001</v>
      </c>
      <c r="C345">
        <f t="shared" si="29"/>
        <v>50</v>
      </c>
      <c r="D345" t="str">
        <f t="shared" si="25"/>
        <v>10/12/2025</v>
      </c>
      <c r="E345" t="str">
        <f t="shared" si="26"/>
        <v>Dec</v>
      </c>
    </row>
    <row r="346" spans="1:5" x14ac:dyDescent="0.25">
      <c r="A346" t="str">
        <f t="shared" si="28"/>
        <v>Thu</v>
      </c>
      <c r="B346" s="1">
        <f t="shared" si="27"/>
        <v>46002</v>
      </c>
      <c r="C346">
        <f t="shared" si="29"/>
        <v>50</v>
      </c>
      <c r="D346" t="str">
        <f t="shared" si="25"/>
        <v>11/12/2025</v>
      </c>
      <c r="E346" t="str">
        <f t="shared" si="26"/>
        <v>Dec</v>
      </c>
    </row>
    <row r="347" spans="1:5" x14ac:dyDescent="0.25">
      <c r="A347" t="str">
        <f t="shared" si="28"/>
        <v>Fri</v>
      </c>
      <c r="B347" s="1">
        <f t="shared" si="27"/>
        <v>46003</v>
      </c>
      <c r="C347">
        <f t="shared" si="29"/>
        <v>50</v>
      </c>
      <c r="D347" t="str">
        <f t="shared" si="25"/>
        <v>12/12/2025</v>
      </c>
      <c r="E347" t="str">
        <f t="shared" si="26"/>
        <v>Dec</v>
      </c>
    </row>
    <row r="348" spans="1:5" x14ac:dyDescent="0.25">
      <c r="A348" t="str">
        <f t="shared" si="28"/>
        <v>Sat</v>
      </c>
      <c r="B348" s="1">
        <f t="shared" si="27"/>
        <v>46004</v>
      </c>
      <c r="C348">
        <f t="shared" si="29"/>
        <v>51</v>
      </c>
      <c r="D348" t="str">
        <f t="shared" si="25"/>
        <v>13/12/2025</v>
      </c>
      <c r="E348" t="str">
        <f t="shared" si="26"/>
        <v>Dec</v>
      </c>
    </row>
    <row r="349" spans="1:5" x14ac:dyDescent="0.25">
      <c r="A349" t="str">
        <f t="shared" si="28"/>
        <v>Sun</v>
      </c>
      <c r="B349" s="1">
        <f t="shared" si="27"/>
        <v>46005</v>
      </c>
      <c r="C349">
        <f t="shared" si="29"/>
        <v>51</v>
      </c>
      <c r="D349" t="str">
        <f t="shared" si="25"/>
        <v>14/12/2025</v>
      </c>
      <c r="E349" t="str">
        <f t="shared" si="26"/>
        <v>Dec</v>
      </c>
    </row>
    <row r="350" spans="1:5" x14ac:dyDescent="0.25">
      <c r="A350" t="str">
        <f t="shared" si="28"/>
        <v>Mon</v>
      </c>
      <c r="B350" s="1">
        <f t="shared" si="27"/>
        <v>46006</v>
      </c>
      <c r="C350">
        <f t="shared" si="29"/>
        <v>51</v>
      </c>
      <c r="D350" t="str">
        <f t="shared" si="25"/>
        <v>15/12/2025</v>
      </c>
      <c r="E350" t="str">
        <f t="shared" si="26"/>
        <v>Dec</v>
      </c>
    </row>
    <row r="351" spans="1:5" x14ac:dyDescent="0.25">
      <c r="A351" t="str">
        <f t="shared" si="28"/>
        <v>Tue</v>
      </c>
      <c r="B351" s="1">
        <f t="shared" si="27"/>
        <v>46007</v>
      </c>
      <c r="C351">
        <f t="shared" si="29"/>
        <v>51</v>
      </c>
      <c r="D351" t="str">
        <f t="shared" si="25"/>
        <v>16/12/2025</v>
      </c>
      <c r="E351" t="str">
        <f t="shared" si="26"/>
        <v>Dec</v>
      </c>
    </row>
    <row r="352" spans="1:5" x14ac:dyDescent="0.25">
      <c r="A352" t="str">
        <f t="shared" si="28"/>
        <v>Wed</v>
      </c>
      <c r="B352" s="1">
        <f t="shared" si="27"/>
        <v>46008</v>
      </c>
      <c r="C352">
        <f t="shared" si="29"/>
        <v>51</v>
      </c>
      <c r="D352" t="str">
        <f t="shared" si="25"/>
        <v>17/12/2025</v>
      </c>
      <c r="E352" t="str">
        <f t="shared" si="26"/>
        <v>Dec</v>
      </c>
    </row>
    <row r="353" spans="1:5" x14ac:dyDescent="0.25">
      <c r="A353" t="str">
        <f t="shared" si="28"/>
        <v>Thu</v>
      </c>
      <c r="B353" s="1">
        <f t="shared" si="27"/>
        <v>46009</v>
      </c>
      <c r="C353">
        <f t="shared" si="29"/>
        <v>51</v>
      </c>
      <c r="D353" t="str">
        <f t="shared" si="25"/>
        <v>18/12/2025</v>
      </c>
      <c r="E353" t="str">
        <f t="shared" si="26"/>
        <v>Dec</v>
      </c>
    </row>
    <row r="354" spans="1:5" x14ac:dyDescent="0.25">
      <c r="A354" t="str">
        <f t="shared" si="28"/>
        <v>Fri</v>
      </c>
      <c r="B354" s="1">
        <f t="shared" si="27"/>
        <v>46010</v>
      </c>
      <c r="C354">
        <f t="shared" si="29"/>
        <v>51</v>
      </c>
      <c r="D354" t="str">
        <f t="shared" si="25"/>
        <v>19/12/2025</v>
      </c>
      <c r="E354" t="str">
        <f t="shared" si="26"/>
        <v>Dec</v>
      </c>
    </row>
    <row r="355" spans="1:5" x14ac:dyDescent="0.25">
      <c r="A355" t="str">
        <f t="shared" si="28"/>
        <v>Sat</v>
      </c>
      <c r="B355" s="1">
        <f t="shared" si="27"/>
        <v>46011</v>
      </c>
      <c r="C355">
        <f t="shared" si="29"/>
        <v>52</v>
      </c>
      <c r="D355" t="str">
        <f t="shared" si="25"/>
        <v>20/12/2025</v>
      </c>
      <c r="E355" t="str">
        <f t="shared" si="26"/>
        <v>Dec</v>
      </c>
    </row>
    <row r="356" spans="1:5" x14ac:dyDescent="0.25">
      <c r="A356" t="str">
        <f t="shared" si="28"/>
        <v>Sun</v>
      </c>
      <c r="B356" s="1">
        <f t="shared" si="27"/>
        <v>46012</v>
      </c>
      <c r="C356">
        <f t="shared" si="29"/>
        <v>52</v>
      </c>
      <c r="D356" t="str">
        <f t="shared" si="25"/>
        <v>21/12/2025</v>
      </c>
      <c r="E356" t="str">
        <f t="shared" si="26"/>
        <v>Dec</v>
      </c>
    </row>
    <row r="357" spans="1:5" x14ac:dyDescent="0.25">
      <c r="A357" t="str">
        <f t="shared" si="28"/>
        <v>Mon</v>
      </c>
      <c r="B357" s="1">
        <f t="shared" si="27"/>
        <v>46013</v>
      </c>
      <c r="C357">
        <f t="shared" si="29"/>
        <v>52</v>
      </c>
      <c r="D357" t="str">
        <f t="shared" si="25"/>
        <v>22/12/2025</v>
      </c>
      <c r="E357" t="str">
        <f t="shared" si="26"/>
        <v>Dec</v>
      </c>
    </row>
    <row r="358" spans="1:5" x14ac:dyDescent="0.25">
      <c r="A358" t="str">
        <f t="shared" si="28"/>
        <v>Tue</v>
      </c>
      <c r="B358" s="1">
        <f t="shared" si="27"/>
        <v>46014</v>
      </c>
      <c r="C358">
        <f t="shared" si="29"/>
        <v>52</v>
      </c>
      <c r="D358" t="str">
        <f t="shared" si="25"/>
        <v>23/12/2025</v>
      </c>
      <c r="E358" t="str">
        <f t="shared" si="26"/>
        <v>Dec</v>
      </c>
    </row>
    <row r="359" spans="1:5" x14ac:dyDescent="0.25">
      <c r="A359" t="str">
        <f t="shared" si="28"/>
        <v>Wed</v>
      </c>
      <c r="B359" s="1">
        <f t="shared" si="27"/>
        <v>46015</v>
      </c>
      <c r="C359">
        <f t="shared" si="29"/>
        <v>52</v>
      </c>
      <c r="D359" t="str">
        <f t="shared" si="25"/>
        <v>24/12/2025</v>
      </c>
      <c r="E359" t="str">
        <f t="shared" si="26"/>
        <v>Dec</v>
      </c>
    </row>
    <row r="360" spans="1:5" x14ac:dyDescent="0.25">
      <c r="A360" t="str">
        <f t="shared" si="28"/>
        <v>Thu</v>
      </c>
      <c r="B360" s="1">
        <f t="shared" si="27"/>
        <v>46016</v>
      </c>
      <c r="C360">
        <f t="shared" si="29"/>
        <v>52</v>
      </c>
      <c r="D360" t="str">
        <f t="shared" si="25"/>
        <v>25/12/2025</v>
      </c>
      <c r="E360" t="str">
        <f t="shared" si="26"/>
        <v>Dec</v>
      </c>
    </row>
    <row r="361" spans="1:5" x14ac:dyDescent="0.25">
      <c r="A361" t="str">
        <f t="shared" si="28"/>
        <v>Fri</v>
      </c>
      <c r="B361" s="1">
        <f t="shared" si="27"/>
        <v>46017</v>
      </c>
      <c r="C361">
        <f t="shared" si="29"/>
        <v>52</v>
      </c>
      <c r="D361" t="str">
        <f t="shared" si="25"/>
        <v>26/12/2025</v>
      </c>
      <c r="E361" t="str">
        <f t="shared" si="26"/>
        <v>Dec</v>
      </c>
    </row>
    <row r="362" spans="1:5" x14ac:dyDescent="0.25">
      <c r="A362" t="str">
        <f t="shared" si="28"/>
        <v>Sat</v>
      </c>
      <c r="B362" s="1">
        <f t="shared" si="27"/>
        <v>46018</v>
      </c>
      <c r="C362">
        <f t="shared" si="29"/>
        <v>53</v>
      </c>
      <c r="D362" t="str">
        <f t="shared" si="25"/>
        <v>27/12/2025</v>
      </c>
      <c r="E362" t="str">
        <f t="shared" si="26"/>
        <v>Dec</v>
      </c>
    </row>
    <row r="363" spans="1:5" x14ac:dyDescent="0.25">
      <c r="A363" t="str">
        <f t="shared" si="28"/>
        <v>Sun</v>
      </c>
      <c r="B363" s="1">
        <f t="shared" si="27"/>
        <v>46019</v>
      </c>
      <c r="C363">
        <f t="shared" si="29"/>
        <v>53</v>
      </c>
      <c r="D363" t="str">
        <f t="shared" si="25"/>
        <v>28/12/2025</v>
      </c>
      <c r="E363" t="str">
        <f t="shared" si="26"/>
        <v>Dec</v>
      </c>
    </row>
    <row r="364" spans="1:5" x14ac:dyDescent="0.25">
      <c r="A364" t="str">
        <f t="shared" si="28"/>
        <v>Mon</v>
      </c>
      <c r="B364" s="1">
        <f t="shared" si="27"/>
        <v>46020</v>
      </c>
      <c r="C364">
        <f t="shared" si="29"/>
        <v>53</v>
      </c>
      <c r="D364" t="str">
        <f t="shared" si="25"/>
        <v>29/12/2025</v>
      </c>
      <c r="E364" t="str">
        <f t="shared" si="26"/>
        <v>Dec</v>
      </c>
    </row>
    <row r="365" spans="1:5" x14ac:dyDescent="0.25">
      <c r="A365" t="str">
        <f t="shared" si="28"/>
        <v>Tue</v>
      </c>
      <c r="B365" s="1">
        <f t="shared" si="27"/>
        <v>46021</v>
      </c>
      <c r="C365">
        <f t="shared" si="29"/>
        <v>53</v>
      </c>
      <c r="D365" t="str">
        <f t="shared" si="25"/>
        <v>30/12/2025</v>
      </c>
      <c r="E365" t="str">
        <f t="shared" si="26"/>
        <v>Dec</v>
      </c>
    </row>
    <row r="366" spans="1:5" x14ac:dyDescent="0.25">
      <c r="A366" t="str">
        <f t="shared" si="28"/>
        <v>Wed</v>
      </c>
      <c r="B366" s="1">
        <f t="shared" si="27"/>
        <v>46022</v>
      </c>
      <c r="C366">
        <f t="shared" si="29"/>
        <v>53</v>
      </c>
      <c r="D366" t="str">
        <f t="shared" si="25"/>
        <v>31/12/2025</v>
      </c>
      <c r="E366" t="str">
        <f t="shared" si="26"/>
        <v>Dec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Analysis</vt:lpstr>
      <vt:lpstr>Design KPI</vt:lpstr>
      <vt:lpstr>Pivot Weekly close</vt:lpstr>
      <vt:lpstr>Pivot Of Design Days</vt:lpstr>
      <vt:lpstr>Weekly Closed Proposal Requests</vt:lpstr>
      <vt:lpstr>Ex Rates</vt:lpstr>
      <vt:lpstr>Design Days between estimate by</vt:lpstr>
      <vt:lpstr>Wk no's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Perrett</dc:creator>
  <cp:lastModifiedBy>Rob Samuel</cp:lastModifiedBy>
  <dcterms:created xsi:type="dcterms:W3CDTF">2025-05-13T15:31:26Z</dcterms:created>
  <dcterms:modified xsi:type="dcterms:W3CDTF">2026-03-11T13:10:55Z</dcterms:modified>
</cp:coreProperties>
</file>