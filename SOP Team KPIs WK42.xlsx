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ansgrouponline-my.sharepoint.com/personal/paul_biltcliffe_ans_co_uk/Documents/Documents/Projects/SAS/"/>
    </mc:Choice>
  </mc:AlternateContent>
  <xr:revisionPtr revIDLastSave="15" documentId="13_ncr:1_{40EF2597-E48A-42F0-A1F0-F1CCF55A7CDE}" xr6:coauthVersionLast="47" xr6:coauthVersionMax="47" xr10:uidLastSave="{E727CFA1-4A0F-4F3A-ABA8-78E44196E752}"/>
  <bookViews>
    <workbookView minimized="1" xWindow="41505" yWindow="2265" windowWidth="2985" windowHeight="585" tabRatio="907" activeTab="7" xr2:uid="{BA900C8C-0838-4C45-B7FA-BA03B8471A27}"/>
  </bookViews>
  <sheets>
    <sheet name="Analysis" sheetId="9" r:id="rId1"/>
    <sheet name="Lookup List" sheetId="11" r:id="rId2"/>
    <sheet name="Pivot of Complaints" sheetId="10" r:id="rId3"/>
    <sheet name="KPI" sheetId="17" r:id="rId4"/>
    <sheet name="Pivot Cleansing" sheetId="14" r:id="rId5"/>
    <sheet name="Pivot Sign Off" sheetId="15" r:id="rId6"/>
    <sheet name="No of Complaints raised per wee" sheetId="4" r:id="rId7"/>
    <sheet name="Cleansing OTIF" sheetId="12" r:id="rId8"/>
    <sheet name="Sign Off OTIF" sheetId="13" r:id="rId9"/>
    <sheet name="Wk no's" sheetId="3" r:id="rId10"/>
  </sheets>
  <definedNames>
    <definedName name="_xlnm._FilterDatabase" localSheetId="7" hidden="1">'Cleansing OTIF'!$A$1:$G$1452</definedName>
    <definedName name="_xlnm._FilterDatabase" localSheetId="6" hidden="1">'No of Complaints raised per wee'!$A$1:$K$253</definedName>
    <definedName name="_xlnm._FilterDatabase" localSheetId="8" hidden="1">'Sign Off OTIF'!$A$1:$G$1452</definedName>
  </definedNames>
  <calcPr calcId="191029"/>
  <pivotCaches>
    <pivotCache cacheId="0" r:id="rId11"/>
    <pivotCache cacheId="1" r:id="rId12"/>
    <pivotCache cacheId="2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4" i="4" l="1"/>
  <c r="J544" i="4"/>
  <c r="I545" i="4"/>
  <c r="J545" i="4"/>
  <c r="I546" i="4"/>
  <c r="J546" i="4"/>
  <c r="I547" i="4"/>
  <c r="J547" i="4"/>
  <c r="I548" i="4"/>
  <c r="J548" i="4"/>
  <c r="I549" i="4"/>
  <c r="J549" i="4"/>
  <c r="I550" i="4"/>
  <c r="J550" i="4"/>
  <c r="I551" i="4"/>
  <c r="J551" i="4"/>
  <c r="I552" i="4"/>
  <c r="J552" i="4"/>
  <c r="I553" i="4"/>
  <c r="J553" i="4"/>
  <c r="I554" i="4"/>
  <c r="J554" i="4"/>
  <c r="I555" i="4"/>
  <c r="J555" i="4"/>
  <c r="I556" i="4"/>
  <c r="J556" i="4"/>
  <c r="I557" i="4"/>
  <c r="J557" i="4"/>
  <c r="I558" i="4"/>
  <c r="J558" i="4"/>
  <c r="I559" i="4"/>
  <c r="J559" i="4"/>
  <c r="I530" i="4"/>
  <c r="J530" i="4"/>
  <c r="I531" i="4"/>
  <c r="J531" i="4"/>
  <c r="I532" i="4"/>
  <c r="J532" i="4"/>
  <c r="I533" i="4"/>
  <c r="J533" i="4"/>
  <c r="I534" i="4"/>
  <c r="J534" i="4"/>
  <c r="I535" i="4"/>
  <c r="J535" i="4"/>
  <c r="I536" i="4"/>
  <c r="J536" i="4"/>
  <c r="I537" i="4"/>
  <c r="J537" i="4"/>
  <c r="I538" i="4"/>
  <c r="J538" i="4"/>
  <c r="I539" i="4"/>
  <c r="J539" i="4"/>
  <c r="I540" i="4"/>
  <c r="J540" i="4"/>
  <c r="I541" i="4"/>
  <c r="J541" i="4"/>
  <c r="I542" i="4"/>
  <c r="J542" i="4"/>
  <c r="I543" i="4"/>
  <c r="J543" i="4"/>
  <c r="I512" i="4"/>
  <c r="J512" i="4"/>
  <c r="I513" i="4"/>
  <c r="J513" i="4"/>
  <c r="I514" i="4"/>
  <c r="J514" i="4"/>
  <c r="I515" i="4"/>
  <c r="J515" i="4"/>
  <c r="I516" i="4"/>
  <c r="J516" i="4"/>
  <c r="I517" i="4"/>
  <c r="J517" i="4"/>
  <c r="I518" i="4"/>
  <c r="J518" i="4"/>
  <c r="I519" i="4"/>
  <c r="J519" i="4"/>
  <c r="I520" i="4"/>
  <c r="J520" i="4"/>
  <c r="I521" i="4"/>
  <c r="J521" i="4"/>
  <c r="I522" i="4"/>
  <c r="J522" i="4"/>
  <c r="I523" i="4"/>
  <c r="J523" i="4"/>
  <c r="I524" i="4"/>
  <c r="J524" i="4"/>
  <c r="I525" i="4"/>
  <c r="J525" i="4"/>
  <c r="I526" i="4"/>
  <c r="J526" i="4"/>
  <c r="I527" i="4"/>
  <c r="J527" i="4"/>
  <c r="I528" i="4"/>
  <c r="J528" i="4"/>
  <c r="I529" i="4"/>
  <c r="J529" i="4"/>
  <c r="I493" i="4"/>
  <c r="J493" i="4"/>
  <c r="I494" i="4"/>
  <c r="J494" i="4"/>
  <c r="I495" i="4"/>
  <c r="J495" i="4"/>
  <c r="I496" i="4"/>
  <c r="J496" i="4"/>
  <c r="I497" i="4"/>
  <c r="J497" i="4"/>
  <c r="I498" i="4"/>
  <c r="J498" i="4"/>
  <c r="I499" i="4"/>
  <c r="J499" i="4"/>
  <c r="I500" i="4"/>
  <c r="J500" i="4"/>
  <c r="I501" i="4"/>
  <c r="J501" i="4"/>
  <c r="I502" i="4"/>
  <c r="J502" i="4"/>
  <c r="I503" i="4"/>
  <c r="J503" i="4"/>
  <c r="I504" i="4"/>
  <c r="J504" i="4"/>
  <c r="I505" i="4"/>
  <c r="J505" i="4"/>
  <c r="I506" i="4"/>
  <c r="J506" i="4"/>
  <c r="I507" i="4"/>
  <c r="J507" i="4"/>
  <c r="I508" i="4"/>
  <c r="J508" i="4"/>
  <c r="I509" i="4"/>
  <c r="J509" i="4"/>
  <c r="I510" i="4"/>
  <c r="J510" i="4"/>
  <c r="I511" i="4"/>
  <c r="J511" i="4"/>
  <c r="I484" i="4"/>
  <c r="J484" i="4"/>
  <c r="I485" i="4"/>
  <c r="J485" i="4"/>
  <c r="I486" i="4"/>
  <c r="J486" i="4"/>
  <c r="I487" i="4"/>
  <c r="J487" i="4"/>
  <c r="I488" i="4"/>
  <c r="J488" i="4"/>
  <c r="I489" i="4"/>
  <c r="J489" i="4"/>
  <c r="I490" i="4"/>
  <c r="J490" i="4"/>
  <c r="I491" i="4"/>
  <c r="J491" i="4"/>
  <c r="I492" i="4"/>
  <c r="J492" i="4"/>
  <c r="I475" i="4"/>
  <c r="J475" i="4"/>
  <c r="I476" i="4"/>
  <c r="J476" i="4"/>
  <c r="I477" i="4"/>
  <c r="J477" i="4"/>
  <c r="I478" i="4"/>
  <c r="J478" i="4"/>
  <c r="I479" i="4"/>
  <c r="J479" i="4"/>
  <c r="I480" i="4"/>
  <c r="J480" i="4"/>
  <c r="I481" i="4"/>
  <c r="J481" i="4"/>
  <c r="I482" i="4"/>
  <c r="J482" i="4"/>
  <c r="I483" i="4"/>
  <c r="J483" i="4"/>
  <c r="I463" i="4"/>
  <c r="J463" i="4"/>
  <c r="I464" i="4"/>
  <c r="J464" i="4"/>
  <c r="I465" i="4"/>
  <c r="J465" i="4"/>
  <c r="I466" i="4"/>
  <c r="J466" i="4"/>
  <c r="I467" i="4"/>
  <c r="J467" i="4"/>
  <c r="I468" i="4"/>
  <c r="J468" i="4"/>
  <c r="I469" i="4"/>
  <c r="J469" i="4"/>
  <c r="I470" i="4"/>
  <c r="J470" i="4"/>
  <c r="I471" i="4"/>
  <c r="J471" i="4"/>
  <c r="I472" i="4"/>
  <c r="J472" i="4"/>
  <c r="I473" i="4"/>
  <c r="J473" i="4"/>
  <c r="I474" i="4"/>
  <c r="J474" i="4"/>
  <c r="I454" i="4"/>
  <c r="J454" i="4"/>
  <c r="I455" i="4"/>
  <c r="J455" i="4"/>
  <c r="I456" i="4"/>
  <c r="J456" i="4"/>
  <c r="I457" i="4"/>
  <c r="J457" i="4"/>
  <c r="I458" i="4"/>
  <c r="J458" i="4"/>
  <c r="I459" i="4"/>
  <c r="J459" i="4"/>
  <c r="I460" i="4"/>
  <c r="J460" i="4"/>
  <c r="I461" i="4"/>
  <c r="J461" i="4"/>
  <c r="I462" i="4"/>
  <c r="J462" i="4"/>
  <c r="AQ11" i="17"/>
  <c r="AP4" i="17"/>
  <c r="AN4" i="17"/>
  <c r="AL4" i="17"/>
  <c r="AM12" i="17"/>
  <c r="AO12" i="17"/>
  <c r="AQ6" i="17"/>
  <c r="AL6" i="17"/>
  <c r="AN6" i="17"/>
  <c r="AK12" i="17"/>
  <c r="AO10" i="17"/>
  <c r="AP10" i="17"/>
  <c r="AQ10" i="17"/>
  <c r="AO4" i="17"/>
  <c r="AJ4" i="17"/>
  <c r="AK10" i="17"/>
  <c r="AJ12" i="17"/>
  <c r="AN12" i="17"/>
  <c r="AQ12" i="17"/>
  <c r="AK6" i="17"/>
  <c r="AL5" i="17"/>
  <c r="AO11" i="17"/>
  <c r="AL11" i="17"/>
  <c r="AM11" i="17"/>
  <c r="AQ5" i="17"/>
  <c r="AJ5" i="17"/>
  <c r="AN5" i="17"/>
  <c r="AO6" i="17"/>
  <c r="AJ10" i="17"/>
  <c r="AJ11" i="17"/>
  <c r="AP6" i="17"/>
  <c r="AM4" i="17"/>
  <c r="AK5" i="17"/>
  <c r="AN10" i="17"/>
  <c r="AL12" i="17"/>
  <c r="AL10" i="17"/>
  <c r="AJ6" i="17"/>
  <c r="AM5" i="17"/>
  <c r="AM10" i="17"/>
  <c r="AN11" i="17"/>
  <c r="AO5" i="17"/>
  <c r="AP12" i="17"/>
  <c r="AQ4" i="17"/>
  <c r="AM6" i="17"/>
  <c r="AP5" i="17"/>
  <c r="AK4" i="17"/>
  <c r="AK11" i="17"/>
  <c r="AP11" i="17"/>
  <c r="AQ7" i="17" l="1"/>
  <c r="AQ13" i="17"/>
  <c r="AP13" i="17"/>
  <c r="AP7" i="17"/>
  <c r="AO7" i="17"/>
  <c r="AO13" i="17"/>
  <c r="AN13" i="17"/>
  <c r="AN7" i="17"/>
  <c r="AM13" i="17"/>
  <c r="AM7" i="17"/>
  <c r="AL13" i="17"/>
  <c r="AL7" i="17"/>
  <c r="AK13" i="17"/>
  <c r="AK7" i="17"/>
  <c r="AJ13" i="17"/>
  <c r="AJ7" i="17"/>
  <c r="I448" i="4" l="1"/>
  <c r="J448" i="4"/>
  <c r="I449" i="4"/>
  <c r="J449" i="4"/>
  <c r="I450" i="4"/>
  <c r="J450" i="4"/>
  <c r="I451" i="4"/>
  <c r="J451" i="4"/>
  <c r="I452" i="4"/>
  <c r="J452" i="4"/>
  <c r="I453" i="4"/>
  <c r="J453" i="4"/>
  <c r="I438" i="4"/>
  <c r="J438" i="4"/>
  <c r="I439" i="4"/>
  <c r="J439" i="4"/>
  <c r="I440" i="4"/>
  <c r="J440" i="4"/>
  <c r="I441" i="4"/>
  <c r="J441" i="4"/>
  <c r="I442" i="4"/>
  <c r="J442" i="4"/>
  <c r="I443" i="4"/>
  <c r="J443" i="4"/>
  <c r="I444" i="4"/>
  <c r="J444" i="4"/>
  <c r="I445" i="4"/>
  <c r="J445" i="4"/>
  <c r="I446" i="4"/>
  <c r="J446" i="4"/>
  <c r="I447" i="4"/>
  <c r="J447" i="4"/>
  <c r="AH6" i="17"/>
  <c r="AI11" i="17"/>
  <c r="AI4" i="17"/>
  <c r="AH10" i="17"/>
  <c r="AI5" i="17"/>
  <c r="AH11" i="17"/>
  <c r="AH5" i="17"/>
  <c r="AH12" i="17"/>
  <c r="AI12" i="17"/>
  <c r="AI10" i="17"/>
  <c r="AI6" i="17"/>
  <c r="AH4" i="17"/>
  <c r="AI13" i="17" l="1"/>
  <c r="AI7" i="17"/>
  <c r="AH7" i="17"/>
  <c r="AH13" i="17"/>
  <c r="I423" i="4" l="1"/>
  <c r="J423" i="4"/>
  <c r="I424" i="4"/>
  <c r="J424" i="4"/>
  <c r="I425" i="4"/>
  <c r="J425" i="4"/>
  <c r="I426" i="4"/>
  <c r="J426" i="4"/>
  <c r="I427" i="4"/>
  <c r="J427" i="4"/>
  <c r="I428" i="4"/>
  <c r="J428" i="4"/>
  <c r="I429" i="4"/>
  <c r="J429" i="4"/>
  <c r="I430" i="4"/>
  <c r="J430" i="4"/>
  <c r="I431" i="4"/>
  <c r="J431" i="4"/>
  <c r="I432" i="4"/>
  <c r="J432" i="4"/>
  <c r="I433" i="4"/>
  <c r="J433" i="4"/>
  <c r="I434" i="4"/>
  <c r="J434" i="4"/>
  <c r="I435" i="4"/>
  <c r="J435" i="4"/>
  <c r="I436" i="4"/>
  <c r="J436" i="4"/>
  <c r="I437" i="4"/>
  <c r="J437" i="4"/>
  <c r="AG4" i="17"/>
  <c r="AG5" i="17"/>
  <c r="AG6" i="17"/>
  <c r="AG11" i="17"/>
  <c r="AG12" i="17"/>
  <c r="AG10" i="17"/>
  <c r="AG13" i="17" l="1"/>
  <c r="AG7" i="17"/>
  <c r="I414" i="4" l="1"/>
  <c r="J414" i="4"/>
  <c r="I415" i="4"/>
  <c r="J415" i="4"/>
  <c r="I416" i="4"/>
  <c r="J416" i="4"/>
  <c r="I417" i="4"/>
  <c r="J417" i="4"/>
  <c r="I418" i="4"/>
  <c r="J418" i="4"/>
  <c r="I419" i="4"/>
  <c r="J419" i="4"/>
  <c r="I420" i="4"/>
  <c r="J420" i="4"/>
  <c r="I421" i="4"/>
  <c r="J421" i="4"/>
  <c r="I422" i="4"/>
  <c r="J422" i="4"/>
  <c r="AF10" i="17"/>
  <c r="AF11" i="17"/>
  <c r="AF12" i="17"/>
  <c r="AF5" i="17"/>
  <c r="AF4" i="17"/>
  <c r="AF6" i="17"/>
  <c r="AF13" i="17" l="1"/>
  <c r="AF7" i="17"/>
  <c r="I399" i="4" l="1"/>
  <c r="J399" i="4"/>
  <c r="I400" i="4"/>
  <c r="J400" i="4"/>
  <c r="I401" i="4"/>
  <c r="J401" i="4"/>
  <c r="I402" i="4"/>
  <c r="J402" i="4"/>
  <c r="I403" i="4"/>
  <c r="J403" i="4"/>
  <c r="I404" i="4"/>
  <c r="J404" i="4"/>
  <c r="I405" i="4"/>
  <c r="J405" i="4"/>
  <c r="I406" i="4"/>
  <c r="J406" i="4"/>
  <c r="I407" i="4"/>
  <c r="J407" i="4"/>
  <c r="I408" i="4"/>
  <c r="J408" i="4"/>
  <c r="I409" i="4"/>
  <c r="J409" i="4"/>
  <c r="I410" i="4"/>
  <c r="J410" i="4"/>
  <c r="I411" i="4"/>
  <c r="J411" i="4"/>
  <c r="I412" i="4"/>
  <c r="J412" i="4"/>
  <c r="I413" i="4"/>
  <c r="J413" i="4"/>
  <c r="AE11" i="17"/>
  <c r="AE5" i="17"/>
  <c r="AE4" i="17"/>
  <c r="AE12" i="17"/>
  <c r="AE6" i="17"/>
  <c r="AE10" i="17"/>
  <c r="AE13" i="17" l="1"/>
  <c r="AE7" i="17"/>
  <c r="I375" i="4" l="1"/>
  <c r="J375" i="4"/>
  <c r="I376" i="4"/>
  <c r="J376" i="4"/>
  <c r="I377" i="4"/>
  <c r="J377" i="4"/>
  <c r="I378" i="4"/>
  <c r="J378" i="4"/>
  <c r="I379" i="4"/>
  <c r="J379" i="4"/>
  <c r="I380" i="4"/>
  <c r="J380" i="4"/>
  <c r="I381" i="4"/>
  <c r="J381" i="4"/>
  <c r="I382" i="4"/>
  <c r="J382" i="4"/>
  <c r="I383" i="4"/>
  <c r="J383" i="4"/>
  <c r="I384" i="4"/>
  <c r="J384" i="4"/>
  <c r="I385" i="4"/>
  <c r="J385" i="4"/>
  <c r="I386" i="4"/>
  <c r="J386" i="4"/>
  <c r="I387" i="4"/>
  <c r="J387" i="4"/>
  <c r="I388" i="4"/>
  <c r="J388" i="4"/>
  <c r="I389" i="4"/>
  <c r="J389" i="4"/>
  <c r="I390" i="4"/>
  <c r="J390" i="4"/>
  <c r="I391" i="4"/>
  <c r="J391" i="4"/>
  <c r="I392" i="4"/>
  <c r="J392" i="4"/>
  <c r="I393" i="4"/>
  <c r="J393" i="4"/>
  <c r="I394" i="4"/>
  <c r="J394" i="4"/>
  <c r="I395" i="4"/>
  <c r="J395" i="4"/>
  <c r="I396" i="4"/>
  <c r="J396" i="4"/>
  <c r="I397" i="4"/>
  <c r="J397" i="4"/>
  <c r="I398" i="4"/>
  <c r="J398" i="4"/>
  <c r="AD6" i="17"/>
  <c r="AD12" i="17"/>
  <c r="AD11" i="17"/>
  <c r="AD10" i="17"/>
  <c r="AD5" i="17"/>
  <c r="AD4" i="17"/>
  <c r="AD13" i="17" l="1"/>
  <c r="AD7" i="17"/>
  <c r="R20" i="17" l="1"/>
  <c r="AC6" i="17"/>
  <c r="AC12" i="17"/>
  <c r="AC5" i="17"/>
  <c r="AC4" i="17"/>
  <c r="AC10" i="17"/>
  <c r="AC11" i="17"/>
  <c r="W4" i="17"/>
  <c r="S4" i="17"/>
  <c r="O4" i="17"/>
  <c r="AA4" i="17"/>
  <c r="U4" i="17"/>
  <c r="N6" i="17"/>
  <c r="E4" i="17"/>
  <c r="Z6" i="17"/>
  <c r="Z5" i="17"/>
  <c r="K11" i="17"/>
  <c r="L10" i="17"/>
  <c r="N12" i="17"/>
  <c r="G10" i="17"/>
  <c r="E12" i="17"/>
  <c r="S10" i="17"/>
  <c r="D12" i="17"/>
  <c r="W12" i="17"/>
  <c r="F10" i="17"/>
  <c r="AB10" i="17"/>
  <c r="P6" i="17"/>
  <c r="K5" i="17"/>
  <c r="X5" i="17"/>
  <c r="W5" i="17"/>
  <c r="X12" i="17"/>
  <c r="M12" i="17"/>
  <c r="N10" i="17"/>
  <c r="N11" i="17"/>
  <c r="I10" i="17"/>
  <c r="R10" i="17"/>
  <c r="F5" i="17"/>
  <c r="Y12" i="17"/>
  <c r="T10" i="17"/>
  <c r="I6" i="17"/>
  <c r="T6" i="17"/>
  <c r="AA5" i="17"/>
  <c r="AB6" i="17"/>
  <c r="L6" i="17"/>
  <c r="Q4" i="17"/>
  <c r="I4" i="17"/>
  <c r="C4" i="17"/>
  <c r="N5" i="17"/>
  <c r="N4" i="17"/>
  <c r="D11" i="17"/>
  <c r="H11" i="17"/>
  <c r="AA10" i="17"/>
  <c r="P12" i="17"/>
  <c r="G12" i="17"/>
  <c r="R12" i="17"/>
  <c r="H12" i="17"/>
  <c r="Y11" i="17"/>
  <c r="AA11" i="17"/>
  <c r="J11" i="17"/>
  <c r="O5" i="17"/>
  <c r="C6" i="17"/>
  <c r="G6" i="17"/>
  <c r="E6" i="17"/>
  <c r="U6" i="17"/>
  <c r="C12" i="17"/>
  <c r="F11" i="17"/>
  <c r="G11" i="17"/>
  <c r="H10" i="17"/>
  <c r="X10" i="17"/>
  <c r="X11" i="17"/>
  <c r="I12" i="17"/>
  <c r="I5" i="17"/>
  <c r="E5" i="17"/>
  <c r="J10" i="17"/>
  <c r="C10" i="17"/>
  <c r="V6" i="17"/>
  <c r="M10" i="17"/>
  <c r="K6" i="17"/>
  <c r="F4" i="17"/>
  <c r="J5" i="17"/>
  <c r="F6" i="17"/>
  <c r="L4" i="17"/>
  <c r="V4" i="17"/>
  <c r="M5" i="17"/>
  <c r="Y6" i="17"/>
  <c r="Q5" i="17"/>
  <c r="K4" i="17"/>
  <c r="T12" i="17"/>
  <c r="Q11" i="17"/>
  <c r="P11" i="17"/>
  <c r="Q12" i="17"/>
  <c r="Y10" i="17"/>
  <c r="R11" i="17"/>
  <c r="E10" i="17"/>
  <c r="AA12" i="17"/>
  <c r="O12" i="17"/>
  <c r="F12" i="17"/>
  <c r="E11" i="17"/>
  <c r="Z10" i="17"/>
  <c r="U12" i="17"/>
  <c r="S11" i="17"/>
  <c r="I11" i="17"/>
  <c r="D10" i="17"/>
  <c r="K10" i="17"/>
  <c r="S6" i="17"/>
  <c r="M6" i="17"/>
  <c r="AA6" i="17"/>
  <c r="S12" i="17"/>
  <c r="AB11" i="17"/>
  <c r="Y5" i="17"/>
  <c r="H6" i="17"/>
  <c r="Q10" i="17"/>
  <c r="U11" i="17"/>
  <c r="R6" i="17"/>
  <c r="D5" i="17"/>
  <c r="T4" i="17"/>
  <c r="Z4" i="17"/>
  <c r="J6" i="17"/>
  <c r="X6" i="17"/>
  <c r="V5" i="17"/>
  <c r="R4" i="17"/>
  <c r="H5" i="17"/>
  <c r="G4" i="17"/>
  <c r="V12" i="17"/>
  <c r="Z12" i="17"/>
  <c r="V10" i="17"/>
  <c r="O11" i="17"/>
  <c r="L12" i="17"/>
  <c r="C11" i="17"/>
  <c r="AB5" i="17"/>
  <c r="C5" i="17"/>
  <c r="P4" i="17"/>
  <c r="Z11" i="17"/>
  <c r="W10" i="17"/>
  <c r="T5" i="17"/>
  <c r="AB4" i="17"/>
  <c r="AB12" i="17"/>
  <c r="L11" i="17"/>
  <c r="Y4" i="17"/>
  <c r="U5" i="17"/>
  <c r="O6" i="17"/>
  <c r="J4" i="17"/>
  <c r="G5" i="17"/>
  <c r="X4" i="17"/>
  <c r="M4" i="17"/>
  <c r="H4" i="17"/>
  <c r="P5" i="17"/>
  <c r="L5" i="17"/>
  <c r="K12" i="17"/>
  <c r="M11" i="17"/>
  <c r="U10" i="17"/>
  <c r="V11" i="17"/>
  <c r="P10" i="17"/>
  <c r="O10" i="17"/>
  <c r="Q6" i="17"/>
  <c r="D6" i="17"/>
  <c r="S5" i="17"/>
  <c r="D4" i="17"/>
  <c r="W11" i="17"/>
  <c r="R5" i="17"/>
  <c r="W6" i="17"/>
  <c r="T11" i="17"/>
  <c r="J12" i="17"/>
  <c r="G7" i="17" l="1"/>
  <c r="AC13" i="17"/>
  <c r="AC7" i="17"/>
  <c r="W13" i="17"/>
  <c r="G13" i="17"/>
  <c r="N13" i="17"/>
  <c r="U13" i="17"/>
  <c r="E13" i="17"/>
  <c r="T13" i="17"/>
  <c r="D13" i="17"/>
  <c r="AA13" i="17"/>
  <c r="S13" i="17"/>
  <c r="K13" i="17"/>
  <c r="Z13" i="17"/>
  <c r="R13" i="17"/>
  <c r="J13" i="17"/>
  <c r="O13" i="17"/>
  <c r="V13" i="17"/>
  <c r="F13" i="17"/>
  <c r="M13" i="17"/>
  <c r="AB13" i="17"/>
  <c r="L13" i="17"/>
  <c r="Y13" i="17"/>
  <c r="Q13" i="17"/>
  <c r="I13" i="17"/>
  <c r="X13" i="17"/>
  <c r="P13" i="17"/>
  <c r="H13" i="17"/>
  <c r="C13" i="17"/>
  <c r="K7" i="17"/>
  <c r="Z7" i="17"/>
  <c r="I7" i="17"/>
  <c r="X7" i="17"/>
  <c r="P7" i="17"/>
  <c r="H7" i="17"/>
  <c r="Y7" i="17"/>
  <c r="W7" i="17"/>
  <c r="O7" i="17"/>
  <c r="J7" i="17"/>
  <c r="V7" i="17"/>
  <c r="N7" i="17"/>
  <c r="F7" i="17"/>
  <c r="AA7" i="17"/>
  <c r="R7" i="17"/>
  <c r="U7" i="17"/>
  <c r="M7" i="17"/>
  <c r="E7" i="17"/>
  <c r="S7" i="17"/>
  <c r="Q7" i="17"/>
  <c r="AB7" i="17"/>
  <c r="T7" i="17"/>
  <c r="L7" i="17"/>
  <c r="D7" i="17"/>
  <c r="C7" i="17"/>
  <c r="I351" i="4" l="1"/>
  <c r="J351" i="4"/>
  <c r="I352" i="4"/>
  <c r="J352" i="4"/>
  <c r="I353" i="4"/>
  <c r="J353" i="4"/>
  <c r="I354" i="4"/>
  <c r="J354" i="4"/>
  <c r="I355" i="4"/>
  <c r="J355" i="4"/>
  <c r="I356" i="4"/>
  <c r="J356" i="4"/>
  <c r="I357" i="4"/>
  <c r="J357" i="4"/>
  <c r="I358" i="4"/>
  <c r="J358" i="4"/>
  <c r="I359" i="4"/>
  <c r="J359" i="4"/>
  <c r="I360" i="4"/>
  <c r="J360" i="4"/>
  <c r="I361" i="4"/>
  <c r="J361" i="4"/>
  <c r="I362" i="4"/>
  <c r="J362" i="4"/>
  <c r="I363" i="4"/>
  <c r="J363" i="4"/>
  <c r="I364" i="4"/>
  <c r="J364" i="4"/>
  <c r="I365" i="4"/>
  <c r="J365" i="4"/>
  <c r="I366" i="4"/>
  <c r="J366" i="4"/>
  <c r="I367" i="4"/>
  <c r="J367" i="4"/>
  <c r="I368" i="4"/>
  <c r="J368" i="4"/>
  <c r="I369" i="4"/>
  <c r="J369" i="4"/>
  <c r="I370" i="4"/>
  <c r="J370" i="4"/>
  <c r="I371" i="4"/>
  <c r="J371" i="4"/>
  <c r="I372" i="4"/>
  <c r="J372" i="4"/>
  <c r="I373" i="4"/>
  <c r="J373" i="4"/>
  <c r="I374" i="4"/>
  <c r="J374" i="4"/>
  <c r="I336" i="4" l="1"/>
  <c r="J336" i="4"/>
  <c r="I337" i="4"/>
  <c r="J337" i="4"/>
  <c r="I338" i="4"/>
  <c r="J338" i="4"/>
  <c r="I339" i="4"/>
  <c r="J339" i="4"/>
  <c r="I340" i="4"/>
  <c r="J340" i="4"/>
  <c r="I341" i="4"/>
  <c r="J341" i="4"/>
  <c r="I342" i="4"/>
  <c r="J342" i="4"/>
  <c r="I343" i="4"/>
  <c r="J343" i="4"/>
  <c r="I344" i="4"/>
  <c r="J344" i="4"/>
  <c r="I345" i="4"/>
  <c r="J345" i="4"/>
  <c r="I346" i="4"/>
  <c r="J346" i="4"/>
  <c r="I347" i="4"/>
  <c r="J347" i="4"/>
  <c r="I348" i="4"/>
  <c r="J348" i="4"/>
  <c r="I349" i="4"/>
  <c r="J349" i="4"/>
  <c r="I350" i="4"/>
  <c r="J350" i="4"/>
  <c r="I321" i="4" l="1"/>
  <c r="J321" i="4"/>
  <c r="I322" i="4"/>
  <c r="J322" i="4"/>
  <c r="I323" i="4"/>
  <c r="J323" i="4"/>
  <c r="I324" i="4"/>
  <c r="J324" i="4"/>
  <c r="I325" i="4"/>
  <c r="J325" i="4"/>
  <c r="I326" i="4"/>
  <c r="J326" i="4"/>
  <c r="I327" i="4"/>
  <c r="J327" i="4"/>
  <c r="I328" i="4"/>
  <c r="J328" i="4"/>
  <c r="I329" i="4"/>
  <c r="J329" i="4"/>
  <c r="I330" i="4"/>
  <c r="J330" i="4"/>
  <c r="I331" i="4"/>
  <c r="J331" i="4"/>
  <c r="I332" i="4"/>
  <c r="J332" i="4"/>
  <c r="I333" i="4"/>
  <c r="J333" i="4"/>
  <c r="I334" i="4"/>
  <c r="J334" i="4"/>
  <c r="I335" i="4"/>
  <c r="J335" i="4"/>
  <c r="I307" i="4" l="1"/>
  <c r="J307" i="4"/>
  <c r="I308" i="4"/>
  <c r="J308" i="4"/>
  <c r="I309" i="4"/>
  <c r="J309" i="4"/>
  <c r="I310" i="4"/>
  <c r="J310" i="4"/>
  <c r="I311" i="4"/>
  <c r="J311" i="4"/>
  <c r="I312" i="4"/>
  <c r="J312" i="4"/>
  <c r="I313" i="4"/>
  <c r="J313" i="4"/>
  <c r="I314" i="4"/>
  <c r="J314" i="4"/>
  <c r="I315" i="4"/>
  <c r="J315" i="4"/>
  <c r="I316" i="4"/>
  <c r="J316" i="4"/>
  <c r="I317" i="4"/>
  <c r="J317" i="4"/>
  <c r="I318" i="4"/>
  <c r="J318" i="4"/>
  <c r="I319" i="4"/>
  <c r="J319" i="4"/>
  <c r="I320" i="4"/>
  <c r="J320" i="4"/>
  <c r="I297" i="4" l="1"/>
  <c r="J297" i="4"/>
  <c r="I298" i="4"/>
  <c r="J298" i="4"/>
  <c r="I299" i="4"/>
  <c r="J299" i="4"/>
  <c r="I300" i="4"/>
  <c r="J300" i="4"/>
  <c r="I301" i="4"/>
  <c r="J301" i="4"/>
  <c r="I302" i="4"/>
  <c r="J302" i="4"/>
  <c r="I303" i="4"/>
  <c r="J303" i="4"/>
  <c r="I304" i="4"/>
  <c r="J304" i="4"/>
  <c r="I305" i="4"/>
  <c r="J305" i="4"/>
  <c r="I306" i="4"/>
  <c r="J306" i="4"/>
  <c r="I280" i="4"/>
  <c r="J280" i="4"/>
  <c r="I281" i="4"/>
  <c r="J281" i="4"/>
  <c r="I282" i="4"/>
  <c r="J282" i="4"/>
  <c r="I283" i="4"/>
  <c r="J283" i="4"/>
  <c r="I284" i="4"/>
  <c r="J284" i="4"/>
  <c r="I285" i="4"/>
  <c r="J285" i="4"/>
  <c r="I286" i="4"/>
  <c r="J286" i="4"/>
  <c r="I287" i="4"/>
  <c r="J287" i="4"/>
  <c r="I288" i="4"/>
  <c r="J288" i="4"/>
  <c r="I289" i="4"/>
  <c r="J289" i="4"/>
  <c r="I290" i="4"/>
  <c r="J290" i="4"/>
  <c r="I291" i="4"/>
  <c r="J291" i="4"/>
  <c r="I292" i="4"/>
  <c r="J292" i="4"/>
  <c r="I293" i="4"/>
  <c r="J293" i="4"/>
  <c r="I294" i="4"/>
  <c r="J294" i="4"/>
  <c r="I295" i="4"/>
  <c r="J295" i="4"/>
  <c r="I296" i="4"/>
  <c r="J296" i="4"/>
  <c r="I269" i="4" l="1"/>
  <c r="J269" i="4"/>
  <c r="I270" i="4"/>
  <c r="J270" i="4"/>
  <c r="I271" i="4"/>
  <c r="J271" i="4"/>
  <c r="I272" i="4"/>
  <c r="J272" i="4"/>
  <c r="I273" i="4"/>
  <c r="J273" i="4"/>
  <c r="I274" i="4"/>
  <c r="J274" i="4"/>
  <c r="I275" i="4"/>
  <c r="J275" i="4"/>
  <c r="I276" i="4"/>
  <c r="J276" i="4"/>
  <c r="I277" i="4"/>
  <c r="J277" i="4"/>
  <c r="I278" i="4"/>
  <c r="J278" i="4"/>
  <c r="I279" i="4"/>
  <c r="J279" i="4"/>
  <c r="I254" i="4" l="1"/>
  <c r="J254" i="4"/>
  <c r="I255" i="4"/>
  <c r="J255" i="4"/>
  <c r="I256" i="4"/>
  <c r="J256" i="4"/>
  <c r="I257" i="4"/>
  <c r="J257" i="4"/>
  <c r="I258" i="4"/>
  <c r="J258" i="4"/>
  <c r="I259" i="4"/>
  <c r="J259" i="4"/>
  <c r="I260" i="4"/>
  <c r="J260" i="4"/>
  <c r="I261" i="4"/>
  <c r="J261" i="4"/>
  <c r="I262" i="4"/>
  <c r="J262" i="4"/>
  <c r="I263" i="4"/>
  <c r="J263" i="4"/>
  <c r="I264" i="4"/>
  <c r="J264" i="4"/>
  <c r="I265" i="4"/>
  <c r="J265" i="4"/>
  <c r="I266" i="4"/>
  <c r="J266" i="4"/>
  <c r="I267" i="4"/>
  <c r="J267" i="4"/>
  <c r="I268" i="4"/>
  <c r="J268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" i="4"/>
  <c r="D34" i="10"/>
  <c r="E34" i="10" s="1"/>
  <c r="F34" i="10" s="1"/>
  <c r="G34" i="10" s="1"/>
  <c r="H34" i="10" s="1"/>
  <c r="I34" i="10" s="1"/>
  <c r="J34" i="10" s="1"/>
  <c r="K34" i="10" s="1"/>
  <c r="L34" i="10" s="1"/>
  <c r="M34" i="10" s="1"/>
  <c r="N34" i="10" s="1"/>
  <c r="O34" i="10" s="1"/>
  <c r="P34" i="10" s="1"/>
  <c r="Q34" i="10" s="1"/>
  <c r="R34" i="10" s="1"/>
  <c r="S34" i="10" s="1"/>
  <c r="T34" i="10" s="1"/>
  <c r="U34" i="10" s="1"/>
  <c r="D33" i="10"/>
  <c r="E33" i="10" s="1"/>
  <c r="F33" i="10" s="1"/>
  <c r="G33" i="10" s="1"/>
  <c r="H33" i="10" s="1"/>
  <c r="I33" i="10" s="1"/>
  <c r="J33" i="10" s="1"/>
  <c r="K33" i="10" s="1"/>
  <c r="L33" i="10" s="1"/>
  <c r="M33" i="10" s="1"/>
  <c r="N33" i="10" s="1"/>
  <c r="O33" i="10" s="1"/>
  <c r="P33" i="10" s="1"/>
  <c r="Q33" i="10" s="1"/>
  <c r="R33" i="10" s="1"/>
  <c r="S33" i="10" s="1"/>
  <c r="T33" i="10" s="1"/>
  <c r="U33" i="10" s="1"/>
  <c r="D2" i="3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" i="4"/>
  <c r="B3" i="3"/>
  <c r="D3" i="3" s="1"/>
  <c r="O40" i="10"/>
  <c r="F40" i="10"/>
  <c r="H36" i="10"/>
  <c r="U36" i="10"/>
  <c r="D40" i="10"/>
  <c r="J36" i="10"/>
  <c r="M40" i="10"/>
  <c r="R36" i="10"/>
  <c r="K40" i="10"/>
  <c r="P36" i="10"/>
  <c r="T40" i="10"/>
  <c r="R40" i="10"/>
  <c r="T36" i="10"/>
  <c r="N40" i="10"/>
  <c r="O36" i="10"/>
  <c r="I40" i="10"/>
  <c r="Q36" i="10"/>
  <c r="L40" i="10"/>
  <c r="L36" i="10"/>
  <c r="F36" i="10"/>
  <c r="M36" i="10"/>
  <c r="S40" i="10"/>
  <c r="J40" i="10"/>
  <c r="E40" i="10"/>
  <c r="E36" i="10"/>
  <c r="G36" i="10"/>
  <c r="G40" i="10"/>
  <c r="H40" i="10"/>
  <c r="S36" i="10"/>
  <c r="P40" i="10"/>
  <c r="K36" i="10"/>
  <c r="Q40" i="10"/>
  <c r="N36" i="10"/>
  <c r="U40" i="10"/>
  <c r="D36" i="10"/>
  <c r="I36" i="10"/>
  <c r="T41" i="10" l="1"/>
  <c r="L41" i="10"/>
  <c r="K41" i="10"/>
  <c r="J41" i="10"/>
  <c r="Q41" i="10"/>
  <c r="I41" i="10"/>
  <c r="R41" i="10"/>
  <c r="P41" i="10"/>
  <c r="H41" i="10"/>
  <c r="S41" i="10"/>
  <c r="O41" i="10"/>
  <c r="G41" i="10"/>
  <c r="N41" i="10"/>
  <c r="U41" i="10"/>
  <c r="M41" i="10"/>
  <c r="L37" i="10"/>
  <c r="K37" i="10"/>
  <c r="T37" i="10"/>
  <c r="S37" i="10"/>
  <c r="R37" i="10"/>
  <c r="J37" i="10"/>
  <c r="Q37" i="10"/>
  <c r="I37" i="10"/>
  <c r="P37" i="10"/>
  <c r="H37" i="10"/>
  <c r="O37" i="10"/>
  <c r="G37" i="10"/>
  <c r="N37" i="10"/>
  <c r="U37" i="10"/>
  <c r="M37" i="10"/>
  <c r="B4" i="3"/>
  <c r="D4" i="3" l="1"/>
  <c r="A4" i="3"/>
  <c r="C4" i="3" s="1"/>
  <c r="B5" i="3"/>
  <c r="D5" i="3" l="1"/>
  <c r="B6" i="3"/>
  <c r="A5" i="3"/>
  <c r="C5" i="3" s="1"/>
  <c r="D6" i="3" l="1"/>
  <c r="B7" i="3"/>
  <c r="A6" i="3"/>
  <c r="C6" i="3" s="1"/>
  <c r="D7" i="3" l="1"/>
  <c r="B8" i="3"/>
  <c r="A7" i="3"/>
  <c r="C7" i="3" s="1"/>
  <c r="G11" i="12" s="1"/>
  <c r="G14" i="12" l="1"/>
  <c r="G19" i="12"/>
  <c r="G12" i="12"/>
  <c r="G8" i="13"/>
  <c r="D8" i="3"/>
  <c r="G40" i="13"/>
  <c r="G54" i="13"/>
  <c r="G6" i="13"/>
  <c r="B9" i="3"/>
  <c r="D9" i="3" s="1"/>
  <c r="A8" i="3"/>
  <c r="C8" i="3" s="1"/>
  <c r="K2" i="4" l="1"/>
  <c r="K3" i="4"/>
  <c r="B10" i="3"/>
  <c r="D10" i="3" s="1"/>
  <c r="A9" i="3"/>
  <c r="C9" i="3" s="1"/>
  <c r="K4" i="4" s="1"/>
  <c r="K5" i="4" l="1"/>
  <c r="K6" i="4"/>
  <c r="B11" i="3"/>
  <c r="D11" i="3" s="1"/>
  <c r="A10" i="3"/>
  <c r="C10" i="3" s="1"/>
  <c r="K8" i="4" s="1"/>
  <c r="B12" i="3" l="1"/>
  <c r="D12" i="3" s="1"/>
  <c r="A11" i="3"/>
  <c r="C11" i="3" s="1"/>
  <c r="B13" i="3" l="1"/>
  <c r="D13" i="3" s="1"/>
  <c r="A12" i="3"/>
  <c r="C12" i="3" s="1"/>
  <c r="B14" i="3" l="1"/>
  <c r="D14" i="3" s="1"/>
  <c r="A13" i="3"/>
  <c r="C13" i="3" s="1"/>
  <c r="B15" i="3" l="1"/>
  <c r="D15" i="3" s="1"/>
  <c r="A14" i="3"/>
  <c r="C14" i="3" s="1"/>
  <c r="B16" i="3" l="1"/>
  <c r="D16" i="3" s="1"/>
  <c r="A15" i="3"/>
  <c r="C15" i="3" s="1"/>
  <c r="B17" i="3" l="1"/>
  <c r="D17" i="3" s="1"/>
  <c r="A16" i="3"/>
  <c r="C16" i="3" s="1"/>
  <c r="B18" i="3" l="1"/>
  <c r="D18" i="3" s="1"/>
  <c r="A17" i="3"/>
  <c r="C17" i="3" s="1"/>
  <c r="B19" i="3" l="1"/>
  <c r="D19" i="3" s="1"/>
  <c r="A18" i="3"/>
  <c r="C18" i="3" s="1"/>
  <c r="B20" i="3" l="1"/>
  <c r="D20" i="3" s="1"/>
  <c r="A19" i="3"/>
  <c r="C19" i="3" s="1"/>
  <c r="B21" i="3" l="1"/>
  <c r="D21" i="3" s="1"/>
  <c r="A20" i="3"/>
  <c r="C20" i="3" s="1"/>
  <c r="B22" i="3" l="1"/>
  <c r="D22" i="3" s="1"/>
  <c r="A21" i="3"/>
  <c r="C21" i="3" s="1"/>
  <c r="B23" i="3" l="1"/>
  <c r="D23" i="3" s="1"/>
  <c r="A22" i="3"/>
  <c r="C22" i="3" s="1"/>
  <c r="B24" i="3" l="1"/>
  <c r="D24" i="3" s="1"/>
  <c r="A23" i="3"/>
  <c r="C23" i="3" s="1"/>
  <c r="B25" i="3" l="1"/>
  <c r="D25" i="3" s="1"/>
  <c r="A24" i="3"/>
  <c r="C24" i="3" s="1"/>
  <c r="B26" i="3" l="1"/>
  <c r="D26" i="3" s="1"/>
  <c r="A25" i="3"/>
  <c r="C25" i="3" s="1"/>
  <c r="B27" i="3" l="1"/>
  <c r="D27" i="3" s="1"/>
  <c r="A26" i="3"/>
  <c r="C26" i="3" s="1"/>
  <c r="B28" i="3" l="1"/>
  <c r="D28" i="3" s="1"/>
  <c r="A27" i="3"/>
  <c r="C27" i="3" s="1"/>
  <c r="B29" i="3" l="1"/>
  <c r="D29" i="3" s="1"/>
  <c r="A28" i="3"/>
  <c r="C28" i="3" s="1"/>
  <c r="B30" i="3" l="1"/>
  <c r="D30" i="3" s="1"/>
  <c r="A29" i="3"/>
  <c r="C29" i="3" s="1"/>
  <c r="B31" i="3" l="1"/>
  <c r="D31" i="3" s="1"/>
  <c r="A30" i="3"/>
  <c r="C30" i="3" s="1"/>
  <c r="B32" i="3" l="1"/>
  <c r="D32" i="3" s="1"/>
  <c r="A31" i="3"/>
  <c r="C31" i="3" s="1"/>
  <c r="B33" i="3" l="1"/>
  <c r="D33" i="3" s="1"/>
  <c r="A32" i="3"/>
  <c r="C32" i="3" s="1"/>
  <c r="B34" i="3" l="1"/>
  <c r="D34" i="3" s="1"/>
  <c r="A33" i="3"/>
  <c r="C33" i="3" s="1"/>
  <c r="B35" i="3" l="1"/>
  <c r="D35" i="3" s="1"/>
  <c r="A34" i="3"/>
  <c r="C34" i="3" s="1"/>
  <c r="B36" i="3" l="1"/>
  <c r="D36" i="3" s="1"/>
  <c r="A35" i="3"/>
  <c r="C35" i="3" s="1"/>
  <c r="B37" i="3" l="1"/>
  <c r="D37" i="3" s="1"/>
  <c r="A36" i="3"/>
  <c r="C36" i="3" s="1"/>
  <c r="B38" i="3" l="1"/>
  <c r="D38" i="3" s="1"/>
  <c r="A37" i="3"/>
  <c r="C37" i="3" s="1"/>
  <c r="B39" i="3" l="1"/>
  <c r="D39" i="3" s="1"/>
  <c r="A38" i="3"/>
  <c r="C38" i="3" s="1"/>
  <c r="B40" i="3" l="1"/>
  <c r="D40" i="3" s="1"/>
  <c r="A39" i="3"/>
  <c r="C39" i="3" s="1"/>
  <c r="B41" i="3" l="1"/>
  <c r="D41" i="3" s="1"/>
  <c r="A40" i="3"/>
  <c r="C40" i="3" s="1"/>
  <c r="B42" i="3" l="1"/>
  <c r="D42" i="3" s="1"/>
  <c r="A41" i="3"/>
  <c r="C41" i="3" s="1"/>
  <c r="B43" i="3" l="1"/>
  <c r="D43" i="3" s="1"/>
  <c r="A42" i="3"/>
  <c r="C42" i="3" s="1"/>
  <c r="B44" i="3" l="1"/>
  <c r="D44" i="3" s="1"/>
  <c r="A43" i="3"/>
  <c r="C43" i="3" s="1"/>
  <c r="B45" i="3" l="1"/>
  <c r="D45" i="3" s="1"/>
  <c r="A44" i="3"/>
  <c r="C44" i="3" s="1"/>
  <c r="B46" i="3" l="1"/>
  <c r="D46" i="3" s="1"/>
  <c r="A45" i="3"/>
  <c r="C45" i="3" s="1"/>
  <c r="B47" i="3" l="1"/>
  <c r="D47" i="3" s="1"/>
  <c r="A46" i="3"/>
  <c r="C46" i="3" s="1"/>
  <c r="B48" i="3" l="1"/>
  <c r="D48" i="3" s="1"/>
  <c r="A47" i="3"/>
  <c r="C47" i="3" s="1"/>
  <c r="B49" i="3" l="1"/>
  <c r="D49" i="3" s="1"/>
  <c r="A48" i="3"/>
  <c r="C48" i="3" s="1"/>
  <c r="B50" i="3" l="1"/>
  <c r="D50" i="3" s="1"/>
  <c r="A49" i="3"/>
  <c r="C49" i="3" s="1"/>
  <c r="B51" i="3" l="1"/>
  <c r="D51" i="3" s="1"/>
  <c r="A50" i="3"/>
  <c r="C50" i="3" s="1"/>
  <c r="B52" i="3" l="1"/>
  <c r="D52" i="3" s="1"/>
  <c r="A51" i="3"/>
  <c r="C51" i="3" s="1"/>
  <c r="B53" i="3" l="1"/>
  <c r="D53" i="3" s="1"/>
  <c r="A52" i="3"/>
  <c r="C52" i="3" s="1"/>
  <c r="B54" i="3" l="1"/>
  <c r="D54" i="3" s="1"/>
  <c r="A53" i="3"/>
  <c r="C53" i="3" s="1"/>
  <c r="B55" i="3" l="1"/>
  <c r="D55" i="3" s="1"/>
  <c r="A54" i="3"/>
  <c r="C54" i="3" s="1"/>
  <c r="B56" i="3" l="1"/>
  <c r="D56" i="3" s="1"/>
  <c r="A55" i="3"/>
  <c r="C55" i="3" s="1"/>
  <c r="B57" i="3" l="1"/>
  <c r="D57" i="3" s="1"/>
  <c r="A56" i="3"/>
  <c r="C56" i="3" s="1"/>
  <c r="B58" i="3" l="1"/>
  <c r="D58" i="3" s="1"/>
  <c r="A57" i="3"/>
  <c r="C57" i="3" s="1"/>
  <c r="B59" i="3" l="1"/>
  <c r="D59" i="3" s="1"/>
  <c r="A58" i="3"/>
  <c r="C58" i="3" s="1"/>
  <c r="B60" i="3" l="1"/>
  <c r="D60" i="3" s="1"/>
  <c r="A59" i="3"/>
  <c r="C59" i="3" s="1"/>
  <c r="B61" i="3" l="1"/>
  <c r="D61" i="3" s="1"/>
  <c r="A60" i="3"/>
  <c r="C60" i="3" s="1"/>
  <c r="B62" i="3" l="1"/>
  <c r="D62" i="3" s="1"/>
  <c r="A61" i="3"/>
  <c r="C61" i="3" s="1"/>
  <c r="B63" i="3" l="1"/>
  <c r="D63" i="3" s="1"/>
  <c r="A62" i="3"/>
  <c r="C62" i="3" s="1"/>
  <c r="B64" i="3" l="1"/>
  <c r="D64" i="3" s="1"/>
  <c r="A63" i="3"/>
  <c r="C63" i="3" s="1"/>
  <c r="B65" i="3" l="1"/>
  <c r="D65" i="3" s="1"/>
  <c r="A64" i="3"/>
  <c r="C64" i="3" s="1"/>
  <c r="B66" i="3" l="1"/>
  <c r="D66" i="3" s="1"/>
  <c r="A65" i="3"/>
  <c r="C65" i="3" s="1"/>
  <c r="B67" i="3" l="1"/>
  <c r="D67" i="3" s="1"/>
  <c r="A66" i="3"/>
  <c r="C66" i="3" s="1"/>
  <c r="B68" i="3" l="1"/>
  <c r="D68" i="3" s="1"/>
  <c r="A67" i="3"/>
  <c r="C67" i="3" s="1"/>
  <c r="B69" i="3" l="1"/>
  <c r="D69" i="3" s="1"/>
  <c r="A68" i="3"/>
  <c r="C68" i="3" s="1"/>
  <c r="B70" i="3" l="1"/>
  <c r="D70" i="3" s="1"/>
  <c r="A69" i="3"/>
  <c r="C69" i="3" s="1"/>
  <c r="B71" i="3" l="1"/>
  <c r="D71" i="3" s="1"/>
  <c r="A70" i="3"/>
  <c r="C70" i="3" s="1"/>
  <c r="B72" i="3" l="1"/>
  <c r="D72" i="3" s="1"/>
  <c r="A71" i="3"/>
  <c r="C71" i="3" s="1"/>
  <c r="B73" i="3" l="1"/>
  <c r="D73" i="3" s="1"/>
  <c r="A72" i="3"/>
  <c r="C72" i="3" s="1"/>
  <c r="B74" i="3" l="1"/>
  <c r="D74" i="3" s="1"/>
  <c r="A73" i="3"/>
  <c r="C73" i="3" s="1"/>
  <c r="B75" i="3" l="1"/>
  <c r="D75" i="3" s="1"/>
  <c r="A74" i="3"/>
  <c r="C74" i="3" s="1"/>
  <c r="B76" i="3" l="1"/>
  <c r="D76" i="3" s="1"/>
  <c r="A75" i="3"/>
  <c r="C75" i="3" s="1"/>
  <c r="B77" i="3" l="1"/>
  <c r="D77" i="3" s="1"/>
  <c r="A76" i="3"/>
  <c r="C76" i="3" s="1"/>
  <c r="B78" i="3" l="1"/>
  <c r="D78" i="3" s="1"/>
  <c r="A77" i="3"/>
  <c r="C77" i="3" s="1"/>
  <c r="B79" i="3" l="1"/>
  <c r="D79" i="3" s="1"/>
  <c r="A78" i="3"/>
  <c r="C78" i="3" s="1"/>
  <c r="B80" i="3" l="1"/>
  <c r="D80" i="3" s="1"/>
  <c r="A79" i="3"/>
  <c r="C79" i="3" s="1"/>
  <c r="B81" i="3" l="1"/>
  <c r="D81" i="3" s="1"/>
  <c r="A80" i="3"/>
  <c r="C80" i="3" s="1"/>
  <c r="B82" i="3" l="1"/>
  <c r="D82" i="3" s="1"/>
  <c r="A81" i="3"/>
  <c r="C81" i="3" s="1"/>
  <c r="B83" i="3" l="1"/>
  <c r="D83" i="3" s="1"/>
  <c r="A82" i="3"/>
  <c r="C82" i="3" s="1"/>
  <c r="B84" i="3" l="1"/>
  <c r="D84" i="3" s="1"/>
  <c r="A83" i="3"/>
  <c r="C83" i="3" s="1"/>
  <c r="B85" i="3" l="1"/>
  <c r="D85" i="3" s="1"/>
  <c r="A84" i="3"/>
  <c r="C84" i="3" s="1"/>
  <c r="B86" i="3" l="1"/>
  <c r="D86" i="3" s="1"/>
  <c r="A85" i="3"/>
  <c r="C85" i="3" s="1"/>
  <c r="B87" i="3" l="1"/>
  <c r="D87" i="3" s="1"/>
  <c r="A86" i="3"/>
  <c r="C86" i="3" s="1"/>
  <c r="B88" i="3" l="1"/>
  <c r="D88" i="3" s="1"/>
  <c r="A87" i="3"/>
  <c r="C87" i="3" s="1"/>
  <c r="B89" i="3" l="1"/>
  <c r="D89" i="3" s="1"/>
  <c r="A88" i="3"/>
  <c r="C88" i="3" s="1"/>
  <c r="B90" i="3" l="1"/>
  <c r="D90" i="3" s="1"/>
  <c r="A89" i="3"/>
  <c r="C89" i="3" s="1"/>
  <c r="B91" i="3" l="1"/>
  <c r="D91" i="3" s="1"/>
  <c r="A90" i="3"/>
  <c r="C90" i="3" s="1"/>
  <c r="B92" i="3" l="1"/>
  <c r="D92" i="3" s="1"/>
  <c r="A91" i="3"/>
  <c r="C91" i="3" s="1"/>
  <c r="B93" i="3" l="1"/>
  <c r="D93" i="3" s="1"/>
  <c r="A92" i="3"/>
  <c r="C92" i="3" s="1"/>
  <c r="B94" i="3" l="1"/>
  <c r="D94" i="3" s="1"/>
  <c r="A93" i="3"/>
  <c r="C93" i="3" s="1"/>
  <c r="B95" i="3" l="1"/>
  <c r="D95" i="3" s="1"/>
  <c r="A94" i="3"/>
  <c r="C94" i="3" s="1"/>
  <c r="B96" i="3" l="1"/>
  <c r="D96" i="3" s="1"/>
  <c r="A95" i="3"/>
  <c r="C95" i="3" s="1"/>
  <c r="B97" i="3" l="1"/>
  <c r="D97" i="3" s="1"/>
  <c r="A96" i="3"/>
  <c r="C96" i="3" s="1"/>
  <c r="B98" i="3" l="1"/>
  <c r="D98" i="3" s="1"/>
  <c r="A97" i="3"/>
  <c r="C97" i="3" s="1"/>
  <c r="B99" i="3" l="1"/>
  <c r="D99" i="3" s="1"/>
  <c r="A98" i="3"/>
  <c r="C98" i="3" s="1"/>
  <c r="B100" i="3" l="1"/>
  <c r="D100" i="3" s="1"/>
  <c r="A99" i="3"/>
  <c r="C99" i="3" s="1"/>
  <c r="B101" i="3" l="1"/>
  <c r="D101" i="3" s="1"/>
  <c r="A100" i="3"/>
  <c r="C100" i="3" s="1"/>
  <c r="B102" i="3" l="1"/>
  <c r="D102" i="3" s="1"/>
  <c r="A101" i="3"/>
  <c r="C101" i="3" s="1"/>
  <c r="B103" i="3" l="1"/>
  <c r="D103" i="3" s="1"/>
  <c r="A102" i="3"/>
  <c r="C102" i="3" s="1"/>
  <c r="B104" i="3" l="1"/>
  <c r="D104" i="3" s="1"/>
  <c r="A103" i="3"/>
  <c r="C103" i="3" s="1"/>
  <c r="B105" i="3" l="1"/>
  <c r="D105" i="3" s="1"/>
  <c r="A104" i="3"/>
  <c r="C104" i="3" s="1"/>
  <c r="B106" i="3" l="1"/>
  <c r="D106" i="3" s="1"/>
  <c r="A105" i="3"/>
  <c r="C105" i="3" s="1"/>
  <c r="B107" i="3" l="1"/>
  <c r="D107" i="3" s="1"/>
  <c r="A106" i="3"/>
  <c r="C106" i="3" s="1"/>
  <c r="B108" i="3" l="1"/>
  <c r="D108" i="3" s="1"/>
  <c r="A107" i="3"/>
  <c r="C107" i="3" s="1"/>
  <c r="B109" i="3" l="1"/>
  <c r="D109" i="3" s="1"/>
  <c r="A108" i="3"/>
  <c r="C108" i="3" s="1"/>
  <c r="B110" i="3" l="1"/>
  <c r="D110" i="3" s="1"/>
  <c r="A109" i="3"/>
  <c r="C109" i="3" s="1"/>
  <c r="B111" i="3" l="1"/>
  <c r="D111" i="3" s="1"/>
  <c r="A110" i="3"/>
  <c r="C110" i="3" s="1"/>
  <c r="B112" i="3" l="1"/>
  <c r="D112" i="3" s="1"/>
  <c r="A111" i="3"/>
  <c r="C111" i="3" s="1"/>
  <c r="B113" i="3" l="1"/>
  <c r="D113" i="3" s="1"/>
  <c r="A112" i="3"/>
  <c r="C112" i="3" s="1"/>
  <c r="B114" i="3" l="1"/>
  <c r="D114" i="3" s="1"/>
  <c r="A113" i="3"/>
  <c r="C113" i="3" s="1"/>
  <c r="B115" i="3" l="1"/>
  <c r="D115" i="3" s="1"/>
  <c r="A114" i="3"/>
  <c r="C114" i="3" s="1"/>
  <c r="B116" i="3" l="1"/>
  <c r="D116" i="3" s="1"/>
  <c r="A115" i="3"/>
  <c r="C115" i="3" s="1"/>
  <c r="B117" i="3" l="1"/>
  <c r="D117" i="3" s="1"/>
  <c r="A116" i="3"/>
  <c r="C116" i="3" s="1"/>
  <c r="B118" i="3" l="1"/>
  <c r="D118" i="3" s="1"/>
  <c r="A117" i="3"/>
  <c r="C117" i="3" s="1"/>
  <c r="B119" i="3" l="1"/>
  <c r="D119" i="3" s="1"/>
  <c r="A118" i="3"/>
  <c r="C118" i="3" s="1"/>
  <c r="B120" i="3" l="1"/>
  <c r="D120" i="3" s="1"/>
  <c r="A119" i="3"/>
  <c r="C119" i="3" s="1"/>
  <c r="B121" i="3" l="1"/>
  <c r="D121" i="3" s="1"/>
  <c r="A120" i="3"/>
  <c r="C120" i="3" s="1"/>
  <c r="B122" i="3" l="1"/>
  <c r="D122" i="3" s="1"/>
  <c r="A121" i="3"/>
  <c r="C121" i="3" s="1"/>
  <c r="B123" i="3" l="1"/>
  <c r="D123" i="3" s="1"/>
  <c r="A122" i="3"/>
  <c r="C122" i="3" s="1"/>
  <c r="B124" i="3" l="1"/>
  <c r="D124" i="3" s="1"/>
  <c r="A123" i="3"/>
  <c r="C123" i="3" s="1"/>
  <c r="B125" i="3" l="1"/>
  <c r="D125" i="3" s="1"/>
  <c r="A124" i="3"/>
  <c r="C124" i="3" s="1"/>
  <c r="B126" i="3" l="1"/>
  <c r="D126" i="3" s="1"/>
  <c r="A125" i="3"/>
  <c r="C125" i="3" s="1"/>
  <c r="B127" i="3" l="1"/>
  <c r="D127" i="3" s="1"/>
  <c r="A126" i="3"/>
  <c r="C126" i="3" s="1"/>
  <c r="B128" i="3" l="1"/>
  <c r="D128" i="3" s="1"/>
  <c r="A127" i="3"/>
  <c r="C127" i="3" s="1"/>
  <c r="B129" i="3" l="1"/>
  <c r="D129" i="3" s="1"/>
  <c r="A128" i="3"/>
  <c r="C128" i="3" s="1"/>
  <c r="B130" i="3" l="1"/>
  <c r="D130" i="3" s="1"/>
  <c r="A129" i="3"/>
  <c r="C129" i="3" s="1"/>
  <c r="B131" i="3" l="1"/>
  <c r="D131" i="3" s="1"/>
  <c r="A130" i="3"/>
  <c r="C130" i="3" s="1"/>
  <c r="B132" i="3" l="1"/>
  <c r="D132" i="3" s="1"/>
  <c r="A131" i="3"/>
  <c r="C131" i="3" s="1"/>
  <c r="B133" i="3" l="1"/>
  <c r="D133" i="3" s="1"/>
  <c r="A132" i="3"/>
  <c r="C132" i="3" s="1"/>
  <c r="B134" i="3" l="1"/>
  <c r="D134" i="3" s="1"/>
  <c r="A133" i="3"/>
  <c r="C133" i="3" s="1"/>
  <c r="B135" i="3" l="1"/>
  <c r="D135" i="3" s="1"/>
  <c r="A134" i="3"/>
  <c r="C134" i="3" s="1"/>
  <c r="B136" i="3" l="1"/>
  <c r="D136" i="3" s="1"/>
  <c r="A135" i="3"/>
  <c r="C135" i="3" s="1"/>
  <c r="B137" i="3" l="1"/>
  <c r="D137" i="3" s="1"/>
  <c r="A136" i="3"/>
  <c r="C136" i="3" s="1"/>
  <c r="B138" i="3" l="1"/>
  <c r="D138" i="3" s="1"/>
  <c r="A137" i="3"/>
  <c r="C137" i="3" s="1"/>
  <c r="B139" i="3" l="1"/>
  <c r="D139" i="3" s="1"/>
  <c r="A138" i="3"/>
  <c r="C138" i="3" s="1"/>
  <c r="B140" i="3" l="1"/>
  <c r="D140" i="3" s="1"/>
  <c r="A139" i="3"/>
  <c r="C139" i="3" s="1"/>
  <c r="B141" i="3" l="1"/>
  <c r="D141" i="3" s="1"/>
  <c r="A140" i="3"/>
  <c r="C140" i="3" s="1"/>
  <c r="B142" i="3" l="1"/>
  <c r="D142" i="3" s="1"/>
  <c r="A141" i="3"/>
  <c r="C141" i="3" s="1"/>
  <c r="B143" i="3" l="1"/>
  <c r="D143" i="3" s="1"/>
  <c r="A142" i="3"/>
  <c r="C142" i="3" s="1"/>
  <c r="B144" i="3" l="1"/>
  <c r="D144" i="3" s="1"/>
  <c r="A143" i="3"/>
  <c r="C143" i="3" s="1"/>
  <c r="B145" i="3" l="1"/>
  <c r="D145" i="3" s="1"/>
  <c r="A144" i="3"/>
  <c r="C144" i="3" s="1"/>
  <c r="B146" i="3" l="1"/>
  <c r="D146" i="3" s="1"/>
  <c r="A145" i="3"/>
  <c r="C145" i="3" s="1"/>
  <c r="B147" i="3" l="1"/>
  <c r="D147" i="3" s="1"/>
  <c r="A146" i="3"/>
  <c r="C146" i="3" s="1"/>
  <c r="B148" i="3" l="1"/>
  <c r="D148" i="3" s="1"/>
  <c r="A147" i="3"/>
  <c r="C147" i="3" s="1"/>
  <c r="B149" i="3" l="1"/>
  <c r="D149" i="3" s="1"/>
  <c r="A148" i="3"/>
  <c r="C148" i="3" s="1"/>
  <c r="B150" i="3" l="1"/>
  <c r="D150" i="3" s="1"/>
  <c r="A149" i="3"/>
  <c r="C149" i="3" s="1"/>
  <c r="B151" i="3" l="1"/>
  <c r="D151" i="3" s="1"/>
  <c r="A150" i="3"/>
  <c r="C150" i="3" s="1"/>
  <c r="B152" i="3" l="1"/>
  <c r="D152" i="3" s="1"/>
  <c r="A151" i="3"/>
  <c r="C151" i="3" s="1"/>
  <c r="B153" i="3" l="1"/>
  <c r="D153" i="3" s="1"/>
  <c r="A152" i="3"/>
  <c r="C152" i="3" s="1"/>
  <c r="B154" i="3" l="1"/>
  <c r="D154" i="3" s="1"/>
  <c r="A153" i="3"/>
  <c r="C153" i="3" s="1"/>
  <c r="B155" i="3" l="1"/>
  <c r="D155" i="3" s="1"/>
  <c r="A154" i="3"/>
  <c r="C154" i="3" s="1"/>
  <c r="B156" i="3" l="1"/>
  <c r="D156" i="3" s="1"/>
  <c r="A155" i="3"/>
  <c r="C155" i="3" s="1"/>
  <c r="B157" i="3" l="1"/>
  <c r="D157" i="3" s="1"/>
  <c r="A156" i="3"/>
  <c r="C156" i="3" s="1"/>
  <c r="B158" i="3" l="1"/>
  <c r="D158" i="3" s="1"/>
  <c r="A157" i="3"/>
  <c r="C157" i="3" s="1"/>
  <c r="B159" i="3" l="1"/>
  <c r="D159" i="3" s="1"/>
  <c r="A158" i="3"/>
  <c r="C158" i="3" s="1"/>
  <c r="B160" i="3" l="1"/>
  <c r="D160" i="3" s="1"/>
  <c r="A159" i="3"/>
  <c r="C159" i="3" s="1"/>
  <c r="B161" i="3" l="1"/>
  <c r="D161" i="3" s="1"/>
  <c r="A160" i="3"/>
  <c r="C160" i="3" s="1"/>
  <c r="B162" i="3" l="1"/>
  <c r="D162" i="3" s="1"/>
  <c r="A161" i="3"/>
  <c r="C161" i="3" s="1"/>
  <c r="B163" i="3" l="1"/>
  <c r="D163" i="3" s="1"/>
  <c r="A162" i="3"/>
  <c r="C162" i="3" s="1"/>
  <c r="B164" i="3" l="1"/>
  <c r="D164" i="3" s="1"/>
  <c r="A163" i="3"/>
  <c r="C163" i="3" s="1"/>
  <c r="B165" i="3" l="1"/>
  <c r="D165" i="3" s="1"/>
  <c r="A164" i="3"/>
  <c r="C164" i="3" s="1"/>
  <c r="B166" i="3" l="1"/>
  <c r="D166" i="3" s="1"/>
  <c r="A165" i="3"/>
  <c r="C165" i="3" s="1"/>
  <c r="B167" i="3" l="1"/>
  <c r="D167" i="3" s="1"/>
  <c r="A166" i="3"/>
  <c r="C166" i="3" s="1"/>
  <c r="B168" i="3" l="1"/>
  <c r="D168" i="3" s="1"/>
  <c r="A167" i="3"/>
  <c r="C167" i="3" s="1"/>
  <c r="B169" i="3" l="1"/>
  <c r="D169" i="3" s="1"/>
  <c r="A168" i="3"/>
  <c r="C168" i="3" s="1"/>
  <c r="B170" i="3" l="1"/>
  <c r="D170" i="3" s="1"/>
  <c r="A169" i="3"/>
  <c r="C169" i="3" s="1"/>
  <c r="B171" i="3" l="1"/>
  <c r="D171" i="3" s="1"/>
  <c r="A170" i="3"/>
  <c r="C170" i="3" s="1"/>
  <c r="B172" i="3" l="1"/>
  <c r="D172" i="3" s="1"/>
  <c r="A171" i="3"/>
  <c r="C171" i="3" s="1"/>
  <c r="B173" i="3" l="1"/>
  <c r="D173" i="3" s="1"/>
  <c r="A172" i="3"/>
  <c r="C172" i="3" s="1"/>
  <c r="B174" i="3" l="1"/>
  <c r="D174" i="3" s="1"/>
  <c r="A173" i="3"/>
  <c r="C173" i="3" s="1"/>
  <c r="B175" i="3" l="1"/>
  <c r="D175" i="3" s="1"/>
  <c r="A174" i="3"/>
  <c r="C174" i="3" s="1"/>
  <c r="B176" i="3" l="1"/>
  <c r="D176" i="3" s="1"/>
  <c r="A175" i="3"/>
  <c r="C175" i="3" s="1"/>
  <c r="B177" i="3" l="1"/>
  <c r="D177" i="3" s="1"/>
  <c r="A176" i="3"/>
  <c r="C176" i="3" s="1"/>
  <c r="B178" i="3" l="1"/>
  <c r="D178" i="3" s="1"/>
  <c r="A177" i="3"/>
  <c r="C177" i="3" s="1"/>
  <c r="B179" i="3" l="1"/>
  <c r="D179" i="3" s="1"/>
  <c r="A178" i="3"/>
  <c r="C178" i="3" s="1"/>
  <c r="B180" i="3" l="1"/>
  <c r="D180" i="3" s="1"/>
  <c r="A179" i="3"/>
  <c r="C179" i="3" s="1"/>
  <c r="B181" i="3" l="1"/>
  <c r="D181" i="3" s="1"/>
  <c r="A180" i="3"/>
  <c r="C180" i="3" s="1"/>
  <c r="B182" i="3" l="1"/>
  <c r="D182" i="3" s="1"/>
  <c r="A181" i="3"/>
  <c r="C181" i="3" s="1"/>
  <c r="B183" i="3" l="1"/>
  <c r="D183" i="3" s="1"/>
  <c r="A182" i="3"/>
  <c r="C182" i="3" s="1"/>
  <c r="B184" i="3" l="1"/>
  <c r="D184" i="3" s="1"/>
  <c r="A183" i="3"/>
  <c r="C183" i="3" s="1"/>
  <c r="B185" i="3" l="1"/>
  <c r="D185" i="3" s="1"/>
  <c r="A184" i="3"/>
  <c r="C184" i="3" s="1"/>
  <c r="B186" i="3" l="1"/>
  <c r="D186" i="3" s="1"/>
  <c r="A185" i="3"/>
  <c r="C185" i="3" s="1"/>
  <c r="B187" i="3" l="1"/>
  <c r="D187" i="3" s="1"/>
  <c r="A186" i="3"/>
  <c r="C186" i="3" s="1"/>
  <c r="B188" i="3" l="1"/>
  <c r="D188" i="3" s="1"/>
  <c r="A187" i="3"/>
  <c r="C187" i="3" s="1"/>
  <c r="B189" i="3" l="1"/>
  <c r="D189" i="3" s="1"/>
  <c r="A188" i="3"/>
  <c r="C188" i="3" s="1"/>
  <c r="B190" i="3" l="1"/>
  <c r="D190" i="3" s="1"/>
  <c r="A189" i="3"/>
  <c r="C189" i="3" s="1"/>
  <c r="B191" i="3" l="1"/>
  <c r="D191" i="3" s="1"/>
  <c r="A190" i="3"/>
  <c r="C190" i="3" s="1"/>
  <c r="B192" i="3" l="1"/>
  <c r="D192" i="3" s="1"/>
  <c r="A191" i="3"/>
  <c r="C191" i="3" s="1"/>
  <c r="B193" i="3" l="1"/>
  <c r="D193" i="3" s="1"/>
  <c r="A192" i="3"/>
  <c r="C192" i="3" s="1"/>
  <c r="B194" i="3" l="1"/>
  <c r="D194" i="3" s="1"/>
  <c r="A193" i="3"/>
  <c r="C193" i="3" s="1"/>
  <c r="B195" i="3" l="1"/>
  <c r="D195" i="3" s="1"/>
  <c r="A194" i="3"/>
  <c r="C194" i="3" s="1"/>
  <c r="B196" i="3" l="1"/>
  <c r="D196" i="3" s="1"/>
  <c r="A195" i="3"/>
  <c r="C195" i="3" s="1"/>
  <c r="B197" i="3" l="1"/>
  <c r="D197" i="3" s="1"/>
  <c r="A196" i="3"/>
  <c r="C196" i="3" s="1"/>
  <c r="B198" i="3" l="1"/>
  <c r="D198" i="3" s="1"/>
  <c r="A197" i="3"/>
  <c r="C197" i="3" s="1"/>
  <c r="B199" i="3" l="1"/>
  <c r="D199" i="3" s="1"/>
  <c r="A198" i="3"/>
  <c r="C198" i="3" s="1"/>
  <c r="B200" i="3" l="1"/>
  <c r="D200" i="3" s="1"/>
  <c r="A199" i="3"/>
  <c r="C199" i="3" s="1"/>
  <c r="B201" i="3" l="1"/>
  <c r="D201" i="3" s="1"/>
  <c r="A200" i="3"/>
  <c r="C200" i="3" s="1"/>
  <c r="B202" i="3" l="1"/>
  <c r="D202" i="3" s="1"/>
  <c r="A201" i="3"/>
  <c r="C201" i="3" s="1"/>
  <c r="B203" i="3" l="1"/>
  <c r="D203" i="3" s="1"/>
  <c r="A202" i="3"/>
  <c r="C202" i="3" s="1"/>
  <c r="B204" i="3" l="1"/>
  <c r="D204" i="3" s="1"/>
  <c r="A203" i="3"/>
  <c r="C203" i="3" s="1"/>
  <c r="B205" i="3" l="1"/>
  <c r="D205" i="3" s="1"/>
  <c r="A204" i="3"/>
  <c r="C204" i="3" s="1"/>
  <c r="B206" i="3" l="1"/>
  <c r="D206" i="3" s="1"/>
  <c r="A205" i="3"/>
  <c r="C205" i="3" s="1"/>
  <c r="B207" i="3" l="1"/>
  <c r="D207" i="3" s="1"/>
  <c r="A206" i="3"/>
  <c r="C206" i="3" s="1"/>
  <c r="B208" i="3" l="1"/>
  <c r="D208" i="3" s="1"/>
  <c r="A207" i="3"/>
  <c r="C207" i="3" s="1"/>
  <c r="B209" i="3" l="1"/>
  <c r="D209" i="3" s="1"/>
  <c r="A208" i="3"/>
  <c r="C208" i="3" s="1"/>
  <c r="B210" i="3" l="1"/>
  <c r="D210" i="3" s="1"/>
  <c r="A209" i="3"/>
  <c r="C209" i="3" s="1"/>
  <c r="B211" i="3" l="1"/>
  <c r="D211" i="3" s="1"/>
  <c r="A210" i="3"/>
  <c r="C210" i="3" s="1"/>
  <c r="B212" i="3" l="1"/>
  <c r="D212" i="3" s="1"/>
  <c r="A211" i="3"/>
  <c r="C211" i="3" s="1"/>
  <c r="B213" i="3" l="1"/>
  <c r="D213" i="3" s="1"/>
  <c r="A212" i="3"/>
  <c r="C212" i="3" s="1"/>
  <c r="B214" i="3" l="1"/>
  <c r="D214" i="3" s="1"/>
  <c r="A213" i="3"/>
  <c r="C213" i="3" s="1"/>
  <c r="B215" i="3" l="1"/>
  <c r="D215" i="3" s="1"/>
  <c r="A214" i="3"/>
  <c r="C214" i="3" s="1"/>
  <c r="B216" i="3" l="1"/>
  <c r="D216" i="3" s="1"/>
  <c r="A215" i="3"/>
  <c r="C215" i="3" s="1"/>
  <c r="B217" i="3" l="1"/>
  <c r="D217" i="3" s="1"/>
  <c r="A216" i="3"/>
  <c r="C216" i="3" s="1"/>
  <c r="B218" i="3" l="1"/>
  <c r="D218" i="3" s="1"/>
  <c r="A217" i="3"/>
  <c r="C217" i="3" s="1"/>
  <c r="B219" i="3" l="1"/>
  <c r="D219" i="3" s="1"/>
  <c r="A218" i="3"/>
  <c r="C218" i="3" s="1"/>
  <c r="B220" i="3" l="1"/>
  <c r="D220" i="3" s="1"/>
  <c r="A219" i="3"/>
  <c r="C219" i="3" s="1"/>
  <c r="B221" i="3" l="1"/>
  <c r="D221" i="3" s="1"/>
  <c r="A220" i="3"/>
  <c r="C220" i="3" s="1"/>
  <c r="B222" i="3" l="1"/>
  <c r="D222" i="3" s="1"/>
  <c r="A221" i="3"/>
  <c r="C221" i="3" s="1"/>
  <c r="B223" i="3" l="1"/>
  <c r="D223" i="3" s="1"/>
  <c r="A222" i="3"/>
  <c r="C222" i="3" s="1"/>
  <c r="B224" i="3" l="1"/>
  <c r="D224" i="3" s="1"/>
  <c r="A223" i="3"/>
  <c r="C223" i="3" s="1"/>
  <c r="B225" i="3" l="1"/>
  <c r="D225" i="3" s="1"/>
  <c r="A224" i="3"/>
  <c r="C224" i="3" s="1"/>
  <c r="B226" i="3" l="1"/>
  <c r="D226" i="3" s="1"/>
  <c r="A225" i="3"/>
  <c r="C225" i="3" s="1"/>
  <c r="B227" i="3" l="1"/>
  <c r="D227" i="3" s="1"/>
  <c r="A226" i="3"/>
  <c r="C226" i="3" s="1"/>
  <c r="B228" i="3" l="1"/>
  <c r="D228" i="3" s="1"/>
  <c r="A227" i="3"/>
  <c r="C227" i="3" s="1"/>
  <c r="B229" i="3" l="1"/>
  <c r="D229" i="3" s="1"/>
  <c r="A228" i="3"/>
  <c r="C228" i="3" s="1"/>
  <c r="B230" i="3" l="1"/>
  <c r="D230" i="3" s="1"/>
  <c r="A229" i="3"/>
  <c r="C229" i="3" s="1"/>
  <c r="B231" i="3" l="1"/>
  <c r="D231" i="3" s="1"/>
  <c r="A230" i="3"/>
  <c r="C230" i="3" s="1"/>
  <c r="B232" i="3" l="1"/>
  <c r="D232" i="3" s="1"/>
  <c r="A231" i="3"/>
  <c r="C231" i="3" s="1"/>
  <c r="B233" i="3" l="1"/>
  <c r="D233" i="3" s="1"/>
  <c r="A232" i="3"/>
  <c r="C232" i="3" s="1"/>
  <c r="B234" i="3" l="1"/>
  <c r="D234" i="3" s="1"/>
  <c r="A233" i="3"/>
  <c r="C233" i="3" s="1"/>
  <c r="B235" i="3" l="1"/>
  <c r="D235" i="3" s="1"/>
  <c r="A234" i="3"/>
  <c r="C234" i="3" s="1"/>
  <c r="B236" i="3" l="1"/>
  <c r="D236" i="3" s="1"/>
  <c r="A235" i="3"/>
  <c r="C235" i="3" s="1"/>
  <c r="B237" i="3" l="1"/>
  <c r="D237" i="3" s="1"/>
  <c r="A236" i="3"/>
  <c r="C236" i="3" s="1"/>
  <c r="B238" i="3" l="1"/>
  <c r="D238" i="3" s="1"/>
  <c r="A237" i="3"/>
  <c r="C237" i="3" s="1"/>
  <c r="B239" i="3" l="1"/>
  <c r="D239" i="3" s="1"/>
  <c r="A238" i="3"/>
  <c r="C238" i="3" s="1"/>
  <c r="B240" i="3" l="1"/>
  <c r="D240" i="3" s="1"/>
  <c r="A239" i="3"/>
  <c r="C239" i="3" s="1"/>
  <c r="B241" i="3" l="1"/>
  <c r="D241" i="3" s="1"/>
  <c r="A240" i="3"/>
  <c r="C240" i="3" s="1"/>
  <c r="B242" i="3" l="1"/>
  <c r="D242" i="3" s="1"/>
  <c r="A241" i="3"/>
  <c r="C241" i="3" s="1"/>
  <c r="B243" i="3" l="1"/>
  <c r="D243" i="3" s="1"/>
  <c r="A242" i="3"/>
  <c r="C242" i="3" s="1"/>
  <c r="B244" i="3" l="1"/>
  <c r="D244" i="3" s="1"/>
  <c r="A243" i="3"/>
  <c r="C243" i="3" s="1"/>
  <c r="B245" i="3" l="1"/>
  <c r="D245" i="3" s="1"/>
  <c r="A244" i="3"/>
  <c r="C244" i="3" s="1"/>
  <c r="B246" i="3" l="1"/>
  <c r="D246" i="3" s="1"/>
  <c r="A245" i="3"/>
  <c r="C245" i="3" s="1"/>
  <c r="B247" i="3" l="1"/>
  <c r="D247" i="3" s="1"/>
  <c r="A246" i="3"/>
  <c r="C246" i="3" s="1"/>
  <c r="B248" i="3" l="1"/>
  <c r="D248" i="3" s="1"/>
  <c r="A247" i="3"/>
  <c r="C247" i="3" s="1"/>
  <c r="B249" i="3" l="1"/>
  <c r="D249" i="3" s="1"/>
  <c r="A248" i="3"/>
  <c r="C248" i="3" s="1"/>
  <c r="B250" i="3" l="1"/>
  <c r="D250" i="3" s="1"/>
  <c r="A249" i="3"/>
  <c r="C249" i="3" s="1"/>
  <c r="B251" i="3" l="1"/>
  <c r="D251" i="3" s="1"/>
  <c r="A250" i="3"/>
  <c r="C250" i="3" s="1"/>
  <c r="B252" i="3" l="1"/>
  <c r="D252" i="3" s="1"/>
  <c r="A251" i="3"/>
  <c r="C251" i="3" s="1"/>
  <c r="B253" i="3" l="1"/>
  <c r="D253" i="3" s="1"/>
  <c r="A252" i="3"/>
  <c r="C252" i="3" s="1"/>
  <c r="B254" i="3" l="1"/>
  <c r="D254" i="3" s="1"/>
  <c r="A253" i="3"/>
  <c r="C253" i="3" s="1"/>
  <c r="B255" i="3" l="1"/>
  <c r="D255" i="3" s="1"/>
  <c r="A254" i="3"/>
  <c r="C254" i="3" s="1"/>
  <c r="B256" i="3" l="1"/>
  <c r="D256" i="3" s="1"/>
  <c r="A255" i="3"/>
  <c r="C255" i="3" s="1"/>
  <c r="B257" i="3" l="1"/>
  <c r="D257" i="3" s="1"/>
  <c r="A256" i="3"/>
  <c r="C256" i="3" s="1"/>
  <c r="B258" i="3" l="1"/>
  <c r="D258" i="3" s="1"/>
  <c r="A257" i="3"/>
  <c r="C257" i="3" s="1"/>
  <c r="B259" i="3" l="1"/>
  <c r="D259" i="3" s="1"/>
  <c r="A258" i="3"/>
  <c r="C258" i="3" s="1"/>
  <c r="B260" i="3" l="1"/>
  <c r="D260" i="3" s="1"/>
  <c r="A259" i="3"/>
  <c r="C259" i="3" s="1"/>
  <c r="B261" i="3" l="1"/>
  <c r="D261" i="3" s="1"/>
  <c r="A260" i="3"/>
  <c r="C260" i="3" s="1"/>
  <c r="B262" i="3" l="1"/>
  <c r="D262" i="3" s="1"/>
  <c r="A261" i="3"/>
  <c r="C261" i="3" s="1"/>
  <c r="B263" i="3" l="1"/>
  <c r="D263" i="3" s="1"/>
  <c r="A262" i="3"/>
  <c r="C262" i="3" s="1"/>
  <c r="B264" i="3" l="1"/>
  <c r="D264" i="3" s="1"/>
  <c r="A263" i="3"/>
  <c r="C263" i="3" s="1"/>
  <c r="B265" i="3" l="1"/>
  <c r="D265" i="3" s="1"/>
  <c r="A264" i="3"/>
  <c r="C264" i="3" s="1"/>
  <c r="B266" i="3" l="1"/>
  <c r="D266" i="3" s="1"/>
  <c r="A265" i="3"/>
  <c r="C265" i="3" s="1"/>
  <c r="B267" i="3" l="1"/>
  <c r="D267" i="3" s="1"/>
  <c r="A266" i="3"/>
  <c r="C266" i="3" s="1"/>
  <c r="B268" i="3" l="1"/>
  <c r="D268" i="3" s="1"/>
  <c r="A267" i="3"/>
  <c r="C267" i="3" s="1"/>
  <c r="B269" i="3" l="1"/>
  <c r="D269" i="3" s="1"/>
  <c r="A268" i="3"/>
  <c r="C268" i="3" s="1"/>
  <c r="B270" i="3" l="1"/>
  <c r="D270" i="3" s="1"/>
  <c r="A269" i="3"/>
  <c r="C269" i="3" s="1"/>
  <c r="B271" i="3" l="1"/>
  <c r="D271" i="3" s="1"/>
  <c r="A270" i="3"/>
  <c r="C270" i="3" s="1"/>
  <c r="B272" i="3" l="1"/>
  <c r="D272" i="3" s="1"/>
  <c r="A271" i="3"/>
  <c r="C271" i="3" s="1"/>
  <c r="B273" i="3" l="1"/>
  <c r="D273" i="3" s="1"/>
  <c r="A272" i="3"/>
  <c r="C272" i="3" s="1"/>
  <c r="B274" i="3" l="1"/>
  <c r="D274" i="3" s="1"/>
  <c r="A273" i="3"/>
  <c r="C273" i="3" s="1"/>
  <c r="B275" i="3" l="1"/>
  <c r="D275" i="3" s="1"/>
  <c r="A274" i="3"/>
  <c r="C274" i="3" s="1"/>
  <c r="B276" i="3" l="1"/>
  <c r="D276" i="3" s="1"/>
  <c r="A275" i="3"/>
  <c r="C275" i="3" s="1"/>
  <c r="B277" i="3" l="1"/>
  <c r="D277" i="3" s="1"/>
  <c r="A276" i="3"/>
  <c r="C276" i="3" s="1"/>
  <c r="B278" i="3" l="1"/>
  <c r="D278" i="3" s="1"/>
  <c r="A277" i="3"/>
  <c r="C277" i="3" s="1"/>
  <c r="B279" i="3" l="1"/>
  <c r="D279" i="3" s="1"/>
  <c r="A278" i="3"/>
  <c r="C278" i="3" s="1"/>
  <c r="B280" i="3" l="1"/>
  <c r="D280" i="3" s="1"/>
  <c r="A279" i="3"/>
  <c r="C279" i="3" s="1"/>
  <c r="B281" i="3" l="1"/>
  <c r="D281" i="3" s="1"/>
  <c r="A280" i="3"/>
  <c r="C280" i="3" s="1"/>
  <c r="B282" i="3" l="1"/>
  <c r="D282" i="3" s="1"/>
  <c r="A281" i="3"/>
  <c r="C281" i="3" s="1"/>
  <c r="B283" i="3" l="1"/>
  <c r="D283" i="3" s="1"/>
  <c r="A282" i="3"/>
  <c r="C282" i="3" s="1"/>
  <c r="B284" i="3" l="1"/>
  <c r="D284" i="3" s="1"/>
  <c r="A283" i="3"/>
  <c r="C283" i="3" s="1"/>
  <c r="B285" i="3" l="1"/>
  <c r="D285" i="3" s="1"/>
  <c r="A284" i="3"/>
  <c r="C284" i="3" s="1"/>
  <c r="B286" i="3" l="1"/>
  <c r="D286" i="3" s="1"/>
  <c r="A285" i="3"/>
  <c r="C285" i="3" s="1"/>
  <c r="B287" i="3" l="1"/>
  <c r="D287" i="3" s="1"/>
  <c r="A286" i="3"/>
  <c r="C286" i="3" s="1"/>
  <c r="B288" i="3" l="1"/>
  <c r="D288" i="3" s="1"/>
  <c r="A287" i="3"/>
  <c r="C287" i="3" s="1"/>
  <c r="B289" i="3" l="1"/>
  <c r="D289" i="3" s="1"/>
  <c r="A288" i="3"/>
  <c r="C288" i="3" s="1"/>
  <c r="B290" i="3" l="1"/>
  <c r="D290" i="3" s="1"/>
  <c r="A289" i="3"/>
  <c r="C289" i="3" s="1"/>
  <c r="B291" i="3" l="1"/>
  <c r="D291" i="3" s="1"/>
  <c r="A290" i="3"/>
  <c r="C290" i="3" s="1"/>
  <c r="B292" i="3" l="1"/>
  <c r="D292" i="3" s="1"/>
  <c r="A291" i="3"/>
  <c r="C291" i="3" s="1"/>
  <c r="B293" i="3" l="1"/>
  <c r="D293" i="3" s="1"/>
  <c r="A292" i="3"/>
  <c r="C292" i="3" s="1"/>
  <c r="B294" i="3" l="1"/>
  <c r="D294" i="3" s="1"/>
  <c r="A293" i="3"/>
  <c r="C293" i="3" s="1"/>
  <c r="B295" i="3" l="1"/>
  <c r="D295" i="3" s="1"/>
  <c r="A294" i="3"/>
  <c r="C294" i="3" s="1"/>
  <c r="B296" i="3" l="1"/>
  <c r="D296" i="3" s="1"/>
  <c r="A295" i="3"/>
  <c r="C295" i="3" s="1"/>
  <c r="B297" i="3" l="1"/>
  <c r="D297" i="3" s="1"/>
  <c r="A296" i="3"/>
  <c r="C296" i="3" s="1"/>
  <c r="B298" i="3" l="1"/>
  <c r="D298" i="3" s="1"/>
  <c r="A297" i="3"/>
  <c r="C297" i="3" s="1"/>
  <c r="B299" i="3" l="1"/>
  <c r="D299" i="3" s="1"/>
  <c r="A298" i="3"/>
  <c r="C298" i="3" s="1"/>
  <c r="B300" i="3" l="1"/>
  <c r="D300" i="3" s="1"/>
  <c r="A299" i="3"/>
  <c r="C299" i="3" s="1"/>
  <c r="B301" i="3" l="1"/>
  <c r="D301" i="3" s="1"/>
  <c r="A300" i="3"/>
  <c r="C300" i="3" s="1"/>
  <c r="B302" i="3" l="1"/>
  <c r="D302" i="3" s="1"/>
  <c r="A301" i="3"/>
  <c r="C301" i="3" s="1"/>
  <c r="B303" i="3" l="1"/>
  <c r="D303" i="3" s="1"/>
  <c r="A302" i="3"/>
  <c r="C302" i="3" s="1"/>
  <c r="B304" i="3" l="1"/>
  <c r="D304" i="3" s="1"/>
  <c r="A303" i="3"/>
  <c r="C303" i="3" s="1"/>
  <c r="B305" i="3" l="1"/>
  <c r="D305" i="3" s="1"/>
  <c r="A304" i="3"/>
  <c r="C304" i="3" s="1"/>
  <c r="B306" i="3" l="1"/>
  <c r="D306" i="3" s="1"/>
  <c r="A305" i="3"/>
  <c r="C305" i="3" s="1"/>
  <c r="B307" i="3" l="1"/>
  <c r="D307" i="3" s="1"/>
  <c r="A306" i="3"/>
  <c r="C306" i="3" s="1"/>
  <c r="B308" i="3" l="1"/>
  <c r="D308" i="3" s="1"/>
  <c r="A307" i="3"/>
  <c r="C307" i="3" s="1"/>
  <c r="B309" i="3" l="1"/>
  <c r="D309" i="3" s="1"/>
  <c r="A308" i="3"/>
  <c r="C308" i="3" s="1"/>
  <c r="B310" i="3" l="1"/>
  <c r="D310" i="3" s="1"/>
  <c r="A309" i="3"/>
  <c r="C309" i="3" s="1"/>
  <c r="B311" i="3" l="1"/>
  <c r="D311" i="3" s="1"/>
  <c r="A310" i="3"/>
  <c r="C310" i="3" s="1"/>
  <c r="B312" i="3" l="1"/>
  <c r="D312" i="3" s="1"/>
  <c r="A311" i="3"/>
  <c r="C311" i="3" s="1"/>
  <c r="B313" i="3" l="1"/>
  <c r="D313" i="3" s="1"/>
  <c r="A312" i="3"/>
  <c r="C312" i="3" s="1"/>
  <c r="B314" i="3" l="1"/>
  <c r="D314" i="3" s="1"/>
  <c r="A313" i="3"/>
  <c r="C313" i="3" s="1"/>
  <c r="B315" i="3" l="1"/>
  <c r="D315" i="3" s="1"/>
  <c r="A314" i="3"/>
  <c r="C314" i="3" s="1"/>
  <c r="B316" i="3" l="1"/>
  <c r="D316" i="3" s="1"/>
  <c r="A315" i="3"/>
  <c r="C315" i="3" s="1"/>
  <c r="B317" i="3" l="1"/>
  <c r="D317" i="3" s="1"/>
  <c r="A316" i="3"/>
  <c r="C316" i="3" s="1"/>
  <c r="B318" i="3" l="1"/>
  <c r="D318" i="3" s="1"/>
  <c r="A317" i="3"/>
  <c r="C317" i="3" s="1"/>
  <c r="B319" i="3" l="1"/>
  <c r="D319" i="3" s="1"/>
  <c r="A318" i="3"/>
  <c r="C318" i="3" s="1"/>
  <c r="B320" i="3" l="1"/>
  <c r="D320" i="3" s="1"/>
  <c r="A319" i="3"/>
  <c r="C319" i="3" s="1"/>
  <c r="B321" i="3" l="1"/>
  <c r="D321" i="3" s="1"/>
  <c r="A320" i="3"/>
  <c r="C320" i="3" s="1"/>
  <c r="B322" i="3" l="1"/>
  <c r="D322" i="3" s="1"/>
  <c r="A321" i="3"/>
  <c r="C321" i="3" s="1"/>
  <c r="B323" i="3" l="1"/>
  <c r="D323" i="3" s="1"/>
  <c r="A322" i="3"/>
  <c r="C322" i="3" s="1"/>
  <c r="B324" i="3" l="1"/>
  <c r="D324" i="3" s="1"/>
  <c r="A323" i="3"/>
  <c r="C323" i="3" s="1"/>
  <c r="B325" i="3" l="1"/>
  <c r="D325" i="3" s="1"/>
  <c r="A324" i="3"/>
  <c r="C324" i="3" s="1"/>
  <c r="B326" i="3" l="1"/>
  <c r="D326" i="3" s="1"/>
  <c r="A325" i="3"/>
  <c r="C325" i="3" s="1"/>
  <c r="B327" i="3" l="1"/>
  <c r="D327" i="3" s="1"/>
  <c r="A326" i="3"/>
  <c r="C326" i="3" s="1"/>
  <c r="B328" i="3" l="1"/>
  <c r="D328" i="3" s="1"/>
  <c r="A327" i="3"/>
  <c r="C327" i="3" s="1"/>
  <c r="B329" i="3" l="1"/>
  <c r="D329" i="3" s="1"/>
  <c r="A328" i="3"/>
  <c r="C328" i="3" s="1"/>
  <c r="B330" i="3" l="1"/>
  <c r="D330" i="3" s="1"/>
  <c r="A329" i="3"/>
  <c r="C329" i="3" s="1"/>
  <c r="B331" i="3" l="1"/>
  <c r="D331" i="3" s="1"/>
  <c r="A330" i="3"/>
  <c r="C330" i="3" s="1"/>
  <c r="B332" i="3" l="1"/>
  <c r="D332" i="3" s="1"/>
  <c r="A331" i="3"/>
  <c r="C331" i="3" s="1"/>
  <c r="B333" i="3" l="1"/>
  <c r="D333" i="3" s="1"/>
  <c r="A332" i="3"/>
  <c r="C332" i="3" s="1"/>
  <c r="B334" i="3" l="1"/>
  <c r="D334" i="3" s="1"/>
  <c r="A333" i="3"/>
  <c r="C333" i="3" s="1"/>
  <c r="B335" i="3" l="1"/>
  <c r="D335" i="3" s="1"/>
  <c r="A334" i="3"/>
  <c r="C334" i="3" s="1"/>
  <c r="B336" i="3" l="1"/>
  <c r="D336" i="3" s="1"/>
  <c r="A335" i="3"/>
  <c r="C335" i="3" s="1"/>
  <c r="B337" i="3" l="1"/>
  <c r="D337" i="3" s="1"/>
  <c r="A336" i="3"/>
  <c r="C336" i="3" s="1"/>
  <c r="B338" i="3" l="1"/>
  <c r="D338" i="3" s="1"/>
  <c r="A337" i="3"/>
  <c r="C337" i="3" s="1"/>
  <c r="B339" i="3" l="1"/>
  <c r="D339" i="3" s="1"/>
  <c r="A338" i="3"/>
  <c r="C338" i="3" s="1"/>
  <c r="B340" i="3" l="1"/>
  <c r="D340" i="3" s="1"/>
  <c r="A339" i="3"/>
  <c r="C339" i="3" s="1"/>
  <c r="B341" i="3" l="1"/>
  <c r="D341" i="3" s="1"/>
  <c r="A340" i="3"/>
  <c r="C340" i="3" s="1"/>
  <c r="B342" i="3" l="1"/>
  <c r="D342" i="3" s="1"/>
  <c r="A341" i="3"/>
  <c r="C341" i="3" s="1"/>
  <c r="B343" i="3" l="1"/>
  <c r="D343" i="3" s="1"/>
  <c r="A342" i="3"/>
  <c r="C342" i="3" s="1"/>
  <c r="B344" i="3" l="1"/>
  <c r="D344" i="3" s="1"/>
  <c r="A343" i="3"/>
  <c r="C343" i="3" s="1"/>
  <c r="B345" i="3" l="1"/>
  <c r="D345" i="3" s="1"/>
  <c r="A344" i="3"/>
  <c r="C344" i="3" s="1"/>
  <c r="B346" i="3" l="1"/>
  <c r="D346" i="3" s="1"/>
  <c r="A345" i="3"/>
  <c r="C345" i="3" s="1"/>
  <c r="B347" i="3" l="1"/>
  <c r="D347" i="3" s="1"/>
  <c r="A346" i="3"/>
  <c r="C346" i="3" s="1"/>
  <c r="B348" i="3" l="1"/>
  <c r="D348" i="3" s="1"/>
  <c r="A347" i="3"/>
  <c r="C347" i="3" s="1"/>
  <c r="B349" i="3" l="1"/>
  <c r="D349" i="3" s="1"/>
  <c r="A348" i="3"/>
  <c r="C348" i="3" s="1"/>
  <c r="B350" i="3" l="1"/>
  <c r="D350" i="3" s="1"/>
  <c r="A349" i="3"/>
  <c r="C349" i="3" s="1"/>
  <c r="B351" i="3" l="1"/>
  <c r="D351" i="3" s="1"/>
  <c r="A350" i="3"/>
  <c r="C350" i="3" s="1"/>
  <c r="B352" i="3" l="1"/>
  <c r="D352" i="3" s="1"/>
  <c r="A351" i="3"/>
  <c r="C351" i="3" s="1"/>
  <c r="B353" i="3" l="1"/>
  <c r="D353" i="3" s="1"/>
  <c r="A352" i="3"/>
  <c r="C352" i="3" s="1"/>
  <c r="B354" i="3" l="1"/>
  <c r="D354" i="3" s="1"/>
  <c r="A353" i="3"/>
  <c r="C353" i="3" s="1"/>
  <c r="B355" i="3" l="1"/>
  <c r="D355" i="3" s="1"/>
  <c r="A354" i="3"/>
  <c r="C354" i="3" s="1"/>
  <c r="B356" i="3" l="1"/>
  <c r="D356" i="3" s="1"/>
  <c r="A355" i="3"/>
  <c r="C355" i="3" s="1"/>
  <c r="B357" i="3" l="1"/>
  <c r="D357" i="3" s="1"/>
  <c r="A356" i="3"/>
  <c r="C356" i="3" s="1"/>
  <c r="B358" i="3" l="1"/>
  <c r="D358" i="3" s="1"/>
  <c r="A357" i="3"/>
  <c r="C357" i="3" s="1"/>
  <c r="B359" i="3" l="1"/>
  <c r="D359" i="3" s="1"/>
  <c r="A358" i="3"/>
  <c r="C358" i="3" s="1"/>
  <c r="B360" i="3" l="1"/>
  <c r="D360" i="3" s="1"/>
  <c r="A359" i="3"/>
  <c r="C359" i="3" s="1"/>
  <c r="B361" i="3" l="1"/>
  <c r="D361" i="3" s="1"/>
  <c r="A360" i="3"/>
  <c r="C360" i="3" s="1"/>
  <c r="B362" i="3" l="1"/>
  <c r="D362" i="3" s="1"/>
  <c r="A361" i="3"/>
  <c r="C361" i="3" s="1"/>
  <c r="B363" i="3" l="1"/>
  <c r="D363" i="3" s="1"/>
  <c r="A362" i="3"/>
  <c r="C362" i="3" s="1"/>
  <c r="B364" i="3" l="1"/>
  <c r="D364" i="3" s="1"/>
  <c r="A363" i="3"/>
  <c r="C363" i="3" s="1"/>
  <c r="B365" i="3" l="1"/>
  <c r="D365" i="3" s="1"/>
  <c r="A364" i="3"/>
  <c r="C364" i="3" s="1"/>
  <c r="B366" i="3" l="1"/>
  <c r="A365" i="3"/>
  <c r="C365" i="3" s="1"/>
  <c r="D366" i="3" l="1"/>
  <c r="G1345" i="13"/>
  <c r="G2113" i="12"/>
  <c r="G628" i="13"/>
  <c r="G832" i="13"/>
  <c r="G235" i="13"/>
  <c r="G976" i="13"/>
  <c r="G1672" i="13"/>
  <c r="G923" i="13"/>
  <c r="G143" i="13"/>
  <c r="G1035" i="12"/>
  <c r="G505" i="13"/>
  <c r="G1324" i="13"/>
  <c r="G1935" i="12"/>
  <c r="G676" i="12"/>
  <c r="G1451" i="12"/>
  <c r="G903" i="12"/>
  <c r="G841" i="13"/>
  <c r="G542" i="13"/>
  <c r="G593" i="13"/>
  <c r="G1297" i="12"/>
  <c r="G442" i="13"/>
  <c r="G1143" i="12"/>
  <c r="G76" i="12"/>
  <c r="G550" i="13"/>
  <c r="G1211" i="12"/>
  <c r="G746" i="13"/>
  <c r="G1335" i="12"/>
  <c r="G389" i="12"/>
  <c r="G878" i="13"/>
  <c r="G901" i="12"/>
  <c r="G373" i="12"/>
  <c r="G993" i="13"/>
  <c r="G254" i="13"/>
  <c r="G1277" i="12"/>
  <c r="G221" i="12"/>
  <c r="G382" i="13"/>
  <c r="G1594" i="12"/>
  <c r="G354" i="13"/>
  <c r="G49" i="13"/>
  <c r="G98" i="12"/>
  <c r="G461" i="12"/>
  <c r="G704" i="12"/>
  <c r="G1272" i="12"/>
  <c r="G67" i="13"/>
  <c r="G520" i="13"/>
  <c r="G508" i="13"/>
  <c r="G259" i="13"/>
  <c r="G687" i="13"/>
  <c r="G1574" i="13"/>
  <c r="G859" i="12"/>
  <c r="G815" i="13"/>
  <c r="G1495" i="12"/>
  <c r="G899" i="13"/>
  <c r="G537" i="12"/>
  <c r="G1339" i="13"/>
  <c r="G1288" i="12"/>
  <c r="G82" i="13"/>
  <c r="G609" i="13"/>
  <c r="G151" i="13"/>
  <c r="G73" i="12"/>
  <c r="G291" i="12"/>
  <c r="G306" i="12"/>
  <c r="G483" i="12"/>
  <c r="G1890" i="12"/>
  <c r="G1385" i="12"/>
  <c r="G1593" i="13"/>
  <c r="G1728" i="12"/>
  <c r="G986" i="12"/>
  <c r="G132" i="13"/>
  <c r="G1183" i="12"/>
  <c r="G1349" i="12"/>
  <c r="G790" i="12"/>
  <c r="G1040" i="13"/>
  <c r="G660" i="13"/>
  <c r="G1492" i="13"/>
  <c r="G159" i="12"/>
  <c r="G89" i="12"/>
  <c r="G149" i="12"/>
  <c r="G645" i="12"/>
  <c r="G853" i="12"/>
  <c r="G661" i="13"/>
  <c r="G1686" i="12"/>
  <c r="G1283" i="12"/>
  <c r="G1886" i="12"/>
  <c r="G2060" i="12"/>
  <c r="G565" i="12"/>
  <c r="G1038" i="12"/>
  <c r="G2117" i="13"/>
  <c r="G994" i="12"/>
  <c r="G180" i="12"/>
  <c r="G307" i="12"/>
  <c r="G1265" i="13"/>
  <c r="G2119" i="12"/>
  <c r="G1869" i="13"/>
  <c r="G489" i="12"/>
  <c r="G738" i="12"/>
  <c r="G898" i="13"/>
  <c r="G1723" i="12"/>
  <c r="G383" i="13"/>
  <c r="G541" i="13"/>
  <c r="G1027" i="13"/>
  <c r="G1919" i="12"/>
  <c r="G1661" i="13"/>
  <c r="G307" i="13"/>
  <c r="G1648" i="13"/>
  <c r="G1025" i="13"/>
  <c r="G487" i="12"/>
  <c r="G29" i="12"/>
  <c r="G449" i="12"/>
  <c r="G1065" i="13"/>
  <c r="G1375" i="12"/>
  <c r="G2124" i="13"/>
  <c r="G1994" i="13"/>
  <c r="G1436" i="13"/>
  <c r="G1244" i="13"/>
  <c r="G1556" i="12"/>
  <c r="G1911" i="13"/>
  <c r="G501" i="13"/>
  <c r="G1590" i="13"/>
  <c r="G1190" i="12"/>
  <c r="G1510" i="13"/>
  <c r="G1905" i="12"/>
  <c r="G1115" i="12"/>
  <c r="G1243" i="12"/>
  <c r="G1141" i="13"/>
  <c r="G1195" i="12"/>
  <c r="G1441" i="12"/>
  <c r="G676" i="13"/>
  <c r="G748" i="12"/>
  <c r="G1387" i="12"/>
  <c r="G1180" i="13"/>
  <c r="G432" i="13"/>
  <c r="G1276" i="12"/>
  <c r="G220" i="13"/>
  <c r="G417" i="13"/>
  <c r="G1503" i="13"/>
  <c r="G1658" i="13"/>
  <c r="G1224" i="13"/>
  <c r="G497" i="13"/>
  <c r="G733" i="12"/>
  <c r="G1791" i="12"/>
  <c r="G1560" i="13"/>
  <c r="G1223" i="13"/>
  <c r="G1527" i="13"/>
  <c r="G1508" i="13"/>
  <c r="G1222" i="12"/>
  <c r="G282" i="13"/>
  <c r="G494" i="12"/>
  <c r="G853" i="13"/>
  <c r="G315" i="13"/>
  <c r="G1493" i="12"/>
  <c r="G341" i="12"/>
  <c r="G582" i="12"/>
  <c r="G712" i="12"/>
  <c r="G1139" i="13"/>
  <c r="G600" i="13"/>
  <c r="G737" i="13"/>
  <c r="G1698" i="13"/>
  <c r="G728" i="13"/>
  <c r="G1887" i="13"/>
  <c r="G126" i="13"/>
  <c r="G2100" i="13"/>
  <c r="G420" i="12"/>
  <c r="G1045" i="13"/>
  <c r="G2049" i="12"/>
  <c r="G1432" i="13"/>
  <c r="G1330" i="12"/>
  <c r="G1602" i="13"/>
  <c r="G133" i="13"/>
  <c r="G66" i="13"/>
  <c r="G65" i="12"/>
  <c r="G1868" i="12"/>
  <c r="G165" i="12"/>
  <c r="G1857" i="12"/>
  <c r="G1935" i="13"/>
  <c r="G38" i="12"/>
  <c r="G1406" i="13"/>
  <c r="G2138" i="12"/>
  <c r="G92" i="12"/>
  <c r="G1258" i="13"/>
  <c r="G212" i="13"/>
  <c r="G1471" i="12"/>
  <c r="G804" i="13"/>
  <c r="G56" i="12"/>
  <c r="G1967" i="13"/>
  <c r="G388" i="12"/>
  <c r="G950" i="13"/>
  <c r="G1853" i="13"/>
  <c r="G1872" i="12"/>
  <c r="G223" i="12"/>
  <c r="G153" i="13"/>
  <c r="G1904" i="12"/>
  <c r="G31" i="12"/>
  <c r="G1625" i="12"/>
  <c r="G1056" i="13"/>
  <c r="G2140" i="12"/>
  <c r="G1657" i="12"/>
  <c r="G913" i="13"/>
  <c r="G1914" i="12"/>
  <c r="G269" i="12"/>
  <c r="G1921" i="13"/>
  <c r="G1292" i="13"/>
  <c r="G2019" i="13"/>
  <c r="G886" i="13"/>
  <c r="G476" i="12"/>
  <c r="G622" i="12"/>
  <c r="G1734" i="13"/>
  <c r="G1534" i="13"/>
  <c r="G2114" i="13"/>
  <c r="G1631" i="12"/>
  <c r="G347" i="13"/>
  <c r="G1780" i="12"/>
  <c r="G2135" i="12"/>
  <c r="G2107" i="12"/>
  <c r="G1965" i="12"/>
  <c r="G1828" i="13"/>
  <c r="G1721" i="12"/>
  <c r="G360" i="13"/>
  <c r="G1681" i="12"/>
  <c r="G86" i="12"/>
  <c r="G270" i="13"/>
  <c r="G1159" i="13"/>
  <c r="G906" i="12"/>
  <c r="G2045" i="13"/>
  <c r="G161" i="13"/>
  <c r="G2076" i="12"/>
  <c r="G198" i="13"/>
  <c r="G767" i="13"/>
  <c r="G920" i="13"/>
  <c r="G1858" i="13"/>
  <c r="G910" i="12"/>
  <c r="G1299" i="12"/>
  <c r="G888" i="12"/>
  <c r="G973" i="12"/>
  <c r="G1232" i="13"/>
  <c r="G269" i="13"/>
  <c r="G1409" i="13"/>
  <c r="G560" i="12"/>
  <c r="G528" i="13"/>
  <c r="G67" i="12"/>
  <c r="G958" i="13"/>
  <c r="G1440" i="13"/>
  <c r="G1735" i="12"/>
  <c r="G2004" i="12"/>
  <c r="G803" i="13"/>
  <c r="G53" i="12"/>
  <c r="G160" i="12"/>
  <c r="G1123" i="13"/>
  <c r="G1325" i="13"/>
  <c r="G1655" i="13"/>
  <c r="G195" i="12"/>
  <c r="G1422" i="12"/>
  <c r="G1898" i="12"/>
  <c r="G2096" i="12"/>
  <c r="G1166" i="13"/>
  <c r="G61" i="12"/>
  <c r="G1842" i="13"/>
  <c r="G1385" i="13"/>
  <c r="G1706" i="12"/>
  <c r="G667" i="12"/>
  <c r="G948" i="13"/>
  <c r="G1973" i="12"/>
  <c r="G1694" i="12"/>
  <c r="G800" i="13"/>
  <c r="G938" i="12"/>
  <c r="G80" i="12"/>
  <c r="G1786" i="13"/>
  <c r="G1273" i="13"/>
  <c r="G1758" i="13"/>
  <c r="G1952" i="13"/>
  <c r="G1697" i="12"/>
  <c r="G1988" i="13"/>
  <c r="G817" i="13"/>
  <c r="G811" i="13"/>
  <c r="G316" i="12"/>
  <c r="G876" i="12"/>
  <c r="G37" i="13"/>
  <c r="G953" i="13"/>
  <c r="G1590" i="12"/>
  <c r="G2139" i="13"/>
  <c r="G88" i="13"/>
  <c r="G914" i="13"/>
  <c r="G1999" i="13"/>
  <c r="G434" i="13"/>
  <c r="G1438" i="13"/>
  <c r="G480" i="13"/>
  <c r="G823" i="13"/>
  <c r="G2070" i="12"/>
  <c r="G2041" i="13"/>
  <c r="G739" i="12"/>
  <c r="G867" i="13"/>
  <c r="G1412" i="12"/>
  <c r="G1749" i="12"/>
  <c r="G894" i="12"/>
  <c r="G504" i="12"/>
  <c r="G1567" i="12"/>
  <c r="G1974" i="13"/>
  <c r="G2120" i="13"/>
  <c r="G1480" i="13"/>
  <c r="G1658" i="12"/>
  <c r="G949" i="12"/>
  <c r="G631" i="12"/>
  <c r="G971" i="12"/>
  <c r="G347" i="12"/>
  <c r="G1464" i="12"/>
  <c r="G1081" i="13"/>
  <c r="G1609" i="13"/>
  <c r="G1776" i="13"/>
  <c r="G47" i="13"/>
  <c r="G302" i="13"/>
  <c r="G1041" i="13"/>
  <c r="G1925" i="12"/>
  <c r="G1393" i="12"/>
  <c r="G1466" i="12"/>
  <c r="G1413" i="12"/>
  <c r="G416" i="13"/>
  <c r="G1891" i="12"/>
  <c r="G1856" i="12"/>
  <c r="G1779" i="13"/>
  <c r="G721" i="13"/>
  <c r="G1787" i="13"/>
  <c r="G965" i="12"/>
  <c r="G1267" i="12"/>
  <c r="G1972" i="12"/>
  <c r="G158" i="13"/>
  <c r="G236" i="12"/>
  <c r="G251" i="12"/>
  <c r="G2046" i="13"/>
  <c r="G197" i="12"/>
  <c r="G374" i="13"/>
  <c r="G1181" i="12"/>
  <c r="G783" i="13"/>
  <c r="G1847" i="12"/>
  <c r="G1992" i="12"/>
  <c r="G1700" i="13"/>
  <c r="G727" i="12"/>
  <c r="G882" i="13"/>
  <c r="G178" i="12"/>
  <c r="G1842" i="12"/>
  <c r="G1182" i="12"/>
  <c r="G839" i="13"/>
  <c r="G861" i="13"/>
  <c r="G52" i="13"/>
  <c r="G1768" i="13"/>
  <c r="G885" i="13"/>
  <c r="G2115" i="13"/>
  <c r="G470" i="12"/>
  <c r="G995" i="12"/>
  <c r="G1696" i="13"/>
  <c r="G1179" i="13"/>
  <c r="G278" i="13"/>
  <c r="G455" i="13"/>
  <c r="G1980" i="12"/>
  <c r="G1419" i="12"/>
  <c r="G463" i="13"/>
  <c r="G456" i="12"/>
  <c r="G1216" i="13"/>
  <c r="G199" i="13"/>
  <c r="G897" i="12"/>
  <c r="G1841" i="12"/>
  <c r="G1760" i="12"/>
  <c r="G459" i="12"/>
  <c r="G547" i="13"/>
  <c r="G944" i="12"/>
  <c r="G1759" i="13"/>
  <c r="G1720" i="13"/>
  <c r="G1775" i="13"/>
  <c r="G1727" i="13"/>
  <c r="G1959" i="12"/>
  <c r="G281" i="13"/>
  <c r="G598" i="13"/>
  <c r="G2133" i="13"/>
  <c r="G1682" i="12"/>
  <c r="G1346" i="12"/>
  <c r="G995" i="13"/>
  <c r="G1871" i="12"/>
  <c r="G213" i="13"/>
  <c r="G1906" i="12"/>
  <c r="G757" i="12"/>
  <c r="G440" i="12"/>
  <c r="G1165" i="12"/>
  <c r="G996" i="12"/>
  <c r="G2025" i="13"/>
  <c r="G921" i="13"/>
  <c r="G35" i="12"/>
  <c r="G1073" i="13"/>
  <c r="G1699" i="12"/>
  <c r="G2028" i="12"/>
  <c r="G1229" i="12"/>
  <c r="G478" i="12"/>
  <c r="G139" i="13"/>
  <c r="G1489" i="13"/>
  <c r="G1771" i="12"/>
  <c r="G1957" i="12"/>
  <c r="G1412" i="13"/>
  <c r="G2101" i="13"/>
  <c r="G1160" i="12"/>
  <c r="G1549" i="12"/>
  <c r="G1297" i="13"/>
  <c r="G1901" i="13"/>
  <c r="G1673" i="13"/>
  <c r="G1227" i="12"/>
  <c r="G1212" i="13"/>
  <c r="G1936" i="13"/>
  <c r="G1244" i="12"/>
  <c r="G563" i="13"/>
  <c r="G1688" i="12"/>
  <c r="G1718" i="12"/>
  <c r="G1201" i="12"/>
  <c r="G1005" i="12"/>
  <c r="G1251" i="13"/>
  <c r="G598" i="12"/>
  <c r="G1802" i="13"/>
  <c r="G1442" i="13"/>
  <c r="G1809" i="12"/>
  <c r="G802" i="13"/>
  <c r="G1376" i="13"/>
  <c r="G205" i="13"/>
  <c r="G1682" i="13"/>
  <c r="G1402" i="13"/>
  <c r="G296" i="12"/>
  <c r="G1049" i="12"/>
  <c r="G2141" i="13"/>
  <c r="G1681" i="13"/>
  <c r="G1876" i="12"/>
  <c r="G840" i="12"/>
  <c r="G831" i="13"/>
  <c r="G883" i="13"/>
  <c r="G1580" i="12"/>
  <c r="G487" i="13"/>
  <c r="G188" i="12"/>
  <c r="G472" i="13"/>
  <c r="G1653" i="12"/>
  <c r="G152" i="13"/>
  <c r="G1357" i="12"/>
  <c r="G2077" i="12"/>
  <c r="G343" i="13"/>
  <c r="G398" i="12"/>
  <c r="G1430" i="12"/>
  <c r="G1832" i="13"/>
  <c r="G538" i="12"/>
  <c r="G772" i="12"/>
  <c r="G127" i="12"/>
  <c r="G379" i="12"/>
  <c r="G1087" i="12"/>
  <c r="G509" i="12"/>
  <c r="G1499" i="13"/>
  <c r="G1130" i="13"/>
  <c r="G1158" i="12"/>
  <c r="G1281" i="13"/>
  <c r="G1986" i="13"/>
  <c r="G894" i="13"/>
  <c r="G1797" i="13"/>
  <c r="G1613" i="12"/>
  <c r="G1301" i="12"/>
  <c r="G1447" i="12"/>
  <c r="G652" i="12"/>
  <c r="G1435" i="12"/>
  <c r="G1530" i="12"/>
  <c r="G1195" i="13"/>
  <c r="G835" i="13"/>
  <c r="G1202" i="12"/>
  <c r="G1911" i="12"/>
  <c r="G618" i="12"/>
  <c r="G168" i="13"/>
  <c r="G806" i="12"/>
  <c r="G415" i="12"/>
  <c r="G608" i="12"/>
  <c r="G678" i="12"/>
  <c r="G558" i="13"/>
  <c r="G1558" i="12"/>
  <c r="G847" i="13"/>
  <c r="G1354" i="12"/>
  <c r="G239" i="12"/>
  <c r="G1828" i="12"/>
  <c r="G1785" i="12"/>
  <c r="G1132" i="12"/>
  <c r="G528" i="12"/>
  <c r="G33" i="12"/>
  <c r="G860" i="12"/>
  <c r="G1520" i="12"/>
  <c r="G2066" i="12"/>
  <c r="G342" i="12"/>
  <c r="G1735" i="13"/>
  <c r="G2013" i="13"/>
  <c r="G1854" i="12"/>
  <c r="G728" i="12"/>
  <c r="G298" i="13"/>
  <c r="G1718" i="13"/>
  <c r="G1660" i="12"/>
  <c r="G293" i="13"/>
  <c r="G583" i="13"/>
  <c r="G1841" i="13"/>
  <c r="G1924" i="13"/>
  <c r="G1100" i="12"/>
  <c r="G436" i="13"/>
  <c r="G1253" i="12"/>
  <c r="G2015" i="13"/>
  <c r="G1877" i="13"/>
  <c r="G1741" i="12"/>
  <c r="G574" i="13"/>
  <c r="G1947" i="12"/>
  <c r="G784" i="12"/>
  <c r="G863" i="12"/>
  <c r="G330" i="12"/>
  <c r="G2103" i="13"/>
  <c r="G37" i="12"/>
  <c r="G346" i="13"/>
  <c r="G1238" i="13"/>
  <c r="G1991" i="12"/>
  <c r="G1525" i="13"/>
  <c r="G130" i="13"/>
  <c r="G1400" i="12"/>
  <c r="G2081" i="13"/>
  <c r="G2134" i="13"/>
  <c r="G1847" i="13"/>
  <c r="G1821" i="13"/>
  <c r="G1518" i="13"/>
  <c r="G798" i="13"/>
  <c r="G98" i="13"/>
  <c r="G1816" i="12"/>
  <c r="G399" i="12"/>
  <c r="G734" i="13"/>
  <c r="G1245" i="13"/>
  <c r="G1968" i="12"/>
  <c r="G1051" i="12"/>
  <c r="G629" i="13"/>
  <c r="G736" i="13"/>
  <c r="G1937" i="12"/>
  <c r="G212" i="12"/>
  <c r="G1153" i="12"/>
  <c r="G2020" i="13"/>
  <c r="G1724" i="12"/>
  <c r="G1802" i="12"/>
  <c r="G404" i="12"/>
  <c r="G940" i="12"/>
  <c r="G444" i="13"/>
  <c r="G1262" i="12"/>
  <c r="G2067" i="13"/>
  <c r="G1880" i="12"/>
  <c r="G998" i="13"/>
  <c r="G650" i="13"/>
  <c r="G2095" i="12"/>
  <c r="G664" i="12"/>
  <c r="G752" i="12"/>
  <c r="G1120" i="12"/>
  <c r="G1514" i="12"/>
  <c r="G2027" i="13"/>
  <c r="G1462" i="13"/>
  <c r="G1563" i="12"/>
  <c r="G1726" i="12"/>
  <c r="G1938" i="13"/>
  <c r="G2080" i="13"/>
  <c r="G1052" i="12"/>
  <c r="G1791" i="13"/>
  <c r="G1801" i="12"/>
  <c r="G1709" i="12"/>
  <c r="G1220" i="13"/>
  <c r="G2061" i="13"/>
  <c r="G1900" i="12"/>
  <c r="G1048" i="12"/>
  <c r="G1138" i="13"/>
  <c r="G1939" i="13"/>
  <c r="G1398" i="13"/>
  <c r="G1998" i="13"/>
  <c r="G1897" i="13"/>
  <c r="G1175" i="12"/>
  <c r="G1214" i="13"/>
  <c r="G1907" i="13"/>
  <c r="G240" i="12"/>
  <c r="G714" i="12"/>
  <c r="G834" i="12"/>
  <c r="G242" i="12"/>
  <c r="G979" i="13"/>
  <c r="G1715" i="12"/>
  <c r="G303" i="13"/>
  <c r="G739" i="13"/>
  <c r="G1218" i="12"/>
  <c r="G870" i="13"/>
  <c r="G933" i="13"/>
  <c r="G925" i="12"/>
  <c r="G140" i="12"/>
  <c r="G1286" i="13"/>
  <c r="G576" i="13"/>
  <c r="G1707" i="13"/>
  <c r="G911" i="12"/>
  <c r="G750" i="12"/>
  <c r="G1709" i="13"/>
  <c r="G1872" i="13"/>
  <c r="G1104" i="12"/>
  <c r="G856" i="12"/>
  <c r="G1455" i="12"/>
  <c r="G2106" i="12"/>
  <c r="G1956" i="12"/>
  <c r="G1103" i="12"/>
  <c r="G1915" i="12"/>
  <c r="G539" i="12"/>
  <c r="G1409" i="12"/>
  <c r="G1777" i="12"/>
  <c r="G1729" i="12"/>
  <c r="G2033" i="13"/>
  <c r="G810" i="12"/>
  <c r="G112" i="12"/>
  <c r="G734" i="12"/>
  <c r="G1370" i="12"/>
  <c r="G948" i="12"/>
  <c r="G1627" i="12"/>
  <c r="G2076" i="13"/>
  <c r="G2139" i="12"/>
  <c r="G524" i="13"/>
  <c r="G2085" i="13"/>
  <c r="G1550" i="13"/>
  <c r="G1035" i="13"/>
  <c r="G1979" i="13"/>
  <c r="G409" i="12"/>
  <c r="G1191" i="12"/>
  <c r="G527" i="13"/>
  <c r="G1926" i="12"/>
  <c r="G659" i="12"/>
  <c r="G844" i="12"/>
  <c r="G1467" i="12"/>
  <c r="G192" i="12"/>
  <c r="G695" i="12"/>
  <c r="G1620" i="12"/>
  <c r="G2088" i="13"/>
  <c r="G113" i="13"/>
  <c r="G546" i="12"/>
  <c r="G558" i="12"/>
  <c r="G1646" i="13"/>
  <c r="G1428" i="13"/>
  <c r="G1981" i="13"/>
  <c r="G1830" i="12"/>
  <c r="G1820" i="13"/>
  <c r="G257" i="13"/>
  <c r="G957" i="13"/>
  <c r="G358" i="13"/>
  <c r="G813" i="12"/>
  <c r="G723" i="13"/>
  <c r="G697" i="13"/>
  <c r="G1811" i="12"/>
  <c r="G1622" i="13"/>
  <c r="G1815" i="13"/>
  <c r="G681" i="12"/>
  <c r="G297" i="12"/>
  <c r="G516" i="13"/>
  <c r="G851" i="12"/>
  <c r="G842" i="12"/>
  <c r="G1291" i="12"/>
  <c r="G1051" i="13"/>
  <c r="G31" i="13"/>
  <c r="G1964" i="13"/>
  <c r="G880" i="12"/>
  <c r="G1490" i="13"/>
  <c r="G586" i="12"/>
  <c r="G285" i="12"/>
  <c r="G393" i="12"/>
  <c r="G1450" i="12"/>
  <c r="G1849" i="12"/>
  <c r="G1731" i="13"/>
  <c r="G572" i="13"/>
  <c r="G243" i="12"/>
  <c r="G629" i="12"/>
  <c r="G39" i="13"/>
  <c r="G1371" i="13"/>
  <c r="G1767" i="13"/>
  <c r="G1690" i="12"/>
  <c r="G1627" i="13"/>
  <c r="G1692" i="12"/>
  <c r="G1794" i="12"/>
  <c r="G1353" i="12"/>
  <c r="G265" i="13"/>
  <c r="G452" i="13"/>
  <c r="G683" i="13"/>
  <c r="G1462" i="12"/>
  <c r="G121" i="12"/>
  <c r="G407" i="13"/>
  <c r="G1773" i="13"/>
  <c r="G2004" i="13"/>
  <c r="G2023" i="12"/>
  <c r="G2129" i="13"/>
  <c r="G773" i="12"/>
  <c r="G967" i="13"/>
  <c r="G1320" i="13"/>
  <c r="G387" i="12"/>
  <c r="G147" i="12"/>
  <c r="G748" i="13"/>
  <c r="G1152" i="13"/>
  <c r="G386" i="13"/>
  <c r="G1752" i="13"/>
  <c r="G854" i="13"/>
  <c r="G1053" i="13"/>
  <c r="G918" i="12"/>
  <c r="G640" i="12"/>
  <c r="G1059" i="12"/>
  <c r="G669" i="13"/>
  <c r="G1836" i="12"/>
  <c r="G1055" i="13"/>
  <c r="G1992" i="13"/>
  <c r="G1007" i="12"/>
  <c r="G593" i="12"/>
  <c r="G690" i="12"/>
  <c r="G359" i="12"/>
  <c r="G1168" i="13"/>
  <c r="G1413" i="13"/>
  <c r="G983" i="12"/>
  <c r="G614" i="12"/>
  <c r="G219" i="12"/>
  <c r="G71" i="12"/>
  <c r="G475" i="12"/>
  <c r="G1399" i="12"/>
  <c r="G174" i="12"/>
  <c r="G125" i="12"/>
  <c r="G115" i="13"/>
  <c r="G735" i="13"/>
  <c r="G936" i="13"/>
  <c r="G2032" i="13"/>
  <c r="G634" i="13"/>
  <c r="G1574" i="12"/>
  <c r="G648" i="13"/>
  <c r="G446" i="13"/>
  <c r="G237" i="12"/>
  <c r="G1253" i="13"/>
  <c r="G401" i="12"/>
  <c r="G1543" i="13"/>
  <c r="G986" i="13"/>
  <c r="G886" i="12"/>
  <c r="G1266" i="13"/>
  <c r="G1548" i="12"/>
  <c r="G958" i="12"/>
  <c r="G1294" i="13"/>
  <c r="G494" i="13"/>
  <c r="G584" i="12"/>
  <c r="G1221" i="12"/>
  <c r="G546" i="13"/>
  <c r="G116" i="12"/>
  <c r="G657" i="12"/>
  <c r="G461" i="13"/>
  <c r="G864" i="13"/>
  <c r="G742" i="13"/>
  <c r="G463" i="12"/>
  <c r="G319" i="13"/>
  <c r="G983" i="13"/>
  <c r="G87" i="13"/>
  <c r="G391" i="13"/>
  <c r="G1619" i="12"/>
  <c r="G982" i="12"/>
  <c r="G203" i="12"/>
  <c r="G1499" i="12"/>
  <c r="G203" i="13"/>
  <c r="G479" i="13"/>
  <c r="G260" i="13"/>
  <c r="G1088" i="13"/>
  <c r="G85" i="13"/>
  <c r="G753" i="13"/>
  <c r="G1068" i="12"/>
  <c r="G305" i="12"/>
  <c r="G770" i="12"/>
  <c r="G829" i="12"/>
  <c r="G1403" i="12"/>
  <c r="G1581" i="13"/>
  <c r="G1739" i="12"/>
  <c r="G1596" i="12"/>
  <c r="G1042" i="13"/>
  <c r="G1719" i="13"/>
  <c r="G645" i="13"/>
  <c r="G578" i="13"/>
  <c r="G515" i="13"/>
  <c r="G1837" i="13"/>
  <c r="G706" i="13"/>
  <c r="G293" i="12"/>
  <c r="G1071" i="13"/>
  <c r="G1983" i="12"/>
  <c r="G1597" i="13"/>
  <c r="G801" i="13"/>
  <c r="G137" i="12"/>
  <c r="G360" i="12"/>
  <c r="G2024" i="12"/>
  <c r="G725" i="12"/>
  <c r="G1711" i="13"/>
  <c r="G1684" i="13"/>
  <c r="G1877" i="12"/>
  <c r="G1300" i="13"/>
  <c r="G912" i="12"/>
  <c r="G759" i="12"/>
  <c r="G479" i="12"/>
  <c r="G2098" i="13"/>
  <c r="G838" i="12"/>
  <c r="G952" i="12"/>
  <c r="G1539" i="13"/>
  <c r="G1866" i="12"/>
  <c r="G1014" i="13"/>
  <c r="G694" i="12"/>
  <c r="G951" i="12"/>
  <c r="G255" i="13"/>
  <c r="G1374" i="13"/>
  <c r="G1697" i="13"/>
  <c r="G2031" i="13"/>
  <c r="G927" i="12"/>
  <c r="G665" i="13"/>
  <c r="G1313" i="12"/>
  <c r="G1649" i="12"/>
  <c r="G930" i="13"/>
  <c r="G761" i="13"/>
  <c r="G2011" i="12"/>
  <c r="G1844" i="12"/>
  <c r="G1975" i="13"/>
  <c r="G357" i="13"/>
  <c r="G964" i="12"/>
  <c r="G299" i="12"/>
  <c r="G1953" i="13"/>
  <c r="G1665" i="13"/>
  <c r="G1353" i="13"/>
  <c r="G751" i="13"/>
  <c r="G1374" i="12"/>
  <c r="G1428" i="12"/>
  <c r="G521" i="12"/>
  <c r="G1707" i="12"/>
  <c r="G1241" i="13"/>
  <c r="G1449" i="12"/>
  <c r="G1904" i="13"/>
  <c r="G959" i="13"/>
  <c r="G719" i="13"/>
  <c r="G1776" i="12"/>
  <c r="G1174" i="13"/>
  <c r="G323" i="12"/>
  <c r="G582" i="13"/>
  <c r="G1930" i="12"/>
  <c r="G1960" i="12"/>
  <c r="G189" i="12"/>
  <c r="G447" i="13"/>
  <c r="G1798" i="13"/>
  <c r="G2055" i="13"/>
  <c r="G1430" i="13"/>
  <c r="G774" i="12"/>
  <c r="G1215" i="12"/>
  <c r="G1691" i="12"/>
  <c r="G1881" i="12"/>
  <c r="G2058" i="12"/>
  <c r="G802" i="12"/>
  <c r="G1663" i="12"/>
  <c r="G498" i="12"/>
  <c r="G1314" i="13"/>
  <c r="G1068" i="13"/>
  <c r="G1672" i="12"/>
  <c r="G1955" i="13"/>
  <c r="G1596" i="13"/>
  <c r="G1774" i="12"/>
  <c r="G318" i="12"/>
  <c r="G1951" i="12"/>
  <c r="G850" i="12"/>
  <c r="G425" i="12"/>
  <c r="G1163" i="13"/>
  <c r="G1504" i="12"/>
  <c r="G867" i="12"/>
  <c r="G237" i="13"/>
  <c r="G2116" i="13"/>
  <c r="G1979" i="12"/>
  <c r="G787" i="12"/>
  <c r="G1644" i="13"/>
  <c r="G823" i="12"/>
  <c r="G2031" i="12"/>
  <c r="G1760" i="13"/>
  <c r="G992" i="13"/>
  <c r="G778" i="12"/>
  <c r="G702" i="12"/>
  <c r="G1942" i="13"/>
  <c r="G1772" i="12"/>
  <c r="G924" i="13"/>
  <c r="G2000" i="12"/>
  <c r="G2112" i="12"/>
  <c r="G334" i="12"/>
  <c r="G320" i="12"/>
  <c r="G1950" i="12"/>
  <c r="G2081" i="12"/>
  <c r="G1548" i="13"/>
  <c r="G108" i="13"/>
  <c r="G1686" i="13"/>
  <c r="G311" i="12"/>
  <c r="G1396" i="12"/>
  <c r="G274" i="13"/>
  <c r="G1928" i="13"/>
  <c r="G1496" i="13"/>
  <c r="G757" i="13"/>
  <c r="G217" i="13"/>
  <c r="G915" i="13"/>
  <c r="G960" i="13"/>
  <c r="G1953" i="12"/>
  <c r="G64" i="12"/>
  <c r="G148" i="12"/>
  <c r="G1383" i="12"/>
  <c r="G1770" i="13"/>
  <c r="G1954" i="13"/>
  <c r="G1023" i="13"/>
  <c r="G1109" i="12"/>
  <c r="G1456" i="12"/>
  <c r="G1799" i="13"/>
  <c r="G1762" i="12"/>
  <c r="G2071" i="12"/>
  <c r="G1931" i="13"/>
  <c r="G1907" i="12"/>
  <c r="G1264" i="12"/>
  <c r="G1008" i="12"/>
  <c r="G1725" i="12"/>
  <c r="G1947" i="13"/>
  <c r="G1881" i="13"/>
  <c r="G2001" i="13"/>
  <c r="G355" i="13"/>
  <c r="G1674" i="13"/>
  <c r="G733" i="13"/>
  <c r="G1622" i="12"/>
  <c r="G943" i="12"/>
  <c r="G905" i="12"/>
  <c r="G1585" i="12"/>
  <c r="G338" i="13"/>
  <c r="G2005" i="12"/>
  <c r="G840" i="13"/>
  <c r="G245" i="13"/>
  <c r="G1839" i="12"/>
  <c r="G1971" i="13"/>
  <c r="G502" i="13"/>
  <c r="G910" i="13"/>
  <c r="G1265" i="12"/>
  <c r="G1736" i="12"/>
  <c r="G1861" i="12"/>
  <c r="G328" i="13"/>
  <c r="G1763" i="13"/>
  <c r="G764" i="12"/>
  <c r="G672" i="12"/>
  <c r="G1436" i="12"/>
  <c r="G1912" i="13"/>
  <c r="G1687" i="13"/>
  <c r="G88" i="12"/>
  <c r="G799" i="12"/>
  <c r="G309" i="13"/>
  <c r="G1033" i="12"/>
  <c r="G1783" i="12"/>
  <c r="G1260" i="13"/>
  <c r="G1710" i="12"/>
  <c r="G916" i="13"/>
  <c r="G1326" i="13"/>
  <c r="G1142" i="13"/>
  <c r="G580" i="13"/>
  <c r="G292" i="12"/>
  <c r="G1093" i="12"/>
  <c r="G553" i="13"/>
  <c r="G1329" i="13"/>
  <c r="G1887" i="12"/>
  <c r="G1852" i="13"/>
  <c r="G1933" i="12"/>
  <c r="G861" i="12"/>
  <c r="G59" i="13"/>
  <c r="G1782" i="12"/>
  <c r="G788" i="12"/>
  <c r="G708" i="12"/>
  <c r="G485" i="12"/>
  <c r="G1933" i="13"/>
  <c r="G481" i="12"/>
  <c r="G689" i="12"/>
  <c r="G1130" i="12"/>
  <c r="G1346" i="13"/>
  <c r="G527" i="12"/>
  <c r="G1102" i="12"/>
  <c r="G1043" i="13"/>
  <c r="G1541" i="12"/>
  <c r="G1737" i="13"/>
  <c r="G1435" i="13"/>
  <c r="G1427" i="13"/>
  <c r="G338" i="12"/>
  <c r="G438" i="13"/>
  <c r="G1481" i="12"/>
  <c r="G1135" i="12"/>
  <c r="G1565" i="13"/>
  <c r="G1913" i="13"/>
  <c r="G1819" i="12"/>
  <c r="G1432" i="12"/>
  <c r="G1578" i="13"/>
  <c r="G448" i="12"/>
  <c r="G521" i="13"/>
  <c r="G2009" i="12"/>
  <c r="G1571" i="12"/>
  <c r="G606" i="13"/>
  <c r="G1537" i="12"/>
  <c r="G2042" i="13"/>
  <c r="G372" i="13"/>
  <c r="G1726" i="13"/>
  <c r="G2054" i="12"/>
  <c r="G2034" i="12"/>
  <c r="G1599" i="13"/>
  <c r="G1101" i="13"/>
  <c r="G2038" i="12"/>
  <c r="G791" i="12"/>
  <c r="G879" i="12"/>
  <c r="G796" i="12"/>
  <c r="G1007" i="13"/>
  <c r="G1717" i="12"/>
  <c r="G798" i="12"/>
  <c r="G781" i="12"/>
  <c r="G535" i="12"/>
  <c r="G1614" i="13"/>
  <c r="G769" i="13"/>
  <c r="G1466" i="13"/>
  <c r="G1902" i="12"/>
  <c r="G685" i="12"/>
  <c r="G1837" i="12"/>
  <c r="G737" i="12"/>
  <c r="G2039" i="12"/>
  <c r="G1332" i="12"/>
  <c r="G1090" i="12"/>
  <c r="G1625" i="13"/>
  <c r="G1110" i="12"/>
  <c r="G248" i="13"/>
  <c r="G603" i="13"/>
  <c r="G214" i="13"/>
  <c r="G1629" i="12"/>
  <c r="G1115" i="13"/>
  <c r="G1321" i="12"/>
  <c r="G541" i="12"/>
  <c r="G2034" i="13"/>
  <c r="G1323" i="13"/>
  <c r="G1192" i="12"/>
  <c r="G710" i="12"/>
  <c r="G1826" i="12"/>
  <c r="G967" i="12"/>
  <c r="G1010" i="13"/>
  <c r="G145" i="12"/>
  <c r="G1748" i="12"/>
  <c r="G822" i="13"/>
  <c r="G364" i="12"/>
  <c r="G1380" i="13"/>
  <c r="G857" i="12"/>
  <c r="G1512" i="13"/>
  <c r="G1875" i="13"/>
  <c r="G1587" i="13"/>
  <c r="G1584" i="12"/>
  <c r="G84" i="12"/>
  <c r="G1448" i="12"/>
  <c r="G106" i="12"/>
  <c r="G641" i="12"/>
  <c r="G929" i="13"/>
  <c r="G1586" i="12"/>
  <c r="G1626" i="13"/>
  <c r="G97" i="13"/>
  <c r="G318" i="13"/>
  <c r="G1240" i="13"/>
  <c r="G1927" i="12"/>
  <c r="G34" i="12"/>
  <c r="G1378" i="13"/>
  <c r="G74" i="13"/>
  <c r="G1829" i="12"/>
  <c r="G1276" i="13"/>
  <c r="G922" i="13"/>
  <c r="G1024" i="12"/>
  <c r="G1266" i="12"/>
  <c r="G195" i="13"/>
  <c r="G2118" i="12"/>
  <c r="G1431" i="12"/>
  <c r="G850" i="13"/>
  <c r="G1620" i="13"/>
  <c r="G978" i="13"/>
  <c r="G1414" i="13"/>
  <c r="G1193" i="13"/>
  <c r="G1298" i="13"/>
  <c r="G308" i="13"/>
  <c r="G114" i="12"/>
  <c r="G1176" i="13"/>
  <c r="G1699" i="13"/>
  <c r="G913" i="12"/>
  <c r="G118" i="13"/>
  <c r="G2099" i="13"/>
  <c r="G1764" i="13"/>
  <c r="G1823" i="13"/>
  <c r="G1164" i="13"/>
  <c r="G2074" i="13"/>
  <c r="G1050" i="12"/>
  <c r="G718" i="12"/>
  <c r="G389" i="13"/>
  <c r="G567" i="12"/>
  <c r="G862" i="12"/>
  <c r="G1421" i="13"/>
  <c r="G450" i="13"/>
  <c r="G2089" i="12"/>
  <c r="G376" i="13"/>
  <c r="G1487" i="13"/>
  <c r="G1559" i="12"/>
  <c r="G1893" i="12"/>
  <c r="G1209" i="13"/>
  <c r="G1004" i="12"/>
  <c r="G320" i="13"/>
  <c r="G1870" i="13"/>
  <c r="G1459" i="12"/>
  <c r="G589" i="13"/>
  <c r="G2037" i="13"/>
  <c r="G1084" i="12"/>
  <c r="G136" i="12"/>
  <c r="G2079" i="12"/>
  <c r="G720" i="12"/>
  <c r="G416" i="12"/>
  <c r="G1056" i="12"/>
  <c r="G2135" i="13"/>
  <c r="G1813" i="13"/>
  <c r="G592" i="12"/>
  <c r="G302" i="12"/>
  <c r="G1720" i="12"/>
  <c r="G1603" i="12"/>
  <c r="G392" i="13"/>
  <c r="G1857" i="13"/>
  <c r="G2056" i="12"/>
  <c r="G1781" i="13"/>
  <c r="G1010" i="12"/>
  <c r="G252" i="13"/>
  <c r="G990" i="12"/>
  <c r="G1533" i="13"/>
  <c r="G1870" i="12"/>
  <c r="G1784" i="12"/>
  <c r="G2018" i="12"/>
  <c r="G435" i="13"/>
  <c r="G1557" i="12"/>
  <c r="G1568" i="12"/>
  <c r="G1167" i="13"/>
  <c r="G345" i="12"/>
  <c r="G812" i="13"/>
  <c r="G387" i="13"/>
  <c r="G2074" i="12"/>
  <c r="G1065" i="12"/>
  <c r="G344" i="12"/>
  <c r="G419" i="12"/>
  <c r="G1257" i="13"/>
  <c r="G1221" i="13"/>
  <c r="G1902" i="13"/>
  <c r="G1437" i="12"/>
  <c r="G896" i="13"/>
  <c r="G1934" i="12"/>
  <c r="G2085" i="12"/>
  <c r="G322" i="13"/>
  <c r="G904" i="13"/>
  <c r="G364" i="13"/>
  <c r="G2057" i="12"/>
  <c r="G1844" i="13"/>
  <c r="G1945" i="12"/>
  <c r="G1512" i="12"/>
  <c r="G1838" i="13"/>
  <c r="G535" i="13"/>
  <c r="G395" i="12"/>
  <c r="G1333" i="13"/>
  <c r="G1178" i="12"/>
  <c r="G244" i="12"/>
  <c r="G1497" i="13"/>
  <c r="G1909" i="12"/>
  <c r="G1734" i="12"/>
  <c r="G2084" i="13"/>
  <c r="G1446" i="12"/>
  <c r="G1254" i="12"/>
  <c r="G1217" i="12"/>
  <c r="G1071" i="12"/>
  <c r="G2096" i="13"/>
  <c r="G1607" i="12"/>
  <c r="G1931" i="12"/>
  <c r="G622" i="13"/>
  <c r="G1982" i="12"/>
  <c r="G833" i="12"/>
  <c r="G1513" i="13"/>
  <c r="G1995" i="12"/>
  <c r="G138" i="12"/>
  <c r="G898" i="12"/>
  <c r="G851" i="13"/>
  <c r="G1751" i="12"/>
  <c r="G600" i="12"/>
  <c r="G884" i="12"/>
  <c r="G1025" i="12"/>
  <c r="G91" i="12"/>
  <c r="G1145" i="13"/>
  <c r="G2067" i="12"/>
  <c r="G2124" i="12"/>
  <c r="G532" i="12"/>
  <c r="G300" i="12"/>
  <c r="G121" i="13"/>
  <c r="G1927" i="13"/>
  <c r="G105" i="12"/>
  <c r="G1161" i="12"/>
  <c r="G2087" i="13"/>
  <c r="G1976" i="13"/>
  <c r="G2058" i="13"/>
  <c r="G1072" i="12"/>
  <c r="G1175" i="13"/>
  <c r="G837" i="12"/>
  <c r="G1283" i="13"/>
  <c r="G941" i="13"/>
  <c r="G937" i="13"/>
  <c r="G1194" i="13"/>
  <c r="G1269" i="12"/>
  <c r="G1910" i="12"/>
  <c r="G1666" i="13"/>
  <c r="G310" i="12"/>
  <c r="G1021" i="12"/>
  <c r="G1440" i="12"/>
  <c r="G614" i="13"/>
  <c r="G792" i="12"/>
  <c r="G1379" i="13"/>
  <c r="G768" i="13"/>
  <c r="G1529" i="12"/>
  <c r="G1350" i="12"/>
  <c r="G1039" i="12"/>
  <c r="G630" i="12"/>
  <c r="G236" i="13"/>
  <c r="G640" i="13"/>
  <c r="G243" i="13"/>
  <c r="G626" i="13"/>
  <c r="G1171" i="13"/>
  <c r="G1964" i="12"/>
  <c r="G317" i="13"/>
  <c r="G610" i="12"/>
  <c r="G585" i="12"/>
  <c r="G460" i="13"/>
  <c r="G1392" i="13"/>
  <c r="G147" i="13"/>
  <c r="G2009" i="13"/>
  <c r="G1741" i="13"/>
  <c r="G2013" i="12"/>
  <c r="G1529" i="13"/>
  <c r="G2037" i="12"/>
  <c r="G673" i="12"/>
  <c r="G46" i="13"/>
  <c r="G1009" i="12"/>
  <c r="G1425" i="12"/>
  <c r="G1551" i="12"/>
  <c r="G1693" i="13"/>
  <c r="G856" i="13"/>
  <c r="G703" i="13"/>
  <c r="G876" i="13"/>
  <c r="G1862" i="13"/>
  <c r="G1811" i="13"/>
  <c r="G924" i="12"/>
  <c r="G1502" i="12"/>
  <c r="G1181" i="13"/>
  <c r="G1601" i="13"/>
  <c r="G2125" i="13"/>
  <c r="G1768" i="12"/>
  <c r="G2006" i="13"/>
  <c r="G1755" i="13"/>
  <c r="G414" i="13"/>
  <c r="G654" i="13"/>
  <c r="G1415" i="13"/>
  <c r="G1889" i="13"/>
  <c r="G1601" i="12"/>
  <c r="G1679" i="13"/>
  <c r="G2023" i="13"/>
  <c r="G1848" i="12"/>
  <c r="G228" i="12"/>
  <c r="G882" i="12"/>
  <c r="G1640" i="12"/>
  <c r="G1234" i="12"/>
  <c r="G361" i="13"/>
  <c r="G597" i="13"/>
  <c r="G1526" i="13"/>
  <c r="G116" i="13"/>
  <c r="G110" i="13"/>
  <c r="G1938" i="12"/>
  <c r="G274" i="12"/>
  <c r="G1271" i="12"/>
  <c r="G354" i="12"/>
  <c r="G1006" i="13"/>
  <c r="G1742" i="12"/>
  <c r="G2057" i="13"/>
  <c r="G247" i="13"/>
  <c r="G1626" i="12"/>
  <c r="G2102" i="13"/>
  <c r="G1507" i="13"/>
  <c r="G305" i="13"/>
  <c r="G1705" i="13"/>
  <c r="G169" i="12"/>
  <c r="G1664" i="13"/>
  <c r="G2077" i="13"/>
  <c r="G1880" i="13"/>
  <c r="G1219" i="12"/>
  <c r="G2080" i="12"/>
  <c r="G662" i="12"/>
  <c r="G766" i="12"/>
  <c r="G1405" i="12"/>
  <c r="G151" i="12"/>
  <c r="G1970" i="12"/>
  <c r="G1318" i="13"/>
  <c r="G1788" i="12"/>
  <c r="G669" i="12"/>
  <c r="G797" i="12"/>
  <c r="G1249" i="12"/>
  <c r="G865" i="12"/>
  <c r="G632" i="12"/>
  <c r="G549" i="13"/>
  <c r="G106" i="13"/>
  <c r="G1452" i="13"/>
  <c r="G1468" i="13"/>
  <c r="G1295" i="12"/>
  <c r="G1589" i="13"/>
  <c r="G1652" i="13"/>
  <c r="G647" i="13"/>
  <c r="G209" i="13"/>
  <c r="G2044" i="12"/>
  <c r="G1278" i="13"/>
  <c r="G228" i="13"/>
  <c r="G359" i="13"/>
  <c r="G709" i="12"/>
  <c r="G1854" i="13"/>
  <c r="G2026" i="12"/>
  <c r="G185" i="12"/>
  <c r="G1476" i="13"/>
  <c r="G1695" i="12"/>
  <c r="G609" i="12"/>
  <c r="G1941" i="13"/>
  <c r="G1205" i="12"/>
  <c r="G1095" i="13"/>
  <c r="G1818" i="12"/>
  <c r="G2050" i="12"/>
  <c r="G1712" i="13"/>
  <c r="G1536" i="13"/>
  <c r="G1703" i="13"/>
  <c r="G821" i="13"/>
  <c r="G117" i="13"/>
  <c r="G881" i="13"/>
  <c r="G426" i="13"/>
  <c r="G2125" i="12"/>
  <c r="G1593" i="12"/>
  <c r="G2018" i="13"/>
  <c r="G2047" i="13"/>
  <c r="G1116" i="13"/>
  <c r="G109" i="12"/>
  <c r="G110" i="12"/>
  <c r="G1187" i="13"/>
  <c r="G353" i="13"/>
  <c r="G91" i="13"/>
  <c r="G396" i="12"/>
  <c r="G481" i="13"/>
  <c r="G493" i="12"/>
  <c r="G1268" i="13"/>
  <c r="G1070" i="12"/>
  <c r="G1249" i="13"/>
  <c r="G1359" i="12"/>
  <c r="G711" i="12"/>
  <c r="G1577" i="12"/>
  <c r="G1231" i="13"/>
  <c r="G701" i="13"/>
  <c r="G510" i="12"/>
  <c r="G1237" i="12"/>
  <c r="G1106" i="13"/>
  <c r="G722" i="12"/>
  <c r="G271" i="13"/>
  <c r="G321" i="12"/>
  <c r="G50" i="13"/>
  <c r="G688" i="13"/>
  <c r="G68" i="13"/>
  <c r="G997" i="13"/>
  <c r="G796" i="13"/>
  <c r="G1075" i="13"/>
  <c r="G1808" i="12"/>
  <c r="G1689" i="13"/>
  <c r="G313" i="12"/>
  <c r="G664" i="13"/>
  <c r="G1394" i="12"/>
  <c r="G2129" i="12"/>
  <c r="G336" i="12"/>
  <c r="G1527" i="12"/>
  <c r="G1009" i="13"/>
  <c r="G1063" i="13"/>
  <c r="G1403" i="13"/>
  <c r="G717" i="13"/>
  <c r="G1640" i="13"/>
  <c r="G1456" i="13"/>
  <c r="G69" i="13"/>
  <c r="G778" i="13"/>
  <c r="G1990" i="12"/>
  <c r="G1060" i="13"/>
  <c r="G1391" i="13"/>
  <c r="G1544" i="13"/>
  <c r="G337" i="12"/>
  <c r="G271" i="12"/>
  <c r="G1095" i="12"/>
  <c r="G332" i="13"/>
  <c r="G76" i="13"/>
  <c r="G1604" i="13"/>
  <c r="G1459" i="13"/>
  <c r="G1484" i="13"/>
  <c r="G1635" i="13"/>
  <c r="G1037" i="13"/>
  <c r="G1034" i="13"/>
  <c r="G366" i="12"/>
  <c r="G1113" i="12"/>
  <c r="G522" i="12"/>
  <c r="G135" i="13"/>
  <c r="G703" i="12"/>
  <c r="G794" i="12"/>
  <c r="G1570" i="12"/>
  <c r="G95" i="12"/>
  <c r="G388" i="13"/>
  <c r="G1014" i="12"/>
  <c r="G300" i="13"/>
  <c r="G567" i="13"/>
  <c r="G1062" i="12"/>
  <c r="G729" i="12"/>
  <c r="G1522" i="12"/>
  <c r="G1427" i="12"/>
  <c r="G2142" i="12"/>
  <c r="G1355" i="12"/>
  <c r="G895" i="13"/>
  <c r="G134" i="13"/>
  <c r="G794" i="13"/>
  <c r="G1539" i="12"/>
  <c r="G1738" i="12"/>
  <c r="G200" i="13"/>
  <c r="G795" i="13"/>
  <c r="G1975" i="12"/>
  <c r="G1796" i="13"/>
  <c r="G765" i="13"/>
  <c r="G887" i="12"/>
  <c r="G1270" i="12"/>
  <c r="G1781" i="12"/>
  <c r="G1860" i="13"/>
  <c r="G1769" i="13"/>
  <c r="G1736" i="13"/>
  <c r="G1016" i="13"/>
  <c r="G968" i="12"/>
  <c r="G453" i="12"/>
  <c r="G1460" i="12"/>
  <c r="G1823" i="12"/>
  <c r="G2141" i="12"/>
  <c r="G373" i="13"/>
  <c r="G449" i="13"/>
  <c r="G1863" i="13"/>
  <c r="G551" i="13"/>
  <c r="G394" i="12"/>
  <c r="G1373" i="13"/>
  <c r="G1981" i="12"/>
  <c r="G289" i="13"/>
  <c r="G1426" i="13"/>
  <c r="G1966" i="12"/>
  <c r="G66" i="12"/>
  <c r="G1861" i="13"/>
  <c r="G196" i="12"/>
  <c r="G1397" i="12"/>
  <c r="G1750" i="13"/>
  <c r="G2042" i="12"/>
  <c r="G1497" i="12"/>
  <c r="G1619" i="13"/>
  <c r="G601" i="13"/>
  <c r="G1862" i="12"/>
  <c r="G1141" i="12"/>
  <c r="G670" i="13"/>
  <c r="G752" i="13"/>
  <c r="G1264" i="13"/>
  <c r="G1918" i="12"/>
  <c r="G1198" i="13"/>
  <c r="G615" i="13"/>
  <c r="G860" i="13"/>
  <c r="G1581" i="12"/>
  <c r="G1232" i="12"/>
  <c r="G1061" i="12"/>
  <c r="G96" i="12"/>
  <c r="G1585" i="13"/>
  <c r="G361" i="12"/>
  <c r="G1419" i="13"/>
  <c r="G1713" i="12"/>
  <c r="G248" i="12"/>
  <c r="G454" i="12"/>
  <c r="G490" i="12"/>
  <c r="G1476" i="12"/>
  <c r="G234" i="13"/>
  <c r="G533" i="12"/>
  <c r="G1786" i="12"/>
  <c r="G2068" i="12"/>
  <c r="G1856" i="13"/>
  <c r="G2050" i="13"/>
  <c r="G1547" i="13"/>
  <c r="G801" i="12"/>
  <c r="G525" i="12"/>
  <c r="G1558" i="13"/>
  <c r="G475" i="13"/>
  <c r="G1850" i="13"/>
  <c r="G2122" i="12"/>
  <c r="G78" i="12"/>
  <c r="G426" i="12"/>
  <c r="G1969" i="12"/>
  <c r="G2069" i="12"/>
  <c r="G547" i="12"/>
  <c r="G684" i="12"/>
  <c r="G1608" i="13"/>
  <c r="G1743" i="12"/>
  <c r="G2036" i="13"/>
  <c r="G390" i="12"/>
  <c r="G1722" i="12"/>
  <c r="G591" i="13"/>
  <c r="G1174" i="12"/>
  <c r="G2032" i="12"/>
  <c r="G2116" i="12"/>
  <c r="G1678" i="13"/>
  <c r="G306" i="13"/>
  <c r="G342" i="13"/>
  <c r="G417" i="12"/>
  <c r="G731" i="13"/>
  <c r="G1966" i="13"/>
  <c r="G1666" i="12"/>
  <c r="G1848" i="13"/>
  <c r="G1479" i="13"/>
  <c r="G977" i="13"/>
  <c r="G173" i="13"/>
  <c r="G678" i="13"/>
  <c r="G381" i="12"/>
  <c r="G1279" i="12"/>
  <c r="G1013" i="13"/>
  <c r="G385" i="13"/>
  <c r="G1278" i="12"/>
  <c r="G1722" i="13"/>
  <c r="G2138" i="13"/>
  <c r="G1882" i="12"/>
  <c r="G1918" i="13"/>
  <c r="G178" i="13"/>
  <c r="G1342" i="12"/>
  <c r="G1934" i="13"/>
  <c r="G991" i="12"/>
  <c r="G452" i="12"/>
  <c r="G577" i="12"/>
  <c r="G1248" i="13"/>
  <c r="G2079" i="13"/>
  <c r="G198" i="12"/>
  <c r="G339" i="12"/>
  <c r="G735" i="12"/>
  <c r="G378" i="13"/>
  <c r="G824" i="13"/>
  <c r="G348" i="13"/>
  <c r="G1505" i="13"/>
  <c r="G276" i="13"/>
  <c r="G1667" i="13"/>
  <c r="G1129" i="12"/>
  <c r="G217" i="12"/>
  <c r="G207" i="12"/>
  <c r="G643" i="13"/>
  <c r="G1482" i="13"/>
  <c r="G1616" i="12"/>
  <c r="G805" i="12"/>
  <c r="G677" i="13"/>
  <c r="G500" i="13"/>
  <c r="G2136" i="13"/>
  <c r="G1818" i="13"/>
  <c r="G2126" i="12"/>
  <c r="G1547" i="12"/>
  <c r="G749" i="13"/>
  <c r="G713" i="13"/>
  <c r="G1038" i="13"/>
  <c r="G367" i="12"/>
  <c r="G1552" i="12"/>
  <c r="G1251" i="12"/>
  <c r="G1611" i="13"/>
  <c r="G504" i="13"/>
  <c r="G1077" i="13"/>
  <c r="G2104" i="13"/>
  <c r="G1583" i="13"/>
  <c r="G443" i="12"/>
  <c r="G1814" i="13"/>
  <c r="G2002" i="12"/>
  <c r="G1420" i="12"/>
  <c r="G950" i="12"/>
  <c r="G613" i="12"/>
  <c r="G2113" i="13"/>
  <c r="G496" i="12"/>
  <c r="G1624" i="12"/>
  <c r="G1936" i="12"/>
  <c r="G1801" i="13"/>
  <c r="G1698" i="12"/>
  <c r="G1840" i="12"/>
  <c r="G1267" i="13"/>
  <c r="G1358" i="12"/>
  <c r="G166" i="13"/>
  <c r="G1172" i="12"/>
  <c r="G618" i="13"/>
  <c r="G749" i="12"/>
  <c r="G1659" i="12"/>
  <c r="G1829" i="13"/>
  <c r="G187" i="12"/>
  <c r="G314" i="12"/>
  <c r="G920" i="12"/>
  <c r="G1161" i="13"/>
  <c r="G760" i="12"/>
  <c r="G1363" i="13"/>
  <c r="G1859" i="13"/>
  <c r="G642" i="12"/>
  <c r="G1809" i="13"/>
  <c r="G1915" i="13"/>
  <c r="G1755" i="12"/>
  <c r="G928" i="12"/>
  <c r="G1615" i="13"/>
  <c r="G1961" i="12"/>
  <c r="G2073" i="12"/>
  <c r="G1196" i="13"/>
  <c r="G1400" i="13"/>
  <c r="G1659" i="13"/>
  <c r="G656" i="12"/>
  <c r="G931" i="12"/>
  <c r="G1713" i="13"/>
  <c r="G1213" i="12"/>
  <c r="G1365" i="13"/>
  <c r="G1946" i="13"/>
  <c r="G783" i="12"/>
  <c r="G439" i="12"/>
  <c r="G1621" i="12"/>
  <c r="G780" i="12"/>
  <c r="G30" i="12"/>
  <c r="G561" i="12"/>
  <c r="G993" i="12"/>
  <c r="G1097" i="13"/>
  <c r="G47" i="12"/>
  <c r="G1479" i="12"/>
  <c r="G1077" i="12"/>
  <c r="G1094" i="12"/>
  <c r="G1086" i="13"/>
  <c r="G2062" i="13"/>
  <c r="G639" i="13"/>
  <c r="G818" i="13"/>
  <c r="G790" i="13"/>
  <c r="G1070" i="13"/>
  <c r="G1102" i="13"/>
  <c r="G351" i="12"/>
  <c r="G1940" i="13"/>
  <c r="G1006" i="12"/>
  <c r="G2035" i="12"/>
  <c r="G1942" i="12"/>
  <c r="G1948" i="12"/>
  <c r="G1236" i="13"/>
  <c r="G1446" i="13"/>
  <c r="G1474" i="13"/>
  <c r="G1282" i="12"/>
  <c r="G499" i="13"/>
  <c r="G988" i="13"/>
  <c r="G1937" i="13"/>
  <c r="G627" i="13"/>
  <c r="G1184" i="13"/>
  <c r="G225" i="13"/>
  <c r="G1867" i="13"/>
  <c r="G1128" i="13"/>
  <c r="G1478" i="13"/>
  <c r="G1899" i="12"/>
  <c r="G1928" i="12"/>
  <c r="G1377" i="12"/>
  <c r="G1579" i="12"/>
  <c r="G1069" i="13"/>
  <c r="G1439" i="13"/>
  <c r="G1203" i="13"/>
  <c r="G1256" i="12"/>
  <c r="G1765" i="13"/>
  <c r="G383" i="12"/>
  <c r="G349" i="13"/>
  <c r="G658" i="13"/>
  <c r="G1747" i="13"/>
  <c r="G2030" i="12"/>
  <c r="G1471" i="13"/>
  <c r="G776" i="12"/>
  <c r="G506" i="13"/>
  <c r="G611" i="13"/>
  <c r="G973" i="13"/>
  <c r="G655" i="13"/>
  <c r="G365" i="12"/>
  <c r="G1343" i="13"/>
  <c r="G216" i="13"/>
  <c r="G1675" i="13"/>
  <c r="G621" i="12"/>
  <c r="G2051" i="13"/>
  <c r="G279" i="13"/>
  <c r="G1299" i="13"/>
  <c r="G204" i="12"/>
  <c r="G1608" i="12"/>
  <c r="G472" i="12"/>
  <c r="G939" i="13"/>
  <c r="G497" i="12"/>
  <c r="G1311" i="13"/>
  <c r="G77" i="12"/>
  <c r="G754" i="12"/>
  <c r="G2104" i="12"/>
  <c r="G484" i="13"/>
  <c r="G445" i="13"/>
  <c r="G202" i="12"/>
  <c r="G1096" i="12"/>
  <c r="G785" i="12"/>
  <c r="G1876" i="13"/>
  <c r="G1600" i="12"/>
  <c r="G2105" i="13"/>
  <c r="G1433" i="12"/>
  <c r="G100" i="13"/>
  <c r="G273" i="12"/>
  <c r="G1917" i="13"/>
  <c r="G771" i="13"/>
  <c r="G205" i="12"/>
  <c r="G1429" i="13"/>
  <c r="G193" i="12"/>
  <c r="G104" i="13"/>
  <c r="G1443" i="12"/>
  <c r="G1607" i="13"/>
  <c r="G431" i="13"/>
  <c r="G447" i="12"/>
  <c r="G1480" i="12"/>
  <c r="G1555" i="13"/>
  <c r="G1948" i="13"/>
  <c r="G522" i="13"/>
  <c r="G2007" i="13"/>
  <c r="G2134" i="12"/>
  <c r="G1030" i="12"/>
  <c r="G933" i="12"/>
  <c r="G559" i="12"/>
  <c r="G2092" i="13"/>
  <c r="G1506" i="13"/>
  <c r="G992" i="12"/>
  <c r="G651" i="13"/>
  <c r="G1501" i="13"/>
  <c r="G1715" i="13"/>
  <c r="G1126" i="13"/>
  <c r="G200" i="12"/>
  <c r="G1351" i="13"/>
  <c r="G256" i="13"/>
  <c r="G1469" i="12"/>
  <c r="G101" i="12"/>
  <c r="G1031" i="13"/>
  <c r="G1754" i="12"/>
  <c r="G270" i="12"/>
  <c r="G1002" i="12"/>
  <c r="G1536" i="12"/>
  <c r="G177" i="13"/>
  <c r="G2119" i="13"/>
  <c r="G2066" i="13"/>
  <c r="G1892" i="12"/>
  <c r="G956" i="12"/>
  <c r="G628" i="12"/>
  <c r="G526" i="12"/>
  <c r="G1535" i="12"/>
  <c r="G1314" i="12"/>
  <c r="G1261" i="13"/>
  <c r="G1702" i="13"/>
  <c r="G559" i="13"/>
  <c r="G814" i="13"/>
  <c r="G194" i="13"/>
  <c r="G701" i="12"/>
  <c r="G130" i="12"/>
  <c r="G738" i="13"/>
  <c r="G1834" i="12"/>
  <c r="G2035" i="13"/>
  <c r="G1866" i="13"/>
  <c r="G86" i="13"/>
  <c r="G1026" i="12"/>
  <c r="G1190" i="13"/>
  <c r="G1858" i="12"/>
  <c r="G62" i="12"/>
  <c r="G1248" i="12"/>
  <c r="G503" i="12"/>
  <c r="G1606" i="13"/>
  <c r="G1957" i="13"/>
  <c r="G1153" i="13"/>
  <c r="G646" i="13"/>
  <c r="G454" i="13"/>
  <c r="G730" i="12"/>
  <c r="G2072" i="13"/>
  <c r="G562" i="12"/>
  <c r="G1114" i="13"/>
  <c r="G1282" i="13"/>
  <c r="G2062" i="12"/>
  <c r="G1831" i="13"/>
  <c r="G1241" i="12"/>
  <c r="G1800" i="13"/>
  <c r="G817" i="12"/>
  <c r="G90" i="13"/>
  <c r="G520" i="12"/>
  <c r="G1305" i="12"/>
  <c r="G966" i="13"/>
  <c r="G884" i="13"/>
  <c r="G1704" i="12"/>
  <c r="G2072" i="12"/>
  <c r="G1561" i="12"/>
  <c r="G2111" i="13"/>
  <c r="G1054" i="12"/>
  <c r="G670" i="12"/>
  <c r="G687" i="12"/>
  <c r="G1576" i="13"/>
  <c r="G859" i="13"/>
  <c r="G1694" i="13"/>
  <c r="G1041" i="12"/>
  <c r="G1557" i="13"/>
  <c r="G1997" i="12"/>
  <c r="G1893" i="13"/>
  <c r="G586" i="13"/>
  <c r="G961" i="12"/>
  <c r="G561" i="13"/>
  <c r="G2110" i="12"/>
  <c r="G1973" i="13"/>
  <c r="G1730" i="12"/>
  <c r="G2084" i="12"/>
  <c r="G1761" i="13"/>
  <c r="G755" i="13"/>
  <c r="G53" i="13"/>
  <c r="G659" i="13"/>
  <c r="G1834" i="13"/>
  <c r="G2070" i="13"/>
  <c r="G1702" i="12"/>
  <c r="G68" i="12"/>
  <c r="G1825" i="13"/>
  <c r="G822" i="12"/>
  <c r="G688" i="12"/>
  <c r="G777" i="12"/>
  <c r="G1708" i="12"/>
  <c r="G1389" i="13"/>
  <c r="G239" i="13"/>
  <c r="G717" i="12"/>
  <c r="G1341" i="13"/>
  <c r="G665" i="12"/>
  <c r="G666" i="13"/>
  <c r="G1222" i="13"/>
  <c r="G144" i="12"/>
  <c r="G1039" i="13"/>
  <c r="G610" i="13"/>
  <c r="G1940" i="12"/>
  <c r="G1315" i="13"/>
  <c r="G1817" i="12"/>
  <c r="G286" i="13"/>
  <c r="G917" i="13"/>
  <c r="G1742" i="13"/>
  <c r="G2099" i="12"/>
  <c r="G1001" i="12"/>
  <c r="G308" i="12"/>
  <c r="G459" i="13"/>
  <c r="G1441" i="13"/>
  <c r="G1670" i="12"/>
  <c r="G620" i="12"/>
  <c r="G2094" i="13"/>
  <c r="G1712" i="12"/>
  <c r="G2110" i="13"/>
  <c r="G956" i="13"/>
  <c r="G880" i="13"/>
  <c r="G1652" i="12"/>
  <c r="G1795" i="12"/>
  <c r="G985" i="13"/>
  <c r="G1785" i="13"/>
  <c r="G1639" i="12"/>
  <c r="G369" i="13"/>
  <c r="G400" i="13"/>
  <c r="G102" i="12"/>
  <c r="G85" i="12"/>
  <c r="G638" i="12"/>
  <c r="G945" i="12"/>
  <c r="G356" i="13"/>
  <c r="G1561" i="13"/>
  <c r="G1963" i="12"/>
  <c r="G1868" i="13"/>
  <c r="G2052" i="13"/>
  <c r="G753" i="12"/>
  <c r="G1603" i="13"/>
  <c r="G2012" i="12"/>
  <c r="G632" i="13"/>
  <c r="G402" i="12"/>
  <c r="G605" i="12"/>
  <c r="G1486" i="13"/>
  <c r="G1745" i="12"/>
  <c r="G225" i="12"/>
  <c r="G690" i="13"/>
  <c r="G89" i="13"/>
  <c r="G199" i="12"/>
  <c r="G1122" i="12"/>
  <c r="G1097" i="12"/>
  <c r="G1259" i="12"/>
  <c r="G1290" i="13"/>
  <c r="G1993" i="13"/>
  <c r="G1134" i="12"/>
  <c r="G829" i="13"/>
  <c r="G804" i="12"/>
  <c r="G1152" i="12"/>
  <c r="G1061" i="13"/>
  <c r="G773" i="13"/>
  <c r="G1646" i="12"/>
  <c r="G369" i="12"/>
  <c r="G1799" i="12"/>
  <c r="G2094" i="12"/>
  <c r="G815" i="12"/>
  <c r="G1316" i="12"/>
  <c r="G1140" i="12"/>
  <c r="G422" i="13"/>
  <c r="G2112" i="13"/>
  <c r="G277" i="13"/>
  <c r="G1533" i="12"/>
  <c r="G249" i="13"/>
  <c r="G2005" i="13"/>
  <c r="G1792" i="13"/>
  <c r="G1793" i="12"/>
  <c r="G102" i="13"/>
  <c r="G124" i="12"/>
  <c r="G1423" i="13"/>
  <c r="G57" i="13"/>
  <c r="G636" i="12"/>
  <c r="G568" i="12"/>
  <c r="G1678" i="12"/>
  <c r="G493" i="13"/>
  <c r="G1900" i="13"/>
  <c r="G158" i="12"/>
  <c r="G433" i="12"/>
  <c r="G1483" i="12"/>
  <c r="G1037" i="12"/>
  <c r="G1977" i="12"/>
  <c r="G1976" i="12"/>
  <c r="G82" i="12"/>
  <c r="G163" i="12"/>
  <c r="G758" i="13"/>
  <c r="G1806" i="13"/>
  <c r="G2132" i="12"/>
  <c r="G809" i="13"/>
  <c r="G1569" i="12"/>
  <c r="G1912" i="12"/>
  <c r="G866" i="12"/>
  <c r="G2003" i="13"/>
  <c r="G1566" i="13"/>
  <c r="G821" i="12"/>
  <c r="G407" i="12"/>
  <c r="G1473" i="13"/>
  <c r="G1677" i="13"/>
  <c r="G176" i="13"/>
  <c r="G83" i="13"/>
  <c r="G1623" i="13"/>
  <c r="G1888" i="12"/>
  <c r="G1683" i="13"/>
  <c r="G2038" i="13"/>
  <c r="G201" i="13"/>
  <c r="G182" i="13"/>
  <c r="G149" i="13"/>
  <c r="G1617" i="13"/>
  <c r="G848" i="12"/>
  <c r="G133" i="12"/>
  <c r="G1504" i="13"/>
  <c r="G1066" i="13"/>
  <c r="G1835" i="12"/>
  <c r="G1348" i="12"/>
  <c r="G191" i="13"/>
  <c r="G1163" i="12"/>
  <c r="G1572" i="13"/>
  <c r="G935" i="13"/>
  <c r="G596" i="12"/>
  <c r="G51" i="12"/>
  <c r="G1236" i="12"/>
  <c r="G900" i="12"/>
  <c r="G276" i="12"/>
  <c r="G1032" i="13"/>
  <c r="G371" i="13"/>
  <c r="G1820" i="12"/>
  <c r="G51" i="13"/>
  <c r="G1632" i="12"/>
  <c r="G1732" i="12"/>
  <c r="G698" i="13"/>
  <c r="G301" i="12"/>
  <c r="G1827" i="12"/>
  <c r="G937" i="12"/>
  <c r="G173" i="12"/>
  <c r="G1177" i="12"/>
  <c r="G1369" i="13"/>
  <c r="G1096" i="13"/>
  <c r="G1373" i="12"/>
  <c r="G1048" i="13"/>
  <c r="G43" i="12"/>
  <c r="G1219" i="13"/>
  <c r="G272" i="12"/>
  <c r="G1382" i="13"/>
  <c r="G482" i="13"/>
  <c r="G1732" i="13"/>
  <c r="G674" i="13"/>
  <c r="G1445" i="13"/>
  <c r="G507" i="13"/>
  <c r="G1920" i="12"/>
  <c r="G696" i="13"/>
  <c r="G832" i="12"/>
  <c r="G1119" i="13"/>
  <c r="G1968" i="13"/>
  <c r="G1628" i="13"/>
  <c r="G562" i="13"/>
  <c r="G1723" i="13"/>
  <c r="G1609" i="12"/>
  <c r="G684" i="13"/>
  <c r="G1226" i="12"/>
  <c r="G1875" i="12"/>
  <c r="G940" i="13"/>
  <c r="G1323" i="12"/>
  <c r="G1337" i="12"/>
  <c r="G1591" i="13"/>
  <c r="G292" i="13"/>
  <c r="G820" i="13"/>
  <c r="G1344" i="13"/>
  <c r="G1417" i="12"/>
  <c r="G1405" i="13"/>
  <c r="G119" i="13"/>
  <c r="G893" i="12"/>
  <c r="G63" i="12"/>
  <c r="G1832" i="12"/>
  <c r="G1562" i="13"/>
  <c r="G1281" i="12"/>
  <c r="G1452" i="12"/>
  <c r="G1594" i="13"/>
  <c r="G581" i="13"/>
  <c r="G329" i="12"/>
  <c r="G1810" i="12"/>
  <c r="G39" i="12"/>
  <c r="G642" i="13"/>
  <c r="G1566" i="12"/>
  <c r="G1882" i="13"/>
  <c r="G105" i="13"/>
  <c r="G926" i="12"/>
  <c r="G73" i="13"/>
  <c r="G214" i="12"/>
  <c r="G1746" i="13"/>
  <c r="G837" i="13"/>
  <c r="G1073" i="12"/>
  <c r="G756" i="13"/>
  <c r="G495" i="13"/>
  <c r="G1047" i="12"/>
  <c r="G466" i="12"/>
  <c r="G1393" i="13"/>
  <c r="G1867" i="12"/>
  <c r="G473" i="12"/>
  <c r="G740" i="13"/>
  <c r="G406" i="12"/>
  <c r="G985" i="12"/>
  <c r="G1647" i="12"/>
  <c r="G1330" i="13"/>
  <c r="G1317" i="13"/>
  <c r="G1155" i="13"/>
  <c r="G2059" i="12"/>
  <c r="G1840" i="13"/>
  <c r="G843" i="12"/>
  <c r="G716" i="13"/>
  <c r="G325" i="12"/>
  <c r="G696" i="12"/>
  <c r="G1826" i="13"/>
  <c r="G590" i="13"/>
  <c r="G1633" i="12"/>
  <c r="G1510" i="12"/>
  <c r="G2083" i="12"/>
  <c r="G989" i="12"/>
  <c r="G1463" i="13"/>
  <c r="G655" i="12"/>
  <c r="G398" i="13"/>
  <c r="G331" i="12"/>
  <c r="G2043" i="13"/>
  <c r="G705" i="12"/>
  <c r="G1402" i="12"/>
  <c r="G204" i="13"/>
  <c r="G1700" i="12"/>
  <c r="G969" i="12"/>
  <c r="G625" i="12"/>
  <c r="G70" i="12"/>
  <c r="G975" i="12"/>
  <c r="G83" i="12"/>
  <c r="G1336" i="13"/>
  <c r="G1651" i="13"/>
  <c r="G987" i="13"/>
  <c r="G457" i="13"/>
  <c r="G1165" i="13"/>
  <c r="G2109" i="12"/>
  <c r="G1853" i="12"/>
  <c r="G334" i="13"/>
  <c r="G677" i="12"/>
  <c r="G1743" i="13"/>
  <c r="G93" i="12"/>
  <c r="G365" i="13"/>
  <c r="G1060" i="12"/>
  <c r="G730" i="13"/>
  <c r="G1803" i="13"/>
  <c r="G1716" i="13"/>
  <c r="G210" i="12"/>
  <c r="G1461" i="12"/>
  <c r="G1356" i="12"/>
  <c r="G1158" i="13"/>
  <c r="G1032" i="12"/>
  <c r="G745" i="12"/>
  <c r="G1420" i="13"/>
  <c r="G569" i="13"/>
  <c r="G1544" i="12"/>
  <c r="G1958" i="13"/>
  <c r="G1843" i="13"/>
  <c r="G553" i="12"/>
  <c r="G1500" i="13"/>
  <c r="G1978" i="12"/>
  <c r="G1160" i="13"/>
  <c r="G928" i="13"/>
  <c r="G1103" i="13"/>
  <c r="G129" i="12"/>
  <c r="G1846" i="13"/>
  <c r="G143" i="12"/>
  <c r="G1716" i="12"/>
  <c r="G705" i="13"/>
  <c r="G543" i="13"/>
  <c r="G1886" i="13"/>
  <c r="G340" i="12"/>
  <c r="G1410" i="12"/>
  <c r="G872" i="13"/>
  <c r="G2127" i="13"/>
  <c r="G845" i="12"/>
  <c r="G408" i="13"/>
  <c r="G1960" i="13"/>
  <c r="G495" i="12"/>
  <c r="G1384" i="12"/>
  <c r="G1105" i="12"/>
  <c r="G868" i="13"/>
  <c r="G1549" i="13"/>
  <c r="G1865" i="13"/>
  <c r="G1151" i="13"/>
  <c r="G653" i="13"/>
  <c r="G1003" i="13"/>
  <c r="G1310" i="12"/>
  <c r="G2010" i="13"/>
  <c r="G1339" i="12"/>
  <c r="G232" i="13"/>
  <c r="G1287" i="13"/>
  <c r="G1381" i="13"/>
  <c r="G1182" i="13"/>
  <c r="G2097" i="13"/>
  <c r="G2064" i="12"/>
  <c r="G1229" i="13"/>
  <c r="G206" i="13"/>
  <c r="G663" i="13"/>
  <c r="G513" i="12"/>
  <c r="G443" i="13"/>
  <c r="G849" i="12"/>
  <c r="G858" i="12"/>
  <c r="G824" i="12"/>
  <c r="G1583" i="12"/>
  <c r="G838" i="13"/>
  <c r="G646" i="12"/>
  <c r="G1378" i="12"/>
  <c r="G1401" i="12"/>
  <c r="G1294" i="12"/>
  <c r="G2029" i="12"/>
  <c r="G376" i="12"/>
  <c r="G329" i="13"/>
  <c r="G501" i="12"/>
  <c r="G1172" i="13"/>
  <c r="G79" i="12"/>
  <c r="G517" i="12"/>
  <c r="G974" i="13"/>
  <c r="G857" i="13"/>
  <c r="G533" i="13"/>
  <c r="G1579" i="13"/>
  <c r="G587" i="12"/>
  <c r="G914" i="12"/>
  <c r="G1572" i="12"/>
  <c r="G413" i="13"/>
  <c r="G1250" i="13"/>
  <c r="G1674" i="12"/>
  <c r="G605" i="13"/>
  <c r="G425" i="13"/>
  <c r="G1740" i="13"/>
  <c r="G1752" i="12"/>
  <c r="G617" i="13"/>
  <c r="G1605" i="12"/>
  <c r="G157" i="12"/>
  <c r="G1787" i="12"/>
  <c r="G660" i="12"/>
  <c r="G657" i="13"/>
  <c r="G381" i="13"/>
  <c r="G69" i="12"/>
  <c r="G1302" i="13"/>
  <c r="G1895" i="12"/>
  <c r="G1895" i="13"/>
  <c r="G1382" i="12"/>
  <c r="G75" i="13"/>
  <c r="G145" i="13"/>
  <c r="G2030" i="13"/>
  <c r="G267" i="13"/>
  <c r="G196" i="13"/>
  <c r="G923" i="12"/>
  <c r="G1944" i="13"/>
  <c r="G1250" i="12"/>
  <c r="G1426" i="12"/>
  <c r="G1046" i="12"/>
  <c r="G1372" i="13"/>
  <c r="G1523" i="12"/>
  <c r="G1894" i="13"/>
  <c r="G1311" i="12"/>
  <c r="G261" i="13"/>
  <c r="G1259" i="13"/>
  <c r="G1121" i="12"/>
  <c r="G576" i="12"/>
  <c r="G1488" i="12"/>
  <c r="G153" i="12"/>
  <c r="G232" i="12"/>
  <c r="G1146" i="13"/>
  <c r="G1559" i="13"/>
  <c r="G1206" i="13"/>
  <c r="G960" i="12"/>
  <c r="G511" i="13"/>
  <c r="G1683" i="12"/>
  <c r="G2115" i="12"/>
  <c r="G167" i="13"/>
  <c r="G1636" i="13"/>
  <c r="G1349" i="13"/>
  <c r="G1433" i="13"/>
  <c r="G1044" i="12"/>
  <c r="G309" i="12"/>
  <c r="G1956" i="13"/>
  <c r="G736" i="12"/>
  <c r="G330" i="13"/>
  <c r="G141" i="13"/>
  <c r="G549" i="12"/>
  <c r="G619" i="13"/>
  <c r="G1192" i="13"/>
  <c r="G202" i="13"/>
  <c r="G1085" i="12"/>
  <c r="G208" i="13"/>
  <c r="G1012" i="12"/>
  <c r="G1494" i="12"/>
  <c r="G1156" i="12"/>
  <c r="G1491" i="12"/>
  <c r="G1202" i="13"/>
  <c r="G2136" i="12"/>
  <c r="G1447" i="13"/>
  <c r="G1211" i="13"/>
  <c r="G1274" i="12"/>
  <c r="G2086" i="13"/>
  <c r="G391" i="12"/>
  <c r="G905" i="13"/>
  <c r="G635" i="13"/>
  <c r="G531" i="12"/>
  <c r="G934" i="13"/>
  <c r="G266" i="13"/>
  <c r="G793" i="12"/>
  <c r="G1612" i="13"/>
  <c r="G1220" i="12"/>
  <c r="G229" i="13"/>
  <c r="G1131" i="13"/>
  <c r="G592" i="13"/>
  <c r="G714" i="13"/>
  <c r="G103" i="13"/>
  <c r="G720" i="13"/>
  <c r="G651" i="12"/>
  <c r="G1515" i="12"/>
  <c r="G1142" i="12"/>
  <c r="G779" i="12"/>
  <c r="G839" i="12"/>
  <c r="G1243" i="13"/>
  <c r="G577" i="13"/>
  <c r="G1093" i="13"/>
  <c r="G187" i="13"/>
  <c r="G1833" i="13"/>
  <c r="G125" i="13"/>
  <c r="G58" i="13"/>
  <c r="G1147" i="13"/>
  <c r="G524" i="12"/>
  <c r="G186" i="13"/>
  <c r="G806" i="13"/>
  <c r="G1676" i="13"/>
  <c r="G400" i="12"/>
  <c r="G500" i="12"/>
  <c r="G947" i="13"/>
  <c r="G1618" i="13"/>
  <c r="G1531" i="12"/>
  <c r="G336" i="13"/>
  <c r="G534" i="13"/>
  <c r="G477" i="12"/>
  <c r="G1852" i="12"/>
  <c r="G1184" i="12"/>
  <c r="G492" i="13"/>
  <c r="G1774" i="13"/>
  <c r="G428" i="13"/>
  <c r="G1756" i="13"/>
  <c r="G2123" i="13"/>
  <c r="G2103" i="12"/>
  <c r="G633" i="13"/>
  <c r="G2024" i="13"/>
  <c r="G968" i="13"/>
  <c r="G623" i="12"/>
  <c r="G2025" i="12"/>
  <c r="G1036" i="13"/>
  <c r="G961" i="13"/>
  <c r="G962" i="12"/>
  <c r="G1286" i="12"/>
  <c r="G1366" i="13"/>
  <c r="G2093" i="12"/>
  <c r="G1909" i="13"/>
  <c r="G530" i="12"/>
  <c r="G530" i="13"/>
  <c r="G1980" i="13"/>
  <c r="G348" i="12"/>
  <c r="G48" i="13"/>
  <c r="G554" i="13"/>
  <c r="G2063" i="12"/>
  <c r="G1386" i="13"/>
  <c r="G1885" i="12"/>
  <c r="G572" i="12"/>
  <c r="G2109" i="13"/>
  <c r="G1896" i="12"/>
  <c r="G1813" i="12"/>
  <c r="G2022" i="12"/>
  <c r="G732" i="12"/>
  <c r="G1059" i="13"/>
  <c r="G1280" i="13"/>
  <c r="G126" i="12"/>
  <c r="G2044" i="13"/>
  <c r="G2020" i="12"/>
  <c r="G1989" i="12"/>
  <c r="G1773" i="12"/>
  <c r="G1144" i="13"/>
  <c r="G1770" i="12"/>
  <c r="G1168" i="12"/>
  <c r="G1568" i="13"/>
  <c r="G1662" i="13"/>
  <c r="G2027" i="12"/>
  <c r="G556" i="13"/>
  <c r="G423" i="13"/>
  <c r="G467" i="12"/>
  <c r="G1922" i="12"/>
  <c r="G79" i="13"/>
  <c r="G1204" i="12"/>
  <c r="G1783" i="13"/>
  <c r="G1564" i="12"/>
  <c r="G1747" i="12"/>
  <c r="G1555" i="12"/>
  <c r="G1669" i="12"/>
  <c r="G650" i="12"/>
  <c r="G1816" i="13"/>
  <c r="G1257" i="12"/>
  <c r="G289" i="12"/>
  <c r="G1538" i="12"/>
  <c r="G1951" i="13"/>
  <c r="G864" i="12"/>
  <c r="G54" i="12"/>
  <c r="G267" i="12"/>
  <c r="G1358" i="13"/>
  <c r="G1654" i="13"/>
  <c r="G1835" i="13"/>
  <c r="G1329" i="12"/>
  <c r="G1230" i="13"/>
  <c r="G2007" i="12"/>
  <c r="G661" i="12"/>
  <c r="G1733" i="13"/>
  <c r="G1582" i="13"/>
  <c r="G1540" i="13"/>
  <c r="G1645" i="12"/>
  <c r="G1921" i="12"/>
  <c r="G1822" i="13"/>
  <c r="G974" i="12"/>
  <c r="G1905" i="13"/>
  <c r="G322" i="12"/>
  <c r="G1125" i="13"/>
  <c r="G71" i="13"/>
  <c r="G1859" i="12"/>
  <c r="G32" i="13"/>
  <c r="G1932" i="12"/>
  <c r="G108" i="12"/>
  <c r="G107" i="12"/>
  <c r="G637" i="12"/>
  <c r="G1553" i="12"/>
  <c r="G578" i="12"/>
  <c r="G1560" i="12"/>
  <c r="G1439" i="12"/>
  <c r="G1522" i="13"/>
  <c r="G858" i="13"/>
  <c r="G842" i="13"/>
  <c r="G909" i="13"/>
  <c r="G171" i="12"/>
  <c r="G1099" i="12"/>
  <c r="G1191" i="13"/>
  <c r="G865" i="13"/>
  <c r="G1532" i="13"/>
  <c r="G280" i="13"/>
  <c r="G227" i="13"/>
  <c r="G162" i="13"/>
  <c r="G595" i="13"/>
  <c r="G1531" i="13"/>
  <c r="G1228" i="13"/>
  <c r="G2051" i="12"/>
  <c r="G1530" i="13"/>
  <c r="G231" i="12"/>
  <c r="G972" i="13"/>
  <c r="G1754" i="13"/>
  <c r="G103" i="12"/>
  <c r="G1072" i="13"/>
  <c r="G964" i="13"/>
  <c r="G1860" i="12"/>
  <c r="G284" i="12"/>
  <c r="G724" i="13"/>
  <c r="G1438" i="12"/>
  <c r="G1977" i="13"/>
  <c r="G1922" i="13"/>
  <c r="G326" i="13"/>
  <c r="G2082" i="13"/>
  <c r="G1797" i="12"/>
  <c r="G1331" i="13"/>
  <c r="G1416" i="12"/>
  <c r="G2114" i="12"/>
  <c r="G1274" i="13"/>
  <c r="G1303" i="12"/>
  <c r="G2098" i="12"/>
  <c r="G402" i="13"/>
  <c r="G926" i="13"/>
  <c r="G1863" i="12"/>
  <c r="G1850" i="12"/>
  <c r="G1394" i="13"/>
  <c r="G1511" i="12"/>
  <c r="G624" i="12"/>
  <c r="G1361" i="13"/>
  <c r="G980" i="13"/>
  <c r="G285" i="13"/>
  <c r="G1015" i="12"/>
  <c r="G1108" i="13"/>
  <c r="G2083" i="13"/>
  <c r="G297" i="13"/>
  <c r="G263" i="13"/>
  <c r="G1136" i="13"/>
  <c r="G1631" i="13"/>
  <c r="G471" i="13"/>
  <c r="G877" i="12"/>
  <c r="G1516" i="12"/>
  <c r="G1943" i="12"/>
  <c r="G253" i="12"/>
  <c r="G1507" i="12"/>
  <c r="G1242" i="13"/>
  <c r="G1292" i="12"/>
  <c r="G568" i="13"/>
  <c r="G1227" i="13"/>
  <c r="G1210" i="12"/>
  <c r="G709" i="13"/>
  <c r="G1514" i="13"/>
  <c r="G1008" i="13"/>
  <c r="G1520" i="13"/>
  <c r="G1186" i="13"/>
  <c r="G1218" i="13"/>
  <c r="G1422" i="13"/>
  <c r="G93" i="13"/>
  <c r="G1129" i="13"/>
  <c r="G1995" i="13"/>
  <c r="G649" i="13"/>
  <c r="G169" i="13"/>
  <c r="G1688" i="13"/>
  <c r="G1295" i="13"/>
  <c r="G927" i="13"/>
  <c r="G396" i="13"/>
  <c r="G916" i="12"/>
  <c r="G895" i="12"/>
  <c r="G1279" i="13"/>
  <c r="G1386" i="12"/>
  <c r="G1444" i="13"/>
  <c r="G1019" i="13"/>
  <c r="G1285" i="12"/>
  <c r="G843" i="13"/>
  <c r="G275" i="13"/>
  <c r="G1246" i="12"/>
  <c r="G249" i="12"/>
  <c r="G742" i="12"/>
  <c r="G1523" i="13"/>
  <c r="G403" i="13"/>
  <c r="G134" i="12"/>
  <c r="G1238" i="12"/>
  <c r="G1252" i="12"/>
  <c r="G1028" i="12"/>
  <c r="G513" i="13"/>
  <c r="G1528" i="12"/>
  <c r="G363" i="13"/>
  <c r="G304" i="12"/>
  <c r="G314" i="13"/>
  <c r="G1111" i="13"/>
  <c r="G1240" i="12"/>
  <c r="G791" i="13"/>
  <c r="G1327" i="13"/>
  <c r="G1066" i="12"/>
  <c r="G726" i="13"/>
  <c r="G1377" i="13"/>
  <c r="G2014" i="13"/>
  <c r="G897" i="13"/>
  <c r="G991" i="13"/>
  <c r="G1092" i="13"/>
  <c r="G987" i="12"/>
  <c r="G1503" i="12"/>
  <c r="G283" i="12"/>
  <c r="G201" i="12"/>
  <c r="G235" i="12"/>
  <c r="G1429" i="12"/>
  <c r="G1597" i="12"/>
  <c r="G583" i="12"/>
  <c r="G1615" i="12"/>
  <c r="G875" i="13"/>
  <c r="G1406" i="12"/>
  <c r="G170" i="12"/>
  <c r="G826" i="13"/>
  <c r="G464" i="13"/>
  <c r="G531" i="13"/>
  <c r="G490" i="13"/>
  <c r="G1582" i="12"/>
  <c r="G523" i="12"/>
  <c r="G1815" i="12"/>
  <c r="G59" i="12"/>
  <c r="G644" i="13"/>
  <c r="G671" i="12"/>
  <c r="G896" i="12"/>
  <c r="G344" i="13"/>
  <c r="G135" i="12"/>
  <c r="G536" i="12"/>
  <c r="G1545" i="13"/>
  <c r="G1258" i="12"/>
  <c r="G74" i="12"/>
  <c r="G602" i="13"/>
  <c r="G1660" i="13"/>
  <c r="G44" i="12"/>
  <c r="G780" i="13"/>
  <c r="G1200" i="13"/>
  <c r="G222" i="13"/>
  <c r="G1134" i="13"/>
  <c r="G1016" i="12"/>
  <c r="G556" i="12"/>
  <c r="G1793" i="13"/>
  <c r="G1878" i="13"/>
  <c r="G1763" i="12"/>
  <c r="G1521" i="13"/>
  <c r="G1108" i="12"/>
  <c r="G218" i="12"/>
  <c r="G284" i="13"/>
  <c r="G819" i="13"/>
  <c r="G846" i="13"/>
  <c r="G1562" i="12"/>
  <c r="G372" i="12"/>
  <c r="G1028" i="13"/>
  <c r="G539" i="13"/>
  <c r="G1708" i="13"/>
  <c r="G1524" i="13"/>
  <c r="G1941" i="12"/>
  <c r="G216" i="12"/>
  <c r="G1985" i="12"/>
  <c r="G1110" i="13"/>
  <c r="G185" i="13"/>
  <c r="G1796" i="12"/>
  <c r="G385" i="12"/>
  <c r="G1554" i="13"/>
  <c r="G1769" i="12"/>
  <c r="G2128" i="13"/>
  <c r="G604" i="12"/>
  <c r="G1945" i="13"/>
  <c r="G1288" i="13"/>
  <c r="G1729" i="13"/>
  <c r="G444" i="12"/>
  <c r="G788" i="13"/>
  <c r="G299" i="13"/>
  <c r="G471" i="12"/>
  <c r="G1360" i="12"/>
  <c r="G363" i="12"/>
  <c r="G1312" i="13"/>
  <c r="G164" i="12"/>
  <c r="G984" i="12"/>
  <c r="G193" i="13"/>
  <c r="G301" i="13"/>
  <c r="G878" i="12"/>
  <c r="G1766" i="13"/>
  <c r="G966" i="12"/>
  <c r="G468" i="12"/>
  <c r="G1475" i="12"/>
  <c r="G55" i="12"/>
  <c r="G1235" i="13"/>
  <c r="G1525" i="12"/>
  <c r="G1744" i="12"/>
  <c r="G1996" i="13"/>
  <c r="G1751" i="13"/>
  <c r="G782" i="13"/>
  <c r="G1701" i="13"/>
  <c r="G1749" i="13"/>
  <c r="G672" i="13"/>
  <c r="G317" i="12"/>
  <c r="G142" i="13"/>
  <c r="G816" i="12"/>
  <c r="G60" i="12"/>
  <c r="G1366" i="12"/>
  <c r="G1821" i="12"/>
  <c r="G1670" i="13"/>
  <c r="G1444" i="12"/>
  <c r="G1208" i="12"/>
  <c r="G1871" i="13"/>
  <c r="G2107" i="13"/>
  <c r="G746" i="12"/>
  <c r="G979" i="12"/>
  <c r="G1605" i="13"/>
  <c r="G706" i="12"/>
  <c r="G226" i="13"/>
  <c r="G1775" i="12"/>
  <c r="G316" i="13"/>
  <c r="G1910" i="13"/>
  <c r="G1851" i="13"/>
  <c r="G1654" i="12"/>
  <c r="G1179" i="12"/>
  <c r="G279" i="12"/>
  <c r="G1879" i="12"/>
  <c r="G1845" i="13"/>
  <c r="G1988" i="12"/>
  <c r="G938" i="13"/>
  <c r="G1645" i="13"/>
  <c r="G2078" i="12"/>
  <c r="G456" i="13"/>
  <c r="G1333" i="12"/>
  <c r="G290" i="13"/>
  <c r="G90" i="12"/>
  <c r="G2068" i="13"/>
  <c r="G2064" i="13"/>
  <c r="G1628" i="12"/>
  <c r="G2130" i="13"/>
  <c r="G258" i="12"/>
  <c r="G482" i="12"/>
  <c r="G1116" i="12"/>
  <c r="G1689" i="12"/>
  <c r="G718" i="13"/>
  <c r="G902" i="13"/>
  <c r="G1178" i="13"/>
  <c r="G1705" i="12"/>
  <c r="G1237" i="13"/>
  <c r="G784" i="13"/>
  <c r="G1011" i="13"/>
  <c r="G1408" i="13"/>
  <c r="G1629" i="13"/>
  <c r="G1668" i="12"/>
  <c r="G131" i="12"/>
  <c r="G213" i="12"/>
  <c r="G1641" i="12"/>
  <c r="G211" i="13"/>
  <c r="G818" i="12"/>
  <c r="G1650" i="12"/>
  <c r="G1342" i="13"/>
  <c r="G1470" i="13"/>
  <c r="G1089" i="12"/>
  <c r="G1368" i="12"/>
  <c r="G468" i="13"/>
  <c r="G423" i="12"/>
  <c r="G278" i="12"/>
  <c r="G932" i="13"/>
  <c r="G620" i="13"/>
  <c r="G1552" i="13"/>
  <c r="G680" i="13"/>
  <c r="G222" i="12"/>
  <c r="G421" i="13"/>
  <c r="G104" i="12"/>
  <c r="G62" i="13"/>
  <c r="G1487" i="12"/>
  <c r="G1725" i="13"/>
  <c r="G1086" i="12"/>
  <c r="G1486" i="12"/>
  <c r="G263" i="12"/>
  <c r="G148" i="13"/>
  <c r="G526" i="13"/>
  <c r="G830" i="13"/>
  <c r="G296" i="13"/>
  <c r="G430" i="13"/>
  <c r="G1474" i="12"/>
  <c r="G1765" i="12"/>
  <c r="G2071" i="13"/>
  <c r="G1500" i="12"/>
  <c r="G1021" i="13"/>
  <c r="G1387" i="13"/>
  <c r="G1903" i="13"/>
  <c r="G1149" i="13"/>
  <c r="G1082" i="13"/>
  <c r="G852" i="13"/>
  <c r="G716" i="12"/>
  <c r="G532" i="13"/>
  <c r="G870" i="12"/>
  <c r="G1950" i="13"/>
  <c r="G863" i="13"/>
  <c r="G1612" i="12"/>
  <c r="G1133" i="12"/>
  <c r="G1695" i="13"/>
  <c r="G1632" i="13"/>
  <c r="G1331" i="12"/>
  <c r="G1484" i="12"/>
  <c r="G2093" i="13"/>
  <c r="G836" i="13"/>
  <c r="G1610" i="12"/>
  <c r="G942" i="13"/>
  <c r="G692" i="13"/>
  <c r="G175" i="12"/>
  <c r="G1655" i="12"/>
  <c r="G1404" i="12"/>
  <c r="G1000" i="13"/>
  <c r="G1804" i="12"/>
  <c r="G1348" i="13"/>
  <c r="G183" i="12"/>
  <c r="G1069" i="12"/>
  <c r="G1784" i="13"/>
  <c r="G1463" i="12"/>
  <c r="G122" i="12"/>
  <c r="G1469" i="13"/>
  <c r="G1728" i="13"/>
  <c r="G1633" i="13"/>
  <c r="G1273" i="12"/>
  <c r="G1313" i="13"/>
  <c r="G1149" i="12"/>
  <c r="G1502" i="13"/>
  <c r="G466" i="13"/>
  <c r="G1761" i="12"/>
  <c r="G1501" i="12"/>
  <c r="G1261" i="12"/>
  <c r="G1187" i="12"/>
  <c r="G2111" i="12"/>
  <c r="G313" i="13"/>
  <c r="G1334" i="13"/>
  <c r="G1100" i="13"/>
  <c r="G1104" i="13"/>
  <c r="G988" i="12"/>
  <c r="G1137" i="13"/>
  <c r="G281" i="12"/>
  <c r="G745" i="13"/>
  <c r="G1824" i="12"/>
  <c r="G1379" i="12"/>
  <c r="G792" i="13"/>
  <c r="G1602" i="12"/>
  <c r="G1341" i="12"/>
  <c r="G715" i="13"/>
  <c r="G636" i="13"/>
  <c r="G171" i="13"/>
  <c r="G2092" i="12"/>
  <c r="G888" i="13"/>
  <c r="G1779" i="12"/>
  <c r="G164" i="13"/>
  <c r="G1107" i="13"/>
  <c r="G1424" i="12"/>
  <c r="G395" i="13"/>
  <c r="G1143" i="13"/>
  <c r="G1586" i="13"/>
  <c r="G1307" i="13"/>
  <c r="G183" i="13"/>
  <c r="G1472" i="13"/>
  <c r="G1332" i="13"/>
  <c r="G1117" i="13"/>
  <c r="G1359" i="13"/>
  <c r="G474" i="13"/>
  <c r="G42" i="12"/>
  <c r="G1030" i="13"/>
  <c r="G1424" i="13"/>
  <c r="G258" i="13"/>
  <c r="G1739" i="13"/>
  <c r="G1361" i="12"/>
  <c r="G36" i="13"/>
  <c r="G378" i="12"/>
  <c r="G1310" i="13"/>
  <c r="G604" i="13"/>
  <c r="G1015" i="13"/>
  <c r="G1381" i="12"/>
  <c r="G1207" i="13"/>
  <c r="G613" i="13"/>
  <c r="G181" i="12"/>
  <c r="G1917" i="12"/>
  <c r="G560" i="13"/>
  <c r="G1598" i="13"/>
  <c r="G298" i="12"/>
  <c r="G759" i="13"/>
  <c r="G1595" i="13"/>
  <c r="G989" i="13"/>
  <c r="G762" i="13"/>
  <c r="G1478" i="12"/>
  <c r="G1233" i="12"/>
  <c r="G311" i="13"/>
  <c r="G1418" i="12"/>
  <c r="G1916" i="13"/>
  <c r="G165" i="13"/>
  <c r="G1913" i="12"/>
  <c r="G1136" i="12"/>
  <c r="G1159" i="12"/>
  <c r="G1671" i="12"/>
  <c r="G787" i="13"/>
  <c r="G448" i="13"/>
  <c r="G1923" i="13"/>
  <c r="G1972" i="13"/>
  <c r="G825" i="13"/>
  <c r="G673" i="13"/>
  <c r="G182" i="12"/>
  <c r="G1577" i="13"/>
  <c r="G2086" i="12"/>
  <c r="G571" i="13"/>
  <c r="G72" i="13"/>
  <c r="G903" i="13"/>
  <c r="G1047" i="13"/>
  <c r="G1062" i="13"/>
  <c r="G1648" i="12"/>
  <c r="G917" i="12"/>
  <c r="G327" i="13"/>
  <c r="G654" i="12"/>
  <c r="G41" i="13"/>
  <c r="G810" i="13"/>
  <c r="G290" i="12"/>
  <c r="G565" i="13"/>
  <c r="G2048" i="13"/>
  <c r="G723" i="12"/>
  <c r="G1201" i="13"/>
  <c r="G1685" i="13"/>
  <c r="G1107" i="12"/>
  <c r="G233" i="13"/>
  <c r="G138" i="13"/>
  <c r="G99" i="13"/>
  <c r="G725" i="13"/>
  <c r="G1810" i="13"/>
  <c r="G341" i="13"/>
  <c r="G630" i="13"/>
  <c r="G1843" i="12"/>
  <c r="G1127" i="13"/>
  <c r="G157" i="13"/>
  <c r="G1830" i="13"/>
  <c r="G590" i="12"/>
  <c r="G1838" i="12"/>
  <c r="G744" i="13"/>
  <c r="G420" i="13"/>
  <c r="G382" i="12"/>
  <c r="G1570" i="13"/>
  <c r="G1703" i="12"/>
  <c r="G1515" i="13"/>
  <c r="G542" i="12"/>
  <c r="G1780" i="13"/>
  <c r="G694" i="13"/>
  <c r="G1396" i="13"/>
  <c r="G1762" i="13"/>
  <c r="G1759" i="12"/>
  <c r="G607" i="12"/>
  <c r="G288" i="12"/>
  <c r="G1076" i="13"/>
  <c r="G408" i="12"/>
  <c r="G1985" i="13"/>
  <c r="G1391" i="12"/>
  <c r="G1778" i="12"/>
  <c r="G2026" i="13"/>
  <c r="G963" i="13"/>
  <c r="G1364" i="12"/>
  <c r="G649" i="12"/>
  <c r="G2088" i="12"/>
  <c r="G1790" i="12"/>
  <c r="G1916" i="12"/>
  <c r="G980" i="12"/>
  <c r="G722" i="13"/>
  <c r="G1344" i="12"/>
  <c r="G918" i="13"/>
  <c r="G514" i="12"/>
  <c r="G1306" i="12"/>
  <c r="G711" i="13"/>
  <c r="G1989" i="13"/>
  <c r="G800" i="12"/>
  <c r="G370" i="12"/>
  <c r="G339" i="13"/>
  <c r="G405" i="12"/>
  <c r="G1543" i="12"/>
  <c r="G2006" i="12"/>
  <c r="G1724" i="13"/>
  <c r="G611" i="12"/>
  <c r="G543" i="12"/>
  <c r="G1516" i="13"/>
  <c r="G1849" i="13"/>
  <c r="G1455" i="13"/>
  <c r="G564" i="13"/>
  <c r="G1836" i="13"/>
  <c r="G161" i="12"/>
  <c r="G2120" i="12"/>
  <c r="G1891" i="13"/>
  <c r="G999" i="13"/>
  <c r="G45" i="12"/>
  <c r="G1450" i="13"/>
  <c r="G2040" i="12"/>
  <c r="G1052" i="13"/>
  <c r="G1519" i="13"/>
  <c r="G404" i="13"/>
  <c r="G146" i="13"/>
  <c r="G1018" i="13"/>
  <c r="G1334" i="12"/>
  <c r="G429" i="13"/>
  <c r="G529" i="13"/>
  <c r="G438" i="12"/>
  <c r="G1150" i="13"/>
  <c r="G1986" i="12"/>
  <c r="G259" i="12"/>
  <c r="G1473" i="12"/>
  <c r="G1616" i="13"/>
  <c r="G2137" i="13"/>
  <c r="G1489" i="12"/>
  <c r="G509" i="13"/>
  <c r="G1383" i="13"/>
  <c r="G1874" i="13"/>
  <c r="G1304" i="13"/>
  <c r="G623" i="13"/>
  <c r="G1990" i="13"/>
  <c r="G1205" i="13"/>
  <c r="G223" i="13"/>
  <c r="G424" i="13"/>
  <c r="G2126" i="13"/>
  <c r="G351" i="13"/>
  <c r="G1592" i="12"/>
  <c r="G412" i="12"/>
  <c r="G1777" i="13"/>
  <c r="G1270" i="13"/>
  <c r="G702" i="13"/>
  <c r="G844" i="13"/>
  <c r="G846" i="12"/>
  <c r="G1993" i="12"/>
  <c r="G113" i="12"/>
  <c r="G658" i="12"/>
  <c r="G184" i="12"/>
  <c r="G174" i="13"/>
  <c r="G1923" i="12"/>
  <c r="G403" i="12"/>
  <c r="G1636" i="12"/>
  <c r="G1472" i="12"/>
  <c r="G2091" i="12"/>
  <c r="G1571" i="13"/>
  <c r="G834" i="13"/>
  <c r="G893" i="13"/>
  <c r="G595" i="12"/>
  <c r="G573" i="13"/>
  <c r="G357" i="12"/>
  <c r="G976" i="12"/>
  <c r="G264" i="12"/>
  <c r="G607" i="13"/>
  <c r="G1790" i="13"/>
  <c r="G442" i="12"/>
  <c r="G712" i="13"/>
  <c r="G1614" i="12"/>
  <c r="G2017" i="12"/>
  <c r="G189" i="13"/>
  <c r="G648" i="12"/>
  <c r="G594" i="13"/>
  <c r="G1326" i="12"/>
  <c r="G1245" i="12"/>
  <c r="G1550" i="12"/>
  <c r="G1513" i="12"/>
  <c r="G81" i="12"/>
  <c r="G1588" i="13"/>
  <c r="G1225" i="12"/>
  <c r="G1216" i="12"/>
  <c r="G671" i="13"/>
  <c r="G591" i="12"/>
  <c r="G786" i="13"/>
  <c r="G43" i="13"/>
  <c r="G1610" i="13"/>
  <c r="G1020" i="13"/>
  <c r="G793" i="13"/>
  <c r="G1434" i="12"/>
  <c r="G1606" i="12"/>
  <c r="G557" i="13"/>
  <c r="G1663" i="13"/>
  <c r="G652" i="13"/>
  <c r="G2108" i="12"/>
  <c r="G1380" i="12"/>
  <c r="G1398" i="12"/>
  <c r="G337" i="13"/>
  <c r="G710" i="13"/>
  <c r="G156" i="13"/>
  <c r="G512" i="12"/>
  <c r="G1855" i="13"/>
  <c r="G476" i="13"/>
  <c r="G64" i="13"/>
  <c r="G557" i="12"/>
  <c r="G1710" i="13"/>
  <c r="G1546" i="13"/>
  <c r="G394" i="13"/>
  <c r="G1511" i="13"/>
  <c r="G2059" i="13"/>
  <c r="G172" i="13"/>
  <c r="G1494" i="13"/>
  <c r="G1239" i="13"/>
  <c r="G2131" i="13"/>
  <c r="G1303" i="13"/>
  <c r="G707" i="13"/>
  <c r="G519" i="12"/>
  <c r="G1328" i="13"/>
  <c r="G1284" i="13"/>
  <c r="G111" i="13"/>
  <c r="G2053" i="13"/>
  <c r="G1002" i="13"/>
  <c r="G827" i="13"/>
  <c r="G1714" i="13"/>
  <c r="G1926" i="13"/>
  <c r="G1215" i="13"/>
  <c r="G772" i="13"/>
  <c r="G1545" i="12"/>
  <c r="G310" i="13"/>
  <c r="G1864" i="13"/>
  <c r="G1290" i="12"/>
  <c r="G1657" i="13"/>
  <c r="G906" i="13"/>
  <c r="G1587" i="12"/>
  <c r="G1962" i="13"/>
  <c r="G1004" i="13"/>
  <c r="G1505" i="12"/>
  <c r="G1277" i="13"/>
  <c r="G2123" i="12"/>
  <c r="G1621" i="13"/>
  <c r="G1256" i="13"/>
  <c r="G699" i="13"/>
  <c r="G1896" i="13"/>
  <c r="G92" i="13"/>
  <c r="G552" i="13"/>
  <c r="G192" i="13"/>
  <c r="G836" i="12"/>
  <c r="G2065" i="13"/>
  <c r="G1814" i="12"/>
  <c r="G1327" i="12"/>
  <c r="G1647" i="13"/>
  <c r="G1421" i="12"/>
  <c r="G1925" i="13"/>
  <c r="G34" i="13"/>
  <c r="G969" i="13"/>
  <c r="G777" i="13"/>
  <c r="G854" i="12"/>
  <c r="G1958" i="12"/>
  <c r="G1919" i="13"/>
  <c r="G266" i="12"/>
  <c r="G1076" i="12"/>
  <c r="G72" i="12"/>
  <c r="G1954" i="12"/>
  <c r="G912" i="13"/>
  <c r="G1983" i="13"/>
  <c r="G386" i="12"/>
  <c r="G1955" i="12"/>
  <c r="G325" i="13"/>
  <c r="G1920" i="13"/>
  <c r="G2095" i="13"/>
  <c r="G828" i="12"/>
  <c r="G2002" i="13"/>
  <c r="G881" i="12"/>
  <c r="G1600" i="13"/>
  <c r="G294" i="12"/>
  <c r="G1317" i="12"/>
  <c r="G890" i="13"/>
  <c r="G516" i="12"/>
  <c r="G1812" i="13"/>
  <c r="G77" i="13"/>
  <c r="G470" i="13"/>
  <c r="G1825" i="12"/>
  <c r="G1795" i="13"/>
  <c r="G2029" i="13"/>
  <c r="G1889" i="12"/>
  <c r="G368" i="12"/>
  <c r="G2011" i="13"/>
  <c r="G1268" i="12"/>
  <c r="G1589" i="12"/>
  <c r="G2021" i="13"/>
  <c r="G1748" i="13"/>
  <c r="G877" i="13"/>
  <c r="G1083" i="13"/>
  <c r="G548" i="13"/>
  <c r="G1691" i="13"/>
  <c r="G1354" i="13"/>
  <c r="G1800" i="12"/>
  <c r="G180" i="13"/>
  <c r="G1458" i="12"/>
  <c r="G2082" i="12"/>
  <c r="G1884" i="12"/>
  <c r="G544" i="12"/>
  <c r="G1491" i="13"/>
  <c r="G930" i="12"/>
  <c r="G1362" i="13"/>
  <c r="G1675" i="12"/>
  <c r="G486" i="13"/>
  <c r="G975" i="13"/>
  <c r="G1805" i="13"/>
  <c r="G1401" i="13"/>
  <c r="G1117" i="12"/>
  <c r="G1468" i="12"/>
  <c r="G1634" i="12"/>
  <c r="G384" i="13"/>
  <c r="G2137" i="12"/>
  <c r="G813" i="13"/>
  <c r="G1133" i="13"/>
  <c r="G1055" i="12"/>
  <c r="G2118" i="13"/>
  <c r="G1138" i="12"/>
  <c r="G1679" i="12"/>
  <c r="G1845" i="12"/>
  <c r="G997" i="12"/>
  <c r="G261" i="12"/>
  <c r="G1122" i="13"/>
  <c r="G2028" i="13"/>
  <c r="G1352" i="13"/>
  <c r="G168" i="12"/>
  <c r="G219" i="13"/>
  <c r="G1792" i="12"/>
  <c r="G1617" i="12"/>
  <c r="G1162" i="13"/>
  <c r="G1924" i="12"/>
  <c r="G603" i="12"/>
  <c r="G1521" i="12"/>
  <c r="G2090" i="13"/>
  <c r="G1171" i="12"/>
  <c r="G2048" i="12"/>
  <c r="G1263" i="12"/>
  <c r="G2014" i="12"/>
  <c r="G2121" i="12"/>
  <c r="G1043" i="12"/>
  <c r="G795" i="12"/>
  <c r="G2140" i="13"/>
  <c r="G885" i="12"/>
  <c r="G1079" i="12"/>
  <c r="G1649" i="13"/>
  <c r="G946" i="13"/>
  <c r="G1969" i="13"/>
  <c r="G982" i="13"/>
  <c r="G1022" i="12"/>
  <c r="G626" i="12"/>
  <c r="G1665" i="12"/>
  <c r="G2133" i="12"/>
  <c r="G2087" i="12"/>
  <c r="G430" i="12"/>
  <c r="G536" i="13"/>
  <c r="G1306" i="13"/>
  <c r="G1275" i="13"/>
  <c r="G580" i="12"/>
  <c r="G411" i="13"/>
  <c r="G109" i="13"/>
  <c r="G574" i="12"/>
  <c r="G268" i="13"/>
  <c r="G1371" i="12"/>
  <c r="G241" i="12"/>
  <c r="G538" i="13"/>
  <c r="G94" i="13"/>
  <c r="G492" i="12"/>
  <c r="G273" i="13"/>
  <c r="G1908" i="12"/>
  <c r="G1124" i="12"/>
  <c r="G909" i="12"/>
  <c r="G573" i="12"/>
  <c r="G2043" i="12"/>
  <c r="G1053" i="12"/>
  <c r="G525" i="13"/>
  <c r="G1425" i="13"/>
  <c r="G1738" i="13"/>
  <c r="G1404" i="13"/>
  <c r="G473" i="13"/>
  <c r="G450" i="12"/>
  <c r="G437" i="13"/>
  <c r="G962" i="13"/>
  <c r="G1807" i="12"/>
  <c r="G1148" i="13"/>
  <c r="G959" i="12"/>
  <c r="G95" i="13"/>
  <c r="G2019" i="12"/>
  <c r="G1542" i="13"/>
  <c r="G427" i="13"/>
  <c r="G312" i="13"/>
  <c r="G942" i="12"/>
  <c r="G49" i="12"/>
  <c r="G1542" i="12"/>
  <c r="G512" i="13"/>
  <c r="G1074" i="13"/>
  <c r="G1470" i="12"/>
  <c r="G477" i="13"/>
  <c r="G485" i="13"/>
  <c r="G1350" i="13"/>
  <c r="G1124" i="13"/>
  <c r="G489" i="13"/>
  <c r="G1758" i="12"/>
  <c r="G137" i="13"/>
  <c r="G1305" i="13"/>
  <c r="G352" i="13"/>
  <c r="G1423" i="12"/>
  <c r="G889" i="13"/>
  <c r="G625" i="13"/>
  <c r="G639" i="12"/>
  <c r="G831" i="12"/>
  <c r="G1661" i="12"/>
  <c r="G1390" i="13"/>
  <c r="G1370" i="13"/>
  <c r="G1098" i="13"/>
  <c r="G1322" i="12"/>
  <c r="G1170" i="13"/>
  <c r="G1198" i="12"/>
  <c r="G1188" i="12"/>
  <c r="G1040" i="12"/>
  <c r="G1199" i="12"/>
  <c r="G1730" i="13"/>
  <c r="G981" i="12"/>
  <c r="G775" i="12"/>
  <c r="G869" i="13"/>
  <c r="G1376" i="12"/>
  <c r="G921" i="12"/>
  <c r="G97" i="12"/>
  <c r="G1208" i="13"/>
  <c r="G908" i="13"/>
  <c r="G919" i="13"/>
  <c r="G162" i="12"/>
  <c r="G1319" i="12"/>
  <c r="G1213" i="13"/>
  <c r="G215" i="13"/>
  <c r="G1892" i="13"/>
  <c r="G469" i="12"/>
  <c r="G1023" i="12"/>
  <c r="G601" i="12"/>
  <c r="G177" i="12"/>
  <c r="G1477" i="13"/>
  <c r="G700" i="13"/>
  <c r="G406" i="13"/>
  <c r="G1588" i="12"/>
  <c r="G1210" i="13"/>
  <c r="G1408" i="12"/>
  <c r="G2052" i="12"/>
  <c r="G1169" i="12"/>
  <c r="G188" i="13"/>
  <c r="G1183" i="13"/>
  <c r="G1166" i="12"/>
  <c r="G257" i="12"/>
  <c r="G555" i="13"/>
  <c r="G1667" i="12"/>
  <c r="G540" i="12"/>
  <c r="G367" i="13"/>
  <c r="G144" i="13"/>
  <c r="G1365" i="12"/>
  <c r="G554" i="12"/>
  <c r="G1496" i="12"/>
  <c r="G517" i="13"/>
  <c r="G1289" i="13"/>
  <c r="G1961" i="13"/>
  <c r="G1384" i="13"/>
  <c r="G849" i="13"/>
  <c r="G127" i="13"/>
  <c r="G732" i="13"/>
  <c r="G455" i="12"/>
  <c r="G238" i="13"/>
  <c r="G80" i="13"/>
  <c r="G33" i="13"/>
  <c r="G1188" i="13"/>
  <c r="G1997" i="13"/>
  <c r="G1575" i="12"/>
  <c r="G1173" i="13"/>
  <c r="G410" i="13"/>
  <c r="G323" i="13"/>
  <c r="G1067" i="13"/>
  <c r="G1943" i="13"/>
  <c r="G915" i="12"/>
  <c r="G879" i="13"/>
  <c r="G656" i="13"/>
  <c r="G1395" i="12"/>
  <c r="G227" i="12"/>
  <c r="G1974" i="12"/>
  <c r="G715" i="12"/>
  <c r="G1156" i="13"/>
  <c r="G1180" i="12"/>
  <c r="G1157" i="13"/>
  <c r="G1090" i="13"/>
  <c r="G1091" i="13"/>
  <c r="G2075" i="13"/>
  <c r="G61" i="13"/>
  <c r="G750" i="13"/>
  <c r="G929" i="12"/>
  <c r="G545" i="13"/>
  <c r="G122" i="13"/>
  <c r="G1518" i="12"/>
  <c r="G78" i="13"/>
  <c r="G234" i="12"/>
  <c r="G1214" i="12"/>
  <c r="G1963" i="13"/>
  <c r="G1113" i="13"/>
  <c r="G1806" i="12"/>
  <c r="G1485" i="12"/>
  <c r="G288" i="13"/>
  <c r="G141" i="12"/>
  <c r="G1580" i="13"/>
  <c r="G1638" i="13"/>
  <c r="G1316" i="13"/>
  <c r="G1998" i="12"/>
  <c r="G871" i="13"/>
  <c r="G451" i="13"/>
  <c r="G380" i="12"/>
  <c r="G2012" i="13"/>
  <c r="G1099" i="13"/>
  <c r="G2142" i="13"/>
  <c r="G2091" i="13"/>
  <c r="G803" i="12"/>
  <c r="G1746" i="12"/>
  <c r="G2132" i="13"/>
  <c r="G814" i="12"/>
  <c r="G713" i="12"/>
  <c r="G1788" i="13"/>
  <c r="G1013" i="12"/>
  <c r="G1932" i="13"/>
  <c r="G1309" i="13"/>
  <c r="G1696" i="12"/>
  <c r="G1186" i="12"/>
  <c r="G1080" i="13"/>
  <c r="G1058" i="12"/>
  <c r="G2036" i="12"/>
  <c r="G816" i="13"/>
  <c r="G946" i="12"/>
  <c r="G1637" i="13"/>
  <c r="G1664" i="12"/>
  <c r="G1318" i="12"/>
  <c r="G304" i="13"/>
  <c r="G1638" i="12"/>
  <c r="G1803" i="12"/>
  <c r="G350" i="12"/>
  <c r="G674" i="12"/>
  <c r="G760" i="13"/>
  <c r="G1778" i="13"/>
  <c r="G1650" i="13"/>
  <c r="G1952" i="12"/>
  <c r="G349" i="12"/>
  <c r="G1701" i="12"/>
  <c r="G1224" i="12"/>
  <c r="G1611" i="12"/>
  <c r="G1415" i="12"/>
  <c r="G129" i="13"/>
  <c r="G1970" i="13"/>
  <c r="G518" i="12"/>
  <c r="G478" i="13"/>
  <c r="G502" i="12"/>
  <c r="G240" i="13"/>
  <c r="G1794" i="13"/>
  <c r="G1798" i="12"/>
  <c r="G833" i="13"/>
  <c r="G1903" i="12"/>
  <c r="G1399" i="13"/>
  <c r="G1084" i="13"/>
  <c r="G1630" i="12"/>
  <c r="G1488" i="13"/>
  <c r="G1949" i="12"/>
  <c r="G390" i="13"/>
  <c r="G246" i="13"/>
  <c r="G589" i="12"/>
  <c r="G689" i="13"/>
  <c r="G1885" i="13"/>
  <c r="G132" i="12"/>
  <c r="G176" i="12"/>
  <c r="G333" i="12"/>
  <c r="G1680" i="12"/>
  <c r="G1949" i="13"/>
  <c r="G1246" i="13"/>
  <c r="G1254" i="13"/>
  <c r="G1851" i="12"/>
  <c r="G2106" i="13"/>
  <c r="G786" i="12"/>
  <c r="G1569" i="13"/>
  <c r="G1991" i="13"/>
  <c r="G1962" i="12"/>
  <c r="G2063" i="13"/>
  <c r="G1865" i="12"/>
  <c r="G847" i="12"/>
  <c r="G1105" i="13"/>
  <c r="G519" i="13"/>
  <c r="G1727" i="12"/>
  <c r="G2041" i="12"/>
  <c r="G726" i="12"/>
  <c r="G599" i="12"/>
  <c r="G1357" i="13"/>
  <c r="G238" i="12"/>
  <c r="G1092" i="12"/>
  <c r="G1623" i="12"/>
  <c r="G1680" i="13"/>
  <c r="G190" i="13"/>
  <c r="G845" i="13"/>
  <c r="G1771" i="13"/>
  <c r="G1203" i="12"/>
  <c r="G441" i="12"/>
  <c r="G1302" i="12"/>
  <c r="G581" i="12"/>
  <c r="G1207" i="12"/>
  <c r="G1575" i="13"/>
  <c r="G1054" i="13"/>
  <c r="G1388" i="13"/>
  <c r="G467" i="13"/>
  <c r="G1114" i="12"/>
  <c r="G1495" i="13"/>
  <c r="G866" i="13"/>
  <c r="G1532" i="12"/>
  <c r="G2021" i="12"/>
  <c r="G1411" i="12"/>
  <c r="G1448" i="13"/>
  <c r="G167" i="12"/>
  <c r="G287" i="12"/>
  <c r="G255" i="12"/>
  <c r="G1595" i="12"/>
  <c r="G335" i="13"/>
  <c r="G1118" i="12"/>
  <c r="G1416" i="13"/>
  <c r="G741" i="13"/>
  <c r="G1255" i="13"/>
  <c r="G46" i="12"/>
  <c r="G1132" i="13"/>
  <c r="G1873" i="12"/>
  <c r="G1140" i="13"/>
  <c r="G262" i="12"/>
  <c r="G1642" i="13"/>
  <c r="G1508" i="12"/>
  <c r="G415" i="13"/>
  <c r="G1676" i="12"/>
  <c r="G2122" i="13"/>
  <c r="G994" i="13"/>
  <c r="G1022" i="13"/>
  <c r="G1744" i="13"/>
  <c r="G1204" i="13"/>
  <c r="G2105" i="12"/>
  <c r="G1641" i="13"/>
  <c r="G1392" i="12"/>
  <c r="G488" i="13"/>
  <c r="G2008" i="12"/>
  <c r="G1315" i="12"/>
  <c r="G1044" i="13"/>
  <c r="G324" i="12"/>
  <c r="G1819" i="13"/>
  <c r="G1193" i="12"/>
  <c r="G1584" i="13"/>
  <c r="G1460" i="13"/>
  <c r="G1805" i="12"/>
  <c r="G941" i="12"/>
  <c r="G469" i="13"/>
  <c r="G2049" i="13"/>
  <c r="G550" i="12"/>
  <c r="G1509" i="13"/>
  <c r="G50" i="12"/>
  <c r="G1878" i="12"/>
  <c r="G1457" i="12"/>
  <c r="G1592" i="13"/>
  <c r="G1637" i="12"/>
  <c r="G1506" i="12"/>
  <c r="G663" i="12"/>
  <c r="G210" i="13"/>
  <c r="G1226" i="13"/>
  <c r="G1001" i="13"/>
  <c r="G1692" i="13"/>
  <c r="G1200" i="12"/>
  <c r="G1656" i="12"/>
  <c r="G190" i="12"/>
  <c r="G1766" i="12"/>
  <c r="G1677" i="12"/>
  <c r="G1296" i="13"/>
  <c r="G1411" i="13"/>
  <c r="G457" i="12"/>
  <c r="G483" i="13"/>
  <c r="G1347" i="12"/>
  <c r="G954" i="13"/>
  <c r="G224" i="13"/>
  <c r="G779" i="13"/>
  <c r="G1169" i="13"/>
  <c r="G1808" i="13"/>
  <c r="G907" i="13"/>
  <c r="G503" i="13"/>
  <c r="G451" i="12"/>
  <c r="G2055" i="12"/>
  <c r="G631" i="13"/>
  <c r="G393" i="13"/>
  <c r="G621" i="13"/>
  <c r="G1197" i="13"/>
  <c r="G333" i="13"/>
  <c r="G1185" i="12"/>
  <c r="G2078" i="13"/>
  <c r="G319" i="12"/>
  <c r="G272" i="13"/>
  <c r="G768" i="12"/>
  <c r="G1005" i="13"/>
  <c r="G327" i="12"/>
  <c r="G704" i="13"/>
  <c r="G679" i="13"/>
  <c r="G1733" i="12"/>
  <c r="G855" i="13"/>
  <c r="G922" i="12"/>
  <c r="G1417" i="13"/>
  <c r="G1137" i="12"/>
  <c r="G544" i="13"/>
  <c r="G653" i="12"/>
  <c r="G1449" i="13"/>
  <c r="G1247" i="13"/>
  <c r="G1233" i="13"/>
  <c r="G462" i="12"/>
  <c r="G41" i="12"/>
  <c r="G179" i="13"/>
  <c r="G781" i="13"/>
  <c r="G480" i="12"/>
  <c r="G1289" i="12"/>
  <c r="G808" i="13"/>
  <c r="G1807" i="13"/>
  <c r="G197" i="13"/>
  <c r="G250" i="13"/>
  <c r="G75" i="12"/>
  <c r="G1197" i="12"/>
  <c r="G1293" i="13"/>
  <c r="G170" i="13"/>
  <c r="G1078" i="13"/>
  <c r="G2127" i="12"/>
  <c r="G682" i="13"/>
  <c r="G1242" i="12"/>
  <c r="G518" i="13"/>
  <c r="G1789" i="13"/>
  <c r="G179" i="12"/>
  <c r="G275" i="12"/>
  <c r="G901" i="13"/>
  <c r="G246" i="12"/>
  <c r="G1088" i="12"/>
  <c r="G2061" i="12"/>
  <c r="G42" i="13"/>
  <c r="G691" i="13"/>
  <c r="G1335" i="13"/>
  <c r="G782" i="12"/>
  <c r="G1483" i="13"/>
  <c r="G411" i="12"/>
  <c r="G265" i="12"/>
  <c r="G1467" i="13"/>
  <c r="G156" i="12"/>
  <c r="G1109" i="13"/>
  <c r="G741" i="12"/>
  <c r="G29" i="13"/>
  <c r="G2060" i="13"/>
  <c r="G1389" i="12"/>
  <c r="G887" i="13"/>
  <c r="G343" i="12"/>
  <c r="G1189" i="12"/>
  <c r="G1189" i="13"/>
  <c r="G70" i="13"/>
  <c r="G1164" i="12"/>
  <c r="G1704" i="13"/>
  <c r="G1831" i="12"/>
  <c r="G250" i="12"/>
  <c r="G2001" i="12"/>
  <c r="G828" i="13"/>
  <c r="G1855" i="12"/>
  <c r="G2056" i="13"/>
  <c r="G667" i="13"/>
  <c r="G280" i="12"/>
  <c r="G352" i="12"/>
  <c r="G370" i="13"/>
  <c r="G1212" i="12"/>
  <c r="G1898" i="13"/>
  <c r="G419" i="13"/>
  <c r="G981" i="13"/>
  <c r="G1999" i="12"/>
  <c r="G585" i="13"/>
  <c r="G1757" i="12"/>
  <c r="G1987" i="13"/>
  <c r="G1668" i="13"/>
  <c r="G1879" i="13"/>
  <c r="G136" i="13"/>
  <c r="G1534" i="12"/>
  <c r="G1437" i="13"/>
  <c r="G2121" i="13"/>
  <c r="G1157" i="12"/>
  <c r="G1906" i="13"/>
  <c r="G1711" i="12"/>
  <c r="G1338" i="12"/>
  <c r="G617" i="12"/>
  <c r="G131" i="13"/>
  <c r="G405" i="13"/>
  <c r="G1578" i="12"/>
  <c r="G1888" i="13"/>
  <c r="G315" i="12"/>
  <c r="G1112" i="12"/>
  <c r="G2131" i="12"/>
  <c r="G1757" i="13"/>
  <c r="G291" i="13"/>
  <c r="G424" i="12"/>
  <c r="G211" i="12"/>
  <c r="G1343" i="12"/>
  <c r="G253" i="13"/>
  <c r="G1565" i="12"/>
  <c r="G1967" i="12"/>
  <c r="G1199" i="13"/>
  <c r="G1869" i="12"/>
  <c r="G1363" i="12"/>
  <c r="G1901" i="12"/>
  <c r="G1717" i="13"/>
  <c r="G321" i="13"/>
  <c r="G1846" i="12"/>
  <c r="G1410" i="13"/>
  <c r="G1737" i="12"/>
  <c r="G1706" i="13"/>
  <c r="G1388" i="12"/>
  <c r="G1272" i="13"/>
  <c r="G1929" i="12"/>
  <c r="G186" i="12"/>
  <c r="G1883" i="12"/>
  <c r="G431" i="12"/>
  <c r="G1984" i="13"/>
  <c r="G2008" i="13"/>
  <c r="G1057" i="12"/>
  <c r="G809" i="12"/>
  <c r="G1154" i="12"/>
  <c r="G2015" i="12"/>
  <c r="G767" i="12"/>
  <c r="G1298" i="12"/>
  <c r="G1223" i="12"/>
  <c r="G1651" i="12"/>
  <c r="G2130" i="12"/>
  <c r="G94" i="12"/>
  <c r="G731" i="12"/>
  <c r="G1573" i="13"/>
  <c r="G155" i="13"/>
  <c r="G1684" i="12"/>
  <c r="G1567" i="13"/>
  <c r="G233" i="12"/>
  <c r="G1965" i="13"/>
  <c r="G647" i="12"/>
  <c r="G433" i="13"/>
  <c r="G375" i="13"/>
  <c r="G1031" i="12"/>
  <c r="G362" i="13"/>
  <c r="G2000" i="13"/>
  <c r="G1693" i="12"/>
  <c r="G2033" i="12"/>
  <c r="G115" i="12"/>
  <c r="G682" i="12"/>
  <c r="G139" i="12"/>
  <c r="G747" i="13"/>
  <c r="G418" i="13"/>
  <c r="G1050" i="13"/>
  <c r="G2016" i="13"/>
  <c r="G934" i="12"/>
  <c r="G1563" i="13"/>
  <c r="G87" i="12"/>
  <c r="G120" i="13"/>
  <c r="G766" i="13"/>
  <c r="G2117" i="12"/>
  <c r="G1482" i="12"/>
  <c r="G1121" i="13"/>
  <c r="G277" i="12"/>
  <c r="G1293" i="12"/>
  <c r="G1745" i="13"/>
  <c r="G510" i="13"/>
  <c r="G1644" i="12"/>
  <c r="G579" i="13"/>
  <c r="G2053" i="12"/>
  <c r="G1576" i="12"/>
  <c r="G1397" i="13"/>
  <c r="G1135" i="13"/>
  <c r="G2040" i="13"/>
  <c r="G996" i="13"/>
  <c r="G496" i="13"/>
  <c r="G907" i="12"/>
  <c r="G1839" i="13"/>
  <c r="G616" i="13"/>
  <c r="G1498" i="13"/>
  <c r="G2069" i="13"/>
  <c r="G943" i="13"/>
  <c r="G118" i="12"/>
  <c r="G111" i="12"/>
  <c r="G1824" i="13"/>
  <c r="G2075" i="12"/>
  <c r="G229" i="12"/>
  <c r="G123" i="13"/>
  <c r="G401" i="13"/>
  <c r="G1656" i="13"/>
  <c r="G638" i="13"/>
  <c r="G112" i="13"/>
  <c r="G366" i="13"/>
  <c r="G965" i="13"/>
  <c r="G1864" i="12"/>
  <c r="G1538" i="13"/>
  <c r="G1453" i="12"/>
  <c r="G1026" i="13"/>
  <c r="G1304" i="12"/>
  <c r="G789" i="13"/>
  <c r="G1085" i="13"/>
  <c r="G159" i="13"/>
  <c r="G460" i="12"/>
  <c r="G596" i="13"/>
  <c r="G1908" i="13"/>
  <c r="G944" i="13"/>
  <c r="G775" i="13"/>
  <c r="G799" i="13"/>
  <c r="G1319" i="13"/>
  <c r="G1669" i="13"/>
  <c r="G1721" i="13"/>
  <c r="G1599" i="12"/>
  <c r="G140" i="13"/>
  <c r="G1929" i="13"/>
  <c r="G1307" i="12"/>
  <c r="G1485" i="13"/>
  <c r="G1939" i="12"/>
  <c r="G1673" i="12"/>
  <c r="G1959" i="13"/>
  <c r="G303" i="12"/>
  <c r="G1414" i="12"/>
  <c r="G247" i="12"/>
  <c r="G925" i="13"/>
  <c r="G286" i="12"/>
  <c r="G119" i="12"/>
  <c r="G1177" i="13"/>
  <c r="G873" i="13"/>
  <c r="G1690" i="13"/>
  <c r="G58" i="12"/>
  <c r="G1465" i="12"/>
  <c r="G1653" i="13"/>
  <c r="G45" i="13"/>
  <c r="G1613" i="13"/>
  <c r="G1328" i="12"/>
  <c r="G765" i="12"/>
  <c r="G1564" i="13"/>
  <c r="G1230" i="12"/>
  <c r="G1372" i="12"/>
  <c r="G1275" i="12"/>
  <c r="G1228" i="12"/>
  <c r="G251" i="13"/>
  <c r="G587" i="13"/>
  <c r="G1337" i="13"/>
  <c r="G379" i="13"/>
  <c r="G1284" i="12"/>
  <c r="G1490" i="12"/>
  <c r="G2039" i="13"/>
  <c r="G1235" i="12"/>
  <c r="G124" i="13"/>
  <c r="G1685" i="12"/>
  <c r="G2100" i="12"/>
  <c r="G1336" i="12"/>
  <c r="G1591" i="12"/>
  <c r="G160" i="13"/>
  <c r="G1340" i="13"/>
  <c r="G40" i="12"/>
  <c r="G904" i="12"/>
  <c r="G1554" i="12"/>
  <c r="G312" i="12"/>
  <c r="G848" i="13"/>
  <c r="G599" i="13"/>
  <c r="G1477" i="12"/>
  <c r="G1079" i="13"/>
  <c r="G397" i="12"/>
  <c r="G1822" i="12"/>
  <c r="G1194" i="12"/>
  <c r="G1461" i="13"/>
  <c r="G81" i="13"/>
  <c r="G1996" i="12"/>
  <c r="G1509" i="12"/>
  <c r="G294" i="13"/>
  <c r="G1731" i="12"/>
  <c r="G588" i="13"/>
  <c r="G797" i="13"/>
  <c r="G491" i="13"/>
  <c r="G1094" i="13"/>
  <c r="G1362" i="12"/>
  <c r="G1740" i="12"/>
  <c r="G1260" i="12"/>
  <c r="G1360" i="13"/>
  <c r="G540" i="13"/>
  <c r="G602" i="12"/>
  <c r="G464" i="12"/>
  <c r="G668" i="13"/>
  <c r="G1064" i="13"/>
  <c r="G1017" i="13"/>
  <c r="G873" i="12"/>
  <c r="G1024" i="13"/>
  <c r="G529" i="12"/>
  <c r="G474" i="12"/>
  <c r="G624" i="13"/>
  <c r="G1519" i="12"/>
  <c r="G770" i="13"/>
  <c r="G2065" i="12"/>
  <c r="G1556" i="13"/>
  <c r="G900" i="13"/>
  <c r="G1167" i="12"/>
  <c r="G1234" i="13"/>
  <c r="G686" i="13"/>
  <c r="G1338" i="13"/>
  <c r="G685" i="13"/>
  <c r="G282" i="12"/>
  <c r="G575" i="12"/>
  <c r="G1345" i="12"/>
  <c r="G1804" i="13"/>
  <c r="G1987" i="12"/>
  <c r="G2102" i="12"/>
  <c r="G1526" i="12"/>
  <c r="G855" i="12"/>
  <c r="G2046" i="12"/>
  <c r="G1046" i="13"/>
  <c r="G1524" i="12"/>
  <c r="G1833" i="12"/>
  <c r="G422" i="12"/>
  <c r="G523" i="13"/>
  <c r="G874" i="12"/>
  <c r="G919" i="12"/>
  <c r="G2073" i="13"/>
  <c r="G1231" i="12"/>
  <c r="G1442" i="12"/>
  <c r="G785" i="13"/>
  <c r="G1151" i="12"/>
  <c r="G1312" i="12"/>
  <c r="G429" i="12"/>
  <c r="G1971" i="12"/>
  <c r="G1454" i="13"/>
  <c r="G1994" i="12"/>
  <c r="G1890" i="13"/>
  <c r="G1368" i="13"/>
  <c r="G1036" i="12"/>
  <c r="G2054" i="13"/>
  <c r="G2128" i="12"/>
  <c r="G1750" i="12"/>
  <c r="G1914" i="13"/>
  <c r="G220" i="12"/>
  <c r="G1894" i="12"/>
  <c r="G675" i="12"/>
  <c r="G1125" i="12"/>
  <c r="G805" i="13"/>
  <c r="G1045" i="12"/>
  <c r="G2047" i="12"/>
  <c r="G1874" i="12"/>
  <c r="G283" i="13"/>
  <c r="G1883" i="13"/>
  <c r="G508" i="12"/>
  <c r="G1984" i="12"/>
  <c r="G295" i="12"/>
  <c r="G1324" i="12"/>
  <c r="G1325" i="12"/>
  <c r="G1308" i="13"/>
  <c r="G1812" i="12"/>
  <c r="G1817" i="13"/>
  <c r="G807" i="13"/>
  <c r="G1262" i="13"/>
  <c r="G769" i="12"/>
  <c r="G874" i="13"/>
  <c r="G215" i="12"/>
  <c r="G1209" i="12"/>
  <c r="G221" i="13"/>
  <c r="G207" i="13"/>
  <c r="G1789" i="12"/>
  <c r="G2016" i="12"/>
  <c r="G1767" i="12"/>
  <c r="G566" i="12"/>
  <c r="G52" i="12"/>
  <c r="G1407" i="13"/>
  <c r="G2017" i="13"/>
  <c r="G1639" i="13"/>
  <c r="G2089" i="13"/>
  <c r="G1753" i="13"/>
  <c r="G1080" i="12"/>
  <c r="G1546" i="12"/>
  <c r="G295" i="13"/>
  <c r="G35" i="13"/>
  <c r="G945" i="13"/>
  <c r="G1634" i="13"/>
  <c r="G191" i="12"/>
  <c r="G2022" i="13"/>
  <c r="G1074" i="12"/>
  <c r="G764" i="13"/>
  <c r="G931" i="13"/>
  <c r="G1119" i="12"/>
  <c r="G377" i="12"/>
  <c r="G1451" i="13"/>
  <c r="G209" i="12"/>
  <c r="G1764" i="12"/>
  <c r="G584" i="13"/>
  <c r="G184" i="13"/>
  <c r="G724" i="12"/>
  <c r="G218" i="13"/>
  <c r="G1355" i="13"/>
  <c r="G1884" i="13"/>
  <c r="G1012" i="13"/>
  <c r="G1630" i="13"/>
  <c r="G1873" i="13"/>
  <c r="G1126" i="12"/>
  <c r="G1296" i="12"/>
  <c r="G1309" i="12"/>
  <c r="G537" i="13"/>
  <c r="G751" i="12"/>
  <c r="G1635" i="12"/>
  <c r="G1944" i="12"/>
  <c r="G1982" i="13"/>
  <c r="G1112" i="13"/>
  <c r="G1123" i="12"/>
  <c r="G1269" i="13"/>
  <c r="G971" i="13"/>
  <c r="G465" i="13"/>
  <c r="G1407" i="12"/>
  <c r="G2090" i="12"/>
  <c r="G695" i="13"/>
  <c r="G362" i="12"/>
  <c r="G453" i="13"/>
  <c r="G1827" i="13"/>
  <c r="G1464" i="13"/>
  <c r="G1458" i="13"/>
  <c r="G514" i="13"/>
  <c r="G60" i="13"/>
  <c r="G1308" i="12"/>
  <c r="G48" i="12"/>
  <c r="G612" i="13"/>
  <c r="G841" i="12"/>
  <c r="G1154" i="13"/>
  <c r="G1551" i="13"/>
  <c r="G1946" i="12"/>
  <c r="G681" i="13"/>
  <c r="G287" i="13"/>
  <c r="G1291" i="13"/>
  <c r="G1671" i="13"/>
  <c r="G1643" i="12"/>
  <c r="G1271" i="13"/>
  <c r="G1454" i="12"/>
  <c r="G1498" i="12"/>
  <c r="G1753" i="12"/>
  <c r="G984" i="13"/>
  <c r="G955" i="13"/>
  <c r="G594" i="12"/>
  <c r="G700" i="12"/>
  <c r="G432" i="12"/>
  <c r="G1618" i="12"/>
  <c r="G100" i="12"/>
  <c r="G172" i="12"/>
  <c r="G1320" i="12"/>
  <c r="G1351" i="12"/>
  <c r="G421" i="12"/>
  <c r="G949" i="13"/>
  <c r="G377" i="13"/>
  <c r="G637" i="13"/>
  <c r="G570" i="13"/>
  <c r="G340" i="13"/>
  <c r="G545" i="12"/>
  <c r="G498" i="13"/>
  <c r="G230" i="13"/>
  <c r="G114" i="13"/>
  <c r="G511" i="12"/>
  <c r="G1176" i="12"/>
  <c r="G44" i="13"/>
  <c r="G1465" i="13"/>
  <c r="G175" i="13"/>
  <c r="G2097" i="12"/>
  <c r="G721" i="12"/>
  <c r="G1057" i="13"/>
  <c r="G1418" i="13"/>
  <c r="G1517" i="13"/>
  <c r="G1225" i="13"/>
  <c r="G1431" i="13"/>
  <c r="G1714" i="12"/>
  <c r="G1255" i="12"/>
  <c r="G375" i="12"/>
  <c r="G719" i="12"/>
  <c r="G107" i="13"/>
  <c r="G727" i="13"/>
  <c r="G1049" i="13"/>
  <c r="G1111" i="12"/>
  <c r="G729" i="13"/>
  <c r="G1457" i="13"/>
  <c r="G1772" i="13"/>
  <c r="G1719" i="12"/>
  <c r="G1364" i="13"/>
  <c r="G1540" i="12"/>
  <c r="G1930" i="13"/>
  <c r="G1340" i="12"/>
  <c r="G708" i="13"/>
  <c r="G1239" i="12"/>
  <c r="G2101" i="12"/>
  <c r="G1033" i="13"/>
  <c r="G1375" i="13"/>
  <c r="G324" i="13"/>
  <c r="G2045" i="12"/>
  <c r="G666" i="12"/>
  <c r="G154" i="13"/>
  <c r="G1598" i="12"/>
  <c r="G458" i="13"/>
  <c r="G1475" i="13"/>
  <c r="G1899" i="13"/>
  <c r="G244" i="13"/>
  <c r="G1492" i="12"/>
  <c r="G1029" i="13"/>
  <c r="G1390" i="12"/>
  <c r="G1662" i="12"/>
  <c r="G1300" i="12"/>
  <c r="G57" i="12"/>
  <c r="G977" i="12"/>
  <c r="G1280" i="12"/>
  <c r="G763" i="13"/>
  <c r="G32" i="12"/>
  <c r="G644" i="12"/>
  <c r="G891" i="13"/>
  <c r="G1604" i="12"/>
  <c r="G951" i="13"/>
  <c r="G441" i="13"/>
  <c r="G1624" i="13"/>
  <c r="G1058" i="13"/>
  <c r="G1643" i="13"/>
  <c r="G2108" i="13"/>
  <c r="G1369" i="12"/>
  <c r="G1285" i="13"/>
  <c r="G970" i="13"/>
  <c r="G1537" i="13"/>
  <c r="G2010" i="12"/>
  <c r="G1517" i="12"/>
  <c r="G1217" i="13"/>
  <c r="G1367" i="13"/>
  <c r="G1573" i="12"/>
  <c r="G1247" i="12"/>
  <c r="G412" i="13"/>
  <c r="G1978" i="13"/>
  <c r="G439" i="13"/>
  <c r="G1352" i="12"/>
  <c r="G84" i="13"/>
  <c r="G1687" i="12"/>
  <c r="G368" i="13"/>
  <c r="G128" i="13"/>
  <c r="G1782" i="13"/>
  <c r="G1356" i="13"/>
  <c r="G1528" i="13"/>
  <c r="G1322" i="13"/>
  <c r="G1395" i="13"/>
  <c r="G1453" i="13"/>
  <c r="G55" i="13"/>
  <c r="G2003" i="12"/>
  <c r="G699" i="12"/>
  <c r="G774" i="13"/>
  <c r="G707" i="12"/>
  <c r="G1287" i="12"/>
  <c r="G551" i="12"/>
  <c r="G889" i="12"/>
  <c r="G571" i="12"/>
  <c r="G268" i="12"/>
  <c r="G101" i="13"/>
  <c r="G957" i="12"/>
  <c r="G1146" i="12"/>
  <c r="G1301" i="13"/>
  <c r="G462" i="13"/>
  <c r="G99" i="12"/>
  <c r="G579" i="12"/>
  <c r="G486" i="12"/>
  <c r="G691" i="12"/>
  <c r="G1017" i="12"/>
  <c r="G1443" i="13"/>
  <c r="G627" i="12"/>
  <c r="G608" i="13"/>
  <c r="G446" i="12"/>
  <c r="G548" i="12"/>
  <c r="G427" i="12"/>
  <c r="G1147" i="12"/>
  <c r="G194" i="12"/>
  <c r="G262" i="13"/>
  <c r="G1087" i="13"/>
  <c r="G1131" i="12"/>
  <c r="G534" i="12"/>
  <c r="G1127" i="12"/>
  <c r="G932" i="12"/>
  <c r="G491" i="12"/>
  <c r="G434" i="12"/>
  <c r="G230" i="12"/>
  <c r="G146" i="12"/>
  <c r="G515" i="12"/>
  <c r="G350" i="13"/>
  <c r="G163" i="13"/>
  <c r="G428" i="12"/>
  <c r="G1206" i="12"/>
  <c r="G1150" i="12"/>
  <c r="G883" i="12"/>
  <c r="G413" i="12"/>
  <c r="G1321" i="13"/>
  <c r="G970" i="12"/>
  <c r="G142" i="12"/>
  <c r="G264" i="13"/>
  <c r="G756" i="12"/>
  <c r="G1083" i="12"/>
  <c r="G955" i="12"/>
  <c r="G819" i="12"/>
  <c r="G1144" i="12"/>
  <c r="G505" i="12"/>
  <c r="G755" i="12"/>
  <c r="G1091" i="12"/>
  <c r="G1434" i="13"/>
  <c r="G872" i="12"/>
  <c r="G326" i="12"/>
  <c r="G908" i="12"/>
  <c r="G1029" i="12"/>
  <c r="G1020" i="12"/>
  <c r="G953" i="12"/>
  <c r="G150" i="13"/>
  <c r="G892" i="13"/>
  <c r="G634" i="12"/>
  <c r="G1553" i="13"/>
  <c r="G1535" i="13"/>
  <c r="G1148" i="12"/>
  <c r="G789" i="12"/>
  <c r="G252" i="12"/>
  <c r="G1098" i="12"/>
  <c r="G260" i="12"/>
  <c r="G435" i="12"/>
  <c r="G1063" i="12"/>
  <c r="G346" i="12"/>
  <c r="G507" i="12"/>
  <c r="G569" i="12"/>
  <c r="G1081" i="12"/>
  <c r="G1067" i="12"/>
  <c r="G409" i="13"/>
  <c r="G615" i="12"/>
  <c r="G740" i="12"/>
  <c r="G563" i="12"/>
  <c r="G224" i="12"/>
  <c r="G575" i="13"/>
  <c r="G616" i="12"/>
  <c r="G1367" i="12"/>
  <c r="G353" i="12"/>
  <c r="G1118" i="13"/>
  <c r="G686" i="12"/>
  <c r="G675" i="13"/>
  <c r="G499" i="12"/>
  <c r="G155" i="12"/>
  <c r="G1034" i="12"/>
  <c r="G1196" i="12"/>
  <c r="G1101" i="12"/>
  <c r="G899" i="12"/>
  <c r="G902" i="12"/>
  <c r="G835" i="12"/>
  <c r="G1493" i="13"/>
  <c r="G935" i="12"/>
  <c r="G990" i="13"/>
  <c r="G458" i="12"/>
  <c r="G226" i="12"/>
  <c r="G693" i="12"/>
  <c r="G96" i="13"/>
  <c r="G355" i="12"/>
  <c r="G1162" i="12"/>
  <c r="G697" i="12"/>
  <c r="G743" i="12"/>
  <c r="G128" i="12"/>
  <c r="G890" i="12"/>
  <c r="G754" i="13"/>
  <c r="G384" i="12"/>
  <c r="G963" i="12"/>
  <c r="G826" i="12"/>
  <c r="G152" i="12"/>
  <c r="G999" i="12"/>
  <c r="G825" i="12"/>
  <c r="G891" i="12"/>
  <c r="G820" i="12"/>
  <c r="G683" i="12"/>
  <c r="G399" i="13"/>
  <c r="G1185" i="13"/>
  <c r="G1155" i="12"/>
  <c r="G1252" i="13"/>
  <c r="G1000" i="12"/>
  <c r="G206" i="12"/>
  <c r="G410" i="12"/>
  <c r="G552" i="12"/>
  <c r="G566" i="13"/>
  <c r="G698" i="12"/>
  <c r="G1347" i="13"/>
  <c r="G117" i="12"/>
  <c r="G641" i="13"/>
  <c r="G954" i="12"/>
  <c r="G1106" i="12"/>
  <c r="G380" i="13"/>
  <c r="G862" i="13"/>
  <c r="G643" i="12"/>
  <c r="G445" i="12"/>
  <c r="G1145" i="12"/>
  <c r="G668" i="12"/>
  <c r="G597" i="12"/>
  <c r="G693" i="13"/>
  <c r="G123" i="12"/>
  <c r="G1128" i="12"/>
  <c r="G619" i="12"/>
  <c r="G762" i="12"/>
  <c r="G437" i="12"/>
  <c r="G506" i="12"/>
  <c r="G254" i="12"/>
  <c r="G771" i="12"/>
  <c r="G1263" i="13"/>
  <c r="G606" i="12"/>
  <c r="G1445" i="12"/>
  <c r="G166" i="12"/>
  <c r="G154" i="12"/>
  <c r="G356" i="12"/>
  <c r="G911" i="13"/>
  <c r="G484" i="12"/>
  <c r="G612" i="12"/>
  <c r="G1541" i="13"/>
  <c r="G947" i="12"/>
  <c r="G570" i="12"/>
  <c r="G827" i="12"/>
  <c r="G345" i="13"/>
  <c r="G1064" i="12"/>
  <c r="G952" i="13"/>
  <c r="G680" i="12"/>
  <c r="G1089" i="13"/>
  <c r="G440" i="13"/>
  <c r="G875" i="12"/>
  <c r="G374" i="12"/>
  <c r="G852" i="12"/>
  <c r="G679" i="12"/>
  <c r="G418" i="12"/>
  <c r="G662" i="13"/>
  <c r="G1003" i="12"/>
  <c r="G1027" i="12"/>
  <c r="G392" i="12"/>
  <c r="G1078" i="12"/>
  <c r="G245" i="12"/>
  <c r="G868" i="12"/>
  <c r="G1481" i="13"/>
  <c r="G1170" i="12"/>
  <c r="G936" i="12"/>
  <c r="G588" i="12"/>
  <c r="G555" i="12"/>
  <c r="G335" i="12"/>
  <c r="G808" i="12"/>
  <c r="G414" i="12"/>
  <c r="G1075" i="12"/>
  <c r="G488" i="12"/>
  <c r="G150" i="12"/>
  <c r="G231" i="13"/>
  <c r="G763" i="12"/>
  <c r="G761" i="12"/>
  <c r="G1173" i="12"/>
  <c r="G743" i="13"/>
  <c r="G371" i="12"/>
  <c r="G397" i="13"/>
  <c r="G871" i="12"/>
  <c r="G1897" i="12"/>
  <c r="G978" i="12"/>
  <c r="G758" i="12"/>
  <c r="G256" i="12"/>
  <c r="G242" i="13"/>
  <c r="G972" i="12"/>
  <c r="G633" i="12"/>
  <c r="G465" i="12"/>
  <c r="G1756" i="12"/>
  <c r="G1011" i="12"/>
  <c r="G332" i="12"/>
  <c r="G635" i="12"/>
  <c r="G120" i="12"/>
  <c r="G1082" i="12"/>
  <c r="G1018" i="12"/>
  <c r="G564" i="12"/>
  <c r="G747" i="12"/>
  <c r="G807" i="12"/>
  <c r="G1019" i="12"/>
  <c r="G869" i="12"/>
  <c r="G939" i="12"/>
  <c r="G892" i="12"/>
  <c r="G181" i="13"/>
  <c r="G812" i="12"/>
  <c r="G1042" i="12"/>
  <c r="G208" i="12"/>
  <c r="G1642" i="12"/>
  <c r="G1120" i="13"/>
  <c r="G830" i="12"/>
  <c r="G328" i="12"/>
  <c r="G331" i="13"/>
  <c r="G998" i="12"/>
  <c r="G692" i="12"/>
  <c r="G1139" i="12"/>
  <c r="G241" i="13"/>
  <c r="G811" i="12"/>
  <c r="G358" i="12"/>
  <c r="G436" i="12"/>
  <c r="G776" i="13"/>
  <c r="G744" i="12"/>
  <c r="A366" i="3"/>
  <c r="C366" i="3" s="1"/>
  <c r="G24" i="13" l="1"/>
  <c r="G5" i="13"/>
  <c r="G6" i="12"/>
  <c r="G25" i="13"/>
  <c r="G16" i="12"/>
  <c r="G21" i="12"/>
  <c r="G27" i="12"/>
  <c r="G10" i="12"/>
  <c r="G2" i="12"/>
  <c r="G23" i="12"/>
  <c r="G9" i="13"/>
  <c r="G19" i="13"/>
  <c r="G15" i="12"/>
  <c r="G8" i="12"/>
  <c r="G13" i="13"/>
  <c r="G5" i="12"/>
  <c r="G3" i="13"/>
  <c r="G7" i="13"/>
  <c r="G15" i="13"/>
  <c r="G28" i="12"/>
  <c r="G26" i="12"/>
  <c r="G14" i="13"/>
  <c r="G7" i="12"/>
  <c r="G17" i="13"/>
  <c r="G18" i="13"/>
  <c r="G12" i="13"/>
  <c r="G16" i="13"/>
  <c r="G3" i="12"/>
  <c r="G9" i="12"/>
  <c r="G24" i="12"/>
  <c r="G4" i="13"/>
  <c r="G18" i="12"/>
  <c r="G20" i="13"/>
  <c r="G22" i="12"/>
  <c r="G2" i="13"/>
  <c r="G13" i="12"/>
  <c r="G23" i="13"/>
  <c r="G26" i="13"/>
  <c r="G22" i="13"/>
  <c r="G20" i="12"/>
  <c r="G4" i="12"/>
  <c r="G11" i="13"/>
  <c r="G21" i="13"/>
  <c r="G10" i="13"/>
  <c r="G25" i="12"/>
  <c r="G27" i="13"/>
  <c r="G17" i="12"/>
  <c r="G28" i="13"/>
  <c r="G30" i="13"/>
  <c r="G36" i="12"/>
  <c r="G65" i="13"/>
  <c r="G56" i="13"/>
  <c r="G63" i="13"/>
  <c r="G38" i="13"/>
  <c r="K11" i="4"/>
  <c r="K7" i="4"/>
  <c r="K14" i="4"/>
  <c r="K12" i="4"/>
  <c r="K13" i="4"/>
  <c r="K10" i="4"/>
  <c r="K9" i="4"/>
  <c r="K558" i="4"/>
  <c r="K517" i="4"/>
  <c r="K543" i="4"/>
  <c r="K274" i="4"/>
  <c r="K546" i="4"/>
  <c r="K551" i="4"/>
  <c r="K508" i="4"/>
  <c r="K559" i="4"/>
  <c r="K545" i="4"/>
  <c r="K504" i="4"/>
  <c r="K492" i="4"/>
  <c r="K431" i="4"/>
  <c r="K282" i="4"/>
  <c r="K387" i="4"/>
  <c r="K393" i="4"/>
  <c r="K515" i="4"/>
  <c r="K351" i="4"/>
  <c r="K328" i="4"/>
  <c r="K427" i="4"/>
  <c r="K391" i="4"/>
  <c r="K475" i="4"/>
  <c r="K419" i="4"/>
  <c r="K448" i="4"/>
  <c r="K505" i="4"/>
  <c r="K296" i="4"/>
  <c r="K295" i="4"/>
  <c r="K288" i="4"/>
  <c r="K402" i="4"/>
  <c r="K444" i="4"/>
  <c r="K325" i="4"/>
  <c r="K473" i="4"/>
  <c r="K447" i="4"/>
  <c r="K424" i="4"/>
  <c r="K460" i="4"/>
  <c r="K270" i="4"/>
  <c r="K499" i="4"/>
  <c r="K277" i="4"/>
  <c r="K506" i="4"/>
  <c r="K279" i="4"/>
  <c r="K380" i="4"/>
  <c r="K487" i="4"/>
  <c r="K531" i="4"/>
  <c r="K414" i="4"/>
  <c r="K412" i="4"/>
  <c r="K403" i="4"/>
  <c r="K324" i="4"/>
  <c r="K361" i="4"/>
  <c r="K298" i="4"/>
  <c r="K276" i="4"/>
  <c r="K486" i="4"/>
  <c r="K458" i="4"/>
  <c r="K417" i="4"/>
  <c r="K323" i="4"/>
  <c r="K394" i="4"/>
  <c r="K494" i="4"/>
  <c r="K529" i="4"/>
  <c r="K437" i="4"/>
  <c r="K357" i="4"/>
  <c r="K413" i="4"/>
  <c r="K378" i="4"/>
  <c r="K536" i="4"/>
  <c r="K371" i="4"/>
  <c r="K433" i="4"/>
  <c r="K339" i="4"/>
  <c r="K305" i="4"/>
  <c r="K480" i="4"/>
  <c r="K332" i="4"/>
  <c r="K312" i="4"/>
  <c r="K449" i="4"/>
  <c r="K334" i="4"/>
  <c r="K428" i="4"/>
  <c r="K281" i="4"/>
  <c r="K303" i="4"/>
  <c r="K434" i="4"/>
  <c r="K346" i="4"/>
  <c r="K311" i="4"/>
  <c r="K445" i="4"/>
  <c r="K313" i="4"/>
  <c r="K459" i="4"/>
  <c r="K316" i="4"/>
  <c r="K353" i="4"/>
  <c r="K369" i="4"/>
  <c r="K278" i="4"/>
  <c r="K299" i="4"/>
  <c r="K465" i="4"/>
  <c r="K528" i="4"/>
  <c r="K397" i="4"/>
  <c r="K355" i="4"/>
  <c r="K530" i="4"/>
  <c r="K553" i="4"/>
  <c r="K293" i="4"/>
  <c r="K471" i="4"/>
  <c r="K474" i="4"/>
  <c r="K310" i="4"/>
  <c r="K470" i="4"/>
  <c r="K510" i="4"/>
  <c r="K518" i="4"/>
  <c r="K410" i="4"/>
  <c r="K411" i="4"/>
  <c r="K493" i="4"/>
  <c r="K365" i="4"/>
  <c r="K497" i="4"/>
  <c r="K382" i="4"/>
  <c r="K513" i="4"/>
  <c r="K343" i="4"/>
  <c r="K327" i="4"/>
  <c r="K442" i="4"/>
  <c r="K280" i="4"/>
  <c r="K286" i="4"/>
  <c r="K302" i="4"/>
  <c r="K315" i="4"/>
  <c r="K363" i="4"/>
  <c r="K379" i="4"/>
  <c r="K349" i="4"/>
  <c r="K385" i="4"/>
  <c r="K472" i="4"/>
  <c r="K484" i="4"/>
  <c r="K482" i="4"/>
  <c r="K341" i="4"/>
  <c r="K374" i="4"/>
  <c r="K388" i="4"/>
  <c r="K273" i="4"/>
  <c r="K356" i="4"/>
  <c r="K333" i="4"/>
  <c r="K271" i="4"/>
  <c r="K544" i="4"/>
  <c r="K372" i="4"/>
  <c r="K272" i="4"/>
  <c r="K362" i="4"/>
  <c r="K488" i="4"/>
  <c r="K450" i="4"/>
  <c r="K406" i="4"/>
  <c r="K321" i="4"/>
  <c r="K432" i="4"/>
  <c r="K308" i="4"/>
  <c r="K491" i="4"/>
  <c r="K441" i="4"/>
  <c r="K521" i="4"/>
  <c r="K489" i="4"/>
  <c r="K314" i="4"/>
  <c r="K534" i="4"/>
  <c r="K542" i="4"/>
  <c r="K461" i="4"/>
  <c r="K519" i="4"/>
  <c r="K453" i="4"/>
  <c r="K533" i="4"/>
  <c r="K344" i="4"/>
  <c r="K348" i="4"/>
  <c r="K420" i="4"/>
  <c r="K408" i="4"/>
  <c r="K501" i="4"/>
  <c r="K514" i="4"/>
  <c r="K384" i="4"/>
  <c r="K304" i="4"/>
  <c r="K468" i="4"/>
  <c r="K338" i="4"/>
  <c r="K340" i="4"/>
  <c r="K503" i="4"/>
  <c r="K283" i="4"/>
  <c r="K370" i="4"/>
  <c r="K269" i="4"/>
  <c r="K415" i="4"/>
  <c r="K467" i="4"/>
  <c r="K317" i="4"/>
  <c r="K552" i="4"/>
  <c r="K287" i="4"/>
  <c r="K350" i="4"/>
  <c r="K440" i="4"/>
  <c r="K438" i="4"/>
  <c r="K354" i="4"/>
  <c r="K512" i="4"/>
  <c r="K290" i="4"/>
  <c r="K539" i="4"/>
  <c r="K347" i="4"/>
  <c r="K526" i="4"/>
  <c r="K476" i="4"/>
  <c r="K301" i="4"/>
  <c r="K532" i="4"/>
  <c r="K360" i="4"/>
  <c r="K297" i="4"/>
  <c r="K455" i="4"/>
  <c r="K463" i="4"/>
  <c r="K426" i="4"/>
  <c r="K330" i="4"/>
  <c r="K337" i="4"/>
  <c r="K398" i="4"/>
  <c r="K502" i="4"/>
  <c r="K285" i="4"/>
  <c r="K477" i="4"/>
  <c r="K392" i="4"/>
  <c r="K481" i="4"/>
  <c r="K358" i="4"/>
  <c r="K381" i="4"/>
  <c r="K300" i="4"/>
  <c r="K516" i="4"/>
  <c r="K373" i="4"/>
  <c r="K429" i="4"/>
  <c r="K416" i="4"/>
  <c r="K452" i="4"/>
  <c r="K335" i="4"/>
  <c r="K446" i="4"/>
  <c r="K329" i="4"/>
  <c r="K366" i="4"/>
  <c r="K368" i="4"/>
  <c r="K336" i="4"/>
  <c r="K485" i="4"/>
  <c r="K307" i="4"/>
  <c r="K496" i="4"/>
  <c r="K375" i="4"/>
  <c r="K390" i="4"/>
  <c r="K439" i="4"/>
  <c r="K291" i="4"/>
  <c r="K478" i="4"/>
  <c r="K400" i="4"/>
  <c r="K294" i="4"/>
  <c r="K376" i="4"/>
  <c r="K469" i="4"/>
  <c r="K522" i="4"/>
  <c r="K525" i="4"/>
  <c r="K456" i="4"/>
  <c r="K320" i="4"/>
  <c r="K345" i="4"/>
  <c r="K395" i="4"/>
  <c r="K507" i="4"/>
  <c r="K430" i="4"/>
  <c r="K318" i="4"/>
  <c r="K326" i="4"/>
  <c r="K405" i="4"/>
  <c r="K495" i="4"/>
  <c r="K454" i="4"/>
  <c r="K520" i="4"/>
  <c r="K418" i="4"/>
  <c r="K435" i="4"/>
  <c r="K425" i="4"/>
  <c r="K342" i="4"/>
  <c r="K289" i="4"/>
  <c r="K386" i="4"/>
  <c r="K500" i="4"/>
  <c r="K367" i="4"/>
  <c r="K359" i="4"/>
  <c r="K511" i="4"/>
  <c r="K383" i="4"/>
  <c r="K309" i="4"/>
  <c r="K396" i="4"/>
  <c r="K541" i="4"/>
  <c r="K331" i="4"/>
  <c r="K377" i="4"/>
  <c r="K399" i="4"/>
  <c r="K292" i="4"/>
  <c r="K509" i="4"/>
  <c r="K409" i="4"/>
  <c r="K364" i="4"/>
  <c r="K322" i="4"/>
  <c r="K462" i="4"/>
  <c r="K490" i="4"/>
  <c r="K457" i="4"/>
  <c r="K464" i="4"/>
  <c r="K319" i="4"/>
  <c r="K352" i="4"/>
  <c r="K451" i="4"/>
  <c r="K284" i="4"/>
  <c r="K421" i="4"/>
  <c r="K404" i="4"/>
  <c r="K443" i="4"/>
  <c r="K422" i="4"/>
  <c r="K436" i="4"/>
  <c r="K407" i="4"/>
  <c r="K523" i="4"/>
  <c r="K423" i="4"/>
  <c r="K389" i="4"/>
  <c r="K401" i="4"/>
  <c r="K275" i="4"/>
  <c r="K479" i="4"/>
  <c r="K306" i="4"/>
  <c r="K483" i="4"/>
  <c r="K19" i="4"/>
  <c r="K164" i="4"/>
  <c r="K223" i="4"/>
  <c r="K45" i="4"/>
  <c r="K63" i="4"/>
  <c r="K253" i="4"/>
  <c r="K73" i="4"/>
  <c r="K22" i="4"/>
  <c r="K70" i="4"/>
  <c r="K197" i="4"/>
  <c r="K110" i="4"/>
  <c r="K145" i="4"/>
  <c r="K159" i="4"/>
  <c r="K132" i="4"/>
  <c r="K535" i="4"/>
  <c r="K157" i="4"/>
  <c r="K175" i="4"/>
  <c r="K82" i="4"/>
  <c r="K244" i="4"/>
  <c r="K60" i="4"/>
  <c r="K201" i="4"/>
  <c r="K41" i="4"/>
  <c r="K40" i="4"/>
  <c r="K77" i="4"/>
  <c r="K136" i="4"/>
  <c r="K111" i="4"/>
  <c r="K190" i="4"/>
  <c r="K29" i="4"/>
  <c r="K69" i="4"/>
  <c r="K235" i="4"/>
  <c r="K166" i="4"/>
  <c r="K117" i="4"/>
  <c r="K118" i="4"/>
  <c r="K140" i="4"/>
  <c r="K188" i="4"/>
  <c r="K185" i="4"/>
  <c r="K200" i="4"/>
  <c r="K214" i="4"/>
  <c r="K39" i="4"/>
  <c r="K101" i="4"/>
  <c r="K149" i="4"/>
  <c r="K72" i="4"/>
  <c r="K537" i="4"/>
  <c r="K174" i="4"/>
  <c r="K62" i="4"/>
  <c r="K90" i="4"/>
  <c r="K202" i="4"/>
  <c r="K252" i="4"/>
  <c r="K219" i="4"/>
  <c r="K137" i="4"/>
  <c r="K199" i="4"/>
  <c r="K250" i="4"/>
  <c r="K150" i="4"/>
  <c r="K183" i="4"/>
  <c r="K28" i="4"/>
  <c r="K207" i="4"/>
  <c r="K241" i="4"/>
  <c r="K260" i="4"/>
  <c r="K123" i="4"/>
  <c r="K177" i="4"/>
  <c r="K176" i="4"/>
  <c r="K91" i="4"/>
  <c r="K224" i="4"/>
  <c r="K67" i="4"/>
  <c r="K46" i="4"/>
  <c r="K20" i="4"/>
  <c r="K125" i="4"/>
  <c r="K138" i="4"/>
  <c r="K65" i="4"/>
  <c r="K466" i="4"/>
  <c r="K257" i="4"/>
  <c r="K26" i="4"/>
  <c r="K228" i="4"/>
  <c r="K35" i="4"/>
  <c r="K79" i="4"/>
  <c r="K184" i="4"/>
  <c r="K211" i="4"/>
  <c r="K130" i="4"/>
  <c r="K18" i="4"/>
  <c r="K187" i="4"/>
  <c r="K74" i="4"/>
  <c r="K264" i="4"/>
  <c r="K135" i="4"/>
  <c r="K48" i="4"/>
  <c r="K126" i="4"/>
  <c r="K194" i="4"/>
  <c r="K31" i="4"/>
  <c r="K172" i="4"/>
  <c r="K102" i="4"/>
  <c r="K66" i="4"/>
  <c r="K547" i="4"/>
  <c r="K554" i="4"/>
  <c r="K226" i="4"/>
  <c r="K191" i="4"/>
  <c r="K124" i="4"/>
  <c r="K208" i="4"/>
  <c r="K52" i="4"/>
  <c r="K141" i="4"/>
  <c r="K236" i="4"/>
  <c r="K249" i="4"/>
  <c r="K263" i="4"/>
  <c r="K142" i="4"/>
  <c r="K129" i="4"/>
  <c r="K38" i="4"/>
  <c r="K215" i="4"/>
  <c r="K112" i="4"/>
  <c r="K258" i="4"/>
  <c r="K113" i="4"/>
  <c r="K81" i="4"/>
  <c r="K43" i="4"/>
  <c r="K87" i="4"/>
  <c r="K133" i="4"/>
  <c r="K204" i="4"/>
  <c r="K93" i="4"/>
  <c r="K116" i="4"/>
  <c r="K50" i="4"/>
  <c r="K234" i="4"/>
  <c r="K25" i="4"/>
  <c r="K127" i="4"/>
  <c r="K245" i="4"/>
  <c r="K59" i="4"/>
  <c r="K64" i="4"/>
  <c r="K47" i="4"/>
  <c r="K155" i="4"/>
  <c r="K32" i="4"/>
  <c r="K134" i="4"/>
  <c r="K88" i="4"/>
  <c r="K247" i="4"/>
  <c r="K99" i="4"/>
  <c r="K259" i="4"/>
  <c r="K165" i="4"/>
  <c r="K160" i="4"/>
  <c r="K240" i="4"/>
  <c r="K163" i="4"/>
  <c r="K119" i="4"/>
  <c r="K231" i="4"/>
  <c r="K205" i="4"/>
  <c r="K68" i="4"/>
  <c r="K42" i="4"/>
  <c r="K254" i="4"/>
  <c r="K131" i="4"/>
  <c r="K162" i="4"/>
  <c r="K128" i="4"/>
  <c r="K51" i="4"/>
  <c r="K227" i="4"/>
  <c r="K76" i="4"/>
  <c r="K96" i="4"/>
  <c r="K169" i="4"/>
  <c r="K94" i="4"/>
  <c r="K75" i="4"/>
  <c r="K144" i="4"/>
  <c r="K538" i="4"/>
  <c r="K152" i="4"/>
  <c r="K27" i="4"/>
  <c r="K58" i="4"/>
  <c r="K266" i="4"/>
  <c r="K44" i="4"/>
  <c r="K154" i="4"/>
  <c r="K114" i="4"/>
  <c r="K246" i="4"/>
  <c r="K198" i="4"/>
  <c r="K97" i="4"/>
  <c r="K121" i="4"/>
  <c r="K230" i="4"/>
  <c r="K556" i="4"/>
  <c r="K179" i="4"/>
  <c r="K192" i="4"/>
  <c r="K158" i="4"/>
  <c r="K30" i="4"/>
  <c r="K23" i="4"/>
  <c r="K268" i="4"/>
  <c r="K196" i="4"/>
  <c r="K122" i="4"/>
  <c r="K85" i="4"/>
  <c r="K206" i="4"/>
  <c r="K213" i="4"/>
  <c r="K233" i="4"/>
  <c r="K105" i="4"/>
  <c r="K248" i="4"/>
  <c r="K84" i="4"/>
  <c r="K239" i="4"/>
  <c r="K210" i="4"/>
  <c r="K216" i="4"/>
  <c r="K193" i="4"/>
  <c r="K71" i="4"/>
  <c r="K262" i="4"/>
  <c r="K49" i="4"/>
  <c r="K151" i="4"/>
  <c r="K106" i="4"/>
  <c r="K498" i="4"/>
  <c r="K24" i="4"/>
  <c r="K209" i="4"/>
  <c r="K98" i="4"/>
  <c r="K195" i="4"/>
  <c r="K89" i="4"/>
  <c r="K182" i="4"/>
  <c r="K217" i="4"/>
  <c r="K251" i="4"/>
  <c r="K139" i="4"/>
  <c r="K167" i="4"/>
  <c r="K189" i="4"/>
  <c r="K548" i="4"/>
  <c r="K78" i="4"/>
  <c r="K53" i="4"/>
  <c r="K54" i="4"/>
  <c r="K147" i="4"/>
  <c r="K143" i="4"/>
  <c r="K237" i="4"/>
  <c r="K232" i="4"/>
  <c r="K86" i="4"/>
  <c r="K153" i="4"/>
  <c r="K36" i="4"/>
  <c r="K238" i="4"/>
  <c r="K221" i="4"/>
  <c r="K95" i="4"/>
  <c r="K107" i="4"/>
  <c r="K524" i="4"/>
  <c r="K557" i="4"/>
  <c r="K181" i="4"/>
  <c r="K108" i="4"/>
  <c r="K180" i="4"/>
  <c r="K100" i="4"/>
  <c r="K103" i="4"/>
  <c r="K109" i="4"/>
  <c r="K15" i="4"/>
  <c r="K156" i="4"/>
  <c r="K56" i="4"/>
  <c r="K186" i="4"/>
  <c r="K261" i="4"/>
  <c r="K148" i="4"/>
  <c r="K146" i="4"/>
  <c r="K218" i="4"/>
  <c r="K212" i="4"/>
  <c r="K549" i="4"/>
  <c r="K265" i="4"/>
  <c r="K229" i="4"/>
  <c r="K255" i="4"/>
  <c r="K242" i="4"/>
  <c r="K33" i="4"/>
  <c r="K161" i="4"/>
  <c r="K16" i="4"/>
  <c r="K83" i="4"/>
  <c r="K168" i="4"/>
  <c r="K222" i="4"/>
  <c r="K21" i="4"/>
  <c r="K550" i="4"/>
  <c r="K170" i="4"/>
  <c r="K115" i="4"/>
  <c r="K37" i="4"/>
  <c r="K61" i="4"/>
  <c r="K540" i="4"/>
  <c r="K178" i="4"/>
  <c r="K171" i="4"/>
  <c r="K34" i="4"/>
  <c r="K203" i="4"/>
  <c r="K104" i="4"/>
  <c r="K55" i="4"/>
  <c r="K57" i="4"/>
  <c r="K256" i="4"/>
  <c r="K555" i="4"/>
  <c r="K527" i="4"/>
  <c r="K267" i="4"/>
  <c r="K92" i="4"/>
  <c r="K220" i="4"/>
  <c r="K120" i="4"/>
  <c r="K243" i="4"/>
  <c r="K80" i="4"/>
  <c r="K225" i="4"/>
  <c r="K173" i="4"/>
  <c r="K17" i="4"/>
</calcChain>
</file>

<file path=xl/sharedStrings.xml><?xml version="1.0" encoding="utf-8"?>
<sst xmlns="http://schemas.openxmlformats.org/spreadsheetml/2006/main" count="17409" uniqueCount="7068">
  <si>
    <t>Australia</t>
  </si>
  <si>
    <t>UK</t>
  </si>
  <si>
    <t>TURING COURT NO 1 CARECO HQ BRAINTREE</t>
  </si>
  <si>
    <t>France</t>
  </si>
  <si>
    <t>USA</t>
  </si>
  <si>
    <t>RIVER STREET 111 PROJECT SINATRA HOBOKEN NJ</t>
  </si>
  <si>
    <t>WESTCHESTER AVE 2000 1NC MORGAN STANLEY</t>
  </si>
  <si>
    <t>SYDNEY FISH MARKET</t>
  </si>
  <si>
    <t>SYDNEY FISH MARKET INTERNAL FIT OUT</t>
  </si>
  <si>
    <t>Rest of the World</t>
  </si>
  <si>
    <t>CORCEGA 331 SURE BARCELONA</t>
  </si>
  <si>
    <t>THE FORUM KINGS QUARTER EXTERNAL WALKWAYS GLOUCESTER</t>
  </si>
  <si>
    <t>KADANS HEALTH INNOVATION HUB GLASGOW</t>
  </si>
  <si>
    <t>EASTBROOK STUDIOS DAGENHAM LONDON</t>
  </si>
  <si>
    <t>CONGRESS AVE 301 FLR 1 &amp; 2 AUSTIN TX</t>
  </si>
  <si>
    <t>ARIMA OFFICES MADRID</t>
  </si>
  <si>
    <t>SOUTH PARADE NO 10 GRND FLR LEEDS</t>
  </si>
  <si>
    <t>CRITERION BUILDING PICCADILLY NO 225-229 LONDON</t>
  </si>
  <si>
    <t>UMASS COMPUTER SCIENCE LABORATORIES</t>
  </si>
  <si>
    <t>PARK AVENUE 270 LOBBY JP MORGAN HQ NEW YORK</t>
  </si>
  <si>
    <t>PILSBURY LAW FIRM AUSTIN</t>
  </si>
  <si>
    <t>MADISON AVENUE 550 CLAYTON DUBILIER &amp; RICE FIT OUT</t>
  </si>
  <si>
    <t>PARK AVENUE 270 AMENITY FLOORS 15 &amp; 16, JP MORGAN</t>
  </si>
  <si>
    <t>BARCLAYS PARIS INVESTMENT BANK</t>
  </si>
  <si>
    <t>PARK AVENUE 270 AMENITY FLOORS 13 &amp; 14, JP MORGAN</t>
  </si>
  <si>
    <t>SYDNEY AIRPORT T1 PIER B EAST BUSSING PBE</t>
  </si>
  <si>
    <t>COLORADO STREET 415 FLR 33 AUSTIN TX PHASE 2</t>
  </si>
  <si>
    <t>PULSANT DATA CENTRE SE-1 MILTON KEYNES</t>
  </si>
  <si>
    <t>CITY POINT 2ND FLR HAYMARKET TERRACE NO 65 EDINBURGH</t>
  </si>
  <si>
    <t>BISHOPSGATE NO 199 CAT B FLR 9 CROWELL MORING LONDON</t>
  </si>
  <si>
    <t>BISHOPSGATE NO 199 CAT B FLR 9 LIGHTING LONDON</t>
  </si>
  <si>
    <t>MORE LONDON NO 6 CAT A LONDON</t>
  </si>
  <si>
    <t>SEVEN STARS MALL HERZLIYA</t>
  </si>
  <si>
    <t>EVERTON FC TUNNEL CLUB &amp; TRINITY LOUNGE LIVERPOOL</t>
  </si>
  <si>
    <t>GENESYS BREST</t>
  </si>
  <si>
    <t>PARK HOUSE FINSBURY CIRCUS NO 16/18 PH 1 FLR 6 CISCO LONDON</t>
  </si>
  <si>
    <t>NEW STREET SQUARE NO 5 TAYLOR WESSING REFURB LONDON</t>
  </si>
  <si>
    <t>Special Projects</t>
  </si>
  <si>
    <t>LEADENHALL STREET NO 1 CAT B LATHAM &amp; WATKINS FLRS 1-20</t>
  </si>
  <si>
    <t>CANARY WHARF CANADA SQUARE NO 25 CITIBANK REFURB LONDON</t>
  </si>
  <si>
    <t>Row Labels</t>
  </si>
  <si>
    <t>(blank)</t>
  </si>
  <si>
    <t>Grand Total</t>
  </si>
  <si>
    <t>Column Labels</t>
  </si>
  <si>
    <t>week No</t>
  </si>
  <si>
    <t>07/05/2025, 08:28</t>
  </si>
  <si>
    <t>Assembly</t>
  </si>
  <si>
    <t>Q - Product manufactured incorrectly</t>
  </si>
  <si>
    <t>Kelly Karakoutas</t>
  </si>
  <si>
    <t>SAS International Inc</t>
  </si>
  <si>
    <t>09/05/2025, 11:21</t>
  </si>
  <si>
    <t>Shop Floor</t>
  </si>
  <si>
    <t>Q - Picking Error</t>
  </si>
  <si>
    <t>Jamie Howard</t>
  </si>
  <si>
    <t>Mectric Solutions Ltd</t>
  </si>
  <si>
    <t>09/05/2025, 11:01</t>
  </si>
  <si>
    <t>Lighting Supplier</t>
  </si>
  <si>
    <t>Q â€“ Faulty Luminaire</t>
  </si>
  <si>
    <t>BRAVINGTON HOUSE INHEALTH FLR 4 LIGHTING KINGS CROSS</t>
  </si>
  <si>
    <t>Stefan Bachl-Cohen</t>
  </si>
  <si>
    <t>Verity Interiors</t>
  </si>
  <si>
    <t>09/05/2025, 10:24</t>
  </si>
  <si>
    <t>Customer</t>
  </si>
  <si>
    <t>C - Customer Dispute</t>
  </si>
  <si>
    <t>BLOOMSBURY STREET NO 21 CAT A FITOUT LONDON</t>
  </si>
  <si>
    <t>Jonathan Stockton</t>
  </si>
  <si>
    <t>I &amp; S Construction Services Limited</t>
  </si>
  <si>
    <t>07/05/2025, 11:27</t>
  </si>
  <si>
    <t>C - Customer Fault</t>
  </si>
  <si>
    <t>EVERTON FC BRAMLEY MOORE DOCK STADIUM FEATURES LIVERPOOL</t>
  </si>
  <si>
    <t>Shanice Simons</t>
  </si>
  <si>
    <t>BPC Interiors Ltd</t>
  </si>
  <si>
    <t>07/05/2025, 10:22</t>
  </si>
  <si>
    <t>UK SOP</t>
  </si>
  <si>
    <t>S - Sales order processing error</t>
  </si>
  <si>
    <t>WORKPLACE INTERIORS MISC 2025</t>
  </si>
  <si>
    <t>Chloe Phillips</t>
  </si>
  <si>
    <t>Workplace Interiors Company Cheltenham Ltd</t>
  </si>
  <si>
    <t>06/05/2025, 13:11</t>
  </si>
  <si>
    <t>Q - Product packaging issue</t>
  </si>
  <si>
    <t>Craig McEwan</t>
  </si>
  <si>
    <t>Brian Hendry Interiors Ltd</t>
  </si>
  <si>
    <t>06/05/2025, 13:05</t>
  </si>
  <si>
    <t>06/05/2025, 11:45</t>
  </si>
  <si>
    <t>Fast Track</t>
  </si>
  <si>
    <t>SOUTH BANK CENTRAL VIVO BUILDING FLR 3 REFURB LONDON</t>
  </si>
  <si>
    <t>Julian Hooper</t>
  </si>
  <si>
    <t>GLB Contracts Ltd</t>
  </si>
  <si>
    <t>07/05/2025, 10:50</t>
  </si>
  <si>
    <t>Salesforce</t>
  </si>
  <si>
    <t>S - Incorrectly Ordered</t>
  </si>
  <si>
    <t>Fernando Martinez</t>
  </si>
  <si>
    <t>BAZAR BUSINESS, S.L.</t>
  </si>
  <si>
    <t>Middle East</t>
  </si>
  <si>
    <t>06/05/2025, 11:31</t>
  </si>
  <si>
    <t>Block 2</t>
  </si>
  <si>
    <t>MOH SUWAIQ HOSPITAL OMAN</t>
  </si>
  <si>
    <t>Sanju Samuel</t>
  </si>
  <si>
    <t>Al Tasnim Middle East L.L.C</t>
  </si>
  <si>
    <t>28/04/2025, 10:19</t>
  </si>
  <si>
    <t>Product Design/Engineering</t>
  </si>
  <si>
    <t>Sabryn Robledo</t>
  </si>
  <si>
    <t>01/05/2025, 15:28</t>
  </si>
  <si>
    <t>Finance</t>
  </si>
  <si>
    <t>O - Other</t>
  </si>
  <si>
    <t>FLORAL STREET NO 27 MARATHON ASSET MGT CAT B LONDON</t>
  </si>
  <si>
    <t>Ezio Muratore</t>
  </si>
  <si>
    <t>Vero Interiors Limited</t>
  </si>
  <si>
    <t>01/05/2025, 09:39</t>
  </si>
  <si>
    <t>KING STREET OFFICE DEVELOPMENT BLACKPOOL LIGHTING</t>
  </si>
  <si>
    <t>Stuart Murphy</t>
  </si>
  <si>
    <t>BES Electrical</t>
  </si>
  <si>
    <t>30/04/2025, 15:32</t>
  </si>
  <si>
    <t>VICTORIA HOUSE BLOOMSBURY SQUARE LONDON</t>
  </si>
  <si>
    <t>Emma Nevin</t>
  </si>
  <si>
    <t>Wates Construction (Head Office - Leatherhead)</t>
  </si>
  <si>
    <t>30/04/2025, 10:32</t>
  </si>
  <si>
    <t>UNI OF EAST ANGLIA MEDICAL SCHOOL REFURB</t>
  </si>
  <si>
    <t>Jane Smith</t>
  </si>
  <si>
    <t>Encon Insulation Ltd (Thetford)</t>
  </si>
  <si>
    <t>29/04/2025, 13:20</t>
  </si>
  <si>
    <t>Transport</t>
  </si>
  <si>
    <t>S - Transit damage</t>
  </si>
  <si>
    <t>ST MICHAELS TOWER FLRS 3, 4 AND 5 MANCHESTER</t>
  </si>
  <si>
    <t>Tony Edwards</t>
  </si>
  <si>
    <t>29/04/2025, 11:21</t>
  </si>
  <si>
    <t>Q - Product is Deformed</t>
  </si>
  <si>
    <t>ORANGEBOX POD CASSETTES</t>
  </si>
  <si>
    <t>Ben Matthews</t>
  </si>
  <si>
    <t>Orangebox Ltd</t>
  </si>
  <si>
    <t>28/04/2025, 14:52</t>
  </si>
  <si>
    <t>Martyn Roberts</t>
  </si>
  <si>
    <t>Global Insulation Logistics Ltd</t>
  </si>
  <si>
    <t>28/04/2025, 11:36</t>
  </si>
  <si>
    <t>PORTMAN SQUARE NO 10 LVL 3 REFURB LONDON</t>
  </si>
  <si>
    <t>Petru Guglea</t>
  </si>
  <si>
    <t>28/04/2025, 11:29</t>
  </si>
  <si>
    <t>Supplier</t>
  </si>
  <si>
    <t>Q - Product Damaged</t>
  </si>
  <si>
    <t>BUCKINGHAM PALACE ROAD NO 110 REFURB LONDON</t>
  </si>
  <si>
    <t>Luke Raven</t>
  </si>
  <si>
    <t>Belgrade Insulations Ltd</t>
  </si>
  <si>
    <t>28/04/2025, 11:00</t>
  </si>
  <si>
    <t>MOORFIELDS NO 21 DEUTSCHE BANK REFURB LONDON</t>
  </si>
  <si>
    <t>Gary Thursting</t>
  </si>
  <si>
    <t>Integra Contracts Ltd</t>
  </si>
  <si>
    <t>28/04/2025, 11:48</t>
  </si>
  <si>
    <t>SCHNEIDER ELECTRIC SILICON OASIS DUBAI</t>
  </si>
  <si>
    <t>Alano Angeles</t>
  </si>
  <si>
    <t>Summertown International</t>
  </si>
  <si>
    <t>Ireland</t>
  </si>
  <si>
    <t>01/05/2025, 14:59</t>
  </si>
  <si>
    <t>A &amp; L GOODBODY NORTH WALL QUAY 25-28   DUBLIN</t>
  </si>
  <si>
    <t>Chris Carey</t>
  </si>
  <si>
    <t>SAS International Dublin</t>
  </si>
  <si>
    <t>01/05/2025, 14:02</t>
  </si>
  <si>
    <t>Product Design</t>
  </si>
  <si>
    <t>APPLE HH5 EXTENSION CORK</t>
  </si>
  <si>
    <t>01/05/2025, 08:07</t>
  </si>
  <si>
    <t>Q - Product Dimension Error</t>
  </si>
  <si>
    <t>BOULEVARD HAUSSMANN 14 PARIS</t>
  </si>
  <si>
    <t>Ferouz Benamour</t>
  </si>
  <si>
    <t>SAS International</t>
  </si>
  <si>
    <t>01/05/2025, 11:45</t>
  </si>
  <si>
    <t>Events</t>
  </si>
  <si>
    <t>Luke Chapman-Burns</t>
  </si>
  <si>
    <t>SAS Innovation</t>
  </si>
  <si>
    <t>24/04/2025, 14:18</t>
  </si>
  <si>
    <t>LOWER MARSH NO 1-5 LOMA DEVELOPMENT LONDON</t>
  </si>
  <si>
    <t>Brent Davies</t>
  </si>
  <si>
    <t>K &amp; B Ceilings Ltd</t>
  </si>
  <si>
    <t>17/04/2025, 14:44</t>
  </si>
  <si>
    <t>Michael McLachlan</t>
  </si>
  <si>
    <t>Stour Valley Plastering</t>
  </si>
  <si>
    <t>17/04/2025, 11:26</t>
  </si>
  <si>
    <t>Q - Product Finish Issue - Aesthetics</t>
  </si>
  <si>
    <t>17/04/2025, 08:53</t>
  </si>
  <si>
    <t>External Courier</t>
  </si>
  <si>
    <t>CRAYFIELDS BUSINESS PARK UNIT 1.02 ORPINGTON</t>
  </si>
  <si>
    <t>Charlotte Harris</t>
  </si>
  <si>
    <t>Pexhurst Services Ltd</t>
  </si>
  <si>
    <t>16/04/2025, 08:16</t>
  </si>
  <si>
    <t>LONDON SQUARE NO 1 GROUND &amp; 1ST FLR REFURB GUILDFORD</t>
  </si>
  <si>
    <t>Dean White</t>
  </si>
  <si>
    <t>IDD Contracts Ltd</t>
  </si>
  <si>
    <t>15/04/2025, 11:31</t>
  </si>
  <si>
    <t>CHRIS EDGE NORTH MISC PROJECTS 2025</t>
  </si>
  <si>
    <t>Chris Heaton</t>
  </si>
  <si>
    <t>Heaton's Ceilings Ltd</t>
  </si>
  <si>
    <t>15/04/2025, 08:45</t>
  </si>
  <si>
    <t>CENTRE CITY TOWER FLR 10 REFURB HILL STREET NO 7 BIRMINGHAM</t>
  </si>
  <si>
    <t>Alex Amin</t>
  </si>
  <si>
    <t>EOS Interiors Ltd</t>
  </si>
  <si>
    <t>14/04/2025, 15:41</t>
  </si>
  <si>
    <t>Alex Worth</t>
  </si>
  <si>
    <t>D Interiors Ltd</t>
  </si>
  <si>
    <t>14/04/2025, 12:57</t>
  </si>
  <si>
    <t>JACK TURNBULL MISC TILE &amp; GRID 2025</t>
  </si>
  <si>
    <t>Dan Cuzner</t>
  </si>
  <si>
    <t>Dan Cuzner Partitioning Ltd</t>
  </si>
  <si>
    <t>14/04/2025, 08:47</t>
  </si>
  <si>
    <t>EXCHANGE HOUSE PRIMROSE STREET FLR 1 REFURB LONDON</t>
  </si>
  <si>
    <t>Lee Woolley</t>
  </si>
  <si>
    <t>Interior Resolutions Ltd</t>
  </si>
  <si>
    <t>16/04/2025, 14:30</t>
  </si>
  <si>
    <t>BLOOMBERG SOUTH BUILDING FIT-OUT PHASE 3 LONDON</t>
  </si>
  <si>
    <t>Chris Ellingham</t>
  </si>
  <si>
    <t>SAS Special Projects</t>
  </si>
  <si>
    <t>14/04/2025, 11:12</t>
  </si>
  <si>
    <t>11/04/2025, 14:42</t>
  </si>
  <si>
    <t>HEATHROW WEST BUSINESS PARK UNIT D2 SLOUGH</t>
  </si>
  <si>
    <t>Rob Smart</t>
  </si>
  <si>
    <t>SIG Insulation Ltd (Lancing)</t>
  </si>
  <si>
    <t>11/04/2025, 14:33</t>
  </si>
  <si>
    <t>10/04/2025, 10:11</t>
  </si>
  <si>
    <t>TECH EDGE VILLAGE HARWELL CAMPUS DIDCOT ZONES 1&amp;2</t>
  </si>
  <si>
    <t>Sharon Webb</t>
  </si>
  <si>
    <t>South Ridge Interiors Ltd</t>
  </si>
  <si>
    <t>09/04/2025, 08:16</t>
  </si>
  <si>
    <t>Warehouse</t>
  </si>
  <si>
    <t>PETERBOROUGH COURT FLEET STREET NO 133 REFURB LONDON</t>
  </si>
  <si>
    <t>Paul Cooney</t>
  </si>
  <si>
    <t>Celtic Contractors Ltd</t>
  </si>
  <si>
    <t>08/04/2025, 13:07</t>
  </si>
  <si>
    <t>JAMES STREET NO 1 LIGHTING LONDON</t>
  </si>
  <si>
    <t>Tyrone Gannon</t>
  </si>
  <si>
    <t>Grant &amp; Stone</t>
  </si>
  <si>
    <t>08/04/2025, 10:08</t>
  </si>
  <si>
    <t>PILGRIM STREET PHASE 2 NEWCASTLE FURTHER DEVELOPMENT</t>
  </si>
  <si>
    <t>David Medd</t>
  </si>
  <si>
    <t>Rowan Specialist Interiors Ltd</t>
  </si>
  <si>
    <t>08/04/2025, 08:33</t>
  </si>
  <si>
    <t>BREAKSPEAR PARK FLOOR 3 CORRIDORS REFURB HEMEL HEMPSTEAD</t>
  </si>
  <si>
    <t>John Wilson</t>
  </si>
  <si>
    <t>Generation 3 Interiors Ltd</t>
  </si>
  <si>
    <t>08/04/2025, 08:23</t>
  </si>
  <si>
    <t>Christian Price</t>
  </si>
  <si>
    <t>Clearwall Contracting Ltd</t>
  </si>
  <si>
    <t>07/04/2025, 10:01</t>
  </si>
  <si>
    <t>S - Late delivery</t>
  </si>
  <si>
    <t>RIVERGATE NO 3 TEMPLE QUAY REFURB BRISTOL</t>
  </si>
  <si>
    <t>Simon Beasley</t>
  </si>
  <si>
    <t>Profixed Interiors Ltd</t>
  </si>
  <si>
    <t>07/04/2025, 09:31</t>
  </si>
  <si>
    <t>KIRBY STREET NO 20-24 MORGAN CAPITAL CAT A REFURB LONDON</t>
  </si>
  <si>
    <t>Alan Dean</t>
  </si>
  <si>
    <t>Dean Interiors Ltd</t>
  </si>
  <si>
    <t>07/04/2025, 09:13</t>
  </si>
  <si>
    <t>S - Billing Error</t>
  </si>
  <si>
    <t>OLD BAILEY NO 10 CAT A REFURB FLOOR 5 LONDON</t>
  </si>
  <si>
    <t>Karen Harrington</t>
  </si>
  <si>
    <t>Virtuoso Interiors</t>
  </si>
  <si>
    <t>07/04/2025, 08:52</t>
  </si>
  <si>
    <t>Estimating</t>
  </si>
  <si>
    <t>HOPTON STREET NO 71 THE GREEN WALK LONDON</t>
  </si>
  <si>
    <t>Bradley Snooks</t>
  </si>
  <si>
    <t>CCF East London</t>
  </si>
  <si>
    <t>11/04/2025, 14:02</t>
  </si>
  <si>
    <t>LUL NLE BATTERSEA STATION WEST ENTRANCE LONDON</t>
  </si>
  <si>
    <t>04/04/2025, 09:35</t>
  </si>
  <si>
    <t>MINI SHOWROOM 110th AVE N.W. CALGARY AB</t>
  </si>
  <si>
    <t>Shan Yogindranath</t>
  </si>
  <si>
    <t>Sound Solutions</t>
  </si>
  <si>
    <t>01/04/2025, 15:30</t>
  </si>
  <si>
    <t>USA SOP</t>
  </si>
  <si>
    <t>01/04/2025, 08:16</t>
  </si>
  <si>
    <t>S - Not delivered</t>
  </si>
  <si>
    <t>03/04/2025, 14:07</t>
  </si>
  <si>
    <t>Jas Klasi</t>
  </si>
  <si>
    <t>Criterion Capital Limited</t>
  </si>
  <si>
    <t>01/04/2025, 14:50</t>
  </si>
  <si>
    <t>MANCHESTER SQUARE NO 20 CAT B LAZARD LONDON LIGHTING</t>
  </si>
  <si>
    <t>01/04/2025, 12:41</t>
  </si>
  <si>
    <t>KINGS ROAD NO 120 LIBERTY GLOBAL FABRIC LONDON</t>
  </si>
  <si>
    <t>Josh Musialek</t>
  </si>
  <si>
    <t>Henly Projects Ltd</t>
  </si>
  <si>
    <t>31/03/2025, 15:11</t>
  </si>
  <si>
    <t>31/03/2025, 09:02</t>
  </si>
  <si>
    <t>Ross Purcell</t>
  </si>
  <si>
    <t>04/04/2025, 12:43</t>
  </si>
  <si>
    <t>04/04/2025, 11:26</t>
  </si>
  <si>
    <t>03/04/2025, 10:49</t>
  </si>
  <si>
    <t>NATIONAL CHILDRENS HOSPITAL RADIO PHARMACY</t>
  </si>
  <si>
    <t>03/04/2025, 08:48</t>
  </si>
  <si>
    <t>Export SOP</t>
  </si>
  <si>
    <t>TOUR MAJUNGA PARIS REFURBISHMENT 2024</t>
  </si>
  <si>
    <t>27/03/2025, 08:56</t>
  </si>
  <si>
    <t>Anthony Berardo</t>
  </si>
  <si>
    <t>28/03/2025, 14:55</t>
  </si>
  <si>
    <t>28/03/2025, 12:47</t>
  </si>
  <si>
    <t>BISHOPSGATE NO 280 BAKER MCKENZIE REFURB LONDON</t>
  </si>
  <si>
    <t>Harry Ward</t>
  </si>
  <si>
    <t>Flynn James Limited</t>
  </si>
  <si>
    <t>27/03/2025, 08:28</t>
  </si>
  <si>
    <t>KING STREET NO 33 CLEVELAND HOUSE REFURB FLOOR 4 LONDON</t>
  </si>
  <si>
    <t>Simon Ashworth</t>
  </si>
  <si>
    <t>Level Best Solutions Ltd</t>
  </si>
  <si>
    <t>26/03/2025, 15:12</t>
  </si>
  <si>
    <t>ST JAMES PLACE NO 1 FLR 4 LONDON</t>
  </si>
  <si>
    <t>Richard Stubbs</t>
  </si>
  <si>
    <t>WT Interiors Ltd</t>
  </si>
  <si>
    <t>26/03/2025, 14:22</t>
  </si>
  <si>
    <t>ROPEMAKER STREET NO 20-22 LINKLATERS FIT-OUT LONDON</t>
  </si>
  <si>
    <t>Scott Taylor</t>
  </si>
  <si>
    <t>26/03/2025, 09:14</t>
  </si>
  <si>
    <t>Dave Wood</t>
  </si>
  <si>
    <t>Damar Interiors (North West) Ltd</t>
  </si>
  <si>
    <t>25/03/2025, 16:40</t>
  </si>
  <si>
    <t>CURZON STREET NO 1 GRND &amp; FLR 4 REFURB LONDON</t>
  </si>
  <si>
    <t>Nigel Tickell</t>
  </si>
  <si>
    <t>25/03/2025, 14:42</t>
  </si>
  <si>
    <t>MCBRIDES CENTRAL PARK OFFICE REFURB MANCHESTER</t>
  </si>
  <si>
    <t>Greg Davis</t>
  </si>
  <si>
    <t>Galaxy Insulation &amp; Drylining (North East Branch)</t>
  </si>
  <si>
    <t>25/03/2025, 09:47</t>
  </si>
  <si>
    <t>MORRISONS MISC 2025</t>
  </si>
  <si>
    <t>Christopher Whitehouse</t>
  </si>
  <si>
    <t>Cannock Ceilings Insulation &amp; Drywall Limited</t>
  </si>
  <si>
    <t>25/03/2025, 08:32</t>
  </si>
  <si>
    <t>KING STREET OFFICE DEVELOPMENT 2 BLACKPOOL</t>
  </si>
  <si>
    <t>Ian Haverty</t>
  </si>
  <si>
    <t>JCS Interiors Ltd</t>
  </si>
  <si>
    <t>24/03/2025, 10:36</t>
  </si>
  <si>
    <t>EDEN CAMPUS THE HONEY BUILDING CAT A KINGSTON</t>
  </si>
  <si>
    <t>Becky Neary</t>
  </si>
  <si>
    <t>A.T. Jones Ltd (Fareham)</t>
  </si>
  <si>
    <t>24/03/2025, 08:02</t>
  </si>
  <si>
    <t>FORSEVEN INTERIM HQ BICESTER</t>
  </si>
  <si>
    <t>James Randall</t>
  </si>
  <si>
    <t>Grimes Finishings Ltd</t>
  </si>
  <si>
    <t>24/03/2025, 14:49</t>
  </si>
  <si>
    <t>CHARLEMONT EXCHANGE ENHANCEMENT WORKS DUBLIN</t>
  </si>
  <si>
    <t>21/03/2025, 13:01</t>
  </si>
  <si>
    <t>Bernie Johnson</t>
  </si>
  <si>
    <t>Galaxy Installation &amp; Drylining (South Yorkshire) Ltd</t>
  </si>
  <si>
    <t>21/03/2025, 12:51</t>
  </si>
  <si>
    <t>Michael Doyle</t>
  </si>
  <si>
    <t>CEF</t>
  </si>
  <si>
    <t>21/03/2025, 11:20</t>
  </si>
  <si>
    <t>AIR STREET NO 20 CAT B PAUL WEISS LONDON</t>
  </si>
  <si>
    <t>20/03/2025, 15:56</t>
  </si>
  <si>
    <t>MARK FRENCH</t>
  </si>
  <si>
    <t>Warwick Group Ltd</t>
  </si>
  <si>
    <t>20/03/2025, 15:46</t>
  </si>
  <si>
    <t>THE GRANGE SCHOOL MONMOUTH</t>
  </si>
  <si>
    <t>Morgan Jack</t>
  </si>
  <si>
    <t>Barnwood Construction Ltd</t>
  </si>
  <si>
    <t>20/03/2025, 13:02</t>
  </si>
  <si>
    <t>19/03/2025, 15:52</t>
  </si>
  <si>
    <t>T-THERAPEUTICS OFFICE CAMBRIDGE</t>
  </si>
  <si>
    <t>Kelly Fleming</t>
  </si>
  <si>
    <t>Encon Interior Systems Ltd (Northampton)</t>
  </si>
  <si>
    <t>19/03/2025, 15:48</t>
  </si>
  <si>
    <t>CITY POINT ROPEMAKER STREET FLR 16 REFURB LONDON</t>
  </si>
  <si>
    <t>Alison Steff</t>
  </si>
  <si>
    <t>Pace Interiors Ltd</t>
  </si>
  <si>
    <t>19/03/2025, 14:49</t>
  </si>
  <si>
    <t>BISHOPSGATE NO 201 BROADGATE TOWER CAT A FLRS 10, 26 &amp; 28</t>
  </si>
  <si>
    <t>19/03/2025, 09:48</t>
  </si>
  <si>
    <t>Steve Williams</t>
  </si>
  <si>
    <t>Red Systems Ltd</t>
  </si>
  <si>
    <t>19/03/2025, 09:06</t>
  </si>
  <si>
    <t>OXFORD STREET NO 214 OFFICE BUILDING LONDON</t>
  </si>
  <si>
    <t>Askhat Chorobaev</t>
  </si>
  <si>
    <t>Delmond Construction Ltd</t>
  </si>
  <si>
    <t>19/03/2025, 08:47</t>
  </si>
  <si>
    <t>ROYAL MARSDEN HOSPITAL DOWNS ROAD SUTTON</t>
  </si>
  <si>
    <t>Albina Elston</t>
  </si>
  <si>
    <t>SIG Interiors Ltd (Croydon)</t>
  </si>
  <si>
    <t>18/03/2025, 16:19</t>
  </si>
  <si>
    <t>Q - Drawing Error</t>
  </si>
  <si>
    <t>18/03/2025, 13:33</t>
  </si>
  <si>
    <t>CHARTERHOUSE STREET NO 33 THREE CROWNS FLR 8 LONDON</t>
  </si>
  <si>
    <t>Danny Waterman</t>
  </si>
  <si>
    <t>17/03/2025, 15:30</t>
  </si>
  <si>
    <t>THANE ROAD NO 1 D95 BOOTS FACTORY NOTTINGHAM</t>
  </si>
  <si>
    <t>Ben Williams</t>
  </si>
  <si>
    <t>SIG Interiors Ltd (Leicester)</t>
  </si>
  <si>
    <t>17/03/2025, 14:47</t>
  </si>
  <si>
    <t>17/03/2025, 10:25</t>
  </si>
  <si>
    <t>20/03/2025, 10:46</t>
  </si>
  <si>
    <t>CITI BANK OFFICE FIT OUT PHASE 2 BAHRAIN</t>
  </si>
  <si>
    <t>Jishnu Parambath</t>
  </si>
  <si>
    <t>Interior Solutions Company W.L.L.</t>
  </si>
  <si>
    <t>18/03/2025, 09:18</t>
  </si>
  <si>
    <t>Q - Product Identification Error</t>
  </si>
  <si>
    <t>CENTRAL BANK OF IRAQ HEADQUARTERS BAGHDAD</t>
  </si>
  <si>
    <t>Sachi Radima</t>
  </si>
  <si>
    <t>Advanced Industries Group</t>
  </si>
  <si>
    <t>13/03/2025, 16:27</t>
  </si>
  <si>
    <t>FETTER LANE NO 10 FLR 6 REFURB ARC LONDON</t>
  </si>
  <si>
    <t>Danny Sales</t>
  </si>
  <si>
    <t>Legacy Refurbishment Ltd</t>
  </si>
  <si>
    <t>13/03/2025, 14:12</t>
  </si>
  <si>
    <t>F1 MANAGEMENT UNIT 1 &amp; 2 BIGGIN HILL</t>
  </si>
  <si>
    <t>13/03/2025, 12:38</t>
  </si>
  <si>
    <t>Assembly Block 2</t>
  </si>
  <si>
    <t>KAPLAN BOROUGH HIGH STREET NO 179 - 182 LONDON</t>
  </si>
  <si>
    <t>13/03/2025, 12:37</t>
  </si>
  <si>
    <t>13/03/2025, 09:11</t>
  </si>
  <si>
    <t>12/03/2025, 15:37</t>
  </si>
  <si>
    <t>SHOE LANE NO 66 DELOITTE CAT B FIT OUT FLRS 6 &amp; 7 LONDON</t>
  </si>
  <si>
    <t>12/03/2025, 13:16</t>
  </si>
  <si>
    <t>LONDON WALL NO 60 FLRS 4&amp;5 RABOBANK FITOUT LONDON</t>
  </si>
  <si>
    <t>Taha Zeglam</t>
  </si>
  <si>
    <t>PAA Interiors Ltd</t>
  </si>
  <si>
    <t>12/03/2025, 08:43</t>
  </si>
  <si>
    <t>MANCHESTER AIRPORT T2 EAST WING NEW DEVELOPMENT</t>
  </si>
  <si>
    <t>James Gourlay</t>
  </si>
  <si>
    <t>Titan Interior Solutions Ltd</t>
  </si>
  <si>
    <t>11/03/2025, 13:06</t>
  </si>
  <si>
    <t>CHARING CROSS ROAD NO 127-133 LONDON</t>
  </si>
  <si>
    <t>Iulian Bota</t>
  </si>
  <si>
    <t>Craft Interior Ltd</t>
  </si>
  <si>
    <t>11/03/2025, 09:44</t>
  </si>
  <si>
    <t>ARTHUR STREET NO 12 FLOOR 6 REFURB LONDON</t>
  </si>
  <si>
    <t>Andrew Cook</t>
  </si>
  <si>
    <t>AJC Interiors Ltd</t>
  </si>
  <si>
    <t>10/03/2025, 15:22</t>
  </si>
  <si>
    <t>10/03/2025, 11:38</t>
  </si>
  <si>
    <t>10/03/2025, 09:49</t>
  </si>
  <si>
    <t>10/03/2025, 08:52</t>
  </si>
  <si>
    <t>Ext â€“ External</t>
  </si>
  <si>
    <t>10/03/2025, 08:46</t>
  </si>
  <si>
    <t>Joe Kelsey</t>
  </si>
  <si>
    <t>Ljj Limited</t>
  </si>
  <si>
    <t>13/03/2025, 10:50</t>
  </si>
  <si>
    <t>13/03/2025, 10:29</t>
  </si>
  <si>
    <t>MACQUARIE UNIVERSITY PAE SYDNEY</t>
  </si>
  <si>
    <t>kathleen Lewington</t>
  </si>
  <si>
    <t>SAS International Australia</t>
  </si>
  <si>
    <t>07/03/2025, 13:39</t>
  </si>
  <si>
    <t>MOORFIELDS NO 21 THE GLACIER CAT B DEUTSCHE BANK LONDON</t>
  </si>
  <si>
    <t>07/03/2025, 12:58</t>
  </si>
  <si>
    <t>Stephen Allcock</t>
  </si>
  <si>
    <t>SIG Interiors Ltd (Sheffield)</t>
  </si>
  <si>
    <t>07/03/2025, 10:48</t>
  </si>
  <si>
    <t>06/03/2025, 13:52</t>
  </si>
  <si>
    <t>STATION STREET LOXLEY HOUSE REFURB NOTTINGHAM</t>
  </si>
  <si>
    <t>Rhuan Da Silva</t>
  </si>
  <si>
    <t>TS &amp; B Contractors Ltd, T/A TSB Contractors</t>
  </si>
  <si>
    <t>06/03/2025, 12:00</t>
  </si>
  <si>
    <t>05/03/2025, 14:29</t>
  </si>
  <si>
    <t>SPINDLES TOWN SQUARE SHOPPING CENTRE OLDHAM</t>
  </si>
  <si>
    <t>Paul Oaten</t>
  </si>
  <si>
    <t>Rapidfix Ceilings &amp; Partitions Limited</t>
  </si>
  <si>
    <t>05/03/2025, 08:34</t>
  </si>
  <si>
    <t>TEVIOT ROW HOUSE STUDENT UNION REFURB UNI OF EDINBURGH</t>
  </si>
  <si>
    <t>Alex Lorimer</t>
  </si>
  <si>
    <t>SIG Insulation Ltd (Eurocentral)</t>
  </si>
  <si>
    <t>04/03/2025, 15:26</t>
  </si>
  <si>
    <t>BOTHWELL STREET NO 177 FLOOR 5 FIT OUT GLASGOW</t>
  </si>
  <si>
    <t>Ross Howe</t>
  </si>
  <si>
    <t>Howe Ceilings &amp; Interiors Ltd</t>
  </si>
  <si>
    <t>04/03/2025, 15:03</t>
  </si>
  <si>
    <t>04/03/2025, 10:40</t>
  </si>
  <si>
    <t>JAGUAR LAND ROVER SHOWROOM MAIDSTONE</t>
  </si>
  <si>
    <t>Mark Lappage</t>
  </si>
  <si>
    <t>EAC Group Ltd</t>
  </si>
  <si>
    <t>03/03/2025, 11:39</t>
  </si>
  <si>
    <t>Robbie Burnell</t>
  </si>
  <si>
    <t>05/03/2025, 11:26</t>
  </si>
  <si>
    <t>Mark Henderson</t>
  </si>
  <si>
    <t>05/03/2025, 11:08</t>
  </si>
  <si>
    <t>04/03/2025, 08:24</t>
  </si>
  <si>
    <t>06/03/2025, 08:50</t>
  </si>
  <si>
    <t>Itzik Stern</t>
  </si>
  <si>
    <t>Neu Stern Project</t>
  </si>
  <si>
    <t>07/03/2025, 10:09</t>
  </si>
  <si>
    <t>04/03/2025, 13:53</t>
  </si>
  <si>
    <t>Press</t>
  </si>
  <si>
    <t>28/02/2025, 14:23</t>
  </si>
  <si>
    <t>28/02/2025, 13:02</t>
  </si>
  <si>
    <t>NATIONAL ARCHIVES CLORE LEARNING CENTRE KEW PHASE 2 LONDON</t>
  </si>
  <si>
    <t>Ryan Sharp</t>
  </si>
  <si>
    <t>Maywins Construction &amp; Refurbishment</t>
  </si>
  <si>
    <t>28/02/2025, 12:59</t>
  </si>
  <si>
    <t>27/02/2025, 14:54</t>
  </si>
  <si>
    <t>Emma Mundy</t>
  </si>
  <si>
    <t>27/02/2025, 14:26</t>
  </si>
  <si>
    <t>Paintline</t>
  </si>
  <si>
    <t>QUEEN VICTORIA STREET NO 128 OLD CHANGE HOUSE REFURB LONDON</t>
  </si>
  <si>
    <t>26/02/2025, 09:08</t>
  </si>
  <si>
    <t>Lucy Wareham</t>
  </si>
  <si>
    <t>Stortford Interiors Ltd</t>
  </si>
  <si>
    <t>25/02/2025, 14:52</t>
  </si>
  <si>
    <t>24/02/2025, 10:31</t>
  </si>
  <si>
    <t>MILLER HOMES LOCHSIDE VIEW NO 2 EDINBURGH</t>
  </si>
  <si>
    <t>Gerry Winter</t>
  </si>
  <si>
    <t>Glasgow Ceilings Ltd</t>
  </si>
  <si>
    <t>28/02/2025, 14:55</t>
  </si>
  <si>
    <t>26/02/2025, 15:59</t>
  </si>
  <si>
    <t>25/02/2025, 14:35</t>
  </si>
  <si>
    <t>KINGS CROSS CENTRAL GOOGLE HQ KGX1 CAT A LONDON</t>
  </si>
  <si>
    <t>William McCartney</t>
  </si>
  <si>
    <t>25/02/2025, 14:31</t>
  </si>
  <si>
    <t>25/02/2025, 14:25</t>
  </si>
  <si>
    <t>17/02/2025, 14:02</t>
  </si>
  <si>
    <t>21/02/2025, 09:42</t>
  </si>
  <si>
    <t>20/02/2025, 13:04</t>
  </si>
  <si>
    <t>19/02/2025, 16:40</t>
  </si>
  <si>
    <t>HAYS GALLERIA SHACKLETON HOUSE CAT A REFURB FLR 5 LONDON</t>
  </si>
  <si>
    <t>Andrea Bates</t>
  </si>
  <si>
    <t>West Park Contracting Ltd</t>
  </si>
  <si>
    <t>19/02/2025, 15:51</t>
  </si>
  <si>
    <t>CARLTON HOUSE TERRACE NO 20 FLRS 4-5 CAT B LONDON</t>
  </si>
  <si>
    <t>Ewan Currie</t>
  </si>
  <si>
    <t>ML Interiors Ltd</t>
  </si>
  <si>
    <t>19/02/2025, 10:40</t>
  </si>
  <si>
    <t>QUEEN VICTORIA STREET NO 71 FLR 3 REFURB LONDON</t>
  </si>
  <si>
    <t>Matthew Ellis</t>
  </si>
  <si>
    <t>Matthew Grahame Limited</t>
  </si>
  <si>
    <t>17/02/2025, 14:08</t>
  </si>
  <si>
    <t>Fabio Dalle Fratte</t>
  </si>
  <si>
    <t>17/02/2025, 11:35</t>
  </si>
  <si>
    <t>BISHOPSGATE NO 250 FLR 1 &amp; 2 NATWEST REFURB LONDON</t>
  </si>
  <si>
    <t>Elliot O'Neill</t>
  </si>
  <si>
    <t>Yorkshire Maintenance Ltd</t>
  </si>
  <si>
    <t>17/02/2025, 09:50</t>
  </si>
  <si>
    <t>DATA CENTRE MOCK UPS</t>
  </si>
  <si>
    <t>17/02/2025, 10:14</t>
  </si>
  <si>
    <t>SAADIYAT ISLAND DEVELOPMENT THE GROVE AUH WALL PANELS</t>
  </si>
  <si>
    <t>Maroun Chaoul</t>
  </si>
  <si>
    <t>Perfect Building Materials</t>
  </si>
  <si>
    <t>20/02/2025, 12:48</t>
  </si>
  <si>
    <t>COEUR AEROGARE MARSEILLE</t>
  </si>
  <si>
    <t>21/02/2025, 14:39</t>
  </si>
  <si>
    <t>SAS AUSTRALIA STOCK ORDERS</t>
  </si>
  <si>
    <t>11/02/2025, 08:40</t>
  </si>
  <si>
    <t>14/02/2025, 12:41</t>
  </si>
  <si>
    <t>ARGOED HIGH SCHOOL REDEVELOPMENT MYNYDD ISA</t>
  </si>
  <si>
    <t>Mark Beard</t>
  </si>
  <si>
    <t>Sound Interiors Ltd</t>
  </si>
  <si>
    <t>14/02/2025, 11:13</t>
  </si>
  <si>
    <t>George Foster</t>
  </si>
  <si>
    <t>Bellwood Interiors Ltd</t>
  </si>
  <si>
    <t>14/02/2025, 10:30</t>
  </si>
  <si>
    <t>Steven Reid</t>
  </si>
  <si>
    <t>City Electrical Factors Ltd</t>
  </si>
  <si>
    <t>12/02/2025, 09:46</t>
  </si>
  <si>
    <t>HENRIETTA STREET NO 12 FLR 1 REFURB LONDON</t>
  </si>
  <si>
    <t>Sean Brundell</t>
  </si>
  <si>
    <t>TAD Contracts Ltd</t>
  </si>
  <si>
    <t>11/02/2025, 15:50</t>
  </si>
  <si>
    <t>11/02/2025, 13:10</t>
  </si>
  <si>
    <t>S - Incorrect carriage or storage method</t>
  </si>
  <si>
    <t>QUEEN STREET PLACE NO 36 LONDON</t>
  </si>
  <si>
    <t>Catalin Moglan</t>
  </si>
  <si>
    <t>Project Bespoke Limited</t>
  </si>
  <si>
    <t>11/02/2025, 11:28</t>
  </si>
  <si>
    <t>UNKNOWN</t>
  </si>
  <si>
    <t>Sara Danzelman</t>
  </si>
  <si>
    <t>11/02/2025, 11:09</t>
  </si>
  <si>
    <t>S - Product specification error</t>
  </si>
  <si>
    <t>Alan Webber</t>
  </si>
  <si>
    <t>Rose Builders Ltd</t>
  </si>
  <si>
    <t>11/02/2025, 09:34</t>
  </si>
  <si>
    <t>07/02/2025, 15:31</t>
  </si>
  <si>
    <t>04/02/2025, 08:53</t>
  </si>
  <si>
    <t>YALE UNIVERSITY CHEMISTRY &amp; SAFETY BUILDING (CSB)</t>
  </si>
  <si>
    <t>Jacqueline Nagle</t>
  </si>
  <si>
    <t>07/02/2025, 12:59</t>
  </si>
  <si>
    <t>CAVENDISH SQUARE NO 9 CAT A REFURB LONDON</t>
  </si>
  <si>
    <t>Brian Alexander</t>
  </si>
  <si>
    <t>07/02/2025, 12:55</t>
  </si>
  <si>
    <t>07/02/2025, 10:15</t>
  </si>
  <si>
    <t>MISC TILE &amp; GRID PROJECTS</t>
  </si>
  <si>
    <t>Warwick Robbins</t>
  </si>
  <si>
    <t>Ceiling &amp; Partition Installations Ltd</t>
  </si>
  <si>
    <t>06/02/2025, 13:37</t>
  </si>
  <si>
    <t>V - Vendor problem</t>
  </si>
  <si>
    <t>Nayeb Choudhury</t>
  </si>
  <si>
    <t>05/02/2025, 14:02</t>
  </si>
  <si>
    <t>BROADGATE NO 1-2 CAT A WASHROOMS LONDON</t>
  </si>
  <si>
    <t>05/02/2025, 12:57</t>
  </si>
  <si>
    <t>05/02/2025, 09:57</t>
  </si>
  <si>
    <t>DEVONSHIRE SQUARE NO 2-5 PREMIER PLACE CAT B JANE STREET</t>
  </si>
  <si>
    <t>05/02/2025, 09:49</t>
  </si>
  <si>
    <t>04/02/2025, 11:18</t>
  </si>
  <si>
    <t>03/02/2025, 15:39</t>
  </si>
  <si>
    <t>DATUM MCR2 DATA CENTRE MANCHESTER DATA HALLS</t>
  </si>
  <si>
    <t>Danny Brayshaw</t>
  </si>
  <si>
    <t>Creative Interior Systems</t>
  </si>
  <si>
    <t>31/01/2025, 08:29</t>
  </si>
  <si>
    <t>Design</t>
  </si>
  <si>
    <t>31/01/2025, 11:17</t>
  </si>
  <si>
    <t>C - Cancelled Order</t>
  </si>
  <si>
    <t>HEATHROW T3 LANDSIDE ARRIVALS LONDON</t>
  </si>
  <si>
    <t>Iqbal Hussain</t>
  </si>
  <si>
    <t>Contour Construction and Interiors Ltd</t>
  </si>
  <si>
    <t>31/01/2025, 08:45</t>
  </si>
  <si>
    <t>DEVONSHIRE SQUARE NO 2-5 PREMIER PLACE PHASE 3 JANE STREET</t>
  </si>
  <si>
    <t>30/01/2025, 15:57</t>
  </si>
  <si>
    <t>WORSHIP SQUARE CLIFTON STREET NO 65 CAT B WISE LONDON</t>
  </si>
  <si>
    <t>30/01/2025, 12:48</t>
  </si>
  <si>
    <t>BP SUNBRY BUILDING E</t>
  </si>
  <si>
    <t>Paul McDonagh</t>
  </si>
  <si>
    <t>Reverb Acoutics</t>
  </si>
  <si>
    <t>30/01/2025, 11:44</t>
  </si>
  <si>
    <t>NEW BAILEY NO FOUR REFURB FLR 7 BT MANCHESTER</t>
  </si>
  <si>
    <t>Oliver Myles</t>
  </si>
  <si>
    <t>L &amp; D Interiors Ltd</t>
  </si>
  <si>
    <t>29/01/2025, 16:03</t>
  </si>
  <si>
    <t>LEADENHALL STREET NO 1 CHANGING ROOMS &amp; WCS LONDON</t>
  </si>
  <si>
    <t>Tommy McDermott</t>
  </si>
  <si>
    <t>Drytech Construction Limited</t>
  </si>
  <si>
    <t>29/01/2025, 10:30</t>
  </si>
  <si>
    <t>28/01/2025, 14:24</t>
  </si>
  <si>
    <t>27/01/2025, 15:36</t>
  </si>
  <si>
    <t>GREENWICH PENINSULA PLOT NO 19.05 RESI LONDON</t>
  </si>
  <si>
    <t>Sales Department</t>
  </si>
  <si>
    <t>Conneely Drylining Ltd</t>
  </si>
  <si>
    <t>27/01/2025, 13:47</t>
  </si>
  <si>
    <t>Adam Donkin</t>
  </si>
  <si>
    <t>31/01/2025, 10:00</t>
  </si>
  <si>
    <t>30/01/2025, 09:05</t>
  </si>
  <si>
    <t>29/01/2025, 09:58</t>
  </si>
  <si>
    <t>29/01/2025, 08:49</t>
  </si>
  <si>
    <t>Mark Perry</t>
  </si>
  <si>
    <t>27/01/2025, 12:59</t>
  </si>
  <si>
    <t>SP MISC PROJECTS 2024</t>
  </si>
  <si>
    <t>30/01/2025, 08:20</t>
  </si>
  <si>
    <t>EXHIBITION STREET NO 8 MELBOURNE</t>
  </si>
  <si>
    <t>Kate Cogswell</t>
  </si>
  <si>
    <t>23/01/2025, 14:50</t>
  </si>
  <si>
    <t>24/01/2025, 13:07</t>
  </si>
  <si>
    <t>COMMODITY QUAY ST KATHERINES DOCK REFURB LONDON</t>
  </si>
  <si>
    <t>John Jones</t>
  </si>
  <si>
    <t>Jones FM LLP</t>
  </si>
  <si>
    <t>24/01/2025, 13:04</t>
  </si>
  <si>
    <t>24/01/2025, 08:35</t>
  </si>
  <si>
    <t>23/01/2025, 15:32</t>
  </si>
  <si>
    <t>CHESTERFIELD ROYAL HOSPITAL MENTAL HEALTH FACILITY</t>
  </si>
  <si>
    <t>Andrew Sturdy</t>
  </si>
  <si>
    <t>B W Shrimpton Ltd</t>
  </si>
  <si>
    <t>23/01/2025, 13:59</t>
  </si>
  <si>
    <t>MUSGROVE PARK HOSPITAL TAUNTON</t>
  </si>
  <si>
    <t>Gary Rice</t>
  </si>
  <si>
    <t>Cap Ceilings &amp; Partitions Ltd</t>
  </si>
  <si>
    <t>23/01/2025, 13:15</t>
  </si>
  <si>
    <t>COLMORE SQUARE NO 1 FLOOR 4 BIRMINGHAM</t>
  </si>
  <si>
    <t>Andy Ratcliffe</t>
  </si>
  <si>
    <t>D3 Interiors</t>
  </si>
  <si>
    <t>23/01/2025, 11:46</t>
  </si>
  <si>
    <t>BRANDON STREET NO 20  BLACKROCK EDINBURGH</t>
  </si>
  <si>
    <t>Aidan McLaughlin</t>
  </si>
  <si>
    <t>Linear Projects Ltd (Rotherham)</t>
  </si>
  <si>
    <t>23/01/2025, 10:21</t>
  </si>
  <si>
    <t>City Electrical Factors</t>
  </si>
  <si>
    <t>22/01/2025, 15:21</t>
  </si>
  <si>
    <t>Matthew Lawler</t>
  </si>
  <si>
    <t>22/01/2025, 09:31</t>
  </si>
  <si>
    <t>21/01/2025, 16:37</t>
  </si>
  <si>
    <t>21/01/2025, 14:20</t>
  </si>
  <si>
    <t>Josh Parkin</t>
  </si>
  <si>
    <t>21/01/2025, 14:07</t>
  </si>
  <si>
    <t>Colin Brown</t>
  </si>
  <si>
    <t>21/01/2025, 11:45</t>
  </si>
  <si>
    <t>CAPITAL HOUSE KING WILLIAM ST NO 85 FLRS 6-7 LIGHTING LONDON</t>
  </si>
  <si>
    <t>Stephanie Chessell</t>
  </si>
  <si>
    <t>Carrington Building Services Ltd</t>
  </si>
  <si>
    <t>21/01/2025, 08:58</t>
  </si>
  <si>
    <t>21/01/2025, 08:41</t>
  </si>
  <si>
    <t>20/01/2025, 16:39</t>
  </si>
  <si>
    <t>20/01/2025, 15:00</t>
  </si>
  <si>
    <t>20/01/2025, 08:17</t>
  </si>
  <si>
    <t>BISHOPSGATE NO 8 FLOORS 10-15 CFC UNDERWRITING LONDON</t>
  </si>
  <si>
    <t>23/01/2025, 16:03</t>
  </si>
  <si>
    <t>Chris Porter</t>
  </si>
  <si>
    <t>21/01/2025, 15:00</t>
  </si>
  <si>
    <t>21/01/2025, 09:01</t>
  </si>
  <si>
    <t>KHAZNA DATA CENTER IBN BATTUTA DXB9 JEBEL ALI DUBAI</t>
  </si>
  <si>
    <t>Mujeeb Syed</t>
  </si>
  <si>
    <t>BK Gulf LLC</t>
  </si>
  <si>
    <t>20/01/2025, 11:36</t>
  </si>
  <si>
    <t>SAADIYAT ISLAND DEVELOPMENT THE GROVE AUH</t>
  </si>
  <si>
    <t>22/01/2025, 09:40</t>
  </si>
  <si>
    <t>TOM JOHNSON HOUSE REFURB BEGGARS BUSH DUBLIN 4 LIGHTING</t>
  </si>
  <si>
    <t>SAS Building Factors Ireland Limited</t>
  </si>
  <si>
    <t>17/01/2025, 14:19</t>
  </si>
  <si>
    <t>14/01/2025, 15:30</t>
  </si>
  <si>
    <t>17/01/2025, 14:50</t>
  </si>
  <si>
    <t>NORTHCLIFFE HOUSE TUDOR STREET NO 26 FLRS 4-6 LONDON</t>
  </si>
  <si>
    <t>16/01/2025, 14:09</t>
  </si>
  <si>
    <t>NATIONAL PHYSICAL LABATORY L4 G8 REFURB LONDON</t>
  </si>
  <si>
    <t>16/01/2025, 09:44</t>
  </si>
  <si>
    <t>KFC MISC 2024</t>
  </si>
  <si>
    <t>Oran Clark-Brymner</t>
  </si>
  <si>
    <t>Building Materials Nationwide Ltd</t>
  </si>
  <si>
    <t>16/01/2025, 08:55</t>
  </si>
  <si>
    <t>15/01/2025, 11:15</t>
  </si>
  <si>
    <t>14/01/2025, 14:34</t>
  </si>
  <si>
    <t>CANARY WHARF CANADA SQUARE NO 25 ADDITIONS LONDON</t>
  </si>
  <si>
    <t>14/01/2025, 07:38</t>
  </si>
  <si>
    <t>NEW COURT ST SWITHINS LANE NO 1-10 LIGHTING LONDON</t>
  </si>
  <si>
    <t>13/01/2025, 10:11</t>
  </si>
  <si>
    <t>WORKPLACE INTERIORS MISC 2024</t>
  </si>
  <si>
    <t>13/01/2025, 09:52</t>
  </si>
  <si>
    <t>Q - Product is delaminated</t>
  </si>
  <si>
    <t>BAKER STREET NO 22 FLOORS 1-3 CAT A LONDON</t>
  </si>
  <si>
    <t>David Pegram</t>
  </si>
  <si>
    <t>Gary James Partners Ltd</t>
  </si>
  <si>
    <t>13/01/2025, 07:43</t>
  </si>
  <si>
    <t>PRINCIPAL PLACE LHR 16 AMAZON SCREENING ROOM LONDON</t>
  </si>
  <si>
    <t>Tracey Willis</t>
  </si>
  <si>
    <t>Laser (Essex) Ltd</t>
  </si>
  <si>
    <t>16/01/2025, 08:27</t>
  </si>
  <si>
    <t>Matthew Gillas</t>
  </si>
  <si>
    <t>15/01/2025, 15:51</t>
  </si>
  <si>
    <t>15/01/2025, 08:08</t>
  </si>
  <si>
    <t>14/01/2025, 09:20</t>
  </si>
  <si>
    <t>13/01/2025, 15:46</t>
  </si>
  <si>
    <t>13/01/2025, 14:58</t>
  </si>
  <si>
    <t>15/01/2025, 13:27</t>
  </si>
  <si>
    <t>SAS DUBAI STOCK ORDER</t>
  </si>
  <si>
    <t>Salish Sadasivan</t>
  </si>
  <si>
    <t>SAS International Dubai</t>
  </si>
  <si>
    <t>09/01/2025, 16:43</t>
  </si>
  <si>
    <t>09/01/2025, 16:41</t>
  </si>
  <si>
    <t>09/01/2025, 14:20</t>
  </si>
  <si>
    <t>09/01/2025, 07:39</t>
  </si>
  <si>
    <t>09/01/2025, 14:48</t>
  </si>
  <si>
    <t>09/01/2025, 13:22</t>
  </si>
  <si>
    <t>09/01/2025, 13:10</t>
  </si>
  <si>
    <t>09/01/2025, 11:47</t>
  </si>
  <si>
    <t>MANCHESTER SQUARE NO 20 CAT B LAZARD LONDON</t>
  </si>
  <si>
    <t>08/01/2025, 14:12</t>
  </si>
  <si>
    <t>CAMBRIDGE SCIENCE PARK BUILDING 22</t>
  </si>
  <si>
    <t>Gemma Drake</t>
  </si>
  <si>
    <t>Nevill Long Ltd Northampton</t>
  </si>
  <si>
    <t>08/01/2025, 12:58</t>
  </si>
  <si>
    <t>08/01/2025, 11:57</t>
  </si>
  <si>
    <t>N/A</t>
  </si>
  <si>
    <t>N - Not a valid complaint</t>
  </si>
  <si>
    <t>07/01/2025, 09:41</t>
  </si>
  <si>
    <t>Mick Beckham</t>
  </si>
  <si>
    <t>Overbury Interiors Plc</t>
  </si>
  <si>
    <t>07/01/2025, 09:30</t>
  </si>
  <si>
    <t>HILLSWOOD DRIVE NO 1000 CHERTSEY</t>
  </si>
  <si>
    <t>Daniel Tully</t>
  </si>
  <si>
    <t>Sales Divison</t>
  </si>
  <si>
    <t>Date/Time Opened</t>
  </si>
  <si>
    <t>Department</t>
  </si>
  <si>
    <t>Fault Category</t>
  </si>
  <si>
    <t>Customer Service Number</t>
  </si>
  <si>
    <t>Project Name</t>
  </si>
  <si>
    <t>Contact Name</t>
  </si>
  <si>
    <t>Company Name</t>
  </si>
  <si>
    <t>OLYMPIA CENTRAL TENANT LOBBY 1 &amp; 2 LEVEL 2M LONDON</t>
  </si>
  <si>
    <t>PADDINGTON CENTRAL KINGDOM STREET NO 4 FLR 7 REFURB LONDON</t>
  </si>
  <si>
    <t>GATWICK AIRPORT NGSC SUSSEX SUITE</t>
  </si>
  <si>
    <t>Extract Date</t>
  </si>
  <si>
    <t>Date in Text Format</t>
  </si>
  <si>
    <t>Date</t>
  </si>
  <si>
    <t>Week No</t>
  </si>
  <si>
    <t>Count of Customer Service Number</t>
  </si>
  <si>
    <t>No of complaints Raised per Week - Power BI Report - Saved on tab of the same name</t>
  </si>
  <si>
    <t>This shows the complaints raised by dates and the reason code assigned to the complaint</t>
  </si>
  <si>
    <t>Ive extracted the date from the date / time field and looked up the week number</t>
  </si>
  <si>
    <t>This can be seen on the Tab Pivot of complaints</t>
  </si>
  <si>
    <t>Blank</t>
  </si>
  <si>
    <t>Missed</t>
  </si>
  <si>
    <t>Prod Design</t>
  </si>
  <si>
    <t>Bridgend Manufacturing</t>
  </si>
  <si>
    <t>Maybole Manufacturing</t>
  </si>
  <si>
    <t>Quality</t>
  </si>
  <si>
    <t>Department2</t>
  </si>
  <si>
    <t>01 SOP</t>
  </si>
  <si>
    <t>02 Product Design</t>
  </si>
  <si>
    <t>Power BI Report</t>
  </si>
  <si>
    <t>03 Shop Floor</t>
  </si>
  <si>
    <t>03 Assembly</t>
  </si>
  <si>
    <t>01 Export SOP</t>
  </si>
  <si>
    <t>03 Assembly Block 2</t>
  </si>
  <si>
    <t>SOP KPI</t>
  </si>
  <si>
    <t>+ve KPI higher than report</t>
  </si>
  <si>
    <t>Picked up from the KPI submission all of the complaint numbers submitted</t>
  </si>
  <si>
    <t>Product Design - close on 15 weeks 11 agree and 4 show differences of +/- 1 - total difference is 2 with Power BI being higher</t>
  </si>
  <si>
    <t>SOP - on 15 weeks only 5 agree - Power BI is higher by 11 (Only SOP included, export SOP are not, if they were the difference would be greater</t>
  </si>
  <si>
    <t>Bridgend Manufacturing - cant see how to pull out Bridgend Manufacturing</t>
  </si>
  <si>
    <t>Maybole Manufacturing - Cant see how to pull out Maybole Manufacturing</t>
  </si>
  <si>
    <t>Quality - Cant see how to pull out the Quality complaints</t>
  </si>
  <si>
    <t>Tried to reconcile these back - but could not see a pattern</t>
  </si>
  <si>
    <t>PADDINGTON CENTRAL KINGDOM STREET NO 2 FLR 7 MICROSOFT</t>
  </si>
  <si>
    <t>09/05/2025, 08:37</t>
  </si>
  <si>
    <t>12/05/2025, 14:35</t>
  </si>
  <si>
    <t>14/05/2025, 09:45</t>
  </si>
  <si>
    <t>15/05/2025, 08:35</t>
  </si>
  <si>
    <t>TALAMOCHITA SL</t>
  </si>
  <si>
    <t>Javier Raimondo</t>
  </si>
  <si>
    <t>15/05/2025, 11:28</t>
  </si>
  <si>
    <t>CADOGAN STREET NO 5 GLASGOW</t>
  </si>
  <si>
    <t>12/05/2025, 09:01</t>
  </si>
  <si>
    <t>MCS Partitioning &amp; Drylining Ltd</t>
  </si>
  <si>
    <t>Mike Smith</t>
  </si>
  <si>
    <t>12/05/2025, 09:18</t>
  </si>
  <si>
    <t>Flynn Interiors Ltd</t>
  </si>
  <si>
    <t>Laura Hawkins</t>
  </si>
  <si>
    <t>12/05/2025, 15:18</t>
  </si>
  <si>
    <t>Sodexo</t>
  </si>
  <si>
    <t>Anna Demetriou</t>
  </si>
  <si>
    <t>13/05/2025, 08:33</t>
  </si>
  <si>
    <t>Carter Ceilings Ltd</t>
  </si>
  <si>
    <t>Euan Lindsay</t>
  </si>
  <si>
    <t>13/05/2025, 15:04</t>
  </si>
  <si>
    <t>B P Installations</t>
  </si>
  <si>
    <t>Charlie Cooper</t>
  </si>
  <si>
    <t>14/05/2025, 13:08</t>
  </si>
  <si>
    <t>15/05/2025, 10:39</t>
  </si>
  <si>
    <t>NEW BRIDGE STREET NO 100 CAT A+ LONDON</t>
  </si>
  <si>
    <t>16/05/2025, 09:37</t>
  </si>
  <si>
    <t>16/05/2025, 10:23</t>
  </si>
  <si>
    <t>16/05/2025, 09:13</t>
  </si>
  <si>
    <t>FALSE</t>
  </si>
  <si>
    <t>00022117</t>
  </si>
  <si>
    <t>00022119</t>
  </si>
  <si>
    <t>00022131</t>
  </si>
  <si>
    <t>00022134</t>
  </si>
  <si>
    <t>00022136</t>
  </si>
  <si>
    <t>00022144</t>
  </si>
  <si>
    <t>00022145</t>
  </si>
  <si>
    <t>00022147</t>
  </si>
  <si>
    <t>00022152</t>
  </si>
  <si>
    <t>00022138</t>
  </si>
  <si>
    <t>00022150</t>
  </si>
  <si>
    <t>00022154</t>
  </si>
  <si>
    <t>00022156</t>
  </si>
  <si>
    <t>00022193</t>
  </si>
  <si>
    <t>00022166</t>
  </si>
  <si>
    <t>00022168</t>
  </si>
  <si>
    <t>00022172</t>
  </si>
  <si>
    <t>00022186</t>
  </si>
  <si>
    <t>00022196</t>
  </si>
  <si>
    <t>00022198</t>
  </si>
  <si>
    <t>00022158</t>
  </si>
  <si>
    <t>00022160</t>
  </si>
  <si>
    <t>00022162</t>
  </si>
  <si>
    <t>00022170</t>
  </si>
  <si>
    <t>00022181</t>
  </si>
  <si>
    <t>00022190</t>
  </si>
  <si>
    <t>00022200</t>
  </si>
  <si>
    <t>00022202</t>
  </si>
  <si>
    <t>00022207</t>
  </si>
  <si>
    <t>00022213</t>
  </si>
  <si>
    <t>00022183</t>
  </si>
  <si>
    <t>00022211</t>
  </si>
  <si>
    <t>00022251</t>
  </si>
  <si>
    <t>00022218</t>
  </si>
  <si>
    <t>00022232</t>
  </si>
  <si>
    <t>00022245</t>
  </si>
  <si>
    <t>00022273</t>
  </si>
  <si>
    <t>00022215</t>
  </si>
  <si>
    <t>00022222</t>
  </si>
  <si>
    <t>00022224</t>
  </si>
  <si>
    <t>00022228</t>
  </si>
  <si>
    <t>00022230</t>
  </si>
  <si>
    <t>00022237</t>
  </si>
  <si>
    <t>00022241</t>
  </si>
  <si>
    <t>00022243</t>
  </si>
  <si>
    <t>00022247</t>
  </si>
  <si>
    <t>00022249</t>
  </si>
  <si>
    <t>00022257</t>
  </si>
  <si>
    <t>00022261</t>
  </si>
  <si>
    <t>00022263</t>
  </si>
  <si>
    <t>00022265</t>
  </si>
  <si>
    <t>00022267</t>
  </si>
  <si>
    <t>00022271</t>
  </si>
  <si>
    <t>00022276</t>
  </si>
  <si>
    <t>00022279</t>
  </si>
  <si>
    <t>00022281</t>
  </si>
  <si>
    <t>00022269</t>
  </si>
  <si>
    <t>00022321</t>
  </si>
  <si>
    <t>00022288</t>
  </si>
  <si>
    <t>00022309</t>
  </si>
  <si>
    <t>00022312</t>
  </si>
  <si>
    <t>00022324</t>
  </si>
  <si>
    <t>00022337</t>
  </si>
  <si>
    <t>00022290</t>
  </si>
  <si>
    <t>00022292</t>
  </si>
  <si>
    <t>00022306</t>
  </si>
  <si>
    <t>00022314</t>
  </si>
  <si>
    <t>00022319</t>
  </si>
  <si>
    <t>00022327</t>
  </si>
  <si>
    <t>00022329</t>
  </si>
  <si>
    <t>00022332</t>
  </si>
  <si>
    <t>00022336</t>
  </si>
  <si>
    <t>00022341</t>
  </si>
  <si>
    <t>00022334</t>
  </si>
  <si>
    <t>00022356</t>
  </si>
  <si>
    <t>00022365</t>
  </si>
  <si>
    <t>00022382</t>
  </si>
  <si>
    <t>00022384</t>
  </si>
  <si>
    <t>00022389</t>
  </si>
  <si>
    <t>00022392</t>
  </si>
  <si>
    <t>00022397</t>
  </si>
  <si>
    <t>00022408</t>
  </si>
  <si>
    <t>00022411</t>
  </si>
  <si>
    <t>00022413</t>
  </si>
  <si>
    <t>00022360</t>
  </si>
  <si>
    <t>00022415</t>
  </si>
  <si>
    <t>00022430</t>
  </si>
  <si>
    <t>00022433</t>
  </si>
  <si>
    <t>00022435</t>
  </si>
  <si>
    <t>00022439</t>
  </si>
  <si>
    <t>00022444</t>
  </si>
  <si>
    <t>00022451</t>
  </si>
  <si>
    <t>00022465</t>
  </si>
  <si>
    <t>00022469</t>
  </si>
  <si>
    <t>00022472</t>
  </si>
  <si>
    <t>00022427</t>
  </si>
  <si>
    <t>00022520</t>
  </si>
  <si>
    <t>00022510</t>
  </si>
  <si>
    <t>00022476</t>
  </si>
  <si>
    <t>00022474</t>
  </si>
  <si>
    <t>00022480</t>
  </si>
  <si>
    <t>00022485</t>
  </si>
  <si>
    <t>00022500</t>
  </si>
  <si>
    <t>00022505</t>
  </si>
  <si>
    <t>00022507</t>
  </si>
  <si>
    <t>00022512</t>
  </si>
  <si>
    <t>00022516</t>
  </si>
  <si>
    <t>00022483</t>
  </si>
  <si>
    <t>00022535</t>
  </si>
  <si>
    <t>00022537</t>
  </si>
  <si>
    <t>00022539</t>
  </si>
  <si>
    <t>00022552</t>
  </si>
  <si>
    <t>00022573</t>
  </si>
  <si>
    <t>00022522</t>
  </si>
  <si>
    <t>00022541</t>
  </si>
  <si>
    <t>00022546</t>
  </si>
  <si>
    <t>00022556</t>
  </si>
  <si>
    <t>00022559</t>
  </si>
  <si>
    <t>00022567</t>
  </si>
  <si>
    <t>00022569</t>
  </si>
  <si>
    <t>00022571</t>
  </si>
  <si>
    <t>00022586</t>
  </si>
  <si>
    <t>00022622</t>
  </si>
  <si>
    <t>00022610</t>
  </si>
  <si>
    <t>00022579</t>
  </si>
  <si>
    <t>00022600</t>
  </si>
  <si>
    <t>00022602</t>
  </si>
  <si>
    <t>00022575</t>
  </si>
  <si>
    <t>00022581</t>
  </si>
  <si>
    <t>00022591</t>
  </si>
  <si>
    <t>00022594</t>
  </si>
  <si>
    <t>00022596</t>
  </si>
  <si>
    <t>00022606</t>
  </si>
  <si>
    <t>00022612</t>
  </si>
  <si>
    <t>00022615</t>
  </si>
  <si>
    <t>00022625</t>
  </si>
  <si>
    <t>00022628</t>
  </si>
  <si>
    <t>00022631</t>
  </si>
  <si>
    <t>00022682</t>
  </si>
  <si>
    <t>00022684</t>
  </si>
  <si>
    <t>00022635</t>
  </si>
  <si>
    <t>00022637</t>
  </si>
  <si>
    <t>00022640</t>
  </si>
  <si>
    <t>00022646</t>
  </si>
  <si>
    <t>00022650</t>
  </si>
  <si>
    <t>00022655</t>
  </si>
  <si>
    <t>00022660</t>
  </si>
  <si>
    <t>00022670</t>
  </si>
  <si>
    <t>00022675</t>
  </si>
  <si>
    <t>00022678</t>
  </si>
  <si>
    <t>00022680</t>
  </si>
  <si>
    <t>00022686</t>
  </si>
  <si>
    <t>00022688</t>
  </si>
  <si>
    <t>00022690</t>
  </si>
  <si>
    <t>00022694</t>
  </si>
  <si>
    <t>00022713</t>
  </si>
  <si>
    <t>00022745</t>
  </si>
  <si>
    <t>00022704</t>
  </si>
  <si>
    <t>00022708</t>
  </si>
  <si>
    <t>00022710</t>
  </si>
  <si>
    <t>00022717</t>
  </si>
  <si>
    <t>00022722</t>
  </si>
  <si>
    <t>00022724</t>
  </si>
  <si>
    <t>00022726</t>
  </si>
  <si>
    <t>00022729</t>
  </si>
  <si>
    <t>00022737</t>
  </si>
  <si>
    <t>00022741</t>
  </si>
  <si>
    <t>00022742</t>
  </si>
  <si>
    <t>00022748</t>
  </si>
  <si>
    <t>00022751</t>
  </si>
  <si>
    <t>00022753</t>
  </si>
  <si>
    <t>00022755</t>
  </si>
  <si>
    <t>00022757</t>
  </si>
  <si>
    <t>00022759</t>
  </si>
  <si>
    <t>00022767</t>
  </si>
  <si>
    <t>00022761</t>
  </si>
  <si>
    <t>00022762</t>
  </si>
  <si>
    <t>00022769</t>
  </si>
  <si>
    <t>00022772</t>
  </si>
  <si>
    <t>00022778</t>
  </si>
  <si>
    <t>00022782</t>
  </si>
  <si>
    <t>00022785</t>
  </si>
  <si>
    <t>00022790</t>
  </si>
  <si>
    <t>00022792</t>
  </si>
  <si>
    <t>00022794</t>
  </si>
  <si>
    <t>00022807</t>
  </si>
  <si>
    <t>00022809</t>
  </si>
  <si>
    <t>00022797</t>
  </si>
  <si>
    <t>00022837</t>
  </si>
  <si>
    <t>00022839</t>
  </si>
  <si>
    <t>00022849</t>
  </si>
  <si>
    <t>00022851</t>
  </si>
  <si>
    <t>00022812</t>
  </si>
  <si>
    <t>00022816</t>
  </si>
  <si>
    <t>00022822</t>
  </si>
  <si>
    <t>00022827</t>
  </si>
  <si>
    <t>00022841</t>
  </si>
  <si>
    <t>00022818</t>
  </si>
  <si>
    <t>00022829</t>
  </si>
  <si>
    <t>00022845</t>
  </si>
  <si>
    <t>00022883</t>
  </si>
  <si>
    <t>00022853</t>
  </si>
  <si>
    <t>00022856</t>
  </si>
  <si>
    <t>00022858</t>
  </si>
  <si>
    <t>00022860</t>
  </si>
  <si>
    <t>00022862</t>
  </si>
  <si>
    <t>00022864</t>
  </si>
  <si>
    <t>00022869</t>
  </si>
  <si>
    <t>00022871</t>
  </si>
  <si>
    <t>00022877</t>
  </si>
  <si>
    <t>00022879</t>
  </si>
  <si>
    <t>00022887</t>
  </si>
  <si>
    <t>00022889</t>
  </si>
  <si>
    <t>00022894</t>
  </si>
  <si>
    <t>00022913</t>
  </si>
  <si>
    <t>00022891</t>
  </si>
  <si>
    <t>00022897</t>
  </si>
  <si>
    <t>00022899</t>
  </si>
  <si>
    <t>00022902</t>
  </si>
  <si>
    <t>00022904</t>
  </si>
  <si>
    <t>00022907</t>
  </si>
  <si>
    <t>00022916</t>
  </si>
  <si>
    <t>00022918</t>
  </si>
  <si>
    <t>00022924</t>
  </si>
  <si>
    <t>00022928</t>
  </si>
  <si>
    <t>00022982</t>
  </si>
  <si>
    <t>00022973</t>
  </si>
  <si>
    <t>00022986</t>
  </si>
  <si>
    <t>00022989</t>
  </si>
  <si>
    <t>00022947</t>
  </si>
  <si>
    <t>00022940</t>
  </si>
  <si>
    <t>00022943</t>
  </si>
  <si>
    <t>00022945</t>
  </si>
  <si>
    <t>00022951</t>
  </si>
  <si>
    <t>00022958</t>
  </si>
  <si>
    <t>00022960</t>
  </si>
  <si>
    <t>00022969</t>
  </si>
  <si>
    <t>00022971</t>
  </si>
  <si>
    <t>00022977</t>
  </si>
  <si>
    <t>00022991</t>
  </si>
  <si>
    <t>00022936</t>
  </si>
  <si>
    <t>00022994</t>
  </si>
  <si>
    <t>00023016</t>
  </si>
  <si>
    <t>00022996</t>
  </si>
  <si>
    <t>00022999</t>
  </si>
  <si>
    <t>00023001</t>
  </si>
  <si>
    <t>00023014</t>
  </si>
  <si>
    <t>00023018</t>
  </si>
  <si>
    <t>00023028</t>
  </si>
  <si>
    <t>00023031</t>
  </si>
  <si>
    <t>00023033</t>
  </si>
  <si>
    <t>00023009</t>
  </si>
  <si>
    <t>00023024</t>
  </si>
  <si>
    <t>00023047</t>
  </si>
  <si>
    <t>00023058</t>
  </si>
  <si>
    <t>00023069</t>
  </si>
  <si>
    <t>00023076</t>
  </si>
  <si>
    <t>00023039</t>
  </si>
  <si>
    <t>00023041</t>
  </si>
  <si>
    <t>00023049</t>
  </si>
  <si>
    <t>00023051</t>
  </si>
  <si>
    <t>00023054</t>
  </si>
  <si>
    <t>00023066</t>
  </si>
  <si>
    <t>00023074</t>
  </si>
  <si>
    <t>00023082</t>
  </si>
  <si>
    <t>00023084</t>
  </si>
  <si>
    <t>00023080</t>
  </si>
  <si>
    <t>Q â€“ Missing Item</t>
  </si>
  <si>
    <t>00023133</t>
  </si>
  <si>
    <t>23/05/2025, 11:20</t>
  </si>
  <si>
    <t>BLOOMBERG RUE SCRIBE REFURBISHMENT PARIS 2025</t>
  </si>
  <si>
    <t>00023112</t>
  </si>
  <si>
    <t>20/05/2025, 15:54</t>
  </si>
  <si>
    <t>DUBLIN AIRPORT T1 MEZZANINE LOUNGE</t>
  </si>
  <si>
    <t>00023097</t>
  </si>
  <si>
    <t>20/05/2025, 09:14</t>
  </si>
  <si>
    <t>00023087</t>
  </si>
  <si>
    <t>19/05/2025, 09:01</t>
  </si>
  <si>
    <t>Darren Bristow</t>
  </si>
  <si>
    <t>00023090</t>
  </si>
  <si>
    <t>19/05/2025, 10:12</t>
  </si>
  <si>
    <t>AC1 Construction Ltd</t>
  </si>
  <si>
    <t>Gabriela Ciubotariu</t>
  </si>
  <si>
    <t>DIAMOND LIGHT SOURCE DEB EXTENSIONS DIDCOT</t>
  </si>
  <si>
    <t>00023099</t>
  </si>
  <si>
    <t>20/05/2025, 09:49</t>
  </si>
  <si>
    <t>EXCEL PHASE 3 DEVELOPMENT WC LONDON</t>
  </si>
  <si>
    <t>00023106</t>
  </si>
  <si>
    <t>S - Incorrect delivery method</t>
  </si>
  <si>
    <t>20/05/2025, 14:51</t>
  </si>
  <si>
    <t>Linear Projects Ltd</t>
  </si>
  <si>
    <t>Gavin Miller</t>
  </si>
  <si>
    <t>BOTHWELL STREET NO 120 FLS 8 &amp; 9 CAT B FITOUT GLASGOW</t>
  </si>
  <si>
    <t>00023109</t>
  </si>
  <si>
    <t>20/05/2025, 15:27</t>
  </si>
  <si>
    <t>Colin Richardson</t>
  </si>
  <si>
    <t>00023117</t>
  </si>
  <si>
    <t>21/05/2025, 11:38</t>
  </si>
  <si>
    <t>PINETREES BUSINESS PARK NO 2 DHL WOODHOUSE STAINES</t>
  </si>
  <si>
    <t>00023120</t>
  </si>
  <si>
    <t>21/05/2025, 13:19</t>
  </si>
  <si>
    <t>Overbury Plc Northern Region</t>
  </si>
  <si>
    <t>Rob Jackson</t>
  </si>
  <si>
    <t>ST MICHAELS TOWER FLRS 7 &amp; 8 MANCHESTER</t>
  </si>
  <si>
    <t>00023127</t>
  </si>
  <si>
    <t>23/05/2025, 08:24</t>
  </si>
  <si>
    <t>00023143</t>
  </si>
  <si>
    <t>28/05/2025, 09:22</t>
  </si>
  <si>
    <t>00023159</t>
  </si>
  <si>
    <t>29/05/2025, 11:40</t>
  </si>
  <si>
    <t>00023138</t>
  </si>
  <si>
    <t>27/05/2025, 13:16</t>
  </si>
  <si>
    <t>Bowyer Wick Building Contracting LLC - BW</t>
  </si>
  <si>
    <t>Jayan S</t>
  </si>
  <si>
    <t>MILLENIUM CAPITAL ICD L26 DUBAI PHASE 2</t>
  </si>
  <si>
    <t>00023161</t>
  </si>
  <si>
    <t>29/05/2025, 12:01</t>
  </si>
  <si>
    <t>00023147</t>
  </si>
  <si>
    <t>Major Project Product Design</t>
  </si>
  <si>
    <t>28/05/2025, 10:31</t>
  </si>
  <si>
    <t>00023169</t>
  </si>
  <si>
    <t>30/05/2025, 11:30</t>
  </si>
  <si>
    <t>D V McColl Ltd</t>
  </si>
  <si>
    <t>Paul Woodlock</t>
  </si>
  <si>
    <t>BOTHWELL STREET NO 177 FLOOR 4 FIT OUT GLASGOW</t>
  </si>
  <si>
    <t>00023136</t>
  </si>
  <si>
    <t>27/05/2025, 11:59</t>
  </si>
  <si>
    <t>HCIP Ltd</t>
  </si>
  <si>
    <t>Gaz Haigh</t>
  </si>
  <si>
    <t>BROADGATE TOWER FLOORS 6-8 HILL DICKSON REFURB LONDON</t>
  </si>
  <si>
    <t>00023141</t>
  </si>
  <si>
    <t>28/05/2025, 08:37</t>
  </si>
  <si>
    <t>T Clarke Plc</t>
  </si>
  <si>
    <t>Matthew Lines</t>
  </si>
  <si>
    <t>ALDERMANBURY SQUARE NO 2 BASINGHALL ST LIGHTING LONDON</t>
  </si>
  <si>
    <t>00023145</t>
  </si>
  <si>
    <t>External</t>
  </si>
  <si>
    <t>28/05/2025, 09:44</t>
  </si>
  <si>
    <t>00023150</t>
  </si>
  <si>
    <t>28/05/2025, 13:12</t>
  </si>
  <si>
    <t>HWE HUB BUILDING 7 ADITIONALS WATFORD</t>
  </si>
  <si>
    <t>00023154</t>
  </si>
  <si>
    <t>28/05/2025, 14:32</t>
  </si>
  <si>
    <t>David Andrews Construction Ltd</t>
  </si>
  <si>
    <t>John Rimmell</t>
  </si>
  <si>
    <t>BAKER STREET NO 25 GROUND FLOOR BMO LONDON</t>
  </si>
  <si>
    <t>00023157</t>
  </si>
  <si>
    <t>29/05/2025, 10:54</t>
  </si>
  <si>
    <t>00023164</t>
  </si>
  <si>
    <t>30/05/2025, 08:37</t>
  </si>
  <si>
    <t>Zen Commercial Interiors Ltd</t>
  </si>
  <si>
    <t>Colin Jones</t>
  </si>
  <si>
    <t>UNI OF CAMBRIDGE WHITTLE LAB EXTENSION CAMBRIDGE</t>
  </si>
  <si>
    <t>00023167</t>
  </si>
  <si>
    <t>30/05/2025, 09:08</t>
  </si>
  <si>
    <t>BLUE FIN BUILDING SOUTHWARK STREET COSTAR FLRS 5-6 LONDON</t>
  </si>
  <si>
    <t>00023171</t>
  </si>
  <si>
    <t>30/05/2025, 11:42</t>
  </si>
  <si>
    <t>SIG Interiors Ltd (Manchester)</t>
  </si>
  <si>
    <t>Geraldine Taylor</t>
  </si>
  <si>
    <t>00023174</t>
  </si>
  <si>
    <t>30/05/2025, 13:18</t>
  </si>
  <si>
    <t>HL Interiors Ltd</t>
  </si>
  <si>
    <t>Richard Lane</t>
  </si>
  <si>
    <t>UNI OF CAMBRIDGE CHEMISTRY LECTURE ROOM CEILINGS GRD FLOOR</t>
  </si>
  <si>
    <t>00023176</t>
  </si>
  <si>
    <t>30/05/2025, 14:08</t>
  </si>
  <si>
    <t>Order Tracking: Order Tracking No</t>
  </si>
  <si>
    <t>Infor Order Reference</t>
  </si>
  <si>
    <t>Days In Cleansing</t>
  </si>
  <si>
    <t>On Time</t>
  </si>
  <si>
    <t>Order Tracking: Created Date</t>
  </si>
  <si>
    <t>ORT-0000010139</t>
  </si>
  <si>
    <t>C000416282</t>
  </si>
  <si>
    <t>COPTHALL BRIDGE HOUSE HARROGATE</t>
  </si>
  <si>
    <t>ORT-0000010140</t>
  </si>
  <si>
    <t>C000416283</t>
  </si>
  <si>
    <t>SOUTH LONDON &amp; MAUDSLEY HOSPITAL CYP HOUSE LONDON</t>
  </si>
  <si>
    <t>ORT-0000010141</t>
  </si>
  <si>
    <t>C000416284</t>
  </si>
  <si>
    <t>LEADENHALL STREET NO 40 KIRKLAND &amp; ELLIS FLRS 15-34 LONDON</t>
  </si>
  <si>
    <t>ORT-0000010142</t>
  </si>
  <si>
    <t>C000416285</t>
  </si>
  <si>
    <t>ORT-0000010143</t>
  </si>
  <si>
    <t>C000416286</t>
  </si>
  <si>
    <t>GROSVENOR SQUARE NO 30 ROSEWOOD HOTEL LONDON</t>
  </si>
  <si>
    <t>ORT-0000010144</t>
  </si>
  <si>
    <t>C000416287</t>
  </si>
  <si>
    <t>ORT-0000010145</t>
  </si>
  <si>
    <t>C000416288</t>
  </si>
  <si>
    <t>ORT-0000010146</t>
  </si>
  <si>
    <t>C000416289</t>
  </si>
  <si>
    <t>ORT-0000010147</t>
  </si>
  <si>
    <t>C000416290</t>
  </si>
  <si>
    <t>DOVER STREET NO 48 CAT B SIXTH STREET LONDON</t>
  </si>
  <si>
    <t>ORT-0000010148</t>
  </si>
  <si>
    <t>C000416291</t>
  </si>
  <si>
    <t>ORT-0000010149</t>
  </si>
  <si>
    <t>C000416292</t>
  </si>
  <si>
    <t>ORT-0000010150</t>
  </si>
  <si>
    <t>C000416293</t>
  </si>
  <si>
    <t>HCA HALE MANCHESTER</t>
  </si>
  <si>
    <t>ORT-0000010151</t>
  </si>
  <si>
    <t>C000416294</t>
  </si>
  <si>
    <t>ORION PARK NO 1 SEGRO DAGENHAM</t>
  </si>
  <si>
    <t>ORT-0000010152</t>
  </si>
  <si>
    <t>C000416295</t>
  </si>
  <si>
    <t>OLD BROAD STREET NO 25 TOWER 42 REFURB LONDON</t>
  </si>
  <si>
    <t>ORT-0000010153</t>
  </si>
  <si>
    <t>C000416296</t>
  </si>
  <si>
    <t>EURSHELL MISC TILE &amp; GRID 2025</t>
  </si>
  <si>
    <t>ORT-0000010154</t>
  </si>
  <si>
    <t>C000416297</t>
  </si>
  <si>
    <t>ORT-0000010155</t>
  </si>
  <si>
    <t>C000416298</t>
  </si>
  <si>
    <t>ORT-0000010156</t>
  </si>
  <si>
    <t>C000416300</t>
  </si>
  <si>
    <t>BMS CHESTER CONFERENCE ROOM REFURB</t>
  </si>
  <si>
    <t>ORT-0000010157</t>
  </si>
  <si>
    <t>C000416301</t>
  </si>
  <si>
    <t>ORT-0000010158</t>
  </si>
  <si>
    <t>C000416302</t>
  </si>
  <si>
    <t>ORT-0000010159</t>
  </si>
  <si>
    <t>C000416304</t>
  </si>
  <si>
    <t>ORT-0000010160</t>
  </si>
  <si>
    <t>C000416305</t>
  </si>
  <si>
    <t>LOVELS WAY INDUSTRIAL UNIT WIDNES</t>
  </si>
  <si>
    <t>ORT-0000010161</t>
  </si>
  <si>
    <t>C000416307</t>
  </si>
  <si>
    <t>ALDERMANBURY SQUARE NO 2 BASINGHALL ST RECEPTION CEILINGS</t>
  </si>
  <si>
    <t>ORT-0000010162</t>
  </si>
  <si>
    <t>C000416308</t>
  </si>
  <si>
    <t>TESCO MISC 2025</t>
  </si>
  <si>
    <t>ORT-0000010163</t>
  </si>
  <si>
    <t>OCASO FUENCARRAL 107  MADRID</t>
  </si>
  <si>
    <t>ORT-0000010164</t>
  </si>
  <si>
    <t>C000416311</t>
  </si>
  <si>
    <t>CHEAPSIDE NO 100 CAT B CRAVAITH SWAINE &amp; MOORE LONDON</t>
  </si>
  <si>
    <t>ORT-0000010165</t>
  </si>
  <si>
    <t>C000416313</t>
  </si>
  <si>
    <t>ORT-0000010166</t>
  </si>
  <si>
    <t>C000416314</t>
  </si>
  <si>
    <t>BOLDON HOUSE DURHAM UNIVERSITY</t>
  </si>
  <si>
    <t>ORT-0000010167</t>
  </si>
  <si>
    <t>C000416315</t>
  </si>
  <si>
    <t>ORT-0000010168</t>
  </si>
  <si>
    <t>C000416316</t>
  </si>
  <si>
    <t>ORT-0000010169</t>
  </si>
  <si>
    <t>C000416317</t>
  </si>
  <si>
    <t>ORT-0000010170</t>
  </si>
  <si>
    <t>C000416318</t>
  </si>
  <si>
    <t>ORT-0000010171</t>
  </si>
  <si>
    <t>C000416319</t>
  </si>
  <si>
    <t>ORT-0000010172</t>
  </si>
  <si>
    <t>C000416320</t>
  </si>
  <si>
    <t>UNI OF OXFORD CENTRE FOR LIFE AND MIND SCIENCES</t>
  </si>
  <si>
    <t>ORT-0000010173</t>
  </si>
  <si>
    <t>C000416321</t>
  </si>
  <si>
    <t>ORT-0000010174</t>
  </si>
  <si>
    <t>C000416322</t>
  </si>
  <si>
    <t>CANNON STREET NO 110 FLR 7 REFURB LONDON</t>
  </si>
  <si>
    <t>ORT-0000010175</t>
  </si>
  <si>
    <t>C000416323</t>
  </si>
  <si>
    <t>ORT-0000010176</t>
  </si>
  <si>
    <t>C000416324</t>
  </si>
  <si>
    <t>SLOANE STREET NO 166 FLOORS 2-4 LONDON</t>
  </si>
  <si>
    <t>ORT-0000010177</t>
  </si>
  <si>
    <t>C000416325</t>
  </si>
  <si>
    <t>ORT-0000010178</t>
  </si>
  <si>
    <t>C000416326</t>
  </si>
  <si>
    <t>ORT-0000010179</t>
  </si>
  <si>
    <t>C000416327</t>
  </si>
  <si>
    <t>ORT-0000010180</t>
  </si>
  <si>
    <t>C000416328</t>
  </si>
  <si>
    <t>ORT-0000010181</t>
  </si>
  <si>
    <t>C000416329</t>
  </si>
  <si>
    <t>ORT-0000010182</t>
  </si>
  <si>
    <t>C000416330</t>
  </si>
  <si>
    <t>ORT-0000010183</t>
  </si>
  <si>
    <t>C000416331</t>
  </si>
  <si>
    <t>ORT-0000010184</t>
  </si>
  <si>
    <t>C000416332</t>
  </si>
  <si>
    <t>ORT-0000010185</t>
  </si>
  <si>
    <t>C000416333</t>
  </si>
  <si>
    <t>BUNHILL ROW NO 1 SLAUGHTER &amp; MAY CAT A REFURB LONDON</t>
  </si>
  <si>
    <t>ORT-0000010186</t>
  </si>
  <si>
    <t>C000416334</t>
  </si>
  <si>
    <t>ORT-0000010187</t>
  </si>
  <si>
    <t>C000416335</t>
  </si>
  <si>
    <t>ORT-0000010188</t>
  </si>
  <si>
    <t>C000416336</t>
  </si>
  <si>
    <t>ORT-0000010189</t>
  </si>
  <si>
    <t>C000416337</t>
  </si>
  <si>
    <t>ORT-0000010190</t>
  </si>
  <si>
    <t>C000416338</t>
  </si>
  <si>
    <t>ORT-0000010191</t>
  </si>
  <si>
    <t>C000416339</t>
  </si>
  <si>
    <t>HEATHROW KITCHEN REFURB LONDON</t>
  </si>
  <si>
    <t>ORT-0000010192</t>
  </si>
  <si>
    <t>C000416340</t>
  </si>
  <si>
    <t>ALDI DISTRIBUTION CENTRE RECEPTION REFURB BATHGATE</t>
  </si>
  <si>
    <t>ORT-0000010193</t>
  </si>
  <si>
    <t>C000416342</t>
  </si>
  <si>
    <t>WARSAW CPK BAGGAGE HALL</t>
  </si>
  <si>
    <t>ORT-0000010194</t>
  </si>
  <si>
    <t>C000416344</t>
  </si>
  <si>
    <t>ORT-0000010195</t>
  </si>
  <si>
    <t>C000416345</t>
  </si>
  <si>
    <t>SAINSBURYS MISC 2025</t>
  </si>
  <si>
    <t>ORT-0000010196</t>
  </si>
  <si>
    <t>C000416391</t>
  </si>
  <si>
    <t>ORT-0000010198</t>
  </si>
  <si>
    <t>C000416394</t>
  </si>
  <si>
    <t>LOMBARD STREET NO 1-6 FLOORS 2 &amp; 3 EAST LONDON</t>
  </si>
  <si>
    <t>ORT-0000010201</t>
  </si>
  <si>
    <t>C000416397</t>
  </si>
  <si>
    <t>ORT-0000010202</t>
  </si>
  <si>
    <t>C000416398</t>
  </si>
  <si>
    <t>WHITE CITY PLACE WOOD LANE NO 201 ITV REFURB LONDON</t>
  </si>
  <si>
    <t>ORT-0000010203</t>
  </si>
  <si>
    <t>C000416399</t>
  </si>
  <si>
    <t>ORT-0000010204</t>
  </si>
  <si>
    <t>C000416400</t>
  </si>
  <si>
    <t>EURSHELL MISC TILE &amp; GRID 2024</t>
  </si>
  <si>
    <t>ORT-0000010205</t>
  </si>
  <si>
    <t>C000416401</t>
  </si>
  <si>
    <t>CANARY WHARF WOOD WHARF J1/J3 FLOOR 1 COWORKING AREAS LONDON</t>
  </si>
  <si>
    <t>ORT-0000010206</t>
  </si>
  <si>
    <t>C000416403</t>
  </si>
  <si>
    <t>SAMPLE ROOM READING</t>
  </si>
  <si>
    <t>ORT-0000010207</t>
  </si>
  <si>
    <t>C000416404</t>
  </si>
  <si>
    <t>ORT-0000010208</t>
  </si>
  <si>
    <t>C000416405</t>
  </si>
  <si>
    <t>ORT-0000010209</t>
  </si>
  <si>
    <t>C000416406</t>
  </si>
  <si>
    <t>ORT-0000010210</t>
  </si>
  <si>
    <t>C000416407</t>
  </si>
  <si>
    <t>PORTMAN SQUARE NO 10 FLR 1 REFURB LONDON</t>
  </si>
  <si>
    <t>ORT-0000010211</t>
  </si>
  <si>
    <t>C000416408</t>
  </si>
  <si>
    <t>NEW STREET SQUARE NO 5 RECEPTION AREA S&amp;C FIT-OUT  LONDON</t>
  </si>
  <si>
    <t>ORT-0000010212</t>
  </si>
  <si>
    <t>C000416410</t>
  </si>
  <si>
    <t>MCLAREN BUILDING FLOOR 10 CORRIDOR BIRMINGHAM</t>
  </si>
  <si>
    <t>ORT-0000010213</t>
  </si>
  <si>
    <t>C000416411</t>
  </si>
  <si>
    <t>ORT-0000010214</t>
  </si>
  <si>
    <t>C000416412</t>
  </si>
  <si>
    <t>OVAL VILLAGE KENNINGTON LANE PLOT B LONDON</t>
  </si>
  <si>
    <t>ORT-0000010215</t>
  </si>
  <si>
    <t>C000416413</t>
  </si>
  <si>
    <t>ORT-0000010216</t>
  </si>
  <si>
    <t>C000416414</t>
  </si>
  <si>
    <t>QUEENS QUAY BRISTOL CEILINGS</t>
  </si>
  <si>
    <t>ORT-0000010217</t>
  </si>
  <si>
    <t>C000416415</t>
  </si>
  <si>
    <t>THE FORUM KINGS QUARTER GLOUCESTER</t>
  </si>
  <si>
    <t>ORT-0000010218</t>
  </si>
  <si>
    <t>C000416416</t>
  </si>
  <si>
    <t>ORT-0000010219</t>
  </si>
  <si>
    <t>C000416417</t>
  </si>
  <si>
    <t>ORT-0000010220</t>
  </si>
  <si>
    <t>C000416418</t>
  </si>
  <si>
    <t>THORN LIGHTING LTD 2024</t>
  </si>
  <si>
    <t>ORT-0000010221</t>
  </si>
  <si>
    <t>C000416419</t>
  </si>
  <si>
    <t>PORTLAND HOUSE BRESSENDEN PLACE RECEPTION  LONDON</t>
  </si>
  <si>
    <t>ORT-0000010222</t>
  </si>
  <si>
    <t>C000416420</t>
  </si>
  <si>
    <t>GREAT ST HELENS NO 1 CAT A REFURBISHMENT LONDON</t>
  </si>
  <si>
    <t>ORT-0000010223</t>
  </si>
  <si>
    <t>C000416421</t>
  </si>
  <si>
    <t>CITY POINT CAT B REFURB LEVELS 18-21 SIMPSON THACHER LONDON</t>
  </si>
  <si>
    <t>ORT-0000010224</t>
  </si>
  <si>
    <t>C000416422</t>
  </si>
  <si>
    <t>BRAVINGTON HOUSE INHEALTH FLR 4 KINGS CROSS</t>
  </si>
  <si>
    <t>ORT-0000010225</t>
  </si>
  <si>
    <t>C000416423</t>
  </si>
  <si>
    <t>LEADENHALL STREET NO 1 SHELL AND CORE LONDON</t>
  </si>
  <si>
    <t>ORT-0000010226</t>
  </si>
  <si>
    <t>C000416424</t>
  </si>
  <si>
    <t>ORT-0000010228</t>
  </si>
  <si>
    <t>C000416425</t>
  </si>
  <si>
    <t>CHRIS EDGE MIDLANDS / NORTH MISC PROJECTS 2024</t>
  </si>
  <si>
    <t>ORT-0000010229</t>
  </si>
  <si>
    <t>C000416426</t>
  </si>
  <si>
    <t>GRESHAM STREET NO 2 CAT A REFURB LONDON</t>
  </si>
  <si>
    <t>ORT-0000010230</t>
  </si>
  <si>
    <t>C000416427</t>
  </si>
  <si>
    <t>FIRST STREET PLOT 9A CAT A MANCHESTER</t>
  </si>
  <si>
    <t>ORT-0000010231</t>
  </si>
  <si>
    <t>C000416428</t>
  </si>
  <si>
    <t>ORT-0000010232</t>
  </si>
  <si>
    <t>C000416429</t>
  </si>
  <si>
    <t>ORT-0000010233</t>
  </si>
  <si>
    <t>C000416430</t>
  </si>
  <si>
    <t>ORT-0000010234</t>
  </si>
  <si>
    <t>C000416431</t>
  </si>
  <si>
    <t>PINEHURST SQUARE NO 150 FARNBOROUGH BUSINESS PARK</t>
  </si>
  <si>
    <t>ORT-0000010235</t>
  </si>
  <si>
    <t>C000416432</t>
  </si>
  <si>
    <t>ORT-0000010236</t>
  </si>
  <si>
    <t>C000416433</t>
  </si>
  <si>
    <t>BISHOPSGATE NO 250 RBS REFURBISHMENT LONDON</t>
  </si>
  <si>
    <t>ORT-0000010237</t>
  </si>
  <si>
    <t>C000416434</t>
  </si>
  <si>
    <t>BERKELEY SQUARE HOUSE REFURB LONDON</t>
  </si>
  <si>
    <t>ORT-0000010240</t>
  </si>
  <si>
    <t>C000416437</t>
  </si>
  <si>
    <t>ORT-0000010243</t>
  </si>
  <si>
    <t>C000416440</t>
  </si>
  <si>
    <t>ORT-0000010244</t>
  </si>
  <si>
    <t>ORT-0000010245</t>
  </si>
  <si>
    <t>C000416442</t>
  </si>
  <si>
    <t>ORT-0000010246</t>
  </si>
  <si>
    <t>C000416443</t>
  </si>
  <si>
    <t>LONDON WALL NO 120 MOOR HOUSE CITADEL REFURB LONDON</t>
  </si>
  <si>
    <t>ORT-0000010247</t>
  </si>
  <si>
    <t>C000416444</t>
  </si>
  <si>
    <t>OXFORD SCIENCE PARK PLOT 16 FIT OUT - IVERSEN BUILDING</t>
  </si>
  <si>
    <t>ORT-0000010248</t>
  </si>
  <si>
    <t>C000416445</t>
  </si>
  <si>
    <t>CAPITAL PARK CAMBRIDGE ROAD NO 2 FULBOURN CAMBRIDGE</t>
  </si>
  <si>
    <t>ORT-0000010249</t>
  </si>
  <si>
    <t>C000416446</t>
  </si>
  <si>
    <t>TFL TRAIN DEPOT CONTROLLERS ROOM CROYDON</t>
  </si>
  <si>
    <t>ORT-0000010250</t>
  </si>
  <si>
    <t>C000416447</t>
  </si>
  <si>
    <t>ST MICHAELS FLR 9 HILL DICKINSON LIGHTING MANCHESTER</t>
  </si>
  <si>
    <t>ORT-0000010251</t>
  </si>
  <si>
    <t>C000416448</t>
  </si>
  <si>
    <t>CAMBRIDGE BIOMEDICAL CAMPUS HISTOPATHOLOGY</t>
  </si>
  <si>
    <t>ORT-0000010252</t>
  </si>
  <si>
    <t>C000416450</t>
  </si>
  <si>
    <t>NEW DOHA INTERNATIONAL AIRPORT EXTENSION</t>
  </si>
  <si>
    <t>ORT-0000010253</t>
  </si>
  <si>
    <t>C000416452</t>
  </si>
  <si>
    <t>ORT-0000010254</t>
  </si>
  <si>
    <t>C000416454</t>
  </si>
  <si>
    <t>ORT-0000010255</t>
  </si>
  <si>
    <t>C000416456</t>
  </si>
  <si>
    <t>DEWA HQ AL SHERAA BUILDING (B+G+4P+15) AL JADDAF</t>
  </si>
  <si>
    <t>ORT-0000010256</t>
  </si>
  <si>
    <t>C000416457</t>
  </si>
  <si>
    <t>KINGS CROSS CENTRAL BLDG B4 FLR 6 WEST ASTRA ZENECA LONDON</t>
  </si>
  <si>
    <t>ORT-0000010257</t>
  </si>
  <si>
    <t>C000416458</t>
  </si>
  <si>
    <t>ORT-0000010258</t>
  </si>
  <si>
    <t>C000416459</t>
  </si>
  <si>
    <t>SHOE LANE NO 66 DELOITTE REFURB FLOOR 2 LONDON</t>
  </si>
  <si>
    <t>ORT-0000010259</t>
  </si>
  <si>
    <t>C000416460</t>
  </si>
  <si>
    <t>ORT-0000010260</t>
  </si>
  <si>
    <t>C000416461</t>
  </si>
  <si>
    <t>MIDAS HOUSE GOLDSWORTH RD NO 62 WOKING</t>
  </si>
  <si>
    <t>ORT-0000010261</t>
  </si>
  <si>
    <t>C000416462</t>
  </si>
  <si>
    <t>BRISTOL AIRPORT CENTRAL SEARCH AREA REFURB</t>
  </si>
  <si>
    <t>ORT-0000010262</t>
  </si>
  <si>
    <t>C000416464</t>
  </si>
  <si>
    <t>NTT COMMUNICATIONS DATA CENTRE LON1 PHASE 1 BOH AREAS</t>
  </si>
  <si>
    <t>ORT-0000010263</t>
  </si>
  <si>
    <t>C000416465</t>
  </si>
  <si>
    <t>BRUNTWOOD CEO OFFICE &amp; MEETING ROOMS MANCHESTER</t>
  </si>
  <si>
    <t>ORT-0000010264</t>
  </si>
  <si>
    <t>C000416466</t>
  </si>
  <si>
    <t>LEADENHALL STREET NO 122 FLR 16 REFURB LONDON</t>
  </si>
  <si>
    <t>ORT-0000010265</t>
  </si>
  <si>
    <t>C000416467</t>
  </si>
  <si>
    <t>ORT-0000010266</t>
  </si>
  <si>
    <t>C000416468</t>
  </si>
  <si>
    <t>ORT-0000010267</t>
  </si>
  <si>
    <t>C000416469</t>
  </si>
  <si>
    <t>KNIGHTSBRIDGE NO 1 REFURB LONDON</t>
  </si>
  <si>
    <t>ORT-0000010268</t>
  </si>
  <si>
    <t>C000416256</t>
  </si>
  <si>
    <t>ORT-0000010269</t>
  </si>
  <si>
    <t>C000416470</t>
  </si>
  <si>
    <t>ORT-0000010270</t>
  </si>
  <si>
    <t>C000416471</t>
  </si>
  <si>
    <t>KFC MISC 2025</t>
  </si>
  <si>
    <t>ORT-0000010271</t>
  </si>
  <si>
    <t>C000416472</t>
  </si>
  <si>
    <t>READING BRIDGE HOUSE CAPITA PLC REFURB READING</t>
  </si>
  <si>
    <t>ORT-0000010272</t>
  </si>
  <si>
    <t>C000416473</t>
  </si>
  <si>
    <t>SAMPLE ROOM READING LIGHTING VARIOUS TYPES</t>
  </si>
  <si>
    <t>ORT-0000010273</t>
  </si>
  <si>
    <t>C000416474</t>
  </si>
  <si>
    <t>ORT-0000010274</t>
  </si>
  <si>
    <t>C000416475</t>
  </si>
  <si>
    <t>EURSHELL MISC TILE &amp; GRID 2023</t>
  </si>
  <si>
    <t>ORT-0000010275</t>
  </si>
  <si>
    <t>C000416476</t>
  </si>
  <si>
    <t>ORT-0000010276</t>
  </si>
  <si>
    <t>C000416477</t>
  </si>
  <si>
    <t>ORT-0000010277</t>
  </si>
  <si>
    <t>C000416478</t>
  </si>
  <si>
    <t>ORT-0000010278</t>
  </si>
  <si>
    <t>C000416479</t>
  </si>
  <si>
    <t>ORT-0000010279</t>
  </si>
  <si>
    <t>ORT-0000010280</t>
  </si>
  <si>
    <t>C000416481</t>
  </si>
  <si>
    <t>COPTHALL AVENUE NO 25 FLR 4 REFURB LONDON</t>
  </si>
  <si>
    <t>ORT-0000010281</t>
  </si>
  <si>
    <t>C000416482</t>
  </si>
  <si>
    <t>ORT-0000010282</t>
  </si>
  <si>
    <t>C000416483</t>
  </si>
  <si>
    <t>ORT-0000010283</t>
  </si>
  <si>
    <t>C000416484</t>
  </si>
  <si>
    <t>ORT-0000010284</t>
  </si>
  <si>
    <t>C000416486</t>
  </si>
  <si>
    <t>CENTRAL SQUARE NO 2 CARDIFF</t>
  </si>
  <si>
    <t>ORT-0000010285</t>
  </si>
  <si>
    <t>C000416488</t>
  </si>
  <si>
    <t>ORT-0000010286</t>
  </si>
  <si>
    <t>C000416490</t>
  </si>
  <si>
    <t>ORT-0000010287</t>
  </si>
  <si>
    <t>C000416491</t>
  </si>
  <si>
    <t>BRISTOL MYERS SQUIBB BUILDING 6 WIRRAL BIRKENHEAD</t>
  </si>
  <si>
    <t>ORT-0000010288</t>
  </si>
  <si>
    <t>C000416492</t>
  </si>
  <si>
    <t>Linear Rolled Products</t>
  </si>
  <si>
    <t>ORT-0000010289</t>
  </si>
  <si>
    <t>C000416493</t>
  </si>
  <si>
    <t>ORT-0000010290</t>
  </si>
  <si>
    <t>C000416494</t>
  </si>
  <si>
    <t>ORT-0000010291</t>
  </si>
  <si>
    <t>C000416495</t>
  </si>
  <si>
    <t>LONDON MISC 2025</t>
  </si>
  <si>
    <t>ORT-0000010292</t>
  </si>
  <si>
    <t>C000416496</t>
  </si>
  <si>
    <t>ORT-0000010293</t>
  </si>
  <si>
    <t>C000416498</t>
  </si>
  <si>
    <t>MANCHESTER LIFE ELIZA YARD</t>
  </si>
  <si>
    <t>ORT-0000010294</t>
  </si>
  <si>
    <t>C000416499</t>
  </si>
  <si>
    <t>ORT-0000010295</t>
  </si>
  <si>
    <t>C000416501</t>
  </si>
  <si>
    <t>ORT-0000010296</t>
  </si>
  <si>
    <t>C000416503</t>
  </si>
  <si>
    <t>ORT-0000010297</t>
  </si>
  <si>
    <t>C000416505</t>
  </si>
  <si>
    <t>QUEEN VICTORIA STREET NO 95 CAT B FIT OUT CAPGEMINI LONDON</t>
  </si>
  <si>
    <t>ORT-0000010298</t>
  </si>
  <si>
    <t>C000416504</t>
  </si>
  <si>
    <t>ORT-0000010299</t>
  </si>
  <si>
    <t>C000416506</t>
  </si>
  <si>
    <t>EARLEY EAST BUILDING THAMES VALLEY PARK READING</t>
  </si>
  <si>
    <t>ORT-0000010300</t>
  </si>
  <si>
    <t>C000416509</t>
  </si>
  <si>
    <t>ORT-0000010301</t>
  </si>
  <si>
    <t>C000416510</t>
  </si>
  <si>
    <t>BUILDING A1 FLOOR 2 REFURB CODY TECHNOLOGY PARK FARNBOROUGH</t>
  </si>
  <si>
    <t>ORT-0000010302</t>
  </si>
  <si>
    <t>C000416511</t>
  </si>
  <si>
    <t>CHESTERFIELD GARDENS NO 6 REFURB LONDON</t>
  </si>
  <si>
    <t>ORT-0000010303</t>
  </si>
  <si>
    <t>C000416512</t>
  </si>
  <si>
    <t>ATLANTIC QUAY NO 6 REFURB GLASGOW</t>
  </si>
  <si>
    <t>ORT-0000010304</t>
  </si>
  <si>
    <t>C000416513</t>
  </si>
  <si>
    <t>ORT-0000010305</t>
  </si>
  <si>
    <t>C000416515</t>
  </si>
  <si>
    <t>ORT-0000010306</t>
  </si>
  <si>
    <t>C000416516</t>
  </si>
  <si>
    <t>ORT-0000010307</t>
  </si>
  <si>
    <t>C000416517</t>
  </si>
  <si>
    <t>ORT-0000010308</t>
  </si>
  <si>
    <t>C000416518</t>
  </si>
  <si>
    <t>ORT-0000010309</t>
  </si>
  <si>
    <t>C000416519</t>
  </si>
  <si>
    <t>BISHOPSGATE NO 8 FLOOR 33 STANHOPE FITOUT LONDON</t>
  </si>
  <si>
    <t>ORT-0000010310</t>
  </si>
  <si>
    <t>C000416521</t>
  </si>
  <si>
    <t>ORT-0000010311</t>
  </si>
  <si>
    <t>C000416522</t>
  </si>
  <si>
    <t>APEX BLOCK C FLR 3 READING</t>
  </si>
  <si>
    <t>ORT-0000010312</t>
  </si>
  <si>
    <t>C000416523</t>
  </si>
  <si>
    <t>ORT-0000010313</t>
  </si>
  <si>
    <t>C000416525</t>
  </si>
  <si>
    <t>ORT-0000010314</t>
  </si>
  <si>
    <t>C000416526</t>
  </si>
  <si>
    <t>ARNOS GROVE DEPOT BOWES ROAD LONDON</t>
  </si>
  <si>
    <t>ORT-0000010316</t>
  </si>
  <si>
    <t>C000416528</t>
  </si>
  <si>
    <t>ORT-0000010317</t>
  </si>
  <si>
    <t>C000416529</t>
  </si>
  <si>
    <t>ORT-0000010318</t>
  </si>
  <si>
    <t>C000416533</t>
  </si>
  <si>
    <t>MOORGATE NO 101 CAT A OVERSITE DEVELOPMENT LONDON</t>
  </si>
  <si>
    <t>ORT-0000010319</t>
  </si>
  <si>
    <t>C000416534</t>
  </si>
  <si>
    <t>FLANNELS WESTFIELD SHOPPING CENTRE STRATFORD</t>
  </si>
  <si>
    <t>ORT-0000010320</t>
  </si>
  <si>
    <t>C000416536</t>
  </si>
  <si>
    <t>ORT-0000010321</t>
  </si>
  <si>
    <t>C000416537</t>
  </si>
  <si>
    <t>INTERIOR ALTERATION OF OFFICE AVENUE DE LA PAIX 5-7 GENEVA</t>
  </si>
  <si>
    <t>ORT-0000010322</t>
  </si>
  <si>
    <t>C000416538</t>
  </si>
  <si>
    <t>ORT-0000010323</t>
  </si>
  <si>
    <t>C000416539</t>
  </si>
  <si>
    <t>WESTFIELD AVENUE NO 1 NCA FIT OUT STRATFORD CITY</t>
  </si>
  <si>
    <t>ORT-0000010324</t>
  </si>
  <si>
    <t>C000416540</t>
  </si>
  <si>
    <t>ORT-0000010325</t>
  </si>
  <si>
    <t>C000416541</t>
  </si>
  <si>
    <t>ORT-0000010327</t>
  </si>
  <si>
    <t>C000416543</t>
  </si>
  <si>
    <t>ORT-0000010328</t>
  </si>
  <si>
    <t>C000416544</t>
  </si>
  <si>
    <t>ORT-0000010329</t>
  </si>
  <si>
    <t>C000416547</t>
  </si>
  <si>
    <t>ORT-0000010330</t>
  </si>
  <si>
    <t>C000416548</t>
  </si>
  <si>
    <t>ORT-0000010331</t>
  </si>
  <si>
    <t>C000416549</t>
  </si>
  <si>
    <t>BMW SHOWROOM INVERNESS ARNOLD CLARK</t>
  </si>
  <si>
    <t>ORT-0000010332</t>
  </si>
  <si>
    <t>C000416550</t>
  </si>
  <si>
    <t>ORT-0000010333</t>
  </si>
  <si>
    <t>C000416551</t>
  </si>
  <si>
    <t>TRITON SQUARE NO 1 OFFICE / LABS CAT A LONDON</t>
  </si>
  <si>
    <t>ORT-0000010334</t>
  </si>
  <si>
    <t>C000416552</t>
  </si>
  <si>
    <t>LOCKTON HOUSE OFFICES CAMBRIDGE</t>
  </si>
  <si>
    <t>ORT-0000010335</t>
  </si>
  <si>
    <t>C000416553</t>
  </si>
  <si>
    <t>CITY POINT SIMPSON THACHER FLR 15 CAT B LONDON</t>
  </si>
  <si>
    <t>ORT-0000010336</t>
  </si>
  <si>
    <t>C000416554</t>
  </si>
  <si>
    <t>ORT-0000010337</t>
  </si>
  <si>
    <t>C000416555</t>
  </si>
  <si>
    <t>ORT-0000010338</t>
  </si>
  <si>
    <t>C000416556</t>
  </si>
  <si>
    <t>ALDERSGATE STREET NO 200 FLOOR 1 &amp; MEZZANINE CONVENE LONDON</t>
  </si>
  <si>
    <t>ORT-0000010339</t>
  </si>
  <si>
    <t>C000416557</t>
  </si>
  <si>
    <t>ORT-0000010340</t>
  </si>
  <si>
    <t>C000416558</t>
  </si>
  <si>
    <t>ORT-0000010341</t>
  </si>
  <si>
    <t>C000416559</t>
  </si>
  <si>
    <t>HORSEFERRY HOUSE BURBERRY REFURB LONDON</t>
  </si>
  <si>
    <t>ORT-0000010342</t>
  </si>
  <si>
    <t>C000416560</t>
  </si>
  <si>
    <t>COLMORE ROW NO 125 LLOYDS BANK REFURB BIRMINGHAM</t>
  </si>
  <si>
    <t>ORT-0000010343</t>
  </si>
  <si>
    <t>C000416562</t>
  </si>
  <si>
    <t>ORT-0000010344</t>
  </si>
  <si>
    <t>C000416563</t>
  </si>
  <si>
    <t>ORT-0000010345</t>
  </si>
  <si>
    <t>C000416565</t>
  </si>
  <si>
    <t>ORT-0000010348</t>
  </si>
  <si>
    <t>C000416566</t>
  </si>
  <si>
    <t>GOLDMAN SACHS KAFD PARCEL 1.11 RIYADH</t>
  </si>
  <si>
    <t>ORT-0000010349</t>
  </si>
  <si>
    <t>C000416567</t>
  </si>
  <si>
    <t>LAMB STREET NO 1 NEKO HEALTH REFURB LONDON</t>
  </si>
  <si>
    <t>ORT-0000010350</t>
  </si>
  <si>
    <t>C000416568</t>
  </si>
  <si>
    <t>BERKELEY SQUARE NO 20 REFURB LONDON</t>
  </si>
  <si>
    <t>ORT-0000010351</t>
  </si>
  <si>
    <t>C000416569</t>
  </si>
  <si>
    <t>ORT-0000010352</t>
  </si>
  <si>
    <t>C000416571</t>
  </si>
  <si>
    <t>NOVA NORTH BRESSENDEN PLACE NO 11 FLR 7 REFURB LONDON</t>
  </si>
  <si>
    <t>ORT-0000010353</t>
  </si>
  <si>
    <t>C000416572</t>
  </si>
  <si>
    <t>WAVERLEY GATE FLR 2 REFURB EDINBURGH</t>
  </si>
  <si>
    <t>ORT-0000010354</t>
  </si>
  <si>
    <t>C000416573</t>
  </si>
  <si>
    <t>ORT-0000010355</t>
  </si>
  <si>
    <t>C000416574</t>
  </si>
  <si>
    <t>FIELDEN ST THOMAS SHARD PLACE LONDON BRIDGE PH2 LONDON</t>
  </si>
  <si>
    <t>ORT-0000010356</t>
  </si>
  <si>
    <t>C000416575</t>
  </si>
  <si>
    <t>CHAMARTIN PHASE 2 MADRID</t>
  </si>
  <si>
    <t>ORT-0000010357</t>
  </si>
  <si>
    <t>C000416576</t>
  </si>
  <si>
    <t>ORT-0000010358</t>
  </si>
  <si>
    <t>C000416577</t>
  </si>
  <si>
    <t>ONE STATION HILL LEVEL B1 GYM READING</t>
  </si>
  <si>
    <t>ORT-0000010359</t>
  </si>
  <si>
    <t>C000416578</t>
  </si>
  <si>
    <t>FLEET PLACE NO 5 FLOORS 4, 6, 7 &amp; 8 LONDON</t>
  </si>
  <si>
    <t>ORT-0000010360</t>
  </si>
  <si>
    <t>C000416579</t>
  </si>
  <si>
    <t>ORT-0000010361</t>
  </si>
  <si>
    <t>C000416580</t>
  </si>
  <si>
    <t>THE CURSITOR CHANCERY LANE NO 38 CAT A REFURB LONDON</t>
  </si>
  <si>
    <t>ORT-0000010362</t>
  </si>
  <si>
    <t>C000416582</t>
  </si>
  <si>
    <t>BP PANGBOURNE TECHNOLOGY CENTRE BUILDING C READING</t>
  </si>
  <si>
    <t>ORT-0000010363</t>
  </si>
  <si>
    <t>C000416583</t>
  </si>
  <si>
    <t>GEORGE STREET NO 101 EDINBURGH</t>
  </si>
  <si>
    <t>ORT-0000010364</t>
  </si>
  <si>
    <t>C000416584</t>
  </si>
  <si>
    <t>SAMPLE ROOM EUROPE ROW</t>
  </si>
  <si>
    <t>ORT-0000010365</t>
  </si>
  <si>
    <t>C000416585</t>
  </si>
  <si>
    <t>ORT-0000010367</t>
  </si>
  <si>
    <t>C000416589</t>
  </si>
  <si>
    <t>ORT-0000010368</t>
  </si>
  <si>
    <t>C000416591</t>
  </si>
  <si>
    <t>ORT-0000010369</t>
  </si>
  <si>
    <t>C000416592</t>
  </si>
  <si>
    <t>ORT-0000010370</t>
  </si>
  <si>
    <t>C000416593</t>
  </si>
  <si>
    <t>ORT-0000010371</t>
  </si>
  <si>
    <t>C000416594</t>
  </si>
  <si>
    <t>WILTON ROAD NO 129 TRIDENT ENERGY REFURB FLRS 7 &amp; 8 LONDON</t>
  </si>
  <si>
    <t>ORT-0000010372</t>
  </si>
  <si>
    <t>C000416595</t>
  </si>
  <si>
    <t>ORT-0000010373</t>
  </si>
  <si>
    <t>C000416596</t>
  </si>
  <si>
    <t>ORT-0000010374</t>
  </si>
  <si>
    <t>C000416598</t>
  </si>
  <si>
    <t>BISHOPSGATE NO 280 CAT B FIT OUT BAKER MCKENZIE LONDON</t>
  </si>
  <si>
    <t>ORT-0000010375</t>
  </si>
  <si>
    <t>C000416599</t>
  </si>
  <si>
    <t>ORT-0000010376</t>
  </si>
  <si>
    <t>C000416600</t>
  </si>
  <si>
    <t>ORT-0000010377</t>
  </si>
  <si>
    <t>C000416601</t>
  </si>
  <si>
    <t>ORT-0000010378</t>
  </si>
  <si>
    <t>C000416602</t>
  </si>
  <si>
    <t>ALEXANDER BAIN HOUSE REFURB GLASGOW</t>
  </si>
  <si>
    <t>ORT-0000010379</t>
  </si>
  <si>
    <t>C000416603</t>
  </si>
  <si>
    <t>Active Stretch Fabric</t>
  </si>
  <si>
    <t>ORT-0000010380</t>
  </si>
  <si>
    <t>C000416608</t>
  </si>
  <si>
    <t>ORT-0000010381</t>
  </si>
  <si>
    <t>C000416609</t>
  </si>
  <si>
    <t>ORT-0000010382</t>
  </si>
  <si>
    <t>C000416610</t>
  </si>
  <si>
    <t>ORT-0000010384</t>
  </si>
  <si>
    <t>C000416611</t>
  </si>
  <si>
    <t>Pressure Testing</t>
  </si>
  <si>
    <t>ORT-0000010385</t>
  </si>
  <si>
    <t>C000416613</t>
  </si>
  <si>
    <t>ROOM COMFORT</t>
  </si>
  <si>
    <t>ORT-0000010386</t>
  </si>
  <si>
    <t>C000416614</t>
  </si>
  <si>
    <t>BONHILL STREET NO 6-8 REFURB LONDON</t>
  </si>
  <si>
    <t>ORT-0000010387</t>
  </si>
  <si>
    <t>C000416615</t>
  </si>
  <si>
    <t>SPINNINGFIELDS NO 1 9TH FLOOR REFURB MANCHESTER</t>
  </si>
  <si>
    <t>ORT-0000010388</t>
  </si>
  <si>
    <t>C000416616</t>
  </si>
  <si>
    <t>ORT-0000010389</t>
  </si>
  <si>
    <t>C000416617</t>
  </si>
  <si>
    <t>ORT-0000010390</t>
  </si>
  <si>
    <t>C000416618</t>
  </si>
  <si>
    <t>DUNFERMLINE LEARNING CAMPUS FIFE COLLEGE</t>
  </si>
  <si>
    <t>ORT-0000010391</t>
  </si>
  <si>
    <t>C000416619</t>
  </si>
  <si>
    <t>ORT-0000010392</t>
  </si>
  <si>
    <t>C000416620</t>
  </si>
  <si>
    <t>ORT-0000010393</t>
  </si>
  <si>
    <t>C000416621</t>
  </si>
  <si>
    <t>ORT-0000010394</t>
  </si>
  <si>
    <t>C000416622</t>
  </si>
  <si>
    <t>TRITON SQUARE NO 1 OFFICE / LABS RECEPTION WALL PANELS</t>
  </si>
  <si>
    <t>ORT-0000010395</t>
  </si>
  <si>
    <t>C000416624</t>
  </si>
  <si>
    <t>ORT-0000010396</t>
  </si>
  <si>
    <t>C000416625</t>
  </si>
  <si>
    <t>ORT-0000010397</t>
  </si>
  <si>
    <t>C000416626</t>
  </si>
  <si>
    <t>ORT-0000010398</t>
  </si>
  <si>
    <t>C000416627</t>
  </si>
  <si>
    <t>ORT-0000010399</t>
  </si>
  <si>
    <t>C000416628</t>
  </si>
  <si>
    <t>ORT-0000010400</t>
  </si>
  <si>
    <t>C000416630</t>
  </si>
  <si>
    <t>ORT-0000010401</t>
  </si>
  <si>
    <t>C000416631</t>
  </si>
  <si>
    <t>ORT-0000010402</t>
  </si>
  <si>
    <t>C000416632</t>
  </si>
  <si>
    <t>ORT-0000010403</t>
  </si>
  <si>
    <t>C000416633</t>
  </si>
  <si>
    <t>ORT-0000010404</t>
  </si>
  <si>
    <t>C000416634</t>
  </si>
  <si>
    <t>ORT-0000010405</t>
  </si>
  <si>
    <t>C000416635</t>
  </si>
  <si>
    <t>ORT-0000010406</t>
  </si>
  <si>
    <t>C000416637</t>
  </si>
  <si>
    <t>ORT-0000010407</t>
  </si>
  <si>
    <t>C000416638</t>
  </si>
  <si>
    <t>ORT-0000010408</t>
  </si>
  <si>
    <t>C000416639</t>
  </si>
  <si>
    <t>ORT-0000010412</t>
  </si>
  <si>
    <t>C000416675</t>
  </si>
  <si>
    <t>ORT-0000010413</t>
  </si>
  <si>
    <t>C000416676</t>
  </si>
  <si>
    <t>ORT-0000010414</t>
  </si>
  <si>
    <t>C000416677</t>
  </si>
  <si>
    <t>ORT-0000010415</t>
  </si>
  <si>
    <t>C000416678</t>
  </si>
  <si>
    <t>ORT-0000010416</t>
  </si>
  <si>
    <t>C000416679</t>
  </si>
  <si>
    <t>ORT-0000010417</t>
  </si>
  <si>
    <t>C000416680</t>
  </si>
  <si>
    <t>UNI OF EDINBURGH QMRI FLOORS 2 &amp; 3 REFURB ADDITIONALS</t>
  </si>
  <si>
    <t>ORT-0000010418</t>
  </si>
  <si>
    <t>C000416681</t>
  </si>
  <si>
    <t>PUBLIC WCS FIT OUT EMBANKMENT STATION LONDON</t>
  </si>
  <si>
    <t>ORT-0000010419</t>
  </si>
  <si>
    <t>C000416683</t>
  </si>
  <si>
    <t>ORT-0000010420</t>
  </si>
  <si>
    <t>C000416684</t>
  </si>
  <si>
    <t>GREAT QUEEN STREET NO 10 REFURB LONDON</t>
  </si>
  <si>
    <t>ORT-0000010421</t>
  </si>
  <si>
    <t>C000416685</t>
  </si>
  <si>
    <t>SIMON NORTH MISC 2024</t>
  </si>
  <si>
    <t>ORT-0000010422</t>
  </si>
  <si>
    <t>C000416687</t>
  </si>
  <si>
    <t>HOLBORN VIADUCT NO 60 AMAZON POP LONDON</t>
  </si>
  <si>
    <t>ORT-0000010423</t>
  </si>
  <si>
    <t>C000416688</t>
  </si>
  <si>
    <t>HAYMARKET BUILDING 4 &amp; 5 BAILLIE GIFFORD FIT OUT EDINBURGH</t>
  </si>
  <si>
    <t>ORT-0000010424</t>
  </si>
  <si>
    <t>C000416689</t>
  </si>
  <si>
    <t>ORT-0000010425</t>
  </si>
  <si>
    <t>C000416691</t>
  </si>
  <si>
    <t>VISA CHINEHAM PARK LIME TREE WAY PHASE 2  BASINGSTOKE</t>
  </si>
  <si>
    <t>ORT-0000010426</t>
  </si>
  <si>
    <t>C000416692</t>
  </si>
  <si>
    <t>ORT-0000010427</t>
  </si>
  <si>
    <t>C000416693</t>
  </si>
  <si>
    <t>WELLINGTON STREET NO 76 CENTURA BUILDING REFURB LEEDS</t>
  </si>
  <si>
    <t>ORT-0000010428</t>
  </si>
  <si>
    <t>C000416694</t>
  </si>
  <si>
    <t>ORT-0000010429</t>
  </si>
  <si>
    <t>C000416695</t>
  </si>
  <si>
    <t>ORT-0000010431</t>
  </si>
  <si>
    <t>C000416696</t>
  </si>
  <si>
    <t>ELMFIELD ROAD NO 26 LOBBY AREA BROMLEY</t>
  </si>
  <si>
    <t>ORT-0000010432</t>
  </si>
  <si>
    <t>C000416700</t>
  </si>
  <si>
    <t>ORT-0000010433</t>
  </si>
  <si>
    <t>C000416701</t>
  </si>
  <si>
    <t>ORT-0000010434</t>
  </si>
  <si>
    <t>C000416704</t>
  </si>
  <si>
    <t>SPTS CELTIC LAKES FIT OUT NEWPORT WALES</t>
  </si>
  <si>
    <t>ORT-0000010435</t>
  </si>
  <si>
    <t>C000416705</t>
  </si>
  <si>
    <t>ORT-0000010438</t>
  </si>
  <si>
    <t>C000416706</t>
  </si>
  <si>
    <t>ORT-0000010439</t>
  </si>
  <si>
    <t>C000416708</t>
  </si>
  <si>
    <t>EXCHANGE TOWER HARBOUR EXCHANGE REFURB LONDON</t>
  </si>
  <si>
    <t>ORT-0000010441</t>
  </si>
  <si>
    <t>C000416710</t>
  </si>
  <si>
    <t>ORT-0000010442</t>
  </si>
  <si>
    <t>C000416711</t>
  </si>
  <si>
    <t>ORT-0000010443</t>
  </si>
  <si>
    <t>C000416712</t>
  </si>
  <si>
    <t>ST JAMES PARK STATION REFURB LONDON</t>
  </si>
  <si>
    <t>ORT-0000010444</t>
  </si>
  <si>
    <t>C000416713</t>
  </si>
  <si>
    <t>ORT-0000010445</t>
  </si>
  <si>
    <t>C000416714</t>
  </si>
  <si>
    <t>ORT-0000010446</t>
  </si>
  <si>
    <t>C000416716</t>
  </si>
  <si>
    <t>KING WILLIAM STREET NO 85 FLR 4 REFURB LONDON</t>
  </si>
  <si>
    <t>ORT-0000010447</t>
  </si>
  <si>
    <t>C000416717</t>
  </si>
  <si>
    <t>ORT-0000010448</t>
  </si>
  <si>
    <t>C000416718</t>
  </si>
  <si>
    <t>EMBERTON HOUSE OLYMPIA REDEVELOPMENT FIT-OUT LONDON</t>
  </si>
  <si>
    <t>ORT-0000010449</t>
  </si>
  <si>
    <t>C000416719</t>
  </si>
  <si>
    <t>HEATHROW TECHNICAL BLOCK C (TBC) TOILET REFURBISHMENT LONDON</t>
  </si>
  <si>
    <t>ORT-0000010450</t>
  </si>
  <si>
    <t>C000416721</t>
  </si>
  <si>
    <t>ST MICHAEL'S FLR 9 HILL DICKINSON FIT OUT MANCHESTER</t>
  </si>
  <si>
    <t>ORT-0000010451</t>
  </si>
  <si>
    <t>C000416722</t>
  </si>
  <si>
    <t>ORT-0000010452</t>
  </si>
  <si>
    <t>C000416723</t>
  </si>
  <si>
    <t>ORT-0000010453</t>
  </si>
  <si>
    <t>C000416724</t>
  </si>
  <si>
    <t>BROADGATE NO 1-2 CAT B A&amp;O SHEARMAN FLOORS 1-7</t>
  </si>
  <si>
    <t>ORT-0000010454</t>
  </si>
  <si>
    <t>C000416725</t>
  </si>
  <si>
    <t>ORT-0000010455</t>
  </si>
  <si>
    <t>C000416726</t>
  </si>
  <si>
    <t>YEOMAN PARK ACADEMY REFURB MANSFIELD</t>
  </si>
  <si>
    <t>ORT-0000010456</t>
  </si>
  <si>
    <t>C000416727</t>
  </si>
  <si>
    <t>ORT-0000010457</t>
  </si>
  <si>
    <t>C000416728</t>
  </si>
  <si>
    <t>CORINTHIAN HOUSE FLR 9 CAT B FITOUT  CROYDON</t>
  </si>
  <si>
    <t>ORT-0000010458</t>
  </si>
  <si>
    <t>C000416729</t>
  </si>
  <si>
    <t>ORT-0000010459</t>
  </si>
  <si>
    <t>C000416730</t>
  </si>
  <si>
    <t>AMAZON CAI-14 FESTIVAL CITY PHASE 2 CAIRO</t>
  </si>
  <si>
    <t>ORT-0000010460</t>
  </si>
  <si>
    <t>C000416731</t>
  </si>
  <si>
    <t>ORT-0000010461</t>
  </si>
  <si>
    <t>C000416732</t>
  </si>
  <si>
    <t>ORT-0000010462</t>
  </si>
  <si>
    <t>C000416735</t>
  </si>
  <si>
    <t>ORT-0000010463</t>
  </si>
  <si>
    <t>C000416736</t>
  </si>
  <si>
    <t>ORT-0000010464</t>
  </si>
  <si>
    <t>C000416737</t>
  </si>
  <si>
    <t>ORT-0000010465</t>
  </si>
  <si>
    <t>C000416738</t>
  </si>
  <si>
    <t>SNOW HILL BUILDING 1 FLOOR 8 REFURB BIRMINGHAM</t>
  </si>
  <si>
    <t>ORT-0000010466</t>
  </si>
  <si>
    <t>C000416739</t>
  </si>
  <si>
    <t>ORT-0000010467</t>
  </si>
  <si>
    <t>C000416740</t>
  </si>
  <si>
    <t>ORT-0000010468</t>
  </si>
  <si>
    <t>C000416742</t>
  </si>
  <si>
    <t>ORT-0000010469</t>
  </si>
  <si>
    <t>C000416743</t>
  </si>
  <si>
    <t>ORT-0000010470</t>
  </si>
  <si>
    <t>C000416745</t>
  </si>
  <si>
    <t>BATTERY GREEN ROTTERDAM ROAD LOWESTOFT</t>
  </si>
  <si>
    <t>ORT-0000010471</t>
  </si>
  <si>
    <t>C000416747</t>
  </si>
  <si>
    <t>BASINGHALL 1 LONDON</t>
  </si>
  <si>
    <t>ORT-0000010472</t>
  </si>
  <si>
    <t>C000416748</t>
  </si>
  <si>
    <t>ORT-0000010473</t>
  </si>
  <si>
    <t>C000416749</t>
  </si>
  <si>
    <t>ORT-0000010476</t>
  </si>
  <si>
    <t>C000416750</t>
  </si>
  <si>
    <t>BANK OF AMERICA KING EDWARD STREET NO 2 WC REFURB LONDON</t>
  </si>
  <si>
    <t>ORT-0000010478</t>
  </si>
  <si>
    <t>C000416751</t>
  </si>
  <si>
    <t>ORT-0000010479</t>
  </si>
  <si>
    <t>C000416752</t>
  </si>
  <si>
    <t>ORT-0000010480</t>
  </si>
  <si>
    <t>C000416753</t>
  </si>
  <si>
    <t>ST PETERS SQUARE LANDMARK BUILDING FLOOR 6 MANCHESTER</t>
  </si>
  <si>
    <t>ORT-0000010481</t>
  </si>
  <si>
    <t>C000416754</t>
  </si>
  <si>
    <t>ORT-0000010482</t>
  </si>
  <si>
    <t>C000416760</t>
  </si>
  <si>
    <t>ORT-0000010483</t>
  </si>
  <si>
    <t>C000416770</t>
  </si>
  <si>
    <t>ORT-0000010484</t>
  </si>
  <si>
    <t>C000416771</t>
  </si>
  <si>
    <t>ARKWRIGHT HOUSE REFURB MANCHESTER</t>
  </si>
  <si>
    <t>ORT-0000010485</t>
  </si>
  <si>
    <t>C000416783</t>
  </si>
  <si>
    <t>CHARTERHOUSE STREET NO 33 SAINSBURYS FLRS 1-3 LONDON</t>
  </si>
  <si>
    <t>ORT-0000010491</t>
  </si>
  <si>
    <t>I000412835</t>
  </si>
  <si>
    <t>ORT-0000010492</t>
  </si>
  <si>
    <t>C000416795</t>
  </si>
  <si>
    <t>TURNER HOUSE BATH RD NO 103 - 105 REFURB SLOUGH</t>
  </si>
  <si>
    <t>ORT-0000010493</t>
  </si>
  <si>
    <t>C000416797</t>
  </si>
  <si>
    <t>ORT-0000010494</t>
  </si>
  <si>
    <t>C000416817</t>
  </si>
  <si>
    <t>ORT-0000010495</t>
  </si>
  <si>
    <t>C000416820</t>
  </si>
  <si>
    <t>FINSBURY CIRCUS NO 16-18 PARK HOUSE FLR 1 REFURB LONDON</t>
  </si>
  <si>
    <t>ORT-0000010496</t>
  </si>
  <si>
    <t>C000416821</t>
  </si>
  <si>
    <t>GRESHAM STREET NO 30 REFURB LONDON</t>
  </si>
  <si>
    <t>ORT-0000010497</t>
  </si>
  <si>
    <t>C000416826</t>
  </si>
  <si>
    <t>MIDDLEWOOD LOCKS PHASE 3 RESIDENTIAL MANCHESTER</t>
  </si>
  <si>
    <t>ORT-0000010498</t>
  </si>
  <si>
    <t>C000416828</t>
  </si>
  <si>
    <t>ORT-0000010499</t>
  </si>
  <si>
    <t>C000416840</t>
  </si>
  <si>
    <t>ORT-0000010500</t>
  </si>
  <si>
    <t>C000416842</t>
  </si>
  <si>
    <t>GRESHAM STREET NO 30 INVESTEC LEVEL 6 LONDON</t>
  </si>
  <si>
    <t>ORT-0000010501</t>
  </si>
  <si>
    <t>C000416844</t>
  </si>
  <si>
    <t>HARWELL NO 3302 FLOOR 1 LAB PHASE 1 REFURB DIDCOT</t>
  </si>
  <si>
    <t>ORT-0000010502</t>
  </si>
  <si>
    <t>C000416845</t>
  </si>
  <si>
    <t>KING STREET NO 33 CLEVELAND HOUSE CDR REFURB FLOORS 4-5</t>
  </si>
  <si>
    <t>ORT-0000010503</t>
  </si>
  <si>
    <t>C000416846</t>
  </si>
  <si>
    <t>ORT-0000010505</t>
  </si>
  <si>
    <t>C000416852</t>
  </si>
  <si>
    <t>ORT-0000010506</t>
  </si>
  <si>
    <t>C000416853</t>
  </si>
  <si>
    <t>ORT-0000010507</t>
  </si>
  <si>
    <t>C000416854</t>
  </si>
  <si>
    <t>MANCHESTER AIRPORT T2 EAST CHECK IN AREAS</t>
  </si>
  <si>
    <t>ORT-0000010508</t>
  </si>
  <si>
    <t>C000416855</t>
  </si>
  <si>
    <t>ORT-0000010509</t>
  </si>
  <si>
    <t>C000416859</t>
  </si>
  <si>
    <t>ORT-0000010510</t>
  </si>
  <si>
    <t>C000416861</t>
  </si>
  <si>
    <t>ORT-0000010511</t>
  </si>
  <si>
    <t>C000416868</t>
  </si>
  <si>
    <t>ORT-0000010512</t>
  </si>
  <si>
    <t>C000416871</t>
  </si>
  <si>
    <t>RIPLEY BUILDING WHITEHALL 22-26 REFURB LONDON</t>
  </si>
  <si>
    <t>ORT-0000010513</t>
  </si>
  <si>
    <t>C000416872</t>
  </si>
  <si>
    <t>BARGE HOUSE UPPER GROUND REFURB LONDON</t>
  </si>
  <si>
    <t>ORT-0000010514</t>
  </si>
  <si>
    <t>C000416879</t>
  </si>
  <si>
    <t>ORT-0000010515</t>
  </si>
  <si>
    <t>C000416885</t>
  </si>
  <si>
    <t>SPAR PARKFOOT LONDON ROAD KENT</t>
  </si>
  <si>
    <t>ORT-0000010516</t>
  </si>
  <si>
    <t>C000416889</t>
  </si>
  <si>
    <t>ORT-0000010517</t>
  </si>
  <si>
    <t>C000416894</t>
  </si>
  <si>
    <t>BEDFORD AVENUE NO 1 REFURB LONDON</t>
  </si>
  <si>
    <t>ORT-0000010518</t>
  </si>
  <si>
    <t>C000416896</t>
  </si>
  <si>
    <t>PALACE GARDENS SHOPPING CENTRE ENFIELD</t>
  </si>
  <si>
    <t>ORT-0000010519</t>
  </si>
  <si>
    <t>C000416898</t>
  </si>
  <si>
    <t>ORT-0000010520</t>
  </si>
  <si>
    <t>C000416899</t>
  </si>
  <si>
    <t>ORT-0000010521</t>
  </si>
  <si>
    <t>C000416904</t>
  </si>
  <si>
    <t>ORT-0000010522</t>
  </si>
  <si>
    <t>C000416905</t>
  </si>
  <si>
    <t>ORT-0000010523</t>
  </si>
  <si>
    <t>C000416908</t>
  </si>
  <si>
    <t>ORT-0000010524</t>
  </si>
  <si>
    <t>C000416909</t>
  </si>
  <si>
    <t>ORT-0000010525</t>
  </si>
  <si>
    <t>C000416917</t>
  </si>
  <si>
    <t>ORT-0000010526</t>
  </si>
  <si>
    <t>C000416922</t>
  </si>
  <si>
    <t>BARCLAYS BANK BRANCH BARNSLEY</t>
  </si>
  <si>
    <t>ORT-0000010527</t>
  </si>
  <si>
    <t>FALCON SQUARE NO 1 HIGHLAND HOSPICE INVERNESS</t>
  </si>
  <si>
    <t>ORT-0000010528</t>
  </si>
  <si>
    <t>C000416924</t>
  </si>
  <si>
    <t>ORT-0000010529</t>
  </si>
  <si>
    <t>C000416925</t>
  </si>
  <si>
    <t>BARCLAYS BANK BRANCH EAST HAM LONDON</t>
  </si>
  <si>
    <t>ORT-0000010531</t>
  </si>
  <si>
    <t>C000416928</t>
  </si>
  <si>
    <t>ORT-0000010532</t>
  </si>
  <si>
    <t>C000416931</t>
  </si>
  <si>
    <t>STONECUTTER COURT CAT B TRAVERS SMITH LONDON</t>
  </si>
  <si>
    <t>ORT-0000010533</t>
  </si>
  <si>
    <t>C000416932</t>
  </si>
  <si>
    <t>ELEPHANT &amp; CASTLE TOWN CENTRE PLOT E1 LCC CAT B LONDON</t>
  </si>
  <si>
    <t>ORT-0000010534</t>
  </si>
  <si>
    <t>C000416934</t>
  </si>
  <si>
    <t>ORT-0000010535</t>
  </si>
  <si>
    <t>C000416941</t>
  </si>
  <si>
    <t>ORT-0000010536</t>
  </si>
  <si>
    <t>C000416942</t>
  </si>
  <si>
    <t>ORT-0000010537</t>
  </si>
  <si>
    <t>C000416943</t>
  </si>
  <si>
    <t>ORT-0000010538</t>
  </si>
  <si>
    <t>C000416945</t>
  </si>
  <si>
    <t>WHITECHAPEL BUILDING REFURB LONDON</t>
  </si>
  <si>
    <t>ORT-0000010539</t>
  </si>
  <si>
    <t>C000416962</t>
  </si>
  <si>
    <t>KING STREET OFFICE DEVELOPMENT BLACKPOOL</t>
  </si>
  <si>
    <t>ORT-0000010540</t>
  </si>
  <si>
    <t>C000416965</t>
  </si>
  <si>
    <t>ORT-0000010542</t>
  </si>
  <si>
    <t>C000416950</t>
  </si>
  <si>
    <t>TORRE DIAGONAL MAR BARCELONA ADD'L MAT'LS</t>
  </si>
  <si>
    <t>ORT-0000010543</t>
  </si>
  <si>
    <t>C000416902</t>
  </si>
  <si>
    <t>FACULTY OF ISLAMIC STUDIES EDUC ADDTL MATERIALS DOHA</t>
  </si>
  <si>
    <t>ORT-0000010545</t>
  </si>
  <si>
    <t>C000416974</t>
  </si>
  <si>
    <t>ARTHUR STREET NO 12 FLOOR 6 LIGHTING LONDON</t>
  </si>
  <si>
    <t>ORT-0000010546</t>
  </si>
  <si>
    <t>C000416977</t>
  </si>
  <si>
    <t>ORT-0000010547</t>
  </si>
  <si>
    <t>C000416979</t>
  </si>
  <si>
    <t>ORT-0000010548</t>
  </si>
  <si>
    <t>EDF SIZEWELL POWER STATION B TRAINING BUILDING SUFFOLK</t>
  </si>
  <si>
    <t>ORT-0000010549</t>
  </si>
  <si>
    <t>C000416981</t>
  </si>
  <si>
    <t>ORT-0000010550</t>
  </si>
  <si>
    <t>C000416982</t>
  </si>
  <si>
    <t>ORT-0000010551</t>
  </si>
  <si>
    <t>C000416983</t>
  </si>
  <si>
    <t>MABLEDON PLACE NO 1 HALO BUILDING FLR 8 REFURB LONDON</t>
  </si>
  <si>
    <t>ORT-0000010552</t>
  </si>
  <si>
    <t>C000416985</t>
  </si>
  <si>
    <t>HOUNSOME FIELDS PRIMARY SCHOOL BASINGSTOKE</t>
  </si>
  <si>
    <t>ORT-0000010553</t>
  </si>
  <si>
    <t>C000416987</t>
  </si>
  <si>
    <t>ORT-0000010559</t>
  </si>
  <si>
    <t>C000416992</t>
  </si>
  <si>
    <t>ORT-0000010560</t>
  </si>
  <si>
    <t>C000416993</t>
  </si>
  <si>
    <t>AQUIS HOUSE REFURB BALGRAVE STREET READING</t>
  </si>
  <si>
    <t>ORT-0000010561</t>
  </si>
  <si>
    <t>C000416995</t>
  </si>
  <si>
    <t>BASINGHALL STREET NO 25 WOOLGATE EXCHANGE CAT A LONDON</t>
  </si>
  <si>
    <t>ORT-0000010562</t>
  </si>
  <si>
    <t>C000416996</t>
  </si>
  <si>
    <t>ST JAMES'S SQUARE NO 8 FLOOR 4 POINT 72 LONDON</t>
  </si>
  <si>
    <t>ORT-0000010563</t>
  </si>
  <si>
    <t>C000416997</t>
  </si>
  <si>
    <t>ORT-0000010564</t>
  </si>
  <si>
    <t>C000417000</t>
  </si>
  <si>
    <t>HAMMERSMITH ROAD NO 245 FLR 5 REFURB LONDON</t>
  </si>
  <si>
    <t>ORT-0000010565</t>
  </si>
  <si>
    <t>C000417002</t>
  </si>
  <si>
    <t>HCP PETERBOROUGH CITY HOSPITAL</t>
  </si>
  <si>
    <t>ORT-0000010566</t>
  </si>
  <si>
    <t>C000417005</t>
  </si>
  <si>
    <t>ORT-0000010567</t>
  </si>
  <si>
    <t>C000417007</t>
  </si>
  <si>
    <t>ORT-0000010568</t>
  </si>
  <si>
    <t>C000417010</t>
  </si>
  <si>
    <t>QUINTON BUSINESS PARK BUILDING 9 BIRMINGHAM</t>
  </si>
  <si>
    <t>ORT-0000010569</t>
  </si>
  <si>
    <t>C000417012</t>
  </si>
  <si>
    <t>BASINGHALL AVENUE NO 1 GROUND &amp; 5-10 REFURB LONDON</t>
  </si>
  <si>
    <t>ORT-0000010570</t>
  </si>
  <si>
    <t>C000417013</t>
  </si>
  <si>
    <t>ALDERMANBURY SQUARE NO 2 BASINGHALL ST BASEMENT LONDON</t>
  </si>
  <si>
    <t>ORT-0000010571</t>
  </si>
  <si>
    <t>C000417019</t>
  </si>
  <si>
    <t>CHURCH STREET NO 45 FLOORS 3 &amp; 9 BIRMINGHAM</t>
  </si>
  <si>
    <t>ORT-0000010572</t>
  </si>
  <si>
    <t>C000417020</t>
  </si>
  <si>
    <t>ORT-0000010573</t>
  </si>
  <si>
    <t>C000417022</t>
  </si>
  <si>
    <t>ORT-0000010574</t>
  </si>
  <si>
    <t>C000417018</t>
  </si>
  <si>
    <t>SONEA ADDITIONAL LISBON</t>
  </si>
  <si>
    <t>ORT-0000010575</t>
  </si>
  <si>
    <t>C000417028</t>
  </si>
  <si>
    <t>ORT-0000010576</t>
  </si>
  <si>
    <t>C000417029</t>
  </si>
  <si>
    <t>ALDERSGATE ST NO 150 THE VERDANT TIKTOK FIT OUT LONDON</t>
  </si>
  <si>
    <t>ORT-0000010577</t>
  </si>
  <si>
    <t>C000417032</t>
  </si>
  <si>
    <t>ORT-0000010578</t>
  </si>
  <si>
    <t>C000417037</t>
  </si>
  <si>
    <t>ORT-0000010579</t>
  </si>
  <si>
    <t>C000417038</t>
  </si>
  <si>
    <t>HANOVER SQUARE NO 25 REFURB LONDON</t>
  </si>
  <si>
    <t>ORT-0000010580</t>
  </si>
  <si>
    <t>C000417039</t>
  </si>
  <si>
    <t>UPPER CAMPFIELD LIVERPOOL ROAD MANCHESTER</t>
  </si>
  <si>
    <t>ORT-0000010581</t>
  </si>
  <si>
    <t>C000417040</t>
  </si>
  <si>
    <t>HIGH STREET NO 29-35 REFURB CRAWLEY</t>
  </si>
  <si>
    <t>ORT-0000010582</t>
  </si>
  <si>
    <t>C000417045</t>
  </si>
  <si>
    <t>NEKO HEALTH MANCHESTER</t>
  </si>
  <si>
    <t>ORT-0000010583</t>
  </si>
  <si>
    <t>C000417046</t>
  </si>
  <si>
    <t>KAR COMMERCIAL BUILDING ERBIL IRAQ LIGHTING</t>
  </si>
  <si>
    <t>ORT-0000010584</t>
  </si>
  <si>
    <t>C000417047</t>
  </si>
  <si>
    <t>KAR COMMERCIAL BUILDING ERBIL IRAQ</t>
  </si>
  <si>
    <t>ORT-0000010585</t>
  </si>
  <si>
    <t>C000417052</t>
  </si>
  <si>
    <t>ORT-0000010586</t>
  </si>
  <si>
    <t>C000417053</t>
  </si>
  <si>
    <t>ORT-0000010587</t>
  </si>
  <si>
    <t>C000417054</t>
  </si>
  <si>
    <t>SMITHFIELD MARKET POULTRY MARKET MUSEUM OF LONDON</t>
  </si>
  <si>
    <t>ORT-0000010588</t>
  </si>
  <si>
    <t>C000417056</t>
  </si>
  <si>
    <t>SPTS CELTIC LAKES FIT OUT PHASE 2 NEWPORT WALES</t>
  </si>
  <si>
    <t>ORT-0000010589</t>
  </si>
  <si>
    <t>C000417058</t>
  </si>
  <si>
    <t>ORT-0000010590</t>
  </si>
  <si>
    <t>C000417064</t>
  </si>
  <si>
    <t>ORT-0000010591</t>
  </si>
  <si>
    <t>C000417067</t>
  </si>
  <si>
    <t>PILGRIM STREET PHASE 2 NEWCASTLE ADDITIONAL MATERIALS</t>
  </si>
  <si>
    <t>ORT-0000010592</t>
  </si>
  <si>
    <t>C000417069</t>
  </si>
  <si>
    <t>L.-ILLA BY RENTAMAR BARCELONA</t>
  </si>
  <si>
    <t>ORT-0000010593</t>
  </si>
  <si>
    <t>C000417070</t>
  </si>
  <si>
    <t>WELLS STREET NO 80 WELLS HOUSE THE RIBBON LONDON</t>
  </si>
  <si>
    <t>ORT-0000010597</t>
  </si>
  <si>
    <t>C000417073</t>
  </si>
  <si>
    <t>ORT-0000010598</t>
  </si>
  <si>
    <t>C000417075</t>
  </si>
  <si>
    <t>ORT-0000010599</t>
  </si>
  <si>
    <t>C000417078</t>
  </si>
  <si>
    <t>ORT-0000010600</t>
  </si>
  <si>
    <t>C000417081</t>
  </si>
  <si>
    <t>ORT-0000010601</t>
  </si>
  <si>
    <t>C000417087</t>
  </si>
  <si>
    <t>ORT-0000010602</t>
  </si>
  <si>
    <t>C000417091</t>
  </si>
  <si>
    <t>ORT-0000010603</t>
  </si>
  <si>
    <t>C000417096</t>
  </si>
  <si>
    <t>UNI OF EDINBURGH QMRI FLOORS 2 &amp; 3 REFURB</t>
  </si>
  <si>
    <t>ORT-0000010604</t>
  </si>
  <si>
    <t>C000417104</t>
  </si>
  <si>
    <t>ORT-0000010605</t>
  </si>
  <si>
    <t>C000417105</t>
  </si>
  <si>
    <t>ORT-0000010606</t>
  </si>
  <si>
    <t>C000417106</t>
  </si>
  <si>
    <t>ORT-0000010607</t>
  </si>
  <si>
    <t>C000417108</t>
  </si>
  <si>
    <t>NEW BAILEY NO FOUR REFURB FLRS 9&amp;10 BT MANCHESTER</t>
  </si>
  <si>
    <t>ORT-0000010608</t>
  </si>
  <si>
    <t>C000417130</t>
  </si>
  <si>
    <t>DUNDEE CENTRAL WATERFRONT PLOT 6 PHASE 2 DUNDEE</t>
  </si>
  <si>
    <t>ORT-0000010609</t>
  </si>
  <si>
    <t>C000417131</t>
  </si>
  <si>
    <t>ORT-0000010610</t>
  </si>
  <si>
    <t>C000417132</t>
  </si>
  <si>
    <t>THE SLOANE CLUB LOWER SLOANE STREET LONDON</t>
  </si>
  <si>
    <t>ORT-0000010611</t>
  </si>
  <si>
    <t>C000417133</t>
  </si>
  <si>
    <t>ELMFIELD ROAD NO 26 LOBBY AREA LIGHTING BROMLEY</t>
  </si>
  <si>
    <t>ORT-0000010612</t>
  </si>
  <si>
    <t>C000417136</t>
  </si>
  <si>
    <t>ARGYLE STREET DEVELOPMENT CAT A GLASGOW</t>
  </si>
  <si>
    <t>ORT-0000010613</t>
  </si>
  <si>
    <t>C000417138</t>
  </si>
  <si>
    <t>ORT-0000010614</t>
  </si>
  <si>
    <t>C000417140</t>
  </si>
  <si>
    <t>CURRENCY HOUSE LEVEL 9 FIT OUT BLOOMBERG PHASE 2 DUBAI</t>
  </si>
  <si>
    <t>ORT-0000010615</t>
  </si>
  <si>
    <t>C000417145</t>
  </si>
  <si>
    <t>ORT-0000010616</t>
  </si>
  <si>
    <t>C000417146</t>
  </si>
  <si>
    <t>ORT-0000010618</t>
  </si>
  <si>
    <t>C000417147</t>
  </si>
  <si>
    <t>ORT-0000010619</t>
  </si>
  <si>
    <t>C000417148</t>
  </si>
  <si>
    <t>BIGGIN HILL SAPHIRE HOUSE F1 FLR 1 REFURB KENT</t>
  </si>
  <si>
    <t>ORT-0000010620</t>
  </si>
  <si>
    <t>C000417153</t>
  </si>
  <si>
    <t>THE STAGE SHOREDITCH BARD &amp; HEWETT AMAZON FIT OUT LONDON</t>
  </si>
  <si>
    <t>ORT-0000010621</t>
  </si>
  <si>
    <t>C000417156</t>
  </si>
  <si>
    <t>ORT-0000010622</t>
  </si>
  <si>
    <t>C000417157</t>
  </si>
  <si>
    <t>OLD BURLINGTON STREET NO 25 FLOOR 1 REFURB LONDON</t>
  </si>
  <si>
    <t>ORT-0000010623</t>
  </si>
  <si>
    <t>C000417159</t>
  </si>
  <si>
    <t>MERLIN PLACE CAMBRIDGE</t>
  </si>
  <si>
    <t>ORT-0000010624</t>
  </si>
  <si>
    <t>C000416790</t>
  </si>
  <si>
    <t>OXFORD STREET NO 334-348 S&amp;C / LOBBIES LONDON</t>
  </si>
  <si>
    <t>ORT-0000010625</t>
  </si>
  <si>
    <t>C000417164</t>
  </si>
  <si>
    <t>BLACKFRIARS NO 240 CAT B HDR FLOORS 7-8 LONDON</t>
  </si>
  <si>
    <t>ORT-0000010626</t>
  </si>
  <si>
    <t>C000417170</t>
  </si>
  <si>
    <t>NEW YORK STREET NO 1 CAT A REFURB FLR 7 &amp; 10 MANCHESTER</t>
  </si>
  <si>
    <t>ORT-0000010627</t>
  </si>
  <si>
    <t>C000417171</t>
  </si>
  <si>
    <t>WIGMORE STREET NO 42 REFURB LONDON</t>
  </si>
  <si>
    <t>ORT-0000010628</t>
  </si>
  <si>
    <t>C000417173</t>
  </si>
  <si>
    <t>ORT-0000010629</t>
  </si>
  <si>
    <t>C000417176</t>
  </si>
  <si>
    <t>ORT-0000010630</t>
  </si>
  <si>
    <t>C000417179</t>
  </si>
  <si>
    <t>ORT-0000010631</t>
  </si>
  <si>
    <t>C000417185</t>
  </si>
  <si>
    <t>DEVONSHIRE HOUSE MAYFAIR PLACE NO 1 LEVELS 3-4 TA LONDON</t>
  </si>
  <si>
    <t>ORT-0000010632</t>
  </si>
  <si>
    <t>C000417186</t>
  </si>
  <si>
    <t>THORN LIGHTING LTD 2025</t>
  </si>
  <si>
    <t>ORT-0000010633</t>
  </si>
  <si>
    <t>C000417190</t>
  </si>
  <si>
    <t>HMP NEW HALL PRISON YOI REFURB WAKEFIELD</t>
  </si>
  <si>
    <t>ORT-0000010634</t>
  </si>
  <si>
    <t>C000417198</t>
  </si>
  <si>
    <t>ORT-0000010635</t>
  </si>
  <si>
    <t>C000417204</t>
  </si>
  <si>
    <t>ORT-0000010636</t>
  </si>
  <si>
    <t>C000413231</t>
  </si>
  <si>
    <t>ORT-0000010637</t>
  </si>
  <si>
    <t>ORT-0000010638</t>
  </si>
  <si>
    <t>ORT-0000010639</t>
  </si>
  <si>
    <t>ORT-0000010641</t>
  </si>
  <si>
    <t>C000417211</t>
  </si>
  <si>
    <t>THE PEAK WILTON ROAD NO 5 FLOOR 5 GIP LONDON</t>
  </si>
  <si>
    <t>ORT-0000010643</t>
  </si>
  <si>
    <t>C000417214</t>
  </si>
  <si>
    <t>SHAFTESBURY AVENUE NO 130 CAT B FLOORS 3-4 TALON LONDON</t>
  </si>
  <si>
    <t>ORT-0000010644</t>
  </si>
  <si>
    <t>C000417215</t>
  </si>
  <si>
    <t>ORT-0000010645</t>
  </si>
  <si>
    <t>C000417216</t>
  </si>
  <si>
    <t>ORT-0000010646</t>
  </si>
  <si>
    <t>C000417217</t>
  </si>
  <si>
    <t>ORT-0000010649</t>
  </si>
  <si>
    <t>C000417224</t>
  </si>
  <si>
    <t>THE HALE NO 29-33 TOTTENHAM LONDON</t>
  </si>
  <si>
    <t>ORT-0000010650</t>
  </si>
  <si>
    <t>C000417225</t>
  </si>
  <si>
    <t>ORT-0000010651</t>
  </si>
  <si>
    <t>C000417227</t>
  </si>
  <si>
    <t>ORT-0000010652</t>
  </si>
  <si>
    <t>C000417229</t>
  </si>
  <si>
    <t>ORT-0000010656</t>
  </si>
  <si>
    <t>ORT-0000010658</t>
  </si>
  <si>
    <t>SONY CENTER BUILDING A</t>
  </si>
  <si>
    <t>ORT-0000010659</t>
  </si>
  <si>
    <t>C000417241</t>
  </si>
  <si>
    <t>CHURCHILL PLACE NO 5 FLR 2 REFURB LONDON</t>
  </si>
  <si>
    <t>ORT-0000010660</t>
  </si>
  <si>
    <t>ORT-0000010661</t>
  </si>
  <si>
    <t>ORT-0000010662</t>
  </si>
  <si>
    <t>C000417252</t>
  </si>
  <si>
    <t>ORT-0000010663</t>
  </si>
  <si>
    <t>C000417253</t>
  </si>
  <si>
    <t>ORT-0000010664</t>
  </si>
  <si>
    <t>C000417254</t>
  </si>
  <si>
    <t>ORT-0000010665</t>
  </si>
  <si>
    <t>C000417255</t>
  </si>
  <si>
    <t>OVAL TOWER REFURB 14TH FLOOR AMSTERDAM</t>
  </si>
  <si>
    <t>ORT-0000010666</t>
  </si>
  <si>
    <t>C000417258</t>
  </si>
  <si>
    <t>CORNWALL STREET NO 19 OFFICE BIRMINGHAM</t>
  </si>
  <si>
    <t>ORT-0000010667</t>
  </si>
  <si>
    <t>C000417260</t>
  </si>
  <si>
    <t>ORT-0000010668</t>
  </si>
  <si>
    <t>C000417262</t>
  </si>
  <si>
    <t>ORT-0000010669</t>
  </si>
  <si>
    <t>C000417263</t>
  </si>
  <si>
    <t>ORT-0000010670</t>
  </si>
  <si>
    <t>C000417270</t>
  </si>
  <si>
    <t>ORT-0000010671</t>
  </si>
  <si>
    <t>C000417271</t>
  </si>
  <si>
    <t>CAREY OLSEN ESPLANADE NO 47 REFURB JERSEY</t>
  </si>
  <si>
    <t>ORT-0000010672</t>
  </si>
  <si>
    <t>C000417272</t>
  </si>
  <si>
    <t>ORT-0000010673</t>
  </si>
  <si>
    <t>C000417273</t>
  </si>
  <si>
    <t>QUEENS BUILDING EXTENSION BRENTWOOD SCHOOL</t>
  </si>
  <si>
    <t>ORT-0000010674</t>
  </si>
  <si>
    <t>C000417275</t>
  </si>
  <si>
    <t>ORT-0000010675</t>
  </si>
  <si>
    <t>C000417276</t>
  </si>
  <si>
    <t>ORT-0000010676</t>
  </si>
  <si>
    <t>ORT-0000010677</t>
  </si>
  <si>
    <t>C000417282</t>
  </si>
  <si>
    <t>WOOLWICH LEISURE CENTRE PHASE 1 TRAMSHED THEATRE LONDON</t>
  </si>
  <si>
    <t>ORT-0000010678</t>
  </si>
  <si>
    <t>C000417285</t>
  </si>
  <si>
    <t>MIDCITY PLACE HIGH HOLBORN NO 71 REFURB LONDON</t>
  </si>
  <si>
    <t>ORT-0000010681</t>
  </si>
  <si>
    <t>C000417289</t>
  </si>
  <si>
    <t>ORT-0000010682</t>
  </si>
  <si>
    <t>C000417290</t>
  </si>
  <si>
    <t>WHITE &amp; CASE OLD BROAD STREET NO 5 REFURB LONDON</t>
  </si>
  <si>
    <t>ORT-0000010683</t>
  </si>
  <si>
    <t>C000417292</t>
  </si>
  <si>
    <t>ORT-0000010684</t>
  </si>
  <si>
    <t>C000417295</t>
  </si>
  <si>
    <t>ALMACK HOUSE KING STREET NO 28 REFURB LONDON</t>
  </si>
  <si>
    <t>ORT-0000010685</t>
  </si>
  <si>
    <t>C000417296</t>
  </si>
  <si>
    <t>ORT-0000010686</t>
  </si>
  <si>
    <t>C000417298</t>
  </si>
  <si>
    <t>ORT-0000010687</t>
  </si>
  <si>
    <t>C000417310</t>
  </si>
  <si>
    <t>ORT-0000010688</t>
  </si>
  <si>
    <t>C000417311</t>
  </si>
  <si>
    <t>ORT-0000010689</t>
  </si>
  <si>
    <t>C000417321</t>
  </si>
  <si>
    <t>ORT-0000010690</t>
  </si>
  <si>
    <t>C000417323</t>
  </si>
  <si>
    <t>ORT-0000010691</t>
  </si>
  <si>
    <t>C000417326</t>
  </si>
  <si>
    <t>ORT-0000010692</t>
  </si>
  <si>
    <t>C000417327</t>
  </si>
  <si>
    <t>ORT-0000010693</t>
  </si>
  <si>
    <t>C000417331</t>
  </si>
  <si>
    <t>ORT-0000010694</t>
  </si>
  <si>
    <t>C000417340</t>
  </si>
  <si>
    <t>ORT-0000010695</t>
  </si>
  <si>
    <t>C000417353</t>
  </si>
  <si>
    <t>ORT-0000010696</t>
  </si>
  <si>
    <t>C000417355</t>
  </si>
  <si>
    <t>CANARY WHARF BP1 BARCLAYS HQ REFURB LONDON</t>
  </si>
  <si>
    <t>ORT-0000010698</t>
  </si>
  <si>
    <t>C000417366</t>
  </si>
  <si>
    <t>ORT-0000010702</t>
  </si>
  <si>
    <t>C000417376</t>
  </si>
  <si>
    <t>ORT-0000010703</t>
  </si>
  <si>
    <t>C000417379</t>
  </si>
  <si>
    <t>ORT-0000010704</t>
  </si>
  <si>
    <t>C000417382</t>
  </si>
  <si>
    <t>ORT-0000010705</t>
  </si>
  <si>
    <t>C000417384</t>
  </si>
  <si>
    <t>ORT-0000010707</t>
  </si>
  <si>
    <t>C000417386</t>
  </si>
  <si>
    <t>ORT-0000010708</t>
  </si>
  <si>
    <t>C000417387</t>
  </si>
  <si>
    <t>HARWELL SCIENCE PARK QUAD 3 OFFICES DIDCOT</t>
  </si>
  <si>
    <t>ORT-0000010709</t>
  </si>
  <si>
    <t>C000417388</t>
  </si>
  <si>
    <t>ORT-0000010710</t>
  </si>
  <si>
    <t>C000417390</t>
  </si>
  <si>
    <t>CREECHURCH STREET NO 1 HOWDEN GROUP REFURB LONDON</t>
  </si>
  <si>
    <t>ORT-0000010711</t>
  </si>
  <si>
    <t>C000417391</t>
  </si>
  <si>
    <t>GROSVENOR PLACE NO 40 CAT A REFURB LONDON</t>
  </si>
  <si>
    <t>ORT-0000010712</t>
  </si>
  <si>
    <t>C000417392</t>
  </si>
  <si>
    <t>EQ BUILDING VICTORIA ST NO 111 FLR 4 EVELYN CAT B BRISTOL</t>
  </si>
  <si>
    <t>ORT-0000010713</t>
  </si>
  <si>
    <t>C000417398</t>
  </si>
  <si>
    <t>ORT-0000010714</t>
  </si>
  <si>
    <t>C000417399</t>
  </si>
  <si>
    <t>ORT-0000010715</t>
  </si>
  <si>
    <t>C000417403</t>
  </si>
  <si>
    <t>ORT-0000010716</t>
  </si>
  <si>
    <t>C000417404</t>
  </si>
  <si>
    <t>ORT-0000010717</t>
  </si>
  <si>
    <t>C000417405</t>
  </si>
  <si>
    <t>ORT-0000010718</t>
  </si>
  <si>
    <t>C000417408</t>
  </si>
  <si>
    <t>ORT-0000010719</t>
  </si>
  <si>
    <t>C000417410</t>
  </si>
  <si>
    <t>ORT-0000010720</t>
  </si>
  <si>
    <t>C000417413</t>
  </si>
  <si>
    <t>ORT-0000010722</t>
  </si>
  <si>
    <t>C000417416</t>
  </si>
  <si>
    <t>SCOTLAND &amp; NORTH EAST MISC 2025</t>
  </si>
  <si>
    <t>ORT-0000010723</t>
  </si>
  <si>
    <t>C000417417</t>
  </si>
  <si>
    <t>OLIVER BROSCH MISC 2025</t>
  </si>
  <si>
    <t>ORT-0000010724</t>
  </si>
  <si>
    <t>C000417418</t>
  </si>
  <si>
    <t>ORT-0000010725</t>
  </si>
  <si>
    <t>C000417419</t>
  </si>
  <si>
    <t>ORT-0000010726</t>
  </si>
  <si>
    <t>C000417420</t>
  </si>
  <si>
    <t>ORT-0000010727</t>
  </si>
  <si>
    <t>C000417423</t>
  </si>
  <si>
    <t>ORT-0000010728</t>
  </si>
  <si>
    <t>C000417425</t>
  </si>
  <si>
    <t>ORT-0000010729</t>
  </si>
  <si>
    <t>C000417427</t>
  </si>
  <si>
    <t>ORT-0000010730</t>
  </si>
  <si>
    <t>C000417431</t>
  </si>
  <si>
    <t>ORT-0000010733</t>
  </si>
  <si>
    <t>C000417434</t>
  </si>
  <si>
    <t>MORE LONDON RIVERSIDE NO 7 PWC REFRESH LONDON</t>
  </si>
  <si>
    <t>ORT-0000010734</t>
  </si>
  <si>
    <t>C000417445</t>
  </si>
  <si>
    <t>SALFORD CENTRAL PLOT C2 FOUR NEW BAILEY</t>
  </si>
  <si>
    <t>ORT-0000010735</t>
  </si>
  <si>
    <t>C000417447</t>
  </si>
  <si>
    <t>ORT-0000010736</t>
  </si>
  <si>
    <t>C000417449</t>
  </si>
  <si>
    <t>ALPHA BANK ATHENS</t>
  </si>
  <si>
    <t>ORT-0000010737</t>
  </si>
  <si>
    <t>C000417450</t>
  </si>
  <si>
    <t>ORT-0000010738</t>
  </si>
  <si>
    <t>C000417452</t>
  </si>
  <si>
    <t>ORT-0000010739</t>
  </si>
  <si>
    <t>C000417454</t>
  </si>
  <si>
    <t>ORT-0000010740</t>
  </si>
  <si>
    <t>C000417455</t>
  </si>
  <si>
    <t>ORT-0000010741</t>
  </si>
  <si>
    <t>C000417457</t>
  </si>
  <si>
    <t>ORT-0000010742</t>
  </si>
  <si>
    <t>C000417460</t>
  </si>
  <si>
    <t>ORT-0000010743</t>
  </si>
  <si>
    <t>C000417463</t>
  </si>
  <si>
    <t>ST VINCENT STREET NO 220 LEVEL 4 CAT A REFURB GLASGOW</t>
  </si>
  <si>
    <t>ORT-0000010745</t>
  </si>
  <si>
    <t>C000417472</t>
  </si>
  <si>
    <t>NDA - DEWA HQ TROX TILES DUBAI</t>
  </si>
  <si>
    <t>ORT-0000010747</t>
  </si>
  <si>
    <t>C000417478</t>
  </si>
  <si>
    <t>ORT-0000010748</t>
  </si>
  <si>
    <t>C000417479</t>
  </si>
  <si>
    <t>ORT-0000010750</t>
  </si>
  <si>
    <t>C000417493</t>
  </si>
  <si>
    <t>FORMER TYNECASTLE SCHOOL STUDENT ACCOM ADDITIONALS EDINBURGH</t>
  </si>
  <si>
    <t>ORT-0000010751</t>
  </si>
  <si>
    <t>C000417494</t>
  </si>
  <si>
    <t>ST MARYS AXE NO 30 REMEDIAL LONDON</t>
  </si>
  <si>
    <t>ORT-0000010752</t>
  </si>
  <si>
    <t>C000417497</t>
  </si>
  <si>
    <t>ORT-0000010753</t>
  </si>
  <si>
    <t>C000417499</t>
  </si>
  <si>
    <t>CHADWICK HOUSE BIRCHWOOD PARK RISLEY WARRINGTON</t>
  </si>
  <si>
    <t>ORT-0000010754</t>
  </si>
  <si>
    <t>C000417500</t>
  </si>
  <si>
    <t>ORT-0000010755</t>
  </si>
  <si>
    <t>CF00000503</t>
  </si>
  <si>
    <t>ORT-0000010756</t>
  </si>
  <si>
    <t>C000417508</t>
  </si>
  <si>
    <t>ORT-0000010757</t>
  </si>
  <si>
    <t>C000417510</t>
  </si>
  <si>
    <t>ORT-0000010758</t>
  </si>
  <si>
    <t>CF00000502</t>
  </si>
  <si>
    <t>ORT-0000010759</t>
  </si>
  <si>
    <t>CF00000494</t>
  </si>
  <si>
    <t>ORT-0000010760</t>
  </si>
  <si>
    <t>CF00000499</t>
  </si>
  <si>
    <t>ORT-0000010761</t>
  </si>
  <si>
    <t>CF00000501</t>
  </si>
  <si>
    <t>LUSO PLAQUE &amp; PLATRE STOCK</t>
  </si>
  <si>
    <t>ORT-0000010762</t>
  </si>
  <si>
    <t>C000417521</t>
  </si>
  <si>
    <t>NICK DRAKE NORTHERN HOME COUNTIES MISC 2024 / 25</t>
  </si>
  <si>
    <t>ORT-0000010763</t>
  </si>
  <si>
    <t>C000417522</t>
  </si>
  <si>
    <t>ORT-0000010764</t>
  </si>
  <si>
    <t>C000417530</t>
  </si>
  <si>
    <t>WELBECK STREET NO 5 CLOSE BROTHERS HQ LONDON</t>
  </si>
  <si>
    <t>ORT-0000010765</t>
  </si>
  <si>
    <t>C000417538</t>
  </si>
  <si>
    <t>SKY STUDIOS GRANT WAY L2 &amp; L4 REFURB LONDON</t>
  </si>
  <si>
    <t>ORT-0000010766</t>
  </si>
  <si>
    <t>C000417540</t>
  </si>
  <si>
    <t>FINSBURY CIRCUS NO 8 CAT B GRANT THORNTON LONDON</t>
  </si>
  <si>
    <t>ORT-0000010767</t>
  </si>
  <si>
    <t>C000417545</t>
  </si>
  <si>
    <t>MARKS AND SPENCER PUDSEY</t>
  </si>
  <si>
    <t>ORT-0000010768</t>
  </si>
  <si>
    <t>C000417546</t>
  </si>
  <si>
    <t>ORT-0000010769</t>
  </si>
  <si>
    <t>C000417555</t>
  </si>
  <si>
    <t>ORT-0000010770</t>
  </si>
  <si>
    <t>C000417556</t>
  </si>
  <si>
    <t>UNI OF OXFORD TRINITY COLLEGE KITCHEN OXFORD</t>
  </si>
  <si>
    <t>ORT-0000010773</t>
  </si>
  <si>
    <t>C000417565</t>
  </si>
  <si>
    <t>ORT-0000010774</t>
  </si>
  <si>
    <t>C000417573</t>
  </si>
  <si>
    <t>STRAND NO 40 FLR 3 REFURB LONDON</t>
  </si>
  <si>
    <t>ORT-0000010775</t>
  </si>
  <si>
    <t>ORT-0000010776</t>
  </si>
  <si>
    <t>C000417578</t>
  </si>
  <si>
    <t>BRISTOL AIRPORT WC AREAS REFURB BRISTOL</t>
  </si>
  <si>
    <t>ORT-0000010777</t>
  </si>
  <si>
    <t>C000417581</t>
  </si>
  <si>
    <t>ORT-0000010778</t>
  </si>
  <si>
    <t>C000417582</t>
  </si>
  <si>
    <t>ORT-0000010779</t>
  </si>
  <si>
    <t>C000417583</t>
  </si>
  <si>
    <t>ORT-0000010780</t>
  </si>
  <si>
    <t>C000417599</t>
  </si>
  <si>
    <t>ORT-0000010781</t>
  </si>
  <si>
    <t>C000417603</t>
  </si>
  <si>
    <t>ORT-0000010783</t>
  </si>
  <si>
    <t>C000417611</t>
  </si>
  <si>
    <t>ORT-0000010784</t>
  </si>
  <si>
    <t>C000417618</t>
  </si>
  <si>
    <t>SMITHFIELD MARKET GENERAL MARKET MUSEUM OF LONDON CEILINGS</t>
  </si>
  <si>
    <t>ORT-0000010785</t>
  </si>
  <si>
    <t>C000417623</t>
  </si>
  <si>
    <t>QUEENSBOROUGH TERRACE NO 49-67 BAYSWATER LONDON</t>
  </si>
  <si>
    <t>ORT-0000010786</t>
  </si>
  <si>
    <t>C000417624</t>
  </si>
  <si>
    <t>HEATHROW T5 WS4 REFURB LONDON</t>
  </si>
  <si>
    <t>ORT-0000010787</t>
  </si>
  <si>
    <t>C000417625</t>
  </si>
  <si>
    <t>ORT-0000010788</t>
  </si>
  <si>
    <t>C000417628</t>
  </si>
  <si>
    <t>ORT-0000010789</t>
  </si>
  <si>
    <t>C000417630</t>
  </si>
  <si>
    <t>FETTER LANE NO 100 CORE AREAS LONDON</t>
  </si>
  <si>
    <t>ORT-0000010790</t>
  </si>
  <si>
    <t>C000417632</t>
  </si>
  <si>
    <t>THREADNEEDLE STREET NO 60 CAT A FLOOR 8 LONDON</t>
  </si>
  <si>
    <t>ORT-0000010791</t>
  </si>
  <si>
    <t>C000417633</t>
  </si>
  <si>
    <t>ALDERMANBURY SQUARE NO 2 BASINGHALL STREET LONDON</t>
  </si>
  <si>
    <t>ORT-0000010793</t>
  </si>
  <si>
    <t>C000417637</t>
  </si>
  <si>
    <t>FENCHURCH STREET NO 80 EIGHTYFEN AVIVA PH 2 LONDON</t>
  </si>
  <si>
    <t>ORT-0000010794</t>
  </si>
  <si>
    <t>C000417639</t>
  </si>
  <si>
    <t>ORT-0000010795</t>
  </si>
  <si>
    <t>C000417640</t>
  </si>
  <si>
    <t>ORT-0000010796</t>
  </si>
  <si>
    <t>C000417641</t>
  </si>
  <si>
    <t>ORT-0000010797</t>
  </si>
  <si>
    <t>C000417647</t>
  </si>
  <si>
    <t>ORT-0000010798</t>
  </si>
  <si>
    <t>C000417649</t>
  </si>
  <si>
    <t>HSBC B-VITAL AMSTERDAM</t>
  </si>
  <si>
    <t>ORT-0000010799</t>
  </si>
  <si>
    <t>C000417653</t>
  </si>
  <si>
    <t>HOLBORN GATE HIGH HOLBORN 326-330 PICK EVERARD REFURB LONDON</t>
  </si>
  <si>
    <t>ORT-0000010800</t>
  </si>
  <si>
    <t>C000417656</t>
  </si>
  <si>
    <t>MANCHESTER COLLEGE CITY CENTRE CAMPUS MANCHESTER ADDITIONS</t>
  </si>
  <si>
    <t>ORT-0000010801</t>
  </si>
  <si>
    <t>C000417657</t>
  </si>
  <si>
    <t>ORT-0000010802</t>
  </si>
  <si>
    <t>C000417658</t>
  </si>
  <si>
    <t>ORT-0000010803</t>
  </si>
  <si>
    <t>C000417659</t>
  </si>
  <si>
    <t>ORT-0000010804</t>
  </si>
  <si>
    <t>C000417660</t>
  </si>
  <si>
    <t>WELLESLEY EAST PRIMARY SCHOOL ALDERSHOT HAMPSHIRE</t>
  </si>
  <si>
    <t>ORT-0000010805</t>
  </si>
  <si>
    <t>C000417661</t>
  </si>
  <si>
    <t>ORT-0000010806</t>
  </si>
  <si>
    <t>C000417663</t>
  </si>
  <si>
    <t>BRENT CROSS TOWN PLOT 25 FUSION STUDENT ACCOMMODATION LONDON</t>
  </si>
  <si>
    <t>ORT-0000010807</t>
  </si>
  <si>
    <t>MERCEDES BENZ BRAND CENTER D3 DUBAI DESIGN DISTRICT</t>
  </si>
  <si>
    <t>ORT-0000010810</t>
  </si>
  <si>
    <t>C000417666</t>
  </si>
  <si>
    <t>ORT-0000010811</t>
  </si>
  <si>
    <t>CF00000506</t>
  </si>
  <si>
    <t>ORT-0000010812</t>
  </si>
  <si>
    <t>C000417670</t>
  </si>
  <si>
    <t>ORT-0000010813</t>
  </si>
  <si>
    <t>C000417673</t>
  </si>
  <si>
    <t>ORT-0000010814</t>
  </si>
  <si>
    <t>C000417676</t>
  </si>
  <si>
    <t>ORT-0000010815</t>
  </si>
  <si>
    <t>C000417681</t>
  </si>
  <si>
    <t>GREAT SMITH STREET NO 35 LVL 1 LONDON</t>
  </si>
  <si>
    <t>ORT-0000010816</t>
  </si>
  <si>
    <t>C000417688</t>
  </si>
  <si>
    <t>CANARY WHARF DS7 CANADA SQUARE NO 1 UCL SOM PHASE 1 LONDON</t>
  </si>
  <si>
    <t>ORT-0000010817</t>
  </si>
  <si>
    <t>C000417691</t>
  </si>
  <si>
    <t>SCOTSCROFT REFURB TOWERS BUSINESS PARK MANCHESTER</t>
  </si>
  <si>
    <t>ORT-0000010818</t>
  </si>
  <si>
    <t>C000417694</t>
  </si>
  <si>
    <t>ORT-0000010819</t>
  </si>
  <si>
    <t>C000417695</t>
  </si>
  <si>
    <t>ORT-0000010821</t>
  </si>
  <si>
    <t>C000417700</t>
  </si>
  <si>
    <t>ORT-0000010822</t>
  </si>
  <si>
    <t>C000417701</t>
  </si>
  <si>
    <t>ORT-0000010823</t>
  </si>
  <si>
    <t>C000417703</t>
  </si>
  <si>
    <t>CHESTERFORD RESEARCH PARK R&amp;D BLDG NO 800</t>
  </si>
  <si>
    <t>ORT-0000010824</t>
  </si>
  <si>
    <t>C000417704</t>
  </si>
  <si>
    <t>SAMPLES MISC 2025</t>
  </si>
  <si>
    <t>ORT-0000010825</t>
  </si>
  <si>
    <t>C000417712</t>
  </si>
  <si>
    <t>WP SHEFFIELD HALLAM UNI BLOCKS A - D UNI GREEN SHEFFIELD</t>
  </si>
  <si>
    <t>ORT-0000010826</t>
  </si>
  <si>
    <t>C000417718</t>
  </si>
  <si>
    <t>ORT-0000010827</t>
  </si>
  <si>
    <t>C000417719</t>
  </si>
  <si>
    <t>ORT-0000010830</t>
  </si>
  <si>
    <t>C000417723</t>
  </si>
  <si>
    <t>ORT-0000010831</t>
  </si>
  <si>
    <t>C000417726</t>
  </si>
  <si>
    <t>ORT-0000010832</t>
  </si>
  <si>
    <t>C000417729</t>
  </si>
  <si>
    <t>ORT-0000010833</t>
  </si>
  <si>
    <t>C000417732</t>
  </si>
  <si>
    <t>MOORFIELDS EYE HOSPITAL UCL INSTITUTE OF OPHTHALMOLOGY ORIEL</t>
  </si>
  <si>
    <t>ORT-0000010834</t>
  </si>
  <si>
    <t>C000417737</t>
  </si>
  <si>
    <t>ORT-0000010835</t>
  </si>
  <si>
    <t>C000417741</t>
  </si>
  <si>
    <t>AUDLEY SQUARE HOUSE MAYFAIR NO 1 LONDON</t>
  </si>
  <si>
    <t>ORT-0000010836</t>
  </si>
  <si>
    <t>C000417747</t>
  </si>
  <si>
    <t>SAMPLE ROOM READING SQ PRODUCTS</t>
  </si>
  <si>
    <t>ORT-0000010837</t>
  </si>
  <si>
    <t>C000417750</t>
  </si>
  <si>
    <t>ORT-0000010839</t>
  </si>
  <si>
    <t>C000417756</t>
  </si>
  <si>
    <t>ORT-0000010840</t>
  </si>
  <si>
    <t>C000417757</t>
  </si>
  <si>
    <t>ORT-0000010841</t>
  </si>
  <si>
    <t>C000417759</t>
  </si>
  <si>
    <t>ORT-0000010842</t>
  </si>
  <si>
    <t>C000417760</t>
  </si>
  <si>
    <t>BASKERVILLE HOUSE FITOUT BRITISH TRANSPORT POLICE BIRMINGHAM</t>
  </si>
  <si>
    <t>ORT-0000010843</t>
  </si>
  <si>
    <t>C000417763</t>
  </si>
  <si>
    <t>NDA - PWC LAYSEN VALLEY RIYADH OFFICE FIT OUT</t>
  </si>
  <si>
    <t>ORT-0000010844</t>
  </si>
  <si>
    <t>C000417764</t>
  </si>
  <si>
    <t>FORMER TYNECASTLE SCHOOL STUDENT ACCOMMODATION EDINBURGH</t>
  </si>
  <si>
    <t>ORT-0000010845</t>
  </si>
  <si>
    <t>C000417765</t>
  </si>
  <si>
    <t>THE WADDON STAFFORD ROAD CROYDON</t>
  </si>
  <si>
    <t>ORT-0000010846</t>
  </si>
  <si>
    <t>C000417768</t>
  </si>
  <si>
    <t>CARL ZEISS CAMBRIDGE</t>
  </si>
  <si>
    <t>ORT-0000010847</t>
  </si>
  <si>
    <t>C000417769</t>
  </si>
  <si>
    <t>ELEPHANT &amp; CASTLE TOWN CENTRE PLOT E1 SHELL AND CORE LONDON</t>
  </si>
  <si>
    <t>ORT-0000010848</t>
  </si>
  <si>
    <t>C000417770</t>
  </si>
  <si>
    <t>ORT-0000010849</t>
  </si>
  <si>
    <t>C000417781</t>
  </si>
  <si>
    <t>ORT-0000010850</t>
  </si>
  <si>
    <t>C000417783</t>
  </si>
  <si>
    <t>LONDON WALL NO 120 MOOR HOUSE LONDON</t>
  </si>
  <si>
    <t>ORT-0000010851</t>
  </si>
  <si>
    <t>C000417785</t>
  </si>
  <si>
    <t>LACON HOUSE THEOBALDS ROAD NO 84 FLR 5 REMEDIAL LONDON</t>
  </si>
  <si>
    <t>ORT-0000010852</t>
  </si>
  <si>
    <t>C000417787</t>
  </si>
  <si>
    <t>ORT-0000010853</t>
  </si>
  <si>
    <t>C000417793</t>
  </si>
  <si>
    <t>LONDON SOUTH EAST COLLEGES FUTURE GREENWICH CAMPUS LONDON</t>
  </si>
  <si>
    <t>ORT-0000010854</t>
  </si>
  <si>
    <t>C000417796</t>
  </si>
  <si>
    <t>LISTON EXCHANGE 1ST FLR REFURB MARLOW</t>
  </si>
  <si>
    <t>ORT-0000010855</t>
  </si>
  <si>
    <t>C000417797</t>
  </si>
  <si>
    <t>WINNERSH TRIANGLE BUSINESS PARK BLDG 710 WOKINGHAM</t>
  </si>
  <si>
    <t>ORT-0000010856</t>
  </si>
  <si>
    <t>C000417800</t>
  </si>
  <si>
    <t>ORT-0000010857</t>
  </si>
  <si>
    <t>C000417814</t>
  </si>
  <si>
    <t>Material Source Studio</t>
  </si>
  <si>
    <t>ORT-0000010858</t>
  </si>
  <si>
    <t>C000417818</t>
  </si>
  <si>
    <t>ORT-0000010859</t>
  </si>
  <si>
    <t>C000417821</t>
  </si>
  <si>
    <t>BROCKBOURNE HOUSE MOUNT EPHRAIM NO 77 FLR 4 REFURB TUNBRIDGE</t>
  </si>
  <si>
    <t>ORT-0000010860</t>
  </si>
  <si>
    <t>C000417823</t>
  </si>
  <si>
    <t>ORT-0000010861</t>
  </si>
  <si>
    <t>C000417835</t>
  </si>
  <si>
    <t>SMITHFIELD MARKET DEVELOPMENT MUSEUM OF LONDON CLADDING</t>
  </si>
  <si>
    <t>ORT-0000010862</t>
  </si>
  <si>
    <t>C000417836</t>
  </si>
  <si>
    <t>ORT-0000010863</t>
  </si>
  <si>
    <t>C000417837</t>
  </si>
  <si>
    <t>ORT-0000010864</t>
  </si>
  <si>
    <t>C000417838</t>
  </si>
  <si>
    <t>ORT-0000010865</t>
  </si>
  <si>
    <t>C000417841</t>
  </si>
  <si>
    <t>ORT-0000010866</t>
  </si>
  <si>
    <t>CF00000511</t>
  </si>
  <si>
    <t>ARC DE SEINE</t>
  </si>
  <si>
    <t>ORT-0000010867</t>
  </si>
  <si>
    <t>C000417848</t>
  </si>
  <si>
    <t>UNI OF STRATHCLYDE THOMAS GRAHAM BUILDING GLASGOW</t>
  </si>
  <si>
    <t>ORT-0000010868</t>
  </si>
  <si>
    <t>C000417849</t>
  </si>
  <si>
    <t>ORT-0000010869</t>
  </si>
  <si>
    <t>C000417850</t>
  </si>
  <si>
    <t>RESIDENTIAL PROJECT THAILAND</t>
  </si>
  <si>
    <t>ORT-0000010870</t>
  </si>
  <si>
    <t>C000417851</t>
  </si>
  <si>
    <t>ORT-0000010871</t>
  </si>
  <si>
    <t>C000417858</t>
  </si>
  <si>
    <t>GRESHAM STREET NO 30 LG REFURB LONDON</t>
  </si>
  <si>
    <t>ORT-0000010872</t>
  </si>
  <si>
    <t>C000417859</t>
  </si>
  <si>
    <t>JAMES STREET NO 1 LONDON</t>
  </si>
  <si>
    <t>ORT-0000010873</t>
  </si>
  <si>
    <t>C000417863</t>
  </si>
  <si>
    <t>ORT-0000010874</t>
  </si>
  <si>
    <t>C000417866</t>
  </si>
  <si>
    <t>ORT-0000010875</t>
  </si>
  <si>
    <t>C000417867</t>
  </si>
  <si>
    <t>ORT-0000010876</t>
  </si>
  <si>
    <t>C000417868</t>
  </si>
  <si>
    <t>ORT-0000010877</t>
  </si>
  <si>
    <t>C000417869</t>
  </si>
  <si>
    <t>MANCHESTER AIRPORT PIER 2 PHASE 2 CELINGS</t>
  </si>
  <si>
    <t>ORT-0000010878</t>
  </si>
  <si>
    <t>C000417871</t>
  </si>
  <si>
    <t>HIGH TIMBER STREET MILLENIUM BRIDGE HOUSE NO 1 LONDON</t>
  </si>
  <si>
    <t>ORT-0000010879</t>
  </si>
  <si>
    <t>C000417872</t>
  </si>
  <si>
    <t>ORT-0000010880</t>
  </si>
  <si>
    <t>C000417875</t>
  </si>
  <si>
    <t>ORT-0000010881</t>
  </si>
  <si>
    <t>C000417877</t>
  </si>
  <si>
    <t>GSK BUILDING 5 REFURB WARE</t>
  </si>
  <si>
    <t>ORT-0000010882</t>
  </si>
  <si>
    <t>C000417881</t>
  </si>
  <si>
    <t>ST NICHOLAS BUILDING FLR 4 NEWCASTLE</t>
  </si>
  <si>
    <t>ORT-0000010883</t>
  </si>
  <si>
    <t>C000417883</t>
  </si>
  <si>
    <t>ORT-0000010884</t>
  </si>
  <si>
    <t>CF00000513</t>
  </si>
  <si>
    <t>JEU DE PAUME PARIS</t>
  </si>
  <si>
    <t>ORT-0000010888</t>
  </si>
  <si>
    <t>C000417904</t>
  </si>
  <si>
    <t>BISHOPSGATE NO 22 FLR 16 REFURB LONDON</t>
  </si>
  <si>
    <t>ORT-0000010889</t>
  </si>
  <si>
    <t>C000417907</t>
  </si>
  <si>
    <t>EXCEL PHASE 3 DEVELOPMENT LONDON</t>
  </si>
  <si>
    <t>ORT-0000010890</t>
  </si>
  <si>
    <t>C000417906</t>
  </si>
  <si>
    <t>ORT-0000010891</t>
  </si>
  <si>
    <t>C000417912</t>
  </si>
  <si>
    <t>PUBLIC WCS FIT OUT PARLIAMENT STREET WESTMINSTER LONDON</t>
  </si>
  <si>
    <t>ORT-0000010892</t>
  </si>
  <si>
    <t>C000417886</t>
  </si>
  <si>
    <t>ORT-0000010893</t>
  </si>
  <si>
    <t>C000417889</t>
  </si>
  <si>
    <t>THE BOURN QUARTER META CAMBRIDGE</t>
  </si>
  <si>
    <t>ORT-0000010894</t>
  </si>
  <si>
    <t>C000417899</t>
  </si>
  <si>
    <t>ORT-0000010895</t>
  </si>
  <si>
    <t>C000417900</t>
  </si>
  <si>
    <t>ORT-0000010896</t>
  </si>
  <si>
    <t>C000417910</t>
  </si>
  <si>
    <t>ORT-0000010897</t>
  </si>
  <si>
    <t>C000417911</t>
  </si>
  <si>
    <t>VICTORIA STREET NO 80 FLR 7 REFURB LONDON</t>
  </si>
  <si>
    <t>ORT-0000010898</t>
  </si>
  <si>
    <t>C000417916</t>
  </si>
  <si>
    <t>SPRING GARDENS NO 10 REFURB LONDON</t>
  </si>
  <si>
    <t>ORT-0000010899</t>
  </si>
  <si>
    <t>C000417917</t>
  </si>
  <si>
    <t>ORT-0000010900</t>
  </si>
  <si>
    <t>C000417927</t>
  </si>
  <si>
    <t>DRAPERS GARDENS NO 12 BLACKROCK FLR 3 REFURB LONDON</t>
  </si>
  <si>
    <t>ORT-0000010903</t>
  </si>
  <si>
    <t>C000417929</t>
  </si>
  <si>
    <t>ORT-0000010904</t>
  </si>
  <si>
    <t>C000417930</t>
  </si>
  <si>
    <t>ORT-0000010905</t>
  </si>
  <si>
    <t>C000417931</t>
  </si>
  <si>
    <t>ORT-0000010906</t>
  </si>
  <si>
    <t>C000417932</t>
  </si>
  <si>
    <t>DEVONSHIRE SQUARE NO 9 FLOOR 4 REFURB LONDON</t>
  </si>
  <si>
    <t>ORT-0000010907</t>
  </si>
  <si>
    <t>C000417933</t>
  </si>
  <si>
    <t>KCL MACADAM BUILDING PRAYER ROOM LONDON</t>
  </si>
  <si>
    <t>ORT-0000010908</t>
  </si>
  <si>
    <t>C000417935</t>
  </si>
  <si>
    <t>CANARY WHARF WOOD WHARF B2 APARTMENT FIT OUT LONDON</t>
  </si>
  <si>
    <t>ORT-0000010909</t>
  </si>
  <si>
    <t>C000417938</t>
  </si>
  <si>
    <t>WORSHIP SQUARE NO 65 CLIFTON ST FRONTIER ECONOMICS FO LONDON</t>
  </si>
  <si>
    <t>ORT-0000010910</t>
  </si>
  <si>
    <t>CF00000516</t>
  </si>
  <si>
    <t>ORT-0000010911</t>
  </si>
  <si>
    <t>C000417958</t>
  </si>
  <si>
    <t>ORT-0000010912</t>
  </si>
  <si>
    <t>C000417627</t>
  </si>
  <si>
    <t>ORT-0000010913</t>
  </si>
  <si>
    <t>C000417960</t>
  </si>
  <si>
    <t>DAKOTA HOTEL ST ANNS WHARF NEWCASTLE</t>
  </si>
  <si>
    <t>ORT-0000010914</t>
  </si>
  <si>
    <t>C000417963</t>
  </si>
  <si>
    <t>BT BUILDING LEVEL 2 GLASGOW</t>
  </si>
  <si>
    <t>ORT-0000010915</t>
  </si>
  <si>
    <t>C000417965</t>
  </si>
  <si>
    <t>ORT-0000010916</t>
  </si>
  <si>
    <t>C000417968</t>
  </si>
  <si>
    <t>BAKER STREET NO 25 LONDON</t>
  </si>
  <si>
    <t>ORT-0000010918</t>
  </si>
  <si>
    <t>C000417977</t>
  </si>
  <si>
    <t>ORT-0000010919</t>
  </si>
  <si>
    <t>C000417978</t>
  </si>
  <si>
    <t>ORT-0000010920</t>
  </si>
  <si>
    <t>C000417986</t>
  </si>
  <si>
    <t>ORT-0000010921</t>
  </si>
  <si>
    <t>C000417987</t>
  </si>
  <si>
    <t>GRESHAM STREET NO 10 MOODYS CORP CAT B FITOUT LONDON</t>
  </si>
  <si>
    <t>ORT-0000010922</t>
  </si>
  <si>
    <t>C000417991</t>
  </si>
  <si>
    <t>SAVILE ROW NO 23 ROKOS FLR 1 PHASE 2 LONDON</t>
  </si>
  <si>
    <t>ORT-0000010923</t>
  </si>
  <si>
    <t>C000417996</t>
  </si>
  <si>
    <t>ORT-0000010924</t>
  </si>
  <si>
    <t>C000417997</t>
  </si>
  <si>
    <t>ORT-0000010925</t>
  </si>
  <si>
    <t>C000418010</t>
  </si>
  <si>
    <t>PETERBOROUGH COURT DANIEL HOUSE LVL 4 LONDON</t>
  </si>
  <si>
    <t>ORT-0000010926</t>
  </si>
  <si>
    <t>C000418020</t>
  </si>
  <si>
    <t>HSBC BANK OFFICE RIYADH</t>
  </si>
  <si>
    <t>ORT-0000010928</t>
  </si>
  <si>
    <t>C000418024</t>
  </si>
  <si>
    <t>ORT-0000010929</t>
  </si>
  <si>
    <t>C000418025</t>
  </si>
  <si>
    <t>ORT-0000010930</t>
  </si>
  <si>
    <t>C000418031</t>
  </si>
  <si>
    <t>ORT-0000010931</t>
  </si>
  <si>
    <t>C000418036</t>
  </si>
  <si>
    <t>ORT-0000010932</t>
  </si>
  <si>
    <t>C000418037</t>
  </si>
  <si>
    <t>SOUTH MISC 2025</t>
  </si>
  <si>
    <t>ORT-0000010933</t>
  </si>
  <si>
    <t>C000418038</t>
  </si>
  <si>
    <t>HEATHROW AIRPORT TERMINAL 3 CSA REFURBISHMENT</t>
  </si>
  <si>
    <t>ORT-0000010934</t>
  </si>
  <si>
    <t>C000418039</t>
  </si>
  <si>
    <t>ORT-0000010935</t>
  </si>
  <si>
    <t>C000418048</t>
  </si>
  <si>
    <t>ORT-0000010939</t>
  </si>
  <si>
    <t>C000418057</t>
  </si>
  <si>
    <t>NEW BRIDGE ST HOUSE NO 30-34 REFURB LONDON</t>
  </si>
  <si>
    <t>ORT-0000010940</t>
  </si>
  <si>
    <t>C000418062</t>
  </si>
  <si>
    <t>ORT-0000010941</t>
  </si>
  <si>
    <t>C000418063</t>
  </si>
  <si>
    <t>ORT-0000010942</t>
  </si>
  <si>
    <t>C000418064</t>
  </si>
  <si>
    <t>ORT-0000010943</t>
  </si>
  <si>
    <t>C000418065</t>
  </si>
  <si>
    <t>ORT-0000010944</t>
  </si>
  <si>
    <t>C000418068</t>
  </si>
  <si>
    <t>ORT-0000010946</t>
  </si>
  <si>
    <t>C000418072</t>
  </si>
  <si>
    <t>ORT-0000010947</t>
  </si>
  <si>
    <t>C000418075</t>
  </si>
  <si>
    <t>ORT-0000010948</t>
  </si>
  <si>
    <t>C000418076</t>
  </si>
  <si>
    <t>THE SHARD LEVEL 9 REFURB LONDON</t>
  </si>
  <si>
    <t>ORT-0000010949</t>
  </si>
  <si>
    <t>C000418080</t>
  </si>
  <si>
    <t>ORT-0000010950</t>
  </si>
  <si>
    <t>C000418084</t>
  </si>
  <si>
    <t>ORT-0000010951</t>
  </si>
  <si>
    <t>C000418085</t>
  </si>
  <si>
    <t>ORT-0000010952</t>
  </si>
  <si>
    <t>C000418090</t>
  </si>
  <si>
    <t>ORT-0000010953</t>
  </si>
  <si>
    <t>C000418091</t>
  </si>
  <si>
    <t>BROADWAY NO 40 &amp; CARTERET STREET REDEVELOPMENT LONDON</t>
  </si>
  <si>
    <t>ORT-0000010954</t>
  </si>
  <si>
    <t>C000418092</t>
  </si>
  <si>
    <t>ORT-0000010955</t>
  </si>
  <si>
    <t>C000418094</t>
  </si>
  <si>
    <t>JOHN LEWIS MISC 2025</t>
  </si>
  <si>
    <t>ORT-0000010957</t>
  </si>
  <si>
    <t>ORACLE OFFICE FIT-OUT BLDG6 DUBAI INTERNET CITY</t>
  </si>
  <si>
    <t>ORT-0000010958</t>
  </si>
  <si>
    <t>C000418106</t>
  </si>
  <si>
    <t>ORT-0000010959</t>
  </si>
  <si>
    <t>C000418116</t>
  </si>
  <si>
    <t>CENTRO DE DATOS (CPD) SEGURIDAD SOCIAL SORIA</t>
  </si>
  <si>
    <t>ORT-0000010960</t>
  </si>
  <si>
    <t>C000418120</t>
  </si>
  <si>
    <t>ORT-0000010961</t>
  </si>
  <si>
    <t>C000418050</t>
  </si>
  <si>
    <t>DUBAI MALL ICE RINK CEILING REFURB</t>
  </si>
  <si>
    <t>ORT-0000010965</t>
  </si>
  <si>
    <t>C000418131</t>
  </si>
  <si>
    <t>ORT-0000010966</t>
  </si>
  <si>
    <t>C000418132</t>
  </si>
  <si>
    <t>ORT-0000010967</t>
  </si>
  <si>
    <t>C000418138</t>
  </si>
  <si>
    <t>ORT-0000010968</t>
  </si>
  <si>
    <t>C000418142</t>
  </si>
  <si>
    <t>HOSPITAL EL CARMEN CIUDAD REAL</t>
  </si>
  <si>
    <t>ORT-0000010969</t>
  </si>
  <si>
    <t>C000418143</t>
  </si>
  <si>
    <t>CIRCLE SQUARE NO 3 MANCHESTER</t>
  </si>
  <si>
    <t>ORT-0000010970</t>
  </si>
  <si>
    <t>C000418154</t>
  </si>
  <si>
    <t>JSP PICCADILLY NO 180 DUKE STREET NO 30 LONDON</t>
  </si>
  <si>
    <t>ORT-0000010971</t>
  </si>
  <si>
    <t>C000418157</t>
  </si>
  <si>
    <t>ST PAULS SQUARE NO 4 FLOOR 5 CAT B LIVERPOOL</t>
  </si>
  <si>
    <t>ORT-0000010972</t>
  </si>
  <si>
    <t>C000418165</t>
  </si>
  <si>
    <t>ORT-0000010973</t>
  </si>
  <si>
    <t>C000418171</t>
  </si>
  <si>
    <t>ORT-0000010974</t>
  </si>
  <si>
    <t>C000418174</t>
  </si>
  <si>
    <t>ORT-0000010975</t>
  </si>
  <si>
    <t>C000418182</t>
  </si>
  <si>
    <t>ORT-0000010976</t>
  </si>
  <si>
    <t>C000418183</t>
  </si>
  <si>
    <t>ORT-0000010977</t>
  </si>
  <si>
    <t>C000418185</t>
  </si>
  <si>
    <t>RAVENSBURY REGENERATION BLOCK F &amp; D LONDON</t>
  </si>
  <si>
    <t>ORT-0000010978</t>
  </si>
  <si>
    <t>C000418189</t>
  </si>
  <si>
    <t>HERON TOWER NO 110 BISHOPSGATE FLR 4 REFURB LONDON</t>
  </si>
  <si>
    <t>ORT-0000010979</t>
  </si>
  <si>
    <t>C000418190</t>
  </si>
  <si>
    <t>WEST REGENT STREET NO 1 SKYSCANNER FITOUT GLASGOW</t>
  </si>
  <si>
    <t>ORT-0000010980</t>
  </si>
  <si>
    <t>C000418191</t>
  </si>
  <si>
    <t>FREDERICK BREMMER SCHOOL REFURB</t>
  </si>
  <si>
    <t>ORT-0000010981</t>
  </si>
  <si>
    <t>C000418192</t>
  </si>
  <si>
    <t>ORT-0000010982</t>
  </si>
  <si>
    <t>C000418193</t>
  </si>
  <si>
    <t>ORT-0000010983</t>
  </si>
  <si>
    <t>C000418195</t>
  </si>
  <si>
    <t>ORT-0000010984</t>
  </si>
  <si>
    <t>C000418196</t>
  </si>
  <si>
    <t>ORT-0000010985</t>
  </si>
  <si>
    <t>C000418197</t>
  </si>
  <si>
    <t>SACKVILLE STREET NO 15 FLR 3 &amp; 4 REFURB LONDON</t>
  </si>
  <si>
    <t>ORT-0000010986</t>
  </si>
  <si>
    <t>C000418198</t>
  </si>
  <si>
    <t>ORT-0000010987</t>
  </si>
  <si>
    <t>C000418201</t>
  </si>
  <si>
    <t>EDINBURGH AIRPORT ESCAPE LOUNGE</t>
  </si>
  <si>
    <t>ORT-0000010988</t>
  </si>
  <si>
    <t>C000418203</t>
  </si>
  <si>
    <t>SUGAR HOUSE ISLAND DEVELOPMENT PH2 STRATFORD LONDON</t>
  </si>
  <si>
    <t>ORT-0000010989</t>
  </si>
  <si>
    <t>C000418204</t>
  </si>
  <si>
    <t>LACON HOUSE THEOBALDS ROAD NO 84 FLR 5 MEETING ROOMS LONDON</t>
  </si>
  <si>
    <t>ORT-0000010990</t>
  </si>
  <si>
    <t>C000418206</t>
  </si>
  <si>
    <t>TOR BUILDING HOLLIS GLOBAL FLR 3 FIT OUT MAIDENHEAD</t>
  </si>
  <si>
    <t>ORT-0000010991</t>
  </si>
  <si>
    <t>C000418218</t>
  </si>
  <si>
    <t>DAVIDSON BUILDING SOUTHAMPTON STREET NO 5 LONDON</t>
  </si>
  <si>
    <t>ORT-0000010992</t>
  </si>
  <si>
    <t>C000418222</t>
  </si>
  <si>
    <t>02034 CADDELL</t>
  </si>
  <si>
    <t>ORT-0000010994</t>
  </si>
  <si>
    <t>C000418230</t>
  </si>
  <si>
    <t>KING STREET NO 28 LVL 4 GUNVOR DILAPS LONDON</t>
  </si>
  <si>
    <t>ORT-0000010995</t>
  </si>
  <si>
    <t>C000418231</t>
  </si>
  <si>
    <t>ORT-0000010996</t>
  </si>
  <si>
    <t>C000418236</t>
  </si>
  <si>
    <t>DANSOM LANE SOUTH RECKITTS REFURB HULL</t>
  </si>
  <si>
    <t>ORT-0000010997</t>
  </si>
  <si>
    <t>C000418241</t>
  </si>
  <si>
    <t>CATTERICK INTEGRATED CARE CAMPUS NORTH YORKSHIRE</t>
  </si>
  <si>
    <t>ORT-0000010998</t>
  </si>
  <si>
    <t>C000418243</t>
  </si>
  <si>
    <t>ORT-0000010999</t>
  </si>
  <si>
    <t>C000418245</t>
  </si>
  <si>
    <t>ORT-0000011003</t>
  </si>
  <si>
    <t>C000418253</t>
  </si>
  <si>
    <t>HWE HUB BUILDING 7 WATFORD</t>
  </si>
  <si>
    <t>ORT-0000011004</t>
  </si>
  <si>
    <t>C000418254</t>
  </si>
  <si>
    <t>LANCELOT PLACE NO 8 CAT A REFURB LONDON</t>
  </si>
  <si>
    <t>ORT-0000011005</t>
  </si>
  <si>
    <t>C000418258</t>
  </si>
  <si>
    <t>KAO DATA CENTRE KLON06 SLOUGH TS03 DATA HALL TILES</t>
  </si>
  <si>
    <t>ORT-0000011006</t>
  </si>
  <si>
    <t>C000418259</t>
  </si>
  <si>
    <t>ORT-0000011007</t>
  </si>
  <si>
    <t>C000418260</t>
  </si>
  <si>
    <t>ORT-0000011008</t>
  </si>
  <si>
    <t>C000418266</t>
  </si>
  <si>
    <t>ORT-0000011009</t>
  </si>
  <si>
    <t>C000418272</t>
  </si>
  <si>
    <t>GRESHAM STREET NO 10 WC AREAS REFURB LONDON</t>
  </si>
  <si>
    <t>ORT-0000011010</t>
  </si>
  <si>
    <t>C000418275</t>
  </si>
  <si>
    <t>R+D INSTALLATION SCHOOL</t>
  </si>
  <si>
    <t>ORT-0000011011</t>
  </si>
  <si>
    <t>C000418282</t>
  </si>
  <si>
    <t>ORT-0000011012</t>
  </si>
  <si>
    <t>C000418283</t>
  </si>
  <si>
    <t>ORT-0000011013</t>
  </si>
  <si>
    <t>C000418284</t>
  </si>
  <si>
    <t>ORT-0000011014</t>
  </si>
  <si>
    <t>C000418287</t>
  </si>
  <si>
    <t>ORT-0000011015</t>
  </si>
  <si>
    <t>C000418288</t>
  </si>
  <si>
    <t>ORT-11016</t>
  </si>
  <si>
    <t>C000418277</t>
  </si>
  <si>
    <t>ORT-11017</t>
  </si>
  <si>
    <t>C000418295</t>
  </si>
  <si>
    <t>ORT-11018</t>
  </si>
  <si>
    <t>C000418296</t>
  </si>
  <si>
    <t>ORT-11019</t>
  </si>
  <si>
    <t>C000418298</t>
  </si>
  <si>
    <t>DYSON NDA PROJECT APPLE BRISTOL</t>
  </si>
  <si>
    <t>ORT-11020</t>
  </si>
  <si>
    <t>C000418309</t>
  </si>
  <si>
    <t>ORT-11023</t>
  </si>
  <si>
    <t>C000418314</t>
  </si>
  <si>
    <t>ORT-11024</t>
  </si>
  <si>
    <t>C000418315</t>
  </si>
  <si>
    <t>ORT-11025</t>
  </si>
  <si>
    <t>C000418320</t>
  </si>
  <si>
    <t>ENTERPRISE WHARF REDEVELOPMENT BIRMINGHAM</t>
  </si>
  <si>
    <t>ORT-11026</t>
  </si>
  <si>
    <t>C000418326</t>
  </si>
  <si>
    <t>FUSION STUDENTS KING EDWARD COURT  NOTTINGHAM</t>
  </si>
  <si>
    <t>ORT-11027</t>
  </si>
  <si>
    <t>C000418327</t>
  </si>
  <si>
    <t>TEMPLE QUARTER ENTERPRISE CAMPUS ACADEMIC BUILDINGS BRISTOL</t>
  </si>
  <si>
    <t>ORT-11028</t>
  </si>
  <si>
    <t>C000418335</t>
  </si>
  <si>
    <t>ARGYLL STREET NO 40 REFURB LONDON</t>
  </si>
  <si>
    <t>ORT-11029</t>
  </si>
  <si>
    <t>C000418339</t>
  </si>
  <si>
    <t>ORT-11032</t>
  </si>
  <si>
    <t>C000418348</t>
  </si>
  <si>
    <t>ORT-11033</t>
  </si>
  <si>
    <t>C000418351</t>
  </si>
  <si>
    <t>ORT-11034</t>
  </si>
  <si>
    <t>C000418355</t>
  </si>
  <si>
    <t>ORT-11035</t>
  </si>
  <si>
    <t>C000418359</t>
  </si>
  <si>
    <t>ORT-11036</t>
  </si>
  <si>
    <t>C000418360</t>
  </si>
  <si>
    <t>ORT-11037</t>
  </si>
  <si>
    <t>C000418361</t>
  </si>
  <si>
    <t>WELLS STREET NO 80 WELLS HOUSE THE RIBBON MTNG ROOMS / BSMNT</t>
  </si>
  <si>
    <t>ORT-11038</t>
  </si>
  <si>
    <t>C000418369</t>
  </si>
  <si>
    <t>CHASESIDE NO 1 JP MORGAN BOURNEMOUTH</t>
  </si>
  <si>
    <t>ORT-11039</t>
  </si>
  <si>
    <t>C000418370</t>
  </si>
  <si>
    <t>ONE BIOHUB FORESTERHILL ABERDEEN ADDITIONAL FIT OUT</t>
  </si>
  <si>
    <t>ORT-11040</t>
  </si>
  <si>
    <t>C000418373</t>
  </si>
  <si>
    <t>BIRCHIN COURT NO 20 FLR 2 REFURB LONDON</t>
  </si>
  <si>
    <t>ORT-11041</t>
  </si>
  <si>
    <t>C000418375</t>
  </si>
  <si>
    <t>ORT-11042</t>
  </si>
  <si>
    <t>C000418376</t>
  </si>
  <si>
    <t>ORT-11043</t>
  </si>
  <si>
    <t>ORT-11044</t>
  </si>
  <si>
    <t>C000418378</t>
  </si>
  <si>
    <t>ADOBE BUCHAREST</t>
  </si>
  <si>
    <t>ORT-11045</t>
  </si>
  <si>
    <t>C000418380</t>
  </si>
  <si>
    <t>MANCHESTER AIRPORT PIER 2 PHASE 2 NODES</t>
  </si>
  <si>
    <t>ORT-11046</t>
  </si>
  <si>
    <t>C000418382</t>
  </si>
  <si>
    <t>ORT-11047</t>
  </si>
  <si>
    <t>C000418384</t>
  </si>
  <si>
    <t>DAVID FRY MISC 2025</t>
  </si>
  <si>
    <t>ORT-11048</t>
  </si>
  <si>
    <t>C000418385</t>
  </si>
  <si>
    <t>CRANBROOK WAY NO 1 PEGASUS HOUSE REFURB SOLIHULL</t>
  </si>
  <si>
    <t>ORT-11049</t>
  </si>
  <si>
    <t>C000418394</t>
  </si>
  <si>
    <t>ORT-11050</t>
  </si>
  <si>
    <t>C000418400</t>
  </si>
  <si>
    <t>ORT-11051</t>
  </si>
  <si>
    <t>C000418408</t>
  </si>
  <si>
    <t>ORT-11052</t>
  </si>
  <si>
    <t>C000418411</t>
  </si>
  <si>
    <t>ORT-11053</t>
  </si>
  <si>
    <t>C000418413</t>
  </si>
  <si>
    <t>ORT-11054</t>
  </si>
  <si>
    <t>C000418414</t>
  </si>
  <si>
    <t>SUTHERLAND HOUSE ST VINCENT STREET NO 149 FLR 7 GLASGOW</t>
  </si>
  <si>
    <t>ORT-11055</t>
  </si>
  <si>
    <t>C000418415</t>
  </si>
  <si>
    <t>ORT-11056</t>
  </si>
  <si>
    <t>C000418416</t>
  </si>
  <si>
    <t>ORT-11057</t>
  </si>
  <si>
    <t>C000418417</t>
  </si>
  <si>
    <t>ORT-11058</t>
  </si>
  <si>
    <t>C000418420</t>
  </si>
  <si>
    <t>CHARING CROSS ROAD NO 127-133 LIGHTING LONDON</t>
  </si>
  <si>
    <t>ORT-11059</t>
  </si>
  <si>
    <t>C000418423</t>
  </si>
  <si>
    <t>ORT-11060</t>
  </si>
  <si>
    <t>C000418425</t>
  </si>
  <si>
    <t>FINSBURY AVENUE NO 2 DEVELOPMENT LONDON</t>
  </si>
  <si>
    <t>ORT-11061</t>
  </si>
  <si>
    <t>C000418427</t>
  </si>
  <si>
    <t>HEAD QUARTERS INSPECTORATE GOVERMENT BUILDING KAMPALA</t>
  </si>
  <si>
    <t>ORT-11062</t>
  </si>
  <si>
    <t>C000418433</t>
  </si>
  <si>
    <t>ALDER CASTLE NOBLE ST NO 10 CAT B LDS CHURCH LONDON</t>
  </si>
  <si>
    <t>ORT-11063</t>
  </si>
  <si>
    <t>C000418436</t>
  </si>
  <si>
    <t>HAYMARKET BUILDING 4 &amp; 5 BAILLIE GIFFORD EDINBURGH ADDITIONS</t>
  </si>
  <si>
    <t>ORT-11065</t>
  </si>
  <si>
    <t>C000418439</t>
  </si>
  <si>
    <t>ORT-11066</t>
  </si>
  <si>
    <t>C000418442</t>
  </si>
  <si>
    <t>ORT-11068</t>
  </si>
  <si>
    <t>C000418452</t>
  </si>
  <si>
    <t>ORT-11069</t>
  </si>
  <si>
    <t>C000418453</t>
  </si>
  <si>
    <t>ORT-11070</t>
  </si>
  <si>
    <t>C000418455</t>
  </si>
  <si>
    <t>ORT-11071</t>
  </si>
  <si>
    <t>C000418456</t>
  </si>
  <si>
    <t>BROADGATE QUARTER CAT A REFURB APPOLD STREET LONDON</t>
  </si>
  <si>
    <t>ORT-11073</t>
  </si>
  <si>
    <t>C000418457</t>
  </si>
  <si>
    <t>ORT-11074</t>
  </si>
  <si>
    <t>C000418459</t>
  </si>
  <si>
    <t>ORT-11075</t>
  </si>
  <si>
    <t>C000418462</t>
  </si>
  <si>
    <t>CANARY WHARF SOUTH COLONNADE NO 30 REVOLUT FIT OUT  LONDON</t>
  </si>
  <si>
    <t>ORT-11076</t>
  </si>
  <si>
    <t>C000418465</t>
  </si>
  <si>
    <t>ROLLS ROYCE RIVER DRIVE INCHINNAN RENFREW</t>
  </si>
  <si>
    <t>ORT-11077</t>
  </si>
  <si>
    <t>C000418468</t>
  </si>
  <si>
    <t>TOTTENHAM HOTSPUR TRAINING ACADEMY LEVEL 1 OFFICES ENFIELD</t>
  </si>
  <si>
    <t>ORT-11078</t>
  </si>
  <si>
    <t>C000418471</t>
  </si>
  <si>
    <t>ORT-11079</t>
  </si>
  <si>
    <t>NDA - DEUTSCHE BANK ICD BROOKFIELD LEVEL 35 DUBAI</t>
  </si>
  <si>
    <t>ORT-11080</t>
  </si>
  <si>
    <t>C000418443</t>
  </si>
  <si>
    <t>RATP PORT ROYAL PARIS</t>
  </si>
  <si>
    <t>ORT-11082</t>
  </si>
  <si>
    <t>C000418478</t>
  </si>
  <si>
    <t>ORT-11083</t>
  </si>
  <si>
    <t>C000418479</t>
  </si>
  <si>
    <t>ORT-11084</t>
  </si>
  <si>
    <t>C000418485</t>
  </si>
  <si>
    <t>VICTORIA STREET NO 105 LIFT LOBBIES LONDON</t>
  </si>
  <si>
    <t>ORT-11085</t>
  </si>
  <si>
    <t>C000418494</t>
  </si>
  <si>
    <t>ORT-11086</t>
  </si>
  <si>
    <t>C000418497</t>
  </si>
  <si>
    <t>ORT-11087</t>
  </si>
  <si>
    <t>C000418504</t>
  </si>
  <si>
    <t>ORT-11088</t>
  </si>
  <si>
    <t>C000418506</t>
  </si>
  <si>
    <t>ORT-11089</t>
  </si>
  <si>
    <t>C000418507</t>
  </si>
  <si>
    <t>CASTELNAU NO 73 REFURB LONDON</t>
  </si>
  <si>
    <t>ORT-11090</t>
  </si>
  <si>
    <t>C000418508</t>
  </si>
  <si>
    <t>ORT-11091</t>
  </si>
  <si>
    <t>C000418516</t>
  </si>
  <si>
    <t>ORT-11092</t>
  </si>
  <si>
    <t>C000418517</t>
  </si>
  <si>
    <t>ORT-11093</t>
  </si>
  <si>
    <t>C000418518</t>
  </si>
  <si>
    <t>ORT-11095</t>
  </si>
  <si>
    <t>C000418527</t>
  </si>
  <si>
    <t>ORT-11096</t>
  </si>
  <si>
    <t>C000418528</t>
  </si>
  <si>
    <t>ORT-11097</t>
  </si>
  <si>
    <t>C000418534</t>
  </si>
  <si>
    <t>ORT-11098</t>
  </si>
  <si>
    <t>C000418535</t>
  </si>
  <si>
    <t>ORT-11099</t>
  </si>
  <si>
    <t>C000418545</t>
  </si>
  <si>
    <t>ORT-11100</t>
  </si>
  <si>
    <t>C000418550</t>
  </si>
  <si>
    <t>OLD JEWRY NO 27-32 FLR 5 REFURB LONDON</t>
  </si>
  <si>
    <t>ORT-11104</t>
  </si>
  <si>
    <t>C000418565</t>
  </si>
  <si>
    <t>ORT-11105</t>
  </si>
  <si>
    <t>C000418568</t>
  </si>
  <si>
    <t>ORT-11106</t>
  </si>
  <si>
    <t>C000418571</t>
  </si>
  <si>
    <t>ORT-11107</t>
  </si>
  <si>
    <t>C000418573</t>
  </si>
  <si>
    <t>FENCHURCH STREET NO 20 FLR 23 REFURB LONDON</t>
  </si>
  <si>
    <t>ORT-11109</t>
  </si>
  <si>
    <t>C000418574</t>
  </si>
  <si>
    <t>ORT-11112</t>
  </si>
  <si>
    <t>C000418581</t>
  </si>
  <si>
    <t>ORT-11113</t>
  </si>
  <si>
    <t>C000418582</t>
  </si>
  <si>
    <t>ORT-11114</t>
  </si>
  <si>
    <t>C000418585</t>
  </si>
  <si>
    <t>ORT-11115</t>
  </si>
  <si>
    <t>C000418586</t>
  </si>
  <si>
    <t>ORT-11116</t>
  </si>
  <si>
    <t>C000418590</t>
  </si>
  <si>
    <t>MANBRE WHARF REFINERY BUILDING HAMMERSMITH LONDON</t>
  </si>
  <si>
    <t>ORT-11117</t>
  </si>
  <si>
    <t>C000418597</t>
  </si>
  <si>
    <t>ORT-11119</t>
  </si>
  <si>
    <t>C000418600</t>
  </si>
  <si>
    <t>PARK HOUSE FINSBURY CIRCUS NO 16/18 PH 2 FLR 7 CISCO LONDON</t>
  </si>
  <si>
    <t>ORT-11120</t>
  </si>
  <si>
    <t>C000418602</t>
  </si>
  <si>
    <t>ORT-11121</t>
  </si>
  <si>
    <t>C000418605</t>
  </si>
  <si>
    <t>ORT-11122</t>
  </si>
  <si>
    <t>C000418613</t>
  </si>
  <si>
    <t>ORT-11123</t>
  </si>
  <si>
    <t>C000418619</t>
  </si>
  <si>
    <t>NEW STREET SQUARE NO 5 CAT B STEWARTS LAW LONDON</t>
  </si>
  <si>
    <t>ORT-11124</t>
  </si>
  <si>
    <t>C000418623</t>
  </si>
  <si>
    <t>BURY COLLEGE WOODBURY MANCHESTER</t>
  </si>
  <si>
    <t>ORT-11125</t>
  </si>
  <si>
    <t>C000418624</t>
  </si>
  <si>
    <t>STORE ROAD WOOLWICH LONDON</t>
  </si>
  <si>
    <t>ORT-11126</t>
  </si>
  <si>
    <t>C000418625</t>
  </si>
  <si>
    <t>ORT-11127</t>
  </si>
  <si>
    <t>C000418627</t>
  </si>
  <si>
    <t>NDA - PWC LAYSEN VALLEY RIYADH OFFICE FIT OUT WALL PANELS</t>
  </si>
  <si>
    <t>ORT-11128</t>
  </si>
  <si>
    <t>C000418629</t>
  </si>
  <si>
    <t>ORT-11129</t>
  </si>
  <si>
    <t>C000418631</t>
  </si>
  <si>
    <t>WINCHESTER COLLEGE BOARDING AND SPORTS FACILITIES</t>
  </si>
  <si>
    <t>ORT-11130</t>
  </si>
  <si>
    <t>C000418632</t>
  </si>
  <si>
    <t>ORT-11133</t>
  </si>
  <si>
    <t>C000418637</t>
  </si>
  <si>
    <t>ORT-11134</t>
  </si>
  <si>
    <t>C000418638</t>
  </si>
  <si>
    <t>ORT-11135</t>
  </si>
  <si>
    <t>C000418647</t>
  </si>
  <si>
    <t>ORT-11136</t>
  </si>
  <si>
    <t>C000418650</t>
  </si>
  <si>
    <t>GATEHOUSE CHAMBER LADY HALE GATE REFURB LONDON</t>
  </si>
  <si>
    <t>ORT-11137</t>
  </si>
  <si>
    <t>C000418651</t>
  </si>
  <si>
    <t>ORT-11138</t>
  </si>
  <si>
    <t>C000418654</t>
  </si>
  <si>
    <t>ORT-11139</t>
  </si>
  <si>
    <t>C000418658</t>
  </si>
  <si>
    <t>HCP ABERDEEN MORTUARY</t>
  </si>
  <si>
    <t>ORT-11140</t>
  </si>
  <si>
    <t>C000418663</t>
  </si>
  <si>
    <t>ELEPHANT &amp; CASTLE TOWN CENTRE WASHROOMS LONDON</t>
  </si>
  <si>
    <t>ORT-11141</t>
  </si>
  <si>
    <t>C000418664</t>
  </si>
  <si>
    <t>ORT-11142</t>
  </si>
  <si>
    <t>C000418665</t>
  </si>
  <si>
    <t>ORT-11143</t>
  </si>
  <si>
    <t>C000418667</t>
  </si>
  <si>
    <t>LOTHBURY NO 41 CAT B FITOUT ADDLESHAW GODDARD LONDON</t>
  </si>
  <si>
    <t>ORT-11144</t>
  </si>
  <si>
    <t>C000418668</t>
  </si>
  <si>
    <t>PRINCES STREET NO 10-15 MOTEL ONE REFURB EDINBURGH</t>
  </si>
  <si>
    <t>ORT-11145</t>
  </si>
  <si>
    <t>C000418672</t>
  </si>
  <si>
    <t>LONGBRIDGE BUSINESS PARK ALLSEE HQ BIRMINGHAM</t>
  </si>
  <si>
    <t>ORT-11146</t>
  </si>
  <si>
    <t>C000418673</t>
  </si>
  <si>
    <t>ORT-11148</t>
  </si>
  <si>
    <t>C000418679</t>
  </si>
  <si>
    <t>ORT-11149</t>
  </si>
  <si>
    <t>C000418681</t>
  </si>
  <si>
    <t>WARSAW CPK NEW INTERNATIONAL AIRPORT</t>
  </si>
  <si>
    <t>ORT-11150</t>
  </si>
  <si>
    <t>C000418682</t>
  </si>
  <si>
    <t>ORT-11155</t>
  </si>
  <si>
    <t>C000418691</t>
  </si>
  <si>
    <t>ORT-11156</t>
  </si>
  <si>
    <t>CF00000524</t>
  </si>
  <si>
    <t>ORT-11157</t>
  </si>
  <si>
    <t>ORT-11158</t>
  </si>
  <si>
    <t>C000418705</t>
  </si>
  <si>
    <t>ORT-11159</t>
  </si>
  <si>
    <t>C000418706</t>
  </si>
  <si>
    <t>ORT-11160</t>
  </si>
  <si>
    <t>C000418713</t>
  </si>
  <si>
    <t>ORT-11161</t>
  </si>
  <si>
    <t>C000418715</t>
  </si>
  <si>
    <t>ORT-11162</t>
  </si>
  <si>
    <t>C000418721</t>
  </si>
  <si>
    <t>ORT-11163</t>
  </si>
  <si>
    <t>C000418722</t>
  </si>
  <si>
    <t>ORT-11164</t>
  </si>
  <si>
    <t>C000418731</t>
  </si>
  <si>
    <t>ORT-11165</t>
  </si>
  <si>
    <t>C000418732</t>
  </si>
  <si>
    <t>PROJECT ASPEN PRESTON FIT OUT MANCHESTER</t>
  </si>
  <si>
    <t>ORT-11166</t>
  </si>
  <si>
    <t>C000418735</t>
  </si>
  <si>
    <t>ORT-11167</t>
  </si>
  <si>
    <t>C000418736</t>
  </si>
  <si>
    <t>GRAEME HUDSON MISC 2024</t>
  </si>
  <si>
    <t>ORT-11168</t>
  </si>
  <si>
    <t>C000418739</t>
  </si>
  <si>
    <t>ORT-11169</t>
  </si>
  <si>
    <t>C000418741</t>
  </si>
  <si>
    <t>ORT-11170</t>
  </si>
  <si>
    <t>C000418743</t>
  </si>
  <si>
    <t>ORT-11171</t>
  </si>
  <si>
    <t>C000418744</t>
  </si>
  <si>
    <t>ORT-11172</t>
  </si>
  <si>
    <t>C000418745</t>
  </si>
  <si>
    <t>NDI LIVERPOOL PROJECT</t>
  </si>
  <si>
    <t>ORT-11173</t>
  </si>
  <si>
    <t>C000418750</t>
  </si>
  <si>
    <t>PRINCIPAL PLACE CAT A LONDON</t>
  </si>
  <si>
    <t>ORT-11174</t>
  </si>
  <si>
    <t>C000418755</t>
  </si>
  <si>
    <t>ORT-11175</t>
  </si>
  <si>
    <t>C000418756</t>
  </si>
  <si>
    <t>ORT-11176</t>
  </si>
  <si>
    <t>C000418757</t>
  </si>
  <si>
    <t>ORT-11177</t>
  </si>
  <si>
    <t>C000418758</t>
  </si>
  <si>
    <t>ORT-11178</t>
  </si>
  <si>
    <t>C000418759</t>
  </si>
  <si>
    <t>ORT-11179</t>
  </si>
  <si>
    <t>C000418761</t>
  </si>
  <si>
    <t>ORT-11180</t>
  </si>
  <si>
    <t>C000418783</t>
  </si>
  <si>
    <t>ALDGATE TOWER UBER REFURB FLOORS 13-15 LONDON</t>
  </si>
  <si>
    <t>ORT-11181</t>
  </si>
  <si>
    <t>C000418786</t>
  </si>
  <si>
    <t>ORT-11182</t>
  </si>
  <si>
    <t>C000418793</t>
  </si>
  <si>
    <t>ORT-11183</t>
  </si>
  <si>
    <t>ORT-11184</t>
  </si>
  <si>
    <t>C000418795</t>
  </si>
  <si>
    <t>ORT-11185</t>
  </si>
  <si>
    <t>C000418797</t>
  </si>
  <si>
    <t>LESTER ROAD LITTLE HULTON</t>
  </si>
  <si>
    <t>ORT-11186</t>
  </si>
  <si>
    <t>C000418798</t>
  </si>
  <si>
    <t>DEVONSHIRE SQUARE NO 7 FLOORS 7-8 RAILPEN LONDON</t>
  </si>
  <si>
    <t>ORT-11187</t>
  </si>
  <si>
    <t>C000418802</t>
  </si>
  <si>
    <t>REGENT QUARTER LIFE SCIENCES PH 1 BRAVINGTON WALKWAY LONDON</t>
  </si>
  <si>
    <t>ORT-11189</t>
  </si>
  <si>
    <t>C000418808</t>
  </si>
  <si>
    <t>ORT-11190</t>
  </si>
  <si>
    <t>C000418811</t>
  </si>
  <si>
    <t>THE BRITISH LIBRARY BOSTON SPA WETHERBY</t>
  </si>
  <si>
    <t>ORT-11191</t>
  </si>
  <si>
    <t>C000418814</t>
  </si>
  <si>
    <t>ORT-11192</t>
  </si>
  <si>
    <t>C000418816</t>
  </si>
  <si>
    <t>BISHOPSGATE NO 155 FLOOR 5 LONDON</t>
  </si>
  <si>
    <t>ORT-11193</t>
  </si>
  <si>
    <t>C000418818</t>
  </si>
  <si>
    <t>ORT-11194</t>
  </si>
  <si>
    <t>C000418819</t>
  </si>
  <si>
    <t>ORT-11195</t>
  </si>
  <si>
    <t>C000418820</t>
  </si>
  <si>
    <t>ORT-11196</t>
  </si>
  <si>
    <t>C000418821</t>
  </si>
  <si>
    <t>KINGS CROSS CENTRAL GOOGLE HQ KGX1 CAT B LONDON</t>
  </si>
  <si>
    <t>ORT-11197</t>
  </si>
  <si>
    <t>C000418823</t>
  </si>
  <si>
    <t>GATWICK NORTH TERMINAL PIER 4 CEILING</t>
  </si>
  <si>
    <t>ORT-11198</t>
  </si>
  <si>
    <t>C000418824</t>
  </si>
  <si>
    <t>PORSCHE SHOWROOM EXETER</t>
  </si>
  <si>
    <t>ORT-11200</t>
  </si>
  <si>
    <t>C000418827</t>
  </si>
  <si>
    <t>ORT-11201</t>
  </si>
  <si>
    <t>C000418830</t>
  </si>
  <si>
    <t>ORT-11202</t>
  </si>
  <si>
    <t>C000418831</t>
  </si>
  <si>
    <t>ORT-11203</t>
  </si>
  <si>
    <t>C000418832</t>
  </si>
  <si>
    <t>NOVARTIS PHASE 2 BARCELONA</t>
  </si>
  <si>
    <t>ORT-11204</t>
  </si>
  <si>
    <t>C000418834</t>
  </si>
  <si>
    <t>PORTLAND HOUSE BRESSENDEN PLACE LONDON</t>
  </si>
  <si>
    <t>ORT-11205</t>
  </si>
  <si>
    <t>C000418835</t>
  </si>
  <si>
    <t>CURZON STREET NO 1 FLOOR 2 PJT PARTNERS LONDON</t>
  </si>
  <si>
    <t>ORT-11206</t>
  </si>
  <si>
    <t>C000418837</t>
  </si>
  <si>
    <t>BISHOPSGATE NO 8 FLOORS 4-6 SCOR JOINERY LONDON</t>
  </si>
  <si>
    <t>ORT-11207</t>
  </si>
  <si>
    <t>C000418839</t>
  </si>
  <si>
    <t>ORT-11208</t>
  </si>
  <si>
    <t>C000418842</t>
  </si>
  <si>
    <t>HATFIELD BUSINESS PARK</t>
  </si>
  <si>
    <t>ORT-11209</t>
  </si>
  <si>
    <t>C000418847</t>
  </si>
  <si>
    <t>PRIMARK MANCHESTER</t>
  </si>
  <si>
    <t>ORT-11210</t>
  </si>
  <si>
    <t>C000418849</t>
  </si>
  <si>
    <t>UNI OF CAMBRIDGE CHEMISTRY LECTURE ROOM GRD FLR LIGHTING</t>
  </si>
  <si>
    <t>ORT-11211</t>
  </si>
  <si>
    <t>C000418850</t>
  </si>
  <si>
    <t>ORT-11212</t>
  </si>
  <si>
    <t>C000418851</t>
  </si>
  <si>
    <t>ORT-11213</t>
  </si>
  <si>
    <t>C000418852</t>
  </si>
  <si>
    <t>ORT-11214</t>
  </si>
  <si>
    <t>C000418853</t>
  </si>
  <si>
    <t>ORT-11215</t>
  </si>
  <si>
    <t>C000418855</t>
  </si>
  <si>
    <t>ORT-11216</t>
  </si>
  <si>
    <t>C000418856</t>
  </si>
  <si>
    <t>NAKILAT OFFICE FIT OUT 21 TOWER THE PEARL DOHA</t>
  </si>
  <si>
    <t>ORT-11219</t>
  </si>
  <si>
    <t>C000418863</t>
  </si>
  <si>
    <t>ORT-11220</t>
  </si>
  <si>
    <t>C000418869</t>
  </si>
  <si>
    <t>ORT-11221</t>
  </si>
  <si>
    <t>C000418872</t>
  </si>
  <si>
    <t>ORT-11222</t>
  </si>
  <si>
    <t>C000418874</t>
  </si>
  <si>
    <t>BLACKFRIARS ROAD NO 230 FLRS 6 &amp; 7 REMEDIAL LONDON</t>
  </si>
  <si>
    <t>ORT-11223</t>
  </si>
  <si>
    <t>C000418875</t>
  </si>
  <si>
    <t>ORT-11224</t>
  </si>
  <si>
    <t>C000418893</t>
  </si>
  <si>
    <t>UNI OF GLASGOW ADAM SMITH BUILDING ADDITIONAL MATERIALS</t>
  </si>
  <si>
    <t>ORT-11225</t>
  </si>
  <si>
    <t>C000418897</t>
  </si>
  <si>
    <t>ORT-11226</t>
  </si>
  <si>
    <t>C000418899</t>
  </si>
  <si>
    <t>ORT-11227</t>
  </si>
  <si>
    <t>C000418900</t>
  </si>
  <si>
    <t>ORT-11229</t>
  </si>
  <si>
    <t>C000418902</t>
  </si>
  <si>
    <t>ORT-11230</t>
  </si>
  <si>
    <t>C000418905</t>
  </si>
  <si>
    <t>WILTON ROAD NO 129 CAT A FLOORS 1-5 LONDON</t>
  </si>
  <si>
    <t>ORT-11231</t>
  </si>
  <si>
    <t>C000418913</t>
  </si>
  <si>
    <t>ORT-11232</t>
  </si>
  <si>
    <t>C000418914</t>
  </si>
  <si>
    <t>ORT-11233</t>
  </si>
  <si>
    <t>C000418915</t>
  </si>
  <si>
    <t>ORT-11234</t>
  </si>
  <si>
    <t>C000418916</t>
  </si>
  <si>
    <t>ORT-11235</t>
  </si>
  <si>
    <t>C000418917</t>
  </si>
  <si>
    <t>ORT-11236</t>
  </si>
  <si>
    <t>C000418918</t>
  </si>
  <si>
    <t>ORT-11237</t>
  </si>
  <si>
    <t>C000418919</t>
  </si>
  <si>
    <t>ORT-11238</t>
  </si>
  <si>
    <t>C000418920</t>
  </si>
  <si>
    <t>ORT-11239</t>
  </si>
  <si>
    <t>C000418921</t>
  </si>
  <si>
    <t>ORT-11240</t>
  </si>
  <si>
    <t>C000418922</t>
  </si>
  <si>
    <t>ORT-11241</t>
  </si>
  <si>
    <t>C000418925</t>
  </si>
  <si>
    <t>ORT-11242</t>
  </si>
  <si>
    <t>KITCHEN REVAMPING BOURI DP4 LIBYA OFFSHORE</t>
  </si>
  <si>
    <t>ORT-11243</t>
  </si>
  <si>
    <t>C000418928</t>
  </si>
  <si>
    <t>WARNER MUSIC UK WRIGHTS LANE NO 27 LONDON</t>
  </si>
  <si>
    <t>ORT-11244</t>
  </si>
  <si>
    <t>C000418931</t>
  </si>
  <si>
    <t>ORT-11245</t>
  </si>
  <si>
    <t>C000418933</t>
  </si>
  <si>
    <t>ONE STATION HILL PWC CAT B FITOUT READING</t>
  </si>
  <si>
    <t>ORT-11246</t>
  </si>
  <si>
    <t>C000418935</t>
  </si>
  <si>
    <t>ELEPHANT &amp; CASTLE TOWN CENTRE PLOT E2 &amp; E3 LONDON</t>
  </si>
  <si>
    <t>ORT-11247</t>
  </si>
  <si>
    <t>C000418941</t>
  </si>
  <si>
    <t>ORT-11248</t>
  </si>
  <si>
    <t>C000418944</t>
  </si>
  <si>
    <t>ORT-11249</t>
  </si>
  <si>
    <t>C000418945</t>
  </si>
  <si>
    <t>ORT-11250</t>
  </si>
  <si>
    <t>C000418946</t>
  </si>
  <si>
    <t>ORT-11252</t>
  </si>
  <si>
    <t>C000418952</t>
  </si>
  <si>
    <t>ORT-11253</t>
  </si>
  <si>
    <t>C000418955</t>
  </si>
  <si>
    <t>ORT-11254</t>
  </si>
  <si>
    <t>C000418957</t>
  </si>
  <si>
    <t>ORT-11255</t>
  </si>
  <si>
    <t>C000418961</t>
  </si>
  <si>
    <t>ORT-11256</t>
  </si>
  <si>
    <t>C000418962</t>
  </si>
  <si>
    <t>TEVILLE GATE HOUSE HMRC REFURB WORTHING</t>
  </si>
  <si>
    <t>ORT-11257</t>
  </si>
  <si>
    <t>C000418964</t>
  </si>
  <si>
    <t>HEATHROW TERMINAL 5 SECURITY LONDON</t>
  </si>
  <si>
    <t>ORT-11259</t>
  </si>
  <si>
    <t>C000418969</t>
  </si>
  <si>
    <t>EDWARD STREET HOSPITAL WEST BROMWICH</t>
  </si>
  <si>
    <t>ORT-11260</t>
  </si>
  <si>
    <t>C000418971</t>
  </si>
  <si>
    <t>ORT-11261</t>
  </si>
  <si>
    <t>C000418980</t>
  </si>
  <si>
    <t>ADANAC PARK NORTH OPUS FIT OUT SOUTHAMPTON</t>
  </si>
  <si>
    <t>ORT-11262</t>
  </si>
  <si>
    <t>C000418981</t>
  </si>
  <si>
    <t>BRADFORD MALL SADDLERS CENTRE WALSALL</t>
  </si>
  <si>
    <t>ORT-11263</t>
  </si>
  <si>
    <t>C000418991</t>
  </si>
  <si>
    <t>NOVOTEL KOLWEZI PUBLIC AREAS CONGO</t>
  </si>
  <si>
    <t>ORT-11264</t>
  </si>
  <si>
    <t>C000419007</t>
  </si>
  <si>
    <t>CHANCERY LANE NO 5 REDEVELOPMENT LONDON</t>
  </si>
  <si>
    <t>ORT-11265</t>
  </si>
  <si>
    <t>C000419008</t>
  </si>
  <si>
    <t>ORT-11266</t>
  </si>
  <si>
    <t>C000419010</t>
  </si>
  <si>
    <t>WARWICK UNIVERSITY TEXTILES MOCK UP</t>
  </si>
  <si>
    <t>ORT-11267</t>
  </si>
  <si>
    <t>C000419011</t>
  </si>
  <si>
    <t>ORT-11268</t>
  </si>
  <si>
    <t>C000419012</t>
  </si>
  <si>
    <t>BAIT AL BARKA PALACE KITCHEN MUSCAT</t>
  </si>
  <si>
    <t>ORT-11269</t>
  </si>
  <si>
    <t>C000419017</t>
  </si>
  <si>
    <t>ORT-11270</t>
  </si>
  <si>
    <t>C000419019</t>
  </si>
  <si>
    <t>TEMPLE QUAY GLASS WHARF NO 1 GRD &amp; 1ST FLRS BRISTOL</t>
  </si>
  <si>
    <t>ORT-11271</t>
  </si>
  <si>
    <t>C000419021</t>
  </si>
  <si>
    <t>AIRE PARK FORMER TETLEY BREWERY LEEDS MU4A</t>
  </si>
  <si>
    <t>ORT-11272</t>
  </si>
  <si>
    <t>C000419023</t>
  </si>
  <si>
    <t>HEATHROW CP19 MAIN WORKS LEVEL 00 CAMPUS PRECINCTS</t>
  </si>
  <si>
    <t>ORT-11273</t>
  </si>
  <si>
    <t>C000419025</t>
  </si>
  <si>
    <t>ORT-11274</t>
  </si>
  <si>
    <t>C000419027</t>
  </si>
  <si>
    <t>ORT-11275</t>
  </si>
  <si>
    <t>C000419028</t>
  </si>
  <si>
    <t>DEDALO 2 MADRID</t>
  </si>
  <si>
    <t>ORT-11276</t>
  </si>
  <si>
    <t>C000419030</t>
  </si>
  <si>
    <t>BBVA RENOVATION MADRID</t>
  </si>
  <si>
    <t>ORT-11277</t>
  </si>
  <si>
    <t>C000419033</t>
  </si>
  <si>
    <t>ORT-11279</t>
  </si>
  <si>
    <t>C000419040</t>
  </si>
  <si>
    <t>ORT-11280</t>
  </si>
  <si>
    <t>C000419041</t>
  </si>
  <si>
    <t>ORT-11281</t>
  </si>
  <si>
    <t>C000419043</t>
  </si>
  <si>
    <t>ORT-11282</t>
  </si>
  <si>
    <t>C000419044</t>
  </si>
  <si>
    <t>ORT-11283</t>
  </si>
  <si>
    <t>C000419046</t>
  </si>
  <si>
    <t>ORT-11284</t>
  </si>
  <si>
    <t>C000419047</t>
  </si>
  <si>
    <t>ORT-11285</t>
  </si>
  <si>
    <t>C000419050</t>
  </si>
  <si>
    <t>ORT-11286</t>
  </si>
  <si>
    <t>C000419051</t>
  </si>
  <si>
    <t>GYM PROJECT BIRMINGHAM</t>
  </si>
  <si>
    <t>ORT-11287</t>
  </si>
  <si>
    <t>C000419053</t>
  </si>
  <si>
    <t>QUEEN VICTORIA STREET NO 160 FLR 2 LONDON</t>
  </si>
  <si>
    <t>ORT-11288</t>
  </si>
  <si>
    <t>C000419054</t>
  </si>
  <si>
    <t>ORT-11289</t>
  </si>
  <si>
    <t>C000419056</t>
  </si>
  <si>
    <t>ORT-11290</t>
  </si>
  <si>
    <t>C000419058</t>
  </si>
  <si>
    <t>L&amp;S HAYMARKET YARDS NO 22 STUDENT RESIDENTAL EDINBURGH</t>
  </si>
  <si>
    <t>ORT-11291</t>
  </si>
  <si>
    <t>C000419059</t>
  </si>
  <si>
    <t>ORT-11292</t>
  </si>
  <si>
    <t>ORT-11295</t>
  </si>
  <si>
    <t>C000419070</t>
  </si>
  <si>
    <t>ORT-11296</t>
  </si>
  <si>
    <t>C000419072</t>
  </si>
  <si>
    <t>PARK AVENUE BMW QUEBEC</t>
  </si>
  <si>
    <t>ORT-11297</t>
  </si>
  <si>
    <t>C000419074</t>
  </si>
  <si>
    <t>PRINCES DOCK PLOT A06 11TH FLR LIVERPOOL</t>
  </si>
  <si>
    <t>ORT-11298</t>
  </si>
  <si>
    <t>C000419075</t>
  </si>
  <si>
    <t>ORT-11299</t>
  </si>
  <si>
    <t>C000419076</t>
  </si>
  <si>
    <t>ORT-11300</t>
  </si>
  <si>
    <t>C000419079</t>
  </si>
  <si>
    <t>ABBEY LANE STUDENT ACCOMMODATION EDINBURGH</t>
  </si>
  <si>
    <t>ORT-11301</t>
  </si>
  <si>
    <t>C000419080</t>
  </si>
  <si>
    <t>KING WILLIAM STREET NO 45 REGIS HOUSE FLRS 1 &amp; 5-7 LONDON</t>
  </si>
  <si>
    <t>ORT-11302</t>
  </si>
  <si>
    <t>C000419081</t>
  </si>
  <si>
    <t>ORT-11303</t>
  </si>
  <si>
    <t>C000419082</t>
  </si>
  <si>
    <t>ORT-11304</t>
  </si>
  <si>
    <t>CF00000527</t>
  </si>
  <si>
    <t>ORT-11306</t>
  </si>
  <si>
    <t>C000419086</t>
  </si>
  <si>
    <t>ORT-11307</t>
  </si>
  <si>
    <t>C000419088</t>
  </si>
  <si>
    <t>ORT-11310</t>
  </si>
  <si>
    <t>C000419097</t>
  </si>
  <si>
    <t>ORT-11311</t>
  </si>
  <si>
    <t>C000419098</t>
  </si>
  <si>
    <t>ORT-11312</t>
  </si>
  <si>
    <t>C000419100</t>
  </si>
  <si>
    <t>ORT-11313</t>
  </si>
  <si>
    <t>C000419101</t>
  </si>
  <si>
    <t>ORT-11314</t>
  </si>
  <si>
    <t>C000419104</t>
  </si>
  <si>
    <t>MILLENNIUM RAMAT GAN</t>
  </si>
  <si>
    <t>ORT-11315</t>
  </si>
  <si>
    <t>C000419105</t>
  </si>
  <si>
    <t>ORT-11316</t>
  </si>
  <si>
    <t>C000419106</t>
  </si>
  <si>
    <t>STEPHEN STREET NO 1-2 FLOOR 2 LONDON</t>
  </si>
  <si>
    <t>ORT-11317</t>
  </si>
  <si>
    <t>C000419111</t>
  </si>
  <si>
    <t>ORT-11318</t>
  </si>
  <si>
    <t>C000419113</t>
  </si>
  <si>
    <t>HOLBORN VIADUCT NO 14-21 WASHROOM FIT OUT LONDON</t>
  </si>
  <si>
    <t>ORT-11319</t>
  </si>
  <si>
    <t>C000419114</t>
  </si>
  <si>
    <t>ORT-11320</t>
  </si>
  <si>
    <t>C000419115</t>
  </si>
  <si>
    <t>LEICESTER COLLEGE AERONAUTICAL BUILDING LEICESTER</t>
  </si>
  <si>
    <t>ORT-11321</t>
  </si>
  <si>
    <t>C000419116</t>
  </si>
  <si>
    <t>BEREWOOD PRIMARY SCHOOL KENTIDGE WATERLOOVILLE</t>
  </si>
  <si>
    <t>ORT-11322</t>
  </si>
  <si>
    <t>C000419122</t>
  </si>
  <si>
    <t>ORT-11323</t>
  </si>
  <si>
    <t>C000419125</t>
  </si>
  <si>
    <t>ROPEMAKER STREET NO 20-22 LINKLATERS JOINERY FEATURE LONDON</t>
  </si>
  <si>
    <t>ORT-11324</t>
  </si>
  <si>
    <t>C000419126</t>
  </si>
  <si>
    <t>ORT-11325</t>
  </si>
  <si>
    <t>C000419127</t>
  </si>
  <si>
    <t>ORT-11326</t>
  </si>
  <si>
    <t>C000419132</t>
  </si>
  <si>
    <t>ORT-11327</t>
  </si>
  <si>
    <t>C000419133</t>
  </si>
  <si>
    <t>GREEN MOUNTAIN LON1 EAST DATA CENTRE ROMFORD</t>
  </si>
  <si>
    <t>ORT-11328</t>
  </si>
  <si>
    <t>C000419139</t>
  </si>
  <si>
    <t>AMI ACADEMY HOD HASHARON</t>
  </si>
  <si>
    <t>ORT-11329</t>
  </si>
  <si>
    <t>C000419154</t>
  </si>
  <si>
    <t>ORT-11330</t>
  </si>
  <si>
    <t>C000419157</t>
  </si>
  <si>
    <t>KING STREET NO 12 LEEDS</t>
  </si>
  <si>
    <t>ORT-11331</t>
  </si>
  <si>
    <t>C000419162</t>
  </si>
  <si>
    <t>ORT-11332</t>
  </si>
  <si>
    <t>C000419163</t>
  </si>
  <si>
    <t>MARRIOTT HOTEL ABASTUMANI</t>
  </si>
  <si>
    <t>ORT-11333</t>
  </si>
  <si>
    <t>C000419164</t>
  </si>
  <si>
    <t>ORT-11334</t>
  </si>
  <si>
    <t>C000419169</t>
  </si>
  <si>
    <t>MARSHAM STREET NO 2 DEFRA SECURE ROOM LONDON</t>
  </si>
  <si>
    <t>ORT-11335</t>
  </si>
  <si>
    <t>C000419172</t>
  </si>
  <si>
    <t>ORT-11336</t>
  </si>
  <si>
    <t>C000419173</t>
  </si>
  <si>
    <t>CHISWELL STREET NO 24 FLOOR 1 &amp; 3 INDUSTRIOUS FIT OUT LONDON</t>
  </si>
  <si>
    <t>ORT-11337</t>
  </si>
  <si>
    <t>C000419176</t>
  </si>
  <si>
    <t>FINSBURY SQUARE NO 26 FRESHWATER REFURB LONDON</t>
  </si>
  <si>
    <t>ORT-11339</t>
  </si>
  <si>
    <t>C000419180</t>
  </si>
  <si>
    <t>WARDOUR STREET NO 142 FILM HOUSE FLOORS 1-8 LONDON</t>
  </si>
  <si>
    <t>ORT-11340</t>
  </si>
  <si>
    <t>C000419182</t>
  </si>
  <si>
    <t>ORT-11341</t>
  </si>
  <si>
    <t>C000419189</t>
  </si>
  <si>
    <t>ONYX LEVEL 4 CAT A GLASGOW</t>
  </si>
  <si>
    <t>ORT-11342</t>
  </si>
  <si>
    <t>C000419193</t>
  </si>
  <si>
    <t>ORT-11343</t>
  </si>
  <si>
    <t>C000419195</t>
  </si>
  <si>
    <t>ORT-11344</t>
  </si>
  <si>
    <t>C000419196</t>
  </si>
  <si>
    <t>PURE DATA CENTRE YAS ISLAND ABU DHABI DATA HALL</t>
  </si>
  <si>
    <t>ORT-11345</t>
  </si>
  <si>
    <t>C000419202</t>
  </si>
  <si>
    <t>CREECHURCH PLACE NO 1 FLOOR 5 REFURB LONDON</t>
  </si>
  <si>
    <t>ORT-11346</t>
  </si>
  <si>
    <t>C000419204</t>
  </si>
  <si>
    <t>ORT-11347</t>
  </si>
  <si>
    <t>C000419206</t>
  </si>
  <si>
    <t>ORT-11348</t>
  </si>
  <si>
    <t>C000419215</t>
  </si>
  <si>
    <t>ORT-11349</t>
  </si>
  <si>
    <t>C000419217</t>
  </si>
  <si>
    <t>ORT-11350</t>
  </si>
  <si>
    <t>C000419218</t>
  </si>
  <si>
    <t>ORT-11351</t>
  </si>
  <si>
    <t>C000419220</t>
  </si>
  <si>
    <t>ORT-11352</t>
  </si>
  <si>
    <t>C000419225</t>
  </si>
  <si>
    <t>ORT-11354</t>
  </si>
  <si>
    <t>C000419229</t>
  </si>
  <si>
    <t>ORT-11355</t>
  </si>
  <si>
    <t>C000419233</t>
  </si>
  <si>
    <t>ROPEMAKER PLACE MUFG REFURB FLRS 1-2 &amp; 14-17 LONDON</t>
  </si>
  <si>
    <t>ORT-11356</t>
  </si>
  <si>
    <t>C000419239</t>
  </si>
  <si>
    <t>BARCELONA AIRPORT T2 &amp; T1</t>
  </si>
  <si>
    <t>ORT-11357</t>
  </si>
  <si>
    <t>C000419244</t>
  </si>
  <si>
    <t>LAURISTON PLACE NO15 SKYSCANNER FITOUT EDINBURGH</t>
  </si>
  <si>
    <t>ORT-11358</t>
  </si>
  <si>
    <t>CF00000529</t>
  </si>
  <si>
    <t>VENETTE MOCK UP</t>
  </si>
  <si>
    <t>ORT-11359</t>
  </si>
  <si>
    <t>C000419255</t>
  </si>
  <si>
    <t>THE BEACON ST VINCENT STREET NO 176 FLOOR 1 REFURB GLASGOW</t>
  </si>
  <si>
    <t>ORT-11360</t>
  </si>
  <si>
    <t>C000419257</t>
  </si>
  <si>
    <t>ORT-11361</t>
  </si>
  <si>
    <t>C000419260</t>
  </si>
  <si>
    <t>ORT-11362</t>
  </si>
  <si>
    <t>C000419261</t>
  </si>
  <si>
    <t>BISHOPSGATE NO 100 PART FLR 35 EXPANSION PAUL HASTINGS</t>
  </si>
  <si>
    <t>ORT-11363</t>
  </si>
  <si>
    <t>C000419262</t>
  </si>
  <si>
    <t>ORT-11364</t>
  </si>
  <si>
    <t>C000419264</t>
  </si>
  <si>
    <t>ORT-11365</t>
  </si>
  <si>
    <t>CF00000530</t>
  </si>
  <si>
    <t>AVENUE RAYMOND POINCARE 34 PARIS</t>
  </si>
  <si>
    <t>ORT-11366</t>
  </si>
  <si>
    <t>C000419274</t>
  </si>
  <si>
    <t>ORT-11368</t>
  </si>
  <si>
    <t>C000419280</t>
  </si>
  <si>
    <t>ORT-11369</t>
  </si>
  <si>
    <t>C000419282</t>
  </si>
  <si>
    <t>ORT-11370</t>
  </si>
  <si>
    <t>C000419283</t>
  </si>
  <si>
    <t>ORT-11371</t>
  </si>
  <si>
    <t>C000419284</t>
  </si>
  <si>
    <t>ORT-11372</t>
  </si>
  <si>
    <t>C000419287</t>
  </si>
  <si>
    <t>ORT-11373</t>
  </si>
  <si>
    <t>C000419289</t>
  </si>
  <si>
    <t>GATWICK AIRPORT NORTH TERMINAL GATE ROOM 45</t>
  </si>
  <si>
    <t>ORT-11374</t>
  </si>
  <si>
    <t>C000419293</t>
  </si>
  <si>
    <t>TRINITY BY BREAKTHROUGH FLR 1 OXFORD BUSINESS PARK</t>
  </si>
  <si>
    <t>ORT-11375</t>
  </si>
  <si>
    <t>C000419294</t>
  </si>
  <si>
    <t>CANNON STREET NO 111 &amp; ST SWITHINS LANE NO 17 REFURB LONDON</t>
  </si>
  <si>
    <t>ORT-11376</t>
  </si>
  <si>
    <t>C000419296</t>
  </si>
  <si>
    <t>ORT-11377</t>
  </si>
  <si>
    <t>C000419298</t>
  </si>
  <si>
    <t>NR EAST KILBRIDE &amp; HAIRMYRES STATIONS</t>
  </si>
  <si>
    <t>ORT-11378</t>
  </si>
  <si>
    <t>C000419300</t>
  </si>
  <si>
    <t>ORT-11379</t>
  </si>
  <si>
    <t>C000419303</t>
  </si>
  <si>
    <t>ORT-11380</t>
  </si>
  <si>
    <t>C000419306</t>
  </si>
  <si>
    <t>ORT-11381</t>
  </si>
  <si>
    <t>C000419313</t>
  </si>
  <si>
    <t>BUCKINGHAM GATE NO 25 RESI DEVELOPMENT LONDON</t>
  </si>
  <si>
    <t>ORT-11382</t>
  </si>
  <si>
    <t>C000419315</t>
  </si>
  <si>
    <t>QUESOME INTERNATIONAL LAGOS</t>
  </si>
  <si>
    <t>ORT-11383</t>
  </si>
  <si>
    <t>C000419318</t>
  </si>
  <si>
    <t>BASINGHALL AVENUE NO 1 STANDARD CHARTERED PH 2 LONDON</t>
  </si>
  <si>
    <t>ORT-11384</t>
  </si>
  <si>
    <t>C000419323</t>
  </si>
  <si>
    <t>ORT-11385</t>
  </si>
  <si>
    <t>C000419325</t>
  </si>
  <si>
    <t>ORT-11386</t>
  </si>
  <si>
    <t>C000419327</t>
  </si>
  <si>
    <t>ORT-11387</t>
  </si>
  <si>
    <t>C000419331</t>
  </si>
  <si>
    <t>ORT-11388</t>
  </si>
  <si>
    <t>C000419333</t>
  </si>
  <si>
    <t>JACK WINGFIELD SOUTH EAST MISC 2024</t>
  </si>
  <si>
    <t>ORT-11389</t>
  </si>
  <si>
    <t>C000419334</t>
  </si>
  <si>
    <t>DEVONSHIRE HOUSE MAYFAIR PLACE NO 1 LEVEL 9 REFURB LONDON</t>
  </si>
  <si>
    <t>ORT-11390</t>
  </si>
  <si>
    <t>C000419335</t>
  </si>
  <si>
    <t>ADIDAS MANCHESTER</t>
  </si>
  <si>
    <t>ORT-11391</t>
  </si>
  <si>
    <t>C000419342</t>
  </si>
  <si>
    <t>CRITERION HOTEL PICCADILLY RECEPTION AREA LONDON</t>
  </si>
  <si>
    <t>ORT-11392</t>
  </si>
  <si>
    <t>C000419346</t>
  </si>
  <si>
    <t>MID CITY PLACE HIGH HOLBORN NO 71 MITSUBISHI LONDON</t>
  </si>
  <si>
    <t>ORT-11393</t>
  </si>
  <si>
    <t>CF00000532</t>
  </si>
  <si>
    <t>RUE TAITBOUT 89 PARIS</t>
  </si>
  <si>
    <t>ORT-11394</t>
  </si>
  <si>
    <t>C000419349</t>
  </si>
  <si>
    <t>ELDON COURT ELDON SQUARE NEWCASTLE</t>
  </si>
  <si>
    <t>ORT-11395</t>
  </si>
  <si>
    <t>C000419350</t>
  </si>
  <si>
    <t>SMARALIND MATHOLL SHOPPING MALL REYKJAVIK</t>
  </si>
  <si>
    <t>ORT-11396</t>
  </si>
  <si>
    <t>C000419351</t>
  </si>
  <si>
    <t>ORT-11397</t>
  </si>
  <si>
    <t>C000419354</t>
  </si>
  <si>
    <t>ORT-11398</t>
  </si>
  <si>
    <t>C000419355</t>
  </si>
  <si>
    <t>ORT-11399</t>
  </si>
  <si>
    <t>C000419356</t>
  </si>
  <si>
    <t>ORT-11400</t>
  </si>
  <si>
    <t>C000419359</t>
  </si>
  <si>
    <t>CATALENT PHARMA REFURB SWINDON</t>
  </si>
  <si>
    <t>ORT-11401</t>
  </si>
  <si>
    <t>C000419360</t>
  </si>
  <si>
    <t>IRC CAMPSFIELD HOUSE KIDLINGTON OXFORDSHIRE</t>
  </si>
  <si>
    <t>ORT-11402</t>
  </si>
  <si>
    <t>C000419362</t>
  </si>
  <si>
    <t>BURLEY STREET 16-22 STUDENT ACCOMMODATION LEEDS</t>
  </si>
  <si>
    <t>ORT-11403</t>
  </si>
  <si>
    <t>C000419363</t>
  </si>
  <si>
    <t>SOUTHFIELD VETERINARY HOSPITAL BASILDON</t>
  </si>
  <si>
    <t>ORT-11404</t>
  </si>
  <si>
    <t>C000419374</t>
  </si>
  <si>
    <t>ORT-11405</t>
  </si>
  <si>
    <t>C000419378</t>
  </si>
  <si>
    <t>VICTORIA STREET NO 111 FLR 4 REFURB BRISTOL</t>
  </si>
  <si>
    <t>ORT-11406</t>
  </si>
  <si>
    <t>C000419381</t>
  </si>
  <si>
    <t>SALESIAN SISTERS CONVENT OXFORD</t>
  </si>
  <si>
    <t>ORT-11407</t>
  </si>
  <si>
    <t>CF00000534</t>
  </si>
  <si>
    <t>RUE JULES LEFEBVRE</t>
  </si>
  <si>
    <t>ORT-11408</t>
  </si>
  <si>
    <t>C000419386</t>
  </si>
  <si>
    <t>ORT-11409</t>
  </si>
  <si>
    <t>SKY STUDIOS GRANT WAY ISLEWORTH PHASE 2 LONDON</t>
  </si>
  <si>
    <t>ORT-11410</t>
  </si>
  <si>
    <t>C000419392</t>
  </si>
  <si>
    <t>ST GEORGE STREET NO 14 CAT A FLOOR 2 LONDON</t>
  </si>
  <si>
    <t>ORT-11411</t>
  </si>
  <si>
    <t>C000419394</t>
  </si>
  <si>
    <t>MERCHANT SQUARE NO 5 CAT A REFURB PADDINGTON LONDON</t>
  </si>
  <si>
    <t>ORT-11412</t>
  </si>
  <si>
    <t>C000419397</t>
  </si>
  <si>
    <t>NDA - JP MORGAN AL FAISALIYAH TOWER RIYADH KSA</t>
  </si>
  <si>
    <t>ORT-11413</t>
  </si>
  <si>
    <t>C000419401</t>
  </si>
  <si>
    <t>ORT-11414</t>
  </si>
  <si>
    <t>CF00000518</t>
  </si>
  <si>
    <t>ORT-11415</t>
  </si>
  <si>
    <t>C000419403</t>
  </si>
  <si>
    <t>KNIGHTSBRIDGE NO 25 NBD REFURB LONDON</t>
  </si>
  <si>
    <t>ORT-11416</t>
  </si>
  <si>
    <t>C000419404</t>
  </si>
  <si>
    <t>ORT-11418</t>
  </si>
  <si>
    <t>C000419405</t>
  </si>
  <si>
    <t>BISHOPSGATE NO 201 BROADGATE TOWER FLRS 12-13,17,19 &amp; 29-33</t>
  </si>
  <si>
    <t>ORT-11419</t>
  </si>
  <si>
    <t>C000419410</t>
  </si>
  <si>
    <t>ORT-11420</t>
  </si>
  <si>
    <t>C000419413</t>
  </si>
  <si>
    <t>ORT-11421</t>
  </si>
  <si>
    <t>C000419415</t>
  </si>
  <si>
    <t>LEICESTER CITY FC TRAINING GROUND</t>
  </si>
  <si>
    <t>ORT-11422</t>
  </si>
  <si>
    <t>C000419419</t>
  </si>
  <si>
    <t>ORT-11423</t>
  </si>
  <si>
    <t>C000419420</t>
  </si>
  <si>
    <t>CANARY WHARF BANK STREET NO 12 LONDON</t>
  </si>
  <si>
    <t>ORT-11424</t>
  </si>
  <si>
    <t>C000419423</t>
  </si>
  <si>
    <t>ORT-11425</t>
  </si>
  <si>
    <t>C000419424</t>
  </si>
  <si>
    <t>THE LUMEN HELIX  DVSA ADMIN RELOCATION NEWCASTLE</t>
  </si>
  <si>
    <t>ORT-11426</t>
  </si>
  <si>
    <t>C000419425</t>
  </si>
  <si>
    <t>ORT-11427</t>
  </si>
  <si>
    <t>C000419438</t>
  </si>
  <si>
    <t>ICELAND MISC 2025</t>
  </si>
  <si>
    <t>ORT-11428</t>
  </si>
  <si>
    <t>C000419446</t>
  </si>
  <si>
    <t>CLARENDON ROAD NO 73 TJX EUROPE ADDITIONAL WORKS WATFORD</t>
  </si>
  <si>
    <t>ORT-11429</t>
  </si>
  <si>
    <t>C000419447</t>
  </si>
  <si>
    <t>MXL REFURB HERTFORD</t>
  </si>
  <si>
    <t>ORT-11430</t>
  </si>
  <si>
    <t>C000419448</t>
  </si>
  <si>
    <t>ORT-11431</t>
  </si>
  <si>
    <t>C000419449</t>
  </si>
  <si>
    <t>ORT-11433</t>
  </si>
  <si>
    <t>C000419454</t>
  </si>
  <si>
    <t>WORCESTERSHIRE ACUTE HOSPITAL DILAPS</t>
  </si>
  <si>
    <t>ORT-11434</t>
  </si>
  <si>
    <t>C000419455</t>
  </si>
  <si>
    <t>BRINDLEY PLACE NO 10 FLR 6 BIRMINGHAM</t>
  </si>
  <si>
    <t>ORT-11435</t>
  </si>
  <si>
    <t>ORT-11436</t>
  </si>
  <si>
    <t>C000419456</t>
  </si>
  <si>
    <t>ORT-11437</t>
  </si>
  <si>
    <t>C000419458</t>
  </si>
  <si>
    <t>GRESHAM STREET NO 20 CAT A REFURB LONDON</t>
  </si>
  <si>
    <t>ORT-11438</t>
  </si>
  <si>
    <t>C000419459</t>
  </si>
  <si>
    <t>ORT-11439</t>
  </si>
  <si>
    <t>C000419460</t>
  </si>
  <si>
    <t>ORT-11440</t>
  </si>
  <si>
    <t>HOLDING SAINT MICHEL PARIS</t>
  </si>
  <si>
    <t>ORT-11443</t>
  </si>
  <si>
    <t>C000419469</t>
  </si>
  <si>
    <t>ORT-11444</t>
  </si>
  <si>
    <t>C000419471</t>
  </si>
  <si>
    <t>ST HELENS PLACE NO 5 - 7 CAT B ROYAL BANK OF CANADA LONDON</t>
  </si>
  <si>
    <t>ORT-11445</t>
  </si>
  <si>
    <t>C000419472</t>
  </si>
  <si>
    <t>ORT-11446</t>
  </si>
  <si>
    <t>C000419473</t>
  </si>
  <si>
    <t>ORT-11447</t>
  </si>
  <si>
    <t>C000419475</t>
  </si>
  <si>
    <t>ORT-11448</t>
  </si>
  <si>
    <t>C000419476</t>
  </si>
  <si>
    <t>ALDERMARY HOUSE 3RD FLOOR LONDON</t>
  </si>
  <si>
    <t>ORT-11449</t>
  </si>
  <si>
    <t>C000419477</t>
  </si>
  <si>
    <t>ORT-11450</t>
  </si>
  <si>
    <t>C000419479</t>
  </si>
  <si>
    <t>ORT-11451</t>
  </si>
  <si>
    <t>C000419483</t>
  </si>
  <si>
    <t>ORT-11452</t>
  </si>
  <si>
    <t>C000419485</t>
  </si>
  <si>
    <t>ORT-11453</t>
  </si>
  <si>
    <t>C000419486</t>
  </si>
  <si>
    <t>UNI OF OXFORD HENRY WELCOME BUILDING DILAPS</t>
  </si>
  <si>
    <t>ORT-11454</t>
  </si>
  <si>
    <t>C000419487</t>
  </si>
  <si>
    <t>Days In Customer Sign Off</t>
  </si>
  <si>
    <t>Count of Order Tracking: Order Tracking No</t>
  </si>
  <si>
    <t>Sum of On Time</t>
  </si>
  <si>
    <t>Sign off OTIF</t>
  </si>
  <si>
    <t>Cleansing OTIF</t>
  </si>
  <si>
    <t>00023193</t>
  </si>
  <si>
    <t>03/06/2025, 11:40</t>
  </si>
  <si>
    <t>00023181</t>
  </si>
  <si>
    <t>02/06/2025, 11:39</t>
  </si>
  <si>
    <t>Mariner Interiors</t>
  </si>
  <si>
    <t>Josh Mariner</t>
  </si>
  <si>
    <t>BUILDING 1000 CATHEDRAL SQUARE REFURB GUILDFORD</t>
  </si>
  <si>
    <t>00023183</t>
  </si>
  <si>
    <t>02/06/2025, 12:54</t>
  </si>
  <si>
    <t>Brian Hendry</t>
  </si>
  <si>
    <t>00023186</t>
  </si>
  <si>
    <t>02/06/2025, 15:31</t>
  </si>
  <si>
    <t>00023191</t>
  </si>
  <si>
    <t>03/06/2025, 10:28</t>
  </si>
  <si>
    <t>00023197</t>
  </si>
  <si>
    <t>03/06/2025, 12:16</t>
  </si>
  <si>
    <t>Danny Wager</t>
  </si>
  <si>
    <t>00023215</t>
  </si>
  <si>
    <t>06/06/2025, 08:41</t>
  </si>
  <si>
    <t>MADISON AVE 1 FLOOR 11 FRANKLIN TEMPLETON FIT OUT</t>
  </si>
  <si>
    <t>00023189</t>
  </si>
  <si>
    <t>03/06/2025, 10:06</t>
  </si>
  <si>
    <t>00023208</t>
  </si>
  <si>
    <t>RDG â€“ Design</t>
  </si>
  <si>
    <t>04/06/2025, 14:43</t>
  </si>
  <si>
    <t>WATERSHED CHEVRON HEADQUARTERS HOUSTON</t>
  </si>
  <si>
    <t>00023217</t>
  </si>
  <si>
    <t>06/06/2025, 12:51</t>
  </si>
  <si>
    <t>ORT-11456</t>
  </si>
  <si>
    <t>C000419496</t>
  </si>
  <si>
    <t>ORT-11457</t>
  </si>
  <si>
    <t>C000419500</t>
  </si>
  <si>
    <t>ORT-11458</t>
  </si>
  <si>
    <t>C000419509</t>
  </si>
  <si>
    <t>ORT-11461</t>
  </si>
  <si>
    <t>C000419518</t>
  </si>
  <si>
    <t>AUSTIN FRIARS NO 4 REFURB LONDON</t>
  </si>
  <si>
    <t>ORT-11462</t>
  </si>
  <si>
    <t>C000419526</t>
  </si>
  <si>
    <t>ORT-11463</t>
  </si>
  <si>
    <t>C000419532</t>
  </si>
  <si>
    <t>ORT-11464</t>
  </si>
  <si>
    <t>C000419547</t>
  </si>
  <si>
    <t>ORT-11465</t>
  </si>
  <si>
    <t>C000419556</t>
  </si>
  <si>
    <t>EDF SIZEWELL POWER STATION B SIMULATOR ROOM SUFFOLK</t>
  </si>
  <si>
    <t>ORT-11466</t>
  </si>
  <si>
    <t>C000419558</t>
  </si>
  <si>
    <t>ONE EASTSIDE TOWER A SKYLOUNGE BIRMINGHAM</t>
  </si>
  <si>
    <t>ORT-11467</t>
  </si>
  <si>
    <t>C000419560</t>
  </si>
  <si>
    <t>ORT-11468</t>
  </si>
  <si>
    <t>C000419562</t>
  </si>
  <si>
    <t>LIVERPOOL STREET NO 1 FOH RECEPTION &amp; EVENT SPACE LONDON</t>
  </si>
  <si>
    <t>ORT-11469</t>
  </si>
  <si>
    <t>C000419564</t>
  </si>
  <si>
    <t>BEVIS MARKS NO 6 FLOOR 4 REFURB LONDON</t>
  </si>
  <si>
    <t>ORT-11470</t>
  </si>
  <si>
    <t>C000419566</t>
  </si>
  <si>
    <t>HUNDRED OF HOO ACADEMY MAIN ROAD ROCHESTER</t>
  </si>
  <si>
    <t>ORT-11471</t>
  </si>
  <si>
    <t>C000419567</t>
  </si>
  <si>
    <t>MERCHANT SQUARE NO 5 CAT A REFURB LIGHTING LONDON</t>
  </si>
  <si>
    <t>ORT-11472</t>
  </si>
  <si>
    <t>C000419569</t>
  </si>
  <si>
    <t>ORT-11474</t>
  </si>
  <si>
    <t>C000419571</t>
  </si>
  <si>
    <t>ORT-11476</t>
  </si>
  <si>
    <t>C000419581</t>
  </si>
  <si>
    <t>WQ BUILDING AUCKLAND CBD</t>
  </si>
  <si>
    <t>ORT-11477</t>
  </si>
  <si>
    <t>C000419584</t>
  </si>
  <si>
    <t>STATION ROAD NO 21 RECEPTION AREA CAMBRIDGE</t>
  </si>
  <si>
    <t>ORT-11478</t>
  </si>
  <si>
    <t>ALPHA BANK VE ALTERNATIVES FABRIC ATHENS</t>
  </si>
  <si>
    <t>ORT-11479</t>
  </si>
  <si>
    <t>C000419594</t>
  </si>
  <si>
    <t>ORT-11480</t>
  </si>
  <si>
    <t>C000419595</t>
  </si>
  <si>
    <t>SALFORD CENTRAL TRAIN STATION</t>
  </si>
  <si>
    <t>ORT-11481</t>
  </si>
  <si>
    <t>C000419598</t>
  </si>
  <si>
    <t>PROJECT ROBOTISM PHASE ONE CORE 4 LONDON</t>
  </si>
  <si>
    <t>ORT-11482</t>
  </si>
  <si>
    <t>C000419601</t>
  </si>
  <si>
    <t>BASINGHALL AVENUE NO 1 STANDARD CHARTERED PH 2 LIGHTING</t>
  </si>
  <si>
    <t>ORT-11483</t>
  </si>
  <si>
    <t>C000419603</t>
  </si>
  <si>
    <t>ORT-11484</t>
  </si>
  <si>
    <t>C000419605</t>
  </si>
  <si>
    <t>ORT-11487</t>
  </si>
  <si>
    <t>C000419607</t>
  </si>
  <si>
    <t>ORT-11488</t>
  </si>
  <si>
    <t>C000419610</t>
  </si>
  <si>
    <t>ORT-11489</t>
  </si>
  <si>
    <t>C000419612</t>
  </si>
  <si>
    <t>ORT-11494</t>
  </si>
  <si>
    <t>C000419620</t>
  </si>
  <si>
    <t>ORT-11495</t>
  </si>
  <si>
    <t>C000419627</t>
  </si>
  <si>
    <t>COLEMAN STREET NO 4 REFURB LONDON</t>
  </si>
  <si>
    <t>THE NORTHCLIFFE TUDOR STREET CAT B IRWIN MITCHELL LONDON</t>
  </si>
  <si>
    <t>HEATHROW T4 CSA SECURITY PROGRAMME WORKS LONDON</t>
  </si>
  <si>
    <t>ORT-11496</t>
  </si>
  <si>
    <t>C000419636</t>
  </si>
  <si>
    <t>ORT-11497</t>
  </si>
  <si>
    <t>C000419637</t>
  </si>
  <si>
    <t>STOCKLEY PARK ROUNDWOOD AVENUE NO 6 PROJECT JUMPER LONDON</t>
  </si>
  <si>
    <t>ORT-11498</t>
  </si>
  <si>
    <t>C000419641</t>
  </si>
  <si>
    <t>STRAND NO 40 REFURB BAIN &amp; CO LONDON</t>
  </si>
  <si>
    <t>ORT-11499</t>
  </si>
  <si>
    <t>C000419643</t>
  </si>
  <si>
    <t>TORRE CEPSA 23/F AMAZON</t>
  </si>
  <si>
    <t>ORT-11500</t>
  </si>
  <si>
    <t>C000419644</t>
  </si>
  <si>
    <t>ORT-11501</t>
  </si>
  <si>
    <t>C000419646</t>
  </si>
  <si>
    <t>ORT-11502</t>
  </si>
  <si>
    <t>CF00000536</t>
  </si>
  <si>
    <t>ORT-11504</t>
  </si>
  <si>
    <t>C000419669</t>
  </si>
  <si>
    <t>WHITEHALL RIVERSIDE RESIDENTIAL TOWERS LEEDS</t>
  </si>
  <si>
    <t>ORT-11505</t>
  </si>
  <si>
    <t>C000419671</t>
  </si>
  <si>
    <t>ORT-11506</t>
  </si>
  <si>
    <t>C000419673</t>
  </si>
  <si>
    <t>ORT-11508</t>
  </si>
  <si>
    <t>C000419680</t>
  </si>
  <si>
    <t>ORT-11509</t>
  </si>
  <si>
    <t>C000419682</t>
  </si>
  <si>
    <t>ORT-11510</t>
  </si>
  <si>
    <t>C000419685</t>
  </si>
  <si>
    <t>ORT-11511</t>
  </si>
  <si>
    <t>C000419686</t>
  </si>
  <si>
    <t>ORT-11512</t>
  </si>
  <si>
    <t>C000419691</t>
  </si>
  <si>
    <t>ORT-11513</t>
  </si>
  <si>
    <t>C000419693</t>
  </si>
  <si>
    <t>THREE SNOWHILL NATIONAL HIGHWAYS OFFICE BIRMINGHAM</t>
  </si>
  <si>
    <t>ORT-11514</t>
  </si>
  <si>
    <t>C000419695</t>
  </si>
  <si>
    <t>MANCHESTER SCIENCE PARK GREENHEYS PROJECT</t>
  </si>
  <si>
    <t>ORT-11515</t>
  </si>
  <si>
    <t>C000419696</t>
  </si>
  <si>
    <t>ORT-11516</t>
  </si>
  <si>
    <t>C000419699</t>
  </si>
  <si>
    <t>GREGGS MISC 2024</t>
  </si>
  <si>
    <t>ORT-11518</t>
  </si>
  <si>
    <t>C000419703</t>
  </si>
  <si>
    <t>ORT-11519</t>
  </si>
  <si>
    <t>C000419707</t>
  </si>
  <si>
    <t>ORT-11520</t>
  </si>
  <si>
    <t>C000419708</t>
  </si>
  <si>
    <t>LLOYDS GROUP HQ REFURB TRINITY ROAD HALIFAX</t>
  </si>
  <si>
    <t>ORT-11521</t>
  </si>
  <si>
    <t>C000419712</t>
  </si>
  <si>
    <t>CHERRY TREE FARM AMERSHAM</t>
  </si>
  <si>
    <t>ORT-11522</t>
  </si>
  <si>
    <t>C000419721</t>
  </si>
  <si>
    <t>ORT-11523</t>
  </si>
  <si>
    <t>C000419723</t>
  </si>
  <si>
    <t>OLD BREWERS YARD GUINNESS MICRO BREWERY LONDON</t>
  </si>
  <si>
    <t>ORT-11524</t>
  </si>
  <si>
    <t>C000419724</t>
  </si>
  <si>
    <t>FCDO KING CHARLES STREET REFURB LONDON</t>
  </si>
  <si>
    <t>ORT-11525</t>
  </si>
  <si>
    <t>C000419725</t>
  </si>
  <si>
    <t>LAVINGTON STREET NO 25 TIMBER SQUARE DEVELOPMENT WCS LONDON</t>
  </si>
  <si>
    <t>ORT-11526</t>
  </si>
  <si>
    <t>C000419731</t>
  </si>
  <si>
    <t>ORT-11527</t>
  </si>
  <si>
    <t>C000419734</t>
  </si>
  <si>
    <t>ORT-11528</t>
  </si>
  <si>
    <t>C000419733</t>
  </si>
  <si>
    <t>ORT-11529</t>
  </si>
  <si>
    <t>C000419735</t>
  </si>
  <si>
    <t>HARWELL CAMPUS PROJECT DEXTER PHASE 2 DIDCOT</t>
  </si>
  <si>
    <t>ORT-11530</t>
  </si>
  <si>
    <t>C000419739</t>
  </si>
  <si>
    <t>ORT-11532</t>
  </si>
  <si>
    <t>C000419740</t>
  </si>
  <si>
    <t>ORT-11533</t>
  </si>
  <si>
    <t>C000419755</t>
  </si>
  <si>
    <t>AUGUSTINE HOUSE AUSTIN FRIARS NO 6 A FLR 3 &amp; 4 FITOUT LONDON</t>
  </si>
  <si>
    <t>ORT-11534</t>
  </si>
  <si>
    <t>C000419757</t>
  </si>
  <si>
    <t>ORT-11535</t>
  </si>
  <si>
    <t>C000419758</t>
  </si>
  <si>
    <t>CHARLOTTE STREET NO 80 AURUM FIT OUT FLOOR 2 LONDON</t>
  </si>
  <si>
    <t>ORT-11536</t>
  </si>
  <si>
    <t>C000419759</t>
  </si>
  <si>
    <t>ORT-11537</t>
  </si>
  <si>
    <t>CF00000537</t>
  </si>
  <si>
    <t>ORT-11538</t>
  </si>
  <si>
    <t>C000419766</t>
  </si>
  <si>
    <t>ORT-11539</t>
  </si>
  <si>
    <t>C000419768</t>
  </si>
  <si>
    <t>GRESHAM STREET NO 10 REMEDIAL LONDON</t>
  </si>
  <si>
    <t>ORT-11540</t>
  </si>
  <si>
    <t>C000419772</t>
  </si>
  <si>
    <t>LIVERPOOL FC EXECUTIVE BOXES ANFIELD</t>
  </si>
  <si>
    <t>ORT-11542</t>
  </si>
  <si>
    <t>C000419776</t>
  </si>
  <si>
    <t>ORT-11543</t>
  </si>
  <si>
    <t>C000419777</t>
  </si>
  <si>
    <t>CHURCHILL PLACE NO 5 LVL 10 REFURB LONDON</t>
  </si>
  <si>
    <t>ORT-11544</t>
  </si>
  <si>
    <t>C000419778</t>
  </si>
  <si>
    <t>ORT-11545</t>
  </si>
  <si>
    <t>C000419788</t>
  </si>
  <si>
    <t>ORT-11546</t>
  </si>
  <si>
    <t>C000419790</t>
  </si>
  <si>
    <t>ORT-11547</t>
  </si>
  <si>
    <t>C000419793</t>
  </si>
  <si>
    <t>DEVONSHIRE HOUSE MAYFAIR PLACE NO 1 FLOORS G &amp; 2 LONDON</t>
  </si>
  <si>
    <t>ORT-11548</t>
  </si>
  <si>
    <t>C000419794</t>
  </si>
  <si>
    <t>EDEN CAMPUS UNILEVER CAT B KINGSTON</t>
  </si>
  <si>
    <t>ORT-11549</t>
  </si>
  <si>
    <t>C000419796</t>
  </si>
  <si>
    <t>PADDINGTON CENTRAL KINGDOM ST NO 1 FLRS 1,6,8 EQUINOR LONDON</t>
  </si>
  <si>
    <t>ORT-11550</t>
  </si>
  <si>
    <t>C000419797</t>
  </si>
  <si>
    <t>HANOVER SQUARE BUILDING NO 18 KKR FLOOR 5 LONDON</t>
  </si>
  <si>
    <t>ORT-11551</t>
  </si>
  <si>
    <t>C000419798</t>
  </si>
  <si>
    <t>ORT-11552</t>
  </si>
  <si>
    <t>C000419799</t>
  </si>
  <si>
    <t>TORRENS STREET NO 1 ANGEL SQUARE LONDON</t>
  </si>
  <si>
    <t>ORT-11553</t>
  </si>
  <si>
    <t>C000419800</t>
  </si>
  <si>
    <t>GSK OLIGO HUB BUILDING 6 STEVENAGE</t>
  </si>
  <si>
    <t>ORT-11554</t>
  </si>
  <si>
    <t>C000419804</t>
  </si>
  <si>
    <t>UNI OF KINGSTON JOHN GALSWORTHY BUILDING PH2 LONDON</t>
  </si>
  <si>
    <t>ORT-11555</t>
  </si>
  <si>
    <t>C000419805</t>
  </si>
  <si>
    <t>FIRST STREET PLOT 9A GPA CAT B MANCHESTER</t>
  </si>
  <si>
    <t>00023244</t>
  </si>
  <si>
    <t>12/06/2025, 10:59</t>
  </si>
  <si>
    <t>Horbury Building Services Ltd</t>
  </si>
  <si>
    <t>00023220</t>
  </si>
  <si>
    <t>09/06/2025, 11:54</t>
  </si>
  <si>
    <t>CCF West Birmingham</t>
  </si>
  <si>
    <t>Robert Blades</t>
  </si>
  <si>
    <t>00023223</t>
  </si>
  <si>
    <t>09/06/2025, 13:47</t>
  </si>
  <si>
    <t>M J Ferguson Services Ltd</t>
  </si>
  <si>
    <t>Karen Harvey</t>
  </si>
  <si>
    <t>00023225</t>
  </si>
  <si>
    <t>09/06/2025, 14:18</t>
  </si>
  <si>
    <t>Jacob Payne</t>
  </si>
  <si>
    <t>00023230</t>
  </si>
  <si>
    <t>09/06/2025, 15:57</t>
  </si>
  <si>
    <t>Petre Zaharia</t>
  </si>
  <si>
    <t>00023232</t>
  </si>
  <si>
    <t>10/06/2025, 13:12</t>
  </si>
  <si>
    <t>Cast Interiors Fit Out Limited</t>
  </si>
  <si>
    <t>Claire O'Malley</t>
  </si>
  <si>
    <t>00023234</t>
  </si>
  <si>
    <t>10/06/2025, 13:20</t>
  </si>
  <si>
    <t>00023242</t>
  </si>
  <si>
    <t>12/06/2025, 08:49</t>
  </si>
  <si>
    <t>County Ceilings Installations (Gatwick) Ltd</t>
  </si>
  <si>
    <t>Seth Matthews</t>
  </si>
  <si>
    <t>00023248</t>
  </si>
  <si>
    <t>12/06/2025, 11:52</t>
  </si>
  <si>
    <t>Paul Ashby</t>
  </si>
  <si>
    <t>00023252</t>
  </si>
  <si>
    <t>12/06/2025, 13:05</t>
  </si>
  <si>
    <t>SIG Interiors Ltd (London North)</t>
  </si>
  <si>
    <t>Dave Gilmore</t>
  </si>
  <si>
    <t>00023255</t>
  </si>
  <si>
    <t>12/06/2025, 15:51</t>
  </si>
  <si>
    <t>00023260</t>
  </si>
  <si>
    <t>13/06/2025, 14:51</t>
  </si>
  <si>
    <t>00023228</t>
  </si>
  <si>
    <t>09/06/2025, 15:18</t>
  </si>
  <si>
    <t>5TH AVENUE NO 645 FLOOR 21 ROKOS CAPITAL NYC</t>
  </si>
  <si>
    <t>00023236</t>
  </si>
  <si>
    <t>10/06/2025, 15:12</t>
  </si>
  <si>
    <t>Maris Contracts</t>
  </si>
  <si>
    <t>Amada</t>
  </si>
  <si>
    <t>00023289</t>
  </si>
  <si>
    <t>18/06/2025, 14:37</t>
  </si>
  <si>
    <t>Tana Josipovic</t>
  </si>
  <si>
    <t>00023300</t>
  </si>
  <si>
    <t>20/06/2025, 11:03</t>
  </si>
  <si>
    <t>00023304</t>
  </si>
  <si>
    <t>20/06/2025, 12:34</t>
  </si>
  <si>
    <t>00023293</t>
  </si>
  <si>
    <t>19/06/2025, 12:48</t>
  </si>
  <si>
    <t>00023263</t>
  </si>
  <si>
    <t>16/06/2025, 10:42</t>
  </si>
  <si>
    <t>Stuart Garner</t>
  </si>
  <si>
    <t>00023265</t>
  </si>
  <si>
    <t>16/06/2025, 11:50</t>
  </si>
  <si>
    <t>Ed Theobald</t>
  </si>
  <si>
    <t>QUEEN VICTORIA STREET NO 99 LONDON</t>
  </si>
  <si>
    <t>00023267</t>
  </si>
  <si>
    <t>16/06/2025, 11:56</t>
  </si>
  <si>
    <t>Task Fitout Limited</t>
  </si>
  <si>
    <t>Devon Hadar</t>
  </si>
  <si>
    <t>00023269</t>
  </si>
  <si>
    <t>16/06/2025, 13:01</t>
  </si>
  <si>
    <t>00023271</t>
  </si>
  <si>
    <t>16/06/2025, 13:10</t>
  </si>
  <si>
    <t>Konect Electrical Services</t>
  </si>
  <si>
    <t>Zach Oultram</t>
  </si>
  <si>
    <t>00023275</t>
  </si>
  <si>
    <t>17/06/2025, 10:09</t>
  </si>
  <si>
    <t>00023279</t>
  </si>
  <si>
    <t>18/06/2025, 09:04</t>
  </si>
  <si>
    <t>Vale Interiors Ltd</t>
  </si>
  <si>
    <t>David Page</t>
  </si>
  <si>
    <t>EDF SIZEWELL POWER STATION B VISITORS CENTRE SUFFOLK</t>
  </si>
  <si>
    <t>00023283</t>
  </si>
  <si>
    <t>18/06/2025, 10:28</t>
  </si>
  <si>
    <t>00023285</t>
  </si>
  <si>
    <t>18/06/2025, 12:50</t>
  </si>
  <si>
    <t>00023291</t>
  </si>
  <si>
    <t>19/06/2025, 08:22</t>
  </si>
  <si>
    <t>Nathan Smith</t>
  </si>
  <si>
    <t>00023297</t>
  </si>
  <si>
    <t>19/06/2025, 16:07</t>
  </si>
  <si>
    <t>DALES MANOR BUSINESS PARK CAT A CAMBRIDGE</t>
  </si>
  <si>
    <t>OLD BROAD STREET NO 125 LVL 22 &amp; 23 CAT A LONDON</t>
  </si>
  <si>
    <t>ORT-11556</t>
  </si>
  <si>
    <t>C000419811</t>
  </si>
  <si>
    <t>ORT-11557</t>
  </si>
  <si>
    <t>C000419812</t>
  </si>
  <si>
    <t>ORT-11558</t>
  </si>
  <si>
    <t>C000419813</t>
  </si>
  <si>
    <t>ORT-11559</t>
  </si>
  <si>
    <t>C000419814</t>
  </si>
  <si>
    <t>ORT-11560</t>
  </si>
  <si>
    <t>C000419815</t>
  </si>
  <si>
    <t>ORT-11561</t>
  </si>
  <si>
    <t>C000419816</t>
  </si>
  <si>
    <t>ORT-11562</t>
  </si>
  <si>
    <t>C000419818</t>
  </si>
  <si>
    <t>HANOVER STREET NO 1 ARTUS UNIT TILE LONDON</t>
  </si>
  <si>
    <t>ORT-11563</t>
  </si>
  <si>
    <t>C000419820</t>
  </si>
  <si>
    <t>ORT-11564</t>
  </si>
  <si>
    <t>C000419822</t>
  </si>
  <si>
    <t>FORMER TYNECASTLE SCHOOL RESI BLOCK B PHASE 2 EDINBURGH</t>
  </si>
  <si>
    <t>ORT-11565</t>
  </si>
  <si>
    <t>C000419824</t>
  </si>
  <si>
    <t>RETAMA 7 MADRID</t>
  </si>
  <si>
    <t>ORT-11566</t>
  </si>
  <si>
    <t>C000419825</t>
  </si>
  <si>
    <t>ORT-11567</t>
  </si>
  <si>
    <t>C000419828</t>
  </si>
  <si>
    <t>CHELSEA WESTMINSTER HOSPITAL REFURB LONDON</t>
  </si>
  <si>
    <t>ORT-11568</t>
  </si>
  <si>
    <t>CF00000538</t>
  </si>
  <si>
    <t>ORT-11569</t>
  </si>
  <si>
    <t>C000419834</t>
  </si>
  <si>
    <t>DORKING OFFICE PARK NO 7 STONEBRIDGE HOUSE DORKING</t>
  </si>
  <si>
    <t>ORT-11570</t>
  </si>
  <si>
    <t>C000419844</t>
  </si>
  <si>
    <t>ORT-11571</t>
  </si>
  <si>
    <t>C000419845</t>
  </si>
  <si>
    <t>ORT-11572</t>
  </si>
  <si>
    <t>C000419847</t>
  </si>
  <si>
    <t>ORT-11573</t>
  </si>
  <si>
    <t>C000419849</t>
  </si>
  <si>
    <t>MARKS AND SPENCER KINGSTON</t>
  </si>
  <si>
    <t>ORT-11574</t>
  </si>
  <si>
    <t>C000419850</t>
  </si>
  <si>
    <t>ORT-11575</t>
  </si>
  <si>
    <t>C000419852</t>
  </si>
  <si>
    <t>ORT-11576</t>
  </si>
  <si>
    <t>C000419856</t>
  </si>
  <si>
    <t>ORT-11577</t>
  </si>
  <si>
    <t>C000419867</t>
  </si>
  <si>
    <t>UNI OF CAMBRIDGE HUTCHINSON BUILDING REFURB</t>
  </si>
  <si>
    <t>ORT-11578</t>
  </si>
  <si>
    <t>C000419870</t>
  </si>
  <si>
    <t>AWE THE HUB OFFICE AND TEACHING FACILITY MHS ALDERMASTON</t>
  </si>
  <si>
    <t>ORT-11579</t>
  </si>
  <si>
    <t>C000419871</t>
  </si>
  <si>
    <t>MANCHESTER AIRPORT NORTH FIRE STATION WC REFURB</t>
  </si>
  <si>
    <t>ORT-11581</t>
  </si>
  <si>
    <t>C000419873</t>
  </si>
  <si>
    <t>THE BARBER SHOP LONDON</t>
  </si>
  <si>
    <t>ORT-11582</t>
  </si>
  <si>
    <t>C000419874</t>
  </si>
  <si>
    <t>ORT-11583</t>
  </si>
  <si>
    <t>C000419875</t>
  </si>
  <si>
    <t>WOOD STREET NO 125 FLOOR 4 &amp; 7 CAT A REFURB LONDON</t>
  </si>
  <si>
    <t>ORT-11585</t>
  </si>
  <si>
    <t>C000419881</t>
  </si>
  <si>
    <t>ORT-11586</t>
  </si>
  <si>
    <t>C000419884</t>
  </si>
  <si>
    <t>ORT-11587</t>
  </si>
  <si>
    <t>C000419886</t>
  </si>
  <si>
    <t>ORT-11588</t>
  </si>
  <si>
    <t>C000419889</t>
  </si>
  <si>
    <t>ORT-11589</t>
  </si>
  <si>
    <t>C000419891</t>
  </si>
  <si>
    <t>JOB CENTRE MISC 2025</t>
  </si>
  <si>
    <t>ORT-11590</t>
  </si>
  <si>
    <t>C000419893</t>
  </si>
  <si>
    <t>ORT-11591</t>
  </si>
  <si>
    <t>C000419894</t>
  </si>
  <si>
    <t>ORT-11592</t>
  </si>
  <si>
    <t>C000419895</t>
  </si>
  <si>
    <t>OAKMOOR SCHOOL EXTENSION BORDON</t>
  </si>
  <si>
    <t>ORT-11593</t>
  </si>
  <si>
    <t>C000419897</t>
  </si>
  <si>
    <t>ARTUS MOCK UP PROJECT LONDON</t>
  </si>
  <si>
    <t>ORT-11594</t>
  </si>
  <si>
    <t>C000419902</t>
  </si>
  <si>
    <t>ORT-11595</t>
  </si>
  <si>
    <t>C000419903</t>
  </si>
  <si>
    <t>ORT-11596</t>
  </si>
  <si>
    <t>C000419904</t>
  </si>
  <si>
    <t>ORT-11597</t>
  </si>
  <si>
    <t>C000419905</t>
  </si>
  <si>
    <t>ORT-11598</t>
  </si>
  <si>
    <t>C000419906</t>
  </si>
  <si>
    <t>ORT-11599</t>
  </si>
  <si>
    <t>C000419907</t>
  </si>
  <si>
    <t>ORT-11600</t>
  </si>
  <si>
    <t>C000419909</t>
  </si>
  <si>
    <t>ORT-11601</t>
  </si>
  <si>
    <t>C000419915</t>
  </si>
  <si>
    <t>ORT-11602</t>
  </si>
  <si>
    <t>C000419927</t>
  </si>
  <si>
    <t>MOH SUWAIQ HOSPITAL ADDTL MATERIALS OMAN</t>
  </si>
  <si>
    <t>ORT-11603</t>
  </si>
  <si>
    <t>C000419928</t>
  </si>
  <si>
    <t>MOH KHASAB HOSPITAL ADDTL MATERIALS OMAN</t>
  </si>
  <si>
    <t>ORT-11607</t>
  </si>
  <si>
    <t>C000419935</t>
  </si>
  <si>
    <t>ORT-11608</t>
  </si>
  <si>
    <t>C000419944</t>
  </si>
  <si>
    <t>ORT-11609</t>
  </si>
  <si>
    <t>C000419948</t>
  </si>
  <si>
    <t>ORT-11610</t>
  </si>
  <si>
    <t>C000419952</t>
  </si>
  <si>
    <t>LIVERPOOL JOHN LENNON AIRPORT ASPIRE LOUNGE</t>
  </si>
  <si>
    <t>ORT-11611</t>
  </si>
  <si>
    <t>ORT-11612</t>
  </si>
  <si>
    <t>C000419955</t>
  </si>
  <si>
    <t>BASINGHALL STREET NO 25 WOOLGATE EXCHANGE L&amp;G FITOUT LONDON</t>
  </si>
  <si>
    <t>ORT-11613</t>
  </si>
  <si>
    <t>C000419956</t>
  </si>
  <si>
    <t>ORT-11614</t>
  </si>
  <si>
    <t>ORT-11615</t>
  </si>
  <si>
    <t>CF00000539</t>
  </si>
  <si>
    <t>CAMPUS ENGIE 2025</t>
  </si>
  <si>
    <t>ORT-11616</t>
  </si>
  <si>
    <t>C000419967</t>
  </si>
  <si>
    <t>ORT-11617</t>
  </si>
  <si>
    <t>C000419969</t>
  </si>
  <si>
    <t>ORT-11618</t>
  </si>
  <si>
    <t>C000419972</t>
  </si>
  <si>
    <t>ORT-11619</t>
  </si>
  <si>
    <t>C000419974</t>
  </si>
  <si>
    <t>ORT-11620</t>
  </si>
  <si>
    <t>ORT-11621</t>
  </si>
  <si>
    <t>CF00000540</t>
  </si>
  <si>
    <t>ORT-11622</t>
  </si>
  <si>
    <t>C000419978</t>
  </si>
  <si>
    <t>KING STREET NO 55 6TH FLR CAT B MANCHESTER</t>
  </si>
  <si>
    <t>ORT-11623</t>
  </si>
  <si>
    <t>C000419980</t>
  </si>
  <si>
    <t>ORT-11624</t>
  </si>
  <si>
    <t>C000419981</t>
  </si>
  <si>
    <t>EMBERTON HOUSE INSPIRED SCHOOLS CAT B OLYMPIA LONDON</t>
  </si>
  <si>
    <t>ORT-11625</t>
  </si>
  <si>
    <t>C000419984</t>
  </si>
  <si>
    <t>ORT-11626</t>
  </si>
  <si>
    <t>C000419985</t>
  </si>
  <si>
    <t>Samples (SAS Australia)</t>
  </si>
  <si>
    <t>Tracey Lawton</t>
  </si>
  <si>
    <t>00023307</t>
  </si>
  <si>
    <t>23/06/2025, 11:11</t>
  </si>
  <si>
    <t>00023330</t>
  </si>
  <si>
    <t>25/06/2025, 12:51</t>
  </si>
  <si>
    <t>00023342</t>
  </si>
  <si>
    <t>26/06/2025, 12:49</t>
  </si>
  <si>
    <t>00023344</t>
  </si>
  <si>
    <t>26/06/2025, 15:31</t>
  </si>
  <si>
    <t>BFI STOCK 2025</t>
  </si>
  <si>
    <t>00023316</t>
  </si>
  <si>
    <t>Purchasing</t>
  </si>
  <si>
    <t>24/06/2025, 10:45</t>
  </si>
  <si>
    <t>00023324</t>
  </si>
  <si>
    <t>25/06/2025, 11:16</t>
  </si>
  <si>
    <t>00023326</t>
  </si>
  <si>
    <t>25/06/2025, 11:20</t>
  </si>
  <si>
    <t>00023328</t>
  </si>
  <si>
    <t>25/06/2025, 11:23</t>
  </si>
  <si>
    <t>00023332</t>
  </si>
  <si>
    <t>25/06/2025, 13:04</t>
  </si>
  <si>
    <t>Contract Interior Solutions Limited</t>
  </si>
  <si>
    <t>Amanda Hutchison</t>
  </si>
  <si>
    <t>00023309</t>
  </si>
  <si>
    <t>23/06/2025, 11:27</t>
  </si>
  <si>
    <t>Gerard Murphy</t>
  </si>
  <si>
    <t>00023314</t>
  </si>
  <si>
    <t>24/06/2025, 10:00</t>
  </si>
  <si>
    <t>00023321</t>
  </si>
  <si>
    <t>24/06/2025, 15:31</t>
  </si>
  <si>
    <t>Urban Interior Solutions  Ltd</t>
  </si>
  <si>
    <t>Richard Kirton</t>
  </si>
  <si>
    <t>00023334</t>
  </si>
  <si>
    <t>25/06/2025, 13:30</t>
  </si>
  <si>
    <t>00023337</t>
  </si>
  <si>
    <t>25/06/2025, 14:47</t>
  </si>
  <si>
    <t>CCF East Kilbride</t>
  </si>
  <si>
    <t>Fiona Campbell</t>
  </si>
  <si>
    <t>00023339</t>
  </si>
  <si>
    <t>25/06/2025, 15:07</t>
  </si>
  <si>
    <t>ORT-11628</t>
  </si>
  <si>
    <t>C000419986</t>
  </si>
  <si>
    <t>ORT-11629</t>
  </si>
  <si>
    <t>C000419987</t>
  </si>
  <si>
    <t>ORT-11630</t>
  </si>
  <si>
    <t>C000419988</t>
  </si>
  <si>
    <t>ORT-11631</t>
  </si>
  <si>
    <t>C000419989</t>
  </si>
  <si>
    <t>ORT-11632</t>
  </si>
  <si>
    <t>C000419990</t>
  </si>
  <si>
    <t>ORT-11633</t>
  </si>
  <si>
    <t>C000420001</t>
  </si>
  <si>
    <t>PADDINGTON CENTRAL MICROSOFT FIT OUT FLOORS 5-6 LONDON</t>
  </si>
  <si>
    <t>ORT-11634</t>
  </si>
  <si>
    <t>C000420002</t>
  </si>
  <si>
    <t>ORT-11635</t>
  </si>
  <si>
    <t>C000420005</t>
  </si>
  <si>
    <t>ORT-11636</t>
  </si>
  <si>
    <t>C000420007</t>
  </si>
  <si>
    <t>HOLIDAY INN SOUTHAMPTON</t>
  </si>
  <si>
    <t>ORT-11637</t>
  </si>
  <si>
    <t>C000420010</t>
  </si>
  <si>
    <t>ORT-11638</t>
  </si>
  <si>
    <t>C000420012</t>
  </si>
  <si>
    <t>MERCEDES LOOKERS SHOWROOM TONBRIDGE</t>
  </si>
  <si>
    <t>ORT-11639</t>
  </si>
  <si>
    <t>C000420014</t>
  </si>
  <si>
    <t>ORT-11640</t>
  </si>
  <si>
    <t>C000420016</t>
  </si>
  <si>
    <t>ARTHUR ROAD WINDSOR ONE IHG REFURB WINDSOR</t>
  </si>
  <si>
    <t>ORT-11641</t>
  </si>
  <si>
    <t>C000420019</t>
  </si>
  <si>
    <t>JOSE MALHOA 12 LISBON</t>
  </si>
  <si>
    <t>ORT-11642</t>
  </si>
  <si>
    <t>C000420021</t>
  </si>
  <si>
    <t>ORT-11643</t>
  </si>
  <si>
    <t>CF00000541</t>
  </si>
  <si>
    <t>ORT-11644</t>
  </si>
  <si>
    <t>C000420025</t>
  </si>
  <si>
    <t>ORT-11645</t>
  </si>
  <si>
    <t>C000420027</t>
  </si>
  <si>
    <t>VIRGIN MEDIA DATA CENTRE VM02 HARLOW ESSEX</t>
  </si>
  <si>
    <t>ORT-11646</t>
  </si>
  <si>
    <t>C000420028</t>
  </si>
  <si>
    <t>ORT-11647</t>
  </si>
  <si>
    <t>C000420031</t>
  </si>
  <si>
    <t>ORT-11648</t>
  </si>
  <si>
    <t>ORT-11649</t>
  </si>
  <si>
    <t>C000420035</t>
  </si>
  <si>
    <t>CADWORKS FLOOR 5 FIT OUT GLASGOW</t>
  </si>
  <si>
    <t>ORT-11650</t>
  </si>
  <si>
    <t>C000420042</t>
  </si>
  <si>
    <t>LEADENHALL STREET NO 40 BROOKS MACDONALD FLR 8 LONDON</t>
  </si>
  <si>
    <t>ORT-11651</t>
  </si>
  <si>
    <t>C000420051</t>
  </si>
  <si>
    <t>CANADA LIFE FOURTH FLOOR FIT OUT BARBADOS</t>
  </si>
  <si>
    <t>ORT-11652</t>
  </si>
  <si>
    <t>C000420053</t>
  </si>
  <si>
    <t>ORT-11656</t>
  </si>
  <si>
    <t>C000420058</t>
  </si>
  <si>
    <t>ST GEORGE STREET NO 14 CAT A FLOOR 2 LIGHTING LONDON</t>
  </si>
  <si>
    <t>ORT-11657</t>
  </si>
  <si>
    <t>C000420059</t>
  </si>
  <si>
    <t>ORT-11658</t>
  </si>
  <si>
    <t>C000420061</t>
  </si>
  <si>
    <t>ORT-11659</t>
  </si>
  <si>
    <t>C000420063</t>
  </si>
  <si>
    <t>ORT-11660</t>
  </si>
  <si>
    <t>C000420065</t>
  </si>
  <si>
    <t>ORT-11661</t>
  </si>
  <si>
    <t>C000420066</t>
  </si>
  <si>
    <t>UNI OF SOUTHAMPTON B32 LABORATORY REFURB</t>
  </si>
  <si>
    <t>ORT-11662</t>
  </si>
  <si>
    <t>C000420070</t>
  </si>
  <si>
    <t>ORT-11663</t>
  </si>
  <si>
    <t>C000420072</t>
  </si>
  <si>
    <t>IMO BUILDING ALBERT EMBANKMENT NO 4 REFURB LONDON</t>
  </si>
  <si>
    <t>ORT-11664</t>
  </si>
  <si>
    <t>C000420073</t>
  </si>
  <si>
    <t>BRIXTON RECREATION CENTRE STATION ROAD NO 27 REFURB LONDON</t>
  </si>
  <si>
    <t>ORT-11665</t>
  </si>
  <si>
    <t>C000420074</t>
  </si>
  <si>
    <t>ORT-11666</t>
  </si>
  <si>
    <t>C000420075</t>
  </si>
  <si>
    <t>BATTERSEA POWER STATION APPLE FITOUT FLRS 2 &amp; 3 LONDON</t>
  </si>
  <si>
    <t>ORT-11667</t>
  </si>
  <si>
    <t>C000420077</t>
  </si>
  <si>
    <t>IKEA MILTON KEYNES</t>
  </si>
  <si>
    <t>ORT-11668</t>
  </si>
  <si>
    <t>C000420080</t>
  </si>
  <si>
    <t>02034 CADDELL ADDITIONAL SCOPE</t>
  </si>
  <si>
    <t>ORT-11669</t>
  </si>
  <si>
    <t>C000420081</t>
  </si>
  <si>
    <t>THE POINT BUILDING MARKET STREET MAERSK CAT A MAIDENHEAD</t>
  </si>
  <si>
    <t>ORT-11670</t>
  </si>
  <si>
    <t>C000420084</t>
  </si>
  <si>
    <t>ORT-11671</t>
  </si>
  <si>
    <t>C000420087</t>
  </si>
  <si>
    <t>ORT-11673</t>
  </si>
  <si>
    <t>C000420093</t>
  </si>
  <si>
    <t>SAINSBURYS REFURBISHMENT TONBRIDGE</t>
  </si>
  <si>
    <t>ORT-11674</t>
  </si>
  <si>
    <t>C000420094</t>
  </si>
  <si>
    <t>BROOKFIELD SCHOOL HEREFORD</t>
  </si>
  <si>
    <t>ORT-11675</t>
  </si>
  <si>
    <t>C000420098</t>
  </si>
  <si>
    <t>ORT-11676</t>
  </si>
  <si>
    <t>C000420100</t>
  </si>
  <si>
    <t>ORT-11677</t>
  </si>
  <si>
    <t>C000420107</t>
  </si>
  <si>
    <t>ORT-11678</t>
  </si>
  <si>
    <t>C000420118</t>
  </si>
  <si>
    <t>ORT-11681</t>
  </si>
  <si>
    <t>C000420129</t>
  </si>
  <si>
    <t>PROJECT P MILLBANK LONDON</t>
  </si>
  <si>
    <t>ORT-11682</t>
  </si>
  <si>
    <t>C000420122</t>
  </si>
  <si>
    <t>ORT-11683</t>
  </si>
  <si>
    <t>C000420123</t>
  </si>
  <si>
    <t>ORT-11684</t>
  </si>
  <si>
    <t>C000420125</t>
  </si>
  <si>
    <t>WITAN GATE HOUSE REFURB PHASE 2 LIFT LOBBY MILTON KEYNES</t>
  </si>
  <si>
    <t>ORT-11685</t>
  </si>
  <si>
    <t>C000420130</t>
  </si>
  <si>
    <t>ORT-11686</t>
  </si>
  <si>
    <t>C000420143</t>
  </si>
  <si>
    <t>ORT-11687</t>
  </si>
  <si>
    <t>C000420148</t>
  </si>
  <si>
    <t>ORT-11688</t>
  </si>
  <si>
    <t>C000420150</t>
  </si>
  <si>
    <t>NTT DATA CENTRE LON1-B DAGENHAM BOH</t>
  </si>
  <si>
    <t>ORT-11689</t>
  </si>
  <si>
    <t>C000420149</t>
  </si>
  <si>
    <t>ORT-11690</t>
  </si>
  <si>
    <t>C000420153</t>
  </si>
  <si>
    <t>OLD BAILEY NO 10 CAT A REFURB FLOOR 1 LONDON</t>
  </si>
  <si>
    <t>ORT-11691</t>
  </si>
  <si>
    <t>C000420155</t>
  </si>
  <si>
    <t>ORT-11692</t>
  </si>
  <si>
    <t>C000420157</t>
  </si>
  <si>
    <t>ORT-11693</t>
  </si>
  <si>
    <t>C000420159</t>
  </si>
  <si>
    <t>OXFORD SCIENCE PARK SCHRODINGER BUILDING</t>
  </si>
  <si>
    <t>ORT-11694</t>
  </si>
  <si>
    <t>CF00000544</t>
  </si>
  <si>
    <t>ORT-11695</t>
  </si>
  <si>
    <t>C000420154</t>
  </si>
  <si>
    <t>ORT-11696</t>
  </si>
  <si>
    <t>C000420163</t>
  </si>
  <si>
    <t>ORT-11697</t>
  </si>
  <si>
    <t>C000420164</t>
  </si>
  <si>
    <t>ORT-11698</t>
  </si>
  <si>
    <t>C000420168</t>
  </si>
  <si>
    <t>ORT-11699</t>
  </si>
  <si>
    <t>C000420170</t>
  </si>
  <si>
    <t>ORT-11700</t>
  </si>
  <si>
    <t>C000420171</t>
  </si>
  <si>
    <t>ORT-11701</t>
  </si>
  <si>
    <t>C000420172</t>
  </si>
  <si>
    <t>ORT-11702</t>
  </si>
  <si>
    <t>C000420174</t>
  </si>
  <si>
    <t>CAPABILITY GREEN NO 400 FLOOR 2 REFURB PHASE 2 LUTON</t>
  </si>
  <si>
    <t>ORT-11703</t>
  </si>
  <si>
    <t>C000420178</t>
  </si>
  <si>
    <t>HIGH HOLBORN NO 90 FLR 3 QUINN EMANUEL LONDON</t>
  </si>
  <si>
    <t>ORT-11704</t>
  </si>
  <si>
    <t>C000420190</t>
  </si>
  <si>
    <t>ORT-11705</t>
  </si>
  <si>
    <t>C000420191</t>
  </si>
  <si>
    <t>ORT-11706</t>
  </si>
  <si>
    <t>C000420192</t>
  </si>
  <si>
    <t>ORT-11707</t>
  </si>
  <si>
    <t>C000420193</t>
  </si>
  <si>
    <t>ORT-11708</t>
  </si>
  <si>
    <t>C000420194</t>
  </si>
  <si>
    <t>ORT-11709</t>
  </si>
  <si>
    <t>C000420195</t>
  </si>
  <si>
    <t>ORT-11710</t>
  </si>
  <si>
    <t>C000420196</t>
  </si>
  <si>
    <t>ORT-11711</t>
  </si>
  <si>
    <t>CF00000545</t>
  </si>
  <si>
    <t>GPE - SAINT MAUR CRETEIL STATION</t>
  </si>
  <si>
    <t>ORT-11712</t>
  </si>
  <si>
    <t>C000420201</t>
  </si>
  <si>
    <t>ORT-11713</t>
  </si>
  <si>
    <t>C000420204</t>
  </si>
  <si>
    <t>ORT-11714</t>
  </si>
  <si>
    <t>C000420207</t>
  </si>
  <si>
    <t>ORT-11715</t>
  </si>
  <si>
    <t>C000420208</t>
  </si>
  <si>
    <t>ORT-11716</t>
  </si>
  <si>
    <t>C000420209</t>
  </si>
  <si>
    <t>ORT-11717</t>
  </si>
  <si>
    <t>C000420210</t>
  </si>
  <si>
    <t>THE OXFORD SCIENCE PARK PLOTS NO 23-26 OXFORD</t>
  </si>
  <si>
    <t>ORT-11718</t>
  </si>
  <si>
    <t>C000420213</t>
  </si>
  <si>
    <t>ORT-11719</t>
  </si>
  <si>
    <t>C000420216</t>
  </si>
  <si>
    <t>ORT-11720</t>
  </si>
  <si>
    <t>C000420217</t>
  </si>
  <si>
    <t>OLD BROAD STREET NO 125 FLR 21 REFURB LONDON</t>
  </si>
  <si>
    <t>ORT-11721</t>
  </si>
  <si>
    <t>C000420221</t>
  </si>
  <si>
    <t>ORT-11722</t>
  </si>
  <si>
    <t>C000420223</t>
  </si>
  <si>
    <t>ORT-11723</t>
  </si>
  <si>
    <t>C000420225</t>
  </si>
  <si>
    <t>ORT-11725</t>
  </si>
  <si>
    <t>C000420232</t>
  </si>
  <si>
    <t>ORT-11726</t>
  </si>
  <si>
    <t>C000420236</t>
  </si>
  <si>
    <t>QUEENSFERRY STREET NO 1-8 HOTEL EDINBURGH</t>
  </si>
  <si>
    <t>ORT-11727</t>
  </si>
  <si>
    <t>C000420237</t>
  </si>
  <si>
    <t>ORT-11728</t>
  </si>
  <si>
    <t>C000420242</t>
  </si>
  <si>
    <t>MUSEO BELLAS ARTES BILBAO</t>
  </si>
  <si>
    <t>ORT-11729</t>
  </si>
  <si>
    <t>C000420243</t>
  </si>
  <si>
    <t>ORT-11730</t>
  </si>
  <si>
    <t>WILLEN HOUSE BATH STREET NO 8-26 LONDON</t>
  </si>
  <si>
    <t>ORT-11731</t>
  </si>
  <si>
    <t>C000420248</t>
  </si>
  <si>
    <t>IPSWICH TOWN FOOTBALL CLUB LEVEL 2 LOUNGE</t>
  </si>
  <si>
    <t>ORT-11732</t>
  </si>
  <si>
    <t>C000420249</t>
  </si>
  <si>
    <t>BUCKINGHAM PALACE ROAD NO 123-151 SKYHUB HARTREE LONDON</t>
  </si>
  <si>
    <t>ORT-11733</t>
  </si>
  <si>
    <t>C000420250</t>
  </si>
  <si>
    <t>PORTMAN SQUARE NO 40 LEVEL 1-3 CPPIB FIT OUT LONDON</t>
  </si>
  <si>
    <t>ORT-11734</t>
  </si>
  <si>
    <t>C000420256</t>
  </si>
  <si>
    <t>MANSION HOUSE REFURB WALBROOK LONDON</t>
  </si>
  <si>
    <t>ORT-11735</t>
  </si>
  <si>
    <t>C000420260</t>
  </si>
  <si>
    <t>ORT-11736</t>
  </si>
  <si>
    <t>C000420262</t>
  </si>
  <si>
    <t>UNI OF LIVERPOOL WATERHOUSE BUILDING</t>
  </si>
  <si>
    <t>ORT-11737</t>
  </si>
  <si>
    <t>C000420279</t>
  </si>
  <si>
    <t>ORT-11738</t>
  </si>
  <si>
    <t>C000420282</t>
  </si>
  <si>
    <t>ORT-11739</t>
  </si>
  <si>
    <t>C000420283</t>
  </si>
  <si>
    <t>ORT-11740</t>
  </si>
  <si>
    <t>C000420301</t>
  </si>
  <si>
    <t>ORT-11741</t>
  </si>
  <si>
    <t>C000420304</t>
  </si>
  <si>
    <t>ORT-11742</t>
  </si>
  <si>
    <t>C000420308</t>
  </si>
  <si>
    <t>DASHWOOD LANG ROAD GROUND FLOOR REFURB ADDLESTONE</t>
  </si>
  <si>
    <t>ORT-11743</t>
  </si>
  <si>
    <t>C000420310</t>
  </si>
  <si>
    <t>ORT-11744</t>
  </si>
  <si>
    <t>C000420312</t>
  </si>
  <si>
    <t>ORT-11745</t>
  </si>
  <si>
    <t>IMMERSIVE TOWER DIFC COMMERCIAL OFFICE DEVT DUBAI</t>
  </si>
  <si>
    <t>ORT-11746</t>
  </si>
  <si>
    <t>C000420314</t>
  </si>
  <si>
    <t>LONDON WALL PLACE NO 2 LEVEL 4 LOGITECH FIT OUT LONDON</t>
  </si>
  <si>
    <t>ORT-11747</t>
  </si>
  <si>
    <t>C000420321</t>
  </si>
  <si>
    <t>ORT-11748</t>
  </si>
  <si>
    <t>C000420323</t>
  </si>
  <si>
    <t>ORT-11749</t>
  </si>
  <si>
    <t>C000420325</t>
  </si>
  <si>
    <t>CENTRAL SQUARE WELLING STREET NO 29 FREETHS PH2 LEEDS</t>
  </si>
  <si>
    <t>ORT-11750</t>
  </si>
  <si>
    <t>C000420327</t>
  </si>
  <si>
    <t>CITY OF LONDON SCHOOL FOR GIRLS SUMMER 2025 WORKS BARBICAN</t>
  </si>
  <si>
    <t>ORT-11751</t>
  </si>
  <si>
    <t>C000420331</t>
  </si>
  <si>
    <t>ORT-11752</t>
  </si>
  <si>
    <t>00023370</t>
  </si>
  <si>
    <t>02/07/2025, 10:18</t>
  </si>
  <si>
    <t>Trox Middle East LLC</t>
  </si>
  <si>
    <t>Somasundaram K V</t>
  </si>
  <si>
    <t>00023402</t>
  </si>
  <si>
    <t>04/07/2025, 09:13</t>
  </si>
  <si>
    <t>Marcin Borzecki</t>
  </si>
  <si>
    <t>00023358</t>
  </si>
  <si>
    <t>01/07/2025, 12:11</t>
  </si>
  <si>
    <t>00023364</t>
  </si>
  <si>
    <t>01/07/2025, 15:01</t>
  </si>
  <si>
    <t>00023381</t>
  </si>
  <si>
    <t>02/07/2025, 14:57</t>
  </si>
  <si>
    <t>00023405</t>
  </si>
  <si>
    <t>04/07/2025, 09:26</t>
  </si>
  <si>
    <t>00023354</t>
  </si>
  <si>
    <t>01/07/2025, 08:30</t>
  </si>
  <si>
    <t>Image Ceilings Ltd</t>
  </si>
  <si>
    <t>Gavin Redgewell</t>
  </si>
  <si>
    <t>00023366</t>
  </si>
  <si>
    <t>01/07/2025, 15:28</t>
  </si>
  <si>
    <t>Orange Projects Ltd</t>
  </si>
  <si>
    <t>George Lewis</t>
  </si>
  <si>
    <t>NEW STREET SQUARE NO 6 OC&amp;C REFURB LONDON</t>
  </si>
  <si>
    <t>00023368</t>
  </si>
  <si>
    <t>02/07/2025, 10:08</t>
  </si>
  <si>
    <t>SAS Shop Cash Sales</t>
  </si>
  <si>
    <t>Rodney Fitzgerald</t>
  </si>
  <si>
    <t>SAS SHOP ORDERS</t>
  </si>
  <si>
    <t>00023374</t>
  </si>
  <si>
    <t>02/07/2025, 11:53</t>
  </si>
  <si>
    <t>00023387</t>
  </si>
  <si>
    <t>03/07/2025, 08:44</t>
  </si>
  <si>
    <t>00023389</t>
  </si>
  <si>
    <t>03/07/2025, 10:43</t>
  </si>
  <si>
    <t>00023392</t>
  </si>
  <si>
    <t>03/07/2025, 13:50</t>
  </si>
  <si>
    <t>Alex Naylor</t>
  </si>
  <si>
    <t>00023394</t>
  </si>
  <si>
    <t>03/07/2025, 14:15</t>
  </si>
  <si>
    <t>00023396</t>
  </si>
  <si>
    <t>03/07/2025, 14:30</t>
  </si>
  <si>
    <t>Charlie Corbyn</t>
  </si>
  <si>
    <t>CANARY WHARF DS7 CANADA SQUARE NO 1 UCL SOM PHASE 2 LONDON</t>
  </si>
  <si>
    <t>00023398</t>
  </si>
  <si>
    <t>03/07/2025, 16:11</t>
  </si>
  <si>
    <t>Shaun Carter</t>
  </si>
  <si>
    <t>00023400</t>
  </si>
  <si>
    <t>04/07/2025, 08:41</t>
  </si>
  <si>
    <t>Chris Wilson</t>
  </si>
  <si>
    <t>00023407</t>
  </si>
  <si>
    <t>04/07/2025, 10:38</t>
  </si>
  <si>
    <t>00023410</t>
  </si>
  <si>
    <t>04/07/2025, 12:24</t>
  </si>
  <si>
    <t>00023412</t>
  </si>
  <si>
    <t>04/07/2025, 13:23</t>
  </si>
  <si>
    <t>Tim K Construction</t>
  </si>
  <si>
    <t>Bill Jarman</t>
  </si>
  <si>
    <t>00023414</t>
  </si>
  <si>
    <t>04/07/2025, 13:37</t>
  </si>
  <si>
    <t>Adrian Park</t>
  </si>
  <si>
    <t>00023416</t>
  </si>
  <si>
    <t>04/07/2025, 15:10</t>
  </si>
  <si>
    <t>HOBBY AIRPORT CENTRAL TERMINAL/ BAGGAGE CLAIM</t>
  </si>
  <si>
    <t>00023372</t>
  </si>
  <si>
    <t>02/07/2025, 10:41</t>
  </si>
  <si>
    <t>Total Count</t>
  </si>
  <si>
    <t>Cleansing</t>
  </si>
  <si>
    <t>Sign off</t>
  </si>
  <si>
    <t>Week</t>
  </si>
  <si>
    <t xml:space="preserve">On this data, the week are collated by the raised dates, </t>
  </si>
  <si>
    <t>As orders are there longer than the target, it will trigger them not being on time</t>
  </si>
  <si>
    <t>i.e a record created in week 26 will be on time, when reported in week 26 and week 27</t>
  </si>
  <si>
    <t xml:space="preserve">If its still there in week 28 it will be overdue, </t>
  </si>
  <si>
    <t>so the historic record of week 26 will change. If originally there were 25 records 100% on time, now week 26 would change to 96%, if just this record became overdue.</t>
  </si>
  <si>
    <t>NORTH MISC 2025 - CHRIS EDGE</t>
  </si>
  <si>
    <t>T - TBC under investigation</t>
  </si>
  <si>
    <t>LIGHTBOX TRADING COMPANY</t>
  </si>
  <si>
    <t>Mohammed A. Baydoun</t>
  </si>
  <si>
    <t>00023421</t>
  </si>
  <si>
    <t>07/07/2025, 11:08</t>
  </si>
  <si>
    <t>Middlesex  Ltd</t>
  </si>
  <si>
    <t>Matthew Onyskiw</t>
  </si>
  <si>
    <t>00023419</t>
  </si>
  <si>
    <t>Production</t>
  </si>
  <si>
    <t>07/07/2025, 10:53</t>
  </si>
  <si>
    <t>00023427</t>
  </si>
  <si>
    <t>S - Missed Order</t>
  </si>
  <si>
    <t>07/07/2025, 15:11</t>
  </si>
  <si>
    <t>FINLAISON HOUSE FURNIVAL STREET CAT B FIT OUT VALLIST LONDON</t>
  </si>
  <si>
    <t>00023437</t>
  </si>
  <si>
    <t>C - Customer Return</t>
  </si>
  <si>
    <t>09/07/2025, 07:38</t>
  </si>
  <si>
    <t>T Lott Ltd</t>
  </si>
  <si>
    <t>Sarah Lott</t>
  </si>
  <si>
    <t>00023441</t>
  </si>
  <si>
    <t>09/07/2025, 10:06</t>
  </si>
  <si>
    <t>00023448</t>
  </si>
  <si>
    <t>10/07/2025, 11:42</t>
  </si>
  <si>
    <t>Alice Gordon</t>
  </si>
  <si>
    <t>00023452</t>
  </si>
  <si>
    <t>10/07/2025, 14:28</t>
  </si>
  <si>
    <t>00023454</t>
  </si>
  <si>
    <t>10/07/2025, 14:41</t>
  </si>
  <si>
    <t>ORT-11753</t>
  </si>
  <si>
    <t>C000420340</t>
  </si>
  <si>
    <t>ORT-11754</t>
  </si>
  <si>
    <t>C000420341</t>
  </si>
  <si>
    <t>ORT-11755</t>
  </si>
  <si>
    <t>C000420345</t>
  </si>
  <si>
    <t>ORT-11756</t>
  </si>
  <si>
    <t>C000420347</t>
  </si>
  <si>
    <t>BERKHAMSTED GOLF CLUB FABRIC RAFTS</t>
  </si>
  <si>
    <t>ORT-11757</t>
  </si>
  <si>
    <t>C000420339</t>
  </si>
  <si>
    <t>ORT-11758</t>
  </si>
  <si>
    <t>C000420348</t>
  </si>
  <si>
    <t>GLOBE HOUSE TEMPLE PLACE NO 4 REFURB LONDON</t>
  </si>
  <si>
    <t>ORT-11759</t>
  </si>
  <si>
    <t>C000420354</t>
  </si>
  <si>
    <t>ORT-11760</t>
  </si>
  <si>
    <t>C000420355</t>
  </si>
  <si>
    <t>CITY CENTER MIRDIF CCMI CITY KITCHEN WALL PANEL DUBAI</t>
  </si>
  <si>
    <t>ORT-11761</t>
  </si>
  <si>
    <t>C000420359</t>
  </si>
  <si>
    <t>ST GEORGES HOSPITAL REFURB LONDON</t>
  </si>
  <si>
    <t>ORT-11762</t>
  </si>
  <si>
    <t>C000420363</t>
  </si>
  <si>
    <t>ORT-11763</t>
  </si>
  <si>
    <t>C000420364</t>
  </si>
  <si>
    <t>ORT-11764</t>
  </si>
  <si>
    <t>C000420365</t>
  </si>
  <si>
    <t>LEADENHALL STREET NO 40 SOMPO FLRS 5-6 LONDON</t>
  </si>
  <si>
    <t>ORT-11765</t>
  </si>
  <si>
    <t>C000420366</t>
  </si>
  <si>
    <t>THE GRANGE BISHOPS CLEEVE CHELTENHAM</t>
  </si>
  <si>
    <t>ORT-11766</t>
  </si>
  <si>
    <t>C000420369</t>
  </si>
  <si>
    <t>MANCHESTER AIRPORT T1 STAFF CHANNEL</t>
  </si>
  <si>
    <t>ORT-11767</t>
  </si>
  <si>
    <t>C000420374</t>
  </si>
  <si>
    <t>UCB PHARMA COLLABORATION HUB WINDLESHAM CAMPUS SURREY</t>
  </si>
  <si>
    <t>ORT-11768</t>
  </si>
  <si>
    <t>C000420375</t>
  </si>
  <si>
    <t>BOWMER &amp; KIRKLAND HQ REFURB HEAGE BELPER</t>
  </si>
  <si>
    <t>ORT-11770</t>
  </si>
  <si>
    <t>C000420383</t>
  </si>
  <si>
    <t>ORT-11771</t>
  </si>
  <si>
    <t>C000420384</t>
  </si>
  <si>
    <t>ORT-11772</t>
  </si>
  <si>
    <t>C000420395</t>
  </si>
  <si>
    <t>HERON TOWER BISHOPSGATE NO 110 FLR 3 &amp; 4 REFURB LONDON</t>
  </si>
  <si>
    <t>ORT-11773</t>
  </si>
  <si>
    <t>C000420396</t>
  </si>
  <si>
    <t>ORT-11774</t>
  </si>
  <si>
    <t>C000420397</t>
  </si>
  <si>
    <t>HERON TOWER NO 110 BISHOPSGATE TRADITION FLOORS 8-10 LONDON</t>
  </si>
  <si>
    <t>ORT-11775</t>
  </si>
  <si>
    <t>C000420398</t>
  </si>
  <si>
    <t>KHAZNA AUH4 DATA CENTER &amp; SERVICE BLDG AL MAFRAQ AUH</t>
  </si>
  <si>
    <t>ORT-11776</t>
  </si>
  <si>
    <t>C000420400</t>
  </si>
  <si>
    <t>DORKING OFFICE PARK NO 7 STONEBRIDGE HOUSE LIGHTING</t>
  </si>
  <si>
    <t>ORT-11777</t>
  </si>
  <si>
    <t>C000420406</t>
  </si>
  <si>
    <t>ORT-11778</t>
  </si>
  <si>
    <t>C000420407</t>
  </si>
  <si>
    <t>ORT-11779</t>
  </si>
  <si>
    <t>C000420408</t>
  </si>
  <si>
    <t>UCB FARCHIM</t>
  </si>
  <si>
    <t>ORT-11780</t>
  </si>
  <si>
    <t>C000420414</t>
  </si>
  <si>
    <t>ORT-11781</t>
  </si>
  <si>
    <t>C000420416</t>
  </si>
  <si>
    <t>ORT-11782</t>
  </si>
  <si>
    <t>C000420417</t>
  </si>
  <si>
    <t>CANARY WHARF WOOD WHARF B2 LIFT LOBBIES LONDON</t>
  </si>
  <si>
    <t>ORT-11785</t>
  </si>
  <si>
    <t>C000420425</t>
  </si>
  <si>
    <t>LIVERPOOL STREET NO 1 &amp; BLOMFIELD STREET S&amp;C LONDON</t>
  </si>
  <si>
    <t>ORT-11786</t>
  </si>
  <si>
    <t>C000420430</t>
  </si>
  <si>
    <t>ORT-11787</t>
  </si>
  <si>
    <t>C000420434</t>
  </si>
  <si>
    <t>ORT-11788</t>
  </si>
  <si>
    <t>C000420435</t>
  </si>
  <si>
    <t>SHELTON STREET NO 20-22 GROUND FLOOR COVENT GARDEN LONDON</t>
  </si>
  <si>
    <t>ORT-11789</t>
  </si>
  <si>
    <t>C000420437</t>
  </si>
  <si>
    <t>ORT-11790</t>
  </si>
  <si>
    <t>C000420439</t>
  </si>
  <si>
    <t>ALDERSGATE ST NO 150 THE VERDANT TIKTOK JOINERY LONDON</t>
  </si>
  <si>
    <t>ORT-11791</t>
  </si>
  <si>
    <t>C000420441</t>
  </si>
  <si>
    <t>CADWORKS FLOOR 7 FIT OUT GLASGOW</t>
  </si>
  <si>
    <t>ORT-11792</t>
  </si>
  <si>
    <t>C000420442</t>
  </si>
  <si>
    <t>HOTEL ALBUFERA VALENCIA</t>
  </si>
  <si>
    <t>ORT-11793</t>
  </si>
  <si>
    <t>C000420446</t>
  </si>
  <si>
    <t>UBS INTEGRATION OFFICE FIT OUT MSHEREIB DOHA</t>
  </si>
  <si>
    <t>ORT-11794</t>
  </si>
  <si>
    <t>C000420449</t>
  </si>
  <si>
    <t>DUTY FREE PORTO</t>
  </si>
  <si>
    <t>ORT-11796</t>
  </si>
  <si>
    <t>C000420457</t>
  </si>
  <si>
    <t>CRAYFIELDS BUSINESS PARK UNIT 4.01 ORPINGTON</t>
  </si>
  <si>
    <t>ORT-11797</t>
  </si>
  <si>
    <t>C000420462</t>
  </si>
  <si>
    <t>ORT-11798</t>
  </si>
  <si>
    <t>C000420466</t>
  </si>
  <si>
    <t>ARLINGTON BUSINESS PARK NO 1330 THEALE READING</t>
  </si>
  <si>
    <t>ORT-11799</t>
  </si>
  <si>
    <t>C000420474</t>
  </si>
  <si>
    <t>MARKS AND SPENCER TEMPLE FORTUNE</t>
  </si>
  <si>
    <t>ORT-11800</t>
  </si>
  <si>
    <t>C000420475</t>
  </si>
  <si>
    <t>PILGRIM STREET NO 11 CAT A REFURB LONDON</t>
  </si>
  <si>
    <t>ORT-11801</t>
  </si>
  <si>
    <t>C000420476</t>
  </si>
  <si>
    <t>ORT-11802</t>
  </si>
  <si>
    <t>C000420478</t>
  </si>
  <si>
    <t>ORT-11803</t>
  </si>
  <si>
    <t>C000420480</t>
  </si>
  <si>
    <t>ST GEORGE STREET NO 28 CAT A LONDON</t>
  </si>
  <si>
    <t>ORT-11804</t>
  </si>
  <si>
    <t>C000420482</t>
  </si>
  <si>
    <t>WHITFIELD STREET NO 90 FLOORS 4-5 LONDON</t>
  </si>
  <si>
    <t>ORT-11806</t>
  </si>
  <si>
    <t>C000420484</t>
  </si>
  <si>
    <t>BOTANICAL PLACE WEST BYFLEET BLOCK C REFURB</t>
  </si>
  <si>
    <t>ORT-11808</t>
  </si>
  <si>
    <t>C000420488</t>
  </si>
  <si>
    <t>ORT-11809</t>
  </si>
  <si>
    <t>C000420489</t>
  </si>
  <si>
    <t>ORT-11810</t>
  </si>
  <si>
    <t>C000420491</t>
  </si>
  <si>
    <t>ORT-11811</t>
  </si>
  <si>
    <t>C000420492</t>
  </si>
  <si>
    <t>ORT-11812</t>
  </si>
  <si>
    <t>C000420497</t>
  </si>
  <si>
    <t>ORT-11815</t>
  </si>
  <si>
    <t>C000420503</t>
  </si>
  <si>
    <t>ORT-11816</t>
  </si>
  <si>
    <t>C000420504</t>
  </si>
  <si>
    <t>ORT-11817</t>
  </si>
  <si>
    <t>C000420505</t>
  </si>
  <si>
    <t>ORT-11819</t>
  </si>
  <si>
    <t>C000420515</t>
  </si>
  <si>
    <t>MID KENT COLLEGE GILLINGHAM CAMPUS REFURB GILLINGHAM</t>
  </si>
  <si>
    <t>ORT-11820</t>
  </si>
  <si>
    <t>C000420520</t>
  </si>
  <si>
    <t>FIVE GUYS HEATHROW TERMINAL 5 LONDON</t>
  </si>
  <si>
    <t>ORT-11821</t>
  </si>
  <si>
    <t>C000420523</t>
  </si>
  <si>
    <t>FIVE GUYS HEATHROW TERMINAL 5 LONDON LIGHTING</t>
  </si>
  <si>
    <t>ORT-11822</t>
  </si>
  <si>
    <t>C000420524</t>
  </si>
  <si>
    <t>ORT-11823</t>
  </si>
  <si>
    <t>HSBC PLATINUM MSHEIREB DOHA QATAR</t>
  </si>
  <si>
    <t>ORT-11824</t>
  </si>
  <si>
    <t>C000420529</t>
  </si>
  <si>
    <t>ORT-11825</t>
  </si>
  <si>
    <t>C000420535</t>
  </si>
  <si>
    <t>ORT-11826</t>
  </si>
  <si>
    <t>C000420534</t>
  </si>
  <si>
    <t>ORT-11827</t>
  </si>
  <si>
    <t>C000420536</t>
  </si>
  <si>
    <t>ORT-11828</t>
  </si>
  <si>
    <t>C000420538</t>
  </si>
  <si>
    <t>STATION STREET LOXLEY HOUSE AREA 3 NOTTINGHAM</t>
  </si>
  <si>
    <t>ORT-11829</t>
  </si>
  <si>
    <t>C000420542</t>
  </si>
  <si>
    <t>KINGS CROSS PANCRAS SQUARE NO 2 FLR 4 REFURB LONDON</t>
  </si>
  <si>
    <t>ORT-11830</t>
  </si>
  <si>
    <t>C000420552</t>
  </si>
  <si>
    <t>ORT-11831</t>
  </si>
  <si>
    <t>CF00000549</t>
  </si>
  <si>
    <t>ORT-11832</t>
  </si>
  <si>
    <t>C000420556</t>
  </si>
  <si>
    <t>ORT-11835</t>
  </si>
  <si>
    <t>C000420559</t>
  </si>
  <si>
    <t>ORT-11836</t>
  </si>
  <si>
    <t>C000420561</t>
  </si>
  <si>
    <t>ORT-11837</t>
  </si>
  <si>
    <t>C000420562</t>
  </si>
  <si>
    <t>ORT-11838</t>
  </si>
  <si>
    <t>C000420563</t>
  </si>
  <si>
    <t>ORT-11839</t>
  </si>
  <si>
    <t>C000420564</t>
  </si>
  <si>
    <t>ORT-11840</t>
  </si>
  <si>
    <t>C000420566</t>
  </si>
  <si>
    <t>ORT-11841</t>
  </si>
  <si>
    <t>C000420567</t>
  </si>
  <si>
    <t>ORT-11842</t>
  </si>
  <si>
    <t>C000420568</t>
  </si>
  <si>
    <t>ORT-11843</t>
  </si>
  <si>
    <t>ORT-11844</t>
  </si>
  <si>
    <t>C000420573</t>
  </si>
  <si>
    <t>ORT-11845</t>
  </si>
  <si>
    <t>C000420577</t>
  </si>
  <si>
    <t>ORT-11848</t>
  </si>
  <si>
    <t>C000420588</t>
  </si>
  <si>
    <t>ORT-11849</t>
  </si>
  <si>
    <t>ORT-11850</t>
  </si>
  <si>
    <t>C000420594</t>
  </si>
  <si>
    <t>ORT-11851</t>
  </si>
  <si>
    <t>C000420599</t>
  </si>
  <si>
    <t>ORT-11852</t>
  </si>
  <si>
    <t>C000420600</t>
  </si>
  <si>
    <t>ORT-11853</t>
  </si>
  <si>
    <t>MARK LANE NO 70 LVL 11 CAT A LONDON</t>
  </si>
  <si>
    <t>Technical</t>
  </si>
  <si>
    <t>00023477</t>
  </si>
  <si>
    <t>15/07/2025, 10:36</t>
  </si>
  <si>
    <t>00023514</t>
  </si>
  <si>
    <t>18/07/2025, 13:52</t>
  </si>
  <si>
    <t>00023516</t>
  </si>
  <si>
    <t>18/07/2025, 13:56</t>
  </si>
  <si>
    <t>Rob Smith</t>
  </si>
  <si>
    <t>00023465</t>
  </si>
  <si>
    <t>14/07/2025, 11:56</t>
  </si>
  <si>
    <t>00023474</t>
  </si>
  <si>
    <t>15/07/2025, 10:15</t>
  </si>
  <si>
    <t>Intersign Partitions Ltd</t>
  </si>
  <si>
    <t>Ellie Down</t>
  </si>
  <si>
    <t>00023486</t>
  </si>
  <si>
    <t>16/07/2025, 10:35</t>
  </si>
  <si>
    <t>Base Contracts Ltd</t>
  </si>
  <si>
    <t>Barnaby Cooper</t>
  </si>
  <si>
    <t>00023488</t>
  </si>
  <si>
    <t>16/07/2025, 11:47</t>
  </si>
  <si>
    <t>Morris &amp; Spottiswood Ltd</t>
  </si>
  <si>
    <t>Daniel McGill</t>
  </si>
  <si>
    <t>TESCO WINDSOR</t>
  </si>
  <si>
    <t>00023490</t>
  </si>
  <si>
    <t>17/07/2025, 11:55</t>
  </si>
  <si>
    <t>MGF Interiors Limited</t>
  </si>
  <si>
    <t>Dan Smith</t>
  </si>
  <si>
    <t>00023496</t>
  </si>
  <si>
    <t>17/07/2025, 14:01</t>
  </si>
  <si>
    <t>00023501</t>
  </si>
  <si>
    <t>18/07/2025, 07:59</t>
  </si>
  <si>
    <t>00023503</t>
  </si>
  <si>
    <t>18/07/2025, 08:18</t>
  </si>
  <si>
    <t>Barry Turner &amp; Sons</t>
  </si>
  <si>
    <t>Dean Turner</t>
  </si>
  <si>
    <t>00023505</t>
  </si>
  <si>
    <t>18/07/2025, 08:32</t>
  </si>
  <si>
    <t>SIG Insulation Ltd (Southampton)</t>
  </si>
  <si>
    <t>Kay Lakin</t>
  </si>
  <si>
    <t>BOURNEMOUTH AIRPORT EXPANSION</t>
  </si>
  <si>
    <t>00023519</t>
  </si>
  <si>
    <t>18/07/2025, 14:53</t>
  </si>
  <si>
    <t>00023499</t>
  </si>
  <si>
    <t>17/07/2025, 15:09</t>
  </si>
  <si>
    <t>Laura Nolan</t>
  </si>
  <si>
    <t>516 MEMPHIS BROOKS ART MUSEUM</t>
  </si>
  <si>
    <t>00023510</t>
  </si>
  <si>
    <t>18/07/2025, 13:10</t>
  </si>
  <si>
    <t>00023512</t>
  </si>
  <si>
    <t>18/07/2025, 13:12</t>
  </si>
  <si>
    <t>HARDMAN STREET SPINNINGFIELDS NO 4 LVL 2 MANCHESTER</t>
  </si>
  <si>
    <t>REPSOL 2026 PLAN MADRID</t>
  </si>
  <si>
    <t>ONE LUDLOW OFFICE SUITE 2 MAIDENHEAD LIGHTING</t>
  </si>
  <si>
    <t>ORT-11854</t>
  </si>
  <si>
    <t>C000420607</t>
  </si>
  <si>
    <t>SNOW HILL BARCLAYS FIT OUT BIRMINGHAM</t>
  </si>
  <si>
    <t>ORT-11855</t>
  </si>
  <si>
    <t>C000420608</t>
  </si>
  <si>
    <t>ORT-11856</t>
  </si>
  <si>
    <t>C000420611</t>
  </si>
  <si>
    <t>ORT-11857</t>
  </si>
  <si>
    <t>C000420613</t>
  </si>
  <si>
    <t>ORT-11858</t>
  </si>
  <si>
    <t>C000420618</t>
  </si>
  <si>
    <t>ORT-11859</t>
  </si>
  <si>
    <t>C000420620</t>
  </si>
  <si>
    <t>ORT-11860</t>
  </si>
  <si>
    <t>C000420625</t>
  </si>
  <si>
    <t>ORT-11861</t>
  </si>
  <si>
    <t>C000420627</t>
  </si>
  <si>
    <t>ORT-11862</t>
  </si>
  <si>
    <t>C000420631</t>
  </si>
  <si>
    <t>PORSCHE SHOWROOM BRISTOL</t>
  </si>
  <si>
    <t>ORT-11863</t>
  </si>
  <si>
    <t>C000420632</t>
  </si>
  <si>
    <t>ORT-11864</t>
  </si>
  <si>
    <t>C000420633</t>
  </si>
  <si>
    <t>ORT-11865</t>
  </si>
  <si>
    <t>C000420636</t>
  </si>
  <si>
    <t>ORT-11866</t>
  </si>
  <si>
    <t>C000420639</t>
  </si>
  <si>
    <t>ORT-11867</t>
  </si>
  <si>
    <t>C000420640</t>
  </si>
  <si>
    <t>ORT-11868</t>
  </si>
  <si>
    <t>C000420643</t>
  </si>
  <si>
    <t>ORT-11869</t>
  </si>
  <si>
    <t>C000420645</t>
  </si>
  <si>
    <t>ORT-11870</t>
  </si>
  <si>
    <t>C000420648</t>
  </si>
  <si>
    <t>ORT-11871</t>
  </si>
  <si>
    <t>C000420649</t>
  </si>
  <si>
    <t>KUDU MARYLEBONE MOXON ST 6 LONDON</t>
  </si>
  <si>
    <t>ORT-11873</t>
  </si>
  <si>
    <t>C000420654</t>
  </si>
  <si>
    <t>ORT-11874</t>
  </si>
  <si>
    <t>C000420658</t>
  </si>
  <si>
    <t>ORT-11875</t>
  </si>
  <si>
    <t>C000420683</t>
  </si>
  <si>
    <t>ORT-11876</t>
  </si>
  <si>
    <t>C000420661</t>
  </si>
  <si>
    <t>ORT-11877</t>
  </si>
  <si>
    <t>C000420664</t>
  </si>
  <si>
    <t>ORT-11878</t>
  </si>
  <si>
    <t>C000420667</t>
  </si>
  <si>
    <t>ORT-11879</t>
  </si>
  <si>
    <t>C000420670</t>
  </si>
  <si>
    <t>ROSARIO PINO 14 RENOVATION (20/F) MADRID</t>
  </si>
  <si>
    <t>ORT-11880</t>
  </si>
  <si>
    <t>C000420672</t>
  </si>
  <si>
    <t>ORT-11882</t>
  </si>
  <si>
    <t>C000420674</t>
  </si>
  <si>
    <t>ORT-11883</t>
  </si>
  <si>
    <t>ORT-11884</t>
  </si>
  <si>
    <t>C000420686</t>
  </si>
  <si>
    <t>ORT-11885</t>
  </si>
  <si>
    <t>C000420692</t>
  </si>
  <si>
    <t>ORT-11886</t>
  </si>
  <si>
    <t>C000420700</t>
  </si>
  <si>
    <t>ORT-11887</t>
  </si>
  <si>
    <t>C000420701</t>
  </si>
  <si>
    <t>GATWICK AIRPORT MISC 2025</t>
  </si>
  <si>
    <t>ORT-11888</t>
  </si>
  <si>
    <t>CF00000551</t>
  </si>
  <si>
    <t>ORT-11889</t>
  </si>
  <si>
    <t>C000420708</t>
  </si>
  <si>
    <t>ORT-11890</t>
  </si>
  <si>
    <t>C000420709</t>
  </si>
  <si>
    <t>ONE LUDLOW OFFICE SUITE 2 MAIDENHEAD</t>
  </si>
  <si>
    <t>ORT-11891</t>
  </si>
  <si>
    <t>C000420711</t>
  </si>
  <si>
    <t>ORT-11895</t>
  </si>
  <si>
    <t>C000420718</t>
  </si>
  <si>
    <t>ORT-11896</t>
  </si>
  <si>
    <t>C000420723</t>
  </si>
  <si>
    <t>CANNON STREET NO 111 &amp; ST SWITHIN LANE NO 17 LONDON</t>
  </si>
  <si>
    <t>ORT-11897</t>
  </si>
  <si>
    <t>C000420731</t>
  </si>
  <si>
    <t>ORT-11898</t>
  </si>
  <si>
    <t>C000420738</t>
  </si>
  <si>
    <t>ORT-11899</t>
  </si>
  <si>
    <t>C000420744</t>
  </si>
  <si>
    <t>ORT-11900</t>
  </si>
  <si>
    <t>C000420746</t>
  </si>
  <si>
    <t>ORT-11901</t>
  </si>
  <si>
    <t>C000420752</t>
  </si>
  <si>
    <t>NEKO HEALTH BIRMINGHAM</t>
  </si>
  <si>
    <t>ORT-11902</t>
  </si>
  <si>
    <t>C000420756</t>
  </si>
  <si>
    <t>ORT-11903</t>
  </si>
  <si>
    <t>C000420758</t>
  </si>
  <si>
    <t>ORT-11904</t>
  </si>
  <si>
    <t>C000420759</t>
  </si>
  <si>
    <t>ORT-11905</t>
  </si>
  <si>
    <t>C000420761</t>
  </si>
  <si>
    <t>ORT-11906</t>
  </si>
  <si>
    <t>C000420762</t>
  </si>
  <si>
    <t>ORT-11907</t>
  </si>
  <si>
    <t>C000420764</t>
  </si>
  <si>
    <t>ORT-11908</t>
  </si>
  <si>
    <t>C000420767</t>
  </si>
  <si>
    <t>ORT-11909</t>
  </si>
  <si>
    <t>C000420768</t>
  </si>
  <si>
    <t>ORT-11910</t>
  </si>
  <si>
    <t>C000420769</t>
  </si>
  <si>
    <t>ORT-11911</t>
  </si>
  <si>
    <t>C000420770</t>
  </si>
  <si>
    <t>HANOVER STREET NO 13-14 REFURB LONDON</t>
  </si>
  <si>
    <t>ORT-11912</t>
  </si>
  <si>
    <t>C000420771</t>
  </si>
  <si>
    <t>SOUTHBANK PLACE BUILDING 5 WATERLOO LONDON</t>
  </si>
  <si>
    <t>ORT-11913</t>
  </si>
  <si>
    <t>C000420773</t>
  </si>
  <si>
    <t>ORT-11914</t>
  </si>
  <si>
    <t>C000420776</t>
  </si>
  <si>
    <t>ORT-11915</t>
  </si>
  <si>
    <t>C000420778</t>
  </si>
  <si>
    <t>Multi Dept</t>
  </si>
  <si>
    <t>00023561</t>
  </si>
  <si>
    <t>24/07/2025, 13:15</t>
  </si>
  <si>
    <t>00023563</t>
  </si>
  <si>
    <t>24/07/2025, 13:26</t>
  </si>
  <si>
    <t>00023522</t>
  </si>
  <si>
    <t>21/07/2025, 12:21</t>
  </si>
  <si>
    <t>00023524</t>
  </si>
  <si>
    <t>21/07/2025, 12:27</t>
  </si>
  <si>
    <t>00023526</t>
  </si>
  <si>
    <t>21/07/2025, 12:35</t>
  </si>
  <si>
    <t>Fairway Interiors Ltd</t>
  </si>
  <si>
    <t>Quin Neethling</t>
  </si>
  <si>
    <t>KELVIN ENERGY RECOVERY FACILITY WEST BROMWICH</t>
  </si>
  <si>
    <t>00023528</t>
  </si>
  <si>
    <t>21/07/2025, 12:52</t>
  </si>
  <si>
    <t>00023533</t>
  </si>
  <si>
    <t>21/07/2025, 15:51</t>
  </si>
  <si>
    <t>Spacescape Ltd</t>
  </si>
  <si>
    <t>Mark Munday</t>
  </si>
  <si>
    <t>00023543</t>
  </si>
  <si>
    <t>23/07/2025, 10:57</t>
  </si>
  <si>
    <t>00023546</t>
  </si>
  <si>
    <t>23/07/2025, 12:11</t>
  </si>
  <si>
    <t>Beaumont</t>
  </si>
  <si>
    <t>Victor Souza</t>
  </si>
  <si>
    <t>00023550</t>
  </si>
  <si>
    <t>23/07/2025, 14:11</t>
  </si>
  <si>
    <t>00023552</t>
  </si>
  <si>
    <t>23/07/2025, 14:22</t>
  </si>
  <si>
    <t>Thorn Lighting Ltd</t>
  </si>
  <si>
    <t>Paul Brannigan</t>
  </si>
  <si>
    <t>00023555</t>
  </si>
  <si>
    <t>23/07/2025, 14:42</t>
  </si>
  <si>
    <t>Paul Johnson</t>
  </si>
  <si>
    <t>WAITROSE MISC 2025</t>
  </si>
  <si>
    <t>00023557</t>
  </si>
  <si>
    <t>23/07/2025, 14:56</t>
  </si>
  <si>
    <t>Star Suspended Ceilings Ltd</t>
  </si>
  <si>
    <t>Ian Hinchcliffe</t>
  </si>
  <si>
    <t>HEATHROW LANDISDE TEMP BOOTH</t>
  </si>
  <si>
    <t>00023567</t>
  </si>
  <si>
    <t>25/07/2025, 11:07</t>
  </si>
  <si>
    <t>GEORGE W BUSH INTL AIRPORT IAH-PROCESSOR MOCK-UPS</t>
  </si>
  <si>
    <t>00023569</t>
  </si>
  <si>
    <t>25/07/2025, 11:13</t>
  </si>
  <si>
    <t>APPLE CAMPUS HERZLIYA DATA CENTRE</t>
  </si>
  <si>
    <t>ORT-11918</t>
  </si>
  <si>
    <t>C000420784</t>
  </si>
  <si>
    <t>ORT-11919</t>
  </si>
  <si>
    <t>C000420788</t>
  </si>
  <si>
    <t>ESTEL ANTIGUA TELEFONICA BARCELONA</t>
  </si>
  <si>
    <t>ORT-11920</t>
  </si>
  <si>
    <t>C000420792</t>
  </si>
  <si>
    <t>ORT-11921</t>
  </si>
  <si>
    <t>C000420793</t>
  </si>
  <si>
    <t>KIRYAT MIGDAL RENOVATION</t>
  </si>
  <si>
    <t>ORT-11923</t>
  </si>
  <si>
    <t>C000420795</t>
  </si>
  <si>
    <t>ORT-11924</t>
  </si>
  <si>
    <t>CF00000552</t>
  </si>
  <si>
    <t>RUE SAINT LAZARE NO 74 PARIS</t>
  </si>
  <si>
    <t>ORT-11925</t>
  </si>
  <si>
    <t>C000420802</t>
  </si>
  <si>
    <t>ORT-11926</t>
  </si>
  <si>
    <t>C000420805</t>
  </si>
  <si>
    <t>ORT-11927</t>
  </si>
  <si>
    <t>C000420808</t>
  </si>
  <si>
    <t>ORT-11928</t>
  </si>
  <si>
    <t>C000420815</t>
  </si>
  <si>
    <t>ORT-11929</t>
  </si>
  <si>
    <t>C000420817</t>
  </si>
  <si>
    <t>DEGROOTE SCHOOL OF BUSINESS HAMILTON LEVELS 6 &amp; 9</t>
  </si>
  <si>
    <t>ORT-11930</t>
  </si>
  <si>
    <t>BEORMA QUARTER PHASE 2 BUILDING TWO CAT A BIRMINGHAM</t>
  </si>
  <si>
    <t>ORT-11931</t>
  </si>
  <si>
    <t>C000420821</t>
  </si>
  <si>
    <t>ORT-11932</t>
  </si>
  <si>
    <t>C000420825</t>
  </si>
  <si>
    <t>ORT-11933</t>
  </si>
  <si>
    <t>C000420835</t>
  </si>
  <si>
    <t>GATWICK NORTH TERMINAL PIER 6 EXTENSION</t>
  </si>
  <si>
    <t>ORT-11934</t>
  </si>
  <si>
    <t>C000420851</t>
  </si>
  <si>
    <t>ORT-11935</t>
  </si>
  <si>
    <t>C000420854</t>
  </si>
  <si>
    <t>ORT-11936</t>
  </si>
  <si>
    <t>C000420856</t>
  </si>
  <si>
    <t>ORT-11937</t>
  </si>
  <si>
    <t>C000420858</t>
  </si>
  <si>
    <t>ORT-11938</t>
  </si>
  <si>
    <t>SANCTUARY BUILDINGS GREAT SMITH ST PHASE 2 FLRS B-3 LONDON</t>
  </si>
  <si>
    <t>ORT-11939</t>
  </si>
  <si>
    <t>C000420863</t>
  </si>
  <si>
    <t>BISHOPSGATE NO 22 CAT B FIT OUT RIVERSTONE FLOOR 5 LONDON</t>
  </si>
  <si>
    <t>ORT-11940</t>
  </si>
  <si>
    <t>C000420866</t>
  </si>
  <si>
    <t>THAMES COURT QUEENHITHE NO 1 LONDON</t>
  </si>
  <si>
    <t>ORT-11941</t>
  </si>
  <si>
    <t>C000420867</t>
  </si>
  <si>
    <t>UPPER GROUND NO 20 SEACONTAINERS HOUSE REFURB PH2 LONDON</t>
  </si>
  <si>
    <t>ORT-11942</t>
  </si>
  <si>
    <t>C000420868</t>
  </si>
  <si>
    <t>VOYAGER PLACE REFURB MAIDENHEAD</t>
  </si>
  <si>
    <t>ORT-11943</t>
  </si>
  <si>
    <t>C000420870</t>
  </si>
  <si>
    <t>ORT-11945</t>
  </si>
  <si>
    <t>C000420871</t>
  </si>
  <si>
    <t>ORT-11946</t>
  </si>
  <si>
    <t>C000420874</t>
  </si>
  <si>
    <t>ORT-11947</t>
  </si>
  <si>
    <t>C000420876</t>
  </si>
  <si>
    <t>ORT-11948</t>
  </si>
  <si>
    <t>C000420877</t>
  </si>
  <si>
    <t>BRISTOL ZOO PROJECT BLACKHORSE HILL BRISTOL</t>
  </si>
  <si>
    <t>ORT-11949</t>
  </si>
  <si>
    <t>C000420883</t>
  </si>
  <si>
    <t>GRACECHURCH STREET NO 85 DEVELOPMENT LONDON</t>
  </si>
  <si>
    <t>ORT-11951</t>
  </si>
  <si>
    <t>C000420884</t>
  </si>
  <si>
    <t>LUANDA MEMORIAL</t>
  </si>
  <si>
    <t>ORT-11952</t>
  </si>
  <si>
    <t>C000420887</t>
  </si>
  <si>
    <t>ORT-11953</t>
  </si>
  <si>
    <t>C000420888</t>
  </si>
  <si>
    <t>MOH SALALAH HOSPITAL OMAN ADDITIONAL MATERIALS</t>
  </si>
  <si>
    <t>ORT-11954</t>
  </si>
  <si>
    <t>C000420891</t>
  </si>
  <si>
    <t>ORT-11955</t>
  </si>
  <si>
    <t>CF00000553</t>
  </si>
  <si>
    <t>RATP GARE DE LYON</t>
  </si>
  <si>
    <t>ORT-11956</t>
  </si>
  <si>
    <t>C000420892</t>
  </si>
  <si>
    <t>ORT-11957</t>
  </si>
  <si>
    <t>C000420894</t>
  </si>
  <si>
    <t>ORT-11958</t>
  </si>
  <si>
    <t>C000420895</t>
  </si>
  <si>
    <t>ORT-11960</t>
  </si>
  <si>
    <t>C000420897</t>
  </si>
  <si>
    <t>ORT-11961</t>
  </si>
  <si>
    <t>C000420910</t>
  </si>
  <si>
    <t>PENTONVILLE ROAD NO 210 FLOORS 7-9 REFURB LONDON</t>
  </si>
  <si>
    <t>ORT-11963</t>
  </si>
  <si>
    <t>C000420912</t>
  </si>
  <si>
    <t>ORT-11964</t>
  </si>
  <si>
    <t>C000420914</t>
  </si>
  <si>
    <t>HOUNDSDITCH NO 133 FLOOR 3 REFURB LONDON</t>
  </si>
  <si>
    <t>ORT-11965</t>
  </si>
  <si>
    <t>C000420916</t>
  </si>
  <si>
    <t>CHURCHILL PL NO 5 FLRS 1 &amp; 12 REFURB CANARY WHARF LONDON</t>
  </si>
  <si>
    <t>ORT-11966</t>
  </si>
  <si>
    <t>C000420917</t>
  </si>
  <si>
    <t>ORT-11967</t>
  </si>
  <si>
    <t>C000420918</t>
  </si>
  <si>
    <t>AMI TECHNOLOGIES HOD HASHARON</t>
  </si>
  <si>
    <t>ORT-11969</t>
  </si>
  <si>
    <t>C000420920</t>
  </si>
  <si>
    <t>The Deluxe Group</t>
  </si>
  <si>
    <t>Daniel Lomas</t>
  </si>
  <si>
    <t>00023578</t>
  </si>
  <si>
    <t>28/07/2025, 14:43</t>
  </si>
  <si>
    <t>Travis Perkins</t>
  </si>
  <si>
    <t>Sarah Burchell</t>
  </si>
  <si>
    <t>00023580</t>
  </si>
  <si>
    <t>28/07/2025, 15:07</t>
  </si>
  <si>
    <t>00023582</t>
  </si>
  <si>
    <t>28/07/2025, 15:30</t>
  </si>
  <si>
    <t>00023589</t>
  </si>
  <si>
    <t>31/07/2025, 10:34</t>
  </si>
  <si>
    <t>ST JAMES SQUARE NO 8 FLOOR 1-2 POINT 72 LONDON</t>
  </si>
  <si>
    <t>00023592</t>
  </si>
  <si>
    <t>31/07/2025, 14:20</t>
  </si>
  <si>
    <t>Jasmine Bullock</t>
  </si>
  <si>
    <t>00023594</t>
  </si>
  <si>
    <t>31/07/2025, 15:46</t>
  </si>
  <si>
    <t>David Farr</t>
  </si>
  <si>
    <t>00023598</t>
  </si>
  <si>
    <t>01/08/2025, 09:55</t>
  </si>
  <si>
    <t>Ceiling Services Limited</t>
  </si>
  <si>
    <t>Darren Knight</t>
  </si>
  <si>
    <t>00023600</t>
  </si>
  <si>
    <t>01/08/2025, 10:36</t>
  </si>
  <si>
    <t>CCF Croydon</t>
  </si>
  <si>
    <t>Lisa Harding</t>
  </si>
  <si>
    <t>00023604</t>
  </si>
  <si>
    <t>01/08/2025, 12:49</t>
  </si>
  <si>
    <t>PALACE STREET NO 16 CAT A FLOORS 1-2 LONDON</t>
  </si>
  <si>
    <t>OPTIMA AMR DEVELOPMENT PROJECT</t>
  </si>
  <si>
    <t>NEWGATE STREET NO 7 CAT B MOJ REFURB LONDON</t>
  </si>
  <si>
    <t>HERBAL HILL NO 3-7 FLOORS 1 &amp; 4 FIT</t>
  </si>
  <si>
    <t>ORT-11971</t>
  </si>
  <si>
    <t>C000420923</t>
  </si>
  <si>
    <t>ORT-11972</t>
  </si>
  <si>
    <t>C000420927</t>
  </si>
  <si>
    <t>ORT-11973</t>
  </si>
  <si>
    <t>C000420930</t>
  </si>
  <si>
    <t>PUBLIC WCS FIT OUT PICCADILLY CIRCUS WESTMINSTER LONDON</t>
  </si>
  <si>
    <t>ORT-11974</t>
  </si>
  <si>
    <t>C000420942</t>
  </si>
  <si>
    <t>ORT-11975</t>
  </si>
  <si>
    <t>C000420944</t>
  </si>
  <si>
    <t>AMAZON SWANSEA</t>
  </si>
  <si>
    <t>ORT-11976</t>
  </si>
  <si>
    <t>C000420947</t>
  </si>
  <si>
    <t>QUEEN VICTORIA STREET NO 160 BNY MELLON CAT B PHASE 3 LONDON</t>
  </si>
  <si>
    <t>ORT-11977</t>
  </si>
  <si>
    <t>C000420951</t>
  </si>
  <si>
    <t>OLD JEWRY NO 27 - 32 FLR 1 REFURB LONDON</t>
  </si>
  <si>
    <t>ORT-11978</t>
  </si>
  <si>
    <t>C000420968</t>
  </si>
  <si>
    <t>ORT-11979</t>
  </si>
  <si>
    <t>C000420970</t>
  </si>
  <si>
    <t>HEATHROW T5 LEVEL 10 UK BORDER FORCE HOLDING ROOM</t>
  </si>
  <si>
    <t>ORT-11980</t>
  </si>
  <si>
    <t>C000420974</t>
  </si>
  <si>
    <t>ORT-11981</t>
  </si>
  <si>
    <t>C000420976</t>
  </si>
  <si>
    <t>ORT-11982</t>
  </si>
  <si>
    <t>C000420977</t>
  </si>
  <si>
    <t>ORT-11983</t>
  </si>
  <si>
    <t>C000420978</t>
  </si>
  <si>
    <t>BIRMINGHAM HEALTH INNOVATION CAMPUS</t>
  </si>
  <si>
    <t>ORT-11984</t>
  </si>
  <si>
    <t>C000420979</t>
  </si>
  <si>
    <t>ORT-11985</t>
  </si>
  <si>
    <t>C000420982</t>
  </si>
  <si>
    <t>UNI OF CAMBRIDGE CHEMISTRY LECTURE CEILINGS FLR 2&amp;3 LIGHTING</t>
  </si>
  <si>
    <t>ORT-11986</t>
  </si>
  <si>
    <t>C000420983</t>
  </si>
  <si>
    <t>DISHOOM CANARY WHARF</t>
  </si>
  <si>
    <t>ORT-11987</t>
  </si>
  <si>
    <t>C000420984</t>
  </si>
  <si>
    <t>ORT-11988</t>
  </si>
  <si>
    <t>C000420985</t>
  </si>
  <si>
    <t>ORT-11989</t>
  </si>
  <si>
    <t>C000420986</t>
  </si>
  <si>
    <t>ORT-11990</t>
  </si>
  <si>
    <t>C000420987</t>
  </si>
  <si>
    <t>ORT-11991</t>
  </si>
  <si>
    <t>CF00000557</t>
  </si>
  <si>
    <t>ORT-11992</t>
  </si>
  <si>
    <t>C000420960</t>
  </si>
  <si>
    <t>ORT-11993</t>
  </si>
  <si>
    <t>CF00000555</t>
  </si>
  <si>
    <t>COEUR DE NANTERRE UNIVERSITE</t>
  </si>
  <si>
    <t>ORT-11994</t>
  </si>
  <si>
    <t>C000421002</t>
  </si>
  <si>
    <t>ORT-11995</t>
  </si>
  <si>
    <t>ORT-11996</t>
  </si>
  <si>
    <t>C000421008</t>
  </si>
  <si>
    <t>ORT-11997</t>
  </si>
  <si>
    <t>C000421015</t>
  </si>
  <si>
    <t>ORT-11998</t>
  </si>
  <si>
    <t>C000421020</t>
  </si>
  <si>
    <t>AURIOL DRIVE UNIT 3 GREENFORD LONDON</t>
  </si>
  <si>
    <t>ORT-12000</t>
  </si>
  <si>
    <t>C000421024</t>
  </si>
  <si>
    <t>ORT-12001</t>
  </si>
  <si>
    <t>C000421025</t>
  </si>
  <si>
    <t>ORT-12002</t>
  </si>
  <si>
    <t>C000421026</t>
  </si>
  <si>
    <t>ORT-12003</t>
  </si>
  <si>
    <t>C000421027</t>
  </si>
  <si>
    <t>ORT-12004</t>
  </si>
  <si>
    <t>C000421028</t>
  </si>
  <si>
    <t>ORT-12006</t>
  </si>
  <si>
    <t>C000421035</t>
  </si>
  <si>
    <t>ORT-12007</t>
  </si>
  <si>
    <t>C000421037</t>
  </si>
  <si>
    <t>ORT-12008</t>
  </si>
  <si>
    <t>C000421039</t>
  </si>
  <si>
    <t>ORT-12009</t>
  </si>
  <si>
    <t>C000421041</t>
  </si>
  <si>
    <t>ORT-12010</t>
  </si>
  <si>
    <t>C000421043</t>
  </si>
  <si>
    <t>ORT-12011</t>
  </si>
  <si>
    <t>C000421053</t>
  </si>
  <si>
    <t>BANK STREET NO 40 LVL 19 REFURB LONDON</t>
  </si>
  <si>
    <t>ORT-12012</t>
  </si>
  <si>
    <t>C000421055</t>
  </si>
  <si>
    <t>UPPER GROUND NO 76-78 CAT B PAYPAL LONDON</t>
  </si>
  <si>
    <t>ORT-12013</t>
  </si>
  <si>
    <t>C000421056</t>
  </si>
  <si>
    <t>ORT-12014</t>
  </si>
  <si>
    <t>C000421057</t>
  </si>
  <si>
    <t>ORT-12015</t>
  </si>
  <si>
    <t>C000421058</t>
  </si>
  <si>
    <t>ORT-12017</t>
  </si>
  <si>
    <t>C000421060</t>
  </si>
  <si>
    <t>ORT-12018</t>
  </si>
  <si>
    <t>C000421061</t>
  </si>
  <si>
    <t>ORT-12019</t>
  </si>
  <si>
    <t>C000421066</t>
  </si>
  <si>
    <t>INTERNATIONAL HOUSE ST KATHARINES DOCK FLOOR 4 LONDON</t>
  </si>
  <si>
    <t>ORT-12020</t>
  </si>
  <si>
    <t>C000421070</t>
  </si>
  <si>
    <t>GRAFTON GATE NO 401 3RD FLOOR REFURB MILTON KEYNES</t>
  </si>
  <si>
    <t>ORT-12021</t>
  </si>
  <si>
    <t>C000421074</t>
  </si>
  <si>
    <t>ORT-12022</t>
  </si>
  <si>
    <t>C000421075</t>
  </si>
  <si>
    <t>SOUTH MOLTON TRIANGLE DEVELOPMENT NORTH BLOCK LONDON</t>
  </si>
  <si>
    <t>Chirvan Contract</t>
  </si>
  <si>
    <t>Theodore Kappatos</t>
  </si>
  <si>
    <t>00023642</t>
  </si>
  <si>
    <t>07/08/2025, 14:55</t>
  </si>
  <si>
    <t>00023612</t>
  </si>
  <si>
    <t>04/08/2025, 09:17</t>
  </si>
  <si>
    <t>00023623</t>
  </si>
  <si>
    <t>05/08/2025, 10:22</t>
  </si>
  <si>
    <t>iBuild Interior Services  Ltd</t>
  </si>
  <si>
    <t>Danny Oxby</t>
  </si>
  <si>
    <t>00023614</t>
  </si>
  <si>
    <t>04/08/2025, 09:33</t>
  </si>
  <si>
    <t>Kelvin Hibble</t>
  </si>
  <si>
    <t>00023616</t>
  </si>
  <si>
    <t>04/08/2025, 11:38</t>
  </si>
  <si>
    <t>Natasha Lee</t>
  </si>
  <si>
    <t>00023621</t>
  </si>
  <si>
    <t>04/08/2025, 16:36</t>
  </si>
  <si>
    <t>Sujan Kaleendrarajan</t>
  </si>
  <si>
    <t>00023625</t>
  </si>
  <si>
    <t>05/08/2025, 11:17</t>
  </si>
  <si>
    <t>00023631</t>
  </si>
  <si>
    <t>06/08/2025, 09:02</t>
  </si>
  <si>
    <t>Andhouse Ceilings &amp; Partitions Ltd</t>
  </si>
  <si>
    <t>Nick Moore</t>
  </si>
  <si>
    <t>00023640</t>
  </si>
  <si>
    <t>07/08/2025, 13:15</t>
  </si>
  <si>
    <t>Niblock Building Contractors</t>
  </si>
  <si>
    <t>Stuart Gibson</t>
  </si>
  <si>
    <t>00023644</t>
  </si>
  <si>
    <t>07/08/2025, 15:13</t>
  </si>
  <si>
    <t>Lightweight Drywall Ltd</t>
  </si>
  <si>
    <t>James McGregor</t>
  </si>
  <si>
    <t>00023651</t>
  </si>
  <si>
    <t>08/08/2025, 09:22</t>
  </si>
  <si>
    <t>00023653</t>
  </si>
  <si>
    <t>08/08/2025, 09:29</t>
  </si>
  <si>
    <t>00023656</t>
  </si>
  <si>
    <t>08/08/2025, 09:49</t>
  </si>
  <si>
    <t>00023619</t>
  </si>
  <si>
    <t>04/08/2025, 15:56</t>
  </si>
  <si>
    <t>Charlotte Morgan</t>
  </si>
  <si>
    <t>00023647</t>
  </si>
  <si>
    <t>07/08/2025, 16:09</t>
  </si>
  <si>
    <t>MILLBANK NO 7 WESTMINSTER HOUSE THE SMITH LONDON</t>
  </si>
  <si>
    <t>CITY POINT CAT B FIT OUT FLOOR 7 PHAIDON LONDON</t>
  </si>
  <si>
    <t>ORT-12023</t>
  </si>
  <si>
    <t>C000421088</t>
  </si>
  <si>
    <t>ORT-12024</t>
  </si>
  <si>
    <t>C000421093</t>
  </si>
  <si>
    <t>ORT-12025</t>
  </si>
  <si>
    <t>C000421095</t>
  </si>
  <si>
    <t>ORT-12026</t>
  </si>
  <si>
    <t>UBS OFFICE MODIFICATION DIFC DUBAI</t>
  </si>
  <si>
    <t>ORT-12027</t>
  </si>
  <si>
    <t>CF00000558</t>
  </si>
  <si>
    <t>ORT-12028</t>
  </si>
  <si>
    <t>C000421099</t>
  </si>
  <si>
    <t>ORT-12029</t>
  </si>
  <si>
    <t>C000421101</t>
  </si>
  <si>
    <t>MONKLANDS REPLACEMENT HOSPITAL AIRDRIE</t>
  </si>
  <si>
    <t>ORT-12030</t>
  </si>
  <si>
    <t>C000421102</t>
  </si>
  <si>
    <t>ORT-12031</t>
  </si>
  <si>
    <t>C000421104</t>
  </si>
  <si>
    <t>ORT-12036</t>
  </si>
  <si>
    <t>C000421111</t>
  </si>
  <si>
    <t>Elvis and Kresse</t>
  </si>
  <si>
    <t>ORT-12037</t>
  </si>
  <si>
    <t>C000421116</t>
  </si>
  <si>
    <t>ORT-12038</t>
  </si>
  <si>
    <t>C000421119</t>
  </si>
  <si>
    <t>TYPHOO WHARF REDEVELOPMENT DIGBETH BIRMINGHAM CAT A</t>
  </si>
  <si>
    <t>ORT-12039</t>
  </si>
  <si>
    <t>C000421120</t>
  </si>
  <si>
    <t>ORT-12040</t>
  </si>
  <si>
    <t>C000421121</t>
  </si>
  <si>
    <t>ORT-12041</t>
  </si>
  <si>
    <t>C000421124</t>
  </si>
  <si>
    <t>ORT-12042</t>
  </si>
  <si>
    <t>C000421125</t>
  </si>
  <si>
    <t>CENTRAL SQUARE NO 1 CAPITAL QUARTER CARDIFF</t>
  </si>
  <si>
    <t>ORT-12043</t>
  </si>
  <si>
    <t>C000421126</t>
  </si>
  <si>
    <t>ORT-12044</t>
  </si>
  <si>
    <t>C000421127</t>
  </si>
  <si>
    <t>ORT-12045</t>
  </si>
  <si>
    <t>C000421130</t>
  </si>
  <si>
    <t>ORT-12046</t>
  </si>
  <si>
    <t>C000421137</t>
  </si>
  <si>
    <t>ORT-12047</t>
  </si>
  <si>
    <t>C000421138</t>
  </si>
  <si>
    <t>ORT-12048</t>
  </si>
  <si>
    <t>C000421139</t>
  </si>
  <si>
    <t>ORT-12049</t>
  </si>
  <si>
    <t>C000421141</t>
  </si>
  <si>
    <t>VINE STREET NO 1 FLOORS 3-4 CAT A+ LONDON</t>
  </si>
  <si>
    <t>ORT-12050</t>
  </si>
  <si>
    <t>C000421146</t>
  </si>
  <si>
    <t>ORT-12051</t>
  </si>
  <si>
    <t>C000421150</t>
  </si>
  <si>
    <t>CANARY WHARF WOOD WHARF WATER STREET NO 20 LONDON</t>
  </si>
  <si>
    <t>ORT-12052</t>
  </si>
  <si>
    <t>C000421156</t>
  </si>
  <si>
    <t>ORT-12053</t>
  </si>
  <si>
    <t>C000421157</t>
  </si>
  <si>
    <t>ST PHILIPS PLACE NO 5 BIRMINGHAM</t>
  </si>
  <si>
    <t>ORT-12054</t>
  </si>
  <si>
    <t>C000421158</t>
  </si>
  <si>
    <t>ORT-12055</t>
  </si>
  <si>
    <t>C000421159</t>
  </si>
  <si>
    <t>THE AVENUES MALL &amp; TOWER 2 AL KHOBAR KSA</t>
  </si>
  <si>
    <t>ORT-12056</t>
  </si>
  <si>
    <t>C000421162</t>
  </si>
  <si>
    <t>ORT-12057</t>
  </si>
  <si>
    <t>C000421163</t>
  </si>
  <si>
    <t>ORT-12059</t>
  </si>
  <si>
    <t>C000421165</t>
  </si>
  <si>
    <t>ORT-12060</t>
  </si>
  <si>
    <t>C000421166</t>
  </si>
  <si>
    <t>ORT-12061</t>
  </si>
  <si>
    <t>C000421167</t>
  </si>
  <si>
    <t>ORT-12062</t>
  </si>
  <si>
    <t>C000421168</t>
  </si>
  <si>
    <t>ORT-12063</t>
  </si>
  <si>
    <t>C000421169</t>
  </si>
  <si>
    <t>STAR AKUSTIK ALTDORF</t>
  </si>
  <si>
    <t>ORT-12064</t>
  </si>
  <si>
    <t>C000421178</t>
  </si>
  <si>
    <t>NDA KIRKLEE MOD HEREFORD</t>
  </si>
  <si>
    <t>ORT-12065</t>
  </si>
  <si>
    <t>C000421185</t>
  </si>
  <si>
    <t>ORT-12066</t>
  </si>
  <si>
    <t>C000421187</t>
  </si>
  <si>
    <t>PALM BEACH TOWER PALM JUMEIRAH</t>
  </si>
  <si>
    <t>ORT-12067</t>
  </si>
  <si>
    <t>C000421188</t>
  </si>
  <si>
    <t>QIDDIYA MOTORSPORT PKG 2 &amp; 3 BOH RIYADH</t>
  </si>
  <si>
    <t>ORT-12068</t>
  </si>
  <si>
    <t>C000421190</t>
  </si>
  <si>
    <t>STRAND NO 111 CVC REFURB FLOORS 1-6 LONDON</t>
  </si>
  <si>
    <t>ORT-12072</t>
  </si>
  <si>
    <t>C000421208</t>
  </si>
  <si>
    <t>ORT-12073</t>
  </si>
  <si>
    <t>C000421209</t>
  </si>
  <si>
    <t>ORT-12074</t>
  </si>
  <si>
    <t>C000421214</t>
  </si>
  <si>
    <t>ORT-12075</t>
  </si>
  <si>
    <t>C000421216</t>
  </si>
  <si>
    <t>STEPHEN STREET NO 1-2 FLOOR 9 &amp; 10 ADDITIONALS LONDON</t>
  </si>
  <si>
    <t>Scheduling</t>
  </si>
  <si>
    <t>00023690</t>
  </si>
  <si>
    <t>15/08/2025, 10:05</t>
  </si>
  <si>
    <t>00023696</t>
  </si>
  <si>
    <t>15/08/2025, 15:02</t>
  </si>
  <si>
    <t>00023692</t>
  </si>
  <si>
    <t>15/08/2025, 14:37</t>
  </si>
  <si>
    <t>00023669</t>
  </si>
  <si>
    <t>12/08/2025, 09:11</t>
  </si>
  <si>
    <t>00023694</t>
  </si>
  <si>
    <t>15/08/2025, 14:46</t>
  </si>
  <si>
    <t>00023664</t>
  </si>
  <si>
    <t>12/08/2025, 08:19</t>
  </si>
  <si>
    <t>Becky Wooff</t>
  </si>
  <si>
    <t>00023667</t>
  </si>
  <si>
    <t>12/08/2025, 09:10</t>
  </si>
  <si>
    <t>T &amp; S Acoustic Contracts Ltd</t>
  </si>
  <si>
    <t>Steve Harvey</t>
  </si>
  <si>
    <t>00023676</t>
  </si>
  <si>
    <t>12/08/2025, 13:23</t>
  </si>
  <si>
    <t>00023681</t>
  </si>
  <si>
    <t>13/08/2025, 10:12</t>
  </si>
  <si>
    <t>Rubix Interiors Limited</t>
  </si>
  <si>
    <t>Chris Hurst</t>
  </si>
  <si>
    <t>00023683</t>
  </si>
  <si>
    <t>13/08/2025, 12:37</t>
  </si>
  <si>
    <t>ORT-12076</t>
  </si>
  <si>
    <t>C000421225</t>
  </si>
  <si>
    <t>ORT-12077</t>
  </si>
  <si>
    <t>C000421230</t>
  </si>
  <si>
    <t>QUEENSBERRY HOUSE OLD BURLINGTON STREET NO 3 MOCK UP LONDON</t>
  </si>
  <si>
    <t>ORT-12078</t>
  </si>
  <si>
    <t>C000421232</t>
  </si>
  <si>
    <t>ORT-12079</t>
  </si>
  <si>
    <t>C000421238</t>
  </si>
  <si>
    <t>OLD LIBRARY TRINITY STREET NO 18 CARDIFF</t>
  </si>
  <si>
    <t>ORT-12080</t>
  </si>
  <si>
    <t>ORT-12081</t>
  </si>
  <si>
    <t>C000421245</t>
  </si>
  <si>
    <t>ORT-12082</t>
  </si>
  <si>
    <t>C000421250</t>
  </si>
  <si>
    <t>ORT-12084</t>
  </si>
  <si>
    <t>C000421255</t>
  </si>
  <si>
    <t>ORT-12085</t>
  </si>
  <si>
    <t>C000421257</t>
  </si>
  <si>
    <t>ORT-12086</t>
  </si>
  <si>
    <t>C000421262</t>
  </si>
  <si>
    <t>DAKOTA HOTEL MANCHESTER AIRPORT</t>
  </si>
  <si>
    <t>ORT-12087</t>
  </si>
  <si>
    <t>C000421268</t>
  </si>
  <si>
    <t>ORT-12088</t>
  </si>
  <si>
    <t>ORT-12089</t>
  </si>
  <si>
    <t>C000421270</t>
  </si>
  <si>
    <t>ORT-12090</t>
  </si>
  <si>
    <t>C000421274</t>
  </si>
  <si>
    <t>CITY POINT L1 AND LGF HAYMARKET TERRACE NO 65 EDINBURGH</t>
  </si>
  <si>
    <t>ORT-12091</t>
  </si>
  <si>
    <t>MEC KSA BENOY PROJECT RIYADH</t>
  </si>
  <si>
    <t>ORT-12092</t>
  </si>
  <si>
    <t>C000421277</t>
  </si>
  <si>
    <t>AL NAMAA GENERAL HOSPITAL NORTH SHARQIYAH OMAN</t>
  </si>
  <si>
    <t>ORT-12093</t>
  </si>
  <si>
    <t>C000421279</t>
  </si>
  <si>
    <t>ORT-12094</t>
  </si>
  <si>
    <t>C000421281</t>
  </si>
  <si>
    <t>ORT-12095</t>
  </si>
  <si>
    <t>C000421285</t>
  </si>
  <si>
    <t>ORT-12096</t>
  </si>
  <si>
    <t>C000421289</t>
  </si>
  <si>
    <t>ORT-12097</t>
  </si>
  <si>
    <t>C000421297</t>
  </si>
  <si>
    <t>GILTSPUR STREET NO 20 PROJECT EDWARD LONDON</t>
  </si>
  <si>
    <t>ORT-12098</t>
  </si>
  <si>
    <t>C000421298</t>
  </si>
  <si>
    <t>ORT-12099</t>
  </si>
  <si>
    <t>C000421301</t>
  </si>
  <si>
    <t>ORT-12100</t>
  </si>
  <si>
    <t>C000421302</t>
  </si>
  <si>
    <t>ORT-12101</t>
  </si>
  <si>
    <t>C000421303</t>
  </si>
  <si>
    <t>ORT-12102</t>
  </si>
  <si>
    <t>C000421306</t>
  </si>
  <si>
    <t>ORT-12103</t>
  </si>
  <si>
    <t>C000421308</t>
  </si>
  <si>
    <t>ORT-12104</t>
  </si>
  <si>
    <t>C000421315</t>
  </si>
  <si>
    <t>DUDLEY INTERCHANGE FISHER STREET</t>
  </si>
  <si>
    <t>ORT-12105</t>
  </si>
  <si>
    <t>C000421316</t>
  </si>
  <si>
    <t>ORT-12106</t>
  </si>
  <si>
    <t>C000421318</t>
  </si>
  <si>
    <t>ORT-12107</t>
  </si>
  <si>
    <t>C000421323</t>
  </si>
  <si>
    <t>ORT-12108</t>
  </si>
  <si>
    <t>C000421324</t>
  </si>
  <si>
    <t>ORT-12109</t>
  </si>
  <si>
    <t>C000421325</t>
  </si>
  <si>
    <t>ORT-12110</t>
  </si>
  <si>
    <t>C000421326</t>
  </si>
  <si>
    <t>NEW YORK STREET NO 1 CAT B REFURB MANCHESTER</t>
  </si>
  <si>
    <t>ORT-12111</t>
  </si>
  <si>
    <t>C000421327</t>
  </si>
  <si>
    <t>ORT-12112</t>
  </si>
  <si>
    <t>C000421328</t>
  </si>
  <si>
    <t>UNIVERSITY OF HERTFORDSHIRE TODD BUILDING</t>
  </si>
  <si>
    <t>ORT-12113</t>
  </si>
  <si>
    <t>C000421338</t>
  </si>
  <si>
    <t>ORT-12114</t>
  </si>
  <si>
    <t>C000421347</t>
  </si>
  <si>
    <t>MARKS &amp; SPENCER DOUGLAS</t>
  </si>
  <si>
    <t>ORT-12117</t>
  </si>
  <si>
    <t>C000421363</t>
  </si>
  <si>
    <t>ORT-12118</t>
  </si>
  <si>
    <t>C000421364</t>
  </si>
  <si>
    <t>ORT-12119</t>
  </si>
  <si>
    <t>C000421368</t>
  </si>
  <si>
    <t>ORT-12120</t>
  </si>
  <si>
    <t>C000421369</t>
  </si>
  <si>
    <t>VILLAGE HOTEL ASHTON MANCHESTER</t>
  </si>
  <si>
    <t>ORT-12121</t>
  </si>
  <si>
    <t>C000421370</t>
  </si>
  <si>
    <t>ORT-12122</t>
  </si>
  <si>
    <t>C000421371</t>
  </si>
  <si>
    <t>GROSVENOR STREET NO 77 FLOOR 4 PHASE 2 LONDON</t>
  </si>
  <si>
    <t>ORT-12123</t>
  </si>
  <si>
    <t>C000421372</t>
  </si>
  <si>
    <t>ORT-12124</t>
  </si>
  <si>
    <t>C000421376</t>
  </si>
  <si>
    <t>EXCHANGE SQUARE NO 1 CAT A REFURB LONDON</t>
  </si>
  <si>
    <t>ORT-12125</t>
  </si>
  <si>
    <t>C000421377</t>
  </si>
  <si>
    <t>LIVERPOOL STREET NO 100 CAT B MILBANK LLP LEVEL 7 LONDON</t>
  </si>
  <si>
    <t>SAS International France</t>
  </si>
  <si>
    <t>Marielle Mouyon</t>
  </si>
  <si>
    <t>00023715</t>
  </si>
  <si>
    <t>20/08/2025, 11:08</t>
  </si>
  <si>
    <t>PM GROUP OFFICE FITOUT KEARNEY HOUSE DUBLIN LIGHTING</t>
  </si>
  <si>
    <t>00023719</t>
  </si>
  <si>
    <t>20/08/2025, 13:25</t>
  </si>
  <si>
    <t>James &amp; Son Ltd</t>
  </si>
  <si>
    <t>James Ridpath</t>
  </si>
  <si>
    <t>00023702</t>
  </si>
  <si>
    <t>18/08/2025, 15:32</t>
  </si>
  <si>
    <t>00023713</t>
  </si>
  <si>
    <t>20/08/2025, 11:00</t>
  </si>
  <si>
    <t>System Project Solutions Ltd</t>
  </si>
  <si>
    <t>Sam Sculley</t>
  </si>
  <si>
    <t>00023717</t>
  </si>
  <si>
    <t>20/08/2025, 11:58</t>
  </si>
  <si>
    <t>NAB Contractor</t>
  </si>
  <si>
    <t>Marius Rotaru</t>
  </si>
  <si>
    <t>TAILWATER CAPITAL TI DALLAS TX</t>
  </si>
  <si>
    <t>00023721</t>
  </si>
  <si>
    <t>20/08/2025, 13:44</t>
  </si>
  <si>
    <t>ORT-12130</t>
  </si>
  <si>
    <t>C000421382</t>
  </si>
  <si>
    <t>HUMPHRYS ROAD UNIT 1 &amp; 1A WOODSIDE DUNSTABLE</t>
  </si>
  <si>
    <t>ORT-12131</t>
  </si>
  <si>
    <t>C000421383</t>
  </si>
  <si>
    <t>ACS HANGAR CAFE EWELL ROAD NO 171-185 SURBITON</t>
  </si>
  <si>
    <t>ORT-12132</t>
  </si>
  <si>
    <t>C000421391</t>
  </si>
  <si>
    <t>CIRCLE SQUARE NO 3 AUTOTRADER FITOUT MANCHESTER</t>
  </si>
  <si>
    <t>ORT-12133</t>
  </si>
  <si>
    <t>C000421392</t>
  </si>
  <si>
    <t>MARRIOTT HOTEL &amp; EXECUTIVE APARTMENTS KAMPALA</t>
  </si>
  <si>
    <t>ORT-12134</t>
  </si>
  <si>
    <t>C000421393</t>
  </si>
  <si>
    <t>HERBAL HILL NO 3-7 FLOORS 1 &amp; 4 FIT OUT LONDON</t>
  </si>
  <si>
    <t>ORT-12135</t>
  </si>
  <si>
    <t>C000421399</t>
  </si>
  <si>
    <t>ORT-12136</t>
  </si>
  <si>
    <t>C000421400</t>
  </si>
  <si>
    <t>ORT-12138</t>
  </si>
  <si>
    <t>C000421401</t>
  </si>
  <si>
    <t>ORT-12139</t>
  </si>
  <si>
    <t>C000421403</t>
  </si>
  <si>
    <t>ORT-12140</t>
  </si>
  <si>
    <t>C000421404</t>
  </si>
  <si>
    <t>ORT-12141</t>
  </si>
  <si>
    <t>C000421411</t>
  </si>
  <si>
    <t>WEYBRIDGE INNOVATION FACILITY HALEON (GSK) THE HEIGHTS - NDA</t>
  </si>
  <si>
    <t>ORT-12142</t>
  </si>
  <si>
    <t>C000421414</t>
  </si>
  <si>
    <t>ORT-12143</t>
  </si>
  <si>
    <t>C000421416</t>
  </si>
  <si>
    <t>ORT-12144</t>
  </si>
  <si>
    <t>C000421417</t>
  </si>
  <si>
    <t>ORT-12145</t>
  </si>
  <si>
    <t>C000421420</t>
  </si>
  <si>
    <t>ORT-12146</t>
  </si>
  <si>
    <t>C000421423</t>
  </si>
  <si>
    <t>GRESHAM STREET NO 20 DILAP LONDON</t>
  </si>
  <si>
    <t>ORT-12147</t>
  </si>
  <si>
    <t>ORT-12148</t>
  </si>
  <si>
    <t>C000421451</t>
  </si>
  <si>
    <t>RITZ HOTEL PICCADILLY NO 150 PROJECT PICNIC LONDON</t>
  </si>
  <si>
    <t>ORT-12149</t>
  </si>
  <si>
    <t>C000421453</t>
  </si>
  <si>
    <t>ORT-12150</t>
  </si>
  <si>
    <t>C000421455</t>
  </si>
  <si>
    <t>HEATHROW T5 WATCHES OF SWITZERLAND STORE</t>
  </si>
  <si>
    <t>ORT-12151</t>
  </si>
  <si>
    <t>C000421459</t>
  </si>
  <si>
    <t>ORT-12152</t>
  </si>
  <si>
    <t>C000421461</t>
  </si>
  <si>
    <t>ORT-12153</t>
  </si>
  <si>
    <t>C000421462</t>
  </si>
  <si>
    <t>ORT-12154</t>
  </si>
  <si>
    <t>C000421464</t>
  </si>
  <si>
    <t>ORT-12155</t>
  </si>
  <si>
    <t>C000421467</t>
  </si>
  <si>
    <t>MIRA TECHNOLOGIES WORKSHOPS PHASE 3 NUNEATON</t>
  </si>
  <si>
    <t>ORT-12156</t>
  </si>
  <si>
    <t>C000421470</t>
  </si>
  <si>
    <t>ORT-12157</t>
  </si>
  <si>
    <t>C000421471</t>
  </si>
  <si>
    <t>ORT-12158</t>
  </si>
  <si>
    <t>C000421474</t>
  </si>
  <si>
    <t>BISHOPSGATE NO 22 LEVEL 9 AMWINS REFURB LONDON</t>
  </si>
  <si>
    <t>ORT-12159</t>
  </si>
  <si>
    <t>C000421475</t>
  </si>
  <si>
    <t>GRUPO JORGE OFICINAS ZARAGOZA</t>
  </si>
  <si>
    <t>ORT-12160</t>
  </si>
  <si>
    <t>C000421481</t>
  </si>
  <si>
    <t>ORT-12162</t>
  </si>
  <si>
    <t>C000421486</t>
  </si>
  <si>
    <t>ORT-12163</t>
  </si>
  <si>
    <t>C000421490</t>
  </si>
  <si>
    <t>ORT-12164</t>
  </si>
  <si>
    <t>C000421488</t>
  </si>
  <si>
    <t>ORT-12165</t>
  </si>
  <si>
    <t>C000421485</t>
  </si>
  <si>
    <t>ORT-12166</t>
  </si>
  <si>
    <t>C000421493</t>
  </si>
  <si>
    <t>ORT-12167</t>
  </si>
  <si>
    <t>C000421494</t>
  </si>
  <si>
    <t>Beacon Business Interiors Ltd</t>
  </si>
  <si>
    <t>Q - Incorrect Configuration</t>
  </si>
  <si>
    <t>Roskel Contracts Glasgow Ltd</t>
  </si>
  <si>
    <t>Lina N - Wells</t>
  </si>
  <si>
    <t>00023745</t>
  </si>
  <si>
    <t>26/08/2025, 09:43</t>
  </si>
  <si>
    <t>PREMIER PARK UNIT 7 PARK ROYAL LONDON</t>
  </si>
  <si>
    <t>00023756</t>
  </si>
  <si>
    <t>27/08/2025, 09:38</t>
  </si>
  <si>
    <t>R &amp; J Keen Interiors</t>
  </si>
  <si>
    <t>Robin Keen</t>
  </si>
  <si>
    <t>00023760</t>
  </si>
  <si>
    <t>27/08/2025, 13:09</t>
  </si>
  <si>
    <t>New Forest Ceilings Ltd</t>
  </si>
  <si>
    <t>Nadia Assheton-Smith</t>
  </si>
  <si>
    <t>SUSSEX UNIVERSITY ARUNDEL BUILDING FLR 3 ROOM 301 REFURB</t>
  </si>
  <si>
    <t>00023762</t>
  </si>
  <si>
    <t>27/08/2025, 15:04</t>
  </si>
  <si>
    <t>00023766</t>
  </si>
  <si>
    <t>28/08/2025, 10:32</t>
  </si>
  <si>
    <t>00023768</t>
  </si>
  <si>
    <t>28/08/2025, 11:40</t>
  </si>
  <si>
    <t>PORTLAND HOUSE BRESSENDEN PLACE MYO FIT OUT LONDON</t>
  </si>
  <si>
    <t>00023774</t>
  </si>
  <si>
    <t>28/08/2025, 14:17</t>
  </si>
  <si>
    <t>Daniel Lewis</t>
  </si>
  <si>
    <t>00023777</t>
  </si>
  <si>
    <t>28/08/2025, 14:49</t>
  </si>
  <si>
    <t>00023743</t>
  </si>
  <si>
    <t>26/08/2025, 09:07</t>
  </si>
  <si>
    <t>OSNEY POWER STATION SAID BUSINESS SCHOOL OXFORD</t>
  </si>
  <si>
    <t>ORT-12168</t>
  </si>
  <si>
    <t>C000421510</t>
  </si>
  <si>
    <t>ORT-12169</t>
  </si>
  <si>
    <t>C000421511</t>
  </si>
  <si>
    <t>ORT-12170</t>
  </si>
  <si>
    <t>C000421514</t>
  </si>
  <si>
    <t>ORT-12171</t>
  </si>
  <si>
    <t>C000421522</t>
  </si>
  <si>
    <t>ORT-12172</t>
  </si>
  <si>
    <t>C000421525</t>
  </si>
  <si>
    <t>LANCASTER WHARF GUN QUARTER BIRMINGHAM</t>
  </si>
  <si>
    <t>ORT-12173</t>
  </si>
  <si>
    <t>C000421529</t>
  </si>
  <si>
    <t>ORT-12174</t>
  </si>
  <si>
    <t>C000421546</t>
  </si>
  <si>
    <t>ORT-12175</t>
  </si>
  <si>
    <t>C000421549</t>
  </si>
  <si>
    <t>ORT-12176</t>
  </si>
  <si>
    <t>C000421556</t>
  </si>
  <si>
    <t>ORT-12177</t>
  </si>
  <si>
    <t>C000421557</t>
  </si>
  <si>
    <t>ORT-12178</t>
  </si>
  <si>
    <t>C000421558</t>
  </si>
  <si>
    <t>ORT-12181</t>
  </si>
  <si>
    <t>VERDE BY SOBHA MIXED DEVT PLOT 3935816 JLT DUBAI</t>
  </si>
  <si>
    <t>ORT-12182</t>
  </si>
  <si>
    <t>C000421570</t>
  </si>
  <si>
    <t>UNI OF OXFORD INSTITUTE FOR GLOBAL HEALTH BLDG</t>
  </si>
  <si>
    <t>ORT-12183</t>
  </si>
  <si>
    <t>C000421577</t>
  </si>
  <si>
    <t>ORT-12184</t>
  </si>
  <si>
    <t>C000421578</t>
  </si>
  <si>
    <t>ORT-12185</t>
  </si>
  <si>
    <t>ORT-12186</t>
  </si>
  <si>
    <t>C000421584</t>
  </si>
  <si>
    <t>SALISBURY SQUARE DEVELOPMENT COURT BUILDING LONDON</t>
  </si>
  <si>
    <t>ORT-12187</t>
  </si>
  <si>
    <t>C000421585</t>
  </si>
  <si>
    <t>NEWATER HOUSE NEWHALL STREET FLOOR 2 BIRMINGHAM</t>
  </si>
  <si>
    <t>ORT-12188</t>
  </si>
  <si>
    <t>C000421586</t>
  </si>
  <si>
    <t>ORT-12189</t>
  </si>
  <si>
    <t>C000421588</t>
  </si>
  <si>
    <t>ORT-12190</t>
  </si>
  <si>
    <t>C000421589</t>
  </si>
  <si>
    <t>BISHOPSGATE NO 199 CAT B FLOOR 10 DORSEY &amp; WHITNEY LONDON</t>
  </si>
  <si>
    <t>ORT-12191</t>
  </si>
  <si>
    <t>C000421590</t>
  </si>
  <si>
    <t>MOSELLE PROJECT BROADWATER FARM ESTATE HARINGEY</t>
  </si>
  <si>
    <t>ORT-12192</t>
  </si>
  <si>
    <t>C000421591</t>
  </si>
  <si>
    <t>ORT-12193</t>
  </si>
  <si>
    <t>C000421592</t>
  </si>
  <si>
    <t>UNI OF SOUTHAMPTON B1 LABORATORY</t>
  </si>
  <si>
    <t>ORT-12194</t>
  </si>
  <si>
    <t>C000421593</t>
  </si>
  <si>
    <t>BMW SHOWROOM FARNBOROUGH</t>
  </si>
  <si>
    <t>ORT-12195</t>
  </si>
  <si>
    <t>C000421600</t>
  </si>
  <si>
    <t>VICTORIA STREET NO 105 CORES &amp; BASEMENT LONDON</t>
  </si>
  <si>
    <t>ORT-12196</t>
  </si>
  <si>
    <t>C000421603</t>
  </si>
  <si>
    <t>ORT-12197</t>
  </si>
  <si>
    <t>C000421604</t>
  </si>
  <si>
    <t>ASTON VILLA TRAINING GROUND REHAB CENTRE</t>
  </si>
  <si>
    <t>ORT-12198</t>
  </si>
  <si>
    <t>C000421614</t>
  </si>
  <si>
    <t>ORT-12199</t>
  </si>
  <si>
    <t>C000421616</t>
  </si>
  <si>
    <t>ORT-12201</t>
  </si>
  <si>
    <t>C000421624</t>
  </si>
  <si>
    <t>BERKELEY SQUARE NO 36-38 CHANEL CAT B FIT OUT LONDON</t>
  </si>
  <si>
    <t>ORT-12202</t>
  </si>
  <si>
    <t>C000421628</t>
  </si>
  <si>
    <t>PILGRIM STREET PHASE 3 BUILDING 1 &amp; 2 NEWCASTLE</t>
  </si>
  <si>
    <t>ORT-12203</t>
  </si>
  <si>
    <t>C000421630</t>
  </si>
  <si>
    <t>ORT-12204</t>
  </si>
  <si>
    <t>C000421637</t>
  </si>
  <si>
    <t>ORT-12205</t>
  </si>
  <si>
    <t>C000421641</t>
  </si>
  <si>
    <t>ORT-12206</t>
  </si>
  <si>
    <t>C000421645</t>
  </si>
  <si>
    <t>BMW RENOVATION MISSISSAUGA ONTARIO</t>
  </si>
  <si>
    <t>ORT-12207</t>
  </si>
  <si>
    <t>C000421654</t>
  </si>
  <si>
    <t>FENCHURCH STREET NO 20 CAT A FLOOR 4 LONDON</t>
  </si>
  <si>
    <t>ORT-12208</t>
  </si>
  <si>
    <t>C000421656</t>
  </si>
  <si>
    <t>BANKSIDE YARDS PHASE 2 WESTERN YARDS BY2 OPUS LONDON</t>
  </si>
  <si>
    <t>Matt Day</t>
  </si>
  <si>
    <t>00023790</t>
  </si>
  <si>
    <t>03/09/2025, 09:16</t>
  </si>
  <si>
    <t>00023794</t>
  </si>
  <si>
    <t>03/09/2025, 11:36</t>
  </si>
  <si>
    <t>CCF Avon</t>
  </si>
  <si>
    <t>James Jones</t>
  </si>
  <si>
    <t>00023796</t>
  </si>
  <si>
    <t>03/09/2025, 12:11</t>
  </si>
  <si>
    <t>SAVILE ROW NO 23 ROKOS FLR 2-3 LONDON</t>
  </si>
  <si>
    <t>00023800</t>
  </si>
  <si>
    <t>03/09/2025, 12:50</t>
  </si>
  <si>
    <t>MANCHESTER SCIENCE PARK GREENHEYS FABRIC PROJECT</t>
  </si>
  <si>
    <t>00023802</t>
  </si>
  <si>
    <t>03/09/2025, 13:08</t>
  </si>
  <si>
    <t>Fulserve Ltd</t>
  </si>
  <si>
    <t>Paul James Dengate</t>
  </si>
  <si>
    <t>00023804</t>
  </si>
  <si>
    <t>03/09/2025, 14:04</t>
  </si>
  <si>
    <t>Kai Geere</t>
  </si>
  <si>
    <t>00023807</t>
  </si>
  <si>
    <t>03/09/2025, 14:55</t>
  </si>
  <si>
    <t>Joe Faulkner</t>
  </si>
  <si>
    <t>UNI OF WARWICK CLAYCROFT HALLS OF RESIDENCE</t>
  </si>
  <si>
    <t>00023813</t>
  </si>
  <si>
    <t>04/09/2025, 15:18</t>
  </si>
  <si>
    <t>00023816</t>
  </si>
  <si>
    <t>05/09/2025, 09:15</t>
  </si>
  <si>
    <t>Phil Church</t>
  </si>
  <si>
    <t>00023818</t>
  </si>
  <si>
    <t>05/09/2025, 09:49</t>
  </si>
  <si>
    <t>00023820</t>
  </si>
  <si>
    <t>05/09/2025, 15:04</t>
  </si>
  <si>
    <t>INSTALL S COOP</t>
  </si>
  <si>
    <t>Jon Blanco</t>
  </si>
  <si>
    <t>00023828</t>
  </si>
  <si>
    <t>08/09/2025, 15:28</t>
  </si>
  <si>
    <t>HS2 OLD OAK COMMON STATION SERVICE BOOMS</t>
  </si>
  <si>
    <t>00023837</t>
  </si>
  <si>
    <t>09/09/2025, 10:10</t>
  </si>
  <si>
    <t>00023859</t>
  </si>
  <si>
    <t>11/09/2025, 15:45</t>
  </si>
  <si>
    <t>Completely Interiors Southern Ltd</t>
  </si>
  <si>
    <t>Andy Chapman</t>
  </si>
  <si>
    <t>00023822</t>
  </si>
  <si>
    <t>08/09/2025, 10:33</t>
  </si>
  <si>
    <t>CCF Nottingham</t>
  </si>
  <si>
    <t>Lee Smith</t>
  </si>
  <si>
    <t>NORTH MISC 2025 DAVID BAYLIS</t>
  </si>
  <si>
    <t>00023826</t>
  </si>
  <si>
    <t>08/09/2025, 13:08</t>
  </si>
  <si>
    <t>F. Brown (Scotland) Plc</t>
  </si>
  <si>
    <t>Billy McDonald</t>
  </si>
  <si>
    <t>00023835</t>
  </si>
  <si>
    <t>09/09/2025, 09:15</t>
  </si>
  <si>
    <t>00023839</t>
  </si>
  <si>
    <t>09/09/2025, 11:43</t>
  </si>
  <si>
    <t>00023841</t>
  </si>
  <si>
    <t>09/09/2025, 12:19</t>
  </si>
  <si>
    <t>Josh Watling</t>
  </si>
  <si>
    <t>00023845</t>
  </si>
  <si>
    <t>09/09/2025, 14:09</t>
  </si>
  <si>
    <t>GPL Projects Ltd</t>
  </si>
  <si>
    <t>Graham Lupton</t>
  </si>
  <si>
    <t>00023847</t>
  </si>
  <si>
    <t>09/09/2025, 14:28</t>
  </si>
  <si>
    <t>ORT-12209</t>
  </si>
  <si>
    <t>C000421658</t>
  </si>
  <si>
    <t>OLYMPIA DEVELOPMENT G-GATE BUILDING SW LOBBY LONDON</t>
  </si>
  <si>
    <t>ORT-12210</t>
  </si>
  <si>
    <t>C000421663</t>
  </si>
  <si>
    <t>ORT-12211</t>
  </si>
  <si>
    <t>C000421666</t>
  </si>
  <si>
    <t>ALDERWOOD SCHOOL EXPANSION TONGHAM ROAD ALDERSHOT</t>
  </si>
  <si>
    <t>ORT-12212</t>
  </si>
  <si>
    <t>C000421670</t>
  </si>
  <si>
    <t>ALDERLEY ROAD NO 52-56 HCA HEALTHCARE WILMSLOW</t>
  </si>
  <si>
    <t>ORT-12213</t>
  </si>
  <si>
    <t>C000421671</t>
  </si>
  <si>
    <t>CAMBRIDGE HOUSE HOTEL PICCADILLY NO 90-95 LONDON</t>
  </si>
  <si>
    <t>ORT-12214</t>
  </si>
  <si>
    <t>C000421673</t>
  </si>
  <si>
    <t>HAIMA HOSPITAL OMAN</t>
  </si>
  <si>
    <t>ORT-12215</t>
  </si>
  <si>
    <t>C000421676</t>
  </si>
  <si>
    <t>ORT-12216</t>
  </si>
  <si>
    <t>C000421678</t>
  </si>
  <si>
    <t>SELVA DE MAR BARCELONA</t>
  </si>
  <si>
    <t>ORT-12217</t>
  </si>
  <si>
    <t>C000421703</t>
  </si>
  <si>
    <t>ORT-12218</t>
  </si>
  <si>
    <t>C000421706</t>
  </si>
  <si>
    <t>ORT-12219</t>
  </si>
  <si>
    <t>C000421710</t>
  </si>
  <si>
    <t>ORT-12220</t>
  </si>
  <si>
    <t>C000421715</t>
  </si>
  <si>
    <t>EDMONDSON PARK TOWN CENTRE</t>
  </si>
  <si>
    <t>ORT-12221</t>
  </si>
  <si>
    <t>C000421717</t>
  </si>
  <si>
    <t>ORT-12222</t>
  </si>
  <si>
    <t>C000421718</t>
  </si>
  <si>
    <t>GOLDSWORTH PLACE FORGE END NO 1 WOKING</t>
  </si>
  <si>
    <t>ORT-12223</t>
  </si>
  <si>
    <t>C000421495</t>
  </si>
  <si>
    <t>ORT-12224</t>
  </si>
  <si>
    <t>C000421720</t>
  </si>
  <si>
    <t>UCI 350 BEDS HOSPITAL UGANDA</t>
  </si>
  <si>
    <t>ORT-12225</t>
  </si>
  <si>
    <t>C000421723</t>
  </si>
  <si>
    <t>ORT-12227</t>
  </si>
  <si>
    <t>C000421726</t>
  </si>
  <si>
    <t>ORT-12228</t>
  </si>
  <si>
    <t>C000421728</t>
  </si>
  <si>
    <t>ORT-12229</t>
  </si>
  <si>
    <t>C000421730</t>
  </si>
  <si>
    <t>ORT-12230</t>
  </si>
  <si>
    <t>C000421733</t>
  </si>
  <si>
    <t>ORT-12231</t>
  </si>
  <si>
    <t>C000421738</t>
  </si>
  <si>
    <t>WELLS STREET NO 80 WELLS HOUSE THE RIBBON KITCHEN FLOOR 9</t>
  </si>
  <si>
    <t>ORT-12232</t>
  </si>
  <si>
    <t>C000421743</t>
  </si>
  <si>
    <t>FORMER TYNECASTLE SCHOOL STUDENT ACCOMODATION EDINBURGH</t>
  </si>
  <si>
    <t>ORT-12234</t>
  </si>
  <si>
    <t>C000421749</t>
  </si>
  <si>
    <t>ORT-12235</t>
  </si>
  <si>
    <t>C000421750</t>
  </si>
  <si>
    <t>ORT-12236</t>
  </si>
  <si>
    <t>C000421751</t>
  </si>
  <si>
    <t>ORT-12237</t>
  </si>
  <si>
    <t>C000421752</t>
  </si>
  <si>
    <t>UNI OF SOUTHAMPTON NORTH EAST QUADRANT B142</t>
  </si>
  <si>
    <t>ORT-12238</t>
  </si>
  <si>
    <t>C000421753</t>
  </si>
  <si>
    <t>NEWGATE STREET NO 81 BT CENTRE HSBC FIT OUT LONDON</t>
  </si>
  <si>
    <t>ORT-12239</t>
  </si>
  <si>
    <t>C000421759</t>
  </si>
  <si>
    <t>COOPER HOUSE COVENTRY</t>
  </si>
  <si>
    <t>ORT-12240</t>
  </si>
  <si>
    <t>C000421761</t>
  </si>
  <si>
    <t>PRIMARK MISC 2025</t>
  </si>
  <si>
    <t>ORT-12241</t>
  </si>
  <si>
    <t>C000421764</t>
  </si>
  <si>
    <t>ONE EASTSIDE TOWER B SKYLOUNGE BIRMINGHAM</t>
  </si>
  <si>
    <t>ORT-12242</t>
  </si>
  <si>
    <t>C000421767</t>
  </si>
  <si>
    <t>ORT-12243</t>
  </si>
  <si>
    <t>C000421768</t>
  </si>
  <si>
    <t>LOCHSIDE AVENUE NO 3 EDINBURGH</t>
  </si>
  <si>
    <t>ORT-12244</t>
  </si>
  <si>
    <t>C000421770</t>
  </si>
  <si>
    <t>ORT-12245</t>
  </si>
  <si>
    <t>C000421778</t>
  </si>
  <si>
    <t>EDEN CAMPUS BUILDING C UPLIFT UNILEVER KINGSTON</t>
  </si>
  <si>
    <t>ORT-12246</t>
  </si>
  <si>
    <t>C000421783</t>
  </si>
  <si>
    <t>AMAZON AMM15 CS BOULEVARD BLDG AMMAN JORDAN</t>
  </si>
  <si>
    <t>ORT-12247</t>
  </si>
  <si>
    <t>C000421784</t>
  </si>
  <si>
    <t>ORT-12248</t>
  </si>
  <si>
    <t>C000421789</t>
  </si>
  <si>
    <t>ORT-12249</t>
  </si>
  <si>
    <t>C000421793</t>
  </si>
  <si>
    <t>ORT-12250</t>
  </si>
  <si>
    <t>C000421799</t>
  </si>
  <si>
    <t>SKILLS HUB &amp; STORAGE BUILDINGS CRADLEY HEATH</t>
  </si>
  <si>
    <t>ORT-12251</t>
  </si>
  <si>
    <t>C000421801</t>
  </si>
  <si>
    <t>ORT-12252</t>
  </si>
  <si>
    <t>C000421802</t>
  </si>
  <si>
    <t>ORT-12253</t>
  </si>
  <si>
    <t>C000421812</t>
  </si>
  <si>
    <t>BLUE FIN BUILDING SOUTHWARK STREET FLOORS 2, 7 &amp; 10 LONDON</t>
  </si>
  <si>
    <t>ORT-12254</t>
  </si>
  <si>
    <t>C000421813</t>
  </si>
  <si>
    <t>ORT-12255</t>
  </si>
  <si>
    <t>C000421814</t>
  </si>
  <si>
    <t>ORT-12256</t>
  </si>
  <si>
    <t>C000421815</t>
  </si>
  <si>
    <t>ORT-12257</t>
  </si>
  <si>
    <t>C000421816</t>
  </si>
  <si>
    <t>ORT-12258</t>
  </si>
  <si>
    <t>C000421819</t>
  </si>
  <si>
    <t>ORT-12259</t>
  </si>
  <si>
    <t>C000421821</t>
  </si>
  <si>
    <t>SCIENTIFIC LAB SUPPLIES FAIRHAM NOTTINGHAM</t>
  </si>
  <si>
    <t>ORT-12260</t>
  </si>
  <si>
    <t>C000421826</t>
  </si>
  <si>
    <t>OPEL HOTEL EILAT</t>
  </si>
  <si>
    <t>ORT-12262</t>
  </si>
  <si>
    <t>C000421837</t>
  </si>
  <si>
    <t>MANCHESTER CITY FC HOTEL ETIHAD STADIUM MANCHESTER</t>
  </si>
  <si>
    <t>ORT-12263</t>
  </si>
  <si>
    <t>C000421839</t>
  </si>
  <si>
    <t>ORT-12264</t>
  </si>
  <si>
    <t>C000421840</t>
  </si>
  <si>
    <t>ORT-12265</t>
  </si>
  <si>
    <t>C000421841</t>
  </si>
  <si>
    <t>ORT-12266</t>
  </si>
  <si>
    <t>C000421846</t>
  </si>
  <si>
    <t>ORT-12267</t>
  </si>
  <si>
    <t>C000421850</t>
  </si>
  <si>
    <t>ORT-12268</t>
  </si>
  <si>
    <t>C000421857</t>
  </si>
  <si>
    <t>MANCHESTER AIRPORT T2 EAST WING ENTRANCE LOBBY</t>
  </si>
  <si>
    <t>ORT-12269</t>
  </si>
  <si>
    <t>CF00000560</t>
  </si>
  <si>
    <t>ORT-12270</t>
  </si>
  <si>
    <t>C000421858</t>
  </si>
  <si>
    <t>WIGMORE STREET NO 105 CAT B VITRUVIAN PARTNERS LONDON</t>
  </si>
  <si>
    <t>ORT-12271</t>
  </si>
  <si>
    <t>C000421859</t>
  </si>
  <si>
    <t>SPRING GARDENS NO 40 FLRS 5 AND 6 MANCHESTER</t>
  </si>
  <si>
    <t>ORT-12272</t>
  </si>
  <si>
    <t>C000421860</t>
  </si>
  <si>
    <t>ORT-12273</t>
  </si>
  <si>
    <t>C000421864</t>
  </si>
  <si>
    <t>HISTORY AND EXHIBITION CENTRE REFURB SITE ONE CHESTER</t>
  </si>
  <si>
    <t>ORT-12274</t>
  </si>
  <si>
    <t>C000421871</t>
  </si>
  <si>
    <t>ORT-12275</t>
  </si>
  <si>
    <t>C000421879</t>
  </si>
  <si>
    <t>ORT-12276</t>
  </si>
  <si>
    <t>C000421880</t>
  </si>
  <si>
    <t>ORT-12277</t>
  </si>
  <si>
    <t>C000421881</t>
  </si>
  <si>
    <t>NEW ZEALAND HOUSE HAYMARKET NO 80 REFURB LONDON</t>
  </si>
  <si>
    <t>ORT-12278</t>
  </si>
  <si>
    <t>C000421884</t>
  </si>
  <si>
    <t>ORT-12279</t>
  </si>
  <si>
    <t>C000421888</t>
  </si>
  <si>
    <t>ORT-12280</t>
  </si>
  <si>
    <t>C000421889</t>
  </si>
  <si>
    <t>AGAR STREET NO 6 CAT A REFURB FLOORS 2 &amp; 5 LONDON</t>
  </si>
  <si>
    <t>ORT-12281</t>
  </si>
  <si>
    <t>C000421896</t>
  </si>
  <si>
    <t>ORT-12282</t>
  </si>
  <si>
    <t>C000421898</t>
  </si>
  <si>
    <t>ORT-12283</t>
  </si>
  <si>
    <t>C000421904</t>
  </si>
  <si>
    <t>ORT-12284</t>
  </si>
  <si>
    <t>C000421906</t>
  </si>
  <si>
    <t>ORT-12285</t>
  </si>
  <si>
    <t>C000421915</t>
  </si>
  <si>
    <t>ORT-12287</t>
  </si>
  <si>
    <t>C000421931</t>
  </si>
  <si>
    <t>ORT-12288</t>
  </si>
  <si>
    <t>C000421932</t>
  </si>
  <si>
    <t>ORT-12289</t>
  </si>
  <si>
    <t>C000421938</t>
  </si>
  <si>
    <t>ORT-12290</t>
  </si>
  <si>
    <t>C000421940</t>
  </si>
  <si>
    <t>UNI OF LIVERPOOL SCHOOL OF ARCHITECTURE EXTENSION</t>
  </si>
  <si>
    <t>PNC Shopfitters</t>
  </si>
  <si>
    <t>Breeda O'Brien</t>
  </si>
  <si>
    <t>00023865</t>
  </si>
  <si>
    <t>S - Incorrect delivery documentation</t>
  </si>
  <si>
    <t>15/09/2025, 11:53</t>
  </si>
  <si>
    <t>00023873</t>
  </si>
  <si>
    <t>15/09/2025, 16:58</t>
  </si>
  <si>
    <t>Interior Impressions Ltd</t>
  </si>
  <si>
    <t>John Homes</t>
  </si>
  <si>
    <t>RIVER LABS 2A REFURB WARE</t>
  </si>
  <si>
    <t>00023875</t>
  </si>
  <si>
    <t>16/09/2025, 09:28</t>
  </si>
  <si>
    <t>00023877</t>
  </si>
  <si>
    <t>16/09/2025, 09:52</t>
  </si>
  <si>
    <t>00023879</t>
  </si>
  <si>
    <t>16/09/2025, 10:20</t>
  </si>
  <si>
    <t>LIVINGSTONE BOULEVARD NO 1 GLASGOW</t>
  </si>
  <si>
    <t>00023881</t>
  </si>
  <si>
    <t>16/09/2025, 10:29</t>
  </si>
  <si>
    <t>Gridline Partitions Ltd</t>
  </si>
  <si>
    <t>Darrell Lewis</t>
  </si>
  <si>
    <t>00023893</t>
  </si>
  <si>
    <t>17/09/2025, 13:55</t>
  </si>
  <si>
    <t>Joe Clifford</t>
  </si>
  <si>
    <t>00023900</t>
  </si>
  <si>
    <t>18/09/2025, 13:47</t>
  </si>
  <si>
    <t>Encon Insulation Ltd (Corporate)</t>
  </si>
  <si>
    <t>Brian Hall</t>
  </si>
  <si>
    <t>00023902</t>
  </si>
  <si>
    <t>18/09/2025, 16:15</t>
  </si>
  <si>
    <t>Howard Hainsworth</t>
  </si>
  <si>
    <t>FENCHURCH STREET NO 50 MARKETING SUITE LONDON</t>
  </si>
  <si>
    <t>00023904</t>
  </si>
  <si>
    <t>19/09/2025, 09:05</t>
  </si>
  <si>
    <t>ACE Partitions &amp; Ceilings Limited</t>
  </si>
  <si>
    <t>00023951</t>
  </si>
  <si>
    <t>25/09/2025, 15:44</t>
  </si>
  <si>
    <t>00023918</t>
  </si>
  <si>
    <t>22/09/2025, 14:39</t>
  </si>
  <si>
    <t>00023956</t>
  </si>
  <si>
    <t>26/09/2025, 09:30</t>
  </si>
  <si>
    <t>00023964</t>
  </si>
  <si>
    <t>26/09/2025, 14:57</t>
  </si>
  <si>
    <t>SCS Building Solutions Ltd</t>
  </si>
  <si>
    <t>Oliver Dove</t>
  </si>
  <si>
    <t>00023916</t>
  </si>
  <si>
    <t>22/09/2025, 14:14</t>
  </si>
  <si>
    <t>00023922</t>
  </si>
  <si>
    <t>22/09/2025, 15:31</t>
  </si>
  <si>
    <t>Viktorija Podkolzina</t>
  </si>
  <si>
    <t>00023925</t>
  </si>
  <si>
    <t>23/09/2025, 09:00</t>
  </si>
  <si>
    <t>00023929</t>
  </si>
  <si>
    <t>23/09/2025, 13:07</t>
  </si>
  <si>
    <t>Ryan Marler</t>
  </si>
  <si>
    <t>00023933</t>
  </si>
  <si>
    <t>23/09/2025, 15:30</t>
  </si>
  <si>
    <t>00023935</t>
  </si>
  <si>
    <t>23/09/2025, 16:21</t>
  </si>
  <si>
    <t>00023937</t>
  </si>
  <si>
    <t>23/09/2025, 16:38</t>
  </si>
  <si>
    <t>Cotter Technical Services Ltd</t>
  </si>
  <si>
    <t>Tim Cotter</t>
  </si>
  <si>
    <t>00023940</t>
  </si>
  <si>
    <t>24/09/2025, 10:07</t>
  </si>
  <si>
    <t>00023942</t>
  </si>
  <si>
    <t>24/09/2025, 10:48</t>
  </si>
  <si>
    <t>00023947</t>
  </si>
  <si>
    <t>25/09/2025, 12:55</t>
  </si>
  <si>
    <t>Radius Construction Limited</t>
  </si>
  <si>
    <t>Kevin Fatt</t>
  </si>
  <si>
    <t>00023949</t>
  </si>
  <si>
    <t>25/09/2025, 14:04</t>
  </si>
  <si>
    <t>Masum Matin</t>
  </si>
  <si>
    <t>PATERNOSTER SQUARE NO 1 GATELEY REFURB LONDON</t>
  </si>
  <si>
    <t>00023959</t>
  </si>
  <si>
    <t>26/09/2025, 11:02</t>
  </si>
  <si>
    <t>Doug Hickey</t>
  </si>
  <si>
    <t>00023910</t>
  </si>
  <si>
    <t>22/09/2025, 10:20</t>
  </si>
  <si>
    <t>00023912</t>
  </si>
  <si>
    <t>22/09/2025, 10:22</t>
  </si>
  <si>
    <t>5TH AVENUE NO 665 ROLEX HQ NEW YORK</t>
  </si>
  <si>
    <t>00023961</t>
  </si>
  <si>
    <t>26/09/2025, 12:48</t>
  </si>
  <si>
    <t>ORT-12292</t>
  </si>
  <si>
    <t>C000421944</t>
  </si>
  <si>
    <t>ORT-12293</t>
  </si>
  <si>
    <t>C000421951</t>
  </si>
  <si>
    <t>ORT-12294</t>
  </si>
  <si>
    <t>C000421953</t>
  </si>
  <si>
    <t>MADDOX STREET NO 31 - 33 CAT A LONDON</t>
  </si>
  <si>
    <t>ORT-12295</t>
  </si>
  <si>
    <t>C000421955</t>
  </si>
  <si>
    <t>PEEL ESTATE &amp; NWCC EAST UNDERCROFT SOUTH KILBURN LONDON</t>
  </si>
  <si>
    <t>ORT-12296</t>
  </si>
  <si>
    <t>C000421959</t>
  </si>
  <si>
    <t>ORT-12297</t>
  </si>
  <si>
    <t>C000420861</t>
  </si>
  <si>
    <t>ORT-12298</t>
  </si>
  <si>
    <t>C000421969</t>
  </si>
  <si>
    <t>ORT-12299</t>
  </si>
  <si>
    <t>C000421972</t>
  </si>
  <si>
    <t>ORT-12300</t>
  </si>
  <si>
    <t>C000421976</t>
  </si>
  <si>
    <t>ORT-12301</t>
  </si>
  <si>
    <t>C000421975</t>
  </si>
  <si>
    <t>ORT-12302</t>
  </si>
  <si>
    <t>C000421977</t>
  </si>
  <si>
    <t>ORT-12303</t>
  </si>
  <si>
    <t>C000421978</t>
  </si>
  <si>
    <t>ORT-12306</t>
  </si>
  <si>
    <t>C000421987</t>
  </si>
  <si>
    <t>THE INTERNATIONAL QUARTER PLOT S4 LIFT LOBBIES PHASE 2</t>
  </si>
  <si>
    <t>ORT-12307</t>
  </si>
  <si>
    <t>C000421993</t>
  </si>
  <si>
    <t>ORT-12308</t>
  </si>
  <si>
    <t>C000421996</t>
  </si>
  <si>
    <t>PUMA STORE OXFORD STREET LONDON</t>
  </si>
  <si>
    <t>ORT-12309</t>
  </si>
  <si>
    <t>C000422001</t>
  </si>
  <si>
    <t>ORT-12310</t>
  </si>
  <si>
    <t>C000422002</t>
  </si>
  <si>
    <t>ORT-12311</t>
  </si>
  <si>
    <t>C000422003</t>
  </si>
  <si>
    <t>NORTHERN ESTATES PROGRAMME NEP2 NORMAN SHAW NORTH LONDON</t>
  </si>
  <si>
    <t>ORT-12312</t>
  </si>
  <si>
    <t>C000422006</t>
  </si>
  <si>
    <t>ORT-12313</t>
  </si>
  <si>
    <t>C000422007</t>
  </si>
  <si>
    <t>ORT-12314</t>
  </si>
  <si>
    <t>C000422008</t>
  </si>
  <si>
    <t>OXFORD SCIENCE PARK SCHRODINGER BUILDING REFURB</t>
  </si>
  <si>
    <t>ORT-12317</t>
  </si>
  <si>
    <t>C000422013</t>
  </si>
  <si>
    <t>ORT-12318</t>
  </si>
  <si>
    <t>C000422014</t>
  </si>
  <si>
    <t>PRIMARK BRAEHEAD</t>
  </si>
  <si>
    <t>ORT-12319</t>
  </si>
  <si>
    <t>C000422015</t>
  </si>
  <si>
    <t>ORT-12320</t>
  </si>
  <si>
    <t>C000422016</t>
  </si>
  <si>
    <t>OXFORD SCIENCE PARK PLOTS NO 23-25 OXFORD LIGHTING</t>
  </si>
  <si>
    <t>ORT-12321</t>
  </si>
  <si>
    <t>C000422017</t>
  </si>
  <si>
    <t>ORT-12322</t>
  </si>
  <si>
    <t>C000422018</t>
  </si>
  <si>
    <t>ORT-12323</t>
  </si>
  <si>
    <t>C000422022</t>
  </si>
  <si>
    <t>CANARY WHARF BANK STREET NO 25 JPMC FLOOR 7 REFURB LONDON</t>
  </si>
  <si>
    <t>ORT-12324</t>
  </si>
  <si>
    <t>C000422023</t>
  </si>
  <si>
    <t>ASSUTA ASHDOD HOSPITAL</t>
  </si>
  <si>
    <t>ORT-12325</t>
  </si>
  <si>
    <t>C000422025</t>
  </si>
  <si>
    <t>ORT-12328</t>
  </si>
  <si>
    <t>C000422028</t>
  </si>
  <si>
    <t>ORT-12329</t>
  </si>
  <si>
    <t>C000422029</t>
  </si>
  <si>
    <t>ORT-12330</t>
  </si>
  <si>
    <t>C000422031</t>
  </si>
  <si>
    <t>WAKEFIELD COLLEGE CASTLEFORD CAMPUS</t>
  </si>
  <si>
    <t>ORT-12333</t>
  </si>
  <si>
    <t>C000422039</t>
  </si>
  <si>
    <t>ORT-12334</t>
  </si>
  <si>
    <t>C000422041</t>
  </si>
  <si>
    <t>BISHOPSGATE NO 60 CAT A+ HASILWOOD HOUSE FLRS 1 &amp; 6 LONDON</t>
  </si>
  <si>
    <t>ORT-12335</t>
  </si>
  <si>
    <t>C000422042</t>
  </si>
  <si>
    <t>OXFORD STREET NO 334-348 BASEMENT LONDON</t>
  </si>
  <si>
    <t>ORT-12336</t>
  </si>
  <si>
    <t>C000422044</t>
  </si>
  <si>
    <t>ORT-12337</t>
  </si>
  <si>
    <t>C000422046</t>
  </si>
  <si>
    <t>EDCITY PHASE 2 &amp; LIFT LOBBIES HAMMERSMITH LONDON</t>
  </si>
  <si>
    <t>ORT-12338</t>
  </si>
  <si>
    <t>C000422049</t>
  </si>
  <si>
    <t>ORT-12339</t>
  </si>
  <si>
    <t>C000422050</t>
  </si>
  <si>
    <t>BWM TORONTO</t>
  </si>
  <si>
    <t>ORT-12340</t>
  </si>
  <si>
    <t>C000422051</t>
  </si>
  <si>
    <t>ORT-12341</t>
  </si>
  <si>
    <t>C000422052</t>
  </si>
  <si>
    <t>ORT-12342</t>
  </si>
  <si>
    <t>C000422055</t>
  </si>
  <si>
    <t>HARROW CROWN COURT MOJ ROOF REPLACEMENT LONDON</t>
  </si>
  <si>
    <t>ORT-12343</t>
  </si>
  <si>
    <t>C000422062</t>
  </si>
  <si>
    <t>ORT-12344</t>
  </si>
  <si>
    <t>C000422063</t>
  </si>
  <si>
    <t>ORT-12345</t>
  </si>
  <si>
    <t>CF00000561</t>
  </si>
  <si>
    <t>ORT-12346</t>
  </si>
  <si>
    <t>C000422075</t>
  </si>
  <si>
    <t>ORT-12347</t>
  </si>
  <si>
    <t>C000422076</t>
  </si>
  <si>
    <t>ORT-12348</t>
  </si>
  <si>
    <t>C000422093</t>
  </si>
  <si>
    <t>ORT-12349</t>
  </si>
  <si>
    <t>C000422094</t>
  </si>
  <si>
    <t>ORT-12350</t>
  </si>
  <si>
    <t>C000422095</t>
  </si>
  <si>
    <t>ORT-12351</t>
  </si>
  <si>
    <t>C000422096</t>
  </si>
  <si>
    <t>NEW HERTFORDSHIRE POLICE HQ WELWYN GARDEN CITY</t>
  </si>
  <si>
    <t>00024006</t>
  </si>
  <si>
    <t>02/10/2025, 09:14</t>
  </si>
  <si>
    <t>00023973</t>
  </si>
  <si>
    <t>29/09/2025, 13:27</t>
  </si>
  <si>
    <t>00023975</t>
  </si>
  <si>
    <t>29/09/2025, 13:47</t>
  </si>
  <si>
    <t>00023986</t>
  </si>
  <si>
    <t>30/09/2025, 14:23</t>
  </si>
  <si>
    <t>Estilo Interiors Ltd</t>
  </si>
  <si>
    <t>Jack Cherrington</t>
  </si>
  <si>
    <t>00023967</t>
  </si>
  <si>
    <t>29/09/2025, 11:47</t>
  </si>
  <si>
    <t>00023969</t>
  </si>
  <si>
    <t>29/09/2025, 11:56</t>
  </si>
  <si>
    <t>00023978</t>
  </si>
  <si>
    <t>30/09/2025, 10:44</t>
  </si>
  <si>
    <t>00023981</t>
  </si>
  <si>
    <t>30/09/2025, 11:34</t>
  </si>
  <si>
    <t>Travis Perkins Maidenhead</t>
  </si>
  <si>
    <t>Lawrence Russell</t>
  </si>
  <si>
    <t>00023983</t>
  </si>
  <si>
    <t>30/09/2025, 13:58</t>
  </si>
  <si>
    <t>Steve Burlton</t>
  </si>
  <si>
    <t>HEATHROW T5 WS2 WS3 TOILET CORES</t>
  </si>
  <si>
    <t>00023991</t>
  </si>
  <si>
    <t>01/10/2025, 10:01</t>
  </si>
  <si>
    <t>Sue Cheesman</t>
  </si>
  <si>
    <t>00023993</t>
  </si>
  <si>
    <t>01/10/2025, 10:27</t>
  </si>
  <si>
    <t>00023998</t>
  </si>
  <si>
    <t>01/10/2025, 13:40</t>
  </si>
  <si>
    <t>Moyne London Ltd</t>
  </si>
  <si>
    <t>Paul Cawe</t>
  </si>
  <si>
    <t>00024002</t>
  </si>
  <si>
    <t>01/10/2025, 14:55</t>
  </si>
  <si>
    <t>Armstrong Interiors Ltd</t>
  </si>
  <si>
    <t>Scott Emmott</t>
  </si>
  <si>
    <t>00024008</t>
  </si>
  <si>
    <t>02/10/2025, 15:13</t>
  </si>
  <si>
    <t>Paul Morgan</t>
  </si>
  <si>
    <t>00024013</t>
  </si>
  <si>
    <t>03/10/2025, 13:27</t>
  </si>
  <si>
    <t>00023971</t>
  </si>
  <si>
    <t>29/09/2025, 13:03</t>
  </si>
  <si>
    <t>00023996</t>
  </si>
  <si>
    <t>01/10/2025, 11:15</t>
  </si>
  <si>
    <t>ORT-12355</t>
  </si>
  <si>
    <t>C000422098</t>
  </si>
  <si>
    <t>ORT-12356</t>
  </si>
  <si>
    <t>C000422101</t>
  </si>
  <si>
    <t>ORT-12357</t>
  </si>
  <si>
    <t>C000422102</t>
  </si>
  <si>
    <t>CENTRAL QUAY RESI PLOT 1 PHASE 2 CARDIFF</t>
  </si>
  <si>
    <t>ORT-12358</t>
  </si>
  <si>
    <t>C000422105</t>
  </si>
  <si>
    <t>HEATHROW T4 CROWN PLAZA GUEST CORRIDOR</t>
  </si>
  <si>
    <t>ORT-12359</t>
  </si>
  <si>
    <t>C000422107</t>
  </si>
  <si>
    <t>ORT-12360</t>
  </si>
  <si>
    <t>C000422112</t>
  </si>
  <si>
    <t>ORT-12361</t>
  </si>
  <si>
    <t>C000422117</t>
  </si>
  <si>
    <t>BRENT CROSS TOWN PLOT 1 COPPER SQUARE NO 3 LONDON</t>
  </si>
  <si>
    <t>ORT-12362</t>
  </si>
  <si>
    <t>C000422119</t>
  </si>
  <si>
    <t>ORT-12363</t>
  </si>
  <si>
    <t>C000422122</t>
  </si>
  <si>
    <t>ORT-12364</t>
  </si>
  <si>
    <t>C000422127</t>
  </si>
  <si>
    <t>KIRION HAIFA</t>
  </si>
  <si>
    <t>ORT-12365</t>
  </si>
  <si>
    <t>C000422134</t>
  </si>
  <si>
    <t>ORT-12366</t>
  </si>
  <si>
    <t>C000422135</t>
  </si>
  <si>
    <t>NUFFIELD &amp; PEGASUS HOUSE DEVELOPMENT PICCADILLY LONDON</t>
  </si>
  <si>
    <t>ORT-12368</t>
  </si>
  <si>
    <t>C000422143</t>
  </si>
  <si>
    <t>MOORGATE NO 25 CAT B WATSON FARLEY LONDON</t>
  </si>
  <si>
    <t>ORT-12369</t>
  </si>
  <si>
    <t>C000422144</t>
  </si>
  <si>
    <t>ORT-12370</t>
  </si>
  <si>
    <t>C000422146</t>
  </si>
  <si>
    <t>ORT-12371</t>
  </si>
  <si>
    <t>C000422153</t>
  </si>
  <si>
    <t>ORT-12372</t>
  </si>
  <si>
    <t>02036 PROJECT CADDELL</t>
  </si>
  <si>
    <t>ORT-12373</t>
  </si>
  <si>
    <t>C000422158</t>
  </si>
  <si>
    <t>GSK B6 LABORATORY ANNEX STEVENAGE</t>
  </si>
  <si>
    <t>ORT-12374</t>
  </si>
  <si>
    <t>C000421950</t>
  </si>
  <si>
    <t>ORT-12376</t>
  </si>
  <si>
    <t>C000422160</t>
  </si>
  <si>
    <t>ORT-12377</t>
  </si>
  <si>
    <t>C000422161</t>
  </si>
  <si>
    <t>ORT-12378</t>
  </si>
  <si>
    <t>C000422164</t>
  </si>
  <si>
    <t>ORT-12379</t>
  </si>
  <si>
    <t>C000422167</t>
  </si>
  <si>
    <t>CHAPEL STREET NO 20 FLOOR 5 LIVERPOOL</t>
  </si>
  <si>
    <t>ORT-12380</t>
  </si>
  <si>
    <t>C000422172</t>
  </si>
  <si>
    <t>ORT-12381</t>
  </si>
  <si>
    <t>C000422177</t>
  </si>
  <si>
    <t>ORT-12382</t>
  </si>
  <si>
    <t>C000422181</t>
  </si>
  <si>
    <t>ORT-12384</t>
  </si>
  <si>
    <t>C000422183</t>
  </si>
  <si>
    <t>ORT-12385</t>
  </si>
  <si>
    <t>C000422184</t>
  </si>
  <si>
    <t>ORT-12386</t>
  </si>
  <si>
    <t>C000422185</t>
  </si>
  <si>
    <t>ORT-12387</t>
  </si>
  <si>
    <t>C000422190</t>
  </si>
  <si>
    <t>PRIME FOUR SHELL REMODEL ABERDEEN</t>
  </si>
  <si>
    <t>ORT-12388</t>
  </si>
  <si>
    <t>C000422193</t>
  </si>
  <si>
    <t>STATION ROAD NO 21 FLRS 4 &amp; 5 CAMBRIDGE</t>
  </si>
  <si>
    <t>ORT-12389</t>
  </si>
  <si>
    <t>C000422196</t>
  </si>
  <si>
    <t>ORT-12391</t>
  </si>
  <si>
    <t>C000422199</t>
  </si>
  <si>
    <t>ACOUSTIC TREND PROJECT DUBAI</t>
  </si>
  <si>
    <t>ORT-12392</t>
  </si>
  <si>
    <t>C000422201</t>
  </si>
  <si>
    <t>ORT-12393</t>
  </si>
  <si>
    <t>C000422208</t>
  </si>
  <si>
    <t>BISHOPSGATE NO 155 FLRS 9-12 AKIN FIT OUT LONDON</t>
  </si>
  <si>
    <t>ORT-12394</t>
  </si>
  <si>
    <t>C000422209</t>
  </si>
  <si>
    <t>RESIDENTIAL PROJECT LAGOS</t>
  </si>
  <si>
    <t>ORT-12395</t>
  </si>
  <si>
    <t>C000422211</t>
  </si>
  <si>
    <t>ORT-12396</t>
  </si>
  <si>
    <t>C000422213</t>
  </si>
  <si>
    <t>ORT-12397</t>
  </si>
  <si>
    <t>C000422216</t>
  </si>
  <si>
    <t>ORT-12400</t>
  </si>
  <si>
    <t>C000422227</t>
  </si>
  <si>
    <t>SNOW HILL BLDG 1 QUEENSWAY FLR 10 REFURB BIRMINGHAM</t>
  </si>
  <si>
    <t>ORT-12401</t>
  </si>
  <si>
    <t>C000422228</t>
  </si>
  <si>
    <t>ORT-12402</t>
  </si>
  <si>
    <t>C000422229</t>
  </si>
  <si>
    <t>ORT-12403</t>
  </si>
  <si>
    <t>C000422230</t>
  </si>
  <si>
    <t>ORT-12404</t>
  </si>
  <si>
    <t>C000422238</t>
  </si>
  <si>
    <t>LIVERPOOL STREET NO 1 FLOOR 1 COFFEE BAR SPACE LONDON</t>
  </si>
  <si>
    <t>ORT-12405</t>
  </si>
  <si>
    <t>C000422239</t>
  </si>
  <si>
    <t>VICTORIA STREET NO 105 EVERCORE CAT B FIT OUT LONDON</t>
  </si>
  <si>
    <t>ORT-12406</t>
  </si>
  <si>
    <t>C000422241</t>
  </si>
  <si>
    <t>NEW STREET NO 135 KING EDWARD HOUSE BIRMINGHAM</t>
  </si>
  <si>
    <t>ORT-12407</t>
  </si>
  <si>
    <t>C000422242</t>
  </si>
  <si>
    <t>NEWGATE STREET NO 81 BT CENTRE HSBC JOINERY LONDON</t>
  </si>
  <si>
    <t>ORT-12408</t>
  </si>
  <si>
    <t>C000422243</t>
  </si>
  <si>
    <t>PALMA AIRPORT EXTENSION LIGHTING</t>
  </si>
  <si>
    <t>ORT-12409</t>
  </si>
  <si>
    <t>C000422247</t>
  </si>
  <si>
    <t>ORT-12410</t>
  </si>
  <si>
    <t>C000422249</t>
  </si>
  <si>
    <t>ORT-12411</t>
  </si>
  <si>
    <t>C000422251</t>
  </si>
  <si>
    <t>ORT-12412</t>
  </si>
  <si>
    <t>C000422253</t>
  </si>
  <si>
    <t>ORT-12413</t>
  </si>
  <si>
    <t>C000422257</t>
  </si>
  <si>
    <t>ORT-12414</t>
  </si>
  <si>
    <t>C000422258</t>
  </si>
  <si>
    <t>ROKOS NO 23 SAVILLE ROW REFURB LONDON</t>
  </si>
  <si>
    <t>ORT-12415</t>
  </si>
  <si>
    <t>C000422261</t>
  </si>
  <si>
    <t>A&amp;O SHEARMAN EAST TOWER LAYSEN VALLEY RIYADH KSA</t>
  </si>
  <si>
    <t>ORT-12416</t>
  </si>
  <si>
    <t>C000422148</t>
  </si>
  <si>
    <t>ORT-12417</t>
  </si>
  <si>
    <t>C000422270</t>
  </si>
  <si>
    <t>ARLA FOODS REFURB LOCKERBIE</t>
  </si>
  <si>
    <t>ORT-12418</t>
  </si>
  <si>
    <t>C000422272</t>
  </si>
  <si>
    <t>ORT-12419</t>
  </si>
  <si>
    <t>C000422276</t>
  </si>
  <si>
    <t>ORT-12420</t>
  </si>
  <si>
    <t>C000422277</t>
  </si>
  <si>
    <t>ORT-12421</t>
  </si>
  <si>
    <t>C000422280</t>
  </si>
  <si>
    <t>ORT-12422</t>
  </si>
  <si>
    <t>C000422281</t>
  </si>
  <si>
    <t>ORT-12423</t>
  </si>
  <si>
    <t>C000422282</t>
  </si>
  <si>
    <t>ORT-12424</t>
  </si>
  <si>
    <t>C000422283</t>
  </si>
  <si>
    <t>ORT-12425</t>
  </si>
  <si>
    <t>C000422284</t>
  </si>
  <si>
    <t>CHISWICK PARK BUILDING 6 LVL 7 &amp; 8 LONDON</t>
  </si>
  <si>
    <t>ORT-12426</t>
  </si>
  <si>
    <t>C000422286</t>
  </si>
  <si>
    <t>ORT-12427</t>
  </si>
  <si>
    <t>C000422294</t>
  </si>
  <si>
    <t>PROJECT VITRUM LOBBY CAMBRIDGE</t>
  </si>
  <si>
    <t>ORT-12428</t>
  </si>
  <si>
    <t>C000422145</t>
  </si>
  <si>
    <t>ORT-12429</t>
  </si>
  <si>
    <t>C000422298</t>
  </si>
  <si>
    <t>ORT-12430</t>
  </si>
  <si>
    <t>C000422301</t>
  </si>
  <si>
    <t>ORT-12431</t>
  </si>
  <si>
    <t>C000422304</t>
  </si>
  <si>
    <t>ORT-12432</t>
  </si>
  <si>
    <t>C000422305</t>
  </si>
  <si>
    <t>ORT-12433</t>
  </si>
  <si>
    <t>C000422306</t>
  </si>
  <si>
    <t>ORT-12434</t>
  </si>
  <si>
    <t>C000422307</t>
  </si>
  <si>
    <t>CAMBRIDGE BIOMEDICAL CAMPUS LABORATORY 2000 NEWBUILD</t>
  </si>
  <si>
    <t>ORT-12436</t>
  </si>
  <si>
    <t>C000422311</t>
  </si>
  <si>
    <t>ORT-12437</t>
  </si>
  <si>
    <t>C000422320</t>
  </si>
  <si>
    <t>GRIFFIN HOUSE 18-19 FLOOR 5 REFURB BIRMINGHAM</t>
  </si>
  <si>
    <t>ORT-12438</t>
  </si>
  <si>
    <t>C000422325</t>
  </si>
  <si>
    <t>THE REX CLARENCE STREET KINGSTON LONDON</t>
  </si>
  <si>
    <t>ORT-12439</t>
  </si>
  <si>
    <t>C000422331</t>
  </si>
  <si>
    <t>ORT-12440</t>
  </si>
  <si>
    <t>C000422332</t>
  </si>
  <si>
    <t>ORT-12441</t>
  </si>
  <si>
    <t>C000422335</t>
  </si>
  <si>
    <t>BEPO BUILDING HARWELL CAMPUS DIDCOT</t>
  </si>
  <si>
    <t>ORT-12442</t>
  </si>
  <si>
    <t>C000422336</t>
  </si>
  <si>
    <t>ORT-12443</t>
  </si>
  <si>
    <t>C000422337</t>
  </si>
  <si>
    <t>ORT-12444</t>
  </si>
  <si>
    <t>C000422339</t>
  </si>
  <si>
    <t>ORT-12445</t>
  </si>
  <si>
    <t>C000422340</t>
  </si>
  <si>
    <t>BISHOPSGATE NO 8 FLOOR 41 KING &amp; SPALDING LONDON</t>
  </si>
  <si>
    <t>ORT-12446</t>
  </si>
  <si>
    <t>C000422341</t>
  </si>
  <si>
    <t>JOHN TAYLOR SCHOOL RUGELEY STAFFORDSHIRE</t>
  </si>
  <si>
    <t>ORT-12447</t>
  </si>
  <si>
    <t>C000422345</t>
  </si>
  <si>
    <t>ORT-12448</t>
  </si>
  <si>
    <t>C000422344</t>
  </si>
  <si>
    <t>UNI OF OXFORD BEGBROKE FIT OUT</t>
  </si>
  <si>
    <t>ORT-12449</t>
  </si>
  <si>
    <t>C000422348</t>
  </si>
  <si>
    <t>NATIONAL GRID CASTLE DONNINGTON</t>
  </si>
  <si>
    <t>ORT-12450</t>
  </si>
  <si>
    <t>C000422352</t>
  </si>
  <si>
    <t>BRITISH AIRWAYS CUSTOMER SERVICES NEWCASTLE</t>
  </si>
  <si>
    <t>ORT-12451</t>
  </si>
  <si>
    <t>C000422356</t>
  </si>
  <si>
    <t>NUEVA SEDE SIEMENS MADRID</t>
  </si>
  <si>
    <t>ORT-12452</t>
  </si>
  <si>
    <t>C000422357</t>
  </si>
  <si>
    <t>ORT-12453</t>
  </si>
  <si>
    <t>C000422358</t>
  </si>
  <si>
    <t>ORT-12454</t>
  </si>
  <si>
    <t>C000422362</t>
  </si>
  <si>
    <t>CITY GATE 1 GROUND 4TH &amp; 5TH FLOORS NEWCASTLE</t>
  </si>
  <si>
    <t>ORT-12455</t>
  </si>
  <si>
    <t>C000422368</t>
  </si>
  <si>
    <t>ORT-12456</t>
  </si>
  <si>
    <t>C000422369</t>
  </si>
  <si>
    <t>ORT-12457</t>
  </si>
  <si>
    <t>C000422370</t>
  </si>
  <si>
    <t>ORT-12462</t>
  </si>
  <si>
    <t>C000422372</t>
  </si>
  <si>
    <t>ORT-12463</t>
  </si>
  <si>
    <t>C000422374</t>
  </si>
  <si>
    <t>ORT-12464</t>
  </si>
  <si>
    <t>C000422382</t>
  </si>
  <si>
    <t>ORT-12465</t>
  </si>
  <si>
    <t>C000422383</t>
  </si>
  <si>
    <t>ORT-12466</t>
  </si>
  <si>
    <t>C000422385</t>
  </si>
  <si>
    <t>ORT-12467</t>
  </si>
  <si>
    <t>C000422386</t>
  </si>
  <si>
    <t>ORT-12468</t>
  </si>
  <si>
    <t>C000422387</t>
  </si>
  <si>
    <t>ORT-12469</t>
  </si>
  <si>
    <t>C000422388</t>
  </si>
  <si>
    <t>ONE SCHOOL GLOBAL OATLANDS CAMPUS REDEVELOPMENT</t>
  </si>
  <si>
    <t>00024034</t>
  </si>
  <si>
    <t>06/10/2025, 15:34</t>
  </si>
  <si>
    <t>Craig Penton</t>
  </si>
  <si>
    <t>00024084</t>
  </si>
  <si>
    <t>10/10/2025, 14:26</t>
  </si>
  <si>
    <t>MORGADO &amp; COMPANHIA, S.A.</t>
  </si>
  <si>
    <t>Mario Rocha</t>
  </si>
  <si>
    <t>00024030</t>
  </si>
  <si>
    <t>06/10/2025, 14:14</t>
  </si>
  <si>
    <t>Interiors UK Limited</t>
  </si>
  <si>
    <t>Tom Linley</t>
  </si>
  <si>
    <t>00024036</t>
  </si>
  <si>
    <t>06/10/2025, 15:43</t>
  </si>
  <si>
    <t>00024038</t>
  </si>
  <si>
    <t>07/10/2025, 09:25</t>
  </si>
  <si>
    <t>DF Services Ltd</t>
  </si>
  <si>
    <t>Frances Vann</t>
  </si>
  <si>
    <t>WAITROSE NEWBURY</t>
  </si>
  <si>
    <t>00024042</t>
  </si>
  <si>
    <t>07/10/2025, 12:57</t>
  </si>
  <si>
    <t>Vert Build Ltd</t>
  </si>
  <si>
    <t>Ivan Ivanov</t>
  </si>
  <si>
    <t>00024056</t>
  </si>
  <si>
    <t>08/10/2025, 12:59</t>
  </si>
  <si>
    <t>00024058</t>
  </si>
  <si>
    <t>08/10/2025, 14:33</t>
  </si>
  <si>
    <t>Landmark Interiors Ltd</t>
  </si>
  <si>
    <t>Andrew Bayford</t>
  </si>
  <si>
    <t>00024060</t>
  </si>
  <si>
    <t>08/10/2025, 15:48</t>
  </si>
  <si>
    <t>00024062</t>
  </si>
  <si>
    <t>09/10/2025, 12:17</t>
  </si>
  <si>
    <t>00024067</t>
  </si>
  <si>
    <t>09/10/2025, 14:21</t>
  </si>
  <si>
    <t>00024071</t>
  </si>
  <si>
    <t>09/10/2025, 14:43</t>
  </si>
  <si>
    <t>00024086</t>
  </si>
  <si>
    <t>10/10/2025, 15:37</t>
  </si>
  <si>
    <t>00024076</t>
  </si>
  <si>
    <t>10/10/2025, 10:04</t>
  </si>
  <si>
    <t>00024078</t>
  </si>
  <si>
    <t>10/10/2025, 10:05</t>
  </si>
  <si>
    <t>BROADGATE NO 1-2 SHELL &amp; CORE LONDON</t>
  </si>
  <si>
    <t>ORT-12470</t>
  </si>
  <si>
    <t>C000422407</t>
  </si>
  <si>
    <t>ORT-12471</t>
  </si>
  <si>
    <t>C000422410</t>
  </si>
  <si>
    <t>ORT-12472</t>
  </si>
  <si>
    <t>C000422412</t>
  </si>
  <si>
    <t>ORT-12473</t>
  </si>
  <si>
    <t>C000422416</t>
  </si>
  <si>
    <t>ORT-12474</t>
  </si>
  <si>
    <t>C000422424</t>
  </si>
  <si>
    <t>ORT-12475</t>
  </si>
  <si>
    <t>C000422425</t>
  </si>
  <si>
    <t>NATIONAL REHABILITATION CENTRE STANFORD HALL ESTATE</t>
  </si>
  <si>
    <t>ORT-12476</t>
  </si>
  <si>
    <t>C000422427</t>
  </si>
  <si>
    <t>ORT-12477</t>
  </si>
  <si>
    <t>C000422428</t>
  </si>
  <si>
    <t>ORT-12478</t>
  </si>
  <si>
    <t>C000422429</t>
  </si>
  <si>
    <t>JSP PICCADILLY NO 180 DUKE STREET NO 30 WCS LONDON</t>
  </si>
  <si>
    <t>ORT-12479</t>
  </si>
  <si>
    <t>C000422432</t>
  </si>
  <si>
    <t>ONE COLMORE SQUARE FLR 8 BIRMINGHAM</t>
  </si>
  <si>
    <t>ORT-12480</t>
  </si>
  <si>
    <t>C000422433</t>
  </si>
  <si>
    <t>ORT-12481</t>
  </si>
  <si>
    <t>C000422435</t>
  </si>
  <si>
    <t>LLOYDS MANCHESTER</t>
  </si>
  <si>
    <t>ORT-12482</t>
  </si>
  <si>
    <t>C000422438</t>
  </si>
  <si>
    <t>CANARY WHARF BANK STREET NO 25 JPMC FLOOR 7 RECEPTION LONDON</t>
  </si>
  <si>
    <t>ORT-12483</t>
  </si>
  <si>
    <t>C000422439</t>
  </si>
  <si>
    <t>ORT-12484</t>
  </si>
  <si>
    <t>C000422445</t>
  </si>
  <si>
    <t>ORT-12485</t>
  </si>
  <si>
    <t>C000422446</t>
  </si>
  <si>
    <t>STANSTED AIRPORT TERMINAL CONCOURSE CENTRAL SEARCH AREA</t>
  </si>
  <si>
    <t>ORT-12486</t>
  </si>
  <si>
    <t>C000422447</t>
  </si>
  <si>
    <t>AWE HUB ALDERMASTON STREET</t>
  </si>
  <si>
    <t>ORT-12487</t>
  </si>
  <si>
    <t>C000422448</t>
  </si>
  <si>
    <t>ORT-12488</t>
  </si>
  <si>
    <t>C000422451</t>
  </si>
  <si>
    <t>ORT-12489</t>
  </si>
  <si>
    <t>C000422460</t>
  </si>
  <si>
    <t>ORT-12490</t>
  </si>
  <si>
    <t>C000422465</t>
  </si>
  <si>
    <t>LUMINOUS OAK SEMH SCHOOL SOUTHAMPTON</t>
  </si>
  <si>
    <t>ORT-12491</t>
  </si>
  <si>
    <t>C000422468</t>
  </si>
  <si>
    <t>ANGEL SQUARE NO 4 BNY FIT OUT MANCHESTER</t>
  </si>
  <si>
    <t>ORT-12492</t>
  </si>
  <si>
    <t>C000422469</t>
  </si>
  <si>
    <t>ORT-12493</t>
  </si>
  <si>
    <t>C000422470</t>
  </si>
  <si>
    <t>ORT-12494</t>
  </si>
  <si>
    <t>C000422471</t>
  </si>
  <si>
    <t>ORT-12495</t>
  </si>
  <si>
    <t>C000422476</t>
  </si>
  <si>
    <t>LUDGATE HILL NO 60 REFURB LONDON</t>
  </si>
  <si>
    <t>ORT-12496</t>
  </si>
  <si>
    <t>C000422482</t>
  </si>
  <si>
    <t>JERSEY AIRPORT DEPARTURES REFURBISHMENT</t>
  </si>
  <si>
    <t>ORT-12497</t>
  </si>
  <si>
    <t>C000422484</t>
  </si>
  <si>
    <t>ORT-12498</t>
  </si>
  <si>
    <t>C000422489</t>
  </si>
  <si>
    <t>SQUIRE PATTON BOGGS</t>
  </si>
  <si>
    <t>ORT-12499</t>
  </si>
  <si>
    <t>C000422490</t>
  </si>
  <si>
    <t>HEATHROW AIRPORT T3 IMMIGRATION CORRIDOR REFURB</t>
  </si>
  <si>
    <t>ORT-12500</t>
  </si>
  <si>
    <t>C000422492</t>
  </si>
  <si>
    <t>ORT-12501</t>
  </si>
  <si>
    <t>C000422496</t>
  </si>
  <si>
    <t>CARLTON HOUSE TERRACE NO 20 REFURB PH2 LONDON</t>
  </si>
  <si>
    <t>ORT-12502</t>
  </si>
  <si>
    <t>C000422510</t>
  </si>
  <si>
    <t>QUEEN VICTORIA STREET NO 128 OLD CHANGE HOUSE FLR 3 LONDON</t>
  </si>
  <si>
    <t>ORT-12503</t>
  </si>
  <si>
    <t>C000422511</t>
  </si>
  <si>
    <t>IMPERIAL COLLEGE WHITE CITY IMPERIAL WEST BUILDING E LEVEL 1</t>
  </si>
  <si>
    <t>ORT-12504</t>
  </si>
  <si>
    <t>C000422519</t>
  </si>
  <si>
    <t>THE FAIRFAX PHASE 1 WALL PANELS MANCHESTER</t>
  </si>
  <si>
    <t>ORT-12505</t>
  </si>
  <si>
    <t>C000422522</t>
  </si>
  <si>
    <t>ORT-12506</t>
  </si>
  <si>
    <t>C000422523</t>
  </si>
  <si>
    <t>ORT-12507</t>
  </si>
  <si>
    <t>C000422524</t>
  </si>
  <si>
    <t>ORT-12508</t>
  </si>
  <si>
    <t>C000422528</t>
  </si>
  <si>
    <t>MANCHESTER AIRPORT T2 DUTY FREE</t>
  </si>
  <si>
    <t>ORT-12509</t>
  </si>
  <si>
    <t>C000422529</t>
  </si>
  <si>
    <t>ORT-12510</t>
  </si>
  <si>
    <t>CF00000564</t>
  </si>
  <si>
    <t>ATH11 AMAZON WORKSPACE ATHENS CEILINGS</t>
  </si>
  <si>
    <t>ORT-12511</t>
  </si>
  <si>
    <t>CF00000565</t>
  </si>
  <si>
    <t>ATH11 AMAZON WORKSPACE ATHENS LIGHTING</t>
  </si>
  <si>
    <t>ORT-12512</t>
  </si>
  <si>
    <t>ORT-12513</t>
  </si>
  <si>
    <t>C000422543</t>
  </si>
  <si>
    <t>ORT-12514</t>
  </si>
  <si>
    <t>C000422544</t>
  </si>
  <si>
    <t>DEVONSHIRE SQUARE NO 7 FLOOR 5 TWO SIGMA LONDON</t>
  </si>
  <si>
    <t>ORT-12515</t>
  </si>
  <si>
    <t>CF00000566</t>
  </si>
  <si>
    <t>NEW FIVE STOREY EDUCATIONAL CENTER ATHENS</t>
  </si>
  <si>
    <t>ORT-12516</t>
  </si>
  <si>
    <t>C000422546</t>
  </si>
  <si>
    <t>ORT-12517</t>
  </si>
  <si>
    <t>C000422547</t>
  </si>
  <si>
    <t>ORT-12518</t>
  </si>
  <si>
    <t>C000422549</t>
  </si>
  <si>
    <t>ORT-12519</t>
  </si>
  <si>
    <t>C000422552</t>
  </si>
  <si>
    <t>ORT-12520</t>
  </si>
  <si>
    <t>C000422554</t>
  </si>
  <si>
    <t>00024117</t>
  </si>
  <si>
    <t>17/10/2025, 09:13</t>
  </si>
  <si>
    <t>00024115</t>
  </si>
  <si>
    <t>16/10/2025, 09:20</t>
  </si>
  <si>
    <t>00024120</t>
  </si>
  <si>
    <t>17/10/2025, 10:19</t>
  </si>
  <si>
    <t>00024126</t>
  </si>
  <si>
    <t>17/10/2025, 14:33</t>
  </si>
  <si>
    <t>00024094</t>
  </si>
  <si>
    <t>13/10/2025, 16:06</t>
  </si>
  <si>
    <t>00024096</t>
  </si>
  <si>
    <t>13/10/2025, 16:32</t>
  </si>
  <si>
    <t>Tracy Colclough</t>
  </si>
  <si>
    <t>00024102</t>
  </si>
  <si>
    <t>15/10/2025, 10:34</t>
  </si>
  <si>
    <t>00024106</t>
  </si>
  <si>
    <t>15/10/2025, 13:37</t>
  </si>
  <si>
    <t>CCF Bournemouth Ltd</t>
  </si>
  <si>
    <t>Lee Burton</t>
  </si>
  <si>
    <t>00024109</t>
  </si>
  <si>
    <t>15/10/2025, 14:23</t>
  </si>
  <si>
    <t>00024113</t>
  </si>
  <si>
    <t>16/10/2025, 08:57</t>
  </si>
  <si>
    <t>Bogdan Cosacenco</t>
  </si>
  <si>
    <t>00024122</t>
  </si>
  <si>
    <t>17/10/2025, 10:55</t>
  </si>
  <si>
    <t>00024124</t>
  </si>
  <si>
    <t>17/10/2025, 13:04</t>
  </si>
  <si>
    <t>00024088</t>
  </si>
  <si>
    <t>13/10/2025, 11:25</t>
  </si>
  <si>
    <t>00024090</t>
  </si>
  <si>
    <t>13/10/2025, 11:35</t>
  </si>
  <si>
    <t>00024092</t>
  </si>
  <si>
    <t>13/10/2025, 11:39</t>
  </si>
  <si>
    <t>00024104</t>
  </si>
  <si>
    <t>15/10/2025, 10:55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</si>
</sst>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800]dddd\,\ mmmm\ dd\,\ yyyy"/>
    <numFmt numFmtId="165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13" fillId="34" borderId="10" xfId="0" applyFont="1" applyFill="1" applyBorder="1" applyAlignment="1">
      <alignment horizontal="center"/>
    </xf>
    <xf numFmtId="0" fontId="13" fillId="34" borderId="11" xfId="0" applyFont="1" applyFill="1" applyBorder="1" applyAlignment="1">
      <alignment horizontal="center"/>
    </xf>
    <xf numFmtId="0" fontId="0" fillId="0" borderId="0" xfId="0" quotePrefix="1"/>
    <xf numFmtId="0" fontId="17" fillId="35" borderId="0" xfId="0" applyFont="1" applyFill="1"/>
    <xf numFmtId="0" fontId="16" fillId="0" borderId="0" xfId="0" applyFont="1"/>
    <xf numFmtId="164" fontId="0" fillId="0" borderId="0" xfId="0" applyNumberFormat="1"/>
    <xf numFmtId="0" fontId="17" fillId="35" borderId="0" xfId="0" applyFont="1" applyFill="1" applyAlignment="1">
      <alignment wrapText="1"/>
    </xf>
    <xf numFmtId="16" fontId="18" fillId="34" borderId="10" xfId="0" applyNumberFormat="1" applyFont="1" applyFill="1" applyBorder="1" applyAlignment="1">
      <alignment horizontal="center" textRotation="90"/>
    </xf>
    <xf numFmtId="16" fontId="18" fillId="34" borderId="11" xfId="0" applyNumberFormat="1" applyFont="1" applyFill="1" applyBorder="1" applyAlignment="1">
      <alignment horizontal="center" textRotation="90"/>
    </xf>
    <xf numFmtId="0" fontId="0" fillId="36" borderId="0" xfId="0" applyFill="1"/>
    <xf numFmtId="10" fontId="0" fillId="0" borderId="0" xfId="42" applyNumberFormat="1" applyFont="1"/>
    <xf numFmtId="0" fontId="0" fillId="0" borderId="0" xfId="0" pivotButton="1" applyAlignment="1">
      <alignment vertical="top" wrapText="1"/>
    </xf>
    <xf numFmtId="165" fontId="0" fillId="0" borderId="0" xfId="43" applyNumberFormat="1" applyFont="1"/>
    <xf numFmtId="0" fontId="0" fillId="0" borderId="0" xfId="0" applyAlignment="1">
      <alignment vertical="top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alignment vertical="top"/>
    </dxf>
    <dxf>
      <alignment vertical="top"/>
    </dxf>
    <dxf>
      <alignment wrapText="1"/>
    </dxf>
    <dxf>
      <alignment wrapText="1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wis Carwardine" refreshedDate="45936.65498958333" createdVersion="8" refreshedVersion="8" minRefreshableVersion="3" recordCount="529" xr:uid="{45B340E8-26B7-4512-8ADE-6C1A57A1697C}">
  <cacheSource type="worksheet">
    <worksheetSource ref="A1:K1048576" sheet="No of Complaints raised per wee"/>
  </cacheSource>
  <cacheFields count="11">
    <cacheField name="Company Name" numFmtId="0">
      <sharedItems containsBlank="1"/>
    </cacheField>
    <cacheField name="Contact Name" numFmtId="0">
      <sharedItems containsBlank="1"/>
    </cacheField>
    <cacheField name="Project Name" numFmtId="0">
      <sharedItems containsBlank="1"/>
    </cacheField>
    <cacheField name="Customer Service Number" numFmtId="0">
      <sharedItems containsBlank="1"/>
    </cacheField>
    <cacheField name="Fault Category" numFmtId="0">
      <sharedItems containsBlank="1"/>
    </cacheField>
    <cacheField name="Department" numFmtId="0">
      <sharedItems containsBlank="1"/>
    </cacheField>
    <cacheField name="Date/Time Opened" numFmtId="0">
      <sharedItems containsBlank="1"/>
    </cacheField>
    <cacheField name="Sales Divison" numFmtId="0">
      <sharedItems containsBlank="1"/>
    </cacheField>
    <cacheField name="Department2" numFmtId="0">
      <sharedItems containsBlank="1" count="28">
        <s v="Salesforce"/>
        <s v="03 Shop Floor"/>
        <s v="N/A"/>
        <s v="03 Assembly"/>
        <s v="Transport"/>
        <s v="01 SOP"/>
        <s v="Warehouse"/>
        <s v="02 Product Design"/>
        <s v="Customer"/>
        <s v="01 Export SOP"/>
        <s v="External Courier"/>
        <s v="Paintline"/>
        <s v="03 Assembly Block 2"/>
        <s v="Fast Track"/>
        <s v="Finance"/>
        <s v="Press"/>
        <s v="Estimating"/>
        <s v="Design"/>
        <s v="Lighting Supplier"/>
        <b v="0"/>
        <s v="Ext â€“ External"/>
        <s v="Supplier"/>
        <s v="Block 2"/>
        <m/>
        <s v="Shop Floor" u="1"/>
        <s v="Assembly" u="1"/>
        <s v="Export SOP" u="1"/>
        <s v="Assembly Block 2" u="1"/>
      </sharedItems>
    </cacheField>
    <cacheField name="Extract Date" numFmtId="0">
      <sharedItems containsBlank="1"/>
    </cacheField>
    <cacheField name="week No" numFmtId="0">
      <sharedItems containsString="0" containsBlank="1" containsNumber="1" containsInteger="1" minValue="2" maxValue="40" count="40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sa Perrett" refreshedDate="45950.392258449072" createdVersion="8" refreshedVersion="8" minRefreshableVersion="3" recordCount="2142" xr:uid="{6E9CC38D-10FB-425F-AE46-D4968217A852}">
  <cacheSource type="worksheet">
    <worksheetSource ref="A1:G1048576" sheet="Sign Off OTIF"/>
  </cacheSource>
  <cacheFields count="7">
    <cacheField name="Order Tracking: Order Tracking No" numFmtId="0">
      <sharedItems containsBlank="1"/>
    </cacheField>
    <cacheField name="Infor Order Reference" numFmtId="0">
      <sharedItems containsBlank="1"/>
    </cacheField>
    <cacheField name="Project Name" numFmtId="0">
      <sharedItems containsBlank="1"/>
    </cacheField>
    <cacheField name="Days In Customer Sign Off" numFmtId="0">
      <sharedItems containsString="0" containsBlank="1" containsNumber="1" containsInteger="1" minValue="0" maxValue="176"/>
    </cacheField>
    <cacheField name="On Time" numFmtId="0">
      <sharedItems containsString="0" containsBlank="1" containsNumber="1" containsInteger="1" minValue="0" maxValue="1"/>
    </cacheField>
    <cacheField name="Order Tracking: Created Date" numFmtId="0">
      <sharedItems containsNonDate="0" containsDate="1" containsString="0" containsBlank="1" minDate="2025-01-06T00:00:00" maxDate="2025-10-18T00:00:00"/>
    </cacheField>
    <cacheField name="Week No" numFmtId="0">
      <sharedItems containsString="0" containsBlank="1" containsNumber="1" containsInteger="1" minValue="2" maxValue="42" count="42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sa Perrett" refreshedDate="45950.392308796298" createdVersion="8" refreshedVersion="8" minRefreshableVersion="3" recordCount="2142" xr:uid="{34B353BC-0397-4213-A447-5AC0C62F2AD7}">
  <cacheSource type="worksheet">
    <worksheetSource ref="A1:G1048576" sheet="Cleansing OTIF"/>
  </cacheSource>
  <cacheFields count="7">
    <cacheField name="Order Tracking: Order Tracking No" numFmtId="0">
      <sharedItems containsBlank="1"/>
    </cacheField>
    <cacheField name="Infor Order Reference" numFmtId="0">
      <sharedItems containsBlank="1"/>
    </cacheField>
    <cacheField name="Project Name" numFmtId="0">
      <sharedItems containsBlank="1"/>
    </cacheField>
    <cacheField name="Days In Cleansing" numFmtId="0">
      <sharedItems containsString="0" containsBlank="1" containsNumber="1" containsInteger="1" minValue="0" maxValue="160"/>
    </cacheField>
    <cacheField name="On Time" numFmtId="0">
      <sharedItems containsString="0" containsBlank="1" containsNumber="1" containsInteger="1" minValue="0" maxValue="1"/>
    </cacheField>
    <cacheField name="Order Tracking: Created Date" numFmtId="0">
      <sharedItems containsNonDate="0" containsDate="1" containsString="0" containsBlank="1" minDate="2025-01-06T00:00:00" maxDate="2025-10-18T00:00:00"/>
    </cacheField>
    <cacheField name="Week No" numFmtId="0">
      <sharedItems containsString="0" containsBlank="1" containsNumber="1" containsInteger="1" minValue="2" maxValue="42" count="42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9">
  <r>
    <s v="Maris Contracts"/>
    <s v="Daniel Tully"/>
    <s v="HILLSWOOD DRIVE NO 1000 CHERTSEY"/>
    <s v="00022117"/>
    <s v="S - Billing Error"/>
    <s v="Salesforce"/>
    <s v="07/01/2025, 09:30"/>
    <s v="UK"/>
    <x v="0"/>
    <s v="07/01/2025"/>
    <x v="0"/>
  </r>
  <r>
    <s v="Overbury Interiors Plc"/>
    <s v="Mick Beckham"/>
    <s v="PARK HOUSE FINSBURY CIRCUS NO 16/18 PH 1 FLR 6 CISCO LONDON"/>
    <s v="00022119"/>
    <s v="Q - Product Damaged"/>
    <s v="Shop Floor"/>
    <s v="07/01/2025, 09:41"/>
    <s v="UK"/>
    <x v="1"/>
    <s v="07/01/2025"/>
    <x v="0"/>
  </r>
  <r>
    <s v="Celtic Contractors Ltd"/>
    <s v="Paul Cooney"/>
    <s v="DEVONSHIRE SQUARE NO 2-5 PREMIER PLACE CAT B JANE STREET"/>
    <s v="00022131"/>
    <s v="N - Not a valid complaint"/>
    <s v="N/A"/>
    <s v="08/01/2025, 11:57"/>
    <s v="UK"/>
    <x v="2"/>
    <s v="08/01/2025"/>
    <x v="0"/>
  </r>
  <r>
    <s v="Celtic Contractors Ltd"/>
    <s v="Paul Cooney"/>
    <s v="DEVONSHIRE SQUARE NO 2-5 PREMIER PLACE CAT B JANE STREET"/>
    <s v="00022134"/>
    <s v="Q - Product packaging issue"/>
    <s v="Assembly"/>
    <s v="08/01/2025, 12:58"/>
    <s v="UK"/>
    <x v="3"/>
    <s v="08/01/2025"/>
    <x v="0"/>
  </r>
  <r>
    <s v="Nevill Long Ltd Northampton"/>
    <s v="Gemma Drake"/>
    <s v="CAMBRIDGE SCIENCE PARK BUILDING 22"/>
    <s v="00022136"/>
    <s v="Q - Product Damaged"/>
    <s v="Transport"/>
    <s v="08/01/2025, 14:12"/>
    <s v="UK"/>
    <x v="4"/>
    <s v="08/01/2025"/>
    <x v="0"/>
  </r>
  <r>
    <s v="BPC Interiors Ltd"/>
    <s v="Tony Edwards"/>
    <s v="MANCHESTER SQUARE NO 20 CAT B LAZARD LONDON"/>
    <s v="00022144"/>
    <s v="S - Not delivered"/>
    <s v="UK SOP"/>
    <s v="09/01/2025, 11:47"/>
    <s v="UK"/>
    <x v="5"/>
    <s v="09/01/2025"/>
    <x v="0"/>
  </r>
  <r>
    <s v="SIG Interiors Ltd (Croydon)"/>
    <s v="Albina Elston"/>
    <s v="NATIONAL PHYSICAL LABATORY L4 G8 REFURB LONDON"/>
    <s v="00022145"/>
    <s v="S - Sales order processing error"/>
    <s v="UK SOP"/>
    <s v="09/01/2025, 13:10"/>
    <s v="UK"/>
    <x v="5"/>
    <s v="09/01/2025"/>
    <x v="0"/>
  </r>
  <r>
    <s v="Laser (Essex) Ltd"/>
    <s v="Tracey Willis"/>
    <s v="PRINCIPAL PLACE LHR 16 AMAZON SCREENING ROOM LONDON"/>
    <s v="00022147"/>
    <s v="S - Incorrect carriage or storage method"/>
    <s v="Transport"/>
    <s v="09/01/2025, 13:22"/>
    <s v="UK"/>
    <x v="4"/>
    <s v="09/01/2025"/>
    <x v="0"/>
  </r>
  <r>
    <s v="Workplace Interiors Company Cheltenham Ltd"/>
    <s v="Chloe Phillips"/>
    <s v="WORKPLACE INTERIORS MISC 2025"/>
    <s v="00022152"/>
    <s v="Q - Product packaging issue"/>
    <s v="Warehouse"/>
    <s v="09/01/2025, 14:48"/>
    <s v="UK"/>
    <x v="6"/>
    <s v="09/01/2025"/>
    <x v="0"/>
  </r>
  <r>
    <s v="SAS International Inc"/>
    <s v="Kelly Karakoutas"/>
    <s v="PARK AVENUE 270 AMENITY FLOORS 15 &amp; 16, JP MORGAN"/>
    <s v="00022138"/>
    <s v="Q - Product manufactured incorrectly"/>
    <s v="Product Design/Engineering"/>
    <s v="09/01/2025, 07:39"/>
    <s v="USA"/>
    <x v="7"/>
    <s v="09/01/2025"/>
    <x v="0"/>
  </r>
  <r>
    <s v="SAS International Inc"/>
    <s v="Kelly Karakoutas"/>
    <s v="MADISON AVENUE 550 CLAYTON DUBILIER &amp; RICE FIT OUT"/>
    <s v="00022150"/>
    <s v="C - Customer Dispute"/>
    <s v="Customer"/>
    <s v="09/01/2025, 14:20"/>
    <s v="USA"/>
    <x v="8"/>
    <s v="09/01/2025"/>
    <x v="0"/>
  </r>
  <r>
    <s v="SAS International Inc"/>
    <s v="Anthony Berardo"/>
    <s v="PARK AVENUE 270 LOBBY JP MORGAN HQ NEW YORK"/>
    <s v="00022154"/>
    <s v="C - Customer Dispute"/>
    <s v="Customer"/>
    <s v="09/01/2025, 16:41"/>
    <s v="USA"/>
    <x v="8"/>
    <s v="09/01/2025"/>
    <x v="0"/>
  </r>
  <r>
    <s v="SAS International Inc"/>
    <s v="Anthony Berardo"/>
    <s v="PARK AVENUE 270 LOBBY JP MORGAN HQ NEW YORK"/>
    <s v="00022156"/>
    <s v="S - Not delivered"/>
    <s v="Export SOP"/>
    <s v="09/01/2025, 16:43"/>
    <s v="USA"/>
    <x v="9"/>
    <s v="09/01/2025"/>
    <x v="0"/>
  </r>
  <r>
    <s v="SAS International Dubai"/>
    <s v="Salish Sadasivan"/>
    <s v="SAS DUBAI STOCK ORDER"/>
    <s v="00022193"/>
    <s v="S - Transit damage"/>
    <s v="External Courier"/>
    <s v="15/01/2025, 13:27"/>
    <s v="Middle East"/>
    <x v="10"/>
    <s v="15/01/2025"/>
    <x v="1"/>
  </r>
  <r>
    <s v="SAS Special Projects"/>
    <s v="Mark Henderson"/>
    <s v="BLOOMBERG SOUTH BUILDING FIT-OUT PHASE 3 LONDON"/>
    <s v="00022166"/>
    <s v="Q - Product Finish Issue - Aesthetics"/>
    <s v="Paintline"/>
    <s v="13/01/2025, 14:58"/>
    <s v="Special Projects"/>
    <x v="11"/>
    <s v="13/01/2025"/>
    <x v="1"/>
  </r>
  <r>
    <s v="SAS Special Projects"/>
    <s v="Chris Ellingham"/>
    <s v="BLOOMBERG SOUTH BUILDING FIT-OUT PHASE 3 LONDON"/>
    <s v="00022168"/>
    <s v="Q - Picking Error"/>
    <s v="Assembly Block 2"/>
    <s v="13/01/2025, 15:46"/>
    <s v="Special Projects"/>
    <x v="12"/>
    <s v="13/01/2025"/>
    <x v="1"/>
  </r>
  <r>
    <s v="SAS Special Projects"/>
    <s v="Chris Ellingham"/>
    <s v="BLOOMBERG SOUTH BUILDING FIT-OUT PHASE 3 LONDON"/>
    <s v="00022172"/>
    <s v="Q - Product manufactured incorrectly"/>
    <s v="Assembly Block 2"/>
    <s v="14/01/2025, 09:20"/>
    <s v="Special Projects"/>
    <x v="12"/>
    <s v="14/01/2025"/>
    <x v="1"/>
  </r>
  <r>
    <s v="SAS Special Projects"/>
    <s v="Chris Ellingham"/>
    <s v="SP MISC PROJECTS 2024"/>
    <s v="00022186"/>
    <s v="Q - Drawing Error"/>
    <s v="Fast Track"/>
    <s v="15/01/2025, 08:08"/>
    <s v="Special Projects"/>
    <x v="13"/>
    <s v="15/01/2025"/>
    <x v="1"/>
  </r>
  <r>
    <s v="SAS Special Projects"/>
    <s v="Chris Ellingham"/>
    <s v="BLOOMBERG SOUTH BUILDING FIT-OUT PHASE 3 LONDON"/>
    <s v="00022196"/>
    <s v="Q - Product manufactured incorrectly"/>
    <s v="Assembly Block 2"/>
    <s v="15/01/2025, 15:51"/>
    <s v="Special Projects"/>
    <x v="12"/>
    <s v="15/01/2025"/>
    <x v="1"/>
  </r>
  <r>
    <s v="SAS Special Projects"/>
    <s v="Matthew Gillas"/>
    <s v="BLOOMBERG SOUTH BUILDING FIT-OUT PHASE 3 LONDON"/>
    <s v="00022198"/>
    <s v="Q - Product manufactured incorrectly"/>
    <s v="Assembly Block 2"/>
    <s v="16/01/2025, 08:27"/>
    <s v="Special Projects"/>
    <x v="12"/>
    <s v="16/01/2025"/>
    <x v="1"/>
  </r>
  <r>
    <s v="Laser (Essex) Ltd"/>
    <s v="Tracey Willis"/>
    <s v="PRINCIPAL PLACE LHR 16 AMAZON SCREENING ROOM LONDON"/>
    <s v="00022158"/>
    <s v="Q â€“ Missing Item"/>
    <s v="Salesforce"/>
    <s v="13/01/2025, 07:43"/>
    <s v="UK"/>
    <x v="0"/>
    <s v="13/01/2025"/>
    <x v="1"/>
  </r>
  <r>
    <s v="Gary James Partners Ltd"/>
    <s v="David Pegram"/>
    <s v="BAKER STREET NO 22 FLOORS 1-3 CAT A LONDON"/>
    <s v="00022160"/>
    <s v="Q - Product is delaminated"/>
    <s v="Shop Floor"/>
    <s v="13/01/2025, 09:52"/>
    <s v="UK"/>
    <x v="1"/>
    <s v="13/01/2025"/>
    <x v="1"/>
  </r>
  <r>
    <s v="Workplace Interiors Company Cheltenham Ltd"/>
    <s v="Chloe Phillips"/>
    <s v="WORKPLACE INTERIORS MISC 2024"/>
    <s v="00022162"/>
    <s v="S - Billing Error"/>
    <s v="Finance"/>
    <s v="13/01/2025, 10:11"/>
    <s v="UK"/>
    <x v="14"/>
    <s v="13/01/2025"/>
    <x v="1"/>
  </r>
  <r>
    <s v="Carrington Building Services Ltd"/>
    <s v="Stephanie Chessell"/>
    <s v="NEW COURT ST SWITHINS LANE NO 1-10 LIGHTING LONDON"/>
    <s v="00022170"/>
    <s v="C - Customer Fault"/>
    <s v="Customer"/>
    <s v="14/01/2025, 07:38"/>
    <s v="UK"/>
    <x v="8"/>
    <s v="14/01/2025"/>
    <x v="1"/>
  </r>
  <r>
    <s v="BPC Interiors Ltd"/>
    <s v="Adam Donkin"/>
    <s v="CANARY WHARF CANADA SQUARE NO 25 ADDITIONS LONDON"/>
    <s v="00022181"/>
    <s v="Q - Product manufactured incorrectly"/>
    <s v="Press"/>
    <s v="14/01/2025, 14:34"/>
    <s v="UK"/>
    <x v="15"/>
    <s v="14/01/2025"/>
    <x v="1"/>
  </r>
  <r>
    <s v="Workplace Interiors Company Cheltenham Ltd"/>
    <s v="Chloe Phillips"/>
    <s v="WORKPLACE INTERIORS MISC 2025"/>
    <s v="00022190"/>
    <s v="S - Not delivered"/>
    <s v="Transport"/>
    <s v="15/01/2025, 11:15"/>
    <s v="UK"/>
    <x v="4"/>
    <s v="15/01/2025"/>
    <x v="1"/>
  </r>
  <r>
    <s v="Workplace Interiors Company Cheltenham Ltd"/>
    <s v="Chloe Phillips"/>
    <s v="WORKPLACE INTERIORS MISC 2025"/>
    <s v="00022200"/>
    <s v="S - Sales order processing error"/>
    <s v="UK SOP"/>
    <s v="16/01/2025, 08:55"/>
    <s v="UK"/>
    <x v="5"/>
    <s v="16/01/2025"/>
    <x v="1"/>
  </r>
  <r>
    <s v="Building Materials Nationwide Ltd"/>
    <s v="Oran Clark-Brymner"/>
    <s v="KFC MISC 2024"/>
    <s v="00022202"/>
    <s v="S - Billing Error"/>
    <s v="Finance"/>
    <s v="16/01/2025, 09:44"/>
    <s v="UK"/>
    <x v="14"/>
    <s v="16/01/2025"/>
    <x v="1"/>
  </r>
  <r>
    <s v="SIG Interiors Ltd (Croydon)"/>
    <s v="Albina Elston"/>
    <s v="NATIONAL PHYSICAL LABATORY L4 G8 REFURB LONDON"/>
    <s v="00022207"/>
    <s v="S - Billing Error"/>
    <s v="Finance"/>
    <s v="16/01/2025, 14:09"/>
    <s v="UK"/>
    <x v="14"/>
    <s v="16/01/2025"/>
    <x v="1"/>
  </r>
  <r>
    <s v="Henly Projects Ltd"/>
    <s v="Ross Purcell"/>
    <s v="NORTHCLIFFE HOUSE TUDOR STREET NO 26 FLRS 4-6 LONDON"/>
    <s v="00022213"/>
    <s v="S - Incorrectly Ordered"/>
    <s v="Estimating"/>
    <s v="17/01/2025, 14:50"/>
    <s v="UK"/>
    <x v="16"/>
    <s v="17/01/2025"/>
    <x v="1"/>
  </r>
  <r>
    <s v="SAS International Inc"/>
    <s v="Kelly Karakoutas"/>
    <s v="PARK AVENUE 270 AMENITY FLOORS 13 &amp; 14, JP MORGAN"/>
    <s v="00022183"/>
    <s v="S - Incorrectly Ordered"/>
    <s v="Salesforce"/>
    <s v="14/01/2025, 15:30"/>
    <s v="USA"/>
    <x v="0"/>
    <s v="14/01/2025"/>
    <x v="1"/>
  </r>
  <r>
    <s v="SAS International Inc"/>
    <s v="Kelly Karakoutas"/>
    <s v="MADISON AVENUE 550 CLAYTON DUBILIER &amp; RICE FIT OUT"/>
    <s v="00022211"/>
    <s v="S - Incorrectly Ordered"/>
    <s v="Design"/>
    <s v="17/01/2025, 14:19"/>
    <s v="USA"/>
    <x v="17"/>
    <s v="17/01/2025"/>
    <x v="1"/>
  </r>
  <r>
    <s v="SAS Building Factors Ireland Limited"/>
    <s v="Chris Carey"/>
    <s v="TOM JOHNSON HOUSE REFURB BEGGARS BUSH DUBLIN 4 LIGHTING"/>
    <s v="00022251"/>
    <s v="Q â€“ Faulty Luminaire"/>
    <s v="Lighting Supplier"/>
    <s v="22/01/2025, 09:40"/>
    <s v="Ireland"/>
    <x v="18"/>
    <s v="22/01/2025"/>
    <x v="2"/>
  </r>
  <r>
    <s v="Perfect Building Materials"/>
    <s v="Maroun Chaoul"/>
    <s v="SAADIYAT ISLAND DEVELOPMENT THE GROVE AUH"/>
    <s v="00022218"/>
    <s v="S - Transit damage"/>
    <s v="Transport"/>
    <s v="20/01/2025, 11:36"/>
    <s v="Middle East"/>
    <x v="4"/>
    <s v="20/01/2025"/>
    <x v="2"/>
  </r>
  <r>
    <s v="BK Gulf LLC"/>
    <s v="Mujeeb Syed"/>
    <s v="KHAZNA DATA CENTER IBN BATTUTA DXB9 JEBEL ALI DUBAI"/>
    <s v="00022232"/>
    <s v="Q - Product Damaged"/>
    <s v="Customer"/>
    <s v="21/01/2025, 09:01"/>
    <s v="Middle East"/>
    <x v="8"/>
    <s v="21/01/2025"/>
    <x v="2"/>
  </r>
  <r>
    <s v="SAS Special Projects"/>
    <s v="Chris Ellingham"/>
    <s v="BLOOMBERG SOUTH BUILDING FIT-OUT PHASE 3 LONDON"/>
    <s v="00022245"/>
    <s v="Q - Product Finish Issue - Aesthetics"/>
    <s v="Paintline"/>
    <s v="21/01/2025, 15:00"/>
    <s v="Special Projects"/>
    <x v="11"/>
    <s v="21/01/2025"/>
    <x v="2"/>
  </r>
  <r>
    <s v="SAS Special Projects"/>
    <s v="Chris Porter"/>
    <s v="LUL NLE BATTERSEA STATION WEST ENTRANCE LONDON"/>
    <s v="00022273"/>
    <s v="Q - Product manufactured incorrectly"/>
    <s v="Shop Floor"/>
    <s v="23/01/2025, 16:03"/>
    <s v="Special Projects"/>
    <x v="1"/>
    <s v="23/01/2025"/>
    <x v="2"/>
  </r>
  <r>
    <s v="Integra Contracts Ltd"/>
    <s v="Scott Taylor"/>
    <s v="BISHOPSGATE NO 8 FLOORS 10-15 CFC UNDERWRITING LONDON"/>
    <s v="00022215"/>
    <s v="Q - Product manufactured incorrectly"/>
    <s v="Design"/>
    <s v="20/01/2025, 08:17"/>
    <s v="UK"/>
    <x v="17"/>
    <s v="20/01/2025"/>
    <x v="2"/>
  </r>
  <r>
    <s v="TS &amp; B Contractors Ltd, T/A TSB Contractors"/>
    <s v="Fabio Dalle Fratte"/>
    <s v="STATION STREET LOXLEY HOUSE REFURB NOTTINGHAM"/>
    <s v="00022222"/>
    <s v="S - Incorrectly Ordered"/>
    <s v="Estimating"/>
    <s v="20/01/2025, 15:00"/>
    <s v="UK"/>
    <x v="16"/>
    <s v="20/01/2025"/>
    <x v="2"/>
  </r>
  <r>
    <s v="Integra Contracts Ltd"/>
    <s v="Scott Taylor"/>
    <s v="ROPEMAKER STREET NO 20-22 LINKLATERS FIT-OUT LONDON"/>
    <s v="00022224"/>
    <s v="S - Incorrectly Ordered"/>
    <s v="UK SOP"/>
    <s v="20/01/2025, 16:39"/>
    <s v="UK"/>
    <x v="5"/>
    <s v="20/01/2025"/>
    <x v="2"/>
  </r>
  <r>
    <s v="ML Interiors Ltd"/>
    <s v="Ewan Currie"/>
    <s v="CARLTON HOUSE TERRACE NO 20 FLRS 4-5 CAT B LONDON"/>
    <s v="00022228"/>
    <s v="S - Incorrect carriage or storage method"/>
    <s v="Transport"/>
    <s v="21/01/2025, 08:41"/>
    <s v="UK"/>
    <x v="4"/>
    <s v="21/01/2025"/>
    <x v="2"/>
  </r>
  <r>
    <s v="Cannock Ceilings Insulation &amp; Drywall Limited"/>
    <s v="Christopher Whitehouse"/>
    <s v="MISC TILE &amp; GRID PROJECTS"/>
    <s v="00022230"/>
    <s v="S - Transit damage"/>
    <s v="External Courier"/>
    <s v="21/01/2025, 08:58"/>
    <s v="UK"/>
    <x v="10"/>
    <s v="21/01/2025"/>
    <x v="2"/>
  </r>
  <r>
    <s v="Carrington Building Services Ltd"/>
    <s v="Stephanie Chessell"/>
    <s v="CAPITAL HOUSE KING WILLIAM ST NO 85 FLRS 6-7 LIGHTING LONDON"/>
    <s v="00022237"/>
    <s v="C - Customer Fault"/>
    <s v="Customer"/>
    <s v="21/01/2025, 11:45"/>
    <s v="UK"/>
    <x v="8"/>
    <s v="21/01/2025"/>
    <x v="2"/>
  </r>
  <r>
    <s v="BPC Interiors Ltd"/>
    <s v="Colin Brown"/>
    <s v="BROADGATE NO 1-2 CAT A LONDON"/>
    <s v="00022241"/>
    <s v="C - Customer Dispute"/>
    <s v="Customer"/>
    <s v="21/01/2025, 14:07"/>
    <s v="UK"/>
    <x v="8"/>
    <s v="21/01/2025"/>
    <x v="2"/>
  </r>
  <r>
    <s v="Titan Interior Solutions Ltd"/>
    <s v="Josh Parkin"/>
    <s v="MANCHESTER AIRPORT T2 EAST WING NEW DEVELOPMENT"/>
    <s v="00022243"/>
    <s v="S - Incorrectly Ordered"/>
    <s v="UK SOP"/>
    <s v="21/01/2025, 14:20"/>
    <s v="UK"/>
    <x v="5"/>
    <s v="21/01/2025"/>
    <x v="2"/>
  </r>
  <r>
    <s v="L &amp; D Interiors Ltd"/>
    <s v="Oliver Myles"/>
    <s v="NEW BAILEY NO FOUR REFURB FLR 7 BT MANCHESTER"/>
    <s v="00022247"/>
    <s v="C - Customer Fault"/>
    <s v="Customer"/>
    <s v="21/01/2025, 16:37"/>
    <s v="UK"/>
    <x v="8"/>
    <s v="21/01/2025"/>
    <x v="2"/>
  </r>
  <r>
    <s v="ML Interiors Ltd"/>
    <s v="Matthew Lawler"/>
    <s v="CARLTON HOUSE TERRACE NO 20 FLRS 4-5 CAT B LONDON"/>
    <s v="00022249"/>
    <s v="S - Incorrectly Ordered"/>
    <s v="Estimating"/>
    <s v="22/01/2025, 09:31"/>
    <s v="UK"/>
    <x v="16"/>
    <s v="22/01/2025"/>
    <x v="2"/>
  </r>
  <r>
    <s v="ML Interiors Ltd"/>
    <s v="Matthew Lawler"/>
    <s v="CARLTON HOUSE TERRACE NO 20 FLRS 4-5 CAT B LONDON"/>
    <s v="00022257"/>
    <s v="C - Customer Dispute"/>
    <s v="Customer"/>
    <s v="22/01/2025, 15:21"/>
    <s v="UK"/>
    <x v="8"/>
    <s v="22/01/2025"/>
    <x v="2"/>
  </r>
  <r>
    <s v="City Electrical Factors"/>
    <s v="Steven Reid"/>
    <s v="KING STREET OFFICE DEVELOPMENT BLACKPOOL LIGHTING"/>
    <s v="00022261"/>
    <s v="Q â€“ Faulty Luminaire"/>
    <s v="Lighting Supplier"/>
    <s v="23/01/2025, 10:21"/>
    <s v="UK"/>
    <x v="18"/>
    <s v="23/01/2025"/>
    <x v="2"/>
  </r>
  <r>
    <s v="Linear Projects Ltd (Rotherham)"/>
    <s v="Aidan McLaughlin"/>
    <s v="BRANDON STREET NO 20  BLACKROCK EDINBURGH"/>
    <s v="00022263"/>
    <s v="C - Customer Fault"/>
    <s v="UK SOP"/>
    <s v="23/01/2025, 11:46"/>
    <s v="UK"/>
    <x v="5"/>
    <s v="23/01/2025"/>
    <x v="2"/>
  </r>
  <r>
    <s v="D3 Interiors"/>
    <s v="Andy Ratcliffe"/>
    <s v="COLMORE SQUARE NO 1 FLOOR 4 BIRMINGHAM"/>
    <s v="00022265"/>
    <s v="S - Incorrectly Ordered"/>
    <s v="Salesforce"/>
    <s v="23/01/2025, 13:15"/>
    <s v="UK"/>
    <x v="0"/>
    <s v="23/01/2025"/>
    <x v="2"/>
  </r>
  <r>
    <s v="Cap Ceilings &amp; Partitions Ltd"/>
    <s v="Gary Rice"/>
    <s v="MUSGROVE PARK HOSPITAL TAUNTON"/>
    <s v="00022267"/>
    <s v="C - Customer Dispute"/>
    <s v="Customer"/>
    <s v="23/01/2025, 13:59"/>
    <s v="UK"/>
    <x v="8"/>
    <s v="23/01/2025"/>
    <x v="2"/>
  </r>
  <r>
    <s v="B W Shrimpton Ltd"/>
    <s v="Andrew Sturdy"/>
    <s v="CHESTERFIELD ROYAL HOSPITAL MENTAL HEALTH FACILITY"/>
    <s v="00022271"/>
    <s v="Q - Product Dimension Error"/>
    <s v="Salesforce"/>
    <s v="23/01/2025, 15:32"/>
    <s v="UK"/>
    <x v="0"/>
    <s v="23/01/2025"/>
    <x v="2"/>
  </r>
  <r>
    <s v="Howe Ceilings &amp; Interiors Ltd"/>
    <s v="Ross Howe"/>
    <s v="BOTHWELL STREET NO 177 FLOOR 5 FIT OUT GLASGOW"/>
    <s v="00022276"/>
    <s v="S - Incorrectly Ordered"/>
    <s v="UK SOP"/>
    <s v="24/01/2025, 08:35"/>
    <s v="UK"/>
    <x v="5"/>
    <s v="24/01/2025"/>
    <x v="2"/>
  </r>
  <r>
    <s v="Jones FM LLP"/>
    <s v="John Jones"/>
    <s v="COMMODITY QUAY ST KATHERINES DOCK REFURB LONDON"/>
    <s v="00022279"/>
    <s v="Q - Product manufactured incorrectly"/>
    <s v="Scheduling"/>
    <s v="24/01/2025, 13:04"/>
    <s v="UK"/>
    <x v="19"/>
    <s v="24/01/2025"/>
    <x v="2"/>
  </r>
  <r>
    <s v="Jones FM LLP"/>
    <s v="John Jones"/>
    <s v="COMMODITY QUAY ST KATHERINES DOCK REFURB LONDON"/>
    <s v="00022281"/>
    <s v="Q - Drawing Error"/>
    <s v="Fast Track"/>
    <s v="24/01/2025, 13:07"/>
    <s v="UK"/>
    <x v="13"/>
    <s v="24/01/2025"/>
    <x v="2"/>
  </r>
  <r>
    <s v="SAS International Inc"/>
    <s v="Kelly Karakoutas"/>
    <s v="PARK AVENUE 270 AMENITY FLOORS 15 &amp; 16, JP MORGAN"/>
    <s v="00022269"/>
    <s v="S - Incorrectly Ordered"/>
    <s v="Design"/>
    <s v="23/01/2025, 14:50"/>
    <s v="USA"/>
    <x v="17"/>
    <s v="23/01/2025"/>
    <x v="2"/>
  </r>
  <r>
    <s v="SAS International Australia"/>
    <s v="Kate Cogswell"/>
    <s v="EXHIBITION STREET NO 8 MELBOURNE"/>
    <s v="00022321"/>
    <s v="Q - Product is Deformed"/>
    <s v="Assembly"/>
    <s v="30/01/2025, 08:20"/>
    <s v="Australia"/>
    <x v="3"/>
    <s v="30/01/2025"/>
    <x v="3"/>
  </r>
  <r>
    <s v="SAS Special Projects"/>
    <s v="Chris Ellingham"/>
    <s v="SP MISC PROJECTS 2024"/>
    <s v="00022288"/>
    <s v="S - Sales order processing error"/>
    <s v="Fast Track"/>
    <s v="27/01/2025, 12:59"/>
    <s v="Special Projects"/>
    <x v="13"/>
    <s v="27/01/2025"/>
    <x v="3"/>
  </r>
  <r>
    <s v="WT Interiors Ltd"/>
    <s v="Mark Perry"/>
    <s v="LUL NLE BATTERSEA STATION WEST ENTRANCE LONDON"/>
    <s v="00022309"/>
    <s v="S - Incorrectly Ordered"/>
    <s v="Estimating"/>
    <s v="29/01/2025, 08:49"/>
    <s v="Special Projects"/>
    <x v="16"/>
    <s v="29/01/2025"/>
    <x v="3"/>
  </r>
  <r>
    <s v="SAS Special Projects"/>
    <s v="Chris Ellingham"/>
    <s v="BLOOMBERG SOUTH BUILDING FIT-OUT PHASE 3 LONDON"/>
    <s v="00022312"/>
    <s v="Q - Product manufactured incorrectly"/>
    <s v="Assembly Block 2"/>
    <s v="29/01/2025, 09:58"/>
    <s v="Special Projects"/>
    <x v="12"/>
    <s v="29/01/2025"/>
    <x v="3"/>
  </r>
  <r>
    <s v="SAS Special Projects"/>
    <s v="Chris Ellingham"/>
    <s v="LUL NLE BATTERSEA STATION WEST ENTRANCE LONDON"/>
    <s v="00022324"/>
    <s v="C - Customer Dispute"/>
    <s v="Customer"/>
    <s v="30/01/2025, 09:05"/>
    <s v="Special Projects"/>
    <x v="8"/>
    <s v="30/01/2025"/>
    <x v="3"/>
  </r>
  <r>
    <s v="SAS Special Projects"/>
    <s v="Chris Ellingham"/>
    <s v="BLOOMBERG SOUTH BUILDING FIT-OUT PHASE 3 LONDON"/>
    <s v="00022337"/>
    <s v="Q - Product manufactured incorrectly"/>
    <s v="Assembly Block 2"/>
    <s v="31/01/2025, 10:00"/>
    <s v="Special Projects"/>
    <x v="12"/>
    <s v="31/01/2025"/>
    <x v="3"/>
  </r>
  <r>
    <s v="BPC Interiors Ltd"/>
    <s v="Adam Donkin"/>
    <s v="CANARY WHARF CANADA SQUARE NO 25 CITIBANK REFURB LONDON"/>
    <s v="00022290"/>
    <s v="S - Sales order processing error"/>
    <s v="UK SOP"/>
    <s v="27/01/2025, 13:47"/>
    <s v="UK"/>
    <x v="5"/>
    <s v="27/01/2025"/>
    <x v="3"/>
  </r>
  <r>
    <s v="Conneely Drylining Ltd"/>
    <s v="Sales Department"/>
    <s v="GREENWICH PENINSULA PLOT NO 19.05 RESI LONDON"/>
    <s v="00022292"/>
    <s v="C - Customer Fault"/>
    <s v="Customer"/>
    <s v="27/01/2025, 15:36"/>
    <s v="UK"/>
    <x v="8"/>
    <s v="27/01/2025"/>
    <x v="3"/>
  </r>
  <r>
    <s v="Workplace Interiors Company Cheltenham Ltd"/>
    <s v="Chloe Phillips"/>
    <s v="WORKPLACE INTERIORS MISC 2025"/>
    <s v="00022306"/>
    <s v="Q - Picking Error"/>
    <s v="Warehouse"/>
    <s v="28/01/2025, 14:24"/>
    <s v="UK"/>
    <x v="6"/>
    <s v="28/01/2025"/>
    <x v="3"/>
  </r>
  <r>
    <s v="Celtic Contractors Ltd"/>
    <s v="Paul Cooney"/>
    <s v="DEVONSHIRE SQUARE NO 2-5 PREMIER PLACE CAT B JANE STREET"/>
    <s v="00022314"/>
    <s v="C - Customer Dispute"/>
    <s v="Customer"/>
    <s v="29/01/2025, 10:30"/>
    <s v="UK"/>
    <x v="8"/>
    <s v="29/01/2025"/>
    <x v="3"/>
  </r>
  <r>
    <s v="Drytech Construction Limited"/>
    <s v="Tommy McDermott"/>
    <s v="LEADENHALL STREET NO 1 CHANGING ROOMS &amp; WCS LONDON"/>
    <s v="00022319"/>
    <s v="Q - Drawing Error"/>
    <s v="Product Design"/>
    <s v="29/01/2025, 16:03"/>
    <s v="UK"/>
    <x v="7"/>
    <s v="29/01/2025"/>
    <x v="3"/>
  </r>
  <r>
    <s v="L &amp; D Interiors Ltd"/>
    <s v="Oliver Myles"/>
    <s v="NEW BAILEY NO FOUR REFURB FLR 7 BT MANCHESTER"/>
    <s v="00022327"/>
    <s v="S - Product specification error"/>
    <s v="Salesforce"/>
    <s v="30/01/2025, 11:44"/>
    <s v="UK"/>
    <x v="0"/>
    <s v="30/01/2025"/>
    <x v="3"/>
  </r>
  <r>
    <s v="Reverb Acoutics"/>
    <s v="Paul McDonagh"/>
    <s v="BP SUNBRY BUILDING E"/>
    <s v="00022329"/>
    <s v="S - Sales order processing error"/>
    <s v="Fast Track"/>
    <s v="30/01/2025, 12:48"/>
    <s v="UK"/>
    <x v="13"/>
    <s v="30/01/2025"/>
    <x v="3"/>
  </r>
  <r>
    <s v="Level Best Solutions Ltd"/>
    <s v="Simon Ashworth"/>
    <s v="WORSHIP SQUARE CLIFTON STREET NO 65 CAT B WISE LONDON"/>
    <s v="00022332"/>
    <s v="Q - Drawing Error"/>
    <s v="Fast Track"/>
    <s v="30/01/2025, 15:57"/>
    <s v="UK"/>
    <x v="13"/>
    <s v="30/01/2025"/>
    <x v="3"/>
  </r>
  <r>
    <s v="Celtic Contractors Ltd"/>
    <s v="Paul Cooney"/>
    <s v="DEVONSHIRE SQUARE NO 2-5 PREMIER PLACE PHASE 3 JANE STREET"/>
    <s v="00022336"/>
    <s v="S - Late delivery"/>
    <s v="Shop Floor"/>
    <s v="31/01/2025, 08:45"/>
    <s v="UK"/>
    <x v="1"/>
    <s v="31/01/2025"/>
    <x v="3"/>
  </r>
  <r>
    <s v="Contour Construction and Interiors Ltd"/>
    <s v="Iqbal Hussain"/>
    <s v="HEATHROW T3 LANDSIDE ARRIVALS LONDON"/>
    <s v="00022341"/>
    <s v="C - Cancelled Order"/>
    <s v="Customer"/>
    <s v="31/01/2025, 11:17"/>
    <s v="UK"/>
    <x v="8"/>
    <s v="31/01/2025"/>
    <x v="3"/>
  </r>
  <r>
    <s v="SAS International Inc"/>
    <s v="Kelly Karakoutas"/>
    <s v="PARK AVENUE 270 AMENITY FLOORS 13 &amp; 14, JP MORGAN"/>
    <s v="00022334"/>
    <s v="Q - Product manufactured incorrectly"/>
    <s v="Design"/>
    <s v="31/01/2025, 08:29"/>
    <s v="USA"/>
    <x v="17"/>
    <s v="31/01/2025"/>
    <x v="3"/>
  </r>
  <r>
    <s v="Creative Interior Systems"/>
    <s v="Danny Brayshaw"/>
    <s v="DATUM MCR2 DATA CENTRE MANCHESTER DATA HALLS"/>
    <s v="00022356"/>
    <s v="S - Incorrectly Ordered"/>
    <s v="UK SOP"/>
    <s v="03/02/2025, 15:39"/>
    <s v="UK"/>
    <x v="5"/>
    <s v="03/02/2025"/>
    <x v="4"/>
  </r>
  <r>
    <s v="Celtic Contractors Ltd"/>
    <s v="Paul Cooney"/>
    <s v="DEVONSHIRE SQUARE NO 2-5 PREMIER PLACE CAT B JANE STREET"/>
    <s v="00022365"/>
    <s v="Q - Drawing Error"/>
    <s v="Product Design"/>
    <s v="04/02/2025, 11:18"/>
    <s v="UK"/>
    <x v="7"/>
    <s v="04/02/2025"/>
    <x v="4"/>
  </r>
  <r>
    <s v="Celtic Contractors Ltd"/>
    <s v="Paul Cooney"/>
    <s v="DEVONSHIRE SQUARE NO 2-5 PREMIER PLACE CAT B JANE STREET"/>
    <s v="00022382"/>
    <s v="S - Sales order processing error"/>
    <s v="UK SOP"/>
    <s v="05/02/2025, 09:49"/>
    <s v="UK"/>
    <x v="5"/>
    <s v="05/02/2025"/>
    <x v="4"/>
  </r>
  <r>
    <s v="Celtic Contractors Ltd"/>
    <s v="Paul Cooney"/>
    <s v="DEVONSHIRE SQUARE NO 2-5 PREMIER PLACE CAT B JANE STREET"/>
    <s v="00022384"/>
    <s v="S - Sales order processing error"/>
    <s v="UK SOP"/>
    <s v="05/02/2025, 09:57"/>
    <s v="UK"/>
    <x v="5"/>
    <s v="05/02/2025"/>
    <x v="4"/>
  </r>
  <r>
    <s v="BPC Interiors Ltd"/>
    <s v="Tony Edwards"/>
    <s v="LEADENHALL STREET NO 1 CAT B LATHAM &amp; WATKINS FLRS 1-20"/>
    <s v="00022389"/>
    <s v="Q - Drawing Error"/>
    <s v="Product Design/Engineering"/>
    <s v="05/02/2025, 12:57"/>
    <s v="UK"/>
    <x v="7"/>
    <s v="05/02/2025"/>
    <x v="4"/>
  </r>
  <r>
    <s v="Stortford Interiors Ltd"/>
    <s v="Lucy Wareham"/>
    <s v="BROADGATE NO 1-2 CAT A WASHROOMS LONDON"/>
    <s v="00022392"/>
    <s v="S - Incorrectly Ordered"/>
    <s v="UK SOP"/>
    <s v="05/02/2025, 14:02"/>
    <s v="UK"/>
    <x v="5"/>
    <s v="05/02/2025"/>
    <x v="4"/>
  </r>
  <r>
    <s v="BPC Interiors Ltd"/>
    <s v="Nayeb Choudhury"/>
    <s v="MANCHESTER SQUARE NO 20 CAT B LAZARD LONDON LIGHTING"/>
    <s v="00022397"/>
    <s v="V - Vendor problem"/>
    <s v="Lighting Supplier"/>
    <s v="06/02/2025, 13:37"/>
    <s v="UK"/>
    <x v="18"/>
    <s v="06/02/2025"/>
    <x v="4"/>
  </r>
  <r>
    <s v="Ceiling &amp; Partition Installations Ltd"/>
    <s v="Warwick Robbins"/>
    <s v="MISC TILE &amp; GRID PROJECTS"/>
    <s v="00022408"/>
    <s v="S - Sales order processing error"/>
    <s v="UK SOP"/>
    <s v="07/02/2025, 10:15"/>
    <s v="UK"/>
    <x v="5"/>
    <s v="07/02/2025"/>
    <x v="4"/>
  </r>
  <r>
    <s v="Henly Projects Ltd"/>
    <s v="Brian Alexander"/>
    <s v="CAVENDISH SQUARE NO 9 CAT A REFURB LONDON"/>
    <s v="00022411"/>
    <s v="Q - Picking Error"/>
    <s v="Warehouse"/>
    <s v="07/02/2025, 12:55"/>
    <s v="UK"/>
    <x v="6"/>
    <s v="07/02/2025"/>
    <x v="4"/>
  </r>
  <r>
    <s v="Henly Projects Ltd"/>
    <s v="Brian Alexander"/>
    <s v="CAVENDISH SQUARE NO 9 CAT A REFURB LONDON"/>
    <s v="00022413"/>
    <s v="S - Incorrectly Ordered"/>
    <s v="Salesforce"/>
    <s v="07/02/2025, 12:59"/>
    <s v="UK"/>
    <x v="0"/>
    <s v="07/02/2025"/>
    <x v="4"/>
  </r>
  <r>
    <s v="SAS International Inc"/>
    <s v="Jacqueline Nagle"/>
    <s v="YALE UNIVERSITY CHEMISTRY &amp; SAFETY BUILDING (CSB)"/>
    <s v="00022360"/>
    <s v="S - Transit damage"/>
    <s v="Transport"/>
    <s v="04/02/2025, 08:53"/>
    <s v="USA"/>
    <x v="4"/>
    <s v="04/02/2025"/>
    <x v="4"/>
  </r>
  <r>
    <s v="SAS International Inc"/>
    <s v="Anthony Berardo"/>
    <s v="PARK AVENUE 270 LOBBY JP MORGAN HQ NEW YORK"/>
    <s v="00022415"/>
    <s v="Q - Product manufactured incorrectly"/>
    <s v="Press"/>
    <s v="07/02/2025, 15:31"/>
    <s v="USA"/>
    <x v="15"/>
    <s v="07/02/2025"/>
    <x v="4"/>
  </r>
  <r>
    <s v="SAS Special Projects"/>
    <s v="Mark Henderson"/>
    <s v="BLOOMBERG SOUTH BUILDING FIT-OUT PHASE 3 LONDON"/>
    <s v="00022430"/>
    <s v="S - Transit damage"/>
    <s v="Transport"/>
    <s v="11/02/2025, 09:34"/>
    <s v="Special Projects"/>
    <x v="4"/>
    <s v="11/02/2025"/>
    <x v="5"/>
  </r>
  <r>
    <s v="Rose Builders Ltd"/>
    <s v="Alan Webber"/>
    <s v="TURING COURT NO 1 CARECO HQ BRAINTREE"/>
    <s v="00022433"/>
    <s v="S - Product specification error"/>
    <s v="Estimating"/>
    <s v="11/02/2025, 11:09"/>
    <s v="UK"/>
    <x v="16"/>
    <s v="11/02/2025"/>
    <x v="5"/>
  </r>
  <r>
    <s v="Level Best Solutions Ltd"/>
    <s v="Sara Danzelman"/>
    <s v="UNKNOWN"/>
    <s v="00022435"/>
    <s v="S - Transit damage"/>
    <s v="External Courier"/>
    <s v="11/02/2025, 11:28"/>
    <s v="UK"/>
    <x v="10"/>
    <s v="11/02/2025"/>
    <x v="5"/>
  </r>
  <r>
    <s v="Project Bespoke Limited"/>
    <s v="Catalin Moglan"/>
    <s v="QUEEN STREET PLACE NO 36 LONDON"/>
    <s v="00022439"/>
    <s v="S - Incorrect carriage or storage method"/>
    <s v="Transport"/>
    <s v="11/02/2025, 13:10"/>
    <s v="UK"/>
    <x v="4"/>
    <s v="11/02/2025"/>
    <x v="5"/>
  </r>
  <r>
    <s v="Warwick Group Ltd"/>
    <s v="MARK FRENCH"/>
    <s v="MORE LONDON NO 6 CAT A LONDON"/>
    <s v="00022444"/>
    <s v="Q - Product manufactured incorrectly"/>
    <s v="Assembly"/>
    <s v="11/02/2025, 15:50"/>
    <s v="UK"/>
    <x v="3"/>
    <s v="11/02/2025"/>
    <x v="5"/>
  </r>
  <r>
    <s v="TAD Contracts Ltd"/>
    <s v="Sean Brundell"/>
    <s v="HENRIETTA STREET NO 12 FLR 1 REFURB LONDON"/>
    <s v="00022451"/>
    <s v="S - Incorrectly Ordered"/>
    <s v="UK SOP"/>
    <s v="12/02/2025, 09:46"/>
    <s v="UK"/>
    <x v="5"/>
    <s v="12/02/2025"/>
    <x v="5"/>
  </r>
  <r>
    <s v="City Electrical Factors Ltd"/>
    <s v="Steven Reid"/>
    <s v="KING STREET OFFICE DEVELOPMENT BLACKPOOL LIGHTING"/>
    <s v="00022465"/>
    <s v="Q â€“ Faulty Luminaire"/>
    <s v="Lighting Supplier"/>
    <s v="14/02/2025, 10:30"/>
    <s v="UK"/>
    <x v="18"/>
    <s v="14/02/2025"/>
    <x v="5"/>
  </r>
  <r>
    <s v="Bellwood Interiors Ltd"/>
    <s v="George Foster"/>
    <s v="JACK TURNBULL MISC TILE &amp; GRID 2025"/>
    <s v="00022469"/>
    <s v="C - Customer Fault"/>
    <s v="Customer"/>
    <s v="14/02/2025, 11:13"/>
    <s v="UK"/>
    <x v="8"/>
    <s v="14/02/2025"/>
    <x v="5"/>
  </r>
  <r>
    <s v="Sound Interiors Ltd"/>
    <s v="Mark Beard"/>
    <s v="ARGOED HIGH SCHOOL REDEVELOPMENT MYNYDD ISA"/>
    <s v="00022472"/>
    <s v="S - Sales order processing error"/>
    <s v="UK SOP"/>
    <s v="14/02/2025, 12:41"/>
    <s v="UK"/>
    <x v="5"/>
    <s v="14/02/2025"/>
    <x v="5"/>
  </r>
  <r>
    <s v="SAS International Inc"/>
    <s v="Kelly Karakoutas"/>
    <s v="PARK AVENUE 270 AMENITY FLOORS 13 &amp; 14, JP MORGAN"/>
    <s v="00022427"/>
    <s v="Q - Drawing Error"/>
    <s v="Product Design/Engineering"/>
    <s v="11/02/2025, 08:40"/>
    <s v="USA"/>
    <x v="7"/>
    <s v="11/02/2025"/>
    <x v="5"/>
  </r>
  <r>
    <s v="SAS International Australia"/>
    <s v="kathleen Lewington"/>
    <s v="SAS AUSTRALIA STOCK ORDERS"/>
    <s v="00022520"/>
    <s v="S - Billing Error"/>
    <s v="Export SOP"/>
    <s v="21/02/2025, 14:39"/>
    <s v="Australia"/>
    <x v="9"/>
    <s v="21/02/2025"/>
    <x v="6"/>
  </r>
  <r>
    <s v="SAS International"/>
    <s v="Ferouz Benamour"/>
    <s v="COEUR AEROGARE MARSEILLE"/>
    <s v="00022510"/>
    <s v="Q - Product manufactured incorrectly"/>
    <s v="Assembly"/>
    <s v="20/02/2025, 12:48"/>
    <s v="France"/>
    <x v="3"/>
    <s v="20/02/2025"/>
    <x v="6"/>
  </r>
  <r>
    <s v="Perfect Building Materials"/>
    <s v="Maroun Chaoul"/>
    <s v="SAADIYAT ISLAND DEVELOPMENT THE GROVE AUH WALL PANELS"/>
    <s v="00022476"/>
    <s v="S - Transit damage"/>
    <s v="Transport"/>
    <s v="17/02/2025, 10:14"/>
    <s v="Middle East"/>
    <x v="4"/>
    <s v="17/02/2025"/>
    <x v="6"/>
  </r>
  <r>
    <s v="Integra Contracts Ltd"/>
    <s v="Scott Taylor"/>
    <s v="DATA CENTRE MOCK UPS"/>
    <s v="00022474"/>
    <s v="S - Incorrectly Ordered"/>
    <s v="Salesforce"/>
    <s v="17/02/2025, 09:50"/>
    <s v="UK"/>
    <x v="0"/>
    <s v="17/02/2025"/>
    <x v="6"/>
  </r>
  <r>
    <s v="Yorkshire Maintenance Ltd"/>
    <s v="Elliot O'Neill"/>
    <s v="BISHOPSGATE NO 250 FLR 1 &amp; 2 NATWEST REFURB LONDON"/>
    <s v="00022480"/>
    <s v="C - Customer Fault"/>
    <s v="Customer"/>
    <s v="17/02/2025, 11:35"/>
    <s v="UK"/>
    <x v="8"/>
    <s v="17/02/2025"/>
    <x v="6"/>
  </r>
  <r>
    <s v="TS &amp; B Contractors Ltd, T/A TSB Contractors"/>
    <s v="Fabio Dalle Fratte"/>
    <s v="STATION STREET LOXLEY HOUSE REFURB NOTTINGHAM"/>
    <s v="00022485"/>
    <s v="Q - Drawing Error"/>
    <s v="Product Design"/>
    <s v="17/02/2025, 14:08"/>
    <s v="UK"/>
    <x v="7"/>
    <s v="17/02/2025"/>
    <x v="6"/>
  </r>
  <r>
    <s v="Matthew Grahame Limited"/>
    <s v="Matthew Ellis"/>
    <s v="QUEEN VICTORIA STREET NO 71 FLR 3 REFURB LONDON"/>
    <s v="00022500"/>
    <s v="Q - Drawing Error"/>
    <s v="Fast Track"/>
    <s v="19/02/2025, 10:40"/>
    <s v="UK"/>
    <x v="13"/>
    <s v="19/02/2025"/>
    <x v="6"/>
  </r>
  <r>
    <s v="ML Interiors Ltd"/>
    <s v="Ewan Currie"/>
    <s v="CARLTON HOUSE TERRACE NO 20 FLRS 4-5 CAT B LONDON"/>
    <s v="00022505"/>
    <s v="S - Transit damage"/>
    <s v="External Courier"/>
    <s v="19/02/2025, 15:51"/>
    <s v="UK"/>
    <x v="10"/>
    <s v="19/02/2025"/>
    <x v="6"/>
  </r>
  <r>
    <s v="West Park Contracting Ltd"/>
    <s v="Andrea Bates"/>
    <s v="HAYS GALLERIA SHACKLETON HOUSE CAT A REFURB FLR 5 LONDON"/>
    <s v="00022507"/>
    <s v="C - Customer Dispute"/>
    <s v="Customer"/>
    <s v="19/02/2025, 16:40"/>
    <s v="UK"/>
    <x v="8"/>
    <s v="19/02/2025"/>
    <x v="6"/>
  </r>
  <r>
    <s v="Vero Interiors Limited"/>
    <s v="Ezio Muratore"/>
    <s v="FLORAL STREET NO 27 MARATHON ASSET MGT CAT B LONDON"/>
    <s v="00022512"/>
    <s v="Q - Product Damaged"/>
    <s v="Shop Floor"/>
    <s v="20/02/2025, 13:04"/>
    <s v="UK"/>
    <x v="1"/>
    <s v="20/02/2025"/>
    <x v="6"/>
  </r>
  <r>
    <s v="Vero Interiors Limited"/>
    <s v="Ezio Muratore"/>
    <s v="FLORAL STREET NO 27 MARATHON ASSET MGT CAT B LONDON"/>
    <s v="00022516"/>
    <s v="Q - Picking Error"/>
    <s v="Assembly"/>
    <s v="21/02/2025, 09:42"/>
    <s v="UK"/>
    <x v="3"/>
    <s v="21/02/2025"/>
    <x v="6"/>
  </r>
  <r>
    <s v="SAS International Inc"/>
    <s v="Kelly Karakoutas"/>
    <s v="MADISON AVENUE 550 CLAYTON DUBILIER &amp; RICE FIT OUT"/>
    <s v="00022483"/>
    <s v="Q - Product manufactured incorrectly"/>
    <s v="Shop Floor"/>
    <s v="17/02/2025, 14:02"/>
    <s v="USA"/>
    <x v="1"/>
    <s v="17/02/2025"/>
    <x v="6"/>
  </r>
  <r>
    <s v="SAS Special Projects"/>
    <s v="William McCartney"/>
    <s v="KINGS CROSS CENTRAL GOOGLE HQ KGX1 CAT A LONDON"/>
    <s v="00022535"/>
    <s v="Q - Product Identification Error"/>
    <s v="Assembly Block 2"/>
    <s v="25/02/2025, 14:25"/>
    <s v="Special Projects"/>
    <x v="12"/>
    <s v="25/02/2025"/>
    <x v="7"/>
  </r>
  <r>
    <s v="SAS Special Projects"/>
    <s v="William McCartney"/>
    <s v="KINGS CROSS CENTRAL GOOGLE HQ KGX1 CAT A LONDON"/>
    <s v="00022537"/>
    <s v="Q - Product Damaged"/>
    <s v="Assembly Block 2"/>
    <s v="25/02/2025, 14:31"/>
    <s v="Special Projects"/>
    <x v="12"/>
    <s v="25/02/2025"/>
    <x v="7"/>
  </r>
  <r>
    <s v="SAS Special Projects"/>
    <s v="William McCartney"/>
    <s v="KINGS CROSS CENTRAL GOOGLE HQ KGX1 CAT A LONDON"/>
    <s v="00022539"/>
    <s v="Q - Product manufactured incorrectly"/>
    <s v="Press"/>
    <s v="25/02/2025, 14:35"/>
    <s v="Special Projects"/>
    <x v="15"/>
    <s v="25/02/2025"/>
    <x v="7"/>
  </r>
  <r>
    <s v="SAS Special Projects"/>
    <s v="Chris Ellingham"/>
    <s v="BLOOMBERG SOUTH BUILDING FIT-OUT PHASE 3 LONDON"/>
    <s v="00022552"/>
    <s v="Q - Product Finish Issue - Aesthetics"/>
    <s v="Paintline"/>
    <s v="26/02/2025, 15:59"/>
    <s v="Special Projects"/>
    <x v="11"/>
    <s v="26/02/2025"/>
    <x v="7"/>
  </r>
  <r>
    <s v="SAS Special Projects"/>
    <s v="Chris Ellingham"/>
    <s v="BLOOMBERG SOUTH BUILDING FIT-OUT PHASE 3 LONDON"/>
    <s v="00022573"/>
    <s v="Q - Drawing Error"/>
    <s v="Product Design"/>
    <s v="28/02/2025, 14:55"/>
    <s v="Special Projects"/>
    <x v="7"/>
    <s v="28/02/2025"/>
    <x v="7"/>
  </r>
  <r>
    <s v="Glasgow Ceilings Ltd"/>
    <s v="Gerry Winter"/>
    <s v="MILLER HOMES LOCHSIDE VIEW NO 2 EDINBURGH"/>
    <s v="00022522"/>
    <s v="S - Not delivered"/>
    <s v="External Courier"/>
    <s v="24/02/2025, 10:31"/>
    <s v="UK"/>
    <x v="10"/>
    <s v="24/02/2025"/>
    <x v="7"/>
  </r>
  <r>
    <s v="BPC Interiors Ltd"/>
    <s v="Shanice Simons"/>
    <s v="EVERTON FC BRAMLEY MOORE DOCK STADIUM FEATURES LIVERPOOL"/>
    <s v="00022541"/>
    <s v="S - Sales order processing error"/>
    <s v="UK SOP"/>
    <s v="25/02/2025, 14:52"/>
    <s v="UK"/>
    <x v="5"/>
    <s v="25/02/2025"/>
    <x v="7"/>
  </r>
  <r>
    <s v="Stortford Interiors Ltd"/>
    <s v="Lucy Wareham"/>
    <s v="EASTBROOK STUDIOS DAGENHAM LONDON"/>
    <s v="00022546"/>
    <s v="S - Sales order processing error"/>
    <s v="UK SOP"/>
    <s v="26/02/2025, 09:08"/>
    <s v="UK"/>
    <x v="5"/>
    <s v="26/02/2025"/>
    <x v="7"/>
  </r>
  <r>
    <s v="WT Interiors Ltd"/>
    <s v="Danny Waterman"/>
    <s v="QUEEN VICTORIA STREET NO 128 OLD CHANGE HOUSE REFURB LONDON"/>
    <s v="00022556"/>
    <s v="S - Late delivery"/>
    <s v="Paintline"/>
    <s v="27/02/2025, 14:26"/>
    <s v="UK"/>
    <x v="11"/>
    <s v="27/02/2025"/>
    <x v="7"/>
  </r>
  <r>
    <s v="Workplace Interiors Company Cheltenham Ltd"/>
    <s v="Emma Mundy"/>
    <s v="WORKPLACE INTERIORS MISC 2025"/>
    <s v="00022559"/>
    <s v="C - Customer Dispute"/>
    <s v="Customer"/>
    <s v="27/02/2025, 14:54"/>
    <s v="UK"/>
    <x v="8"/>
    <s v="27/02/2025"/>
    <x v="7"/>
  </r>
  <r>
    <s v="Maywins Construction &amp; Refurbishment"/>
    <s v="Ryan Sharp"/>
    <s v="NATIONAL ARCHIVES CLORE LEARNING CENTRE KEW PHASE 2 LONDON"/>
    <s v="00022567"/>
    <s v="Q - Picking Error"/>
    <s v="Assembly"/>
    <s v="28/02/2025, 12:59"/>
    <s v="UK"/>
    <x v="3"/>
    <s v="28/02/2025"/>
    <x v="7"/>
  </r>
  <r>
    <s v="Maywins Construction &amp; Refurbishment"/>
    <s v="Ryan Sharp"/>
    <s v="NATIONAL ARCHIVES CLORE LEARNING CENTRE KEW PHASE 2 LONDON"/>
    <s v="00022569"/>
    <s v="Q â€“ Missing Item"/>
    <s v="Assembly"/>
    <s v="28/02/2025, 13:02"/>
    <s v="UK"/>
    <x v="3"/>
    <s v="28/02/2025"/>
    <x v="7"/>
  </r>
  <r>
    <s v="Henly Projects Ltd"/>
    <s v="Josh Musialek"/>
    <s v="KINGS ROAD NO 120 LIBERTY GLOBAL FABRIC LONDON"/>
    <s v="00022571"/>
    <s v="S - Incorrectly Ordered"/>
    <s v="Salesforce"/>
    <s v="28/02/2025, 14:23"/>
    <s v="UK"/>
    <x v="0"/>
    <s v="28/02/2025"/>
    <x v="7"/>
  </r>
  <r>
    <s v="SAS International Australia"/>
    <s v="kathleen Lewington"/>
    <s v="SYDNEY AIRPORT T1 PIER B EAST BUSSING PBE"/>
    <s v="00022586"/>
    <s v="Q - Product manufactured incorrectly"/>
    <s v="Press"/>
    <s v="04/03/2025, 13:53"/>
    <s v="Australia"/>
    <x v="15"/>
    <s v="04/03/2025"/>
    <x v="8"/>
  </r>
  <r>
    <s v="Al Tasnim Middle East L.L.C"/>
    <s v="Sanju Samuel"/>
    <s v="MOH SUWAIQ HOSPITAL OMAN"/>
    <s v="00022622"/>
    <s v="Q - Product packaging issue"/>
    <s v="Assembly Block 2"/>
    <s v="07/03/2025, 10:09"/>
    <s v="Middle East"/>
    <x v="12"/>
    <s v="07/03/2025"/>
    <x v="8"/>
  </r>
  <r>
    <s v="Neu Stern Project"/>
    <s v="Itzik Stern"/>
    <s v="SEVEN STARS MALL HERZLIYA"/>
    <s v="00022610"/>
    <s v="S - Incorrectly Ordered"/>
    <s v="Estimating"/>
    <s v="06/03/2025, 08:50"/>
    <s v="Rest of the World"/>
    <x v="16"/>
    <s v="06/03/2025"/>
    <x v="8"/>
  </r>
  <r>
    <s v="SAS Special Projects"/>
    <s v="Mark Henderson"/>
    <s v="BLOOMBERG SOUTH BUILDING FIT-OUT PHASE 3 LONDON"/>
    <s v="00022579"/>
    <s v="Q - Product packaging issue"/>
    <s v="Assembly"/>
    <s v="04/03/2025, 08:24"/>
    <s v="Special Projects"/>
    <x v="3"/>
    <s v="04/03/2025"/>
    <x v="8"/>
  </r>
  <r>
    <s v="SAS Special Projects"/>
    <s v="Mark Henderson"/>
    <s v="BLOOMBERG SOUTH BUILDING FIT-OUT PHASE 3 LONDON"/>
    <s v="00022600"/>
    <s v="Q - Product manufactured incorrectly"/>
    <s v="Shop Floor"/>
    <s v="05/03/2025, 11:08"/>
    <s v="Special Projects"/>
    <x v="1"/>
    <s v="05/03/2025"/>
    <x v="8"/>
  </r>
  <r>
    <s v="SAS Special Projects"/>
    <s v="Mark Henderson"/>
    <s v="BLOOMBERG SOUTH BUILDING FIT-OUT PHASE 3 LONDON"/>
    <s v="00022602"/>
    <s v="Q - Product packaging issue"/>
    <s v="Assembly Block 2"/>
    <s v="05/03/2025, 11:26"/>
    <s v="Special Projects"/>
    <x v="12"/>
    <s v="05/03/2025"/>
    <x v="8"/>
  </r>
  <r>
    <s v="Beacon Business Interiors Ltd"/>
    <s v="Robbie Burnell"/>
    <s v="MARK LANE NO 70 LVL 11 CAT A LONDON"/>
    <s v="00022575"/>
    <s v="S - Incorrectly Ordered"/>
    <s v="Salesforce"/>
    <s v="03/03/2025, 11:39"/>
    <s v="UK"/>
    <x v="0"/>
    <s v="03/03/2025"/>
    <x v="8"/>
  </r>
  <r>
    <s v="EAC Group Ltd"/>
    <s v="Mark Lappage"/>
    <s v="JAGUAR LAND ROVER SHOWROOM MAIDSTONE"/>
    <s v="00022581"/>
    <s v="S - Not delivered"/>
    <s v="External Courier"/>
    <s v="04/03/2025, 10:40"/>
    <s v="UK"/>
    <x v="10"/>
    <s v="04/03/2025"/>
    <x v="8"/>
  </r>
  <r>
    <s v="Workplace Interiors Company Cheltenham Ltd"/>
    <s v="Chloe Phillips"/>
    <s v="JACK TURNBULL MISC TILE &amp; GRID 2025"/>
    <s v="00022591"/>
    <s v="S - Sales order processing error"/>
    <s v="UK SOP"/>
    <s v="04/03/2025, 15:03"/>
    <s v="UK"/>
    <x v="5"/>
    <s v="04/03/2025"/>
    <x v="8"/>
  </r>
  <r>
    <s v="Howe Ceilings &amp; Interiors Ltd"/>
    <s v="Ross Howe"/>
    <s v="BOTHWELL STREET NO 177 FLOOR 5 FIT OUT GLASGOW"/>
    <s v="00022594"/>
    <s v="Q - Product Damaged"/>
    <s v="Shop Floor"/>
    <s v="04/03/2025, 15:26"/>
    <s v="UK"/>
    <x v="1"/>
    <s v="04/03/2025"/>
    <x v="8"/>
  </r>
  <r>
    <s v="SIG Insulation Ltd (Eurocentral)"/>
    <s v="Alex Lorimer"/>
    <s v="TEVIOT ROW HOUSE STUDENT UNION REFURB UNI OF EDINBURGH"/>
    <s v="00022596"/>
    <s v="C - Customer Dispute"/>
    <s v="Customer"/>
    <s v="05/03/2025, 08:34"/>
    <s v="UK"/>
    <x v="8"/>
    <s v="05/03/2025"/>
    <x v="8"/>
  </r>
  <r>
    <s v="Rapidfix Ceilings &amp; Partitions Limited"/>
    <s v="Paul Oaten"/>
    <s v="SPINDLES TOWN SQUARE SHOPPING CENTRE OLDHAM"/>
    <s v="00022606"/>
    <s v="S - Incorrectly Ordered"/>
    <s v="Estimating"/>
    <s v="05/03/2025, 14:29"/>
    <s v="UK"/>
    <x v="16"/>
    <s v="05/03/2025"/>
    <x v="8"/>
  </r>
  <r>
    <s v="Workplace Interiors Company Cheltenham Ltd"/>
    <s v="Chloe Phillips"/>
    <s v="WORKPLACE INTERIORS MISC 2025"/>
    <s v="00022612"/>
    <s v="Q - Picking Error"/>
    <s v="Warehouse"/>
    <s v="06/03/2025, 12:00"/>
    <s v="UK"/>
    <x v="6"/>
    <s v="06/03/2025"/>
    <x v="8"/>
  </r>
  <r>
    <s v="TS &amp; B Contractors Ltd, T/A TSB Contractors"/>
    <s v="Rhuan Da Silva"/>
    <s v="STATION STREET LOXLEY HOUSE REFURB NOTTINGHAM"/>
    <s v="00022615"/>
    <s v="S - Incorrectly Ordered"/>
    <s v="Fast Track"/>
    <s v="06/03/2025, 13:52"/>
    <s v="UK"/>
    <x v="13"/>
    <s v="06/03/2025"/>
    <x v="8"/>
  </r>
  <r>
    <s v="Level Best Solutions Ltd"/>
    <s v="Simon Ashworth"/>
    <s v="PADDINGTON CENTRAL KINGDOM STREET NO 2 FLR 7 MICROSOFT"/>
    <s v="00022625"/>
    <s v="Q - Product manufactured incorrectly"/>
    <s v="Assembly"/>
    <s v="07/03/2025, 10:48"/>
    <s v="UK"/>
    <x v="3"/>
    <s v="07/03/2025"/>
    <x v="8"/>
  </r>
  <r>
    <s v="SIG Interiors Ltd (Sheffield)"/>
    <s v="Stephen Allcock"/>
    <s v="SOUTH PARADE NO 10 GRND FLR LEEDS"/>
    <s v="00022628"/>
    <s v="S - Incorrectly Ordered"/>
    <s v="Estimating"/>
    <s v="07/03/2025, 12:58"/>
    <s v="UK"/>
    <x v="16"/>
    <s v="07/03/2025"/>
    <x v="8"/>
  </r>
  <r>
    <s v="Integra Contracts Ltd"/>
    <s v="Scott Taylor"/>
    <s v="MOORFIELDS NO 21 THE GLACIER CAT B DEUTSCHE BANK LONDON"/>
    <s v="00022631"/>
    <s v="C - Customer Dispute"/>
    <s v="Customer"/>
    <s v="07/03/2025, 13:39"/>
    <s v="UK"/>
    <x v="8"/>
    <s v="07/03/2025"/>
    <x v="8"/>
  </r>
  <r>
    <s v="SAS International Australia"/>
    <s v="kathleen Lewington"/>
    <s v="MACQUARIE UNIVERSITY PAE SYDNEY"/>
    <s v="00022682"/>
    <s v="C - Customer Dispute"/>
    <s v="Customer"/>
    <s v="13/03/2025, 10:29"/>
    <s v="Australia"/>
    <x v="8"/>
    <s v="13/03/2025"/>
    <x v="9"/>
  </r>
  <r>
    <s v="SAS Special Projects"/>
    <s v="Chris Ellingham"/>
    <s v="BLOOMBERG SOUTH BUILDING FIT-OUT PHASE 3 LONDON"/>
    <s v="00022684"/>
    <s v="Q - Product manufactured incorrectly"/>
    <s v="Assembly Block 2"/>
    <s v="13/03/2025, 10:50"/>
    <s v="Special Projects"/>
    <x v="12"/>
    <s v="13/03/2025"/>
    <x v="9"/>
  </r>
  <r>
    <s v="Ljj Limited"/>
    <s v="Joe Kelsey"/>
    <s v="CHARING CROSS ROAD NO 127-133 LONDON"/>
    <s v="00022635"/>
    <s v="Q - Product manufactured incorrectly"/>
    <s v="Shop Floor"/>
    <s v="10/03/2025, 08:46"/>
    <s v="UK"/>
    <x v="1"/>
    <s v="10/03/2025"/>
    <x v="9"/>
  </r>
  <r>
    <s v="Craft Interior Ltd"/>
    <s v="Iulian Bota"/>
    <s v="CHARING CROSS ROAD NO 127-133 LONDON"/>
    <s v="00022637"/>
    <s v="Q - Product manufactured incorrectly"/>
    <s v="Ext â€“ External"/>
    <s v="10/03/2025, 08:52"/>
    <s v="UK"/>
    <x v="20"/>
    <s v="10/03/2025"/>
    <x v="9"/>
  </r>
  <r>
    <s v="Level Best Solutions Ltd"/>
    <s v="Simon Ashworth"/>
    <s v="KING STREET NO 33 CLEVELAND HOUSE REFURB FLOOR 4 LONDON"/>
    <s v="00022640"/>
    <s v="S - Sales order processing error"/>
    <s v="UK SOP"/>
    <s v="10/03/2025, 09:49"/>
    <s v="UK"/>
    <x v="5"/>
    <s v="10/03/2025"/>
    <x v="9"/>
  </r>
  <r>
    <s v="Clearwall Contracting Ltd"/>
    <s v="Christian Price"/>
    <s v="BISHOPSGATE NO 201 BROADGATE TOWER CAT A FLRS 10, 26 &amp; 28"/>
    <s v="00022646"/>
    <s v="C - Customer Dispute"/>
    <s v="Customer"/>
    <s v="10/03/2025, 11:38"/>
    <s v="UK"/>
    <x v="8"/>
    <s v="10/03/2025"/>
    <x v="9"/>
  </r>
  <r>
    <s v="Celtic Contractors Ltd"/>
    <s v="Paul Cooney"/>
    <s v="NEW STREET SQUARE NO 5 TAYLOR WESSING REFURB LONDON"/>
    <s v="00022650"/>
    <s v="Q - Product is Deformed"/>
    <s v="Shop Floor"/>
    <s v="10/03/2025, 15:22"/>
    <s v="UK"/>
    <x v="1"/>
    <s v="10/03/2025"/>
    <x v="9"/>
  </r>
  <r>
    <s v="AJC Interiors Ltd"/>
    <s v="Andrew Cook"/>
    <s v="ARTHUR STREET NO 12 FLOOR 6 REFURB LONDON"/>
    <s v="00022655"/>
    <s v="Q - Product packaging issue"/>
    <s v="Warehouse"/>
    <s v="11/03/2025, 09:44"/>
    <s v="UK"/>
    <x v="6"/>
    <s v="11/03/2025"/>
    <x v="9"/>
  </r>
  <r>
    <s v="Craft Interior Ltd"/>
    <s v="Iulian Bota"/>
    <s v="CHARING CROSS ROAD NO 127-133 LONDON"/>
    <s v="00022660"/>
    <s v="Q - Product manufactured incorrectly"/>
    <s v="Shop Floor"/>
    <s v="11/03/2025, 13:06"/>
    <s v="UK"/>
    <x v="1"/>
    <s v="11/03/2025"/>
    <x v="9"/>
  </r>
  <r>
    <s v="Titan Interior Solutions Ltd"/>
    <s v="James Gourlay"/>
    <s v="MANCHESTER AIRPORT T2 EAST WING NEW DEVELOPMENT"/>
    <s v="00022670"/>
    <s v="C - Customer Dispute"/>
    <s v="Customer"/>
    <s v="12/03/2025, 08:43"/>
    <s v="UK"/>
    <x v="8"/>
    <s v="12/03/2025"/>
    <x v="9"/>
  </r>
  <r>
    <s v="PAA Interiors Ltd"/>
    <s v="Taha Zeglam"/>
    <s v="LONDON WALL NO 60 FLRS 4&amp;5 RABOBANK FITOUT LONDON"/>
    <s v="00022675"/>
    <s v="S - Late delivery"/>
    <s v="Supplier"/>
    <s v="12/03/2025, 13:16"/>
    <s v="UK"/>
    <x v="21"/>
    <s v="12/03/2025"/>
    <x v="9"/>
  </r>
  <r>
    <s v="BPC Interiors Ltd"/>
    <s v="Tony Edwards"/>
    <s v="SHOE LANE NO 66 DELOITTE CAT B FIT OUT FLRS 6 &amp; 7 LONDON"/>
    <s v="00022678"/>
    <s v="S - Sales order processing error"/>
    <s v="UK SOP"/>
    <s v="12/03/2025, 15:37"/>
    <s v="UK"/>
    <x v="5"/>
    <s v="12/03/2025"/>
    <x v="9"/>
  </r>
  <r>
    <s v="Henly Projects Ltd"/>
    <s v="Josh Musialek"/>
    <s v="KINGS ROAD NO 120 LIBERTY GLOBAL FABRIC LONDON"/>
    <s v="00022680"/>
    <s v="S - Sales order processing error"/>
    <s v="UK SOP"/>
    <s v="13/03/2025, 09:11"/>
    <s v="UK"/>
    <x v="5"/>
    <s v="13/03/2025"/>
    <x v="9"/>
  </r>
  <r>
    <s v="Henly Projects Ltd"/>
    <s v="Josh Musialek"/>
    <s v="KINGS ROAD NO 120 LIBERTY GLOBAL FABRIC LONDON"/>
    <s v="00022686"/>
    <s v="S - Incorrectly Ordered"/>
    <s v="Salesforce"/>
    <s v="13/03/2025, 12:37"/>
    <s v="UK"/>
    <x v="0"/>
    <s v="13/03/2025"/>
    <x v="9"/>
  </r>
  <r>
    <s v="IDD Contracts Ltd"/>
    <s v="Dean White"/>
    <s v="KAPLAN BOROUGH HIGH STREET NO 179 - 182 LONDON"/>
    <s v="00022688"/>
    <s v="Q - Product Identification Error"/>
    <s v="Assembly Block 2"/>
    <s v="13/03/2025, 12:38"/>
    <s v="UK"/>
    <x v="12"/>
    <s v="13/03/2025"/>
    <x v="9"/>
  </r>
  <r>
    <s v="Level Best Solutions Ltd"/>
    <s v="Simon Ashworth"/>
    <s v="F1 MANAGEMENT UNIT 1 &amp; 2 BIGGIN HILL"/>
    <s v="00022690"/>
    <s v="S - Sales order processing error"/>
    <s v="UK SOP"/>
    <s v="13/03/2025, 14:12"/>
    <s v="UK"/>
    <x v="5"/>
    <s v="13/03/2025"/>
    <x v="9"/>
  </r>
  <r>
    <s v="Legacy Refurbishment Ltd"/>
    <s v="Danny Sales"/>
    <s v="FETTER LANE NO 10 FLR 6 REFURB ARC LONDON"/>
    <s v="00022694"/>
    <s v="Q - Product Damaged"/>
    <s v="Assembly"/>
    <s v="13/03/2025, 16:27"/>
    <s v="UK"/>
    <x v="3"/>
    <s v="13/03/2025"/>
    <x v="9"/>
  </r>
  <r>
    <s v="Advanced Industries Group"/>
    <s v="Sachi Radima"/>
    <s v="CENTRAL BANK OF IRAQ HEADQUARTERS BAGHDAD"/>
    <s v="00022713"/>
    <s v="Q - Product Identification Error"/>
    <s v="Product Design"/>
    <s v="18/03/2025, 09:18"/>
    <s v="Middle East"/>
    <x v="7"/>
    <s v="18/03/2025"/>
    <x v="10"/>
  </r>
  <r>
    <s v="Interior Solutions Company W.L.L."/>
    <s v="Jishnu Parambath"/>
    <s v="CITI BANK OFFICE FIT OUT PHASE 2 BAHRAIN"/>
    <s v="00022745"/>
    <s v="Q - Product manufactured incorrectly"/>
    <s v="Product Design"/>
    <s v="20/03/2025, 10:46"/>
    <s v="Middle East"/>
    <x v="7"/>
    <s v="20/03/2025"/>
    <x v="10"/>
  </r>
  <r>
    <s v="SAS Special Projects"/>
    <s v="Chris Ellingham"/>
    <s v="LUL NLE BATTERSEA STATION WEST ENTRANCE LONDON"/>
    <s v="00022704"/>
    <s v="Q - Product manufactured incorrectly"/>
    <s v="Shop Floor"/>
    <s v="17/03/2025, 10:25"/>
    <s v="Special Projects"/>
    <x v="1"/>
    <s v="17/03/2025"/>
    <x v="10"/>
  </r>
  <r>
    <s v="Rowan Specialist Interiors Ltd"/>
    <s v="David Medd"/>
    <s v="PILGRIM STREET PHASE 2 NEWCASTLE FURTHER DEVELOPMENT"/>
    <s v="00022708"/>
    <s v="S - Sales order processing error"/>
    <s v="UK SOP"/>
    <s v="17/03/2025, 14:47"/>
    <s v="UK"/>
    <x v="5"/>
    <s v="17/03/2025"/>
    <x v="10"/>
  </r>
  <r>
    <s v="SIG Interiors Ltd (Leicester)"/>
    <s v="Ben Williams"/>
    <s v="THANE ROAD NO 1 D95 BOOTS FACTORY NOTTINGHAM"/>
    <s v="00022710"/>
    <s v="Q - Picking Error"/>
    <s v="Transport"/>
    <s v="17/03/2025, 15:30"/>
    <s v="UK"/>
    <x v="4"/>
    <s v="17/03/2025"/>
    <x v="10"/>
  </r>
  <r>
    <s v="WT Interiors Ltd"/>
    <s v="Danny Waterman"/>
    <s v="CHARTERHOUSE STREET NO 33 THREE CROWNS FLR 8 LONDON"/>
    <s v="00022717"/>
    <s v="S - Sales order processing error"/>
    <s v="UK SOP"/>
    <s v="18/03/2025, 13:33"/>
    <s v="UK"/>
    <x v="5"/>
    <s v="18/03/2025"/>
    <x v="10"/>
  </r>
  <r>
    <s v="Red Systems Ltd"/>
    <s v="Steve Williams"/>
    <s v="EVERTON FC TUNNEL CLUB &amp; TRINITY LOUNGE LIVERPOOL"/>
    <s v="00022722"/>
    <s v="Q - Drawing Error"/>
    <s v="Product Design/Engineering"/>
    <s v="18/03/2025, 16:19"/>
    <s v="UK"/>
    <x v="7"/>
    <s v="18/03/2025"/>
    <x v="10"/>
  </r>
  <r>
    <s v="SIG Interiors Ltd (Croydon)"/>
    <s v="Albina Elston"/>
    <s v="ROYAL MARSDEN HOSPITAL DOWNS ROAD SUTTON"/>
    <s v="00022724"/>
    <s v="S - Sales order processing error"/>
    <s v="UK SOP"/>
    <s v="19/03/2025, 08:47"/>
    <s v="UK"/>
    <x v="5"/>
    <s v="19/03/2025"/>
    <x v="10"/>
  </r>
  <r>
    <s v="Delmond Construction Ltd"/>
    <s v="Askhat Chorobaev"/>
    <s v="OXFORD STREET NO 214 OFFICE BUILDING LONDON"/>
    <s v="00022726"/>
    <s v="S - Late delivery"/>
    <s v="Shop Floor"/>
    <s v="19/03/2025, 09:06"/>
    <s v="UK"/>
    <x v="1"/>
    <s v="19/03/2025"/>
    <x v="10"/>
  </r>
  <r>
    <s v="Red Systems Ltd"/>
    <s v="Steve Williams"/>
    <s v="EVERTON FC TUNNEL CLUB &amp; TRINITY LOUNGE LIVERPOOL"/>
    <s v="00022729"/>
    <s v="S - Sales order processing error"/>
    <s v="UK SOP"/>
    <s v="19/03/2025, 09:48"/>
    <s v="UK"/>
    <x v="5"/>
    <s v="19/03/2025"/>
    <x v="10"/>
  </r>
  <r>
    <s v="Clearwall Contracting Ltd"/>
    <s v="Christian Price"/>
    <s v="BISHOPSGATE NO 201 BROADGATE TOWER CAT A FLRS 10, 26 &amp; 28"/>
    <s v="00022737"/>
    <s v="S - Sales order processing error"/>
    <s v="UK SOP"/>
    <s v="19/03/2025, 14:49"/>
    <s v="UK"/>
    <x v="5"/>
    <s v="19/03/2025"/>
    <x v="10"/>
  </r>
  <r>
    <s v="Pace Interiors Ltd"/>
    <s v="Alison Steff"/>
    <s v="CITY POINT ROPEMAKER STREET FLR 16 REFURB LONDON"/>
    <s v="00022741"/>
    <s v="S - Late delivery"/>
    <s v="Shop Floor"/>
    <s v="19/03/2025, 15:48"/>
    <s v="UK"/>
    <x v="1"/>
    <s v="19/03/2025"/>
    <x v="10"/>
  </r>
  <r>
    <s v="Encon Interior Systems Ltd (Northampton)"/>
    <s v="Kelly Fleming"/>
    <s v="T-THERAPEUTICS OFFICE CAMBRIDGE"/>
    <s v="00022742"/>
    <s v="S - Late delivery"/>
    <s v="Shop Floor"/>
    <s v="19/03/2025, 15:52"/>
    <s v="UK"/>
    <x v="1"/>
    <s v="19/03/2025"/>
    <x v="10"/>
  </r>
  <r>
    <s v="Henly Projects Ltd"/>
    <s v="Ross Purcell"/>
    <s v="KINGS ROAD NO 120 LIBERTY GLOBAL FABRIC LONDON"/>
    <s v="00022748"/>
    <s v="S - Sales order processing error"/>
    <s v="UK SOP"/>
    <s v="20/03/2025, 13:02"/>
    <s v="UK"/>
    <x v="5"/>
    <s v="20/03/2025"/>
    <x v="10"/>
  </r>
  <r>
    <s v="Barnwood Construction Ltd"/>
    <s v="Morgan Jack"/>
    <s v="THE GRANGE SCHOOL MONMOUTH"/>
    <s v="00022751"/>
    <s v="Q - Product manufactured incorrectly"/>
    <s v="Shop Floor"/>
    <s v="20/03/2025, 15:46"/>
    <s v="UK"/>
    <x v="1"/>
    <s v="20/03/2025"/>
    <x v="10"/>
  </r>
  <r>
    <s v="Warwick Group Ltd"/>
    <s v="MARK FRENCH"/>
    <s v="MORE LONDON NO 6 CAT A LONDON"/>
    <s v="00022753"/>
    <s v="S - Incorrectly Ordered"/>
    <s v="Salesforce"/>
    <s v="20/03/2025, 15:56"/>
    <s v="UK"/>
    <x v="0"/>
    <s v="20/03/2025"/>
    <x v="10"/>
  </r>
  <r>
    <s v="Integra Contracts Ltd"/>
    <s v="Scott Taylor"/>
    <s v="AIR STREET NO 20 CAT B PAUL WEISS LONDON"/>
    <s v="00022755"/>
    <s v="Q - Picking Error"/>
    <s v="Warehouse"/>
    <s v="21/03/2025, 11:20"/>
    <s v="UK"/>
    <x v="6"/>
    <s v="21/03/2025"/>
    <x v="10"/>
  </r>
  <r>
    <s v="CEF"/>
    <s v="Michael Doyle"/>
    <s v="JACK TURNBULL MISC TILE &amp; GRID 2025"/>
    <s v="00022757"/>
    <s v="S - Transit damage"/>
    <s v="External Courier"/>
    <s v="21/03/2025, 12:51"/>
    <s v="UK"/>
    <x v="10"/>
    <s v="21/03/2025"/>
    <x v="10"/>
  </r>
  <r>
    <s v="Galaxy Installation &amp; Drylining (South Yorkshire) Ltd"/>
    <s v="Bernie Johnson"/>
    <s v="MCBRIDES CENTRAL PARK OFFICE REFURB MANCHESTER"/>
    <s v="00022759"/>
    <s v="S - Sales order processing error"/>
    <s v="UK SOP"/>
    <s v="21/03/2025, 13:01"/>
    <s v="UK"/>
    <x v="5"/>
    <s v="21/03/2025"/>
    <x v="10"/>
  </r>
  <r>
    <s v="SAS International Dublin"/>
    <s v="Chris Carey"/>
    <s v="CHARLEMONT EXCHANGE ENHANCEMENT WORKS DUBLIN"/>
    <s v="00022767"/>
    <s v="Q - Product manufactured incorrectly"/>
    <s v="Assembly"/>
    <s v="24/03/2025, 14:49"/>
    <s v="Ireland"/>
    <x v="3"/>
    <s v="24/03/2025"/>
    <x v="11"/>
  </r>
  <r>
    <s v="Grimes Finishings Ltd"/>
    <s v="James Randall"/>
    <s v="FORSEVEN INTERIM HQ BICESTER"/>
    <s v="00022761"/>
    <s v="S - Late delivery"/>
    <s v="Shop Floor"/>
    <s v="24/03/2025, 08:02"/>
    <s v="UK"/>
    <x v="1"/>
    <s v="24/03/2025"/>
    <x v="11"/>
  </r>
  <r>
    <s v="A.T. Jones Ltd (Fareham)"/>
    <s v="Becky Neary"/>
    <s v="EDEN CAMPUS THE HONEY BUILDING CAT A KINGSTON"/>
    <s v="00022762"/>
    <s v="S - Transit damage"/>
    <s v="Transport"/>
    <s v="24/03/2025, 10:36"/>
    <s v="UK"/>
    <x v="4"/>
    <s v="24/03/2025"/>
    <x v="11"/>
  </r>
  <r>
    <s v="JCS Interiors Ltd"/>
    <s v="Ian Haverty"/>
    <s v="KING STREET OFFICE DEVELOPMENT 2 BLACKPOOL"/>
    <s v="00022769"/>
    <s v="S - Sales order processing error"/>
    <s v="UK SOP"/>
    <s v="25/03/2025, 08:32"/>
    <s v="UK"/>
    <x v="5"/>
    <s v="25/03/2025"/>
    <x v="11"/>
  </r>
  <r>
    <s v="Cannock Ceilings Insulation &amp; Drywall Limited"/>
    <s v="Christopher Whitehouse"/>
    <s v="MORRISONS MISC 2025"/>
    <s v="00022772"/>
    <s v="S - Not delivered"/>
    <s v="Warehouse"/>
    <s v="25/03/2025, 09:47"/>
    <s v="UK"/>
    <x v="6"/>
    <s v="25/03/2025"/>
    <x v="11"/>
  </r>
  <r>
    <s v="Galaxy Insulation &amp; Drylining (North East Branch)"/>
    <s v="Greg Davis"/>
    <s v="MCBRIDES CENTRAL PARK OFFICE REFURB MANCHESTER"/>
    <s v="00022778"/>
    <s v="C - Customer Fault"/>
    <s v="Customer"/>
    <s v="25/03/2025, 14:42"/>
    <s v="UK"/>
    <x v="8"/>
    <s v="25/03/2025"/>
    <x v="11"/>
  </r>
  <r>
    <s v="Interior Resolutions Ltd"/>
    <s v="Nigel Tickell"/>
    <s v="CURZON STREET NO 1 GRND &amp; FLR 4 REFURB LONDON"/>
    <s v="00022782"/>
    <s v="C - Customer Dispute"/>
    <s v="Customer"/>
    <s v="25/03/2025, 16:40"/>
    <s v="UK"/>
    <x v="8"/>
    <s v="25/03/2025"/>
    <x v="11"/>
  </r>
  <r>
    <s v="Damar Interiors (North West) Ltd"/>
    <s v="Dave Wood"/>
    <s v="NORTH MISC 2025 - CHRIS EDGE"/>
    <s v="00022785"/>
    <s v="S - Transit damage"/>
    <s v="External Courier"/>
    <s v="26/03/2025, 09:14"/>
    <s v="UK"/>
    <x v="10"/>
    <s v="26/03/2025"/>
    <x v="11"/>
  </r>
  <r>
    <s v="Integra Contracts Ltd"/>
    <s v="Scott Taylor"/>
    <s v="ROPEMAKER STREET NO 20-22 LINKLATERS FIT-OUT LONDON"/>
    <s v="00022790"/>
    <s v="Q - Picking Error"/>
    <s v="Warehouse"/>
    <s v="26/03/2025, 14:22"/>
    <s v="UK"/>
    <x v="6"/>
    <s v="26/03/2025"/>
    <x v="11"/>
  </r>
  <r>
    <s v="WT Interiors Ltd"/>
    <s v="Richard Stubbs"/>
    <s v="ST JAMES PLACE NO 1 FLR 4 LONDON"/>
    <s v="00022792"/>
    <s v="S - Incorrectly Ordered"/>
    <s v="Estimating"/>
    <s v="26/03/2025, 15:12"/>
    <s v="UK"/>
    <x v="16"/>
    <s v="26/03/2025"/>
    <x v="11"/>
  </r>
  <r>
    <s v="Level Best Solutions Ltd"/>
    <s v="Simon Ashworth"/>
    <s v="KING STREET NO 33 CLEVELAND HOUSE REFURB FLOOR 4 LONDON"/>
    <s v="00022794"/>
    <s v="S - Sales order processing error"/>
    <s v="UK SOP"/>
    <s v="27/03/2025, 08:28"/>
    <s v="UK"/>
    <x v="5"/>
    <s v="27/03/2025"/>
    <x v="11"/>
  </r>
  <r>
    <s v="Flynn James Limited"/>
    <s v="Harry Ward"/>
    <s v="BISHOPSGATE NO 280 BAKER MCKENZIE REFURB LONDON"/>
    <s v="00022807"/>
    <s v="S - Incorrectly Ordered"/>
    <s v="Fast Track"/>
    <s v="28/03/2025, 12:47"/>
    <s v="UK"/>
    <x v="13"/>
    <s v="28/03/2025"/>
    <x v="11"/>
  </r>
  <r>
    <s v="Wates Construction (Head Office - Leatherhead)"/>
    <s v="Emma Nevin"/>
    <s v="VICTORIA HOUSE BLOOMSBURY SQUARE LONDON"/>
    <s v="00022809"/>
    <s v="S - Sales order processing error"/>
    <s v="UK SOP"/>
    <s v="28/03/2025, 14:55"/>
    <s v="UK"/>
    <x v="5"/>
    <s v="28/03/2025"/>
    <x v="11"/>
  </r>
  <r>
    <s v="SAS International Inc"/>
    <s v="Anthony Berardo"/>
    <s v="CONGRESS AVE 301 FLR 1 &amp; 2 AUSTIN TX"/>
    <s v="00022797"/>
    <s v="S - Incorrectly Ordered"/>
    <s v="USA SOP"/>
    <s v="27/03/2025, 08:56"/>
    <s v="USA"/>
    <x v="5"/>
    <s v="27/03/2025"/>
    <x v="11"/>
  </r>
  <r>
    <s v="SAS International"/>
    <s v="Ferouz Benamour"/>
    <s v="TOUR MAJUNGA PARIS REFURBISHMENT 2024"/>
    <s v="00022837"/>
    <s v="S - Sales order processing error"/>
    <s v="Export SOP"/>
    <s v="03/04/2025, 08:48"/>
    <s v="France"/>
    <x v="9"/>
    <s v="03/04/2025"/>
    <x v="12"/>
  </r>
  <r>
    <s v="SAS International Dublin"/>
    <s v="Chris Carey"/>
    <s v="NATIONAL CHILDRENS HOSPITAL RADIO PHARMACY"/>
    <s v="00022839"/>
    <s v="Q - Product manufactured incorrectly"/>
    <s v="Shop Floor"/>
    <s v="03/04/2025, 10:49"/>
    <s v="Ireland"/>
    <x v="1"/>
    <s v="03/04/2025"/>
    <x v="12"/>
  </r>
  <r>
    <s v="SAS Special Projects"/>
    <s v="Chris Ellingham"/>
    <s v="BLOOMBERG SOUTH BUILDING FIT-OUT PHASE 3 LONDON"/>
    <s v="00022849"/>
    <s v="Q - Product Damaged"/>
    <s v="Assembly"/>
    <s v="04/04/2025, 11:26"/>
    <s v="Special Projects"/>
    <x v="3"/>
    <s v="04/04/2025"/>
    <x v="12"/>
  </r>
  <r>
    <s v="SAS Special Projects"/>
    <s v="Chris Ellingham"/>
    <s v="BLOOMBERG SOUTH BUILDING FIT-OUT PHASE 3 LONDON"/>
    <s v="00022851"/>
    <s v="Q - Product Finish Issue - Aesthetics"/>
    <s v="Product Design/Engineering"/>
    <s v="04/04/2025, 12:43"/>
    <s v="Special Projects"/>
    <x v="7"/>
    <s v="04/04/2025"/>
    <x v="12"/>
  </r>
  <r>
    <s v="Henly Projects Ltd"/>
    <s v="Ross Purcell"/>
    <s v="KINGS ROAD NO 120 LIBERTY GLOBAL FABRIC LONDON"/>
    <s v="00022812"/>
    <s v="C - Customer Dispute"/>
    <s v="Customer"/>
    <s v="31/03/2025, 09:02"/>
    <s v="UK"/>
    <x v="8"/>
    <s v="31/03/2025"/>
    <x v="12"/>
  </r>
  <r>
    <s v="Verity Interiors"/>
    <s v="Stefan Bachl-Cohen"/>
    <s v="BRAVINGTON HOUSE INHEALTH FLR 4 LIGHTING KINGS CROSS"/>
    <s v="00022816"/>
    <s v="S - Sales order processing error"/>
    <s v="UK SOP"/>
    <s v="31/03/2025, 15:11"/>
    <s v="UK"/>
    <x v="5"/>
    <s v="31/03/2025"/>
    <x v="12"/>
  </r>
  <r>
    <s v="Henly Projects Ltd"/>
    <s v="Josh Musialek"/>
    <s v="KINGS ROAD NO 120 LIBERTY GLOBAL FABRIC LONDON"/>
    <s v="00022822"/>
    <s v="C - Customer Fault"/>
    <s v="UK SOP"/>
    <s v="01/04/2025, 12:41"/>
    <s v="UK"/>
    <x v="5"/>
    <s v="01/04/2025"/>
    <x v="12"/>
  </r>
  <r>
    <s v="BPC Interiors Ltd"/>
    <s v="Shanice Simons"/>
    <s v="MANCHESTER SQUARE NO 20 CAT B LAZARD LONDON LIGHTING"/>
    <s v="00022827"/>
    <s v="Q - Product Finish Issue - Aesthetics"/>
    <s v="Paintline"/>
    <s v="01/04/2025, 14:50"/>
    <s v="UK"/>
    <x v="11"/>
    <s v="01/04/2025"/>
    <x v="12"/>
  </r>
  <r>
    <s v="Criterion Capital Limited"/>
    <s v="Jas Klasi"/>
    <s v="CRITERION BUILDING PICCADILLY NO 225-229 LONDON"/>
    <s v="00022841"/>
    <s v="S - Sales order processing error"/>
    <s v="Estimating"/>
    <s v="03/04/2025, 14:07"/>
    <s v="UK"/>
    <x v="16"/>
    <s v="03/04/2025"/>
    <x v="12"/>
  </r>
  <r>
    <s v="SAS International Inc"/>
    <s v="Kelly Karakoutas"/>
    <s v="RIVER STREET 111 PROJECT SINATRA HOBOKEN NJ"/>
    <s v="00022818"/>
    <s v="S - Not delivered"/>
    <s v="Transport"/>
    <s v="01/04/2025, 08:16"/>
    <s v="USA"/>
    <x v="4"/>
    <s v="01/04/2025"/>
    <x v="12"/>
  </r>
  <r>
    <s v="Sound Solutions"/>
    <s v="Shan Yogindranath"/>
    <s v="MINI SHOWROOM 110th AVE N.W. CALGARY AB"/>
    <s v="00022829"/>
    <s v="S - Sales order processing error"/>
    <s v="USA SOP"/>
    <s v="01/04/2025, 15:30"/>
    <s v="USA"/>
    <x v="5"/>
    <s v="01/04/2025"/>
    <x v="12"/>
  </r>
  <r>
    <s v="Sound Solutions"/>
    <s v="Shan Yogindranath"/>
    <s v="MINI SHOWROOM 110th AVE N.W. CALGARY AB"/>
    <s v="00022845"/>
    <s v="Q - Product manufactured incorrectly"/>
    <s v="Shop Floor"/>
    <s v="04/04/2025, 09:35"/>
    <s v="USA"/>
    <x v="1"/>
    <s v="04/04/2025"/>
    <x v="12"/>
  </r>
  <r>
    <s v="SAS Special Projects"/>
    <s v="Chris Ellingham"/>
    <s v="LUL NLE BATTERSEA STATION WEST ENTRANCE LONDON"/>
    <s v="00022883"/>
    <s v="Q - Product manufactured incorrectly"/>
    <s v="Assembly"/>
    <s v="11/04/2025, 14:02"/>
    <s v="Special Projects"/>
    <x v="3"/>
    <s v="11/04/2025"/>
    <x v="13"/>
  </r>
  <r>
    <s v="CCF East London"/>
    <s v="Bradley Snooks"/>
    <s v="HOPTON STREET NO 71 THE GREEN WALK LONDON"/>
    <s v="00022853"/>
    <s v="Q - Product manufactured incorrectly"/>
    <s v="Estimating"/>
    <s v="07/04/2025, 08:52"/>
    <s v="UK"/>
    <x v="16"/>
    <s v="07/04/2025"/>
    <x v="13"/>
  </r>
  <r>
    <s v="Virtuoso Interiors"/>
    <s v="Karen Harrington"/>
    <s v="OLD BAILEY NO 10 CAT A REFURB FLOOR 5 LONDON"/>
    <s v="00022856"/>
    <s v="S - Billing Error"/>
    <s v="Finance"/>
    <s v="07/04/2025, 09:13"/>
    <s v="UK"/>
    <x v="14"/>
    <s v="07/04/2025"/>
    <x v="13"/>
  </r>
  <r>
    <s v="Dean Interiors Ltd"/>
    <s v="Alan Dean"/>
    <s v="KIRBY STREET NO 20-24 MORGAN CAPITAL CAT A REFURB LONDON"/>
    <s v="00022858"/>
    <s v="Q - Product Finish Issue - Aesthetics"/>
    <s v="Product Design/Engineering"/>
    <s v="07/04/2025, 09:31"/>
    <s v="UK"/>
    <x v="7"/>
    <s v="07/04/2025"/>
    <x v="13"/>
  </r>
  <r>
    <s v="Profixed Interiors Ltd"/>
    <s v="Simon Beasley"/>
    <s v="RIVERGATE NO 3 TEMPLE QUAY REFURB BRISTOL"/>
    <s v="00022860"/>
    <s v="S - Late delivery"/>
    <s v="Transport"/>
    <s v="07/04/2025, 10:01"/>
    <s v="UK"/>
    <x v="4"/>
    <s v="07/04/2025"/>
    <x v="13"/>
  </r>
  <r>
    <s v="Clearwall Contracting Ltd"/>
    <s v="Christian Price"/>
    <s v="BISHOPSGATE NO 199 CAT B FLR 9 CROWELL MORING LONDON"/>
    <s v="00022862"/>
    <s v="S - Sales order processing error"/>
    <s v="UK SOP"/>
    <s v="08/04/2025, 08:23"/>
    <s v="UK"/>
    <x v="5"/>
    <s v="08/04/2025"/>
    <x v="13"/>
  </r>
  <r>
    <s v="Generation 3 Interiors Ltd"/>
    <s v="John Wilson"/>
    <s v="BREAKSPEAR PARK FLOOR 3 CORRIDORS REFURB HEMEL HEMPSTEAD"/>
    <s v="00022864"/>
    <s v="C - Customer Fault"/>
    <s v="Customer"/>
    <s v="08/04/2025, 08:33"/>
    <s v="UK"/>
    <x v="8"/>
    <s v="08/04/2025"/>
    <x v="13"/>
  </r>
  <r>
    <s v="Rowan Specialist Interiors Ltd"/>
    <s v="David Medd"/>
    <s v="PILGRIM STREET PHASE 2 NEWCASTLE FURTHER DEVELOPMENT"/>
    <s v="00022869"/>
    <s v="Q - Product packaging issue"/>
    <s v="Assembly"/>
    <s v="08/04/2025, 10:08"/>
    <s v="UK"/>
    <x v="3"/>
    <s v="08/04/2025"/>
    <x v="13"/>
  </r>
  <r>
    <s v="Grant &amp; Stone"/>
    <s v="Tyrone Gannon"/>
    <s v="JAMES STREET NO 1 LIGHTING LONDON"/>
    <s v="00022871"/>
    <s v="C - Customer Dispute"/>
    <s v="Customer"/>
    <s v="08/04/2025, 13:07"/>
    <s v="UK"/>
    <x v="8"/>
    <s v="08/04/2025"/>
    <x v="13"/>
  </r>
  <r>
    <s v="Celtic Contractors Ltd"/>
    <s v="Paul Cooney"/>
    <s v="PETERBOROUGH COURT FLEET STREET NO 133 REFURB LONDON"/>
    <s v="00022877"/>
    <s v="Q - Product Finish Issue - Aesthetics"/>
    <s v="Supplier"/>
    <s v="09/04/2025, 08:16"/>
    <s v="UK"/>
    <x v="21"/>
    <s v="09/04/2025"/>
    <x v="13"/>
  </r>
  <r>
    <s v="South Ridge Interiors Ltd"/>
    <s v="Sharon Webb"/>
    <s v="TECH EDGE VILLAGE HARWELL CAMPUS DIDCOT ZONES 1&amp;2"/>
    <s v="00022879"/>
    <s v="Q - Product packaging issue"/>
    <s v="Transport"/>
    <s v="10/04/2025, 10:11"/>
    <s v="UK"/>
    <x v="4"/>
    <s v="10/04/2025"/>
    <x v="13"/>
  </r>
  <r>
    <s v="D Interiors Ltd"/>
    <s v="Alex Worth"/>
    <s v="THE FORUM KINGS QUARTER EXTERNAL WALKWAYS GLOUCESTER"/>
    <s v="00022887"/>
    <s v="S - Incorrectly Ordered"/>
    <s v="Salesforce"/>
    <s v="11/04/2025, 14:33"/>
    <s v="UK"/>
    <x v="0"/>
    <s v="11/04/2025"/>
    <x v="13"/>
  </r>
  <r>
    <s v="SIG Insulation Ltd (Lancing)"/>
    <s v="Rob Smart"/>
    <s v="HEATHROW WEST BUSINESS PARK UNIT D2 SLOUGH"/>
    <s v="00022889"/>
    <s v="Q - Product manufactured incorrectly"/>
    <s v="Product Design"/>
    <s v="11/04/2025, 14:42"/>
    <s v="UK"/>
    <x v="7"/>
    <s v="11/04/2025"/>
    <x v="13"/>
  </r>
  <r>
    <s v="SAS International"/>
    <s v="Ferouz Benamour"/>
    <s v="GENESYS BREST"/>
    <s v="00022894"/>
    <s v="C - Customer Dispute"/>
    <s v="Customer"/>
    <s v="14/04/2025, 11:12"/>
    <s v="France"/>
    <x v="8"/>
    <s v="14/04/2025"/>
    <x v="14"/>
  </r>
  <r>
    <s v="SAS Special Projects"/>
    <s v="Chris Ellingham"/>
    <s v="BLOOMBERG SOUTH BUILDING FIT-OUT PHASE 3 LONDON"/>
    <s v="00022913"/>
    <s v="Q - Product Finish Issue - Aesthetics"/>
    <s v="Product Design/Engineering"/>
    <s v="16/04/2025, 14:30"/>
    <s v="Special Projects"/>
    <x v="7"/>
    <s v="16/04/2025"/>
    <x v="14"/>
  </r>
  <r>
    <s v="Interior Resolutions Ltd"/>
    <s v="Lee Woolley"/>
    <s v="EXCHANGE HOUSE PRIMROSE STREET FLR 1 REFURB LONDON"/>
    <s v="00022891"/>
    <s v="Q - Product Damaged"/>
    <s v="Customer"/>
    <s v="14/04/2025, 08:47"/>
    <s v="UK"/>
    <x v="8"/>
    <s v="14/04/2025"/>
    <x v="14"/>
  </r>
  <r>
    <s v="Dan Cuzner Partitioning Ltd"/>
    <s v="Dan Cuzner"/>
    <s v="JACK TURNBULL MISC TILE &amp; GRID 2025"/>
    <s v="00022897"/>
    <s v="S - Incorrectly Ordered"/>
    <s v="UK SOP"/>
    <s v="14/04/2025, 12:57"/>
    <s v="UK"/>
    <x v="5"/>
    <s v="14/04/2025"/>
    <x v="14"/>
  </r>
  <r>
    <s v="D Interiors Ltd"/>
    <s v="Alex Worth"/>
    <s v="THE FORUM KINGS QUARTER EXTERNAL WALKWAYS GLOUCESTER"/>
    <s v="00022899"/>
    <s v="C - Customer Fault"/>
    <s v="Customer"/>
    <s v="14/04/2025, 15:41"/>
    <s v="UK"/>
    <x v="8"/>
    <s v="14/04/2025"/>
    <x v="14"/>
  </r>
  <r>
    <s v="EOS Interiors Ltd"/>
    <s v="Alex Amin"/>
    <s v="CENTRE CITY TOWER FLR 10 REFURB HILL STREET NO 7 BIRMINGHAM"/>
    <s v="00022902"/>
    <s v="C - Customer Fault"/>
    <s v="Customer"/>
    <s v="15/04/2025, 08:45"/>
    <s v="UK"/>
    <x v="8"/>
    <s v="15/04/2025"/>
    <x v="14"/>
  </r>
  <r>
    <s v="Heaton's Ceilings Ltd"/>
    <s v="Chris Heaton"/>
    <s v="CHRIS EDGE NORTH MISC PROJECTS 2025"/>
    <s v="00022904"/>
    <s v="S - Transit damage"/>
    <s v="Transport"/>
    <s v="15/04/2025, 11:31"/>
    <s v="UK"/>
    <x v="4"/>
    <s v="15/04/2025"/>
    <x v="14"/>
  </r>
  <r>
    <s v="IDD Contracts Ltd"/>
    <s v="Dean White"/>
    <s v="LONDON SQUARE NO 1 GROUND &amp; 1ST FLR REFURB GUILDFORD"/>
    <s v="00022907"/>
    <s v="Q - Product Finish Issue - Aesthetics"/>
    <s v="Supplier"/>
    <s v="16/04/2025, 08:16"/>
    <s v="UK"/>
    <x v="21"/>
    <s v="16/04/2025"/>
    <x v="14"/>
  </r>
  <r>
    <s v="Pexhurst Services Ltd"/>
    <s v="Charlotte Harris"/>
    <s v="CRAYFIELDS BUSINESS PARK UNIT 1.02 ORPINGTON"/>
    <s v="00022916"/>
    <s v="S - Transit damage"/>
    <s v="External Courier"/>
    <s v="17/04/2025, 08:53"/>
    <s v="UK"/>
    <x v="10"/>
    <s v="17/04/2025"/>
    <x v="14"/>
  </r>
  <r>
    <s v="Global Insulation Logistics Ltd"/>
    <s v="Martyn Roberts"/>
    <s v="PULSANT DATA CENTRE SE-1 MILTON KEYNES"/>
    <s v="00022918"/>
    <s v="Q - Product Finish Issue - Aesthetics"/>
    <s v="Assembly"/>
    <s v="17/04/2025, 11:26"/>
    <s v="UK"/>
    <x v="3"/>
    <s v="17/04/2025"/>
    <x v="14"/>
  </r>
  <r>
    <s v="Stour Valley Plastering"/>
    <s v="Michael McLachlan"/>
    <s v="TURING COURT NO 1 CARECO HQ BRAINTREE"/>
    <s v="00022924"/>
    <s v="Q - Product manufactured incorrectly"/>
    <s v="Assembly"/>
    <s v="17/04/2025, 14:44"/>
    <s v="UK"/>
    <x v="3"/>
    <s v="17/04/2025"/>
    <x v="14"/>
  </r>
  <r>
    <s v="K &amp; B Ceilings Ltd"/>
    <s v="Brent Davies"/>
    <s v="LOWER MARSH NO 1-5 LOMA DEVELOPMENT LONDON"/>
    <s v="00022928"/>
    <s v="S - Sales order processing error"/>
    <s v="UK SOP"/>
    <s v="24/04/2025, 14:18"/>
    <s v="UK"/>
    <x v="5"/>
    <s v="24/04/2025"/>
    <x v="15"/>
  </r>
  <r>
    <s v="SAS Innovation"/>
    <s v="Luke Chapman-Burns"/>
    <s v="Events"/>
    <s v="00022982"/>
    <s v="Q - Product manufactured incorrectly"/>
    <s v="Product Design"/>
    <s v="01/05/2025, 11:45"/>
    <m/>
    <x v="7"/>
    <s v="01/05/2025"/>
    <x v="16"/>
  </r>
  <r>
    <s v="SAS International"/>
    <s v="Ferouz Benamour"/>
    <s v="BOULEVARD HAUSSMANN 14 PARIS"/>
    <s v="00022973"/>
    <s v="Q - Product Finish Issue - Aesthetics"/>
    <s v="Assembly"/>
    <s v="01/05/2025, 08:07"/>
    <s v="France"/>
    <x v="3"/>
    <s v="01/05/2025"/>
    <x v="16"/>
  </r>
  <r>
    <s v="SAS International Dublin"/>
    <s v="Chris Carey"/>
    <s v="APPLE HH5 EXTENSION CORK"/>
    <s v="00022986"/>
    <s v="Q - Product manufactured incorrectly"/>
    <s v="Product Design"/>
    <s v="01/05/2025, 14:02"/>
    <s v="Ireland"/>
    <x v="7"/>
    <s v="01/05/2025"/>
    <x v="16"/>
  </r>
  <r>
    <s v="SAS International Dublin"/>
    <s v="Chris Carey"/>
    <s v="A &amp; L GOODBODY NORTH WALL QUAY 25-28   DUBLIN"/>
    <s v="00022989"/>
    <s v="Q - Product manufactured incorrectly"/>
    <s v="Shop Floor"/>
    <s v="01/05/2025, 14:59"/>
    <s v="Ireland"/>
    <x v="1"/>
    <s v="01/05/2025"/>
    <x v="16"/>
  </r>
  <r>
    <s v="Summertown International"/>
    <s v="Alano Angeles"/>
    <s v="SCHNEIDER ELECTRIC SILICON OASIS DUBAI"/>
    <s v="00022947"/>
    <s v="Q - Picking Error"/>
    <s v="Assembly"/>
    <s v="28/04/2025, 11:48"/>
    <s v="Middle East"/>
    <x v="3"/>
    <s v="28/04/2025"/>
    <x v="16"/>
  </r>
  <r>
    <s v="Integra Contracts Ltd"/>
    <s v="Gary Thursting"/>
    <s v="MOORFIELDS NO 21 DEUTSCHE BANK REFURB LONDON"/>
    <s v="00022940"/>
    <s v="Q - Picking Error"/>
    <s v="Fast Track"/>
    <s v="28/04/2025, 11:00"/>
    <s v="UK"/>
    <x v="13"/>
    <s v="28/04/2025"/>
    <x v="16"/>
  </r>
  <r>
    <s v="Belgrade Insulations Ltd"/>
    <s v="Luke Raven"/>
    <s v="BUCKINGHAM PALACE ROAD NO 110 REFURB LONDON"/>
    <s v="00022943"/>
    <s v="Q - Product Damaged"/>
    <s v="Supplier"/>
    <s v="28/04/2025, 11:29"/>
    <s v="UK"/>
    <x v="21"/>
    <s v="28/04/2025"/>
    <x v="16"/>
  </r>
  <r>
    <s v="Maris Contracts"/>
    <s v="Petru Guglea"/>
    <s v="PORTMAN SQUARE NO 10 LVL 3 REFURB LONDON"/>
    <s v="00022945"/>
    <s v="S - Transit damage"/>
    <s v="Transport"/>
    <s v="28/04/2025, 11:36"/>
    <s v="UK"/>
    <x v="4"/>
    <s v="28/04/2025"/>
    <x v="16"/>
  </r>
  <r>
    <s v="Global Insulation Logistics Ltd"/>
    <s v="Martyn Roberts"/>
    <s v="PULSANT DATA CENTRE SE-1 MILTON KEYNES"/>
    <s v="00022951"/>
    <s v="C - Customer Dispute"/>
    <s v="Customer"/>
    <s v="28/04/2025, 14:52"/>
    <s v="UK"/>
    <x v="8"/>
    <s v="28/04/2025"/>
    <x v="16"/>
  </r>
  <r>
    <s v="Orangebox Ltd"/>
    <s v="Ben Matthews"/>
    <s v="ORANGEBOX POD CASSETTES"/>
    <s v="00022958"/>
    <s v="Q - Product is Deformed"/>
    <s v="Assembly"/>
    <s v="29/04/2025, 11:21"/>
    <s v="UK"/>
    <x v="3"/>
    <s v="29/04/2025"/>
    <x v="16"/>
  </r>
  <r>
    <s v="BPC Interiors Ltd"/>
    <s v="Tony Edwards"/>
    <s v="ST MICHAELS TOWER FLRS 3, 4 AND 5 MANCHESTER"/>
    <s v="00022960"/>
    <s v="S - Transit damage"/>
    <s v="Transport"/>
    <s v="29/04/2025, 13:20"/>
    <s v="UK"/>
    <x v="4"/>
    <s v="29/04/2025"/>
    <x v="16"/>
  </r>
  <r>
    <s v="Encon Insulation Ltd (Thetford)"/>
    <s v="Jane Smith"/>
    <s v="UNI OF EAST ANGLIA MEDICAL SCHOOL REFURB"/>
    <s v="00022969"/>
    <s v="Q - Product manufactured incorrectly"/>
    <s v="Salesforce"/>
    <s v="30/04/2025, 10:32"/>
    <s v="UK"/>
    <x v="0"/>
    <s v="30/04/2025"/>
    <x v="16"/>
  </r>
  <r>
    <s v="Wates Construction (Head Office - Leatherhead)"/>
    <s v="Emma Nevin"/>
    <s v="VICTORIA HOUSE BLOOMSBURY SQUARE LONDON"/>
    <s v="00022971"/>
    <s v="S - Sales order processing error"/>
    <s v="UK SOP"/>
    <s v="30/04/2025, 15:32"/>
    <s v="UK"/>
    <x v="5"/>
    <s v="30/04/2025"/>
    <x v="16"/>
  </r>
  <r>
    <s v="BES Electrical"/>
    <s v="Stuart Murphy"/>
    <s v="KING STREET OFFICE DEVELOPMENT BLACKPOOL LIGHTING"/>
    <s v="00022977"/>
    <s v="C - Customer Dispute"/>
    <s v="Customer"/>
    <s v="01/05/2025, 09:39"/>
    <s v="UK"/>
    <x v="8"/>
    <s v="01/05/2025"/>
    <x v="16"/>
  </r>
  <r>
    <s v="Vero Interiors Limited"/>
    <s v="Ezio Muratore"/>
    <s v="FLORAL STREET NO 27 MARATHON ASSET MGT CAT B LONDON"/>
    <s v="00022991"/>
    <s v="C - Customer Dispute"/>
    <s v="Finance"/>
    <s v="01/05/2025, 15:28"/>
    <s v="UK"/>
    <x v="14"/>
    <s v="01/05/2025"/>
    <x v="16"/>
  </r>
  <r>
    <s v="SAS International Inc"/>
    <s v="Sabryn Robledo"/>
    <s v="UMASS COMPUTER SCIENCE LABORATORIES"/>
    <s v="00022936"/>
    <s v="Q - Product manufactured incorrectly"/>
    <s v="Product Design/Engineering"/>
    <s v="28/04/2025, 10:19"/>
    <s v="USA"/>
    <x v="7"/>
    <s v="28/04/2025"/>
    <x v="16"/>
  </r>
  <r>
    <s v="Al Tasnim Middle East L.L.C"/>
    <s v="Sanju Samuel"/>
    <s v="MOH SUWAIQ HOSPITAL OMAN"/>
    <s v="00022994"/>
    <s v="Q - Product manufactured incorrectly"/>
    <s v="Block 2"/>
    <s v="06/05/2025, 11:31"/>
    <s v="Middle East"/>
    <x v="22"/>
    <s v="06/05/2025"/>
    <x v="17"/>
  </r>
  <r>
    <s v="BAZAR BUSINESS, S.L."/>
    <s v="Fernando Martinez"/>
    <s v="ARIMA OFFICES MADRID"/>
    <s v="00023016"/>
    <s v="S - Incorrectly Ordered"/>
    <s v="Salesforce"/>
    <s v="07/05/2025, 10:50"/>
    <s v="Rest of the World"/>
    <x v="0"/>
    <s v="07/05/2025"/>
    <x v="17"/>
  </r>
  <r>
    <s v="GLB Contracts Ltd"/>
    <s v="Julian Hooper"/>
    <s v="SOUTH BANK CENTRAL VIVO BUILDING FLR 3 REFURB LONDON"/>
    <s v="00022996"/>
    <s v="Q - Product manufactured incorrectly"/>
    <s v="Fast Track"/>
    <s v="06/05/2025, 11:45"/>
    <s v="UK"/>
    <x v="13"/>
    <s v="06/05/2025"/>
    <x v="17"/>
  </r>
  <r>
    <s v="Brian Hendry Interiors Ltd"/>
    <s v="Craig McEwan"/>
    <s v="CITY POINT 2ND FLR HAYMARKET TERRACE NO 65 EDINBURGH"/>
    <s v="00022999"/>
    <s v="C - Customer Dispute"/>
    <s v="Customer"/>
    <s v="06/05/2025, 13:05"/>
    <s v="UK"/>
    <x v="8"/>
    <s v="06/05/2025"/>
    <x v="17"/>
  </r>
  <r>
    <s v="Brian Hendry Interiors Ltd"/>
    <s v="Craig McEwan"/>
    <s v="CITY POINT 2ND FLR HAYMARKET TERRACE NO 65 EDINBURGH"/>
    <s v="00023001"/>
    <s v="Q - Product packaging issue"/>
    <s v="Assembly"/>
    <s v="06/05/2025, 13:11"/>
    <s v="UK"/>
    <x v="3"/>
    <s v="06/05/2025"/>
    <x v="17"/>
  </r>
  <r>
    <s v="Workplace Interiors Company Cheltenham Ltd"/>
    <s v="Chloe Phillips"/>
    <s v="WORKPLACE INTERIORS MISC 2025"/>
    <s v="00023014"/>
    <s v="S - Sales order processing error"/>
    <s v="UK SOP"/>
    <s v="07/05/2025, 10:22"/>
    <s v="UK"/>
    <x v="5"/>
    <s v="07/05/2025"/>
    <x v="17"/>
  </r>
  <r>
    <s v="BPC Interiors Ltd"/>
    <s v="Shanice Simons"/>
    <s v="EVERTON FC BRAMLEY MOORE DOCK STADIUM FEATURES LIVERPOOL"/>
    <s v="00023018"/>
    <s v="C - Customer Fault"/>
    <s v="Customer"/>
    <s v="07/05/2025, 11:27"/>
    <s v="UK"/>
    <x v="8"/>
    <s v="07/05/2025"/>
    <x v="17"/>
  </r>
  <r>
    <s v="I &amp; S Construction Services Limited"/>
    <s v="Jonathan Stockton"/>
    <s v="BLOOMSBURY STREET NO 21 CAT A FITOUT LONDON"/>
    <s v="00023028"/>
    <s v="Q - Product manufactured incorrectly"/>
    <s v="Shop Floor"/>
    <s v="09/05/2025, 10:24"/>
    <s v="UK"/>
    <x v="1"/>
    <s v="09/05/2025"/>
    <x v="17"/>
  </r>
  <r>
    <s v="Verity Interiors"/>
    <s v="Stefan Bachl-Cohen"/>
    <s v="BRAVINGTON HOUSE INHEALTH FLR 4 LIGHTING KINGS CROSS"/>
    <s v="00023031"/>
    <s v="Q â€“ Faulty Luminaire"/>
    <s v="Lighting Supplier"/>
    <s v="09/05/2025, 11:01"/>
    <s v="UK"/>
    <x v="18"/>
    <s v="09/05/2025"/>
    <x v="17"/>
  </r>
  <r>
    <s v="Mectric Solutions Ltd"/>
    <s v="Jamie Howard"/>
    <s v="BISHOPSGATE NO 199 CAT B FLR 9 LIGHTING LONDON"/>
    <s v="00023033"/>
    <s v="Q - Picking Error"/>
    <s v="Assembly"/>
    <s v="09/05/2025, 11:21"/>
    <s v="UK"/>
    <x v="3"/>
    <s v="09/05/2025"/>
    <x v="17"/>
  </r>
  <r>
    <s v="SAS International Inc"/>
    <s v="Kelly Karakoutas"/>
    <s v="WESTCHESTER AVE 2000 1NC MORGAN STANLEY"/>
    <s v="00023009"/>
    <s v="Q - Product manufactured incorrectly"/>
    <s v="Assembly"/>
    <s v="07/05/2025, 08:28"/>
    <s v="USA"/>
    <x v="3"/>
    <s v="07/05/2025"/>
    <x v="17"/>
  </r>
  <r>
    <s v="SAS International Inc"/>
    <s v="Sabryn Robledo"/>
    <s v="PILSBURY LAW FIRM AUSTIN"/>
    <s v="00023024"/>
    <s v="S - Late delivery"/>
    <s v="Shop Floor"/>
    <s v="09/05/2025, 08:37"/>
    <s v="USA"/>
    <x v="1"/>
    <s v="09/05/2025"/>
    <x v="17"/>
  </r>
  <r>
    <s v="SAS International Australia"/>
    <s v="Kate Cogswell"/>
    <s v="SYDNEY FISH MARKET INTERNAL FIT OUT"/>
    <s v="00023047"/>
    <s v="O - Other"/>
    <s v="USA SOP"/>
    <s v="12/05/2025, 14:35"/>
    <s v="Australia"/>
    <x v="5"/>
    <s v="12/05/2025"/>
    <x v="18"/>
  </r>
  <r>
    <s v="SAS International Australia"/>
    <s v="kathleen Lewington"/>
    <s v="SYDNEY FISH MARKET"/>
    <s v="00023058"/>
    <s v="Q â€“ Missing Item"/>
    <s v="Assembly"/>
    <s v="14/05/2025, 09:45"/>
    <s v="Australia"/>
    <x v="3"/>
    <s v="14/05/2025"/>
    <x v="18"/>
  </r>
  <r>
    <s v="SAS International"/>
    <s v="Ferouz Benamour"/>
    <s v="BARCLAYS PARIS INVESTMENT BANK"/>
    <s v="00023069"/>
    <s v="Q - Product manufactured incorrectly"/>
    <s v="Fast Track"/>
    <s v="15/05/2025, 08:35"/>
    <s v="France"/>
    <x v="13"/>
    <s v="15/05/2025"/>
    <x v="18"/>
  </r>
  <r>
    <s v="TALAMOCHITA SL"/>
    <s v="Javier Raimondo"/>
    <s v="CORCEGA 331 SURE BARCELONA"/>
    <s v="00023076"/>
    <s v="Q - Product manufactured incorrectly"/>
    <s v="Shop Floor"/>
    <s v="15/05/2025, 11:28"/>
    <s v="Rest of the World"/>
    <x v="1"/>
    <s v="15/05/2025"/>
    <x v="18"/>
  </r>
  <r>
    <s v="Profixed Interiors Ltd"/>
    <s v="Simon Beasley"/>
    <s v="CADOGAN STREET NO 5 GLASGOW"/>
    <s v="00023039"/>
    <s v="S - Sales order processing error"/>
    <s v="UK SOP"/>
    <s v="12/05/2025, 09:01"/>
    <s v="UK"/>
    <x v="5"/>
    <s v="12/05/2025"/>
    <x v="18"/>
  </r>
  <r>
    <s v="MCS Partitioning &amp; Drylining Ltd"/>
    <s v="Mike Smith"/>
    <s v="MORRISONS MISC 2025"/>
    <s v="00023041"/>
    <s v="S - Sales order processing error"/>
    <s v="UK SOP"/>
    <s v="12/05/2025, 09:18"/>
    <s v="UK"/>
    <x v="5"/>
    <s v="12/05/2025"/>
    <x v="18"/>
  </r>
  <r>
    <s v="Flynn Interiors Ltd"/>
    <s v="Laura Hawkins"/>
    <s v="OLYMPIA CENTRAL TENANT LOBBY 1 &amp; 2 LEVEL 2M LONDON"/>
    <s v="00023049"/>
    <s v="S - Sales order processing error"/>
    <s v="UK SOP"/>
    <s v="12/05/2025, 15:18"/>
    <s v="UK"/>
    <x v="5"/>
    <s v="12/05/2025"/>
    <x v="18"/>
  </r>
  <r>
    <s v="Sodexo"/>
    <s v="Anna Demetriou"/>
    <s v="PADDINGTON CENTRAL KINGDOM STREET NO 4 FLR 7 REFURB LONDON"/>
    <s v="00023051"/>
    <s v="S - Incorrectly Ordered"/>
    <s v="Salesforce"/>
    <s v="13/05/2025, 08:33"/>
    <s v="UK"/>
    <x v="0"/>
    <s v="13/05/2025"/>
    <x v="18"/>
  </r>
  <r>
    <s v="Carter Ceilings Ltd"/>
    <s v="Euan Lindsay"/>
    <s v="KADANS HEALTH INNOVATION HUB GLASGOW"/>
    <s v="00023054"/>
    <s v="Q â€“ Missing Item"/>
    <s v="Assembly"/>
    <s v="13/05/2025, 15:04"/>
    <s v="UK"/>
    <x v="3"/>
    <s v="13/05/2025"/>
    <x v="18"/>
  </r>
  <r>
    <s v="B P Installations"/>
    <s v="Charlie Cooper"/>
    <s v="GATWICK AIRPORT NGSC SUSSEX SUITE"/>
    <s v="00023066"/>
    <s v="Q - Product manufactured incorrectly"/>
    <s v="Product Design"/>
    <s v="14/05/2025, 13:08"/>
    <s v="UK"/>
    <x v="7"/>
    <s v="14/05/2025"/>
    <x v="18"/>
  </r>
  <r>
    <s v="SIG Insulation Ltd (Lancing)"/>
    <s v="Rob Smart"/>
    <s v="HEATHROW WEST BUSINESS PARK UNIT D2 SLOUGH"/>
    <s v="00023074"/>
    <s v="Q - Product manufactured incorrectly"/>
    <s v="Shop Floor"/>
    <s v="15/05/2025, 10:39"/>
    <s v="UK"/>
    <x v="1"/>
    <s v="15/05/2025"/>
    <x v="18"/>
  </r>
  <r>
    <s v="Integra Contracts Ltd"/>
    <s v="Scott Taylor"/>
    <s v="NEW BRIDGE STREET NO 100 CAT A+ LONDON"/>
    <s v="00023082"/>
    <s v="C - Customer Fault"/>
    <s v="Customer"/>
    <s v="16/05/2025, 09:37"/>
    <s v="UK"/>
    <x v="8"/>
    <s v="16/05/2025"/>
    <x v="18"/>
  </r>
  <r>
    <s v="SIG Insulation Ltd (Lancing)"/>
    <s v="Rob Smart"/>
    <s v="HEATHROW WEST BUSINESS PARK UNIT D2 SLOUGH"/>
    <s v="00023084"/>
    <s v="S - Incorrectly Ordered"/>
    <s v="Salesforce"/>
    <s v="16/05/2025, 10:23"/>
    <s v="UK"/>
    <x v="0"/>
    <s v="16/05/2025"/>
    <x v="18"/>
  </r>
  <r>
    <s v="SAS International Inc"/>
    <s v="Kelly Karakoutas"/>
    <s v="COLORADO STREET 415 FLR 33 AUSTIN TX PHASE 2"/>
    <s v="00023080"/>
    <s v="S - Sales order processing error"/>
    <s v="USA SOP"/>
    <s v="16/05/2025, 09:13"/>
    <s v="USA"/>
    <x v="5"/>
    <s v="16/05/2025"/>
    <x v="18"/>
  </r>
  <r>
    <s v="SAS International Australia"/>
    <s v="kathleen Lewington"/>
    <s v="SAS AUSTRALIA STOCK ORDERS"/>
    <s v="00023133"/>
    <s v="S - Sales order processing error"/>
    <s v="Export SOP"/>
    <s v="23/05/2025, 11:20"/>
    <s v="Australia"/>
    <x v="9"/>
    <s v="23/05/2025"/>
    <x v="19"/>
  </r>
  <r>
    <s v="SAS International"/>
    <s v="Ferouz Benamour"/>
    <s v="BLOOMBERG RUE SCRIBE REFURBISHMENT PARIS 2025"/>
    <s v="00023112"/>
    <s v="S - Incorrectly Ordered"/>
    <s v="Estimating"/>
    <s v="20/05/2025, 15:54"/>
    <s v="France"/>
    <x v="16"/>
    <s v="20/05/2025"/>
    <x v="19"/>
  </r>
  <r>
    <s v="SAS International Dublin"/>
    <s v="Chris Carey"/>
    <s v="DUBLIN AIRPORT T1 MEZZANINE LOUNGE"/>
    <s v="00023097"/>
    <s v="Q - Picking Error"/>
    <s v="Assembly"/>
    <s v="20/05/2025, 09:14"/>
    <s v="Ireland"/>
    <x v="3"/>
    <s v="20/05/2025"/>
    <x v="19"/>
  </r>
  <r>
    <s v="Carter Ceilings Ltd"/>
    <s v="Euan Lindsay"/>
    <s v="KADANS HEALTH INNOVATION HUB GLASGOW"/>
    <s v="00023087"/>
    <s v="Q - Product manufactured incorrectly"/>
    <s v="UK SOP"/>
    <s v="19/05/2025, 09:01"/>
    <s v="UK"/>
    <x v="5"/>
    <s v="19/05/2025"/>
    <x v="19"/>
  </r>
  <r>
    <s v="Clearwall Contracting Ltd"/>
    <s v="Darren Bristow"/>
    <s v="BISHOPSGATE NO 199 CAT B FLR 9 CROWELL MORING LONDON"/>
    <s v="00023090"/>
    <s v="C - Customer Dispute"/>
    <s v="Customer"/>
    <s v="19/05/2025, 10:12"/>
    <s v="UK"/>
    <x v="8"/>
    <s v="19/05/2025"/>
    <x v="19"/>
  </r>
  <r>
    <s v="AC1 Construction Ltd"/>
    <s v="Gabriela Ciubotariu"/>
    <s v="DIAMOND LIGHT SOURCE DEB EXTENSIONS DIDCOT"/>
    <s v="00023099"/>
    <s v="S - Sales order processing error"/>
    <s v="UK SOP"/>
    <s v="20/05/2025, 09:49"/>
    <s v="UK"/>
    <x v="5"/>
    <s v="20/05/2025"/>
    <x v="19"/>
  </r>
  <r>
    <s v="BPC Interiors Ltd"/>
    <s v="Tony Edwards"/>
    <s v="EXCEL PHASE 3 DEVELOPMENT WC LONDON"/>
    <s v="00023106"/>
    <s v="S - Incorrect delivery method"/>
    <s v="External Courier"/>
    <s v="20/05/2025, 14:51"/>
    <s v="UK"/>
    <x v="10"/>
    <s v="20/05/2025"/>
    <x v="19"/>
  </r>
  <r>
    <s v="Linear Projects Ltd"/>
    <s v="Gavin Miller"/>
    <s v="BOTHWELL STREET NO 120 FLS 8 &amp; 9 CAT B FITOUT GLASGOW"/>
    <s v="00023109"/>
    <s v="Q - Product manufactured incorrectly"/>
    <s v="Shop Floor"/>
    <s v="20/05/2025, 15:27"/>
    <s v="UK"/>
    <x v="1"/>
    <s v="20/05/2025"/>
    <x v="19"/>
  </r>
  <r>
    <s v="Warwick Group Ltd"/>
    <s v="Colin Richardson"/>
    <s v="MORE LONDON NO 6 CAT A LONDON"/>
    <s v="00023117"/>
    <s v="Q - Drawing Error"/>
    <s v="Technical"/>
    <s v="21/05/2025, 11:38"/>
    <s v="UK"/>
    <x v="19"/>
    <s v="21/05/2025"/>
    <x v="19"/>
  </r>
  <r>
    <s v="Matthew Grahame Limited"/>
    <s v="Matthew Ellis"/>
    <s v="PINETREES BUSINESS PARK NO 2 DHL WOODHOUSE STAINES"/>
    <s v="00023120"/>
    <s v="S - Sales order processing error"/>
    <s v="UK SOP"/>
    <s v="21/05/2025, 13:19"/>
    <s v="UK"/>
    <x v="5"/>
    <s v="21/05/2025"/>
    <x v="19"/>
  </r>
  <r>
    <s v="Overbury Plc Northern Region"/>
    <s v="Rob Jackson"/>
    <s v="ST MICHAELS TOWER FLRS 7 &amp; 8 MANCHESTER"/>
    <s v="00023127"/>
    <s v="C - Customer Dispute"/>
    <s v="Customer"/>
    <s v="23/05/2025, 08:24"/>
    <s v="UK"/>
    <x v="8"/>
    <s v="23/05/2025"/>
    <x v="19"/>
  </r>
  <r>
    <s v="SAS International Australia"/>
    <s v="Kate Cogswell"/>
    <s v="SYDNEY FISH MARKET"/>
    <s v="00023143"/>
    <s v="S - Billing Error"/>
    <s v="Finance"/>
    <s v="28/05/2025, 09:22"/>
    <s v="Australia"/>
    <x v="14"/>
    <s v="28/05/2025"/>
    <x v="20"/>
  </r>
  <r>
    <s v="SAS International"/>
    <s v="Ferouz Benamour"/>
    <s v="COEUR AEROGARE MARSEILLE"/>
    <s v="00023159"/>
    <s v="Q - Product manufactured incorrectly"/>
    <s v="Press"/>
    <s v="29/05/2025, 11:40"/>
    <s v="France"/>
    <x v="15"/>
    <s v="29/05/2025"/>
    <x v="20"/>
  </r>
  <r>
    <s v="SAS International Dubai"/>
    <s v="Salish Sadasivan"/>
    <s v="SAS DUBAI STOCK ORDER"/>
    <s v="00023138"/>
    <s v="C - Customer Dispute"/>
    <s v="Customer"/>
    <s v="27/05/2025, 13:16"/>
    <s v="Middle East"/>
    <x v="8"/>
    <s v="27/05/2025"/>
    <x v="20"/>
  </r>
  <r>
    <s v="Bowyer Wick Building Contracting LLC - BW"/>
    <s v="Jayan S"/>
    <s v="MILLENIUM CAPITAL ICD L26 DUBAI PHASE 2"/>
    <s v="00023161"/>
    <s v="Q - Product packaging issue"/>
    <s v="Assembly"/>
    <s v="29/05/2025, 12:01"/>
    <s v="Middle East"/>
    <x v="3"/>
    <s v="29/05/2025"/>
    <x v="20"/>
  </r>
  <r>
    <s v="SAS Special Projects"/>
    <s v="Chris Ellingham"/>
    <s v="LUL NLE BATTERSEA STATION WEST ENTRANCE LONDON"/>
    <s v="00023147"/>
    <s v="Q - Drawing Error"/>
    <s v="Major Project Product Design"/>
    <s v="28/05/2025, 10:31"/>
    <s v="Special Projects"/>
    <x v="19"/>
    <s v="28/05/2025"/>
    <x v="20"/>
  </r>
  <r>
    <s v="SAS Special Projects"/>
    <s v="Chris Ellingham"/>
    <s v="BLOOMBERG SOUTH BUILDING FIT-OUT PHASE 3 LONDON"/>
    <s v="00023169"/>
    <s v="C - Customer Dispute"/>
    <s v="Warehouse"/>
    <s v="30/05/2025, 11:30"/>
    <s v="Special Projects"/>
    <x v="6"/>
    <s v="30/05/2025"/>
    <x v="20"/>
  </r>
  <r>
    <s v="D V McColl Ltd"/>
    <s v="Paul Woodlock"/>
    <s v="BOTHWELL STREET NO 177 FLOOR 4 FIT OUT GLASGOW"/>
    <s v="00023136"/>
    <s v="S - Incorrect delivery method"/>
    <s v="External Courier"/>
    <s v="27/05/2025, 11:59"/>
    <s v="UK"/>
    <x v="10"/>
    <s v="27/05/2025"/>
    <x v="20"/>
  </r>
  <r>
    <s v="HCIP Ltd"/>
    <s v="Gaz Haigh"/>
    <s v="BROADGATE TOWER FLOORS 6-8 HILL DICKSON REFURB LONDON"/>
    <s v="00023141"/>
    <s v="S - Incorrectly Ordered"/>
    <s v="Estimating"/>
    <s v="28/05/2025, 08:37"/>
    <s v="UK"/>
    <x v="16"/>
    <s v="28/05/2025"/>
    <x v="20"/>
  </r>
  <r>
    <s v="T Clarke Plc"/>
    <s v="Matthew Lines"/>
    <s v="ALDERMANBURY SQUARE NO 2 BASINGHALL ST LIGHTING LONDON"/>
    <s v="00023145"/>
    <s v="Q â€“ Faulty Luminaire"/>
    <s v="External"/>
    <s v="28/05/2025, 09:44"/>
    <s v="UK"/>
    <x v="19"/>
    <s v="28/05/2025"/>
    <x v="20"/>
  </r>
  <r>
    <s v="Wates Construction (Head Office - Leatherhead)"/>
    <s v="Emma Nevin"/>
    <s v="VICTORIA HOUSE BLOOMSBURY SQUARE LONDON"/>
    <s v="00023150"/>
    <s v="S - Product specification error"/>
    <s v="Warehouse"/>
    <s v="28/05/2025, 13:12"/>
    <s v="UK"/>
    <x v="6"/>
    <s v="28/05/2025"/>
    <x v="20"/>
  </r>
  <r>
    <s v="Flynn Interiors Ltd"/>
    <s v="Laura Hawkins"/>
    <s v="HWE HUB BUILDING 7 ADITIONALS WATFORD"/>
    <s v="00023154"/>
    <s v="S - Product specification error"/>
    <s v="Warehouse"/>
    <s v="28/05/2025, 14:32"/>
    <s v="UK"/>
    <x v="6"/>
    <s v="28/05/2025"/>
    <x v="20"/>
  </r>
  <r>
    <s v="David Andrews Construction Ltd"/>
    <s v="John Rimmell"/>
    <s v="BAKER STREET NO 25 GROUND FLOOR BMO LONDON"/>
    <s v="00023157"/>
    <s v="S - Sales order processing error"/>
    <s v="UK SOP"/>
    <s v="29/05/2025, 10:54"/>
    <s v="UK"/>
    <x v="5"/>
    <s v="29/05/2025"/>
    <x v="20"/>
  </r>
  <r>
    <s v="Grant &amp; Stone"/>
    <s v="Tyrone Gannon"/>
    <s v="JAMES STREET NO 1 LIGHTING LONDON"/>
    <s v="00023164"/>
    <s v="Q â€“ Faulty Luminaire"/>
    <s v="Lighting Supplier"/>
    <s v="30/05/2025, 08:37"/>
    <s v="UK"/>
    <x v="18"/>
    <s v="30/05/2025"/>
    <x v="20"/>
  </r>
  <r>
    <s v="Zen Commercial Interiors Ltd"/>
    <s v="Colin Jones"/>
    <s v="UNI OF CAMBRIDGE WHITTLE LAB EXTENSION CAMBRIDGE"/>
    <s v="00023167"/>
    <s v="C - Customer Dispute"/>
    <s v="Customer"/>
    <s v="30/05/2025, 09:08"/>
    <s v="UK"/>
    <x v="8"/>
    <s v="30/05/2025"/>
    <x v="20"/>
  </r>
  <r>
    <s v="Level Best Solutions Ltd"/>
    <s v="Simon Ashworth"/>
    <s v="BLUE FIN BUILDING SOUTHWARK STREET COSTAR FLRS 5-6 LONDON"/>
    <s v="00023171"/>
    <s v="Q - Product manufactured incorrectly"/>
    <s v="UK SOP"/>
    <s v="30/05/2025, 11:42"/>
    <s v="UK"/>
    <x v="5"/>
    <s v="30/05/2025"/>
    <x v="20"/>
  </r>
  <r>
    <s v="SIG Interiors Ltd (Manchester)"/>
    <s v="Geraldine Taylor"/>
    <s v="NORTH MISC 2025 - CHRIS EDGE"/>
    <s v="00023174"/>
    <s v="C - Customer Dispute"/>
    <s v="Customer"/>
    <s v="30/05/2025, 13:18"/>
    <s v="UK"/>
    <x v="8"/>
    <s v="30/05/2025"/>
    <x v="20"/>
  </r>
  <r>
    <s v="HL Interiors Ltd"/>
    <s v="Richard Lane"/>
    <s v="UNI OF CAMBRIDGE CHEMISTRY LECTURE ROOM CEILINGS GRD FLOOR"/>
    <s v="00023176"/>
    <s v="S - Incorrect carriage or storage method"/>
    <s v="Transport"/>
    <s v="30/05/2025, 14:08"/>
    <s v="UK"/>
    <x v="4"/>
    <s v="30/05/2025"/>
    <x v="20"/>
  </r>
  <r>
    <s v="SAS Special Projects"/>
    <s v="Chris Ellingham"/>
    <s v="BLOOMBERG SOUTH BUILDING FIT-OUT PHASE 3 LONDON"/>
    <s v="00023193"/>
    <s v="S - Product specification error"/>
    <s v="Supplier"/>
    <s v="03/06/2025, 11:40"/>
    <s v="Special Projects"/>
    <x v="21"/>
    <s v="03/06/2025"/>
    <x v="21"/>
  </r>
  <r>
    <s v="Mectric Solutions Ltd"/>
    <s v="Jamie Howard"/>
    <s v="BISHOPSGATE NO 199 CAT B FLR 9 LIGHTING LONDON"/>
    <s v="00023181"/>
    <s v="Q â€“ Faulty Luminaire"/>
    <s v="Lighting Supplier"/>
    <s v="02/06/2025, 11:39"/>
    <s v="UK"/>
    <x v="18"/>
    <s v="02/06/2025"/>
    <x v="21"/>
  </r>
  <r>
    <s v="Mariner Interiors"/>
    <s v="Josh Mariner"/>
    <s v="BUILDING 1000 CATHEDRAL SQUARE REFURB GUILDFORD"/>
    <s v="00023183"/>
    <s v="Q - Product Finish Issue - Aesthetics"/>
    <s v="Paintline"/>
    <s v="02/06/2025, 12:54"/>
    <s v="UK"/>
    <x v="11"/>
    <s v="02/06/2025"/>
    <x v="21"/>
  </r>
  <r>
    <s v="Brian Hendry Interiors Ltd"/>
    <s v="Brian Hendry"/>
    <s v="PRINCES STREET NO 10-15 MOTEL ONE REFURB EDINBURGH"/>
    <s v="00023186"/>
    <s v="C - Customer Dispute"/>
    <s v="Customer"/>
    <s v="02/06/2025, 15:31"/>
    <s v="UK"/>
    <x v="8"/>
    <s v="02/06/2025"/>
    <x v="21"/>
  </r>
  <r>
    <s v="Workplace Interiors Company Cheltenham Ltd"/>
    <s v="Chloe Phillips"/>
    <s v="WORKPLACE INTERIORS MISC 2025"/>
    <s v="00023191"/>
    <s v="O - Other"/>
    <s v="UK SOP"/>
    <s v="03/06/2025, 10:28"/>
    <s v="UK"/>
    <x v="5"/>
    <s v="03/06/2025"/>
    <x v="21"/>
  </r>
  <r>
    <s v="Rose Builders Ltd"/>
    <s v="Alan Webber"/>
    <s v="TURING COURT NO 1 CARECO HQ BRAINTREE"/>
    <s v="00023197"/>
    <s v="Q - Product is delaminated"/>
    <s v="Shop Floor"/>
    <s v="03/06/2025, 12:16"/>
    <s v="UK"/>
    <x v="1"/>
    <s v="03/06/2025"/>
    <x v="21"/>
  </r>
  <r>
    <s v="Generation 3 Interiors Ltd"/>
    <s v="Danny Wager"/>
    <s v="JACK TURNBULL MISC TILE &amp; GRID 2025"/>
    <s v="00023215"/>
    <s v="S - Product specification error"/>
    <s v="Salesforce"/>
    <s v="06/06/2025, 08:41"/>
    <s v="UK"/>
    <x v="0"/>
    <s v="06/06/2025"/>
    <x v="21"/>
  </r>
  <r>
    <s v="SAS International Inc"/>
    <s v="Kelly Karakoutas"/>
    <s v="MADISON AVE 1 FLOOR 11 FRANKLIN TEMPLETON FIT OUT"/>
    <s v="00023189"/>
    <s v="Q - Product manufactured incorrectly"/>
    <s v="Product Design/Engineering"/>
    <s v="03/06/2025, 10:06"/>
    <s v="USA"/>
    <x v="7"/>
    <s v="03/06/2025"/>
    <x v="21"/>
  </r>
  <r>
    <s v="SAS International Inc"/>
    <s v="Kelly Karakoutas"/>
    <s v="PARK AVENUE 270 AMENITY FLOORS 13 &amp; 14, JP MORGAN"/>
    <s v="00023208"/>
    <s v="Q - Drawing Error"/>
    <s v="RDG â€“ Design"/>
    <s v="04/06/2025, 14:43"/>
    <s v="USA"/>
    <x v="19"/>
    <s v="04/06/2025"/>
    <x v="21"/>
  </r>
  <r>
    <s v="SAS International Inc"/>
    <s v="Sabryn Robledo"/>
    <s v="WATERSHED CHEVRON HEADQUARTERS HOUSTON"/>
    <s v="00023217"/>
    <s v="O - Other"/>
    <s v="Transport"/>
    <s v="06/06/2025, 12:51"/>
    <s v="USA"/>
    <x v="4"/>
    <s v="06/06/2025"/>
    <x v="21"/>
  </r>
  <r>
    <s v="SAS Special Projects"/>
    <s v="Chris Ellingham"/>
    <s v="KINGS CROSS CENTRAL GOOGLE HQ KGX1 CAT A LONDON"/>
    <s v="00023244"/>
    <s v="Q - Product manufactured incorrectly"/>
    <s v="Fast Track"/>
    <s v="12/06/2025, 10:59"/>
    <s v="Special Projects"/>
    <x v="13"/>
    <s v="12/06/2025"/>
    <x v="22"/>
  </r>
  <r>
    <s v="Horbury Building Services Ltd"/>
    <s v="Josh Parkin"/>
    <s v="MANCHESTER AIRPORT T2 EAST WING NEW DEVELOPMENT"/>
    <s v="00023220"/>
    <s v="S - Sales order processing error"/>
    <s v="UK SOP"/>
    <s v="09/06/2025, 11:54"/>
    <s v="UK"/>
    <x v="5"/>
    <s v="09/06/2025"/>
    <x v="22"/>
  </r>
  <r>
    <s v="CCF West Birmingham"/>
    <s v="Robert Blades"/>
    <s v="EDWARD STREET HOSPITAL WEST BROMWICH"/>
    <s v="00023223"/>
    <s v="S - Not delivered"/>
    <s v="Transport"/>
    <s v="09/06/2025, 13:47"/>
    <s v="UK"/>
    <x v="4"/>
    <s v="09/06/2025"/>
    <x v="22"/>
  </r>
  <r>
    <s v="M J Ferguson Services Ltd"/>
    <s v="Karen Harvey"/>
    <s v="EURSHELL MISC TILE &amp; GRID 2025"/>
    <s v="00023225"/>
    <s v="S - Incorrectly Ordered"/>
    <s v="Salesforce"/>
    <s v="09/06/2025, 14:18"/>
    <s v="UK"/>
    <x v="0"/>
    <s v="09/06/2025"/>
    <x v="22"/>
  </r>
  <r>
    <s v="WT Interiors Ltd"/>
    <s v="Jacob Payne"/>
    <s v="ALDERSGATE STREET NO 200 FLOOR 1 &amp; MEZZANINE CONVENE LONDON"/>
    <s v="00023230"/>
    <s v="N - Not a valid complaint"/>
    <s v="Customer"/>
    <s v="09/06/2025, 15:57"/>
    <s v="UK"/>
    <x v="8"/>
    <s v="09/06/2025"/>
    <x v="22"/>
  </r>
  <r>
    <s v="Integra Contracts Ltd"/>
    <s v="Petre Zaharia"/>
    <s v="HEATHROW TERMINAL 5 SECURITY LONDON"/>
    <s v="00023232"/>
    <s v="S - Sales order processing error"/>
    <s v="UK SOP"/>
    <s v="10/06/2025, 13:12"/>
    <s v="UK"/>
    <x v="5"/>
    <s v="10/06/2025"/>
    <x v="22"/>
  </r>
  <r>
    <s v="Cast Interiors Fit Out Limited"/>
    <s v="Claire O'Malley"/>
    <s v="BISHOPSGATE NO 8 FLOOR 33 STANHOPE FITOUT LONDON"/>
    <s v="00023234"/>
    <s v="C - Customer Dispute"/>
    <s v="Customer"/>
    <s v="10/06/2025, 13:20"/>
    <s v="UK"/>
    <x v="8"/>
    <s v="10/06/2025"/>
    <x v="22"/>
  </r>
  <r>
    <s v="Profixed Interiors Ltd"/>
    <s v="Simon Beasley"/>
    <s v="CADOGAN STREET NO 5 GLASGOW"/>
    <s v="00023242"/>
    <s v="S - Sales order processing error"/>
    <s v="UK SOP"/>
    <s v="12/06/2025, 08:49"/>
    <s v="UK"/>
    <x v="5"/>
    <s v="12/06/2025"/>
    <x v="22"/>
  </r>
  <r>
    <s v="County Ceilings Installations (Gatwick) Ltd"/>
    <s v="Seth Matthews"/>
    <s v="GATWICK NORTH TERMINAL PIER 4 CEILING"/>
    <s v="00023248"/>
    <s v="Q - Product manufactured incorrectly"/>
    <s v="Amada"/>
    <s v="12/06/2025, 11:52"/>
    <s v="UK"/>
    <x v="19"/>
    <s v="12/06/2025"/>
    <x v="22"/>
  </r>
  <r>
    <s v="Building Materials Nationwide Ltd"/>
    <s v="Paul Ashby"/>
    <s v="EURSHELL MISC TILE &amp; GRID 2025"/>
    <s v="00023252"/>
    <s v="S - Transit damage"/>
    <s v="Transport"/>
    <s v="12/06/2025, 13:05"/>
    <s v="UK"/>
    <x v="4"/>
    <s v="12/06/2025"/>
    <x v="22"/>
  </r>
  <r>
    <s v="SIG Interiors Ltd (London North)"/>
    <s v="Dave Gilmore"/>
    <s v="BISHOPSGATE NO 155 FLOOR 5 LONDON"/>
    <s v="00023255"/>
    <s v="Q - Product Damaged"/>
    <s v="Transport"/>
    <s v="12/06/2025, 15:51"/>
    <s v="UK"/>
    <x v="4"/>
    <s v="12/06/2025"/>
    <x v="22"/>
  </r>
  <r>
    <s v="Cast Interiors Fit Out Limited"/>
    <s v="Claire O'Malley"/>
    <s v="BISHOPSGATE NO 8 FLOOR 33 STANHOPE FITOUT LONDON"/>
    <s v="00023260"/>
    <s v="Q - Product manufactured incorrectly"/>
    <s v="Product Design/Engineering"/>
    <s v="13/06/2025, 14:51"/>
    <s v="UK"/>
    <x v="7"/>
    <s v="13/06/2025"/>
    <x v="22"/>
  </r>
  <r>
    <s v="SAS International Inc"/>
    <s v="Sabryn Robledo"/>
    <s v="PILSBURY LAW FIRM AUSTIN"/>
    <s v="00023228"/>
    <s v="Q - Product manufactured incorrectly"/>
    <s v="Product Design"/>
    <s v="09/06/2025, 15:18"/>
    <s v="USA"/>
    <x v="7"/>
    <s v="09/06/2025"/>
    <x v="22"/>
  </r>
  <r>
    <s v="SAS International Inc"/>
    <s v="Sabryn Robledo"/>
    <s v="5TH AVENUE NO 645 FLOOR 21 ROKOS CAPITAL NYC"/>
    <s v="00023236"/>
    <s v="S - Incorrectly Ordered"/>
    <s v="Export SOP"/>
    <s v="10/06/2025, 15:12"/>
    <s v="USA"/>
    <x v="9"/>
    <s v="10/06/2025"/>
    <x v="22"/>
  </r>
  <r>
    <s v="SAS International Australia"/>
    <s v="kathleen Lewington"/>
    <s v="SYDNEY FISH MARKET"/>
    <s v="00023289"/>
    <s v="Q â€“ Missing Item"/>
    <s v="Assembly"/>
    <s v="18/06/2025, 14:37"/>
    <s v="Australia"/>
    <x v="3"/>
    <s v="18/06/2025"/>
    <x v="23"/>
  </r>
  <r>
    <s v="SAS International Australia"/>
    <s v="Tana Josipovic"/>
    <s v="SYDNEY FISH MARKET"/>
    <s v="00023300"/>
    <s v="S - Incorrectly Ordered"/>
    <s v="RDG â€“ Design"/>
    <s v="20/06/2025, 11:03"/>
    <s v="Australia"/>
    <x v="19"/>
    <s v="20/06/2025"/>
    <x v="23"/>
  </r>
  <r>
    <s v="Advanced Industries Group"/>
    <s v="Sachi Radima"/>
    <s v="CENTRAL BANK OF IRAQ HEADQUARTERS BAGHDAD"/>
    <s v="00023304"/>
    <s v="S - Product specification error"/>
    <s v="RDG â€“ Design"/>
    <s v="20/06/2025, 12:34"/>
    <s v="Middle East"/>
    <x v="19"/>
    <s v="20/06/2025"/>
    <x v="23"/>
  </r>
  <r>
    <s v="SAS Special Projects"/>
    <s v="Chris Ellingham"/>
    <s v="BLOOMBERG SOUTH BUILDING FIT-OUT PHASE 3 LONDON"/>
    <s v="00023293"/>
    <s v="Q - Product Finish Issue - Aesthetics"/>
    <s v="Shop Floor"/>
    <s v="19/06/2025, 12:48"/>
    <s v="Special Projects"/>
    <x v="1"/>
    <s v="19/06/2025"/>
    <x v="23"/>
  </r>
  <r>
    <s v="Mectric Solutions Ltd"/>
    <s v="Jamie Howard"/>
    <s v="BISHOPSGATE NO 199 CAT B FLR 9 LIGHTING LONDON"/>
    <s v="00023263"/>
    <s v="C - Customer Dispute"/>
    <s v="Customer"/>
    <s v="16/06/2025, 10:42"/>
    <s v="UK"/>
    <x v="8"/>
    <s v="16/06/2025"/>
    <x v="23"/>
  </r>
  <r>
    <s v="IDD Contracts Ltd"/>
    <s v="Stuart Garner"/>
    <s v="CHISWELL STREET NO 24 FLOOR 1 &amp; 3 INDUSTRIOUS FIT OUT LONDON"/>
    <s v="00023265"/>
    <s v="Q - Product packaging issue"/>
    <s v="Product Design/Engineering"/>
    <s v="16/06/2025, 11:50"/>
    <s v="UK"/>
    <x v="7"/>
    <s v="16/06/2025"/>
    <x v="23"/>
  </r>
  <r>
    <s v="Flynn James Limited"/>
    <s v="Ed Theobald"/>
    <s v="QUEEN VICTORIA STREET NO 99 LONDON"/>
    <s v="00023267"/>
    <s v="S - Product specification error"/>
    <s v="Estimating"/>
    <s v="16/06/2025, 11:56"/>
    <s v="UK"/>
    <x v="16"/>
    <s v="16/06/2025"/>
    <x v="23"/>
  </r>
  <r>
    <s v="Task Fitout Limited"/>
    <s v="Devon Hadar"/>
    <s v="ELMFIELD ROAD NO 26 LOBBY AREA BROMLEY"/>
    <s v="00023269"/>
    <s v="Q - Product Dimension Error"/>
    <s v="Product Design/Engineering"/>
    <s v="16/06/2025, 13:01"/>
    <s v="UK"/>
    <x v="7"/>
    <s v="16/06/2025"/>
    <x v="23"/>
  </r>
  <r>
    <s v="Cast Interiors Fit Out Limited"/>
    <s v="Claire O'Malley"/>
    <s v="BISHOPSGATE NO 8 FLOOR 33 STANHOPE FITOUT LONDON"/>
    <s v="00023271"/>
    <s v="Q - Product Dimension Error"/>
    <s v="Product Design/Engineering"/>
    <s v="16/06/2025, 13:10"/>
    <s v="UK"/>
    <x v="7"/>
    <s v="16/06/2025"/>
    <x v="23"/>
  </r>
  <r>
    <s v="Konect Electrical Services"/>
    <s v="Zach Oultram"/>
    <s v="ST MICHAELS FLR 9 HILL DICKINSON LIGHTING MANCHESTER"/>
    <s v="00023275"/>
    <s v="Q - Product manufactured incorrectly"/>
    <s v="Product Design"/>
    <s v="17/06/2025, 10:09"/>
    <s v="UK"/>
    <x v="7"/>
    <s v="17/06/2025"/>
    <x v="23"/>
  </r>
  <r>
    <s v="Celtic Contractors Ltd"/>
    <s v="Paul Cooney"/>
    <s v="NEW STREET SQUARE NO 5 TAYLOR WESSING REFURB LONDON"/>
    <s v="00023279"/>
    <s v="Q - Product is delaminated"/>
    <s v="Assembly"/>
    <s v="18/06/2025, 09:04"/>
    <s v="UK"/>
    <x v="3"/>
    <s v="18/06/2025"/>
    <x v="23"/>
  </r>
  <r>
    <s v="Vale Interiors Ltd"/>
    <s v="David Page"/>
    <s v="EDF SIZEWELL POWER STATION B VISITORS CENTRE SUFFOLK"/>
    <s v="00023283"/>
    <s v="S - Sales order processing error"/>
    <s v="UK SOP"/>
    <s v="18/06/2025, 10:28"/>
    <s v="UK"/>
    <x v="5"/>
    <s v="18/06/2025"/>
    <x v="23"/>
  </r>
  <r>
    <s v="Celtic Contractors Ltd"/>
    <s v="Paul Cooney"/>
    <s v="NEW STREET SQUARE NO 5 TAYLOR WESSING REFURB LONDON"/>
    <s v="00023285"/>
    <s v="Q - Product manufactured incorrectly"/>
    <s v="Product Design/Engineering"/>
    <s v="18/06/2025, 12:50"/>
    <s v="UK"/>
    <x v="7"/>
    <s v="18/06/2025"/>
    <x v="23"/>
  </r>
  <r>
    <s v="Red Systems Ltd"/>
    <s v="Steve Williams"/>
    <s v="EVERTON FC TUNNEL CLUB &amp; TRINITY LOUNGE LIVERPOOL"/>
    <s v="00023291"/>
    <s v="C - Customer Fault"/>
    <s v="Customer"/>
    <s v="19/06/2025, 08:22"/>
    <s v="UK"/>
    <x v="8"/>
    <s v="19/06/2025"/>
    <x v="23"/>
  </r>
  <r>
    <s v="Interior Resolutions Ltd"/>
    <s v="Nathan Smith"/>
    <s v="JACK TURNBULL MISC TILE &amp; GRID 2025"/>
    <s v="00023297"/>
    <s v="Q - Product Finish Issue - Aesthetics"/>
    <s v="Supplier"/>
    <s v="19/06/2025, 16:07"/>
    <s v="UK"/>
    <x v="21"/>
    <s v="19/06/2025"/>
    <x v="23"/>
  </r>
  <r>
    <s v="Samples (SAS Australia)"/>
    <s v="Tracey Lawton"/>
    <s v="SAS AUSTRALIA STOCK ORDERS"/>
    <s v="00023307"/>
    <s v="Q - Product Damaged"/>
    <s v="Shop Floor"/>
    <s v="23/06/2025, 11:11"/>
    <s v="Australia"/>
    <x v="1"/>
    <s v="23/06/2025"/>
    <x v="24"/>
  </r>
  <r>
    <s v="SAS International Australia"/>
    <s v="Tana Josipovic"/>
    <s v="SYDNEY FISH MARKET"/>
    <s v="00023330"/>
    <s v="Q â€“ Missing Item"/>
    <s v="Warehouse"/>
    <s v="25/06/2025, 12:51"/>
    <s v="Australia"/>
    <x v="6"/>
    <s v="25/06/2025"/>
    <x v="24"/>
  </r>
  <r>
    <s v="SAS International Australia"/>
    <s v="kathleen Lewington"/>
    <s v="MACQUARIE UNIVERSITY PAE SYDNEY"/>
    <s v="00023342"/>
    <s v="Q - Product Finish Issue - Aesthetics"/>
    <s v="Shop Floor"/>
    <s v="26/06/2025, 12:49"/>
    <s v="Australia"/>
    <x v="1"/>
    <s v="26/06/2025"/>
    <x v="24"/>
  </r>
  <r>
    <s v="Samples (SAS Australia)"/>
    <s v="Tracey Lawton"/>
    <s v="SAS AUSTRALIA STOCK ORDERS"/>
    <s v="00023344"/>
    <s v="Q - Product Finish Issue - Aesthetics"/>
    <s v="Assembly Block 2"/>
    <s v="26/06/2025, 15:31"/>
    <s v="Australia"/>
    <x v="12"/>
    <s v="26/06/2025"/>
    <x v="24"/>
  </r>
  <r>
    <s v="SAS International Dublin"/>
    <s v="Chris Carey"/>
    <s v="BFI STOCK 2025"/>
    <s v="00023316"/>
    <s v="V - Vendor problem"/>
    <s v="Purchasing"/>
    <s v="24/06/2025, 10:45"/>
    <s v="Ireland"/>
    <x v="19"/>
    <s v="24/06/2025"/>
    <x v="24"/>
  </r>
  <r>
    <s v="BAZAR BUSINESS, S.L."/>
    <s v="Fernando Martinez"/>
    <s v="ARIMA OFFICES MADRID"/>
    <s v="00023324"/>
    <s v="N - Not a valid complaint"/>
    <s v="Paintline"/>
    <s v="25/06/2025, 11:16"/>
    <s v="Rest of the World"/>
    <x v="11"/>
    <s v="25/06/2025"/>
    <x v="24"/>
  </r>
  <r>
    <s v="BAZAR BUSINESS, S.L."/>
    <s v="Fernando Martinez"/>
    <s v="ARIMA OFFICES MADRID"/>
    <s v="00023326"/>
    <s v="Q - Product packaging issue"/>
    <s v="Assembly"/>
    <s v="25/06/2025, 11:20"/>
    <s v="Rest of the World"/>
    <x v="3"/>
    <s v="25/06/2025"/>
    <x v="24"/>
  </r>
  <r>
    <s v="BAZAR BUSINESS, S.L."/>
    <s v="Fernando Martinez"/>
    <s v="ARIMA OFFICES MADRID"/>
    <s v="00023328"/>
    <s v="Q - Product manufactured incorrectly"/>
    <s v="Shop Floor"/>
    <s v="25/06/2025, 11:23"/>
    <s v="Rest of the World"/>
    <x v="1"/>
    <s v="25/06/2025"/>
    <x v="24"/>
  </r>
  <r>
    <s v="SAS Special Projects"/>
    <s v="Chris Ellingham"/>
    <s v="BLOOMBERG SOUTH BUILDING FIT-OUT PHASE 3 LONDON"/>
    <s v="00023332"/>
    <s v="Q - Product packaging issue"/>
    <s v="Assembly"/>
    <s v="25/06/2025, 13:04"/>
    <s v="Special Projects"/>
    <x v="3"/>
    <s v="25/06/2025"/>
    <x v="24"/>
  </r>
  <r>
    <s v="Contract Interior Solutions Limited"/>
    <s v="Amanda Hutchison"/>
    <s v="LONDON MISC 2025"/>
    <s v="00023309"/>
    <s v="S - Not delivered"/>
    <s v="External Courier"/>
    <s v="23/06/2025, 11:27"/>
    <s v="UK"/>
    <x v="10"/>
    <s v="23/06/2025"/>
    <x v="24"/>
  </r>
  <r>
    <s v="Carter Ceilings Ltd"/>
    <s v="Gerard Murphy"/>
    <s v="SCOTLAND &amp; NORTH EAST MISC 2025"/>
    <s v="00023314"/>
    <s v="S - Sales order processing error"/>
    <s v="UK SOP"/>
    <s v="24/06/2025, 10:00"/>
    <s v="UK"/>
    <x v="5"/>
    <s v="24/06/2025"/>
    <x v="24"/>
  </r>
  <r>
    <s v="A.T. Jones Ltd (Fareham)"/>
    <s v="Becky Neary"/>
    <s v="DYSON NDA PROJECT APPLE BRISTOL"/>
    <s v="00023321"/>
    <s v="Q - Product Dimension Error"/>
    <s v="Assembly"/>
    <s v="24/06/2025, 15:31"/>
    <s v="UK"/>
    <x v="3"/>
    <s v="24/06/2025"/>
    <x v="24"/>
  </r>
  <r>
    <s v="Urban Interior Solutions  Ltd"/>
    <s v="Richard Kirton"/>
    <s v="ROPEMAKER PLACE MUFG REFURB FLRS 1-2 &amp; 14-17 LONDON"/>
    <s v="00023334"/>
    <s v="C - Customer Dispute"/>
    <s v="Customer"/>
    <s v="25/06/2025, 13:30"/>
    <s v="UK"/>
    <x v="8"/>
    <s v="25/06/2025"/>
    <x v="24"/>
  </r>
  <r>
    <s v="Red Systems Ltd"/>
    <s v="Steve Williams"/>
    <s v="EVERTON FC TUNNEL CLUB &amp; TRINITY LOUNGE LIVERPOOL"/>
    <s v="00023337"/>
    <s v="Q - Product Finish Issue - Aesthetics"/>
    <s v="Paintline"/>
    <s v="25/06/2025, 14:47"/>
    <s v="UK"/>
    <x v="11"/>
    <s v="25/06/2025"/>
    <x v="24"/>
  </r>
  <r>
    <s v="CCF East Kilbride"/>
    <s v="Fiona Campbell"/>
    <s v="SCOTLAND &amp; NORTH EAST MISC 2025"/>
    <s v="00023339"/>
    <s v="C - Customer Fault"/>
    <s v="Customer"/>
    <s v="25/06/2025, 15:07"/>
    <s v="UK"/>
    <x v="8"/>
    <s v="25/06/2025"/>
    <x v="24"/>
  </r>
  <r>
    <s v="SAS International Australia"/>
    <s v="Kate Cogswell"/>
    <s v="SYDNEY FISH MARKET"/>
    <s v="00023370"/>
    <s v="S - Incorrectly Ordered"/>
    <s v="USA SOP"/>
    <s v="02/07/2025, 10:18"/>
    <s v="Australia"/>
    <x v="5"/>
    <s v="02/07/2025"/>
    <x v="25"/>
  </r>
  <r>
    <s v="Trox Middle East LLC"/>
    <s v="Somasundaram K V"/>
    <s v="NDA - DEWA HQ TROX TILES DUBAI"/>
    <s v="00023402"/>
    <s v="Q - Product Finish Issue - Aesthetics"/>
    <s v="Shop Floor"/>
    <s v="04/07/2025, 09:13"/>
    <s v="Middle East"/>
    <x v="1"/>
    <s v="04/07/2025"/>
    <x v="25"/>
  </r>
  <r>
    <s v="SAS Special Projects"/>
    <s v="Marcin Borzecki"/>
    <s v="BLOOMBERG SOUTH BUILDING FIT-OUT PHASE 3 LONDON"/>
    <s v="00023358"/>
    <s v="Q - Product Finish Issue - Aesthetics"/>
    <s v="Paintline"/>
    <s v="01/07/2025, 12:11"/>
    <s v="Special Projects"/>
    <x v="11"/>
    <s v="01/07/2025"/>
    <x v="25"/>
  </r>
  <r>
    <s v="SAS Special Projects"/>
    <s v="Chris Ellingham"/>
    <s v="BLOOMBERG SOUTH BUILDING FIT-OUT PHASE 3 LONDON"/>
    <s v="00023364"/>
    <s v="Q - Product Damaged"/>
    <s v="Shop Floor"/>
    <s v="01/07/2025, 15:01"/>
    <s v="Special Projects"/>
    <x v="1"/>
    <s v="01/07/2025"/>
    <x v="25"/>
  </r>
  <r>
    <s v="SAS Special Projects"/>
    <s v="Mark Henderson"/>
    <s v="BLOOMBERG SOUTH BUILDING FIT-OUT PHASE 3 LONDON"/>
    <s v="00023381"/>
    <s v="Q - Product manufactured incorrectly"/>
    <s v="Customer"/>
    <s v="02/07/2025, 14:57"/>
    <s v="Special Projects"/>
    <x v="8"/>
    <s v="02/07/2025"/>
    <x v="25"/>
  </r>
  <r>
    <s v="SAS Special Projects"/>
    <s v="Matthew Gillas"/>
    <s v="BLOOMBERG SOUTH BUILDING FIT-OUT PHASE 3 LONDON"/>
    <s v="00023405"/>
    <s v="Q - Product manufactured incorrectly"/>
    <s v="Supplier"/>
    <s v="04/07/2025, 09:26"/>
    <s v="Special Projects"/>
    <x v="21"/>
    <s v="04/07/2025"/>
    <x v="25"/>
  </r>
  <r>
    <s v="Interior Resolutions Ltd"/>
    <s v="Nathan Smith"/>
    <s v="JACK TURNBULL MISC TILE &amp; GRID 2025"/>
    <s v="00023354"/>
    <s v="S - Incorrectly Ordered"/>
    <s v="Salesforce"/>
    <s v="01/07/2025, 08:30"/>
    <s v="UK"/>
    <x v="0"/>
    <s v="01/07/2025"/>
    <x v="25"/>
  </r>
  <r>
    <s v="Image Ceilings Ltd"/>
    <s v="Gavin Redgewell"/>
    <s v="GRESHAM STREET NO 20 CAT A REFURB LONDON"/>
    <s v="00023366"/>
    <s v="T - TBC under investigation"/>
    <s v="RDG â€“ Design"/>
    <s v="01/07/2025, 15:28"/>
    <s v="UK"/>
    <x v="19"/>
    <s v="01/07/2025"/>
    <x v="25"/>
  </r>
  <r>
    <s v="Orange Projects Ltd"/>
    <s v="George Lewis"/>
    <s v="NEW STREET SQUARE NO 6 OC&amp;C REFURB LONDON"/>
    <s v="00023368"/>
    <s v="Q - Picking Error"/>
    <s v="Warehouse"/>
    <s v="02/07/2025, 10:08"/>
    <s v="UK"/>
    <x v="6"/>
    <s v="02/07/2025"/>
    <x v="25"/>
  </r>
  <r>
    <s v="SAS Shop Cash Sales"/>
    <s v="Rodney Fitzgerald"/>
    <s v="SAS SHOP ORDERS"/>
    <s v="00023374"/>
    <s v="Q - Picking Error"/>
    <s v="Warehouse"/>
    <s v="02/07/2025, 11:53"/>
    <s v="UK"/>
    <x v="6"/>
    <s v="02/07/2025"/>
    <x v="25"/>
  </r>
  <r>
    <s v="Level Best Solutions Ltd"/>
    <s v="Simon Ashworth"/>
    <s v="BLUE FIN BUILDING SOUTHWARK STREET COSTAR FLRS 5-6 LONDON"/>
    <s v="00023387"/>
    <s v="Q - Product manufactured incorrectly"/>
    <s v="Assembly"/>
    <s v="03/07/2025, 08:44"/>
    <s v="UK"/>
    <x v="3"/>
    <s v="03/07/2025"/>
    <x v="25"/>
  </r>
  <r>
    <s v="Brian Hendry Interiors Ltd"/>
    <s v="Craig McEwan"/>
    <s v="CITY POINT 2ND FLR HAYMARKET TERRACE NO 65 EDINBURGH"/>
    <s v="00023389"/>
    <s v="Q â€“ Missing Item"/>
    <s v="Transport"/>
    <s v="03/07/2025, 10:43"/>
    <s v="UK"/>
    <x v="4"/>
    <s v="03/07/2025"/>
    <x v="25"/>
  </r>
  <r>
    <s v="BPC Interiors Ltd"/>
    <s v="Adam Donkin"/>
    <s v="CANARY WHARF CANADA SQUARE NO 25 CITIBANK REFURB LONDON"/>
    <s v="00023392"/>
    <s v="Q - Product is Deformed"/>
    <s v="Multi Dept"/>
    <s v="03/07/2025, 13:50"/>
    <s v="UK"/>
    <x v="19"/>
    <s v="03/07/2025"/>
    <x v="25"/>
  </r>
  <r>
    <s v="Galaxy Installation &amp; Drylining (South Yorkshire) Ltd"/>
    <s v="Alex Naylor"/>
    <s v="WHITEHALL RIVERSIDE RESIDENTIAL TOWERS LEEDS"/>
    <s v="00023394"/>
    <s v="C - Customer Dispute"/>
    <s v="Transport"/>
    <s v="03/07/2025, 14:15"/>
    <s v="UK"/>
    <x v="4"/>
    <s v="03/07/2025"/>
    <x v="25"/>
  </r>
  <r>
    <s v="Brian Hendry Interiors Ltd"/>
    <s v="Craig McEwan"/>
    <s v="CITY POINT 2ND FLR HAYMARKET TERRACE NO 65 EDINBURGH"/>
    <s v="00023396"/>
    <s v="Q - Product manufactured incorrectly"/>
    <s v="Assembly"/>
    <s v="03/07/2025, 14:30"/>
    <s v="UK"/>
    <x v="3"/>
    <s v="03/07/2025"/>
    <x v="25"/>
  </r>
  <r>
    <s v="BPC Interiors Ltd"/>
    <s v="Charlie Corbyn"/>
    <s v="CANARY WHARF DS7 CANADA SQUARE NO 1 UCL SOM PHASE 2 LONDON"/>
    <s v="00023398"/>
    <s v="Q - Product Damaged"/>
    <s v="Shop Floor"/>
    <s v="03/07/2025, 16:11"/>
    <s v="UK"/>
    <x v="1"/>
    <s v="03/07/2025"/>
    <x v="25"/>
  </r>
  <r>
    <s v="HCIP Ltd"/>
    <s v="Shaun Carter"/>
    <s v="BRINDLEY PLACE NO 10 FLR 6 BIRMINGHAM"/>
    <s v="00023400"/>
    <s v="S - Incorrectly Ordered"/>
    <s v="Salesforce"/>
    <s v="04/07/2025, 08:41"/>
    <s v="UK"/>
    <x v="0"/>
    <s v="04/07/2025"/>
    <x v="25"/>
  </r>
  <r>
    <s v="Generation 3 Interiors Ltd"/>
    <s v="Chris Wilson"/>
    <s v="JACK TURNBULL MISC TILE &amp; GRID 2025"/>
    <s v="00023407"/>
    <s v="S - Sales order processing error"/>
    <s v="UK SOP"/>
    <s v="04/07/2025, 10:38"/>
    <s v="UK"/>
    <x v="5"/>
    <s v="04/07/2025"/>
    <x v="25"/>
  </r>
  <r>
    <s v="Building Materials Nationwide Ltd"/>
    <s v="Oran Clark-Brymner"/>
    <s v="SOUTH MISC 2025"/>
    <s v="00023410"/>
    <s v="Q - Picking Error"/>
    <s v="Warehouse"/>
    <s v="04/07/2025, 12:24"/>
    <s v="UK"/>
    <x v="6"/>
    <s v="04/07/2025"/>
    <x v="25"/>
  </r>
  <r>
    <s v="HL Interiors Ltd"/>
    <s v="Richard Lane"/>
    <s v="UNI OF CAMBRIDGE CHEMISTRY LECTURE ROOM CEILINGS GRD FLOOR"/>
    <s v="00023412"/>
    <s v="Q - Product manufactured incorrectly"/>
    <s v="Shop Floor"/>
    <s v="04/07/2025, 13:23"/>
    <s v="UK"/>
    <x v="1"/>
    <s v="04/07/2025"/>
    <x v="25"/>
  </r>
  <r>
    <s v="Tim K Construction"/>
    <s v="Bill Jarman"/>
    <s v="BRENT CROSS TOWN PLOT 25 FUSION STUDENT ACCOMMODATION LONDON"/>
    <s v="00023414"/>
    <s v="S - Incorrectly Ordered"/>
    <s v="Multi Dept"/>
    <s v="04/07/2025, 13:37"/>
    <s v="UK"/>
    <x v="19"/>
    <s v="04/07/2025"/>
    <x v="25"/>
  </r>
  <r>
    <s v="Overbury Interiors Plc"/>
    <s v="Adrian Park"/>
    <s v="ST MICHAELS TOWER FLRS 7 &amp; 8 MANCHESTER"/>
    <s v="00023416"/>
    <s v="Q - Drawing Error"/>
    <s v="Product Design"/>
    <s v="04/07/2025, 15:10"/>
    <s v="UK"/>
    <x v="7"/>
    <s v="04/07/2025"/>
    <x v="25"/>
  </r>
  <r>
    <s v="SAS International Inc"/>
    <s v="Anthony Berardo"/>
    <s v="HOBBY AIRPORT CENTRAL TERMINAL/ BAGGAGE CLAIM"/>
    <s v="00023372"/>
    <s v="Q - Product manufactured incorrectly"/>
    <s v="Major Project Product Design"/>
    <s v="02/07/2025, 10:41"/>
    <s v="USA"/>
    <x v="19"/>
    <s v="02/07/2025"/>
    <x v="25"/>
  </r>
  <r>
    <s v="LIGHTBOX TRADING COMPANY"/>
    <s v="Mohammed A. Baydoun"/>
    <s v="NDA - PWC LAYSEN VALLEY RIYADH OFFICE FIT OUT"/>
    <s v="00023421"/>
    <s v="Q - Drawing Error"/>
    <s v="Product Design"/>
    <s v="07/07/2025, 11:08"/>
    <s v="Middle East"/>
    <x v="7"/>
    <s v="07/07/2025"/>
    <x v="26"/>
  </r>
  <r>
    <s v="Middlesex  Ltd"/>
    <s v="Matthew Onyskiw"/>
    <s v="PORTLAND HOUSE BRESSENDEN PLACE LONDON"/>
    <s v="00023419"/>
    <s v="Q - Product is Deformed"/>
    <s v="Production"/>
    <s v="07/07/2025, 10:53"/>
    <s v="UK"/>
    <x v="19"/>
    <s v="07/07/2025"/>
    <x v="26"/>
  </r>
  <r>
    <s v="Cast Interiors Fit Out Limited"/>
    <s v="Claire O'Malley"/>
    <s v="BISHOPSGATE NO 8 FLOOR 33 STANHOPE FITOUT LONDON"/>
    <s v="00023427"/>
    <s v="C - Customer Dispute"/>
    <s v="Customer"/>
    <s v="07/07/2025, 15:11"/>
    <s v="UK"/>
    <x v="8"/>
    <s v="07/07/2025"/>
    <x v="26"/>
  </r>
  <r>
    <s v="Profixed Interiors Ltd"/>
    <s v="Simon Beasley"/>
    <s v="FINLAISON HOUSE FURNIVAL STREET CAT B FIT OUT VALLIST LONDON"/>
    <s v="00023437"/>
    <s v="C - Customer Return"/>
    <s v="Customer"/>
    <s v="09/07/2025, 07:38"/>
    <s v="UK"/>
    <x v="8"/>
    <s v="09/07/2025"/>
    <x v="26"/>
  </r>
  <r>
    <s v="T Lott Ltd"/>
    <s v="Sarah Lott"/>
    <s v="LANCELOT PLACE NO 8 CAT A REFURB LONDON"/>
    <s v="00023441"/>
    <s v="S - Not delivered"/>
    <s v="Warehouse"/>
    <s v="09/07/2025, 10:06"/>
    <s v="UK"/>
    <x v="6"/>
    <s v="09/07/2025"/>
    <x v="26"/>
  </r>
  <r>
    <s v="Tim K Construction"/>
    <s v="Bill Jarman"/>
    <s v="BRENT CROSS TOWN PLOT 25 FUSION STUDENT ACCOMMODATION LONDON"/>
    <s v="00023448"/>
    <s v="S - Incorrectly Ordered"/>
    <s v="Estimating"/>
    <s v="10/07/2025, 11:42"/>
    <s v="UK"/>
    <x v="16"/>
    <s v="10/07/2025"/>
    <x v="26"/>
  </r>
  <r>
    <s v="Cast Interiors Fit Out Limited"/>
    <s v="Alice Gordon"/>
    <s v="BISHOPSGATE NO 8 FLOOR 33 STANHOPE FITOUT LONDON"/>
    <s v="00023452"/>
    <s v="Q - Product manufactured incorrectly"/>
    <s v="Production"/>
    <s v="10/07/2025, 14:28"/>
    <s v="UK"/>
    <x v="19"/>
    <s v="10/07/2025"/>
    <x v="26"/>
  </r>
  <r>
    <s v="AJC Interiors Ltd"/>
    <s v="Andrew Cook"/>
    <s v="FENCHURCH STREET NO 20 FLR 23 REFURB LONDON"/>
    <s v="00023454"/>
    <s v="S - Incorrectly Ordered"/>
    <s v="UK SOP"/>
    <s v="10/07/2025, 14:41"/>
    <s v="UK"/>
    <x v="5"/>
    <s v="10/07/2025"/>
    <x v="26"/>
  </r>
  <r>
    <s v="SAS International Australia"/>
    <s v="Kate Cogswell"/>
    <s v="SYDNEY FISH MARKET"/>
    <s v="00023477"/>
    <s v="Q - Product Finish Issue - Aesthetics"/>
    <s v="Supplier"/>
    <s v="15/07/2025, 10:36"/>
    <s v="Australia"/>
    <x v="21"/>
    <s v="15/07/2025"/>
    <x v="27"/>
  </r>
  <r>
    <s v="SAS Special Projects"/>
    <s v="Matthew Gillas"/>
    <s v="BLOOMBERG SOUTH BUILDING FIT-OUT PHASE 3 LONDON"/>
    <s v="00023514"/>
    <s v="S - Missed Order"/>
    <s v="Production"/>
    <s v="18/07/2025, 13:52"/>
    <s v="Special Projects"/>
    <x v="19"/>
    <s v="18/07/2025"/>
    <x v="27"/>
  </r>
  <r>
    <s v="SAS Special Projects"/>
    <s v="Chris Ellingham"/>
    <s v="BLOOMBERG SOUTH BUILDING FIT-OUT PHASE 3 LONDON"/>
    <s v="00023516"/>
    <s v="Q - Product Finish Issue - Aesthetics"/>
    <s v="Production"/>
    <s v="18/07/2025, 13:56"/>
    <s v="Special Projects"/>
    <x v="19"/>
    <s v="18/07/2025"/>
    <x v="27"/>
  </r>
  <r>
    <s v="Overbury Interiors Plc"/>
    <s v="Rob Smith"/>
    <s v="ST MICHAELS TOWER FLRS 7 &amp; 8 MANCHESTER"/>
    <s v="00023465"/>
    <s v="Q - Drawing Error"/>
    <s v="RDG â€“ Design"/>
    <s v="14/07/2025, 11:56"/>
    <s v="UK"/>
    <x v="19"/>
    <s v="14/07/2025"/>
    <x v="27"/>
  </r>
  <r>
    <s v="T Lott Ltd"/>
    <s v="Sarah Lott"/>
    <s v="BROADWAY NO 40 &amp; CARTERET STREET REDEVELOPMENT LONDON"/>
    <s v="00023474"/>
    <s v="O - Other"/>
    <s v="Production"/>
    <s v="15/07/2025, 10:15"/>
    <s v="UK"/>
    <x v="19"/>
    <s v="15/07/2025"/>
    <x v="27"/>
  </r>
  <r>
    <s v="Intersign Partitions Ltd"/>
    <s v="Ellie Down"/>
    <s v="OLD BROAD STREET NO 125 LVL 22 &amp; 23 CAT A LONDON"/>
    <s v="00023486"/>
    <s v="Q - Drawing Error"/>
    <s v="Technical"/>
    <s v="16/07/2025, 10:35"/>
    <s v="UK"/>
    <x v="19"/>
    <s v="16/07/2025"/>
    <x v="27"/>
  </r>
  <r>
    <s v="Base Contracts Ltd"/>
    <s v="Barnaby Cooper"/>
    <s v="TOTTENHAM HOTSPUR TRAINING ACADEMY LEVEL 1 OFFICES ENFIELD"/>
    <s v="00023488"/>
    <s v="Q - Product Dimension Error"/>
    <s v="Assembly"/>
    <s v="16/07/2025, 11:47"/>
    <s v="UK"/>
    <x v="3"/>
    <s v="16/07/2025"/>
    <x v="27"/>
  </r>
  <r>
    <s v="Morris &amp; Spottiswood Ltd"/>
    <s v="Daniel McGill"/>
    <s v="TESCO WINDSOR"/>
    <s v="00023490"/>
    <s v="C - Customer Fault"/>
    <s v="Customer"/>
    <s v="17/07/2025, 11:55"/>
    <s v="UK"/>
    <x v="8"/>
    <s v="17/07/2025"/>
    <x v="27"/>
  </r>
  <r>
    <s v="MGF Interiors Limited"/>
    <s v="Dan Smith"/>
    <s v="WILTON ROAD NO 129 CAT A FLOORS 1-5 LONDON"/>
    <s v="00023496"/>
    <s v="Q - Product is delaminated"/>
    <s v="Production"/>
    <s v="17/07/2025, 14:01"/>
    <s v="UK"/>
    <x v="19"/>
    <s v="17/07/2025"/>
    <x v="27"/>
  </r>
  <r>
    <s v="Clearwall Contracting Ltd"/>
    <s v="Christian Price"/>
    <s v="DEVONSHIRE HOUSE MAYFAIR PLACE NO 1 LEVELS 3-4 TA LONDON"/>
    <s v="00023501"/>
    <s v="S - Sales order processing error"/>
    <s v="UK SOP"/>
    <s v="18/07/2025, 07:59"/>
    <s v="UK"/>
    <x v="5"/>
    <s v="18/07/2025"/>
    <x v="27"/>
  </r>
  <r>
    <s v="Image Ceilings Ltd"/>
    <s v="Gavin Redgewell"/>
    <s v="GRESHAM STREET NO 20 CAT A REFURB LONDON"/>
    <s v="00023503"/>
    <s v="Q - Product Finish Issue - Aesthetics"/>
    <s v="Shop Floor"/>
    <s v="18/07/2025, 08:18"/>
    <s v="UK"/>
    <x v="1"/>
    <s v="18/07/2025"/>
    <x v="27"/>
  </r>
  <r>
    <s v="Barry Turner &amp; Sons"/>
    <s v="Dean Turner"/>
    <s v="FCDO KING CHARLES STREET REFURB LONDON"/>
    <s v="00023505"/>
    <s v="Q - Product Damaged"/>
    <s v="Warehouse"/>
    <s v="18/07/2025, 08:32"/>
    <s v="UK"/>
    <x v="6"/>
    <s v="18/07/2025"/>
    <x v="27"/>
  </r>
  <r>
    <s v="SIG Insulation Ltd (Southampton)"/>
    <s v="Kay Lakin"/>
    <s v="BOURNEMOUTH AIRPORT EXPANSION"/>
    <s v="00023519"/>
    <s v="Q - Product Damaged"/>
    <s v="Production"/>
    <s v="18/07/2025, 14:53"/>
    <s v="UK"/>
    <x v="19"/>
    <s v="18/07/2025"/>
    <x v="27"/>
  </r>
  <r>
    <s v="SAS International Inc"/>
    <s v="Sabryn Robledo"/>
    <s v="5TH AVENUE NO 645 FLOOR 21 ROKOS CAPITAL NYC"/>
    <s v="00023499"/>
    <s v="S - Late delivery"/>
    <s v="Production"/>
    <s v="17/07/2025, 15:09"/>
    <s v="USA"/>
    <x v="19"/>
    <s v="17/07/2025"/>
    <x v="27"/>
  </r>
  <r>
    <s v="SAS International Inc"/>
    <s v="Laura Nolan"/>
    <s v="516 MEMPHIS BROOKS ART MUSEUM"/>
    <s v="00023510"/>
    <s v="Q - Product manufactured incorrectly"/>
    <s v="Assembly"/>
    <s v="18/07/2025, 13:10"/>
    <s v="USA"/>
    <x v="3"/>
    <s v="18/07/2025"/>
    <x v="27"/>
  </r>
  <r>
    <s v="SAS International Inc"/>
    <s v="Laura Nolan"/>
    <s v="516 MEMPHIS BROOKS ART MUSEUM"/>
    <s v="00023512"/>
    <s v="Q - Product manufactured incorrectly"/>
    <s v="Assembly"/>
    <s v="18/07/2025, 13:12"/>
    <s v="USA"/>
    <x v="3"/>
    <s v="18/07/2025"/>
    <x v="27"/>
  </r>
  <r>
    <s v="SAS Special Projects"/>
    <s v="Chris Ellingham"/>
    <s v="BLOOMBERG SOUTH BUILDING FIT-OUT PHASE 3 LONDON"/>
    <s v="00023561"/>
    <s v="Q - Product Damaged"/>
    <s v="Assembly"/>
    <s v="24/07/2025, 13:15"/>
    <s v="Special Projects"/>
    <x v="3"/>
    <s v="24/07/2025"/>
    <x v="28"/>
  </r>
  <r>
    <s v="SAS Special Projects"/>
    <s v="Matthew Gillas"/>
    <s v="BLOOMBERG SOUTH BUILDING FIT-OUT PHASE 3 LONDON"/>
    <s v="00023563"/>
    <s v="Q â€“ Missing Item"/>
    <s v="Transport"/>
    <s v="24/07/2025, 13:26"/>
    <s v="Special Projects"/>
    <x v="4"/>
    <s v="24/07/2025"/>
    <x v="28"/>
  </r>
  <r>
    <s v="Integra Contracts Ltd"/>
    <s v="Petre Zaharia"/>
    <s v="HEATHROW TERMINAL 5 SECURITY LONDON"/>
    <s v="00023522"/>
    <s v="C - Customer Dispute"/>
    <s v="Customer"/>
    <s v="21/07/2025, 12:21"/>
    <s v="UK"/>
    <x v="8"/>
    <s v="21/07/2025"/>
    <x v="28"/>
  </r>
  <r>
    <s v="HCIP Ltd"/>
    <s v="Gaz Haigh"/>
    <s v="ST MICHAEL'S FLR 9 HILL DICKINSON FIT OUT MANCHESTER"/>
    <s v="00023524"/>
    <s v="S - Incorrectly Ordered"/>
    <s v="Estimating"/>
    <s v="21/07/2025, 12:27"/>
    <s v="UK"/>
    <x v="16"/>
    <s v="21/07/2025"/>
    <x v="28"/>
  </r>
  <r>
    <s v="Celtic Contractors Ltd"/>
    <s v="Paul Cooney"/>
    <s v="NEW STREET SQUARE NO 5 TAYLOR WESSING REFURB LONDON"/>
    <s v="00023526"/>
    <s v="Q - Product is Deformed"/>
    <s v="Production"/>
    <s v="21/07/2025, 12:35"/>
    <s v="UK"/>
    <x v="19"/>
    <s v="21/07/2025"/>
    <x v="28"/>
  </r>
  <r>
    <s v="Fairway Interiors Ltd"/>
    <s v="Quin Neethling"/>
    <s v="KELVIN ENERGY RECOVERY FACILITY WEST BROMWICH"/>
    <s v="00023528"/>
    <s v="Q - Product Finish Issue - Aesthetics"/>
    <s v="Supplier"/>
    <s v="21/07/2025, 12:52"/>
    <s v="UK"/>
    <x v="21"/>
    <s v="21/07/2025"/>
    <x v="28"/>
  </r>
  <r>
    <s v="T Lott Ltd"/>
    <s v="Sarah Lott"/>
    <s v="CANARY WHARF CANADA SQUARE NO 25 ADDITIONS LONDON"/>
    <s v="00023533"/>
    <s v="C - Customer Dispute"/>
    <s v="Customer"/>
    <s v="21/07/2025, 15:51"/>
    <s v="UK"/>
    <x v="8"/>
    <s v="21/07/2025"/>
    <x v="28"/>
  </r>
  <r>
    <s v="Spacescape Ltd"/>
    <s v="Mark Munday"/>
    <s v="SPINNINGFIELDS NO 1 9TH FLOOR REFURB MANCHESTER"/>
    <s v="00023543"/>
    <s v="S - Sales order processing error"/>
    <s v="UK SOP"/>
    <s v="23/07/2025, 10:57"/>
    <s v="UK"/>
    <x v="5"/>
    <s v="23/07/2025"/>
    <x v="28"/>
  </r>
  <r>
    <s v="HCIP Ltd"/>
    <s v="Shaun Carter"/>
    <s v="BRINDLEY PLACE NO 10 FLR 6 BIRMINGHAM"/>
    <s v="00023546"/>
    <s v="C - Customer Fault"/>
    <s v="Customer"/>
    <s v="23/07/2025, 12:11"/>
    <s v="UK"/>
    <x v="8"/>
    <s v="23/07/2025"/>
    <x v="28"/>
  </r>
  <r>
    <s v="Beaumont"/>
    <s v="Victor Souza"/>
    <s v="NEW BRIDGE ST HOUSE NO 30-34 REFURB LONDON"/>
    <s v="00023550"/>
    <s v="S - Sales order processing error"/>
    <s v="UK SOP"/>
    <s v="23/07/2025, 14:11"/>
    <s v="UK"/>
    <x v="5"/>
    <s v="23/07/2025"/>
    <x v="28"/>
  </r>
  <r>
    <s v="T Lott Ltd"/>
    <s v="Sarah Lott"/>
    <s v="BROADWAY NO 40 &amp; CARTERET STREET REDEVELOPMENT LONDON"/>
    <s v="00023552"/>
    <s v="N - Not a valid complaint"/>
    <s v="Production"/>
    <s v="23/07/2025, 14:22"/>
    <s v="UK"/>
    <x v="19"/>
    <s v="23/07/2025"/>
    <x v="28"/>
  </r>
  <r>
    <s v="Thorn Lighting Ltd"/>
    <s v="Paul Brannigan"/>
    <s v="THORN LIGHTING LTD 2025"/>
    <s v="00023555"/>
    <s v="C - Customer Fault"/>
    <s v="Customer"/>
    <s v="23/07/2025, 14:42"/>
    <s v="UK"/>
    <x v="8"/>
    <s v="23/07/2025"/>
    <x v="28"/>
  </r>
  <r>
    <s v="MCS Partitioning &amp; Drylining Ltd"/>
    <s v="Paul Johnson"/>
    <s v="WAITROSE MISC 2025"/>
    <s v="00023557"/>
    <s v="S - Sales order processing error"/>
    <s v="UK SOP"/>
    <s v="23/07/2025, 14:56"/>
    <s v="UK"/>
    <x v="5"/>
    <s v="23/07/2025"/>
    <x v="28"/>
  </r>
  <r>
    <s v="Star Suspended Ceilings Ltd"/>
    <s v="Ian Hinchcliffe"/>
    <s v="HEATHROW LANDISDE TEMP BOOTH"/>
    <s v="00023567"/>
    <s v="S - Incorrect carriage or storage method"/>
    <s v="Warehouse"/>
    <s v="25/07/2025, 11:07"/>
    <s v="UK"/>
    <x v="6"/>
    <s v="25/07/2025"/>
    <x v="28"/>
  </r>
  <r>
    <s v="SAS International Inc"/>
    <s v="Kelly Karakoutas"/>
    <s v="GEORGE W BUSH INTL AIRPORT IAH-PROCESSOR MOCK-UPS"/>
    <s v="00023569"/>
    <s v="Q - Product manufactured incorrectly"/>
    <s v="Customer"/>
    <s v="25/07/2025, 11:13"/>
    <s v="USA"/>
    <x v="8"/>
    <s v="25/07/2025"/>
    <x v="28"/>
  </r>
  <r>
    <s v="The Deluxe Group"/>
    <s v="Daniel Lomas"/>
    <s v="LIVERPOOL FC EXECUTIVE BOXES ANFIELD"/>
    <s v="00023578"/>
    <s v="Q - Product Dimension Error"/>
    <s v="Multi Dept"/>
    <s v="28/07/2025, 14:43"/>
    <s v="UK"/>
    <x v="19"/>
    <s v="28/07/2025"/>
    <x v="29"/>
  </r>
  <r>
    <s v="Travis Perkins"/>
    <s v="Sarah Burchell"/>
    <s v="CANARY WHARF CANADA SQUARE NO 25 ADDITIONS LONDON"/>
    <s v="00023580"/>
    <s v="Q - Drawing Error"/>
    <s v="Product Design"/>
    <s v="28/07/2025, 15:07"/>
    <s v="UK"/>
    <x v="7"/>
    <s v="28/07/2025"/>
    <x v="29"/>
  </r>
  <r>
    <s v="West Park Contracting Ltd"/>
    <s v="Andrea Bates"/>
    <s v="DORKING OFFICE PARK NO 7 STONEBRIDGE HOUSE DORKING"/>
    <s v="00023582"/>
    <s v="S - Late delivery"/>
    <s v="Production"/>
    <s v="28/07/2025, 15:30"/>
    <s v="UK"/>
    <x v="19"/>
    <s v="28/07/2025"/>
    <x v="29"/>
  </r>
  <r>
    <s v="The Deluxe Group"/>
    <s v="Daniel Lomas"/>
    <s v="LIVERPOOL FC EXECUTIVE BOXES ANFIELD"/>
    <s v="00023589"/>
    <s v="Q - Picking Error"/>
    <s v="Warehouse"/>
    <s v="31/07/2025, 10:34"/>
    <s v="UK"/>
    <x v="6"/>
    <s v="31/07/2025"/>
    <x v="29"/>
  </r>
  <r>
    <s v="Level Best Solutions Ltd"/>
    <s v="Simon Ashworth"/>
    <s v="ST JAMES SQUARE NO 8 FLOOR 1-2 POINT 72 LONDON"/>
    <s v="00023592"/>
    <s v="Q - Product Damaged"/>
    <s v="Shop Floor"/>
    <s v="31/07/2025, 14:20"/>
    <s v="UK"/>
    <x v="1"/>
    <s v="31/07/2025"/>
    <x v="29"/>
  </r>
  <r>
    <s v="SAS International"/>
    <s v="Jasmine Bullock"/>
    <s v="UNKNOWN"/>
    <s v="00023594"/>
    <s v="Q - Product Damaged"/>
    <s v="Transport"/>
    <s v="31/07/2025, 15:46"/>
    <s v="UK"/>
    <x v="4"/>
    <s v="31/07/2025"/>
    <x v="29"/>
  </r>
  <r>
    <s v="SIG Interiors Ltd (Leicester)"/>
    <s v="David Farr"/>
    <s v="LEICESTER COLLEGE AERONAUTICAL BUILDING LEICESTER"/>
    <s v="00023598"/>
    <s v="N - Not a valid complaint"/>
    <s v="Customer"/>
    <s v="01/08/2025, 09:55"/>
    <s v="UK"/>
    <x v="8"/>
    <s v="01/08/2025"/>
    <x v="29"/>
  </r>
  <r>
    <s v="Ceiling Services Limited"/>
    <s v="Darren Knight"/>
    <s v="HERON TOWER BISHOPSGATE NO 110 FLR 3 &amp; 4 REFURB LONDON"/>
    <s v="00023600"/>
    <s v="Q - Product Dimension Error"/>
    <s v="Production"/>
    <s v="01/08/2025, 10:36"/>
    <s v="UK"/>
    <x v="19"/>
    <s v="01/08/2025"/>
    <x v="29"/>
  </r>
  <r>
    <s v="CCF Croydon"/>
    <s v="Lisa Harding"/>
    <s v="SOUTH MISC 2025"/>
    <s v="00023604"/>
    <s v="Q - Product Damaged"/>
    <s v="Transport"/>
    <s v="01/08/2025, 12:49"/>
    <s v="UK"/>
    <x v="4"/>
    <s v="01/08/2025"/>
    <x v="29"/>
  </r>
  <r>
    <s v="Chirvan Contract"/>
    <s v="Theodore Kappatos"/>
    <s v="ALPHA BANK VE ALTERNATIVES FABRIC ATHENS"/>
    <s v="00023642"/>
    <s v="Q â€“ Missing Item"/>
    <s v="Product Design/Engineering"/>
    <s v="07/08/2025, 14:55"/>
    <s v="Rest of the World"/>
    <x v="7"/>
    <s v="07/08/2025"/>
    <x v="30"/>
  </r>
  <r>
    <s v="SAS Special Projects"/>
    <s v="Chris Ellingham"/>
    <s v="BLOOMBERG SOUTH BUILDING FIT-OUT PHASE 3 LONDON"/>
    <s v="00023612"/>
    <s v="Q - Product Damaged"/>
    <s v="Supplier"/>
    <s v="04/08/2025, 09:17"/>
    <s v="Special Projects"/>
    <x v="21"/>
    <s v="04/08/2025"/>
    <x v="30"/>
  </r>
  <r>
    <s v="SAS Special Projects"/>
    <s v="William McCartney"/>
    <s v="KINGS CROSS CENTRAL GOOGLE HQ KGX1 CAT A LONDON"/>
    <s v="00023623"/>
    <s v="Q - Product is delaminated"/>
    <s v="Assembly"/>
    <s v="05/08/2025, 10:22"/>
    <s v="Special Projects"/>
    <x v="3"/>
    <s v="05/08/2025"/>
    <x v="30"/>
  </r>
  <r>
    <s v="iBuild Interior Services  Ltd"/>
    <s v="Danny Oxby"/>
    <s v="ST GEORGES HOSPITAL REFURB LONDON"/>
    <s v="00023614"/>
    <s v="S - Incorrectly Ordered"/>
    <s v="Salesforce"/>
    <s v="04/08/2025, 09:33"/>
    <s v="UK"/>
    <x v="0"/>
    <s v="04/08/2025"/>
    <x v="30"/>
  </r>
  <r>
    <s v="Rose Builders Ltd"/>
    <s v="Kelvin Hibble"/>
    <s v="TURING COURT NO 1 CARECO HQ BRAINTREE"/>
    <s v="00023616"/>
    <s v="Q - Incorrect Configuration"/>
    <s v="Salesforce"/>
    <s v="04/08/2025, 11:38"/>
    <s v="UK"/>
    <x v="0"/>
    <s v="04/08/2025"/>
    <x v="30"/>
  </r>
  <r>
    <s v="CCF East London"/>
    <s v="Natasha Lee"/>
    <s v="TORRENS STREET NO 1 ANGEL SQUARE LONDON"/>
    <s v="00023621"/>
    <s v="Q â€“ Missing Item"/>
    <s v="Transport"/>
    <s v="04/08/2025, 16:36"/>
    <s v="UK"/>
    <x v="4"/>
    <s v="04/08/2025"/>
    <x v="30"/>
  </r>
  <r>
    <s v="Henly Projects Ltd"/>
    <s v="Sujan Kaleendrarajan"/>
    <s v="PADDINGTON CENTRAL KINGDOM ST NO 1 FLRS 1,6,8 EQUINOR LONDON"/>
    <s v="00023625"/>
    <s v="C - Customer Fault"/>
    <s v="Customer"/>
    <s v="05/08/2025, 11:17"/>
    <s v="UK"/>
    <x v="8"/>
    <s v="05/08/2025"/>
    <x v="30"/>
  </r>
  <r>
    <s v="SIG Insulation Ltd (Southampton)"/>
    <s v="Kay Lakin"/>
    <s v="BOURNEMOUTH AIRPORT EXPANSION"/>
    <s v="00023631"/>
    <s v="N - Not a valid complaint"/>
    <s v="Customer"/>
    <s v="06/08/2025, 09:02"/>
    <s v="UK"/>
    <x v="8"/>
    <s v="06/08/2025"/>
    <x v="30"/>
  </r>
  <r>
    <s v="Andhouse Ceilings &amp; Partitions Ltd"/>
    <s v="Nick Moore"/>
    <s v="NEW STREET SQUARE NO 5 CAT B STEWARTS LAW LONDON"/>
    <s v="00023640"/>
    <s v="Q - Product Finish Issue - Aesthetics"/>
    <s v="Supplier"/>
    <s v="07/08/2025, 13:15"/>
    <s v="UK"/>
    <x v="21"/>
    <s v="07/08/2025"/>
    <x v="30"/>
  </r>
  <r>
    <s v="Niblock Building Contractors"/>
    <s v="Stuart Gibson"/>
    <s v="IMO BUILDING ALBERT EMBANKMENT NO 4 REFURB LONDON"/>
    <s v="00023644"/>
    <s v="S - Incorrectly Ordered"/>
    <s v="Salesforce"/>
    <s v="07/08/2025, 15:13"/>
    <s v="UK"/>
    <x v="0"/>
    <s v="07/08/2025"/>
    <x v="30"/>
  </r>
  <r>
    <s v="Lightweight Drywall Ltd"/>
    <s v="James McGregor"/>
    <s v="WELLS STREET NO 80 WELLS HOUSE THE RIBBON MTNG ROOMS / BSMNT"/>
    <s v="00023651"/>
    <s v="S - Late delivery"/>
    <s v="Transport"/>
    <s v="08/08/2025, 09:22"/>
    <s v="UK"/>
    <x v="4"/>
    <s v="08/08/2025"/>
    <x v="30"/>
  </r>
  <r>
    <s v="Cannock Ceilings Insulation &amp; Drywall Limited"/>
    <s v="Christopher Whitehouse"/>
    <s v="MORRISONS MISC 2025"/>
    <s v="00023653"/>
    <s v="S - Transit damage"/>
    <s v="External Courier"/>
    <s v="08/08/2025, 09:29"/>
    <s v="UK"/>
    <x v="10"/>
    <s v="08/08/2025"/>
    <x v="30"/>
  </r>
  <r>
    <s v="Flynn Interiors Ltd"/>
    <s v="Laura Hawkins"/>
    <s v="HWE HUB BUILDING 7 ADITIONALS WATFORD"/>
    <s v="00023656"/>
    <s v="S - Sales order processing error"/>
    <s v="UK SOP"/>
    <s v="08/08/2025, 09:49"/>
    <s v="UK"/>
    <x v="5"/>
    <s v="08/08/2025"/>
    <x v="30"/>
  </r>
  <r>
    <s v="SAS International Inc"/>
    <s v="Sabryn Robledo"/>
    <s v="5TH AVENUE NO 645 FLOOR 21 ROKOS CAPITAL NYC"/>
    <s v="00023619"/>
    <s v="Q - Product manufactured incorrectly"/>
    <s v="Product Design"/>
    <s v="04/08/2025, 15:56"/>
    <s v="USA"/>
    <x v="7"/>
    <s v="04/08/2025"/>
    <x v="30"/>
  </r>
  <r>
    <s v="SAS International Inc"/>
    <s v="Charlotte Morgan"/>
    <s v="GEORGE W BUSH INTL AIRPORT IAH-PROCESSOR MOCK-UPS"/>
    <s v="00023647"/>
    <s v="Q - Product Damaged"/>
    <s v="Scheduling"/>
    <s v="07/08/2025, 16:09"/>
    <s v="USA"/>
    <x v="19"/>
    <s v="07/08/2025"/>
    <x v="30"/>
  </r>
  <r>
    <s v="SAS International Australia"/>
    <s v="Kate Cogswell"/>
    <s v="SYDNEY FISH MARKET"/>
    <s v="00023690"/>
    <s v="Q - Product Damaged"/>
    <s v="Multi Dept"/>
    <s v="15/08/2025, 10:05"/>
    <s v="Australia"/>
    <x v="19"/>
    <s v="15/08/2025"/>
    <x v="31"/>
  </r>
  <r>
    <s v="SAS International Dubai"/>
    <s v="Salish Sadasivan"/>
    <s v="SAS DUBAI STOCK ORDER"/>
    <s v="00023696"/>
    <s v="S - Late delivery"/>
    <s v="Warehouse"/>
    <s v="15/08/2025, 15:02"/>
    <s v="Middle East"/>
    <x v="6"/>
    <s v="15/08/2025"/>
    <x v="31"/>
  </r>
  <r>
    <s v="Neu Stern Project"/>
    <s v="Itzik Stern"/>
    <s v="AMI ACADEMY HOD HASHARON"/>
    <s v="00023692"/>
    <s v="S - Billing Error"/>
    <s v="Transport"/>
    <s v="15/08/2025, 14:37"/>
    <s v="Rest of the World"/>
    <x v="4"/>
    <s v="15/08/2025"/>
    <x v="31"/>
  </r>
  <r>
    <s v="SAS Special Projects"/>
    <s v="Marcin Borzecki"/>
    <s v="BLOOMBERG SOUTH BUILDING FIT-OUT PHASE 3 LONDON"/>
    <s v="00023669"/>
    <s v="C - Customer Dispute"/>
    <s v="Customer"/>
    <s v="12/08/2025, 09:11"/>
    <s v="Special Projects"/>
    <x v="8"/>
    <s v="12/08/2025"/>
    <x v="31"/>
  </r>
  <r>
    <s v="SAS Special Projects"/>
    <s v="Chris Ellingham"/>
    <s v="BLOOMBERG SOUTH BUILDING FIT-OUT PHASE 3 LONDON"/>
    <s v="00023694"/>
    <s v="Q - Product Dimension Error"/>
    <s v="Supplier"/>
    <s v="15/08/2025, 14:46"/>
    <s v="Special Projects"/>
    <x v="21"/>
    <s v="15/08/2025"/>
    <x v="31"/>
  </r>
  <r>
    <s v="SIG Insulation Ltd (Southampton)"/>
    <s v="Kay Lakin"/>
    <s v="BOURNEMOUTH AIRPORT EXPANSION"/>
    <s v="00023664"/>
    <s v="S - Sales order processing error"/>
    <s v="UK SOP"/>
    <s v="12/08/2025, 08:19"/>
    <s v="UK"/>
    <x v="5"/>
    <s v="12/08/2025"/>
    <x v="31"/>
  </r>
  <r>
    <s v="Wates Construction (Head Office - Leatherhead)"/>
    <s v="Becky Wooff"/>
    <s v="LLOYDS GROUP HQ REFURB TRINITY ROAD HALIFAX"/>
    <s v="00023667"/>
    <s v="Q - Product Identification Error"/>
    <s v="Salesforce"/>
    <s v="12/08/2025, 09:10"/>
    <s v="UK"/>
    <x v="0"/>
    <s v="12/08/2025"/>
    <x v="31"/>
  </r>
  <r>
    <s v="T &amp; S Acoustic Contracts Ltd"/>
    <s v="Steve Harvey"/>
    <s v="MERCHANT SQUARE NO 5 CAT A REFURB PADDINGTON LONDON"/>
    <s v="00023676"/>
    <s v="Q - Product Dimension Error"/>
    <s v="Salesforce"/>
    <s v="12/08/2025, 13:23"/>
    <s v="UK"/>
    <x v="0"/>
    <s v="12/08/2025"/>
    <x v="31"/>
  </r>
  <r>
    <s v="Fairway Interiors Ltd"/>
    <s v="Quin Neethling"/>
    <s v="KELVIN ENERGY RECOVERY FACILITY WEST BROMWICH"/>
    <s v="00023681"/>
    <s v="Q - Product Finish Issue - Aesthetics"/>
    <s v="Production"/>
    <s v="13/08/2025, 10:12"/>
    <s v="UK"/>
    <x v="19"/>
    <s v="13/08/2025"/>
    <x v="31"/>
  </r>
  <r>
    <s v="Rubix Interiors Limited"/>
    <s v="Chris Hurst"/>
    <s v="WOOD STREET NO 125 FLOOR 4 &amp; 7 CAT A REFURB LONDON"/>
    <s v="00023683"/>
    <s v="O - Other"/>
    <s v="Salesforce"/>
    <s v="13/08/2025, 12:37"/>
    <s v="UK"/>
    <x v="0"/>
    <s v="13/08/2025"/>
    <x v="31"/>
  </r>
  <r>
    <s v="SAS International France"/>
    <s v="Marielle Mouyon"/>
    <s v="HOLDING SAINT MICHEL PARIS"/>
    <s v="00023715"/>
    <s v="Q - Product packaging issue"/>
    <s v="Scheduling"/>
    <s v="20/08/2025, 11:08"/>
    <s v="France"/>
    <x v="19"/>
    <s v="20/08/2025"/>
    <x v="32"/>
  </r>
  <r>
    <s v="SAS International Dublin"/>
    <s v="Chris Carey"/>
    <s v="PM GROUP OFFICE FITOUT KEARNEY HOUSE DUBLIN LIGHTING"/>
    <s v="00023719"/>
    <s v="Q - Product manufactured incorrectly"/>
    <s v="Product Design"/>
    <s v="20/08/2025, 13:25"/>
    <s v="Ireland"/>
    <x v="7"/>
    <s v="20/08/2025"/>
    <x v="32"/>
  </r>
  <r>
    <s v="James &amp; Son Ltd"/>
    <s v="James Ridpath"/>
    <s v="MILLBANK NO 7 WESTMINSTER HOUSE THE SMITH LONDON"/>
    <s v="00023702"/>
    <s v="S - Incorrectly Ordered"/>
    <s v="UK SOP"/>
    <s v="18/08/2025, 15:32"/>
    <s v="UK"/>
    <x v="5"/>
    <s v="18/08/2025"/>
    <x v="32"/>
  </r>
  <r>
    <s v="MCS Partitioning &amp; Drylining Ltd"/>
    <s v="Paul Johnson"/>
    <s v="MORRISONS MISC 2025"/>
    <s v="00023713"/>
    <s v="S - Sales order processing error"/>
    <s v="UK SOP"/>
    <s v="20/08/2025, 11:00"/>
    <s v="UK"/>
    <x v="5"/>
    <s v="20/08/2025"/>
    <x v="32"/>
  </r>
  <r>
    <s v="System Project Solutions Ltd"/>
    <s v="Sam Sculley"/>
    <s v="EURSHELL MISC TILE &amp; GRID 2025"/>
    <s v="00023717"/>
    <s v="C - Customer Fault"/>
    <s v="Customer"/>
    <s v="20/08/2025, 11:58"/>
    <s v="UK"/>
    <x v="8"/>
    <s v="20/08/2025"/>
    <x v="32"/>
  </r>
  <r>
    <s v="NAB Contractor"/>
    <s v="Marius Rotaru"/>
    <s v="TAILWATER CAPITAL TI DALLAS TX"/>
    <s v="00023721"/>
    <s v="Q - Product Finish Issue - Aesthetics"/>
    <s v="Paintline"/>
    <s v="20/08/2025, 13:44"/>
    <s v="USA"/>
    <x v="11"/>
    <s v="20/08/2025"/>
    <x v="32"/>
  </r>
  <r>
    <s v="Roskel Contracts Glasgow Ltd"/>
    <s v="Lina N - Wells"/>
    <s v="WOOLWICH LEISURE CENTRE PHASE 1 TRAMSHED THEATRE LONDON"/>
    <s v="00023745"/>
    <s v="S - Incorrectly Ordered"/>
    <s v="UK SOP"/>
    <s v="26/08/2025, 09:43"/>
    <s v="UK"/>
    <x v="5"/>
    <s v="26/08/2025"/>
    <x v="33"/>
  </r>
  <r>
    <s v="Project Bespoke Limited"/>
    <s v="Catalin Moglan"/>
    <s v="PREMIER PARK UNIT 7 PARK ROYAL LONDON"/>
    <s v="00023756"/>
    <s v="C - Customer Fault"/>
    <s v="Customer"/>
    <s v="27/08/2025, 09:38"/>
    <s v="UK"/>
    <x v="8"/>
    <s v="27/08/2025"/>
    <x v="33"/>
  </r>
  <r>
    <s v="R &amp; J Keen Interiors"/>
    <s v="Robin Keen"/>
    <s v="ONE LUDLOW OFFICE SUITE 2 MAIDENHEAD LIGHTING"/>
    <s v="00023760"/>
    <s v="S - Sales order processing error"/>
    <s v="UK SOP"/>
    <s v="27/08/2025, 13:09"/>
    <s v="UK"/>
    <x v="5"/>
    <s v="27/08/2025"/>
    <x v="33"/>
  </r>
  <r>
    <s v="New Forest Ceilings Ltd"/>
    <s v="Nadia Assheton-Smith"/>
    <s v="SUSSEX UNIVERSITY ARUNDEL BUILDING FLR 3 ROOM 301 REFURB"/>
    <s v="00023762"/>
    <s v="S - Sales order processing error"/>
    <s v="UK SOP"/>
    <s v="27/08/2025, 15:04"/>
    <s v="UK"/>
    <x v="5"/>
    <s v="27/08/2025"/>
    <x v="33"/>
  </r>
  <r>
    <s v="Wates Construction (Head Office - Leatherhead)"/>
    <s v="Becky Wooff"/>
    <s v="LLOYDS GROUP HQ REFURB TRINITY ROAD HALIFAX"/>
    <s v="00023766"/>
    <s v="N - Not a valid complaint"/>
    <s v="Transport"/>
    <s v="28/08/2025, 10:32"/>
    <s v="UK"/>
    <x v="4"/>
    <s v="28/08/2025"/>
    <x v="33"/>
  </r>
  <r>
    <s v="T &amp; S Acoustic Contracts Ltd"/>
    <s v="Steve Harvey"/>
    <s v="MERCHANT SQUARE NO 5 CAT A REFURB PADDINGTON LONDON"/>
    <s v="00023768"/>
    <s v="Q - Product Dimension Error"/>
    <s v="Salesforce"/>
    <s v="28/08/2025, 11:40"/>
    <s v="UK"/>
    <x v="0"/>
    <s v="28/08/2025"/>
    <x v="33"/>
  </r>
  <r>
    <s v="Middlesex  Ltd"/>
    <s v="Matthew Onyskiw"/>
    <s v="PORTLAND HOUSE BRESSENDEN PLACE MYO FIT OUT LONDON"/>
    <s v="00023774"/>
    <s v="Q - Product packaging issue"/>
    <s v="UK SOP"/>
    <s v="28/08/2025, 14:17"/>
    <s v="UK"/>
    <x v="5"/>
    <s v="28/08/2025"/>
    <x v="33"/>
  </r>
  <r>
    <s v="MGF Interiors Limited"/>
    <s v="Daniel Lewis"/>
    <s v="WILTON ROAD NO 129 CAT A FLOORS 1-5 LONDON"/>
    <s v="00023777"/>
    <s v="C - Customer Dispute"/>
    <s v="Production"/>
    <s v="28/08/2025, 14:49"/>
    <s v="UK"/>
    <x v="19"/>
    <s v="28/08/2025"/>
    <x v="33"/>
  </r>
  <r>
    <s v="SAS International Inc"/>
    <s v="Sabryn Robledo"/>
    <s v="5TH AVENUE NO 645 FLOOR 21 ROKOS CAPITAL NYC"/>
    <s v="00023743"/>
    <s v="Q - Product packaging issue"/>
    <s v="Production"/>
    <s v="26/08/2025, 09:07"/>
    <s v="USA"/>
    <x v="19"/>
    <s v="26/08/2025"/>
    <x v="33"/>
  </r>
  <r>
    <s v="Building Materials Nationwide Ltd"/>
    <s v="Matt Day"/>
    <s v="CHRIS EDGE NORTH MISC PROJECTS 2025"/>
    <s v="00023790"/>
    <s v="S - Late delivery"/>
    <s v="Transport"/>
    <s v="03/09/2025, 09:16"/>
    <s v="UK"/>
    <x v="4"/>
    <s v="03/09/2025"/>
    <x v="34"/>
  </r>
  <r>
    <s v="Linear Projects Ltd"/>
    <s v="Aidan McLaughlin"/>
    <s v="DUNFERMLINE LEARNING CAMPUS FIFE COLLEGE"/>
    <s v="00023794"/>
    <s v="Q - Picking Error"/>
    <s v="Production"/>
    <s v="03/09/2025, 11:36"/>
    <s v="UK"/>
    <x v="19"/>
    <s v="03/09/2025"/>
    <x v="34"/>
  </r>
  <r>
    <s v="CCF Avon"/>
    <s v="James Jones"/>
    <s v="AMAZON SWANSEA"/>
    <s v="00023796"/>
    <s v="S - Sales order processing error"/>
    <s v="UK SOP"/>
    <s v="03/09/2025, 12:11"/>
    <s v="UK"/>
    <x v="5"/>
    <s v="03/09/2025"/>
    <x v="34"/>
  </r>
  <r>
    <s v="Level Best Solutions Ltd"/>
    <s v="Simon Ashworth"/>
    <s v="SAVILE ROW NO 23 ROKOS FLR 2-3 LONDON"/>
    <s v="00023800"/>
    <s v="Q â€“ Missing Item"/>
    <s v="Production"/>
    <s v="03/09/2025, 12:50"/>
    <s v="UK"/>
    <x v="19"/>
    <s v="03/09/2025"/>
    <x v="34"/>
  </r>
  <r>
    <s v="Rapidfix Ceilings &amp; Partitions Limited"/>
    <s v="Paul Oaten"/>
    <s v="MANCHESTER SCIENCE PARK GREENHEYS FABRIC PROJECT"/>
    <s v="00023802"/>
    <s v="Q â€“ Missing Item"/>
    <s v="Warehouse"/>
    <s v="03/09/2025, 13:08"/>
    <s v="UK"/>
    <x v="6"/>
    <s v="03/09/2025"/>
    <x v="34"/>
  </r>
  <r>
    <s v="Fulserve Ltd"/>
    <s v="Paul James Dengate"/>
    <s v="UNI OF SOUTHAMPTON B32 LABORATORY REFURB"/>
    <s v="00023804"/>
    <s v="S - Incorrectly Ordered"/>
    <s v="UK SOP"/>
    <s v="03/09/2025, 14:04"/>
    <s v="UK"/>
    <x v="5"/>
    <s v="03/09/2025"/>
    <x v="34"/>
  </r>
  <r>
    <s v="T Clarke Plc"/>
    <s v="Kai Geere"/>
    <s v="ALDERMANBURY SQUARE NO 2 BASINGHALL ST LIGHTING LONDON"/>
    <s v="00023807"/>
    <s v="N - Not a valid complaint"/>
    <s v="Customer"/>
    <s v="03/09/2025, 14:55"/>
    <s v="UK"/>
    <x v="8"/>
    <s v="03/09/2025"/>
    <x v="34"/>
  </r>
  <r>
    <s v="ACE Partitions &amp; Ceilings Limited"/>
    <s v="Joe Faulkner"/>
    <s v="UNI OF WARWICK CLAYCROFT HALLS OF RESIDENCE"/>
    <s v="00023813"/>
    <s v="N - Not a valid complaint"/>
    <s v="Customer"/>
    <s v="04/09/2025, 15:18"/>
    <s v="UK"/>
    <x v="8"/>
    <s v="04/09/2025"/>
    <x v="34"/>
  </r>
  <r>
    <s v="AC1 Construction Ltd"/>
    <s v="Gabriela Ciubotariu"/>
    <s v="HARWELL SCIENCE PARK QUAD 3 OFFICES DIDCOT"/>
    <s v="00023816"/>
    <s v="S - Late delivery"/>
    <s v="Production"/>
    <s v="05/09/2025, 09:15"/>
    <s v="UK"/>
    <x v="19"/>
    <s v="05/09/2025"/>
    <x v="34"/>
  </r>
  <r>
    <s v="Orange Projects Ltd"/>
    <s v="Phil Church"/>
    <s v="THE SHARD LEVEL 9 REFURB LONDON"/>
    <s v="00023818"/>
    <s v="Q - Product manufactured incorrectly"/>
    <s v="Production"/>
    <s v="05/09/2025, 09:49"/>
    <s v="UK"/>
    <x v="19"/>
    <s v="05/09/2025"/>
    <x v="34"/>
  </r>
  <r>
    <s v="Middlesex  Ltd"/>
    <s v="Matthew Onyskiw"/>
    <s v="PORTLAND HOUSE BRESSENDEN PLACE MYO FIT OUT LONDON"/>
    <s v="00023820"/>
    <s v="Q - Product Damaged"/>
    <s v="Production"/>
    <s v="05/09/2025, 15:04"/>
    <s v="UK"/>
    <x v="19"/>
    <s v="05/09/2025"/>
    <x v="34"/>
  </r>
  <r>
    <s v="INSTALL S COOP"/>
    <s v="Jon Blanco"/>
    <s v="MUSEO BELLAS ARTES BILBAO"/>
    <s v="00023828"/>
    <s v="Q - Drawing Error"/>
    <s v="Product Design/Engineering"/>
    <s v="08/09/2025, 15:28"/>
    <s v="Rest of the World"/>
    <x v="7"/>
    <s v="08/09/2025"/>
    <x v="35"/>
  </r>
  <r>
    <s v="SAS Special Projects"/>
    <s v="Chris Ellingham"/>
    <s v="HS2 OLD OAK COMMON STATION SERVICE BOOMS"/>
    <s v="00023837"/>
    <s v="Q - Product Finish Issue - Aesthetics"/>
    <s v="Production"/>
    <s v="09/09/2025, 10:10"/>
    <s v="Special Projects"/>
    <x v="19"/>
    <s v="09/09/2025"/>
    <x v="35"/>
  </r>
  <r>
    <s v="SAS Special Projects"/>
    <s v="Matthew Gillas"/>
    <s v="BLOOMBERG SOUTH BUILDING FIT-OUT PHASE 3 LONDON"/>
    <s v="00023859"/>
    <s v="Q - Product is Deformed"/>
    <s v="Customer"/>
    <s v="11/09/2025, 15:45"/>
    <s v="Special Projects"/>
    <x v="8"/>
    <s v="11/09/2025"/>
    <x v="35"/>
  </r>
  <r>
    <s v="Completely Interiors Southern Ltd"/>
    <s v="Andy Chapman"/>
    <s v="LONDON MISC 2025"/>
    <s v="00023822"/>
    <s v="S - Product specification error"/>
    <s v="Estimating"/>
    <s v="08/09/2025, 10:33"/>
    <s v="UK"/>
    <x v="16"/>
    <s v="08/09/2025"/>
    <x v="35"/>
  </r>
  <r>
    <s v="CCF Nottingham"/>
    <s v="Lee Smith"/>
    <s v="NORTH MISC 2025 DAVID BAYLIS"/>
    <s v="00023826"/>
    <s v="S - Incorrectly Ordered"/>
    <s v="UK SOP"/>
    <s v="08/09/2025, 13:08"/>
    <s v="UK"/>
    <x v="5"/>
    <s v="08/09/2025"/>
    <x v="35"/>
  </r>
  <r>
    <s v="F. Brown (Scotland) Plc"/>
    <s v="Billy McDonald"/>
    <s v="CADWORKS FLOOR 7 FIT OUT GLASGOW"/>
    <s v="00023835"/>
    <s v="Q - Product Damaged"/>
    <s v="Customer"/>
    <s v="09/09/2025, 09:15"/>
    <s v="UK"/>
    <x v="8"/>
    <s v="09/09/2025"/>
    <x v="35"/>
  </r>
  <r>
    <s v="Fairway Interiors Ltd"/>
    <s v="Quin Neethling"/>
    <s v="KELVIN ENERGY RECOVERY FACILITY WEST BROMWICH"/>
    <s v="00023839"/>
    <s v="S - Transit damage"/>
    <s v="External Courier"/>
    <s v="09/09/2025, 11:43"/>
    <s v="UK"/>
    <x v="10"/>
    <s v="09/09/2025"/>
    <x v="35"/>
  </r>
  <r>
    <s v="D3 Interiors"/>
    <s v="Andy Ratcliffe"/>
    <s v="ST GEORGE STREET NO 14 CAT A FLOOR 2 LONDON"/>
    <s v="00023841"/>
    <s v="C - Customer Return"/>
    <s v="Customer"/>
    <s v="09/09/2025, 12:19"/>
    <s v="UK"/>
    <x v="8"/>
    <s v="09/09/2025"/>
    <x v="35"/>
  </r>
  <r>
    <s v="Contract Interior Solutions Limited"/>
    <s v="Josh Watling"/>
    <s v="JACK TURNBULL MISC TILE &amp; GRID 2025"/>
    <s v="00023845"/>
    <s v="C - Customer Fault"/>
    <s v="Customer"/>
    <s v="09/09/2025, 14:09"/>
    <s v="UK"/>
    <x v="8"/>
    <s v="09/09/2025"/>
    <x v="35"/>
  </r>
  <r>
    <s v="GPL Projects Ltd"/>
    <s v="Graham Lupton"/>
    <s v="CANARY WHARF BANK STREET NO 12 LONDON"/>
    <s v="00023847"/>
    <s v="S - Product specification error"/>
    <s v="Salesforce"/>
    <s v="09/09/2025, 14:28"/>
    <s v="UK"/>
    <x v="0"/>
    <s v="09/09/2025"/>
    <x v="35"/>
  </r>
  <r>
    <s v="PNC Shopfitters"/>
    <s v="Breeda O'Brien"/>
    <s v="KFC MISC 2025"/>
    <s v="00023865"/>
    <s v="S - Incorrect delivery documentation"/>
    <s v="UK SOP"/>
    <s v="15/09/2025, 11:53"/>
    <s v="UK"/>
    <x v="5"/>
    <s v="15/09/2025"/>
    <x v="36"/>
  </r>
  <r>
    <s v="Cast Interiors Fit Out Limited"/>
    <s v="Claire O'Malley"/>
    <s v="BISHOPSGATE NO 8 FLOOR 33 STANHOPE FITOUT LONDON"/>
    <s v="00023873"/>
    <s v="Q - Product Damaged"/>
    <s v="Supplier"/>
    <s v="15/09/2025, 16:58"/>
    <s v="UK"/>
    <x v="21"/>
    <s v="15/09/2025"/>
    <x v="36"/>
  </r>
  <r>
    <s v="Interior Impressions Ltd"/>
    <s v="John Homes"/>
    <s v="RIVER LABS 2A REFURB WARE"/>
    <s v="00023875"/>
    <s v="Q - Product Damaged"/>
    <s v="Transport"/>
    <s v="16/09/2025, 09:28"/>
    <s v="UK"/>
    <x v="4"/>
    <s v="16/09/2025"/>
    <x v="36"/>
  </r>
  <r>
    <s v="Integra Contracts Ltd"/>
    <s v="Scott Taylor"/>
    <s v="THE STAGE SHOREDITCH BARD &amp; HEWETT AMAZON FIT OUT LONDON"/>
    <s v="00023877"/>
    <s v="Q - Product packaging issue"/>
    <s v="Product Design/Engineering"/>
    <s v="16/09/2025, 09:52"/>
    <s v="UK"/>
    <x v="7"/>
    <s v="16/09/2025"/>
    <x v="36"/>
  </r>
  <r>
    <s v="Howe Ceilings &amp; Interiors Ltd"/>
    <s v="Ross Howe"/>
    <s v="BOTHWELL STREET NO 177 FLOOR 5 FIT OUT GLASGOW"/>
    <s v="00023879"/>
    <s v="Q - Product Dimension Error"/>
    <s v="Assembly Block 2"/>
    <s v="16/09/2025, 10:20"/>
    <s v="UK"/>
    <x v="12"/>
    <s v="16/09/2025"/>
    <x v="36"/>
  </r>
  <r>
    <s v="Workplace Interiors Company Cheltenham Ltd"/>
    <s v="Chloe Phillips"/>
    <s v="LIVINGSTONE BOULEVARD NO 1 GLASGOW"/>
    <s v="00023881"/>
    <s v="C - Customer Fault"/>
    <s v="Customer"/>
    <s v="16/09/2025, 10:29"/>
    <s v="UK"/>
    <x v="8"/>
    <s v="16/09/2025"/>
    <x v="36"/>
  </r>
  <r>
    <s v="Gridline Partitions Ltd"/>
    <s v="Darrell Lewis"/>
    <s v="CANARY WHARF WOOD WHARF WATER STREET NO 20 LONDON"/>
    <s v="00023893"/>
    <s v="Q - Incorrect Configuration"/>
    <s v="Estimating"/>
    <s v="17/09/2025, 13:55"/>
    <s v="UK"/>
    <x v="16"/>
    <s v="17/09/2025"/>
    <x v="36"/>
  </r>
  <r>
    <s v="Orange Projects Ltd"/>
    <s v="Joe Clifford"/>
    <s v="HERON TOWER NO 110 BISHOPSGATE TRADITION FLOORS 8-10 LONDON"/>
    <s v="00023900"/>
    <s v="Q â€“ Missing Item"/>
    <s v="Production"/>
    <s v="18/09/2025, 13:47"/>
    <s v="UK"/>
    <x v="19"/>
    <s v="18/09/2025"/>
    <x v="36"/>
  </r>
  <r>
    <s v="Encon Insulation Ltd (Corporate)"/>
    <s v="Brian Hall"/>
    <s v="NR EAST KILBRIDE &amp; HAIRMYRES STATIONS"/>
    <s v="00023902"/>
    <s v="S - Late delivery"/>
    <s v="Production"/>
    <s v="18/09/2025, 16:15"/>
    <s v="UK"/>
    <x v="19"/>
    <s v="18/09/2025"/>
    <x v="36"/>
  </r>
  <r>
    <s v="IDD Contracts Ltd"/>
    <s v="Howard Hainsworth"/>
    <s v="FENCHURCH STREET NO 50 MARKETING SUITE LONDON"/>
    <s v="00023904"/>
    <s v="Q - Product is Deformed"/>
    <s v="Production"/>
    <s v="19/09/2025, 09:05"/>
    <s v="UK"/>
    <x v="19"/>
    <s v="19/09/2025"/>
    <x v="36"/>
  </r>
  <r>
    <s v="LIGHTBOX TRADING COMPANY"/>
    <s v="Mohammed A. Baydoun"/>
    <s v="NDA - PWC LAYSEN VALLEY RIYADH OFFICE FIT OUT WALL PANELS"/>
    <s v="00023951"/>
    <s v="S - Transit damage"/>
    <s v="External Courier"/>
    <s v="25/09/2025, 15:44"/>
    <s v="Middle East"/>
    <x v="10"/>
    <s v="25/09/2025"/>
    <x v="37"/>
  </r>
  <r>
    <s v="SAS Special Projects"/>
    <s v="Chris Ellingham"/>
    <s v="BLOOMBERG SOUTH BUILDING FIT-OUT PHASE 3 LONDON"/>
    <s v="00023918"/>
    <s v="Q - Product manufactured incorrectly"/>
    <s v="Product Design"/>
    <s v="22/09/2025, 14:39"/>
    <s v="Special Projects"/>
    <x v="7"/>
    <s v="22/09/2025"/>
    <x v="37"/>
  </r>
  <r>
    <s v="SAS Special Projects"/>
    <s v="Matthew Gillas"/>
    <s v="BLOOMBERG SOUTH BUILDING FIT-OUT PHASE 3 LONDON"/>
    <s v="00023956"/>
    <s v="Q - Product is Deformed"/>
    <s v="Customer"/>
    <s v="26/09/2025, 09:30"/>
    <s v="Special Projects"/>
    <x v="8"/>
    <s v="26/09/2025"/>
    <x v="37"/>
  </r>
  <r>
    <s v="SAS Special Projects"/>
    <s v="Matthew Gillas"/>
    <s v="BLOOMBERG SOUTH BUILDING FIT-OUT PHASE 3 LONDON"/>
    <s v="00023964"/>
    <s v="Q - Product is Deformed"/>
    <s v="Assembly"/>
    <s v="26/09/2025, 14:57"/>
    <s v="Special Projects"/>
    <x v="3"/>
    <s v="26/09/2025"/>
    <x v="37"/>
  </r>
  <r>
    <s v="SCS Building Solutions Ltd"/>
    <s v="Oliver Dove"/>
    <s v="AIRE PARK FORMER TETLEY BREWERY LEEDS MU4A"/>
    <s v="00023916"/>
    <s v="Q - Product Damaged"/>
    <s v="Customer"/>
    <s v="22/09/2025, 14:14"/>
    <s v="UK"/>
    <x v="8"/>
    <s v="22/09/2025"/>
    <x v="37"/>
  </r>
  <r>
    <s v="Carter Ceilings Ltd"/>
    <s v="Gerard Murphy"/>
    <s v="WAVERLEY GATE FLR 2 REFURB EDINBURGH"/>
    <s v="00023922"/>
    <s v="S - Product specification error"/>
    <s v="Product Design"/>
    <s v="22/09/2025, 15:31"/>
    <s v="UK"/>
    <x v="7"/>
    <s v="22/09/2025"/>
    <x v="37"/>
  </r>
  <r>
    <s v="Level Best Solutions Ltd"/>
    <s v="Viktorija Podkolzina"/>
    <s v="KING WILLIAM STREET NO 45 REGIS HOUSE FLRS 1 &amp; 5-7 LONDON"/>
    <s v="00023925"/>
    <s v="S - Sales order processing error"/>
    <s v="UK SOP"/>
    <s v="23/09/2025, 09:00"/>
    <s v="UK"/>
    <x v="5"/>
    <s v="23/09/2025"/>
    <x v="37"/>
  </r>
  <r>
    <s v="Level Best Solutions Ltd"/>
    <s v="Sara Danzelman"/>
    <s v="EURSHELL MISC TILE &amp; GRID 2025"/>
    <s v="00023929"/>
    <s v="Q - Product Finish Issue - Aesthetics"/>
    <s v="Supplier"/>
    <s v="23/09/2025, 13:07"/>
    <s v="UK"/>
    <x v="21"/>
    <s v="23/09/2025"/>
    <x v="37"/>
  </r>
  <r>
    <s v="Contract Interior Solutions Limited"/>
    <s v="Ryan Marler"/>
    <s v="LONDON WALL PLACE NO 2 LEVEL 4 LOGITECH FIT OUT LONDON"/>
    <s v="00023933"/>
    <s v="S - Late delivery"/>
    <s v="UK SOP"/>
    <s v="23/09/2025, 15:30"/>
    <s v="UK"/>
    <x v="5"/>
    <s v="23/09/2025"/>
    <x v="37"/>
  </r>
  <r>
    <s v="D3 Interiors"/>
    <s v="Andy Ratcliffe"/>
    <s v="ST GEORGE STREET NO 14 CAT A FLOOR 2 LIGHTING LONDON"/>
    <s v="00023935"/>
    <s v="S - Incorrectly Ordered"/>
    <s v="Salesforce"/>
    <s v="23/09/2025, 16:21"/>
    <s v="UK"/>
    <x v="0"/>
    <s v="23/09/2025"/>
    <x v="37"/>
  </r>
  <r>
    <s v="D3 Interiors"/>
    <s v="Andy Ratcliffe"/>
    <s v="ST GEORGE STREET NO 14 CAT A FLOOR 2 LIGHTING LONDON"/>
    <s v="00023937"/>
    <s v="C - Customer Fault"/>
    <s v="Production"/>
    <s v="23/09/2025, 16:38"/>
    <s v="UK"/>
    <x v="19"/>
    <s v="23/09/2025"/>
    <x v="37"/>
  </r>
  <r>
    <s v="Cotter Technical Services Ltd"/>
    <s v="Tim Cotter"/>
    <s v="ELMFIELD ROAD NO 26 LOBBY AREA LIGHTING BROMLEY"/>
    <s v="00023940"/>
    <s v="Q â€“ Faulty Luminaire"/>
    <s v="Supplier"/>
    <s v="24/09/2025, 10:07"/>
    <s v="UK"/>
    <x v="21"/>
    <s v="24/09/2025"/>
    <x v="37"/>
  </r>
  <r>
    <s v="SAS Shop Cash Sales"/>
    <s v="Rodney Fitzgerald"/>
    <s v="SAS SHOP ORDERS"/>
    <s v="00023942"/>
    <s v="Q - Picking Error"/>
    <s v="Shop Floor"/>
    <s v="24/09/2025, 10:48"/>
    <s v="UK"/>
    <x v="1"/>
    <s v="24/09/2025"/>
    <x v="37"/>
  </r>
  <r>
    <s v="R &amp; J Keen Interiors"/>
    <s v="Robin Keen"/>
    <s v="ONE LUDLOW OFFICE SUITE 2 MAIDENHEAD"/>
    <s v="00023947"/>
    <s v="S - Incorrectly Ordered"/>
    <s v="Salesforce"/>
    <s v="25/09/2025, 12:55"/>
    <s v="UK"/>
    <x v="0"/>
    <s v="25/09/2025"/>
    <x v="37"/>
  </r>
  <r>
    <s v="Radius Construction Limited"/>
    <s v="Kevin Fatt"/>
    <s v="ONE STATION HILL PWC CAT B FITOUT READING"/>
    <s v="00023949"/>
    <s v="S - Product specification error"/>
    <s v="Estimating"/>
    <s v="25/09/2025, 14:04"/>
    <s v="UK"/>
    <x v="16"/>
    <s v="25/09/2025"/>
    <x v="37"/>
  </r>
  <r>
    <s v="Workplace Interiors Company Cheltenham Ltd"/>
    <s v="Masum Matin"/>
    <s v="PATERNOSTER SQUARE NO 1 GATELEY REFURB LONDON"/>
    <s v="00023959"/>
    <s v="S - Incorrectly Ordered"/>
    <s v="Fast Track"/>
    <s v="26/09/2025, 11:02"/>
    <s v="UK"/>
    <x v="13"/>
    <s v="26/09/2025"/>
    <x v="37"/>
  </r>
  <r>
    <s v="SAS Special Projects"/>
    <s v="Doug Hickey"/>
    <s v="HOBBY AIRPORT CENTRAL TERMINAL/ BAGGAGE CLAIM"/>
    <s v="00023910"/>
    <s v="Q - Product manufactured incorrectly"/>
    <s v="RDG â€“ Design"/>
    <s v="22/09/2025, 10:20"/>
    <s v="USA"/>
    <x v="19"/>
    <s v="22/09/2025"/>
    <x v="37"/>
  </r>
  <r>
    <s v="SAS Special Projects"/>
    <s v="Doug Hickey"/>
    <s v="HOBBY AIRPORT CENTRAL TERMINAL/ BAGGAGE CLAIM"/>
    <s v="00023912"/>
    <s v="Q - Product manufactured incorrectly"/>
    <s v="RDG â€“ Design"/>
    <s v="22/09/2025, 10:22"/>
    <s v="USA"/>
    <x v="19"/>
    <s v="22/09/2025"/>
    <x v="37"/>
  </r>
  <r>
    <s v="SAS International Inc"/>
    <s v="Kelly Karakoutas"/>
    <s v="5TH AVENUE NO 665 ROLEX HQ NEW YORK"/>
    <s v="00023961"/>
    <s v="Q - Product manufactured incorrectly"/>
    <s v="Production"/>
    <s v="26/09/2025, 12:48"/>
    <s v="USA"/>
    <x v="19"/>
    <s v="26/09/2025"/>
    <x v="37"/>
  </r>
  <r>
    <s v="LIGHTBOX TRADING COMPANY"/>
    <s v="Mohammed A. Baydoun"/>
    <s v="NDA - PWC LAYSEN VALLEY RIYADH OFFICE FIT OUT WALL PANELS"/>
    <s v="00024006"/>
    <s v="Q - Incorrect Configuration"/>
    <s v="Product Design"/>
    <s v="02/10/2025, 09:14"/>
    <s v="Middle East"/>
    <x v="7"/>
    <s v="02/10/2025"/>
    <x v="38"/>
  </r>
  <r>
    <s v="SAS Special Projects"/>
    <s v="Marcin Borzecki"/>
    <s v="BLOOMBERG SOUTH BUILDING FIT-OUT PHASE 3 LONDON"/>
    <s v="00023973"/>
    <s v="Q - Product Damaged"/>
    <s v="Production"/>
    <s v="29/09/2025, 13:27"/>
    <s v="Special Projects"/>
    <x v="19"/>
    <s v="29/09/2025"/>
    <x v="38"/>
  </r>
  <r>
    <s v="SAS Special Projects"/>
    <s v="Matthew Gillas"/>
    <s v="BLOOMBERG SOUTH BUILDING FIT-OUT PHASE 3 LONDON"/>
    <s v="00023975"/>
    <s v="Q â€“ Missing Item"/>
    <s v="Production"/>
    <s v="29/09/2025, 13:47"/>
    <s v="Special Projects"/>
    <x v="19"/>
    <s v="29/09/2025"/>
    <x v="38"/>
  </r>
  <r>
    <s v="SAS Special Projects"/>
    <s v="Marcin Borzecki"/>
    <s v="BLOOMBERG SOUTH BUILDING FIT-OUT PHASE 3 LONDON"/>
    <s v="00023986"/>
    <s v="Q - Product Damaged"/>
    <s v="Production"/>
    <s v="30/09/2025, 14:23"/>
    <s v="Special Projects"/>
    <x v="19"/>
    <s v="30/09/2025"/>
    <x v="38"/>
  </r>
  <r>
    <s v="SAS Special Projects"/>
    <s v="Matthew Gillas"/>
    <s v="BLOOMBERG SOUTH BUILDING FIT-OUT PHASE 3 LONDON"/>
    <s v="00024015"/>
    <s v="Q - Product is Deformed"/>
    <s v="Production"/>
    <s v="03/10/2025, 14:39"/>
    <s v="Special Projects"/>
    <x v="19"/>
    <s v="03/10/2025"/>
    <x v="38"/>
  </r>
  <r>
    <s v="Estilo Interiors Ltd"/>
    <s v="Jack Cherrington"/>
    <s v="NEWATER HOUSE NEWHALL STREET FLOOR 2 BIRMINGHAM"/>
    <s v="00023967"/>
    <s v="S - Sales order processing error"/>
    <s v="UK SOP"/>
    <s v="29/09/2025, 11:47"/>
    <s v="UK"/>
    <x v="5"/>
    <s v="29/09/2025"/>
    <x v="38"/>
  </r>
  <r>
    <s v="Profixed Interiors Ltd"/>
    <s v="Simon Beasley"/>
    <s v="LONDON MISC 2025"/>
    <s v="00023969"/>
    <s v="C - Customer Return"/>
    <s v="Customer"/>
    <s v="29/09/2025, 11:56"/>
    <s v="UK"/>
    <x v="8"/>
    <s v="29/09/2025"/>
    <x v="38"/>
  </r>
  <r>
    <s v="Carter Ceilings Ltd"/>
    <s v="Gerard Murphy"/>
    <s v="WAVERLEY GATE FLR 2 REFURB EDINBURGH"/>
    <s v="00023978"/>
    <s v="S - Late delivery"/>
    <s v="UK SOP"/>
    <s v="30/09/2025, 10:44"/>
    <s v="UK"/>
    <x v="5"/>
    <s v="30/09/2025"/>
    <x v="38"/>
  </r>
  <r>
    <s v="R &amp; J Keen Interiors"/>
    <s v="Robin Keen"/>
    <s v="ONE LUDLOW OFFICE SUITE 2 MAIDENHEAD"/>
    <s v="00023981"/>
    <s v="Q - Product Damaged"/>
    <s v="Production"/>
    <s v="30/09/2025, 11:34"/>
    <s v="UK"/>
    <x v="19"/>
    <s v="30/09/2025"/>
    <x v="38"/>
  </r>
  <r>
    <s v="Travis Perkins Maidenhead"/>
    <s v="Lawrence Russell"/>
    <s v="ONE LUDLOW OFFICE SUITE 2 MAIDENHEAD LIGHTING"/>
    <s v="00023983"/>
    <s v="Q - Product Finish Issue - Aesthetics"/>
    <s v="Assembly"/>
    <s v="30/09/2025, 13:58"/>
    <s v="UK"/>
    <x v="3"/>
    <s v="30/09/2025"/>
    <x v="38"/>
  </r>
  <r>
    <s v="Integra Contracts Ltd"/>
    <s v="Steve Burlton"/>
    <s v="HEATHROW T5 WS2 WS3 TOILET CORES"/>
    <s v="00023991"/>
    <s v="Q - Product manufactured incorrectly"/>
    <s v="Product Design/Engineering"/>
    <s v="01/10/2025, 10:01"/>
    <s v="UK"/>
    <x v="7"/>
    <s v="01/10/2025"/>
    <x v="38"/>
  </r>
  <r>
    <s v="T Lott Ltd"/>
    <s v="Sue Cheesman"/>
    <s v="OSNEY POWER STATION SAID BUSINESS SCHOOL OXFORD"/>
    <s v="00023993"/>
    <s v="C - Customer Fault"/>
    <s v="Customer"/>
    <s v="01/10/2025, 10:27"/>
    <s v="UK"/>
    <x v="8"/>
    <s v="01/10/2025"/>
    <x v="38"/>
  </r>
  <r>
    <s v="Generation 3 Interiors Ltd"/>
    <s v="John Wilson"/>
    <s v="CHEAPSIDE NO 100 CAT B CRAVAITH SWAINE &amp; MOORE LONDON"/>
    <s v="00023998"/>
    <s v="S - Sales order processing error"/>
    <s v="UK SOP"/>
    <s v="01/10/2025, 13:40"/>
    <s v="UK"/>
    <x v="5"/>
    <s v="01/10/2025"/>
    <x v="38"/>
  </r>
  <r>
    <s v="Moyne London Ltd"/>
    <s v="Paul Cawe"/>
    <s v="MERCHANT SQUARE NO 5 CAT A REFURB LIGHTING LONDON"/>
    <s v="00024002"/>
    <s v="Q â€“ Missing Item"/>
    <s v="Salesforce"/>
    <s v="01/10/2025, 14:55"/>
    <s v="UK"/>
    <x v="0"/>
    <s v="01/10/2025"/>
    <x v="38"/>
  </r>
  <r>
    <s v="Armstrong Interiors Ltd"/>
    <s v="Scott Emmott"/>
    <s v="MANCHESTER AIRPORT T1 STAFF CHANNEL"/>
    <s v="00024008"/>
    <s v="S - Sales order processing error"/>
    <s v="UK SOP"/>
    <s v="02/10/2025, 15:13"/>
    <s v="UK"/>
    <x v="5"/>
    <s v="02/10/2025"/>
    <x v="38"/>
  </r>
  <r>
    <s v="IDD Contracts Ltd"/>
    <s v="Paul Morgan"/>
    <s v="BISHOPSGATE NO 199 CAT B FLOOR 10 DORSEY &amp; WHITNEY LONDON"/>
    <s v="00024013"/>
    <s v="Q - Product manufactured incorrectly"/>
    <s v="Product Design"/>
    <s v="03/10/2025, 13:27"/>
    <s v="UK"/>
    <x v="7"/>
    <s v="03/10/2025"/>
    <x v="38"/>
  </r>
  <r>
    <s v="SAS International Inc"/>
    <s v="Kelly Karakoutas"/>
    <s v="5TH AVENUE NO 665 ROLEX HQ NEW YORK"/>
    <s v="00023971"/>
    <s v="Q â€“ Missing Item"/>
    <s v="Transport"/>
    <s v="29/09/2025, 13:03"/>
    <s v="USA"/>
    <x v="4"/>
    <s v="29/09/2025"/>
    <x v="38"/>
  </r>
  <r>
    <s v="SAS Special Projects"/>
    <s v="Doug Hickey"/>
    <s v="HOBBY AIRPORT CENTRAL TERMINAL/ BAGGAGE CLAIM"/>
    <s v="00023996"/>
    <s v="Q - Product manufactured incorrectly"/>
    <s v="Production"/>
    <s v="01/10/2025, 11:15"/>
    <s v="USA"/>
    <x v="19"/>
    <s v="01/10/2025"/>
    <x v="38"/>
  </r>
  <r>
    <m/>
    <m/>
    <m/>
    <m/>
    <m/>
    <m/>
    <m/>
    <m/>
    <x v="23"/>
    <m/>
    <x v="3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2">
  <r>
    <s v="ORT-0000010139"/>
    <s v="C000416282"/>
    <s v="COPTHALL BRIDGE HOUSE HARROGATE"/>
    <n v="0"/>
    <n v="1"/>
    <d v="2025-01-06T00:00:00"/>
    <x v="0"/>
  </r>
  <r>
    <s v="ORT-0000010140"/>
    <s v="C000416283"/>
    <s v="SOUTH LONDON &amp; MAUDSLEY HOSPITAL CYP HOUSE LONDON"/>
    <n v="0"/>
    <n v="1"/>
    <d v="2025-01-06T00:00:00"/>
    <x v="0"/>
  </r>
  <r>
    <s v="ORT-0000010141"/>
    <s v="C000416284"/>
    <s v="LEADENHALL STREET NO 40 KIRKLAND &amp; ELLIS FLRS 15-34 LONDON"/>
    <n v="0"/>
    <n v="1"/>
    <d v="2025-01-06T00:00:00"/>
    <x v="0"/>
  </r>
  <r>
    <s v="ORT-0000010142"/>
    <s v="C000416285"/>
    <s v="MISC TILE &amp; GRID PROJECTS"/>
    <n v="0"/>
    <n v="1"/>
    <d v="2025-01-06T00:00:00"/>
    <x v="0"/>
  </r>
  <r>
    <s v="ORT-0000010143"/>
    <s v="C000416286"/>
    <s v="GROSVENOR SQUARE NO 30 ROSEWOOD HOTEL LONDON"/>
    <n v="0"/>
    <n v="1"/>
    <d v="2025-01-06T00:00:00"/>
    <x v="0"/>
  </r>
  <r>
    <s v="ORT-0000010144"/>
    <s v="C000416287"/>
    <s v="MANCHESTER AIRPORT T2 EAST WING NEW DEVELOPMENT"/>
    <n v="0"/>
    <n v="1"/>
    <d v="2025-01-06T00:00:00"/>
    <x v="0"/>
  </r>
  <r>
    <s v="ORT-0000010145"/>
    <s v="C000416288"/>
    <s v="MANCHESTER AIRPORT T2 EAST WING NEW DEVELOPMENT"/>
    <n v="0"/>
    <n v="1"/>
    <d v="2025-01-06T00:00:00"/>
    <x v="0"/>
  </r>
  <r>
    <s v="ORT-0000010146"/>
    <s v="C000416289"/>
    <s v="DALES MANOR BUSINESS PARK CAT A CAMBRIDGE"/>
    <n v="0"/>
    <n v="1"/>
    <d v="2025-01-06T00:00:00"/>
    <x v="0"/>
  </r>
  <r>
    <s v="ORT-0000010147"/>
    <s v="C000416290"/>
    <s v="DOVER STREET NO 48 CAT B SIXTH STREET LONDON"/>
    <n v="0"/>
    <n v="1"/>
    <d v="2025-01-06T00:00:00"/>
    <x v="0"/>
  </r>
  <r>
    <s v="ORT-0000010148"/>
    <s v="C000416291"/>
    <s v="MISC TILE &amp; GRID PROJECTS"/>
    <n v="0"/>
    <n v="1"/>
    <d v="2025-01-06T00:00:00"/>
    <x v="0"/>
  </r>
  <r>
    <s v="ORT-0000010149"/>
    <s v="C000416292"/>
    <s v="SOUTH PARADE NO 10 GRND FLR LEEDS"/>
    <n v="6"/>
    <n v="0"/>
    <d v="2025-01-06T00:00:00"/>
    <x v="0"/>
  </r>
  <r>
    <s v="ORT-0000010150"/>
    <s v="C000416293"/>
    <s v="HCA HALE MANCHESTER"/>
    <n v="0"/>
    <n v="1"/>
    <d v="2025-01-06T00:00:00"/>
    <x v="0"/>
  </r>
  <r>
    <s v="ORT-0000010151"/>
    <s v="C000416294"/>
    <s v="ORION PARK NO 1 SEGRO DAGENHAM"/>
    <n v="11"/>
    <n v="0"/>
    <d v="2025-01-06T00:00:00"/>
    <x v="0"/>
  </r>
  <r>
    <s v="ORT-0000010152"/>
    <s v="C000416295"/>
    <s v="OLD BROAD STREET NO 25 TOWER 42 REFURB LONDON"/>
    <n v="1"/>
    <n v="1"/>
    <d v="2025-01-06T00:00:00"/>
    <x v="0"/>
  </r>
  <r>
    <s v="ORT-0000010153"/>
    <s v="C000416296"/>
    <s v="EURSHELL MISC TILE &amp; GRID 2025"/>
    <n v="0"/>
    <n v="1"/>
    <d v="2025-01-06T00:00:00"/>
    <x v="0"/>
  </r>
  <r>
    <s v="ORT-0000010154"/>
    <s v="C000416297"/>
    <s v="WORKPLACE INTERIORS MISC 2025"/>
    <n v="0"/>
    <n v="1"/>
    <d v="2025-01-06T00:00:00"/>
    <x v="0"/>
  </r>
  <r>
    <s v="ORT-0000010155"/>
    <s v="C000416298"/>
    <s v="UNKNOWN"/>
    <n v="0"/>
    <n v="1"/>
    <d v="2025-01-06T00:00:00"/>
    <x v="0"/>
  </r>
  <r>
    <s v="ORT-0000010156"/>
    <s v="C000416300"/>
    <s v="BMS CHESTER CONFERENCE ROOM REFURB"/>
    <n v="18"/>
    <n v="0"/>
    <d v="2025-01-06T00:00:00"/>
    <x v="0"/>
  </r>
  <r>
    <s v="ORT-0000010157"/>
    <s v="C000416301"/>
    <s v="BMS CHESTER CONFERENCE ROOM REFURB"/>
    <n v="13"/>
    <n v="0"/>
    <d v="2025-01-06T00:00:00"/>
    <x v="0"/>
  </r>
  <r>
    <s v="ORT-0000010158"/>
    <s v="C000416302"/>
    <s v="EURSHELL MISC TILE &amp; GRID 2025"/>
    <n v="0"/>
    <n v="1"/>
    <d v="2025-01-06T00:00:00"/>
    <x v="0"/>
  </r>
  <r>
    <s v="ORT-0000010159"/>
    <s v="C000416304"/>
    <s v="AIR STREET NO 20 CAT B PAUL WEISS LONDON"/>
    <n v="0"/>
    <n v="1"/>
    <d v="2025-01-06T00:00:00"/>
    <x v="0"/>
  </r>
  <r>
    <s v="ORT-0000010160"/>
    <s v="C000416305"/>
    <s v="LOVELS WAY INDUSTRIAL UNIT WIDNES"/>
    <n v="0"/>
    <n v="1"/>
    <d v="2025-01-06T00:00:00"/>
    <x v="0"/>
  </r>
  <r>
    <s v="ORT-0000010161"/>
    <s v="C000416307"/>
    <s v="ALDERMANBURY SQUARE NO 2 BASINGHALL ST RECEPTION CEILINGS"/>
    <n v="0"/>
    <n v="1"/>
    <d v="2025-01-06T00:00:00"/>
    <x v="0"/>
  </r>
  <r>
    <s v="ORT-0000010162"/>
    <s v="C000416308"/>
    <s v="TESCO MISC 2025"/>
    <n v="0"/>
    <n v="1"/>
    <d v="2025-01-06T00:00:00"/>
    <x v="0"/>
  </r>
  <r>
    <s v="ORT-0000010163"/>
    <m/>
    <s v="OCASO FUENCARRAL 107  MADRID"/>
    <n v="52"/>
    <n v="0"/>
    <d v="2025-01-06T00:00:00"/>
    <x v="0"/>
  </r>
  <r>
    <s v="ORT-0000010164"/>
    <s v="C000416311"/>
    <s v="CHEAPSIDE NO 100 CAT B CRAVAITH SWAINE &amp; MOORE LONDON"/>
    <n v="0"/>
    <n v="1"/>
    <d v="2025-01-06T00:00:00"/>
    <x v="0"/>
  </r>
  <r>
    <s v="ORT-0000010165"/>
    <s v="C000416313"/>
    <s v="JACK TURNBULL MISC TILE &amp; GRID 2025"/>
    <n v="0"/>
    <n v="1"/>
    <d v="2025-01-06T00:00:00"/>
    <x v="0"/>
  </r>
  <r>
    <s v="ORT-0000010166"/>
    <s v="C000416314"/>
    <s v="BOLDON HOUSE DURHAM UNIVERSITY"/>
    <n v="0"/>
    <n v="1"/>
    <d v="2025-01-07T00:00:00"/>
    <x v="0"/>
  </r>
  <r>
    <s v="ORT-0000010167"/>
    <s v="C000416315"/>
    <s v="TESCO MISC 2025"/>
    <n v="0"/>
    <n v="1"/>
    <d v="2025-01-07T00:00:00"/>
    <x v="0"/>
  </r>
  <r>
    <s v="ORT-0000010168"/>
    <s v="C000416316"/>
    <s v="TESCO MISC 2025"/>
    <n v="0"/>
    <n v="1"/>
    <d v="2025-01-07T00:00:00"/>
    <x v="0"/>
  </r>
  <r>
    <s v="ORT-0000010169"/>
    <s v="C000416317"/>
    <s v="WORKPLACE INTERIORS MISC 2025"/>
    <n v="0"/>
    <n v="1"/>
    <d v="2025-01-07T00:00:00"/>
    <x v="0"/>
  </r>
  <r>
    <s v="ORT-0000010170"/>
    <s v="C000416318"/>
    <s v="KINGS ROAD NO 120 LIBERTY GLOBAL FABRIC LONDON"/>
    <n v="1"/>
    <n v="1"/>
    <d v="2025-01-07T00:00:00"/>
    <x v="0"/>
  </r>
  <r>
    <s v="ORT-0000010171"/>
    <s v="C000416319"/>
    <s v="CITY POINT ROPEMAKER STREET FLR 16 REFURB LONDON"/>
    <n v="0"/>
    <n v="1"/>
    <d v="2025-01-07T00:00:00"/>
    <x v="0"/>
  </r>
  <r>
    <s v="ORT-0000010172"/>
    <s v="C000416320"/>
    <s v="UNI OF OXFORD CENTRE FOR LIFE AND MIND SCIENCES"/>
    <n v="0"/>
    <n v="1"/>
    <d v="2025-01-07T00:00:00"/>
    <x v="0"/>
  </r>
  <r>
    <s v="ORT-0000010173"/>
    <s v="C000416321"/>
    <s v="NORTHCLIFFE HOUSE TUDOR STREET NO 26 FLRS 4-6 LONDON"/>
    <n v="0"/>
    <n v="1"/>
    <d v="2025-01-07T00:00:00"/>
    <x v="0"/>
  </r>
  <r>
    <s v="ORT-0000010174"/>
    <s v="C000416322"/>
    <s v="CANNON STREET NO 110 FLR 7 REFURB LONDON"/>
    <n v="0"/>
    <n v="1"/>
    <d v="2025-01-07T00:00:00"/>
    <x v="0"/>
  </r>
  <r>
    <s v="ORT-0000010175"/>
    <s v="C000416323"/>
    <s v="UNKNOWN"/>
    <n v="0"/>
    <n v="1"/>
    <d v="2025-01-07T00:00:00"/>
    <x v="0"/>
  </r>
  <r>
    <s v="ORT-0000010176"/>
    <s v="C000416324"/>
    <s v="SLOANE STREET NO 166 FLOORS 2-4 LONDON"/>
    <n v="0"/>
    <n v="1"/>
    <d v="2025-01-07T00:00:00"/>
    <x v="0"/>
  </r>
  <r>
    <s v="ORT-0000010177"/>
    <s v="C000416325"/>
    <s v="TESCO MISC 2025"/>
    <n v="0"/>
    <n v="1"/>
    <d v="2025-01-07T00:00:00"/>
    <x v="0"/>
  </r>
  <r>
    <s v="ORT-0000010178"/>
    <s v="C000416326"/>
    <s v="LONDON WALL NO 60 FLRS 4&amp;5 RABOBANK FITOUT LONDON"/>
    <n v="2"/>
    <n v="1"/>
    <d v="2025-01-07T00:00:00"/>
    <x v="0"/>
  </r>
  <r>
    <s v="ORT-0000010179"/>
    <s v="C000416327"/>
    <s v="EDEN CAMPUS THE HONEY BUILDING CAT A KINGSTON"/>
    <n v="2"/>
    <n v="1"/>
    <d v="2025-01-07T00:00:00"/>
    <x v="0"/>
  </r>
  <r>
    <s v="ORT-0000010180"/>
    <s v="C000416328"/>
    <s v="TESCO MISC 2025"/>
    <n v="0"/>
    <n v="1"/>
    <d v="2025-01-07T00:00:00"/>
    <x v="0"/>
  </r>
  <r>
    <s v="ORT-0000010181"/>
    <s v="C000416329"/>
    <s v="TESCO MISC 2025"/>
    <n v="0"/>
    <n v="1"/>
    <d v="2025-01-07T00:00:00"/>
    <x v="0"/>
  </r>
  <r>
    <s v="ORT-0000010182"/>
    <s v="C000416330"/>
    <s v="TESCO MISC 2025"/>
    <n v="0"/>
    <n v="1"/>
    <d v="2025-01-07T00:00:00"/>
    <x v="0"/>
  </r>
  <r>
    <s v="ORT-0000010183"/>
    <s v="C000416331"/>
    <s v="TESCO MISC 2025"/>
    <n v="0"/>
    <n v="1"/>
    <d v="2025-01-07T00:00:00"/>
    <x v="0"/>
  </r>
  <r>
    <s v="ORT-0000010184"/>
    <s v="C000416332"/>
    <s v="HILLSWOOD DRIVE NO 1000 CHERTSEY"/>
    <n v="0"/>
    <n v="1"/>
    <d v="2025-01-07T00:00:00"/>
    <x v="0"/>
  </r>
  <r>
    <s v="ORT-0000010185"/>
    <s v="C000416333"/>
    <s v="BUNHILL ROW NO 1 SLAUGHTER &amp; MAY CAT A REFURB LONDON"/>
    <n v="0"/>
    <n v="1"/>
    <d v="2025-01-07T00:00:00"/>
    <x v="0"/>
  </r>
  <r>
    <s v="ORT-0000010186"/>
    <s v="C000416334"/>
    <s v="BUNHILL ROW NO 1 SLAUGHTER &amp; MAY CAT A REFURB LONDON"/>
    <n v="0"/>
    <n v="1"/>
    <d v="2025-01-07T00:00:00"/>
    <x v="0"/>
  </r>
  <r>
    <s v="ORT-0000010187"/>
    <s v="C000416335"/>
    <s v="BUNHILL ROW NO 1 SLAUGHTER &amp; MAY CAT A REFURB LONDON"/>
    <n v="0"/>
    <n v="1"/>
    <d v="2025-01-07T00:00:00"/>
    <x v="0"/>
  </r>
  <r>
    <s v="ORT-0000010188"/>
    <s v="C000416336"/>
    <s v="BUNHILL ROW NO 1 SLAUGHTER &amp; MAY CAT A REFURB LONDON"/>
    <n v="0"/>
    <n v="1"/>
    <d v="2025-01-07T00:00:00"/>
    <x v="0"/>
  </r>
  <r>
    <s v="ORT-0000010189"/>
    <s v="C000416337"/>
    <s v="BUNHILL ROW NO 1 SLAUGHTER &amp; MAY CAT A REFURB LONDON"/>
    <n v="0"/>
    <n v="1"/>
    <d v="2025-01-07T00:00:00"/>
    <x v="0"/>
  </r>
  <r>
    <s v="ORT-0000010190"/>
    <s v="C000416338"/>
    <s v="JACK TURNBULL MISC TILE &amp; GRID 2025"/>
    <n v="1"/>
    <n v="1"/>
    <d v="2025-01-07T00:00:00"/>
    <x v="0"/>
  </r>
  <r>
    <s v="ORT-0000010191"/>
    <s v="C000416339"/>
    <s v="HEATHROW KITCHEN REFURB LONDON"/>
    <n v="2"/>
    <n v="1"/>
    <d v="2025-01-07T00:00:00"/>
    <x v="0"/>
  </r>
  <r>
    <s v="ORT-0000010192"/>
    <s v="C000416340"/>
    <s v="ALDI DISTRIBUTION CENTRE RECEPTION REFURB BATHGATE"/>
    <n v="4"/>
    <n v="1"/>
    <d v="2025-01-07T00:00:00"/>
    <x v="0"/>
  </r>
  <r>
    <s v="ORT-0000010193"/>
    <s v="C000416342"/>
    <s v="WARSAW CPK BAGGAGE HALL"/>
    <n v="0"/>
    <n v="1"/>
    <d v="2025-01-07T00:00:00"/>
    <x v="0"/>
  </r>
  <r>
    <s v="ORT-0000010194"/>
    <s v="C000416344"/>
    <s v="WORKPLACE INTERIORS MISC 2025"/>
    <n v="0"/>
    <n v="1"/>
    <d v="2025-01-07T00:00:00"/>
    <x v="0"/>
  </r>
  <r>
    <s v="ORT-0000010195"/>
    <s v="C000416345"/>
    <s v="SAINSBURYS MISC 2025"/>
    <n v="0"/>
    <n v="1"/>
    <d v="2025-01-07T00:00:00"/>
    <x v="0"/>
  </r>
  <r>
    <s v="ORT-0000010196"/>
    <s v="C000416391"/>
    <s v="EURSHELL MISC TILE &amp; GRID 2025"/>
    <n v="0"/>
    <n v="1"/>
    <d v="2025-01-07T00:00:00"/>
    <x v="0"/>
  </r>
  <r>
    <s v="ORT-0000010198"/>
    <s v="C000416394"/>
    <s v="LOMBARD STREET NO 1-6 FLOORS 2 &amp; 3 EAST LONDON"/>
    <n v="1"/>
    <n v="1"/>
    <d v="2025-01-07T00:00:00"/>
    <x v="0"/>
  </r>
  <r>
    <s v="ORT-0000010201"/>
    <s v="C000416397"/>
    <s v="HENRIETTA STREET NO 12 FLR 1 REFURB LONDON"/>
    <n v="0"/>
    <n v="1"/>
    <d v="2025-01-08T00:00:00"/>
    <x v="0"/>
  </r>
  <r>
    <s v="ORT-0000010202"/>
    <s v="C000416398"/>
    <s v="WHITE CITY PLACE WOOD LANE NO 201 ITV REFURB LONDON"/>
    <n v="0"/>
    <n v="1"/>
    <d v="2025-01-08T00:00:00"/>
    <x v="0"/>
  </r>
  <r>
    <s v="ORT-0000010203"/>
    <s v="C000416399"/>
    <s v="LEADENHALL STREET NO 40 KIRKLAND &amp; ELLIS FLRS 15-34 LONDON"/>
    <n v="0"/>
    <n v="1"/>
    <d v="2025-01-08T00:00:00"/>
    <x v="0"/>
  </r>
  <r>
    <s v="ORT-0000010204"/>
    <s v="C000416400"/>
    <s v="EURSHELL MISC TILE &amp; GRID 2024"/>
    <n v="0"/>
    <n v="1"/>
    <d v="2025-01-08T00:00:00"/>
    <x v="0"/>
  </r>
  <r>
    <s v="ORT-0000010205"/>
    <s v="C000416401"/>
    <s v="CANARY WHARF WOOD WHARF J1/J3 FLOOR 1 COWORKING AREAS LONDON"/>
    <n v="4"/>
    <n v="1"/>
    <d v="2025-01-08T00:00:00"/>
    <x v="0"/>
  </r>
  <r>
    <s v="ORT-0000010206"/>
    <s v="C000416403"/>
    <s v="SAMPLE ROOM READING"/>
    <n v="0"/>
    <n v="1"/>
    <d v="2025-01-08T00:00:00"/>
    <x v="0"/>
  </r>
  <r>
    <s v="ORT-0000010207"/>
    <s v="C000416404"/>
    <s v="CITY POINT ROPEMAKER STREET FLR 16 REFURB LONDON"/>
    <n v="0"/>
    <n v="1"/>
    <d v="2025-01-08T00:00:00"/>
    <x v="0"/>
  </r>
  <r>
    <s v="ORT-0000010208"/>
    <s v="C000416405"/>
    <s v="LUL NLE BATTERSEA STATION WEST ENTRANCE LONDON"/>
    <n v="0"/>
    <n v="1"/>
    <d v="2025-01-08T00:00:00"/>
    <x v="0"/>
  </r>
  <r>
    <s v="ORT-0000010209"/>
    <s v="C000416406"/>
    <s v="BISHOPSGATE NO 8 FLOORS 10-15 CFC UNDERWRITING LONDON"/>
    <n v="0"/>
    <n v="1"/>
    <d v="2025-01-08T00:00:00"/>
    <x v="0"/>
  </r>
  <r>
    <s v="ORT-0000010210"/>
    <s v="C000416407"/>
    <s v="PORTMAN SQUARE NO 10 FLR 1 REFURB LONDON"/>
    <n v="0"/>
    <n v="1"/>
    <d v="2025-01-08T00:00:00"/>
    <x v="0"/>
  </r>
  <r>
    <s v="ORT-0000010211"/>
    <s v="C000416408"/>
    <s v="NEW STREET SQUARE NO 5 RECEPTION AREA S&amp;C FIT-OUT  LONDON"/>
    <n v="15"/>
    <n v="0"/>
    <d v="2025-01-08T00:00:00"/>
    <x v="0"/>
  </r>
  <r>
    <s v="ORT-0000010212"/>
    <s v="C000416410"/>
    <s v="MCLAREN BUILDING FLOOR 10 CORRIDOR BIRMINGHAM"/>
    <n v="0"/>
    <n v="1"/>
    <d v="2025-01-08T00:00:00"/>
    <x v="0"/>
  </r>
  <r>
    <s v="ORT-0000010213"/>
    <s v="C000416411"/>
    <s v="NEW STREET SQUARE NO 5 TAYLOR WESSING REFURB LONDON"/>
    <n v="0"/>
    <n v="1"/>
    <d v="2025-01-08T00:00:00"/>
    <x v="0"/>
  </r>
  <r>
    <s v="ORT-0000010214"/>
    <s v="C000416412"/>
    <s v="OVAL VILLAGE KENNINGTON LANE PLOT B LONDON"/>
    <n v="0"/>
    <n v="1"/>
    <d v="2025-01-08T00:00:00"/>
    <x v="0"/>
  </r>
  <r>
    <s v="ORT-0000010215"/>
    <s v="C000416413"/>
    <s v="THE GRANGE SCHOOL MONMOUTH"/>
    <n v="9"/>
    <n v="0"/>
    <d v="2025-01-08T00:00:00"/>
    <x v="0"/>
  </r>
  <r>
    <s v="ORT-0000010216"/>
    <s v="C000416414"/>
    <s v="QUEENS QUAY BRISTOL CEILINGS"/>
    <n v="14"/>
    <n v="0"/>
    <d v="2025-01-08T00:00:00"/>
    <x v="0"/>
  </r>
  <r>
    <s v="ORT-0000010217"/>
    <s v="C000416415"/>
    <s v="THE FORUM KINGS QUARTER GLOUCESTER"/>
    <n v="0"/>
    <n v="1"/>
    <d v="2025-01-08T00:00:00"/>
    <x v="0"/>
  </r>
  <r>
    <s v="ORT-0000010218"/>
    <s v="C000416416"/>
    <s v="JACK TURNBULL MISC TILE &amp; GRID 2025"/>
    <n v="0"/>
    <n v="1"/>
    <d v="2025-01-08T00:00:00"/>
    <x v="0"/>
  </r>
  <r>
    <s v="ORT-0000010219"/>
    <s v="C000416417"/>
    <s v="EXCEL PHASE 3 DEVELOPMENT WC LONDON"/>
    <n v="0"/>
    <n v="1"/>
    <d v="2025-01-08T00:00:00"/>
    <x v="0"/>
  </r>
  <r>
    <s v="ORT-0000010220"/>
    <s v="C000416418"/>
    <s v="THORN LIGHTING LTD 2024"/>
    <n v="2"/>
    <n v="1"/>
    <d v="2025-01-08T00:00:00"/>
    <x v="0"/>
  </r>
  <r>
    <s v="ORT-0000010221"/>
    <s v="C000416419"/>
    <s v="PORTLAND HOUSE BRESSENDEN PLACE RECEPTION  LONDON"/>
    <n v="0"/>
    <n v="1"/>
    <d v="2025-01-08T00:00:00"/>
    <x v="0"/>
  </r>
  <r>
    <s v="ORT-0000010222"/>
    <s v="C000416420"/>
    <s v="GREAT ST HELENS NO 1 CAT A REFURBISHMENT LONDON"/>
    <n v="3"/>
    <n v="1"/>
    <d v="2025-01-08T00:00:00"/>
    <x v="0"/>
  </r>
  <r>
    <s v="ORT-0000010223"/>
    <s v="C000416421"/>
    <s v="CITY POINT CAT B REFURB LEVELS 18-21 SIMPSON THACHER LONDON"/>
    <n v="0"/>
    <n v="1"/>
    <d v="2025-01-08T00:00:00"/>
    <x v="0"/>
  </r>
  <r>
    <s v="ORT-0000010224"/>
    <s v="C000416422"/>
    <s v="BRAVINGTON HOUSE INHEALTH FLR 4 KINGS CROSS"/>
    <n v="19"/>
    <n v="0"/>
    <d v="2025-01-08T00:00:00"/>
    <x v="0"/>
  </r>
  <r>
    <s v="ORT-0000010225"/>
    <s v="C000416423"/>
    <s v="LEADENHALL STREET NO 1 SHELL AND CORE LONDON"/>
    <n v="12"/>
    <n v="0"/>
    <d v="2025-01-08T00:00:00"/>
    <x v="0"/>
  </r>
  <r>
    <s v="ORT-0000010226"/>
    <s v="C000416424"/>
    <s v="CURZON STREET NO 1 GRND &amp; FLR 4 REFURB LONDON"/>
    <n v="0"/>
    <n v="1"/>
    <d v="2025-01-08T00:00:00"/>
    <x v="0"/>
  </r>
  <r>
    <s v="ORT-0000010228"/>
    <s v="C000416425"/>
    <s v="CHRIS EDGE MIDLANDS / NORTH MISC PROJECTS 2024"/>
    <n v="0"/>
    <n v="1"/>
    <d v="2025-01-08T00:00:00"/>
    <x v="0"/>
  </r>
  <r>
    <s v="ORT-0000010229"/>
    <s v="C000416426"/>
    <s v="GRESHAM STREET NO 2 CAT A REFURB LONDON"/>
    <n v="13"/>
    <n v="0"/>
    <d v="2025-01-08T00:00:00"/>
    <x v="0"/>
  </r>
  <r>
    <s v="ORT-0000010230"/>
    <s v="C000416427"/>
    <s v="FIRST STREET PLOT 9A CAT A MANCHESTER"/>
    <n v="0"/>
    <n v="1"/>
    <d v="2025-01-08T00:00:00"/>
    <x v="0"/>
  </r>
  <r>
    <s v="ORT-0000010231"/>
    <s v="C000416428"/>
    <s v="JACK TURNBULL MISC TILE &amp; GRID 2025"/>
    <n v="0"/>
    <n v="1"/>
    <d v="2025-01-08T00:00:00"/>
    <x v="0"/>
  </r>
  <r>
    <s v="ORT-0000010232"/>
    <s v="C000416429"/>
    <s v="MOORFIELDS NO 21 THE GLACIER CAT B DEUTSCHE BANK LONDON"/>
    <n v="0"/>
    <n v="1"/>
    <d v="2025-01-08T00:00:00"/>
    <x v="0"/>
  </r>
  <r>
    <s v="ORT-0000010233"/>
    <s v="C000416430"/>
    <s v="BP SUNBRY BUILDING E"/>
    <n v="0"/>
    <n v="1"/>
    <d v="2025-01-08T00:00:00"/>
    <x v="0"/>
  </r>
  <r>
    <s v="ORT-0000010234"/>
    <s v="C000416431"/>
    <s v="PINEHURST SQUARE NO 150 FARNBOROUGH BUSINESS PARK"/>
    <n v="0"/>
    <n v="1"/>
    <d v="2025-01-08T00:00:00"/>
    <x v="0"/>
  </r>
  <r>
    <s v="ORT-0000010235"/>
    <s v="C000416432"/>
    <s v="KIRBY STREET NO 20-24 MORGAN CAPITAL CAT A REFURB LONDON"/>
    <n v="8"/>
    <n v="0"/>
    <d v="2025-01-08T00:00:00"/>
    <x v="0"/>
  </r>
  <r>
    <s v="ORT-0000010236"/>
    <s v="C000416433"/>
    <s v="BISHOPSGATE NO 250 RBS REFURBISHMENT LONDON"/>
    <n v="0"/>
    <n v="1"/>
    <d v="2025-01-08T00:00:00"/>
    <x v="0"/>
  </r>
  <r>
    <s v="ORT-0000010237"/>
    <s v="C000416434"/>
    <s v="BERKELEY SQUARE HOUSE REFURB LONDON"/>
    <n v="1"/>
    <n v="1"/>
    <d v="2025-01-08T00:00:00"/>
    <x v="0"/>
  </r>
  <r>
    <s v="ORT-0000010240"/>
    <s v="C000416437"/>
    <s v="EURSHELL MISC TILE &amp; GRID 2024"/>
    <n v="0"/>
    <n v="1"/>
    <d v="2025-01-08T00:00:00"/>
    <x v="0"/>
  </r>
  <r>
    <s v="ORT-0000010243"/>
    <s v="C000416440"/>
    <s v="MANCHESTER SQUARE NO 20 CAT B LAZARD LONDON"/>
    <n v="0"/>
    <n v="1"/>
    <d v="2025-01-09T00:00:00"/>
    <x v="0"/>
  </r>
  <r>
    <s v="ORT-0000010244"/>
    <m/>
    <s v="QUEENS QUAY BRISTOL CEILINGS"/>
    <n v="0"/>
    <n v="1"/>
    <d v="2025-01-09T00:00:00"/>
    <x v="0"/>
  </r>
  <r>
    <s v="ORT-0000010245"/>
    <s v="C000416442"/>
    <s v="MILLER HOMES LOCHSIDE VIEW NO 2 EDINBURGH"/>
    <n v="0"/>
    <n v="1"/>
    <d v="2025-01-09T00:00:00"/>
    <x v="0"/>
  </r>
  <r>
    <s v="ORT-0000010246"/>
    <s v="C000416443"/>
    <s v="LONDON WALL NO 120 MOOR HOUSE CITADEL REFURB LONDON"/>
    <n v="0"/>
    <n v="1"/>
    <d v="2025-01-09T00:00:00"/>
    <x v="0"/>
  </r>
  <r>
    <s v="ORT-0000010247"/>
    <s v="C000416444"/>
    <s v="OXFORD SCIENCE PARK PLOT 16 FIT OUT - IVERSEN BUILDING"/>
    <n v="0"/>
    <n v="1"/>
    <d v="2025-01-09T00:00:00"/>
    <x v="0"/>
  </r>
  <r>
    <s v="ORT-0000010248"/>
    <s v="C000416445"/>
    <s v="CAPITAL PARK CAMBRIDGE ROAD NO 2 FULBOURN CAMBRIDGE"/>
    <n v="20"/>
    <n v="0"/>
    <d v="2025-01-09T00:00:00"/>
    <x v="0"/>
  </r>
  <r>
    <s v="ORT-0000010249"/>
    <s v="C000416446"/>
    <s v="TFL TRAIN DEPOT CONTROLLERS ROOM CROYDON"/>
    <n v="0"/>
    <n v="1"/>
    <d v="2025-01-09T00:00:00"/>
    <x v="0"/>
  </r>
  <r>
    <s v="ORT-0000010250"/>
    <s v="C000416447"/>
    <s v="ST MICHAELS FLR 9 HILL DICKINSON LIGHTING MANCHESTER"/>
    <n v="20"/>
    <n v="0"/>
    <d v="2025-01-09T00:00:00"/>
    <x v="0"/>
  </r>
  <r>
    <s v="ORT-0000010251"/>
    <s v="C000416448"/>
    <s v="CAMBRIDGE BIOMEDICAL CAMPUS HISTOPATHOLOGY"/>
    <n v="2"/>
    <n v="1"/>
    <d v="2025-01-09T00:00:00"/>
    <x v="0"/>
  </r>
  <r>
    <s v="ORT-0000010252"/>
    <s v="C000416450"/>
    <s v="NEW DOHA INTERNATIONAL AIRPORT EXTENSION"/>
    <n v="76"/>
    <n v="0"/>
    <d v="2025-01-09T00:00:00"/>
    <x v="0"/>
  </r>
  <r>
    <s v="ORT-0000010253"/>
    <s v="C000416452"/>
    <s v="WORKPLACE INTERIORS MISC 2025"/>
    <n v="0"/>
    <n v="1"/>
    <d v="2025-01-09T00:00:00"/>
    <x v="0"/>
  </r>
  <r>
    <s v="ORT-0000010254"/>
    <s v="C000416454"/>
    <s v="JACK TURNBULL MISC TILE &amp; GRID 2025"/>
    <n v="0"/>
    <n v="1"/>
    <d v="2025-01-09T00:00:00"/>
    <x v="0"/>
  </r>
  <r>
    <s v="ORT-0000010255"/>
    <s v="C000416456"/>
    <s v="DEWA HQ AL SHERAA BUILDING (B+G+4P+15) AL JADDAF"/>
    <n v="40"/>
    <n v="0"/>
    <d v="2025-01-09T00:00:00"/>
    <x v="0"/>
  </r>
  <r>
    <s v="ORT-0000010256"/>
    <s v="C000416457"/>
    <s v="KINGS CROSS CENTRAL BLDG B4 FLR 6 WEST ASTRA ZENECA LONDON"/>
    <n v="0"/>
    <n v="1"/>
    <d v="2025-01-09T00:00:00"/>
    <x v="0"/>
  </r>
  <r>
    <s v="ORT-0000010257"/>
    <s v="C000416458"/>
    <s v="DEWA HQ AL SHERAA BUILDING (B+G+4P+15) AL JADDAF"/>
    <n v="120"/>
    <n v="0"/>
    <d v="2025-01-09T00:00:00"/>
    <x v="0"/>
  </r>
  <r>
    <s v="ORT-0000010258"/>
    <s v="C000416459"/>
    <s v="SHOE LANE NO 66 DELOITTE REFURB FLOOR 2 LONDON"/>
    <n v="0"/>
    <n v="1"/>
    <d v="2025-01-09T00:00:00"/>
    <x v="0"/>
  </r>
  <r>
    <s v="ORT-0000010259"/>
    <s v="C000416460"/>
    <s v="EURSHELL MISC TILE &amp; GRID 2025"/>
    <n v="0"/>
    <n v="1"/>
    <d v="2025-01-09T00:00:00"/>
    <x v="0"/>
  </r>
  <r>
    <s v="ORT-0000010260"/>
    <s v="C000416461"/>
    <s v="MIDAS HOUSE GOLDSWORTH RD NO 62 WOKING"/>
    <n v="0"/>
    <n v="1"/>
    <d v="2025-01-09T00:00:00"/>
    <x v="0"/>
  </r>
  <r>
    <s v="ORT-0000010261"/>
    <s v="C000416462"/>
    <s v="BRISTOL AIRPORT CENTRAL SEARCH AREA REFURB"/>
    <n v="0"/>
    <n v="1"/>
    <d v="2025-01-09T00:00:00"/>
    <x v="0"/>
  </r>
  <r>
    <s v="ORT-0000010262"/>
    <s v="C000416464"/>
    <s v="NTT COMMUNICATIONS DATA CENTRE LON1 PHASE 1 BOH AREAS"/>
    <n v="0"/>
    <n v="1"/>
    <d v="2025-01-09T00:00:00"/>
    <x v="0"/>
  </r>
  <r>
    <s v="ORT-0000010263"/>
    <s v="C000416465"/>
    <s v="BRUNTWOOD CEO OFFICE &amp; MEETING ROOMS MANCHESTER"/>
    <n v="0"/>
    <n v="1"/>
    <d v="2025-01-09T00:00:00"/>
    <x v="0"/>
  </r>
  <r>
    <s v="ORT-0000010264"/>
    <s v="C000416466"/>
    <s v="LEADENHALL STREET NO 122 FLR 16 REFURB LONDON"/>
    <n v="0"/>
    <n v="1"/>
    <d v="2025-01-09T00:00:00"/>
    <x v="0"/>
  </r>
  <r>
    <s v="ORT-0000010265"/>
    <s v="C000416467"/>
    <s v="EURSHELL MISC TILE &amp; GRID 2024"/>
    <n v="0"/>
    <n v="1"/>
    <d v="2025-01-09T00:00:00"/>
    <x v="0"/>
  </r>
  <r>
    <s v="ORT-0000010266"/>
    <s v="C000416468"/>
    <s v="NEW STREET SQUARE NO 5 TAYLOR WESSING REFURB LONDON"/>
    <n v="0"/>
    <n v="1"/>
    <d v="2025-01-09T00:00:00"/>
    <x v="0"/>
  </r>
  <r>
    <s v="ORT-0000010267"/>
    <s v="C000416469"/>
    <s v="KNIGHTSBRIDGE NO 1 REFURB LONDON"/>
    <n v="0"/>
    <n v="1"/>
    <d v="2025-01-09T00:00:00"/>
    <x v="0"/>
  </r>
  <r>
    <s v="ORT-0000010268"/>
    <s v="C000416256"/>
    <s v="MANCHESTER SQUARE NO 20 CAT B LAZARD LONDON"/>
    <n v="0"/>
    <n v="1"/>
    <d v="2025-01-09T00:00:00"/>
    <x v="0"/>
  </r>
  <r>
    <s v="ORT-0000010269"/>
    <s v="C000416470"/>
    <s v="UNKNOWN"/>
    <n v="0"/>
    <n v="1"/>
    <d v="2025-01-09T00:00:00"/>
    <x v="0"/>
  </r>
  <r>
    <s v="ORT-0000010270"/>
    <s v="C000416471"/>
    <s v="KFC MISC 2025"/>
    <n v="0"/>
    <n v="1"/>
    <d v="2025-01-09T00:00:00"/>
    <x v="0"/>
  </r>
  <r>
    <s v="ORT-0000010271"/>
    <s v="C000416472"/>
    <s v="READING BRIDGE HOUSE CAPITA PLC REFURB READING"/>
    <n v="0"/>
    <n v="1"/>
    <d v="2025-01-09T00:00:00"/>
    <x v="0"/>
  </r>
  <r>
    <s v="ORT-0000010272"/>
    <s v="C000416473"/>
    <s v="SAMPLE ROOM READING LIGHTING VARIOUS TYPES"/>
    <n v="0"/>
    <n v="1"/>
    <d v="2025-01-09T00:00:00"/>
    <x v="0"/>
  </r>
  <r>
    <s v="ORT-0000010273"/>
    <s v="C000416474"/>
    <s v="UNKNOWN"/>
    <n v="0"/>
    <n v="1"/>
    <d v="2025-01-09T00:00:00"/>
    <x v="0"/>
  </r>
  <r>
    <s v="ORT-0000010274"/>
    <s v="C000416475"/>
    <s v="EURSHELL MISC TILE &amp; GRID 2023"/>
    <n v="0"/>
    <n v="1"/>
    <d v="2025-01-09T00:00:00"/>
    <x v="0"/>
  </r>
  <r>
    <s v="ORT-0000010275"/>
    <s v="C000416476"/>
    <s v="WORKPLACE INTERIORS MISC 2025"/>
    <n v="0"/>
    <n v="1"/>
    <d v="2025-01-09T00:00:00"/>
    <x v="0"/>
  </r>
  <r>
    <s v="ORT-0000010276"/>
    <s v="C000416477"/>
    <s v="UNKNOWN"/>
    <n v="0"/>
    <n v="1"/>
    <d v="2025-01-09T00:00:00"/>
    <x v="0"/>
  </r>
  <r>
    <s v="ORT-0000010277"/>
    <s v="C000416478"/>
    <s v="TESCO MISC 2025"/>
    <n v="0"/>
    <n v="1"/>
    <d v="2025-01-09T00:00:00"/>
    <x v="0"/>
  </r>
  <r>
    <s v="ORT-0000010278"/>
    <s v="C000416479"/>
    <s v="HAYS GALLERIA SHACKLETON HOUSE CAT A REFURB FLR 5 LONDON"/>
    <n v="0"/>
    <n v="1"/>
    <d v="2025-01-09T00:00:00"/>
    <x v="0"/>
  </r>
  <r>
    <s v="ORT-0000010279"/>
    <m/>
    <s v="PALMA AIRPORT EXTENSION LIGHTING"/>
    <n v="49"/>
    <n v="0"/>
    <d v="2025-01-09T00:00:00"/>
    <x v="0"/>
  </r>
  <r>
    <s v="ORT-0000010280"/>
    <s v="C000416481"/>
    <s v="COPTHALL AVENUE NO 25 FLR 4 REFURB LONDON"/>
    <n v="0"/>
    <n v="1"/>
    <d v="2025-01-09T00:00:00"/>
    <x v="0"/>
  </r>
  <r>
    <s v="ORT-0000010281"/>
    <s v="C000416482"/>
    <s v="JACK TURNBULL MISC TILE &amp; GRID 2025"/>
    <n v="2"/>
    <n v="1"/>
    <d v="2025-01-09T00:00:00"/>
    <x v="0"/>
  </r>
  <r>
    <s v="ORT-0000010282"/>
    <s v="C000416483"/>
    <s v="LEADENHALL STREET NO 40 KIRKLAND &amp; ELLIS FLRS 15-34 LONDON"/>
    <n v="0"/>
    <n v="1"/>
    <d v="2025-01-09T00:00:00"/>
    <x v="0"/>
  </r>
  <r>
    <s v="ORT-0000010283"/>
    <s v="C000416484"/>
    <s v="ROPEMAKER STREET NO 20-22 LINKLATERS FIT-OUT LONDON"/>
    <n v="0"/>
    <n v="1"/>
    <d v="2025-01-09T00:00:00"/>
    <x v="0"/>
  </r>
  <r>
    <s v="ORT-0000010284"/>
    <s v="C000416486"/>
    <s v="CENTRAL SQUARE NO 2 CARDIFF"/>
    <n v="0"/>
    <n v="1"/>
    <d v="2025-01-10T00:00:00"/>
    <x v="0"/>
  </r>
  <r>
    <s v="ORT-0000010285"/>
    <s v="C000416488"/>
    <s v="UNKNOWN"/>
    <n v="0"/>
    <n v="1"/>
    <d v="2025-01-10T00:00:00"/>
    <x v="0"/>
  </r>
  <r>
    <s v="ORT-0000010286"/>
    <s v="C000416490"/>
    <s v="SAINSBURYS MISC 2025"/>
    <n v="0"/>
    <n v="1"/>
    <d v="2025-01-10T00:00:00"/>
    <x v="0"/>
  </r>
  <r>
    <s v="ORT-0000010287"/>
    <s v="C000416491"/>
    <s v="BRISTOL MYERS SQUIBB BUILDING 6 WIRRAL BIRKENHEAD"/>
    <n v="1"/>
    <n v="1"/>
    <d v="2025-01-10T00:00:00"/>
    <x v="0"/>
  </r>
  <r>
    <s v="ORT-0000010288"/>
    <s v="C000416492"/>
    <s v="Linear Rolled Products"/>
    <n v="0"/>
    <n v="1"/>
    <d v="2025-01-10T00:00:00"/>
    <x v="0"/>
  </r>
  <r>
    <s v="ORT-0000010289"/>
    <s v="C000416493"/>
    <s v="JACK TURNBULL MISC TILE &amp; GRID 2025"/>
    <n v="0"/>
    <n v="1"/>
    <d v="2025-01-10T00:00:00"/>
    <x v="0"/>
  </r>
  <r>
    <s v="ORT-0000010290"/>
    <s v="C000416494"/>
    <s v="SCHNEIDER ELECTRIC SILICON OASIS DUBAI"/>
    <n v="8"/>
    <n v="0"/>
    <d v="2025-01-10T00:00:00"/>
    <x v="0"/>
  </r>
  <r>
    <s v="ORT-0000010291"/>
    <s v="C000416495"/>
    <s v="LONDON MISC 2025"/>
    <n v="0"/>
    <n v="1"/>
    <d v="2025-01-10T00:00:00"/>
    <x v="0"/>
  </r>
  <r>
    <s v="ORT-0000010292"/>
    <s v="C000416496"/>
    <s v="AIR STREET NO 20 CAT B PAUL WEISS LONDON"/>
    <n v="1"/>
    <n v="1"/>
    <d v="2025-01-10T00:00:00"/>
    <x v="0"/>
  </r>
  <r>
    <s v="ORT-0000010293"/>
    <s v="C000416498"/>
    <s v="MANCHESTER LIFE ELIZA YARD"/>
    <n v="0"/>
    <n v="1"/>
    <d v="2025-01-10T00:00:00"/>
    <x v="0"/>
  </r>
  <r>
    <s v="ORT-0000010294"/>
    <s v="C000416499"/>
    <s v="EVERTON FC TUNNEL CLUB &amp; TRINITY LOUNGE LIVERPOOL"/>
    <n v="19"/>
    <n v="0"/>
    <d v="2025-01-10T00:00:00"/>
    <x v="0"/>
  </r>
  <r>
    <s v="ORT-0000010295"/>
    <s v="C000416501"/>
    <s v="QUEEN VICTORIA STREET NO 128 OLD CHANGE HOUSE REFURB LONDON"/>
    <n v="0"/>
    <n v="1"/>
    <d v="2025-01-10T00:00:00"/>
    <x v="0"/>
  </r>
  <r>
    <s v="ORT-0000010296"/>
    <s v="C000416503"/>
    <s v="WORKPLACE INTERIORS MISC 2025"/>
    <n v="0"/>
    <n v="1"/>
    <d v="2025-01-10T00:00:00"/>
    <x v="0"/>
  </r>
  <r>
    <s v="ORT-0000010297"/>
    <s v="C000416505"/>
    <s v="QUEEN VICTORIA STREET NO 95 CAT B FIT OUT CAPGEMINI LONDON"/>
    <n v="0"/>
    <n v="1"/>
    <d v="2025-01-10T00:00:00"/>
    <x v="0"/>
  </r>
  <r>
    <s v="ORT-0000010298"/>
    <s v="C000416504"/>
    <s v="LEADENHALL STREET NO 40 KIRKLAND &amp; ELLIS FLRS 15-34 LONDON"/>
    <n v="0"/>
    <n v="1"/>
    <d v="2025-01-10T00:00:00"/>
    <x v="0"/>
  </r>
  <r>
    <s v="ORT-0000010299"/>
    <s v="C000416506"/>
    <s v="EARLEY EAST BUILDING THAMES VALLEY PARK READING"/>
    <n v="1"/>
    <n v="1"/>
    <d v="2025-01-10T00:00:00"/>
    <x v="0"/>
  </r>
  <r>
    <s v="ORT-0000010300"/>
    <s v="C000416509"/>
    <s v="WORKPLACE INTERIORS MISC 2025"/>
    <n v="0"/>
    <n v="1"/>
    <d v="2025-01-13T00:00:00"/>
    <x v="1"/>
  </r>
  <r>
    <s v="ORT-0000010301"/>
    <s v="C000416510"/>
    <s v="BUILDING A1 FLOOR 2 REFURB CODY TECHNOLOGY PARK FARNBOROUGH"/>
    <n v="0"/>
    <n v="1"/>
    <d v="2025-01-13T00:00:00"/>
    <x v="1"/>
  </r>
  <r>
    <s v="ORT-0000010302"/>
    <s v="C000416511"/>
    <s v="CHESTERFIELD GARDENS NO 6 REFURB LONDON"/>
    <n v="0"/>
    <n v="1"/>
    <d v="2025-01-13T00:00:00"/>
    <x v="1"/>
  </r>
  <r>
    <s v="ORT-0000010303"/>
    <s v="C000416512"/>
    <s v="ATLANTIC QUAY NO 6 REFURB GLASGOW"/>
    <n v="2"/>
    <n v="1"/>
    <d v="2025-01-13T00:00:00"/>
    <x v="1"/>
  </r>
  <r>
    <s v="ORT-0000010304"/>
    <s v="C000416513"/>
    <s v="EURSHELL MISC TILE &amp; GRID 2025"/>
    <n v="0"/>
    <n v="1"/>
    <d v="2025-01-13T00:00:00"/>
    <x v="1"/>
  </r>
  <r>
    <s v="ORT-0000010305"/>
    <s v="C000416515"/>
    <s v="EXCHANGE HOUSE PRIMROSE STREET FLR 1 REFURB LONDON"/>
    <n v="0"/>
    <n v="1"/>
    <d v="2025-01-13T00:00:00"/>
    <x v="1"/>
  </r>
  <r>
    <s v="ORT-0000010306"/>
    <s v="C000416516"/>
    <s v="TESCO MISC 2025"/>
    <n v="0"/>
    <n v="1"/>
    <d v="2025-01-13T00:00:00"/>
    <x v="1"/>
  </r>
  <r>
    <s v="ORT-0000010307"/>
    <s v="C000416517"/>
    <s v="CURZON STREET NO 1 GRND &amp; FLR 4 REFURB LONDON"/>
    <n v="1"/>
    <n v="1"/>
    <d v="2025-01-13T00:00:00"/>
    <x v="1"/>
  </r>
  <r>
    <s v="ORT-0000010308"/>
    <s v="C000416518"/>
    <s v="STATION STREET LOXLEY HOUSE REFURB NOTTINGHAM"/>
    <n v="0"/>
    <n v="1"/>
    <d v="2025-01-13T00:00:00"/>
    <x v="1"/>
  </r>
  <r>
    <s v="ORT-0000010309"/>
    <s v="C000416519"/>
    <s v="BISHOPSGATE NO 8 FLOOR 33 STANHOPE FITOUT LONDON"/>
    <n v="23"/>
    <n v="0"/>
    <d v="2025-01-13T00:00:00"/>
    <x v="1"/>
  </r>
  <r>
    <s v="ORT-0000010310"/>
    <s v="C000416521"/>
    <s v="TESCO MISC 2025"/>
    <n v="0"/>
    <n v="1"/>
    <d v="2025-01-13T00:00:00"/>
    <x v="1"/>
  </r>
  <r>
    <s v="ORT-0000010311"/>
    <s v="C000416522"/>
    <s v="APEX BLOCK C FLR 3 READING"/>
    <n v="6"/>
    <n v="0"/>
    <d v="2025-01-13T00:00:00"/>
    <x v="1"/>
  </r>
  <r>
    <s v="ORT-0000010312"/>
    <s v="C000416523"/>
    <s v="ALDI DISTRIBUTION CENTRE RECEPTION REFURB BATHGATE"/>
    <n v="0"/>
    <n v="1"/>
    <d v="2025-01-13T00:00:00"/>
    <x v="1"/>
  </r>
  <r>
    <s v="ORT-0000010313"/>
    <s v="C000416525"/>
    <s v="SAINSBURYS MISC 2025"/>
    <n v="0"/>
    <n v="1"/>
    <d v="2025-01-13T00:00:00"/>
    <x v="1"/>
  </r>
  <r>
    <s v="ORT-0000010314"/>
    <s v="C000416526"/>
    <s v="ARNOS GROVE DEPOT BOWES ROAD LONDON"/>
    <n v="0"/>
    <n v="1"/>
    <d v="2025-01-13T00:00:00"/>
    <x v="1"/>
  </r>
  <r>
    <s v="ORT-0000010316"/>
    <s v="C000416528"/>
    <s v="JACK TURNBULL MISC TILE &amp; GRID 2025"/>
    <n v="0"/>
    <n v="1"/>
    <d v="2025-01-13T00:00:00"/>
    <x v="1"/>
  </r>
  <r>
    <s v="ORT-0000010317"/>
    <s v="C000416529"/>
    <s v="EURSHELL MISC TILE &amp; GRID 2025"/>
    <n v="0"/>
    <n v="1"/>
    <d v="2025-01-13T00:00:00"/>
    <x v="1"/>
  </r>
  <r>
    <s v="ORT-0000010318"/>
    <s v="C000416533"/>
    <s v="MOORGATE NO 101 CAT A OVERSITE DEVELOPMENT LONDON"/>
    <n v="1"/>
    <n v="1"/>
    <d v="2025-01-13T00:00:00"/>
    <x v="1"/>
  </r>
  <r>
    <s v="ORT-0000010319"/>
    <s v="C000416534"/>
    <s v="FLANNELS WESTFIELD SHOPPING CENTRE STRATFORD"/>
    <n v="17"/>
    <n v="0"/>
    <d v="2025-01-13T00:00:00"/>
    <x v="1"/>
  </r>
  <r>
    <s v="ORT-0000010320"/>
    <s v="C000416536"/>
    <s v="SAINSBURYS MISC 2025"/>
    <n v="0"/>
    <n v="1"/>
    <d v="2025-01-13T00:00:00"/>
    <x v="1"/>
  </r>
  <r>
    <s v="ORT-0000010321"/>
    <s v="C000416537"/>
    <s v="INTERIOR ALTERATION OF OFFICE AVENUE DE LA PAIX 5-7 GENEVA"/>
    <n v="0"/>
    <n v="1"/>
    <d v="2025-01-13T00:00:00"/>
    <x v="1"/>
  </r>
  <r>
    <s v="ORT-0000010322"/>
    <s v="C000416538"/>
    <s v="MOORFIELDS NO 21 THE GLACIER CAT B DEUTSCHE BANK LONDON"/>
    <n v="0"/>
    <n v="1"/>
    <d v="2025-01-13T00:00:00"/>
    <x v="1"/>
  </r>
  <r>
    <s v="ORT-0000010323"/>
    <s v="C000416539"/>
    <s v="WESTFIELD AVENUE NO 1 NCA FIT OUT STRATFORD CITY"/>
    <n v="0"/>
    <n v="1"/>
    <d v="2025-01-13T00:00:00"/>
    <x v="1"/>
  </r>
  <r>
    <s v="ORT-0000010324"/>
    <s v="C000416540"/>
    <s v="NATIONAL PHYSICAL LABATORY L4 G8 REFURB LONDON"/>
    <n v="0"/>
    <n v="1"/>
    <d v="2025-01-13T00:00:00"/>
    <x v="1"/>
  </r>
  <r>
    <s v="ORT-0000010325"/>
    <s v="C000416541"/>
    <s v="LEADENHALL STREET NO 40 KIRKLAND &amp; ELLIS FLRS 15-34 LONDON"/>
    <n v="0"/>
    <n v="1"/>
    <d v="2025-01-13T00:00:00"/>
    <x v="1"/>
  </r>
  <r>
    <s v="ORT-0000010327"/>
    <s v="C000416543"/>
    <s v="UNKNOWN"/>
    <n v="0"/>
    <n v="1"/>
    <d v="2025-01-14T00:00:00"/>
    <x v="1"/>
  </r>
  <r>
    <s v="ORT-0000010328"/>
    <s v="C000416544"/>
    <s v="LEADENHALL STREET NO 40 KIRKLAND &amp; ELLIS FLRS 15-34 LONDON"/>
    <n v="0"/>
    <n v="1"/>
    <d v="2025-01-14T00:00:00"/>
    <x v="1"/>
  </r>
  <r>
    <s v="ORT-0000010329"/>
    <s v="C000416547"/>
    <s v="EURSHELL MISC TILE &amp; GRID 2024"/>
    <n v="0"/>
    <n v="1"/>
    <d v="2025-01-14T00:00:00"/>
    <x v="1"/>
  </r>
  <r>
    <s v="ORT-0000010330"/>
    <s v="C000416548"/>
    <s v="WORKPLACE INTERIORS MISC 2025"/>
    <n v="0"/>
    <n v="1"/>
    <d v="2025-01-14T00:00:00"/>
    <x v="1"/>
  </r>
  <r>
    <s v="ORT-0000010331"/>
    <s v="C000416549"/>
    <s v="BMW SHOWROOM INVERNESS ARNOLD CLARK"/>
    <n v="2"/>
    <n v="1"/>
    <d v="2025-01-14T00:00:00"/>
    <x v="1"/>
  </r>
  <r>
    <s v="ORT-0000010332"/>
    <s v="C000416550"/>
    <s v="T-THERAPEUTICS OFFICE CAMBRIDGE"/>
    <n v="17"/>
    <n v="0"/>
    <d v="2025-01-14T00:00:00"/>
    <x v="1"/>
  </r>
  <r>
    <s v="ORT-0000010333"/>
    <s v="C000416551"/>
    <s v="TRITON SQUARE NO 1 OFFICE / LABS CAT A LONDON"/>
    <n v="16"/>
    <n v="0"/>
    <d v="2025-01-14T00:00:00"/>
    <x v="1"/>
  </r>
  <r>
    <s v="ORT-0000010334"/>
    <s v="C000416552"/>
    <s v="LOCKTON HOUSE OFFICES CAMBRIDGE"/>
    <n v="1"/>
    <n v="1"/>
    <d v="2025-01-14T00:00:00"/>
    <x v="1"/>
  </r>
  <r>
    <s v="ORT-0000010335"/>
    <s v="C000416553"/>
    <s v="CITY POINT SIMPSON THACHER FLR 15 CAT B LONDON"/>
    <n v="0"/>
    <n v="1"/>
    <d v="2025-01-14T00:00:00"/>
    <x v="1"/>
  </r>
  <r>
    <s v="ORT-0000010336"/>
    <s v="C000416554"/>
    <s v="EURSHELL MISC TILE &amp; GRID 2024"/>
    <n v="0"/>
    <n v="1"/>
    <d v="2025-01-14T00:00:00"/>
    <x v="1"/>
  </r>
  <r>
    <s v="ORT-0000010337"/>
    <s v="C000416555"/>
    <s v="MANCHESTER SQUARE NO 20 CAT B LAZARD LONDON"/>
    <n v="0"/>
    <n v="1"/>
    <d v="2025-01-14T00:00:00"/>
    <x v="1"/>
  </r>
  <r>
    <s v="ORT-0000010338"/>
    <s v="C000416556"/>
    <s v="ALDERSGATE STREET NO 200 FLOOR 1 &amp; MEZZANINE CONVENE LONDON"/>
    <n v="2"/>
    <n v="1"/>
    <d v="2025-01-14T00:00:00"/>
    <x v="1"/>
  </r>
  <r>
    <s v="ORT-0000010339"/>
    <s v="C000416557"/>
    <s v="NTT COMMUNICATIONS DATA CENTRE LON1 PHASE 1 BOH AREAS"/>
    <n v="0"/>
    <n v="1"/>
    <d v="2025-01-14T00:00:00"/>
    <x v="1"/>
  </r>
  <r>
    <s v="ORT-0000010340"/>
    <s v="C000416558"/>
    <s v="WORKPLACE INTERIORS MISC 2024"/>
    <n v="0"/>
    <n v="1"/>
    <d v="2025-01-14T00:00:00"/>
    <x v="1"/>
  </r>
  <r>
    <s v="ORT-0000010341"/>
    <s v="C000416559"/>
    <s v="HORSEFERRY HOUSE BURBERRY REFURB LONDON"/>
    <n v="0"/>
    <n v="1"/>
    <d v="2025-01-14T00:00:00"/>
    <x v="1"/>
  </r>
  <r>
    <s v="ORT-0000010342"/>
    <s v="C000416560"/>
    <s v="COLMORE ROW NO 125 LLOYDS BANK REFURB BIRMINGHAM"/>
    <n v="6"/>
    <n v="0"/>
    <d v="2025-01-14T00:00:00"/>
    <x v="1"/>
  </r>
  <r>
    <s v="ORT-0000010343"/>
    <s v="C000416562"/>
    <s v="UNKNOWN"/>
    <n v="1"/>
    <n v="1"/>
    <d v="2025-01-14T00:00:00"/>
    <x v="1"/>
  </r>
  <r>
    <s v="ORT-0000010344"/>
    <s v="C000416563"/>
    <s v="CENTRAL SQUARE NO 2 CARDIFF"/>
    <n v="0"/>
    <n v="1"/>
    <d v="2025-01-14T00:00:00"/>
    <x v="1"/>
  </r>
  <r>
    <s v="ORT-0000010345"/>
    <s v="C000416565"/>
    <s v="LEADENHALL STREET NO 122 FLR 16 REFURB LONDON"/>
    <n v="0"/>
    <n v="1"/>
    <d v="2025-01-14T00:00:00"/>
    <x v="1"/>
  </r>
  <r>
    <s v="ORT-0000010348"/>
    <s v="C000416566"/>
    <s v="GOLDMAN SACHS KAFD PARCEL 1.11 RIYADH"/>
    <n v="11"/>
    <n v="0"/>
    <d v="2025-01-14T00:00:00"/>
    <x v="1"/>
  </r>
  <r>
    <s v="ORT-0000010349"/>
    <s v="C000416567"/>
    <s v="LAMB STREET NO 1 NEKO HEALTH REFURB LONDON"/>
    <n v="0"/>
    <n v="1"/>
    <d v="2025-01-14T00:00:00"/>
    <x v="1"/>
  </r>
  <r>
    <s v="ORT-0000010350"/>
    <s v="C000416568"/>
    <s v="BERKELEY SQUARE NO 20 REFURB LONDON"/>
    <n v="0"/>
    <n v="1"/>
    <d v="2025-01-14T00:00:00"/>
    <x v="1"/>
  </r>
  <r>
    <s v="ORT-0000010351"/>
    <s v="C000416569"/>
    <s v="EURSHELL MISC TILE &amp; GRID 2024"/>
    <n v="0"/>
    <n v="1"/>
    <d v="2025-01-14T00:00:00"/>
    <x v="1"/>
  </r>
  <r>
    <s v="ORT-0000010352"/>
    <s v="C000416571"/>
    <s v="NOVA NORTH BRESSENDEN PLACE NO 11 FLR 7 REFURB LONDON"/>
    <n v="0"/>
    <n v="1"/>
    <d v="2025-01-14T00:00:00"/>
    <x v="1"/>
  </r>
  <r>
    <s v="ORT-0000010353"/>
    <s v="C000416572"/>
    <s v="WAVERLEY GATE FLR 2 REFURB EDINBURGH"/>
    <n v="14"/>
    <n v="0"/>
    <d v="2025-01-14T00:00:00"/>
    <x v="1"/>
  </r>
  <r>
    <s v="ORT-0000010354"/>
    <s v="C000416573"/>
    <s v="WORSHIP SQUARE CLIFTON STREET NO 65 CAT B WISE LONDON"/>
    <n v="0"/>
    <n v="1"/>
    <d v="2025-01-14T00:00:00"/>
    <x v="1"/>
  </r>
  <r>
    <s v="ORT-0000010355"/>
    <s v="C000416574"/>
    <s v="FIELDEN ST THOMAS SHARD PLACE LONDON BRIDGE PH2 LONDON"/>
    <n v="0"/>
    <n v="1"/>
    <d v="2025-01-14T00:00:00"/>
    <x v="1"/>
  </r>
  <r>
    <s v="ORT-0000010356"/>
    <s v="C000416575"/>
    <s v="CHAMARTIN PHASE 2 MADRID"/>
    <n v="80"/>
    <n v="0"/>
    <d v="2025-01-14T00:00:00"/>
    <x v="1"/>
  </r>
  <r>
    <s v="ORT-0000010357"/>
    <s v="C000416576"/>
    <s v="JACK TURNBULL MISC TILE &amp; GRID 2025"/>
    <n v="0"/>
    <n v="1"/>
    <d v="2025-01-14T00:00:00"/>
    <x v="1"/>
  </r>
  <r>
    <s v="ORT-0000010358"/>
    <s v="C000416577"/>
    <s v="ONE STATION HILL LEVEL B1 GYM READING"/>
    <n v="0"/>
    <n v="1"/>
    <d v="2025-01-14T00:00:00"/>
    <x v="1"/>
  </r>
  <r>
    <s v="ORT-0000010359"/>
    <s v="C000416578"/>
    <s v="FLEET PLACE NO 5 FLOORS 4, 6, 7 &amp; 8 LONDON"/>
    <n v="0"/>
    <n v="1"/>
    <d v="2025-01-14T00:00:00"/>
    <x v="1"/>
  </r>
  <r>
    <s v="ORT-0000010360"/>
    <s v="C000416579"/>
    <s v="LEADENHALL STREET NO 122 FLR 16 REFURB LONDON"/>
    <n v="0"/>
    <n v="1"/>
    <d v="2025-01-14T00:00:00"/>
    <x v="1"/>
  </r>
  <r>
    <s v="ORT-0000010361"/>
    <s v="C000416580"/>
    <s v="THE CURSITOR CHANCERY LANE NO 38 CAT A REFURB LONDON"/>
    <n v="4"/>
    <n v="1"/>
    <d v="2025-01-14T00:00:00"/>
    <x v="1"/>
  </r>
  <r>
    <s v="ORT-0000010362"/>
    <s v="C000416582"/>
    <s v="BP PANGBOURNE TECHNOLOGY CENTRE BUILDING C READING"/>
    <n v="0"/>
    <n v="1"/>
    <d v="2025-01-14T00:00:00"/>
    <x v="1"/>
  </r>
  <r>
    <s v="ORT-0000010363"/>
    <s v="C000416583"/>
    <s v="GEORGE STREET NO 101 EDINBURGH"/>
    <n v="0"/>
    <n v="1"/>
    <d v="2025-01-14T00:00:00"/>
    <x v="1"/>
  </r>
  <r>
    <s v="ORT-0000010364"/>
    <s v="C000416584"/>
    <s v="SAMPLE ROOM EUROPE ROW"/>
    <n v="0"/>
    <n v="1"/>
    <d v="2025-01-14T00:00:00"/>
    <x v="1"/>
  </r>
  <r>
    <s v="ORT-0000010365"/>
    <s v="C000416585"/>
    <s v="NEW STREET SQUARE NO 5 TAYLOR WESSING REFURB LONDON"/>
    <n v="0"/>
    <n v="1"/>
    <d v="2025-01-14T00:00:00"/>
    <x v="1"/>
  </r>
  <r>
    <s v="ORT-0000010367"/>
    <s v="C000416589"/>
    <s v="WORKPLACE INTERIORS MISC 2025"/>
    <n v="0"/>
    <n v="1"/>
    <d v="2025-01-15T00:00:00"/>
    <x v="1"/>
  </r>
  <r>
    <s v="ORT-0000010368"/>
    <s v="C000416591"/>
    <s v="WORKPLACE INTERIORS MISC 2025"/>
    <n v="0"/>
    <n v="1"/>
    <d v="2025-01-15T00:00:00"/>
    <x v="1"/>
  </r>
  <r>
    <s v="ORT-0000010369"/>
    <s v="C000416592"/>
    <s v="QUEEN STREET PLACE NO 36 LONDON"/>
    <n v="0"/>
    <n v="1"/>
    <d v="2025-01-15T00:00:00"/>
    <x v="1"/>
  </r>
  <r>
    <s v="ORT-0000010370"/>
    <s v="C000416593"/>
    <s v="MUSGROVE PARK HOSPITAL TAUNTON"/>
    <n v="54"/>
    <n v="0"/>
    <d v="2025-01-15T00:00:00"/>
    <x v="1"/>
  </r>
  <r>
    <s v="ORT-0000010371"/>
    <s v="C000416594"/>
    <s v="WILTON ROAD NO 129 TRIDENT ENERGY REFURB FLRS 7 &amp; 8 LONDON"/>
    <n v="0"/>
    <n v="1"/>
    <d v="2025-01-15T00:00:00"/>
    <x v="1"/>
  </r>
  <r>
    <s v="ORT-0000010372"/>
    <s v="C000416595"/>
    <s v="WORKPLACE INTERIORS MISC 2025"/>
    <n v="0"/>
    <n v="1"/>
    <d v="2025-01-15T00:00:00"/>
    <x v="1"/>
  </r>
  <r>
    <s v="ORT-0000010373"/>
    <s v="C000416596"/>
    <s v="UNKNOWN"/>
    <n v="0"/>
    <n v="1"/>
    <d v="2025-01-15T00:00:00"/>
    <x v="1"/>
  </r>
  <r>
    <s v="ORT-0000010374"/>
    <s v="C000416598"/>
    <s v="BISHOPSGATE NO 280 CAT B FIT OUT BAKER MCKENZIE LONDON"/>
    <n v="0"/>
    <n v="1"/>
    <d v="2025-01-15T00:00:00"/>
    <x v="1"/>
  </r>
  <r>
    <s v="ORT-0000010375"/>
    <s v="C000416599"/>
    <s v="CITY POINT ROPEMAKER STREET FLR 16 REFURB LONDON"/>
    <n v="0"/>
    <n v="1"/>
    <d v="2025-01-15T00:00:00"/>
    <x v="1"/>
  </r>
  <r>
    <s v="ORT-0000010376"/>
    <s v="C000416600"/>
    <s v="SAINSBURYS MISC 2025"/>
    <n v="0"/>
    <n v="1"/>
    <d v="2025-01-15T00:00:00"/>
    <x v="1"/>
  </r>
  <r>
    <s v="ORT-0000010377"/>
    <s v="C000416601"/>
    <s v="UNKNOWN"/>
    <n v="0"/>
    <n v="1"/>
    <d v="2025-01-15T00:00:00"/>
    <x v="1"/>
  </r>
  <r>
    <s v="ORT-0000010378"/>
    <s v="C000416602"/>
    <s v="ALEXANDER BAIN HOUSE REFURB GLASGOW"/>
    <n v="69"/>
    <n v="0"/>
    <d v="2025-01-15T00:00:00"/>
    <x v="1"/>
  </r>
  <r>
    <s v="ORT-0000010379"/>
    <s v="C000416603"/>
    <s v="Active Stretch Fabric"/>
    <n v="0"/>
    <n v="1"/>
    <d v="2025-01-15T00:00:00"/>
    <x v="1"/>
  </r>
  <r>
    <s v="ORT-0000010380"/>
    <s v="C000416608"/>
    <s v="MORE LONDON NO 6 CAT A LONDON"/>
    <n v="1"/>
    <n v="1"/>
    <d v="2025-01-15T00:00:00"/>
    <x v="1"/>
  </r>
  <r>
    <s v="ORT-0000010381"/>
    <s v="C000416609"/>
    <s v="UNI OF OXFORD CENTRE FOR LIFE AND MIND SCIENCES"/>
    <n v="0"/>
    <n v="1"/>
    <d v="2025-01-15T00:00:00"/>
    <x v="1"/>
  </r>
  <r>
    <s v="ORT-0000010382"/>
    <s v="C000416610"/>
    <s v="LOVELS WAY INDUSTRIAL UNIT WIDNES"/>
    <n v="0"/>
    <n v="1"/>
    <d v="2025-01-15T00:00:00"/>
    <x v="1"/>
  </r>
  <r>
    <s v="ORT-0000010384"/>
    <s v="C000416611"/>
    <s v="Pressure Testing"/>
    <n v="0"/>
    <n v="1"/>
    <d v="2025-01-16T00:00:00"/>
    <x v="1"/>
  </r>
  <r>
    <s v="ORT-0000010385"/>
    <s v="C000416613"/>
    <s v="ROOM COMFORT"/>
    <n v="0"/>
    <n v="1"/>
    <d v="2025-01-16T00:00:00"/>
    <x v="1"/>
  </r>
  <r>
    <s v="ORT-0000010386"/>
    <s v="C000416614"/>
    <s v="BONHILL STREET NO 6-8 REFURB LONDON"/>
    <n v="0"/>
    <n v="1"/>
    <d v="2025-01-16T00:00:00"/>
    <x v="1"/>
  </r>
  <r>
    <s v="ORT-0000010387"/>
    <s v="C000416615"/>
    <s v="SPINNINGFIELDS NO 1 9TH FLOOR REFURB MANCHESTER"/>
    <n v="1"/>
    <n v="1"/>
    <d v="2025-01-16T00:00:00"/>
    <x v="1"/>
  </r>
  <r>
    <s v="ORT-0000010388"/>
    <s v="C000416616"/>
    <s v="MORE LONDON NO 6 CAT A LONDON"/>
    <n v="0"/>
    <n v="1"/>
    <d v="2025-01-16T00:00:00"/>
    <x v="1"/>
  </r>
  <r>
    <s v="ORT-0000010389"/>
    <s v="C000416617"/>
    <s v="EVERTON FC BRAMLEY MOORE DOCK STADIUM FEATURES LIVERPOOL"/>
    <n v="0"/>
    <n v="1"/>
    <d v="2025-01-16T00:00:00"/>
    <x v="1"/>
  </r>
  <r>
    <s v="ORT-0000010390"/>
    <s v="C000416618"/>
    <s v="DUNFERMLINE LEARNING CAMPUS FIFE COLLEGE"/>
    <n v="0"/>
    <n v="1"/>
    <d v="2025-01-16T00:00:00"/>
    <x v="1"/>
  </r>
  <r>
    <s v="ORT-0000010391"/>
    <s v="C000416619"/>
    <s v="LOWER MARSH NO 1-5 LOMA DEVELOPMENT LONDON"/>
    <n v="0"/>
    <n v="1"/>
    <d v="2025-01-16T00:00:00"/>
    <x v="1"/>
  </r>
  <r>
    <s v="ORT-0000010392"/>
    <s v="C000416620"/>
    <s v="CITY POINT ROPEMAKER STREET FLR 16 REFURB LONDON"/>
    <n v="0"/>
    <n v="1"/>
    <d v="2025-01-16T00:00:00"/>
    <x v="1"/>
  </r>
  <r>
    <s v="ORT-0000010393"/>
    <s v="C000416621"/>
    <s v="EVERTON FC BRAMLEY MOORE DOCK STADIUM FEATURES LIVERPOOL"/>
    <n v="0"/>
    <n v="1"/>
    <d v="2025-01-16T00:00:00"/>
    <x v="1"/>
  </r>
  <r>
    <s v="ORT-0000010394"/>
    <s v="C000416622"/>
    <s v="TRITON SQUARE NO 1 OFFICE / LABS RECEPTION WALL PANELS"/>
    <n v="16"/>
    <n v="0"/>
    <d v="2025-01-16T00:00:00"/>
    <x v="1"/>
  </r>
  <r>
    <s v="ORT-0000010395"/>
    <s v="C000416624"/>
    <s v="WORKPLACE INTERIORS MISC 2025"/>
    <n v="0"/>
    <n v="1"/>
    <d v="2025-01-16T00:00:00"/>
    <x v="1"/>
  </r>
  <r>
    <s v="ORT-0000010396"/>
    <s v="C000416625"/>
    <s v="EVERTON FC BRAMLEY MOORE DOCK STADIUM FEATURES LIVERPOOL"/>
    <n v="0"/>
    <n v="1"/>
    <d v="2025-01-16T00:00:00"/>
    <x v="1"/>
  </r>
  <r>
    <s v="ORT-0000010397"/>
    <s v="C000416626"/>
    <s v="BISHOPSGATE NO 199 CAT B FLR 9 CROWELL MORING LONDON"/>
    <n v="0"/>
    <n v="1"/>
    <d v="2025-01-16T00:00:00"/>
    <x v="1"/>
  </r>
  <r>
    <s v="ORT-0000010398"/>
    <s v="C000416627"/>
    <s v="SP MISC PROJECTS 2024"/>
    <n v="0"/>
    <n v="1"/>
    <d v="2025-01-16T00:00:00"/>
    <x v="1"/>
  </r>
  <r>
    <s v="ORT-0000010399"/>
    <s v="C000416628"/>
    <s v="ROPEMAKER STREET NO 20-22 LINKLATERS FIT-OUT LONDON"/>
    <n v="0"/>
    <n v="1"/>
    <d v="2025-01-16T00:00:00"/>
    <x v="1"/>
  </r>
  <r>
    <s v="ORT-0000010400"/>
    <s v="C000416630"/>
    <s v="BISHOPSGATE NO 199 CAT B FLR 9 CROWELL MORING LONDON"/>
    <n v="0"/>
    <n v="1"/>
    <d v="2025-01-16T00:00:00"/>
    <x v="1"/>
  </r>
  <r>
    <s v="ORT-0000010401"/>
    <s v="C000416631"/>
    <s v="KINGS CROSS CENTRAL GOOGLE HQ KGX1 CAT A LONDON"/>
    <n v="0"/>
    <n v="1"/>
    <d v="2025-01-16T00:00:00"/>
    <x v="1"/>
  </r>
  <r>
    <s v="ORT-0000010402"/>
    <s v="C000416632"/>
    <s v="LONDON MISC 2025"/>
    <n v="0"/>
    <n v="1"/>
    <d v="2025-01-16T00:00:00"/>
    <x v="1"/>
  </r>
  <r>
    <s v="ORT-0000010403"/>
    <s v="C000416633"/>
    <s v="TESCO MISC 2025"/>
    <n v="0"/>
    <n v="1"/>
    <d v="2025-01-16T00:00:00"/>
    <x v="1"/>
  </r>
  <r>
    <s v="ORT-0000010404"/>
    <s v="C000416634"/>
    <s v="TESCO MISC 2025"/>
    <n v="0"/>
    <n v="1"/>
    <d v="2025-01-16T00:00:00"/>
    <x v="1"/>
  </r>
  <r>
    <s v="ORT-0000010405"/>
    <s v="C000416635"/>
    <s v="MISC TILE &amp; GRID PROJECTS"/>
    <n v="0"/>
    <n v="1"/>
    <d v="2025-01-16T00:00:00"/>
    <x v="1"/>
  </r>
  <r>
    <s v="ORT-0000010406"/>
    <s v="C000416637"/>
    <s v="JACK TURNBULL MISC TILE &amp; GRID 2025"/>
    <n v="0"/>
    <n v="1"/>
    <d v="2025-01-16T00:00:00"/>
    <x v="1"/>
  </r>
  <r>
    <s v="ORT-0000010407"/>
    <s v="C000416638"/>
    <s v="WORSHIP SQUARE CLIFTON STREET NO 65 CAT B WISE LONDON"/>
    <n v="0"/>
    <n v="1"/>
    <d v="2025-01-16T00:00:00"/>
    <x v="1"/>
  </r>
  <r>
    <s v="ORT-0000010408"/>
    <s v="C000416639"/>
    <s v="TESCO MISC 2025"/>
    <n v="0"/>
    <n v="1"/>
    <d v="2025-01-16T00:00:00"/>
    <x v="1"/>
  </r>
  <r>
    <s v="ORT-0000010412"/>
    <s v="C000416675"/>
    <s v="READING BRIDGE HOUSE CAPITA PLC REFURB READING"/>
    <n v="0"/>
    <n v="1"/>
    <d v="2025-01-20T00:00:00"/>
    <x v="2"/>
  </r>
  <r>
    <s v="ORT-0000010413"/>
    <s v="C000416676"/>
    <s v="BISHOPSGATE NO 250 FLR 1 &amp; 2 NATWEST REFURB LONDON"/>
    <n v="0"/>
    <n v="1"/>
    <d v="2025-01-20T00:00:00"/>
    <x v="2"/>
  </r>
  <r>
    <s v="ORT-0000010414"/>
    <s v="C000416677"/>
    <s v="BRAVINGTON HOUSE INHEALTH FLR 4 LIGHTING KINGS CROSS"/>
    <n v="1"/>
    <n v="1"/>
    <d v="2025-01-20T00:00:00"/>
    <x v="2"/>
  </r>
  <r>
    <s v="ORT-0000010415"/>
    <s v="C000416678"/>
    <s v="UNKNOWN"/>
    <n v="0"/>
    <n v="1"/>
    <d v="2025-01-20T00:00:00"/>
    <x v="2"/>
  </r>
  <r>
    <s v="ORT-0000010416"/>
    <s v="C000416679"/>
    <s v="WORKPLACE INTERIORS MISC 2025"/>
    <n v="0"/>
    <n v="1"/>
    <d v="2025-01-20T00:00:00"/>
    <x v="2"/>
  </r>
  <r>
    <s v="ORT-0000010417"/>
    <s v="C000416680"/>
    <s v="UNI OF EDINBURGH QMRI FLOORS 2 &amp; 3 REFURB ADDITIONALS"/>
    <n v="0"/>
    <n v="1"/>
    <d v="2025-01-20T00:00:00"/>
    <x v="2"/>
  </r>
  <r>
    <s v="ORT-0000010418"/>
    <s v="C000416681"/>
    <s v="PUBLIC WCS FIT OUT EMBANKMENT STATION LONDON"/>
    <n v="0"/>
    <n v="1"/>
    <d v="2025-01-20T00:00:00"/>
    <x v="2"/>
  </r>
  <r>
    <s v="ORT-0000010419"/>
    <s v="C000416683"/>
    <s v="TESCO MISC 2025"/>
    <n v="0"/>
    <n v="1"/>
    <d v="2025-01-20T00:00:00"/>
    <x v="2"/>
  </r>
  <r>
    <s v="ORT-0000010420"/>
    <s v="C000416684"/>
    <s v="GREAT QUEEN STREET NO 10 REFURB LONDON"/>
    <n v="12"/>
    <n v="0"/>
    <d v="2025-01-20T00:00:00"/>
    <x v="2"/>
  </r>
  <r>
    <s v="ORT-0000010421"/>
    <s v="C000416685"/>
    <s v="SIMON NORTH MISC 2024"/>
    <n v="0"/>
    <n v="1"/>
    <d v="2025-01-20T00:00:00"/>
    <x v="2"/>
  </r>
  <r>
    <s v="ORT-0000010422"/>
    <s v="C000416687"/>
    <s v="HOLBORN VIADUCT NO 60 AMAZON POP LONDON"/>
    <n v="0"/>
    <n v="1"/>
    <d v="2025-01-20T00:00:00"/>
    <x v="2"/>
  </r>
  <r>
    <s v="ORT-0000010423"/>
    <s v="C000416688"/>
    <s v="HAYMARKET BUILDING 4 &amp; 5 BAILLIE GIFFORD FIT OUT EDINBURGH"/>
    <n v="0"/>
    <n v="1"/>
    <d v="2025-01-20T00:00:00"/>
    <x v="2"/>
  </r>
  <r>
    <s v="ORT-0000010424"/>
    <s v="C000416689"/>
    <s v="CURZON STREET NO 1 GRND &amp; FLR 4 REFURB LONDON"/>
    <n v="0"/>
    <n v="1"/>
    <d v="2025-01-20T00:00:00"/>
    <x v="2"/>
  </r>
  <r>
    <s v="ORT-0000010425"/>
    <s v="C000416691"/>
    <s v="VISA CHINEHAM PARK LIME TREE WAY PHASE 2  BASINGSTOKE"/>
    <n v="8"/>
    <n v="0"/>
    <d v="2025-01-20T00:00:00"/>
    <x v="2"/>
  </r>
  <r>
    <s v="ORT-0000010426"/>
    <s v="C000416692"/>
    <s v="MOORFIELDS NO 21 THE GLACIER CAT B DEUTSCHE BANK LONDON"/>
    <n v="0"/>
    <n v="1"/>
    <d v="2025-01-20T00:00:00"/>
    <x v="2"/>
  </r>
  <r>
    <s v="ORT-0000010427"/>
    <s v="C000416693"/>
    <s v="WELLINGTON STREET NO 76 CENTURA BUILDING REFURB LEEDS"/>
    <n v="0"/>
    <n v="1"/>
    <d v="2025-01-20T00:00:00"/>
    <x v="2"/>
  </r>
  <r>
    <s v="ORT-0000010428"/>
    <s v="C000416694"/>
    <s v="QUEENS QUAY BRISTOL CEILINGS"/>
    <n v="0"/>
    <n v="1"/>
    <d v="2025-01-20T00:00:00"/>
    <x v="2"/>
  </r>
  <r>
    <s v="ORT-0000010429"/>
    <s v="C000416695"/>
    <s v="BOTHWELL STREET NO 120 FLS 8 &amp; 9 CAT B FITOUT GLASGOW"/>
    <n v="14"/>
    <n v="0"/>
    <d v="2025-01-20T00:00:00"/>
    <x v="2"/>
  </r>
  <r>
    <s v="ORT-0000010431"/>
    <s v="C000416696"/>
    <s v="ELMFIELD ROAD NO 26 LOBBY AREA BROMLEY"/>
    <n v="17"/>
    <n v="0"/>
    <d v="2025-01-20T00:00:00"/>
    <x v="2"/>
  </r>
  <r>
    <s v="ORT-0000010432"/>
    <s v="C000416700"/>
    <s v="CHESTERFIELD GARDENS NO 6 REFURB LONDON"/>
    <n v="0"/>
    <n v="1"/>
    <d v="2025-01-20T00:00:00"/>
    <x v="2"/>
  </r>
  <r>
    <s v="ORT-0000010433"/>
    <s v="C000416701"/>
    <s v="LONDON MISC 2025"/>
    <n v="0"/>
    <n v="1"/>
    <d v="2025-01-20T00:00:00"/>
    <x v="2"/>
  </r>
  <r>
    <s v="ORT-0000010434"/>
    <s v="C000416704"/>
    <s v="SPTS CELTIC LAKES FIT OUT NEWPORT WALES"/>
    <n v="0"/>
    <n v="1"/>
    <d v="2025-01-20T00:00:00"/>
    <x v="2"/>
  </r>
  <r>
    <s v="ORT-0000010435"/>
    <s v="C000416705"/>
    <s v="WORKPLACE INTERIORS MISC 2025"/>
    <n v="0"/>
    <n v="1"/>
    <d v="2025-01-20T00:00:00"/>
    <x v="2"/>
  </r>
  <r>
    <s v="ORT-0000010438"/>
    <s v="C000416706"/>
    <s v="SAINSBURYS MISC 2025"/>
    <n v="0"/>
    <n v="1"/>
    <d v="2025-01-21T00:00:00"/>
    <x v="2"/>
  </r>
  <r>
    <s v="ORT-0000010439"/>
    <s v="C000416708"/>
    <s v="EXCHANGE TOWER HARBOUR EXCHANGE REFURB LONDON"/>
    <n v="0"/>
    <n v="1"/>
    <d v="2025-01-21T00:00:00"/>
    <x v="2"/>
  </r>
  <r>
    <s v="ORT-0000010441"/>
    <s v="C000416710"/>
    <s v="MISC TILE &amp; GRID PROJECTS"/>
    <n v="0"/>
    <n v="1"/>
    <d v="2025-01-21T00:00:00"/>
    <x v="2"/>
  </r>
  <r>
    <s v="ORT-0000010442"/>
    <s v="C000416711"/>
    <s v="WESTFIELD AVENUE NO 1 NCA FIT OUT STRATFORD CITY"/>
    <n v="0"/>
    <n v="1"/>
    <d v="2025-01-21T00:00:00"/>
    <x v="2"/>
  </r>
  <r>
    <s v="ORT-0000010443"/>
    <s v="C000416712"/>
    <s v="ST JAMES PARK STATION REFURB LONDON"/>
    <n v="0"/>
    <n v="1"/>
    <d v="2025-01-21T00:00:00"/>
    <x v="2"/>
  </r>
  <r>
    <s v="ORT-0000010444"/>
    <s v="C000416713"/>
    <s v="UNI OF OXFORD CENTRE FOR LIFE AND MIND SCIENCES"/>
    <n v="0"/>
    <n v="1"/>
    <d v="2025-01-21T00:00:00"/>
    <x v="2"/>
  </r>
  <r>
    <s v="ORT-0000010445"/>
    <s v="C000416714"/>
    <s v="ROPEMAKER STREET NO 20-22 LINKLATERS FIT-OUT LONDON"/>
    <n v="0"/>
    <n v="1"/>
    <d v="2025-01-21T00:00:00"/>
    <x v="2"/>
  </r>
  <r>
    <s v="ORT-0000010446"/>
    <s v="C000416716"/>
    <s v="KING WILLIAM STREET NO 85 FLR 4 REFURB LONDON"/>
    <n v="8"/>
    <n v="0"/>
    <d v="2025-01-21T00:00:00"/>
    <x v="2"/>
  </r>
  <r>
    <s v="ORT-0000010447"/>
    <s v="C000416717"/>
    <s v="EARLEY EAST BUILDING THAMES VALLEY PARK READING"/>
    <n v="0"/>
    <n v="1"/>
    <d v="2025-01-21T00:00:00"/>
    <x v="2"/>
  </r>
  <r>
    <s v="ORT-0000010448"/>
    <s v="C000416718"/>
    <s v="EMBERTON HOUSE OLYMPIA REDEVELOPMENT FIT-OUT LONDON"/>
    <n v="0"/>
    <n v="1"/>
    <d v="2025-01-21T00:00:00"/>
    <x v="2"/>
  </r>
  <r>
    <s v="ORT-0000010449"/>
    <s v="C000416719"/>
    <s v="HEATHROW TECHNICAL BLOCK C (TBC) TOILET REFURBISHMENT LONDON"/>
    <n v="0"/>
    <n v="1"/>
    <d v="2025-01-21T00:00:00"/>
    <x v="2"/>
  </r>
  <r>
    <s v="ORT-0000010450"/>
    <s v="C000416721"/>
    <s v="ST MICHAEL'S FLR 9 HILL DICKINSON FIT OUT MANCHESTER"/>
    <n v="2"/>
    <n v="1"/>
    <d v="2025-01-21T00:00:00"/>
    <x v="2"/>
  </r>
  <r>
    <s v="ORT-0000010451"/>
    <s v="C000416722"/>
    <s v="CANARY WHARF CANADA SQUARE NO 25 CITIBANK REFURB LONDON"/>
    <n v="9"/>
    <n v="0"/>
    <d v="2025-01-21T00:00:00"/>
    <x v="2"/>
  </r>
  <r>
    <s v="ORT-0000010452"/>
    <s v="C000416723"/>
    <s v="HAYS GALLERIA SHACKLETON HOUSE CAT A REFURB FLR 5 LONDON"/>
    <n v="0"/>
    <n v="1"/>
    <d v="2025-01-21T00:00:00"/>
    <x v="2"/>
  </r>
  <r>
    <s v="ORT-0000010453"/>
    <s v="C000416724"/>
    <s v="BROADGATE NO 1-2 CAT B A&amp;O SHEARMAN FLOORS 1-7"/>
    <n v="0"/>
    <n v="1"/>
    <d v="2025-01-21T00:00:00"/>
    <x v="2"/>
  </r>
  <r>
    <s v="ORT-0000010454"/>
    <s v="C000416725"/>
    <s v="JACK TURNBULL MISC TILE &amp; GRID 2025"/>
    <n v="0"/>
    <n v="1"/>
    <d v="2025-01-21T00:00:00"/>
    <x v="2"/>
  </r>
  <r>
    <s v="ORT-0000010455"/>
    <s v="C000416726"/>
    <s v="YEOMAN PARK ACADEMY REFURB MANSFIELD"/>
    <n v="0"/>
    <n v="1"/>
    <d v="2025-01-21T00:00:00"/>
    <x v="2"/>
  </r>
  <r>
    <s v="ORT-0000010456"/>
    <s v="C000416727"/>
    <s v="CANARY WHARF CANADA SQUARE NO 25 CITIBANK REFURB LONDON"/>
    <n v="7"/>
    <n v="0"/>
    <d v="2025-01-21T00:00:00"/>
    <x v="2"/>
  </r>
  <r>
    <s v="ORT-0000010457"/>
    <s v="C000416728"/>
    <s v="CORINTHIAN HOUSE FLR 9 CAT B FITOUT  CROYDON"/>
    <n v="0"/>
    <n v="1"/>
    <d v="2025-01-21T00:00:00"/>
    <x v="2"/>
  </r>
  <r>
    <s v="ORT-0000010458"/>
    <s v="C000416729"/>
    <s v="JACK TURNBULL MISC TILE &amp; GRID 2025"/>
    <n v="0"/>
    <n v="1"/>
    <d v="2025-01-21T00:00:00"/>
    <x v="2"/>
  </r>
  <r>
    <s v="ORT-0000010459"/>
    <s v="C000416730"/>
    <s v="AMAZON CAI-14 FESTIVAL CITY PHASE 2 CAIRO"/>
    <n v="23"/>
    <n v="0"/>
    <d v="2025-01-21T00:00:00"/>
    <x v="2"/>
  </r>
  <r>
    <s v="ORT-0000010460"/>
    <s v="C000416731"/>
    <s v="EURSHELL MISC TILE &amp; GRID 2025"/>
    <n v="0"/>
    <n v="1"/>
    <d v="2025-01-21T00:00:00"/>
    <x v="2"/>
  </r>
  <r>
    <s v="ORT-0000010461"/>
    <s v="C000416732"/>
    <s v="EURSHELL MISC TILE &amp; GRID 2025"/>
    <n v="0"/>
    <n v="1"/>
    <d v="2025-01-21T00:00:00"/>
    <x v="2"/>
  </r>
  <r>
    <s v="ORT-0000010462"/>
    <s v="C000416735"/>
    <s v="TESCO MISC 2025"/>
    <n v="0"/>
    <n v="1"/>
    <d v="2025-01-21T00:00:00"/>
    <x v="2"/>
  </r>
  <r>
    <s v="ORT-0000010463"/>
    <s v="C000416736"/>
    <s v="GREENWICH PENINSULA PLOT NO 19.05 RESI LONDON"/>
    <n v="0"/>
    <n v="1"/>
    <d v="2025-01-21T00:00:00"/>
    <x v="2"/>
  </r>
  <r>
    <s v="ORT-0000010464"/>
    <s v="C000416737"/>
    <s v="CENTRAL SQUARE NO 2 CARDIFF"/>
    <n v="0"/>
    <n v="1"/>
    <d v="2025-01-21T00:00:00"/>
    <x v="2"/>
  </r>
  <r>
    <s v="ORT-0000010465"/>
    <s v="C000416738"/>
    <s v="SNOW HILL BUILDING 1 FLOOR 8 REFURB BIRMINGHAM"/>
    <n v="7"/>
    <n v="0"/>
    <d v="2025-01-21T00:00:00"/>
    <x v="2"/>
  </r>
  <r>
    <s v="ORT-0000010466"/>
    <s v="C000416739"/>
    <s v="CURZON STREET NO 1 GRND &amp; FLR 4 REFURB LONDON"/>
    <n v="0"/>
    <n v="1"/>
    <d v="2025-01-21T00:00:00"/>
    <x v="2"/>
  </r>
  <r>
    <s v="ORT-0000010467"/>
    <s v="C000416740"/>
    <s v="ONE STATION HILL LEVEL B1 GYM READING"/>
    <n v="0"/>
    <n v="1"/>
    <d v="2025-01-21T00:00:00"/>
    <x v="2"/>
  </r>
  <r>
    <s v="ORT-0000010468"/>
    <s v="C000416742"/>
    <s v="TESCO MISC 2025"/>
    <n v="0"/>
    <n v="1"/>
    <d v="2025-01-21T00:00:00"/>
    <x v="2"/>
  </r>
  <r>
    <s v="ORT-0000010469"/>
    <s v="C000416743"/>
    <s v="TESCO MISC 2025"/>
    <n v="0"/>
    <n v="1"/>
    <d v="2025-01-21T00:00:00"/>
    <x v="2"/>
  </r>
  <r>
    <s v="ORT-0000010470"/>
    <s v="C000416745"/>
    <s v="BATTERY GREEN ROTTERDAM ROAD LOWESTOFT"/>
    <n v="0"/>
    <n v="1"/>
    <d v="2025-01-21T00:00:00"/>
    <x v="2"/>
  </r>
  <r>
    <s v="ORT-0000010471"/>
    <s v="C000416747"/>
    <s v="BASINGHALL 1 LONDON"/>
    <n v="0"/>
    <n v="1"/>
    <d v="2025-01-21T00:00:00"/>
    <x v="2"/>
  </r>
  <r>
    <s v="ORT-0000010472"/>
    <s v="C000416748"/>
    <s v="CRAYFIELDS BUSINESS PARK UNIT 1.02 ORPINGTON"/>
    <n v="0"/>
    <n v="1"/>
    <d v="2025-01-21T00:00:00"/>
    <x v="2"/>
  </r>
  <r>
    <s v="ORT-0000010473"/>
    <s v="C000416749"/>
    <s v="EURSHELL MISC TILE &amp; GRID 2025"/>
    <n v="65"/>
    <n v="0"/>
    <d v="2025-01-21T00:00:00"/>
    <x v="2"/>
  </r>
  <r>
    <s v="ORT-0000010476"/>
    <s v="C000416750"/>
    <s v="BANK OF AMERICA KING EDWARD STREET NO 2 WC REFURB LONDON"/>
    <n v="0"/>
    <n v="1"/>
    <d v="2025-01-21T00:00:00"/>
    <x v="2"/>
  </r>
  <r>
    <s v="ORT-0000010478"/>
    <s v="C000416751"/>
    <s v="THE CURSITOR CHANCERY LANE NO 38 CAT A REFURB LONDON"/>
    <n v="10"/>
    <n v="0"/>
    <d v="2025-01-22T00:00:00"/>
    <x v="2"/>
  </r>
  <r>
    <s v="ORT-0000010479"/>
    <s v="C000416752"/>
    <s v="DATA CENTRE MOCK UPS"/>
    <n v="0"/>
    <n v="1"/>
    <d v="2025-01-22T00:00:00"/>
    <x v="2"/>
  </r>
  <r>
    <s v="ORT-0000010480"/>
    <s v="C000416753"/>
    <s v="ST PETERS SQUARE LANDMARK BUILDING FLOOR 6 MANCHESTER"/>
    <n v="0"/>
    <n v="1"/>
    <d v="2025-01-22T00:00:00"/>
    <x v="2"/>
  </r>
  <r>
    <s v="ORT-0000010481"/>
    <s v="C000416754"/>
    <s v="ST JAMES PARK STATION REFURB LONDON"/>
    <n v="0"/>
    <n v="1"/>
    <d v="2025-01-22T00:00:00"/>
    <x v="2"/>
  </r>
  <r>
    <s v="ORT-0000010482"/>
    <s v="C000416760"/>
    <s v="WESTFIELD AVENUE NO 1 NCA FIT OUT STRATFORD CITY"/>
    <n v="0"/>
    <n v="1"/>
    <d v="2025-01-22T00:00:00"/>
    <x v="2"/>
  </r>
  <r>
    <s v="ORT-0000010483"/>
    <s v="C000416770"/>
    <s v="MANCHESTER SQUARE NO 20 CAT B LAZARD LONDON"/>
    <n v="0"/>
    <n v="1"/>
    <d v="2025-01-22T00:00:00"/>
    <x v="2"/>
  </r>
  <r>
    <s v="ORT-0000010484"/>
    <s v="C000416771"/>
    <s v="ARKWRIGHT HOUSE REFURB MANCHESTER"/>
    <n v="0"/>
    <n v="1"/>
    <d v="2025-01-22T00:00:00"/>
    <x v="2"/>
  </r>
  <r>
    <s v="ORT-0000010485"/>
    <s v="C000416783"/>
    <s v="CHARTERHOUSE STREET NO 33 SAINSBURYS FLRS 1-3 LONDON"/>
    <n v="0"/>
    <n v="1"/>
    <d v="2025-01-22T00:00:00"/>
    <x v="2"/>
  </r>
  <r>
    <s v="ORT-0000010491"/>
    <s v="I000412835"/>
    <s v="LEADENHALL STREET NO 40 KIRKLAND &amp; ELLIS FLRS 15-34 LONDON"/>
    <n v="0"/>
    <n v="1"/>
    <d v="2025-01-23T00:00:00"/>
    <x v="2"/>
  </r>
  <r>
    <s v="ORT-0000010492"/>
    <s v="C000416795"/>
    <s v="TURNER HOUSE BATH RD NO 103 - 105 REFURB SLOUGH"/>
    <n v="0"/>
    <n v="1"/>
    <d v="2025-01-23T00:00:00"/>
    <x v="2"/>
  </r>
  <r>
    <s v="ORT-0000010493"/>
    <s v="C000416797"/>
    <s v="JACK TURNBULL MISC TILE &amp; GRID 2025"/>
    <n v="0"/>
    <n v="1"/>
    <d v="2025-01-23T00:00:00"/>
    <x v="2"/>
  </r>
  <r>
    <s v="ORT-0000010494"/>
    <s v="C000416817"/>
    <s v="LEADENHALL STREET NO 122 FLR 16 REFURB LONDON"/>
    <n v="0"/>
    <n v="1"/>
    <d v="2025-01-23T00:00:00"/>
    <x v="2"/>
  </r>
  <r>
    <s v="ORT-0000010495"/>
    <s v="C000416820"/>
    <s v="FINSBURY CIRCUS NO 16-18 PARK HOUSE FLR 1 REFURB LONDON"/>
    <n v="0"/>
    <n v="1"/>
    <d v="2025-01-23T00:00:00"/>
    <x v="2"/>
  </r>
  <r>
    <s v="ORT-0000010496"/>
    <s v="C000416821"/>
    <s v="GRESHAM STREET NO 30 REFURB LONDON"/>
    <n v="4"/>
    <n v="1"/>
    <d v="2025-01-23T00:00:00"/>
    <x v="2"/>
  </r>
  <r>
    <s v="ORT-0000010497"/>
    <s v="C000416826"/>
    <s v="MIDDLEWOOD LOCKS PHASE 3 RESIDENTIAL MANCHESTER"/>
    <n v="0"/>
    <n v="1"/>
    <d v="2025-01-23T00:00:00"/>
    <x v="2"/>
  </r>
  <r>
    <s v="ORT-0000010498"/>
    <s v="C000416828"/>
    <s v="TRITON SQUARE NO 1 OFFICE / LABS CAT A LONDON"/>
    <n v="23"/>
    <n v="0"/>
    <d v="2025-01-23T00:00:00"/>
    <x v="2"/>
  </r>
  <r>
    <s v="ORT-0000010499"/>
    <s v="C000416840"/>
    <s v="JACK TURNBULL MISC TILE &amp; GRID 2025"/>
    <n v="0"/>
    <n v="1"/>
    <d v="2025-01-24T00:00:00"/>
    <x v="2"/>
  </r>
  <r>
    <s v="ORT-0000010500"/>
    <s v="C000416842"/>
    <s v="GRESHAM STREET NO 30 INVESTEC LEVEL 6 LONDON"/>
    <n v="10"/>
    <n v="0"/>
    <d v="2025-01-24T00:00:00"/>
    <x v="2"/>
  </r>
  <r>
    <s v="ORT-0000010501"/>
    <s v="C000416844"/>
    <s v="HARWELL NO 3302 FLOOR 1 LAB PHASE 1 REFURB DIDCOT"/>
    <n v="0"/>
    <n v="1"/>
    <d v="2025-01-24T00:00:00"/>
    <x v="2"/>
  </r>
  <r>
    <s v="ORT-0000010502"/>
    <s v="C000416845"/>
    <s v="KING STREET NO 33 CLEVELAND HOUSE CDR REFURB FLOORS 4-5"/>
    <n v="0"/>
    <n v="1"/>
    <d v="2025-01-24T00:00:00"/>
    <x v="2"/>
  </r>
  <r>
    <s v="ORT-0000010503"/>
    <s v="C000416846"/>
    <s v="EXCEL PHASE 3 DEVELOPMENT WC LONDON"/>
    <n v="0"/>
    <n v="1"/>
    <d v="2025-01-24T00:00:00"/>
    <x v="2"/>
  </r>
  <r>
    <s v="ORT-0000010505"/>
    <s v="C000416852"/>
    <s v="EURSHELL MISC TILE &amp; GRID 2025"/>
    <n v="0"/>
    <n v="1"/>
    <d v="2025-01-27T00:00:00"/>
    <x v="3"/>
  </r>
  <r>
    <s v="ORT-0000010506"/>
    <s v="C000416853"/>
    <s v="EURSHELL MISC TILE &amp; GRID 2025"/>
    <n v="0"/>
    <n v="1"/>
    <d v="2025-01-27T00:00:00"/>
    <x v="3"/>
  </r>
  <r>
    <s v="ORT-0000010507"/>
    <s v="C000416854"/>
    <s v="MANCHESTER AIRPORT T2 EAST CHECK IN AREAS"/>
    <n v="0"/>
    <n v="1"/>
    <d v="2025-01-27T00:00:00"/>
    <x v="3"/>
  </r>
  <r>
    <s v="ORT-0000010508"/>
    <s v="C000416855"/>
    <s v="MANCHESTER AIRPORT T2 EAST WING NEW DEVELOPMENT"/>
    <n v="0"/>
    <n v="1"/>
    <d v="2025-01-27T00:00:00"/>
    <x v="3"/>
  </r>
  <r>
    <s v="ORT-0000010509"/>
    <s v="C000416859"/>
    <s v="THE FORUM KINGS QUARTER GLOUCESTER"/>
    <n v="0"/>
    <n v="1"/>
    <d v="2025-01-27T00:00:00"/>
    <x v="3"/>
  </r>
  <r>
    <s v="ORT-0000010510"/>
    <s v="C000416861"/>
    <s v="CHARING CROSS ROAD NO 127-133 LONDON"/>
    <n v="0"/>
    <n v="1"/>
    <d v="2025-01-27T00:00:00"/>
    <x v="3"/>
  </r>
  <r>
    <s v="ORT-0000010511"/>
    <s v="C000416868"/>
    <s v="UNKNOWN"/>
    <n v="0"/>
    <n v="1"/>
    <d v="2025-01-27T00:00:00"/>
    <x v="3"/>
  </r>
  <r>
    <s v="ORT-0000010512"/>
    <s v="C000416871"/>
    <s v="RIPLEY BUILDING WHITEHALL 22-26 REFURB LONDON"/>
    <n v="1"/>
    <n v="1"/>
    <d v="2025-01-27T00:00:00"/>
    <x v="3"/>
  </r>
  <r>
    <s v="ORT-0000010513"/>
    <s v="C000416872"/>
    <s v="BARGE HOUSE UPPER GROUND REFURB LONDON"/>
    <n v="0"/>
    <n v="1"/>
    <d v="2025-01-27T00:00:00"/>
    <x v="3"/>
  </r>
  <r>
    <s v="ORT-0000010514"/>
    <s v="C000416879"/>
    <s v="SAMPLE ROOM READING"/>
    <n v="0"/>
    <n v="1"/>
    <d v="2025-01-27T00:00:00"/>
    <x v="3"/>
  </r>
  <r>
    <s v="ORT-0000010515"/>
    <s v="C000416885"/>
    <s v="SPAR PARKFOOT LONDON ROAD KENT"/>
    <n v="0"/>
    <n v="1"/>
    <d v="2025-01-28T00:00:00"/>
    <x v="3"/>
  </r>
  <r>
    <s v="ORT-0000010516"/>
    <s v="C000416889"/>
    <s v="NATIONAL ARCHIVES CLORE LEARNING CENTRE KEW PHASE 2 LONDON"/>
    <n v="8"/>
    <n v="0"/>
    <d v="2025-01-28T00:00:00"/>
    <x v="3"/>
  </r>
  <r>
    <s v="ORT-0000010517"/>
    <s v="C000416894"/>
    <s v="BEDFORD AVENUE NO 1 REFURB LONDON"/>
    <n v="0"/>
    <n v="1"/>
    <d v="2025-01-28T00:00:00"/>
    <x v="3"/>
  </r>
  <r>
    <s v="ORT-0000010518"/>
    <s v="C000416896"/>
    <s v="PALACE GARDENS SHOPPING CENTRE ENFIELD"/>
    <n v="0"/>
    <n v="1"/>
    <d v="2025-01-28T00:00:00"/>
    <x v="3"/>
  </r>
  <r>
    <s v="ORT-0000010519"/>
    <s v="C000416898"/>
    <s v="GREAT QUEEN STREET NO 10 REFURB LONDON"/>
    <n v="0"/>
    <n v="1"/>
    <d v="2025-01-28T00:00:00"/>
    <x v="3"/>
  </r>
  <r>
    <s v="ORT-0000010520"/>
    <s v="C000416899"/>
    <s v="ORANGEBOX POD CASSETTES"/>
    <n v="0"/>
    <n v="1"/>
    <d v="2025-01-28T00:00:00"/>
    <x v="3"/>
  </r>
  <r>
    <s v="ORT-0000010521"/>
    <s v="C000416904"/>
    <s v="EURSHELL MISC TILE &amp; GRID 2024"/>
    <n v="0"/>
    <n v="1"/>
    <d v="2025-01-28T00:00:00"/>
    <x v="3"/>
  </r>
  <r>
    <s v="ORT-0000010522"/>
    <s v="C000416905"/>
    <s v="CITY POINT ROPEMAKER STREET FLR 16 REFURB LONDON"/>
    <n v="0"/>
    <n v="1"/>
    <d v="2025-01-28T00:00:00"/>
    <x v="3"/>
  </r>
  <r>
    <s v="ORT-0000010523"/>
    <s v="C000416908"/>
    <s v="DUNFERMLINE LEARNING CAMPUS FIFE COLLEGE"/>
    <n v="0"/>
    <n v="1"/>
    <d v="2025-01-28T00:00:00"/>
    <x v="3"/>
  </r>
  <r>
    <s v="ORT-0000010524"/>
    <s v="C000416909"/>
    <s v="ROPEMAKER STREET NO 20-22 LINKLATERS FIT-OUT LONDON"/>
    <n v="0"/>
    <n v="1"/>
    <d v="2025-01-28T00:00:00"/>
    <x v="3"/>
  </r>
  <r>
    <s v="ORT-0000010525"/>
    <s v="C000416917"/>
    <s v="ST JAMES PARK STATION REFURB LONDON"/>
    <n v="0"/>
    <n v="1"/>
    <d v="2025-01-29T00:00:00"/>
    <x v="3"/>
  </r>
  <r>
    <s v="ORT-0000010526"/>
    <s v="C000416922"/>
    <s v="BARCLAYS BANK BRANCH BARNSLEY"/>
    <n v="6"/>
    <n v="0"/>
    <d v="2025-01-29T00:00:00"/>
    <x v="3"/>
  </r>
  <r>
    <s v="ORT-0000010527"/>
    <m/>
    <s v="FALCON SQUARE NO 1 HIGHLAND HOSPICE INVERNESS"/>
    <n v="0"/>
    <n v="1"/>
    <d v="2025-01-29T00:00:00"/>
    <x v="3"/>
  </r>
  <r>
    <s v="ORT-0000010528"/>
    <s v="C000416924"/>
    <s v="FALCON SQUARE NO 1 HIGHLAND HOSPICE INVERNESS"/>
    <n v="0"/>
    <n v="1"/>
    <d v="2025-01-29T00:00:00"/>
    <x v="3"/>
  </r>
  <r>
    <s v="ORT-0000010529"/>
    <s v="C000416925"/>
    <s v="BARCLAYS BANK BRANCH EAST HAM LONDON"/>
    <n v="6"/>
    <n v="0"/>
    <d v="2025-01-29T00:00:00"/>
    <x v="3"/>
  </r>
  <r>
    <s v="ORT-0000010531"/>
    <s v="C000416928"/>
    <s v="CANARY WHARF CANADA SQUARE NO 25 CITIBANK REFURB LONDON"/>
    <n v="0"/>
    <n v="1"/>
    <d v="2025-01-29T00:00:00"/>
    <x v="3"/>
  </r>
  <r>
    <s v="ORT-0000010532"/>
    <s v="C000416931"/>
    <s v="STONECUTTER COURT CAT B TRAVERS SMITH LONDON"/>
    <n v="0"/>
    <n v="1"/>
    <d v="2025-01-29T00:00:00"/>
    <x v="3"/>
  </r>
  <r>
    <s v="ORT-0000010533"/>
    <s v="C000416932"/>
    <s v="ELEPHANT &amp; CASTLE TOWN CENTRE PLOT E1 LCC CAT B LONDON"/>
    <n v="0"/>
    <n v="1"/>
    <d v="2025-01-29T00:00:00"/>
    <x v="3"/>
  </r>
  <r>
    <s v="ORT-0000010534"/>
    <s v="C000416934"/>
    <s v="SPINDLES TOWN SQUARE SHOPPING CENTRE OLDHAM"/>
    <n v="0"/>
    <n v="1"/>
    <d v="2025-01-29T00:00:00"/>
    <x v="3"/>
  </r>
  <r>
    <s v="ORT-0000010535"/>
    <s v="C000416941"/>
    <s v="CHARTERHOUSE STREET NO 33 THREE CROWNS FLR 8 LONDON"/>
    <n v="1"/>
    <n v="1"/>
    <d v="2025-01-30T00:00:00"/>
    <x v="3"/>
  </r>
  <r>
    <s v="ORT-0000010536"/>
    <s v="C000416942"/>
    <s v="LEADENHALL STREET NO 40 KIRKLAND &amp; ELLIS FLRS 15-34 LONDON"/>
    <n v="0"/>
    <n v="1"/>
    <d v="2025-01-30T00:00:00"/>
    <x v="3"/>
  </r>
  <r>
    <s v="ORT-0000010537"/>
    <s v="C000416943"/>
    <s v="JACK TURNBULL MISC TILE &amp; GRID 2025"/>
    <n v="0"/>
    <n v="1"/>
    <d v="2025-01-30T00:00:00"/>
    <x v="3"/>
  </r>
  <r>
    <s v="ORT-0000010538"/>
    <s v="C000416945"/>
    <s v="WHITECHAPEL BUILDING REFURB LONDON"/>
    <n v="0"/>
    <n v="1"/>
    <d v="2025-01-30T00:00:00"/>
    <x v="3"/>
  </r>
  <r>
    <s v="ORT-0000010539"/>
    <s v="C000416962"/>
    <s v="KING STREET OFFICE DEVELOPMENT BLACKPOOL"/>
    <n v="0"/>
    <n v="1"/>
    <d v="2025-01-30T00:00:00"/>
    <x v="3"/>
  </r>
  <r>
    <s v="ORT-0000010540"/>
    <s v="C000416965"/>
    <s v="WORKPLACE INTERIORS MISC 2025"/>
    <n v="0"/>
    <n v="1"/>
    <d v="2025-01-30T00:00:00"/>
    <x v="3"/>
  </r>
  <r>
    <s v="ORT-0000010542"/>
    <s v="C000416950"/>
    <s v="TORRE DIAGONAL MAR BARCELONA ADD'L MAT'LS"/>
    <n v="0"/>
    <n v="1"/>
    <d v="2025-01-30T00:00:00"/>
    <x v="3"/>
  </r>
  <r>
    <s v="ORT-0000010543"/>
    <s v="C000416902"/>
    <s v="FACULTY OF ISLAMIC STUDIES EDUC ADDTL MATERIALS DOHA"/>
    <n v="44"/>
    <n v="0"/>
    <d v="2025-01-30T00:00:00"/>
    <x v="3"/>
  </r>
  <r>
    <s v="ORT-0000010545"/>
    <s v="C000416974"/>
    <s v="ARTHUR STREET NO 12 FLOOR 6 LIGHTING LONDON"/>
    <n v="3"/>
    <n v="1"/>
    <d v="2025-01-31T00:00:00"/>
    <x v="3"/>
  </r>
  <r>
    <s v="ORT-0000010546"/>
    <s v="C000416977"/>
    <s v="ARTHUR STREET NO 12 FLOOR 6 REFURB LONDON"/>
    <n v="0"/>
    <n v="1"/>
    <d v="2025-01-31T00:00:00"/>
    <x v="3"/>
  </r>
  <r>
    <s v="ORT-0000010547"/>
    <s v="C000416979"/>
    <s v="OLYMPIA CENTRAL TENANT LOBBY 1 &amp; 2 LEVEL 2M LONDON"/>
    <n v="2"/>
    <n v="1"/>
    <d v="2025-01-31T00:00:00"/>
    <x v="3"/>
  </r>
  <r>
    <s v="ORT-0000010548"/>
    <m/>
    <s v="EDF SIZEWELL POWER STATION B TRAINING BUILDING SUFFOLK"/>
    <n v="0"/>
    <n v="1"/>
    <d v="2025-01-31T00:00:00"/>
    <x v="3"/>
  </r>
  <r>
    <s v="ORT-0000010549"/>
    <s v="C000416981"/>
    <s v="DEVONSHIRE SQUARE NO 2-5 PREMIER PLACE CAT B JANE STREET"/>
    <n v="0"/>
    <n v="1"/>
    <d v="2025-01-31T00:00:00"/>
    <x v="3"/>
  </r>
  <r>
    <s v="ORT-0000010550"/>
    <s v="C000416982"/>
    <s v="WORKPLACE INTERIORS MISC 2025"/>
    <n v="0"/>
    <n v="1"/>
    <d v="2025-01-31T00:00:00"/>
    <x v="3"/>
  </r>
  <r>
    <s v="ORT-0000010551"/>
    <s v="C000416983"/>
    <s v="MABLEDON PLACE NO 1 HALO BUILDING FLR 8 REFURB LONDON"/>
    <n v="0"/>
    <n v="1"/>
    <d v="2025-01-31T00:00:00"/>
    <x v="3"/>
  </r>
  <r>
    <s v="ORT-0000010552"/>
    <s v="C000416985"/>
    <s v="HOUNSOME FIELDS PRIMARY SCHOOL BASINGSTOKE"/>
    <n v="0"/>
    <n v="1"/>
    <d v="2025-01-31T00:00:00"/>
    <x v="3"/>
  </r>
  <r>
    <s v="ORT-0000010553"/>
    <s v="C000416987"/>
    <s v="WESTFIELD AVENUE NO 1 NCA FIT OUT STRATFORD CITY"/>
    <n v="0"/>
    <n v="1"/>
    <d v="2025-01-31T00:00:00"/>
    <x v="3"/>
  </r>
  <r>
    <s v="ORT-0000010559"/>
    <s v="C000416992"/>
    <s v="MANCHESTER AIRPORT T2 EAST WING NEW DEVELOPMENT"/>
    <n v="1"/>
    <n v="1"/>
    <d v="2025-02-03T00:00:00"/>
    <x v="4"/>
  </r>
  <r>
    <s v="ORT-0000010560"/>
    <s v="C000416993"/>
    <s v="AQUIS HOUSE REFURB BALGRAVE STREET READING"/>
    <n v="0"/>
    <n v="1"/>
    <d v="2025-02-03T00:00:00"/>
    <x v="4"/>
  </r>
  <r>
    <s v="ORT-0000010561"/>
    <s v="C000416995"/>
    <s v="BASINGHALL STREET NO 25 WOOLGATE EXCHANGE CAT A LONDON"/>
    <n v="0"/>
    <n v="1"/>
    <d v="2025-02-03T00:00:00"/>
    <x v="4"/>
  </r>
  <r>
    <s v="ORT-0000010562"/>
    <s v="C000416996"/>
    <s v="ST JAMES'S SQUARE NO 8 FLOOR 4 POINT 72 LONDON"/>
    <n v="0"/>
    <n v="1"/>
    <d v="2025-02-03T00:00:00"/>
    <x v="4"/>
  </r>
  <r>
    <s v="ORT-0000010563"/>
    <s v="C000416997"/>
    <s v="OSNEY POWER STATION SAID BUSINESS SCHOOL OXFORD"/>
    <n v="0"/>
    <n v="1"/>
    <d v="2025-02-03T00:00:00"/>
    <x v="4"/>
  </r>
  <r>
    <s v="ORT-0000010564"/>
    <s v="C000417000"/>
    <s v="HAMMERSMITH ROAD NO 245 FLR 5 REFURB LONDON"/>
    <n v="0"/>
    <n v="1"/>
    <d v="2025-02-03T00:00:00"/>
    <x v="4"/>
  </r>
  <r>
    <s v="ORT-0000010565"/>
    <s v="C000417002"/>
    <s v="HCP PETERBOROUGH CITY HOSPITAL"/>
    <n v="1"/>
    <n v="1"/>
    <d v="2025-02-03T00:00:00"/>
    <x v="4"/>
  </r>
  <r>
    <s v="ORT-0000010566"/>
    <s v="C000417005"/>
    <s v="JACK TURNBULL MISC TILE &amp; GRID 2025"/>
    <n v="3"/>
    <n v="1"/>
    <d v="2025-02-03T00:00:00"/>
    <x v="4"/>
  </r>
  <r>
    <s v="ORT-0000010567"/>
    <s v="C000417007"/>
    <s v="F1 MANAGEMENT UNIT 1 &amp; 2 BIGGIN HILL"/>
    <n v="0"/>
    <n v="1"/>
    <d v="2025-02-03T00:00:00"/>
    <x v="4"/>
  </r>
  <r>
    <s v="ORT-0000010568"/>
    <s v="C000417010"/>
    <s v="QUINTON BUSINESS PARK BUILDING 9 BIRMINGHAM"/>
    <n v="0"/>
    <n v="1"/>
    <d v="2025-02-03T00:00:00"/>
    <x v="4"/>
  </r>
  <r>
    <s v="ORT-0000010569"/>
    <s v="C000417012"/>
    <s v="BASINGHALL AVENUE NO 1 GROUND &amp; 5-10 REFURB LONDON"/>
    <n v="0"/>
    <n v="1"/>
    <d v="2025-02-03T00:00:00"/>
    <x v="4"/>
  </r>
  <r>
    <s v="ORT-0000010570"/>
    <s v="C000417013"/>
    <s v="ALDERMANBURY SQUARE NO 2 BASINGHALL ST BASEMENT LONDON"/>
    <n v="0"/>
    <n v="1"/>
    <d v="2025-02-03T00:00:00"/>
    <x v="4"/>
  </r>
  <r>
    <s v="ORT-0000010571"/>
    <s v="C000417019"/>
    <s v="CHURCH STREET NO 45 FLOORS 3 &amp; 9 BIRMINGHAM"/>
    <n v="0"/>
    <n v="1"/>
    <d v="2025-02-03T00:00:00"/>
    <x v="4"/>
  </r>
  <r>
    <s v="ORT-0000010572"/>
    <s v="C000417020"/>
    <s v="DATA CENTRE MOCK UPS"/>
    <n v="0"/>
    <n v="1"/>
    <d v="2025-02-03T00:00:00"/>
    <x v="4"/>
  </r>
  <r>
    <s v="ORT-0000010573"/>
    <s v="C000417022"/>
    <s v="QUEENS QUAY BRISTOL CEILINGS"/>
    <n v="0"/>
    <n v="1"/>
    <d v="2025-02-03T00:00:00"/>
    <x v="4"/>
  </r>
  <r>
    <s v="ORT-0000010574"/>
    <s v="C000417018"/>
    <s v="SONEA ADDITIONAL LISBON"/>
    <n v="18"/>
    <n v="0"/>
    <d v="2025-02-03T00:00:00"/>
    <x v="4"/>
  </r>
  <r>
    <s v="ORT-0000010575"/>
    <s v="C000417028"/>
    <s v="CURZON STREET NO 1 GRND &amp; FLR 4 REFURB LONDON"/>
    <n v="0"/>
    <n v="1"/>
    <d v="2025-02-04T00:00:00"/>
    <x v="4"/>
  </r>
  <r>
    <s v="ORT-0000010576"/>
    <s v="C000417029"/>
    <s v="ALDERSGATE ST NO 150 THE VERDANT TIKTOK FIT OUT LONDON"/>
    <n v="3"/>
    <n v="1"/>
    <d v="2025-02-04T00:00:00"/>
    <x v="4"/>
  </r>
  <r>
    <s v="ORT-0000010577"/>
    <s v="C000417032"/>
    <s v="PORTLAND HOUSE BRESSENDEN PLACE RECEPTION  LONDON"/>
    <n v="0"/>
    <n v="1"/>
    <d v="2025-02-04T00:00:00"/>
    <x v="4"/>
  </r>
  <r>
    <s v="ORT-0000010578"/>
    <s v="C000417037"/>
    <s v="EMBERTON HOUSE OLYMPIA REDEVELOPMENT FIT-OUT LONDON"/>
    <n v="0"/>
    <n v="1"/>
    <d v="2025-02-04T00:00:00"/>
    <x v="4"/>
  </r>
  <r>
    <s v="ORT-0000010579"/>
    <s v="C000417038"/>
    <s v="HANOVER SQUARE NO 25 REFURB LONDON"/>
    <n v="5"/>
    <n v="1"/>
    <d v="2025-02-04T00:00:00"/>
    <x v="4"/>
  </r>
  <r>
    <s v="ORT-0000010580"/>
    <s v="C000417039"/>
    <s v="UPPER CAMPFIELD LIVERPOOL ROAD MANCHESTER"/>
    <n v="7"/>
    <n v="0"/>
    <d v="2025-02-04T00:00:00"/>
    <x v="4"/>
  </r>
  <r>
    <s v="ORT-0000010581"/>
    <s v="C000417040"/>
    <s v="HIGH STREET NO 29-35 REFURB CRAWLEY"/>
    <n v="0"/>
    <n v="1"/>
    <d v="2025-02-04T00:00:00"/>
    <x v="4"/>
  </r>
  <r>
    <s v="ORT-0000010582"/>
    <s v="C000417045"/>
    <s v="NEKO HEALTH MANCHESTER"/>
    <n v="0"/>
    <n v="1"/>
    <d v="2025-02-04T00:00:00"/>
    <x v="4"/>
  </r>
  <r>
    <s v="ORT-0000010583"/>
    <s v="C000417046"/>
    <s v="KAR COMMERCIAL BUILDING ERBIL IRAQ LIGHTING"/>
    <n v="176"/>
    <n v="0"/>
    <d v="2025-02-04T00:00:00"/>
    <x v="4"/>
  </r>
  <r>
    <s v="ORT-0000010584"/>
    <s v="C000417047"/>
    <s v="KAR COMMERCIAL BUILDING ERBIL IRAQ"/>
    <n v="174"/>
    <n v="0"/>
    <d v="2025-02-04T00:00:00"/>
    <x v="4"/>
  </r>
  <r>
    <s v="ORT-0000010585"/>
    <s v="C000417052"/>
    <s v="LEADENHALL STREET NO 1 CAT B LATHAM &amp; WATKINS FLRS 1-20"/>
    <n v="0"/>
    <n v="1"/>
    <d v="2025-02-04T00:00:00"/>
    <x v="4"/>
  </r>
  <r>
    <s v="ORT-0000010586"/>
    <s v="C000417053"/>
    <s v="OXFORD STREET NO 214 OFFICE BUILDING LONDON"/>
    <n v="0"/>
    <n v="1"/>
    <d v="2025-02-04T00:00:00"/>
    <x v="4"/>
  </r>
  <r>
    <s v="ORT-0000010587"/>
    <s v="C000417054"/>
    <s v="SMITHFIELD MARKET POULTRY MARKET MUSEUM OF LONDON"/>
    <n v="0"/>
    <n v="1"/>
    <d v="2025-02-04T00:00:00"/>
    <x v="4"/>
  </r>
  <r>
    <s v="ORT-0000010588"/>
    <s v="C000417056"/>
    <s v="SPTS CELTIC LAKES FIT OUT PHASE 2 NEWPORT WALES"/>
    <n v="0"/>
    <n v="1"/>
    <d v="2025-02-04T00:00:00"/>
    <x v="4"/>
  </r>
  <r>
    <s v="ORT-0000010589"/>
    <s v="C000417058"/>
    <s v="ALDERSGATE STREET NO 200 FLOOR 1 &amp; MEZZANINE CONVENE LONDON"/>
    <n v="4"/>
    <n v="1"/>
    <d v="2025-02-04T00:00:00"/>
    <x v="4"/>
  </r>
  <r>
    <s v="ORT-0000010590"/>
    <s v="C000417064"/>
    <s v="TESCO MISC 2025"/>
    <n v="0"/>
    <n v="1"/>
    <d v="2025-02-04T00:00:00"/>
    <x v="4"/>
  </r>
  <r>
    <s v="ORT-0000010591"/>
    <s v="C000417067"/>
    <s v="PILGRIM STREET PHASE 2 NEWCASTLE ADDITIONAL MATERIALS"/>
    <n v="0"/>
    <n v="1"/>
    <d v="2025-02-04T00:00:00"/>
    <x v="4"/>
  </r>
  <r>
    <s v="ORT-0000010592"/>
    <s v="C000417069"/>
    <s v="L.-ILLA BY RENTAMAR BARCELONA"/>
    <n v="29"/>
    <n v="0"/>
    <d v="2025-02-04T00:00:00"/>
    <x v="4"/>
  </r>
  <r>
    <s v="ORT-0000010593"/>
    <s v="C000417070"/>
    <s v="WELLS STREET NO 80 WELLS HOUSE THE RIBBON LONDON"/>
    <n v="1"/>
    <n v="1"/>
    <d v="2025-02-04T00:00:00"/>
    <x v="4"/>
  </r>
  <r>
    <s v="ORT-0000010597"/>
    <s v="C000417073"/>
    <s v="JACK TURNBULL MISC TILE &amp; GRID 2025"/>
    <n v="7"/>
    <n v="0"/>
    <d v="2025-02-05T00:00:00"/>
    <x v="4"/>
  </r>
  <r>
    <s v="ORT-0000010598"/>
    <s v="C000417075"/>
    <s v="EVERTON FC TUNNEL CLUB &amp; TRINITY LOUNGE LIVERPOOL"/>
    <n v="16"/>
    <n v="0"/>
    <d v="2025-02-05T00:00:00"/>
    <x v="4"/>
  </r>
  <r>
    <s v="ORT-0000010599"/>
    <s v="C000417078"/>
    <s v="BROADGATE NO 1-2 CAT A WASHROOMS LONDON"/>
    <n v="3"/>
    <n v="1"/>
    <d v="2025-02-05T00:00:00"/>
    <x v="4"/>
  </r>
  <r>
    <s v="ORT-0000010600"/>
    <s v="C000417081"/>
    <s v="TEVIOT ROW HOUSE STUDENT UNION REFURB UNI OF EDINBURGH"/>
    <n v="2"/>
    <n v="1"/>
    <d v="2025-02-05T00:00:00"/>
    <x v="4"/>
  </r>
  <r>
    <s v="ORT-0000010601"/>
    <s v="C000417087"/>
    <s v="PALACE STREET NO 16 CAT A FLOORS 1-2 LONDON"/>
    <n v="6"/>
    <n v="0"/>
    <d v="2025-02-05T00:00:00"/>
    <x v="4"/>
  </r>
  <r>
    <s v="ORT-0000010602"/>
    <s v="C000417091"/>
    <s v="CHEAPSIDE NO 100 CAT B CRAVAITH SWAINE &amp; MOORE LONDON"/>
    <n v="0"/>
    <n v="1"/>
    <d v="2025-02-05T00:00:00"/>
    <x v="4"/>
  </r>
  <r>
    <s v="ORT-0000010603"/>
    <s v="C000417096"/>
    <s v="UNI OF EDINBURGH QMRI FLOORS 2 &amp; 3 REFURB"/>
    <n v="0"/>
    <n v="1"/>
    <d v="2025-02-05T00:00:00"/>
    <x v="4"/>
  </r>
  <r>
    <s v="ORT-0000010604"/>
    <s v="C000417104"/>
    <s v="CENTRAL SQUARE NO 2 CARDIFF"/>
    <n v="0"/>
    <n v="1"/>
    <d v="2025-02-06T00:00:00"/>
    <x v="4"/>
  </r>
  <r>
    <s v="ORT-0000010605"/>
    <s v="C000417105"/>
    <s v="PILGRIM STREET PHASE 2 NEWCASTLE FURTHER DEVELOPMENT"/>
    <n v="0"/>
    <n v="1"/>
    <d v="2025-02-06T00:00:00"/>
    <x v="4"/>
  </r>
  <r>
    <s v="ORT-0000010606"/>
    <s v="C000417106"/>
    <s v="NEW BAILEY NO FOUR REFURB FLR 7 BT MANCHESTER"/>
    <n v="1"/>
    <n v="1"/>
    <d v="2025-02-06T00:00:00"/>
    <x v="4"/>
  </r>
  <r>
    <s v="ORT-0000010607"/>
    <s v="C000417108"/>
    <s v="NEW BAILEY NO FOUR REFURB FLRS 9&amp;10 BT MANCHESTER"/>
    <n v="0"/>
    <n v="1"/>
    <d v="2025-02-06T00:00:00"/>
    <x v="4"/>
  </r>
  <r>
    <s v="ORT-0000010608"/>
    <s v="C000417130"/>
    <s v="DUNDEE CENTRAL WATERFRONT PLOT 6 PHASE 2 DUNDEE"/>
    <n v="12"/>
    <n v="0"/>
    <d v="2025-02-07T00:00:00"/>
    <x v="4"/>
  </r>
  <r>
    <s v="ORT-0000010609"/>
    <s v="C000417131"/>
    <s v="EVERTON FC BRAMLEY MOORE DOCK STADIUM FEATURES LIVERPOOL"/>
    <n v="0"/>
    <n v="1"/>
    <d v="2025-02-07T00:00:00"/>
    <x v="4"/>
  </r>
  <r>
    <s v="ORT-0000010610"/>
    <s v="C000417132"/>
    <s v="THE SLOANE CLUB LOWER SLOANE STREET LONDON"/>
    <n v="0"/>
    <n v="1"/>
    <d v="2025-02-07T00:00:00"/>
    <x v="4"/>
  </r>
  <r>
    <s v="ORT-0000010611"/>
    <s v="C000417133"/>
    <s v="ELMFIELD ROAD NO 26 LOBBY AREA LIGHTING BROMLEY"/>
    <n v="16"/>
    <n v="0"/>
    <d v="2025-02-07T00:00:00"/>
    <x v="4"/>
  </r>
  <r>
    <s v="ORT-0000010612"/>
    <s v="C000417136"/>
    <s v="ARGYLE STREET DEVELOPMENT CAT A GLASGOW"/>
    <n v="0"/>
    <n v="1"/>
    <d v="2025-02-07T00:00:00"/>
    <x v="4"/>
  </r>
  <r>
    <s v="ORT-0000010613"/>
    <s v="C000417138"/>
    <s v="DATA CENTRE MOCK UPS"/>
    <n v="0"/>
    <n v="1"/>
    <d v="2025-02-07T00:00:00"/>
    <x v="4"/>
  </r>
  <r>
    <s v="ORT-0000010614"/>
    <s v="C000417140"/>
    <s v="CURRENCY HOUSE LEVEL 9 FIT OUT BLOOMBERG PHASE 2 DUBAI"/>
    <n v="9"/>
    <n v="0"/>
    <d v="2025-02-07T00:00:00"/>
    <x v="4"/>
  </r>
  <r>
    <s v="ORT-0000010615"/>
    <s v="C000417145"/>
    <s v="OXFORD STREET NO 214 OFFICE BUILDING LONDON"/>
    <n v="0"/>
    <n v="1"/>
    <d v="2025-02-07T00:00:00"/>
    <x v="4"/>
  </r>
  <r>
    <s v="ORT-0000010616"/>
    <s v="C000417146"/>
    <s v="EMBERTON HOUSE OLYMPIA REDEVELOPMENT FIT-OUT LONDON"/>
    <n v="0"/>
    <n v="1"/>
    <d v="2025-02-07T00:00:00"/>
    <x v="4"/>
  </r>
  <r>
    <s v="ORT-0000010618"/>
    <s v="C000417147"/>
    <s v="PETERBOROUGH COURT FLEET STREET NO 133 REFURB LONDON"/>
    <n v="0"/>
    <n v="1"/>
    <d v="2025-02-07T00:00:00"/>
    <x v="4"/>
  </r>
  <r>
    <s v="ORT-0000010619"/>
    <s v="C000417148"/>
    <s v="BIGGIN HILL SAPHIRE HOUSE F1 FLR 1 REFURB KENT"/>
    <n v="0"/>
    <n v="1"/>
    <d v="2025-02-07T00:00:00"/>
    <x v="4"/>
  </r>
  <r>
    <s v="ORT-0000010620"/>
    <s v="C000417153"/>
    <s v="THE STAGE SHOREDITCH BARD &amp; HEWETT AMAZON FIT OUT LONDON"/>
    <n v="0"/>
    <n v="1"/>
    <d v="2025-02-10T00:00:00"/>
    <x v="5"/>
  </r>
  <r>
    <s v="ORT-0000010621"/>
    <s v="C000417156"/>
    <s v="BERKELEY SQUARE HOUSE REFURB LONDON"/>
    <n v="2"/>
    <n v="1"/>
    <d v="2025-02-10T00:00:00"/>
    <x v="5"/>
  </r>
  <r>
    <s v="ORT-0000010622"/>
    <s v="C000417157"/>
    <s v="OLD BURLINGTON STREET NO 25 FLOOR 1 REFURB LONDON"/>
    <n v="1"/>
    <n v="1"/>
    <d v="2025-02-10T00:00:00"/>
    <x v="5"/>
  </r>
  <r>
    <s v="ORT-0000010623"/>
    <s v="C000417159"/>
    <s v="MERLIN PLACE CAMBRIDGE"/>
    <n v="17"/>
    <n v="0"/>
    <d v="2025-02-10T00:00:00"/>
    <x v="5"/>
  </r>
  <r>
    <s v="ORT-0000010624"/>
    <s v="C000416790"/>
    <s v="OXFORD STREET NO 334-348 S&amp;C / LOBBIES LONDON"/>
    <n v="19"/>
    <n v="0"/>
    <d v="2025-02-10T00:00:00"/>
    <x v="5"/>
  </r>
  <r>
    <s v="ORT-0000010625"/>
    <s v="C000417164"/>
    <s v="BLACKFRIARS NO 240 CAT B HDR FLOORS 7-8 LONDON"/>
    <n v="24"/>
    <n v="0"/>
    <d v="2025-02-10T00:00:00"/>
    <x v="5"/>
  </r>
  <r>
    <s v="ORT-0000010626"/>
    <s v="C000417170"/>
    <s v="NEW YORK STREET NO 1 CAT A REFURB FLR 7 &amp; 10 MANCHESTER"/>
    <n v="0"/>
    <n v="1"/>
    <d v="2025-02-10T00:00:00"/>
    <x v="5"/>
  </r>
  <r>
    <s v="ORT-0000010627"/>
    <s v="C000417171"/>
    <s v="WIGMORE STREET NO 42 REFURB LONDON"/>
    <n v="70"/>
    <n v="0"/>
    <d v="2025-02-10T00:00:00"/>
    <x v="5"/>
  </r>
  <r>
    <s v="ORT-0000010628"/>
    <s v="C000417173"/>
    <s v="WIGMORE STREET NO 42 REFURB LONDON"/>
    <n v="0"/>
    <n v="1"/>
    <d v="2025-02-10T00:00:00"/>
    <x v="5"/>
  </r>
  <r>
    <s v="ORT-0000010629"/>
    <s v="C000417176"/>
    <s v="ORION PARK NO 1 SEGRO DAGENHAM"/>
    <n v="1"/>
    <n v="1"/>
    <d v="2025-02-10T00:00:00"/>
    <x v="5"/>
  </r>
  <r>
    <s v="ORT-0000010630"/>
    <s v="C000417179"/>
    <s v="SCHNEIDER ELECTRIC SILICON OASIS DUBAI"/>
    <n v="11"/>
    <n v="0"/>
    <d v="2025-02-10T00:00:00"/>
    <x v="5"/>
  </r>
  <r>
    <s v="ORT-0000010631"/>
    <s v="C000417185"/>
    <s v="DEVONSHIRE HOUSE MAYFAIR PLACE NO 1 LEVELS 3-4 TA LONDON"/>
    <n v="0"/>
    <n v="1"/>
    <d v="2025-02-10T00:00:00"/>
    <x v="5"/>
  </r>
  <r>
    <s v="ORT-0000010632"/>
    <s v="C000417186"/>
    <s v="THORN LIGHTING LTD 2025"/>
    <n v="0"/>
    <n v="1"/>
    <d v="2025-02-10T00:00:00"/>
    <x v="5"/>
  </r>
  <r>
    <s v="ORT-0000010633"/>
    <s v="C000417190"/>
    <s v="HMP NEW HALL PRISON YOI REFURB WAKEFIELD"/>
    <n v="0"/>
    <n v="1"/>
    <d v="2025-02-11T00:00:00"/>
    <x v="5"/>
  </r>
  <r>
    <s v="ORT-0000010634"/>
    <s v="C000417198"/>
    <s v="BISHOPSGATE NO 199 CAT B FLR 9 CROWELL MORING LONDON"/>
    <n v="6"/>
    <n v="0"/>
    <d v="2025-02-11T00:00:00"/>
    <x v="5"/>
  </r>
  <r>
    <s v="ORT-0000010635"/>
    <s v="C000417204"/>
    <s v="ALDERMANBURY SQUARE NO 2 BASINGHALL ST RECEPTION CEILINGS"/>
    <n v="0"/>
    <n v="1"/>
    <d v="2025-02-11T00:00:00"/>
    <x v="5"/>
  </r>
  <r>
    <s v="ORT-0000010636"/>
    <s v="C000413231"/>
    <s v="WORKPLACE INTERIORS MISC 2024"/>
    <n v="0"/>
    <n v="1"/>
    <d v="2025-02-11T00:00:00"/>
    <x v="5"/>
  </r>
  <r>
    <s v="ORT-0000010637"/>
    <s v="C000413231"/>
    <s v="WORKPLACE INTERIORS MISC 2024"/>
    <n v="0"/>
    <n v="1"/>
    <d v="2025-02-11T00:00:00"/>
    <x v="5"/>
  </r>
  <r>
    <s v="ORT-0000010638"/>
    <s v="C000413231"/>
    <s v="WORKPLACE INTERIORS MISC 2024"/>
    <n v="0"/>
    <n v="1"/>
    <d v="2025-02-11T00:00:00"/>
    <x v="5"/>
  </r>
  <r>
    <s v="ORT-0000010639"/>
    <s v="C000413231"/>
    <s v="WORKPLACE INTERIORS MISC 2024"/>
    <n v="0"/>
    <n v="1"/>
    <d v="2025-02-11T00:00:00"/>
    <x v="5"/>
  </r>
  <r>
    <s v="ORT-0000010641"/>
    <s v="C000417211"/>
    <s v="THE PEAK WILTON ROAD NO 5 FLOOR 5 GIP LONDON"/>
    <n v="0"/>
    <n v="1"/>
    <d v="2025-02-11T00:00:00"/>
    <x v="5"/>
  </r>
  <r>
    <s v="ORT-0000010643"/>
    <s v="C000417214"/>
    <s v="SHAFTESBURY AVENUE NO 130 CAT B FLOORS 3-4 TALON LONDON"/>
    <n v="1"/>
    <n v="1"/>
    <d v="2025-02-11T00:00:00"/>
    <x v="5"/>
  </r>
  <r>
    <s v="ORT-0000010644"/>
    <s v="C000417215"/>
    <s v="CHURCH STREET NO 45 FLOORS 3 &amp; 9 BIRMINGHAM"/>
    <n v="0"/>
    <n v="1"/>
    <d v="2025-02-11T00:00:00"/>
    <x v="5"/>
  </r>
  <r>
    <s v="ORT-0000010645"/>
    <s v="C000417216"/>
    <s v="LEADENHALL STREET NO 40 KIRKLAND &amp; ELLIS FLRS 15-34 LONDON"/>
    <n v="0"/>
    <n v="1"/>
    <d v="2025-02-11T00:00:00"/>
    <x v="5"/>
  </r>
  <r>
    <s v="ORT-0000010646"/>
    <s v="C000417217"/>
    <s v="WORKPLACE INTERIORS MISC 2025"/>
    <n v="0"/>
    <n v="1"/>
    <d v="2025-02-11T00:00:00"/>
    <x v="5"/>
  </r>
  <r>
    <s v="ORT-0000010649"/>
    <s v="C000417224"/>
    <s v="THE HALE NO 29-33 TOTTENHAM LONDON"/>
    <n v="0"/>
    <n v="1"/>
    <d v="2025-02-12T00:00:00"/>
    <x v="5"/>
  </r>
  <r>
    <s v="ORT-0000010650"/>
    <s v="C000417225"/>
    <s v="EVERTON FC TUNNEL CLUB &amp; TRINITY LOUNGE LIVERPOOL"/>
    <n v="19"/>
    <n v="0"/>
    <d v="2025-02-12T00:00:00"/>
    <x v="5"/>
  </r>
  <r>
    <s v="ORT-0000010651"/>
    <s v="C000417227"/>
    <s v="OXFORD STREET NO 214 OFFICE BUILDING LONDON"/>
    <n v="5"/>
    <n v="1"/>
    <d v="2025-02-12T00:00:00"/>
    <x v="5"/>
  </r>
  <r>
    <s v="ORT-0000010652"/>
    <s v="C000417229"/>
    <s v="JACK TURNBULL MISC TILE &amp; GRID 2025"/>
    <n v="0"/>
    <n v="1"/>
    <d v="2025-02-12T00:00:00"/>
    <x v="5"/>
  </r>
  <r>
    <s v="ORT-0000010656"/>
    <m/>
    <s v="BLOOMBERG RUE SCRIBE REFURBISHMENT PARIS 2025"/>
    <n v="21"/>
    <n v="0"/>
    <d v="2025-02-13T00:00:00"/>
    <x v="5"/>
  </r>
  <r>
    <s v="ORT-0000010658"/>
    <m/>
    <s v="SONY CENTER BUILDING A"/>
    <n v="0"/>
    <n v="1"/>
    <d v="2025-02-13T00:00:00"/>
    <x v="5"/>
  </r>
  <r>
    <s v="ORT-0000010659"/>
    <s v="C000417241"/>
    <s v="CHURCHILL PLACE NO 5 FLR 2 REFURB LONDON"/>
    <n v="2"/>
    <n v="1"/>
    <d v="2025-02-13T00:00:00"/>
    <x v="5"/>
  </r>
  <r>
    <s v="ORT-0000010660"/>
    <m/>
    <s v="SONY CENTER BUILDING A"/>
    <n v="0"/>
    <n v="1"/>
    <d v="2025-02-13T00:00:00"/>
    <x v="5"/>
  </r>
  <r>
    <s v="ORT-0000010661"/>
    <m/>
    <s v="STATION STREET LOXLEY HOUSE REFURB NOTTINGHAM"/>
    <n v="0"/>
    <n v="1"/>
    <d v="2025-02-13T00:00:00"/>
    <x v="5"/>
  </r>
  <r>
    <s v="ORT-0000010662"/>
    <s v="C000417252"/>
    <s v="LOMBARD STREET NO 1-6 FLOORS 2 &amp; 3 EAST LONDON"/>
    <n v="0"/>
    <n v="1"/>
    <d v="2025-02-13T00:00:00"/>
    <x v="5"/>
  </r>
  <r>
    <s v="ORT-0000010663"/>
    <s v="C000417253"/>
    <s v="DEVONSHIRE SQUARE NO 2-5 PREMIER PLACE CAT B JANE STREET"/>
    <n v="3"/>
    <n v="1"/>
    <d v="2025-02-13T00:00:00"/>
    <x v="5"/>
  </r>
  <r>
    <s v="ORT-0000010664"/>
    <s v="C000417254"/>
    <s v="TRITON SQUARE NO 1 OFFICE / LABS CAT A LONDON"/>
    <n v="0"/>
    <n v="1"/>
    <d v="2025-02-13T00:00:00"/>
    <x v="5"/>
  </r>
  <r>
    <s v="ORT-0000010665"/>
    <s v="C000417255"/>
    <s v="OVAL TOWER REFURB 14TH FLOOR AMSTERDAM"/>
    <n v="0"/>
    <n v="1"/>
    <d v="2025-02-13T00:00:00"/>
    <x v="5"/>
  </r>
  <r>
    <s v="ORT-0000010666"/>
    <s v="C000417258"/>
    <s v="CORNWALL STREET NO 19 OFFICE BIRMINGHAM"/>
    <n v="0"/>
    <n v="1"/>
    <d v="2025-02-13T00:00:00"/>
    <x v="5"/>
  </r>
  <r>
    <s v="ORT-0000010667"/>
    <s v="C000417260"/>
    <s v="NEW STREET SQUARE NO 5 TAYLOR WESSING REFURB LONDON"/>
    <n v="0"/>
    <n v="1"/>
    <d v="2025-02-13T00:00:00"/>
    <x v="5"/>
  </r>
  <r>
    <s v="ORT-0000010668"/>
    <s v="C000417262"/>
    <s v="GRESHAM STREET NO 30 INVESTEC LEVEL 6 LONDON"/>
    <n v="1"/>
    <n v="1"/>
    <d v="2025-02-13T00:00:00"/>
    <x v="5"/>
  </r>
  <r>
    <s v="ORT-0000010669"/>
    <s v="C000417263"/>
    <s v="MANCHESTER SQUARE NO 20 CAT B LAZARD LONDON"/>
    <n v="0"/>
    <n v="1"/>
    <d v="2025-02-13T00:00:00"/>
    <x v="5"/>
  </r>
  <r>
    <s v="ORT-0000010670"/>
    <s v="C000417270"/>
    <s v="UNI OF OXFORD CENTRE FOR LIFE AND MIND SCIENCES"/>
    <n v="2"/>
    <n v="1"/>
    <d v="2025-02-14T00:00:00"/>
    <x v="5"/>
  </r>
  <r>
    <s v="ORT-0000010671"/>
    <s v="C000417271"/>
    <s v="CAREY OLSEN ESPLANADE NO 47 REFURB JERSEY"/>
    <n v="0"/>
    <n v="1"/>
    <d v="2025-02-14T00:00:00"/>
    <x v="5"/>
  </r>
  <r>
    <s v="ORT-0000010672"/>
    <s v="C000417272"/>
    <s v="VICTORIA HOUSE BLOOMSBURY SQUARE LONDON"/>
    <n v="0"/>
    <n v="1"/>
    <d v="2025-02-14T00:00:00"/>
    <x v="5"/>
  </r>
  <r>
    <s v="ORT-0000010673"/>
    <s v="C000417273"/>
    <s v="QUEENS BUILDING EXTENSION BRENTWOOD SCHOOL"/>
    <n v="0"/>
    <n v="1"/>
    <d v="2025-02-14T00:00:00"/>
    <x v="5"/>
  </r>
  <r>
    <s v="ORT-0000010674"/>
    <s v="C000417275"/>
    <s v="BUNHILL ROW NO 1 SLAUGHTER &amp; MAY CAT A REFURB LONDON"/>
    <n v="11"/>
    <n v="0"/>
    <d v="2025-02-14T00:00:00"/>
    <x v="5"/>
  </r>
  <r>
    <s v="ORT-0000010675"/>
    <s v="C000417276"/>
    <s v="NEW STREET SQUARE NO 5 TAYLOR WESSING REFURB LONDON"/>
    <n v="0"/>
    <n v="1"/>
    <d v="2025-02-14T00:00:00"/>
    <x v="5"/>
  </r>
  <r>
    <s v="ORT-0000010676"/>
    <m/>
    <s v="SONY CENTER BUILDING A"/>
    <n v="0"/>
    <n v="1"/>
    <d v="2025-02-14T00:00:00"/>
    <x v="5"/>
  </r>
  <r>
    <s v="ORT-0000010677"/>
    <s v="C000417282"/>
    <s v="WOOLWICH LEISURE CENTRE PHASE 1 TRAMSHED THEATRE LONDON"/>
    <n v="0"/>
    <n v="1"/>
    <d v="2025-02-14T00:00:00"/>
    <x v="5"/>
  </r>
  <r>
    <s v="ORT-0000010678"/>
    <s v="C000417285"/>
    <s v="MIDCITY PLACE HIGH HOLBORN NO 71 REFURB LONDON"/>
    <n v="0"/>
    <n v="1"/>
    <d v="2025-02-14T00:00:00"/>
    <x v="5"/>
  </r>
  <r>
    <s v="ORT-0000010681"/>
    <s v="C000417289"/>
    <s v="BLOOMSBURY STREET NO 21 CAT A FITOUT LONDON"/>
    <n v="7"/>
    <n v="0"/>
    <d v="2025-02-17T00:00:00"/>
    <x v="6"/>
  </r>
  <r>
    <s v="ORT-0000010682"/>
    <s v="C000417290"/>
    <s v="WHITE &amp; CASE OLD BROAD STREET NO 5 REFURB LONDON"/>
    <n v="0"/>
    <n v="1"/>
    <d v="2025-02-17T00:00:00"/>
    <x v="6"/>
  </r>
  <r>
    <s v="ORT-0000010683"/>
    <s v="C000417292"/>
    <s v="JACK TURNBULL MISC TILE &amp; GRID 2025"/>
    <n v="0"/>
    <n v="1"/>
    <d v="2025-02-17T00:00:00"/>
    <x v="6"/>
  </r>
  <r>
    <s v="ORT-0000010684"/>
    <s v="C000417295"/>
    <s v="ALMACK HOUSE KING STREET NO 28 REFURB LONDON"/>
    <n v="0"/>
    <n v="1"/>
    <d v="2025-02-17T00:00:00"/>
    <x v="6"/>
  </r>
  <r>
    <s v="ORT-0000010685"/>
    <s v="C000417296"/>
    <s v="CHARTERHOUSE STREET NO 33 THREE CROWNS FLR 8 LONDON"/>
    <n v="0"/>
    <n v="1"/>
    <d v="2025-02-17T00:00:00"/>
    <x v="6"/>
  </r>
  <r>
    <s v="ORT-0000010686"/>
    <s v="C000417298"/>
    <s v="BISHOPSGATE NO 8 FLOORS 10-15 CFC UNDERWRITING LONDON"/>
    <n v="0"/>
    <n v="1"/>
    <d v="2025-02-17T00:00:00"/>
    <x v="6"/>
  </r>
  <r>
    <s v="ORT-0000010687"/>
    <s v="C000417310"/>
    <s v="CITY POINT ROPEMAKER STREET FLR 16 REFURB LONDON"/>
    <n v="0"/>
    <n v="1"/>
    <d v="2025-02-17T00:00:00"/>
    <x v="6"/>
  </r>
  <r>
    <s v="ORT-0000010688"/>
    <s v="C000417311"/>
    <s v="SCHNEIDER ELECTRIC SILICON OASIS DUBAI"/>
    <n v="26"/>
    <n v="0"/>
    <d v="2025-02-17T00:00:00"/>
    <x v="6"/>
  </r>
  <r>
    <s v="ORT-0000010689"/>
    <s v="C000417321"/>
    <s v="THE CURSITOR CHANCERY LANE NO 38 CAT A REFURB LONDON"/>
    <n v="18"/>
    <n v="0"/>
    <d v="2025-02-18T00:00:00"/>
    <x v="6"/>
  </r>
  <r>
    <s v="ORT-0000010690"/>
    <s v="C000417323"/>
    <s v="BISHOPSGATE NO 199 CAT B FLR 9 CROWELL MORING LONDON"/>
    <n v="6"/>
    <n v="0"/>
    <d v="2025-02-18T00:00:00"/>
    <x v="6"/>
  </r>
  <r>
    <s v="ORT-0000010691"/>
    <s v="C000417326"/>
    <s v="CURZON STREET NO 1 GRND &amp; FLR 4 REFURB LONDON"/>
    <n v="0"/>
    <n v="1"/>
    <d v="2025-02-18T00:00:00"/>
    <x v="6"/>
  </r>
  <r>
    <s v="ORT-0000010692"/>
    <s v="C000417327"/>
    <s v="CITY POINT ROPEMAKER STREET FLR 16 REFURB LONDON"/>
    <n v="0"/>
    <n v="1"/>
    <d v="2025-02-18T00:00:00"/>
    <x v="6"/>
  </r>
  <r>
    <s v="ORT-0000010693"/>
    <s v="C000417331"/>
    <s v="BISHOPSGATE NO 199 CAT B FLR 9 CROWELL MORING LONDON"/>
    <n v="0"/>
    <n v="1"/>
    <d v="2025-02-18T00:00:00"/>
    <x v="6"/>
  </r>
  <r>
    <s v="ORT-0000010694"/>
    <s v="C000417340"/>
    <s v="THE NORTHCLIFFE TUDOR STREET CAT B IRWIN MITCHELL LONDON"/>
    <n v="0"/>
    <n v="1"/>
    <d v="2025-02-18T00:00:00"/>
    <x v="6"/>
  </r>
  <r>
    <s v="ORT-0000010695"/>
    <s v="C000417353"/>
    <s v="SAINSBURYS MISC 2025"/>
    <n v="0"/>
    <n v="1"/>
    <d v="2025-02-18T00:00:00"/>
    <x v="6"/>
  </r>
  <r>
    <s v="ORT-0000010696"/>
    <s v="C000417355"/>
    <s v="CANARY WHARF BP1 BARCLAYS HQ REFURB LONDON"/>
    <n v="2"/>
    <n v="1"/>
    <d v="2025-02-18T00:00:00"/>
    <x v="6"/>
  </r>
  <r>
    <s v="ORT-0000010698"/>
    <s v="C000417366"/>
    <s v="BISHOPSGATE NO 199 CAT B FLR 9 LIGHTING LONDON"/>
    <n v="8"/>
    <n v="0"/>
    <d v="2025-02-19T00:00:00"/>
    <x v="6"/>
  </r>
  <r>
    <s v="ORT-0000010702"/>
    <s v="C000417376"/>
    <s v="EVERTON FC TUNNEL CLUB &amp; TRINITY LOUNGE LIVERPOOL"/>
    <n v="11"/>
    <n v="0"/>
    <d v="2025-02-19T00:00:00"/>
    <x v="6"/>
  </r>
  <r>
    <s v="ORT-0000010703"/>
    <s v="C000417379"/>
    <s v="EVERTON FC TUNNEL CLUB &amp; TRINITY LOUNGE LIVERPOOL"/>
    <n v="1"/>
    <n v="1"/>
    <d v="2025-02-19T00:00:00"/>
    <x v="6"/>
  </r>
  <r>
    <s v="ORT-0000010704"/>
    <s v="C000417382"/>
    <s v="EVERTON FC TUNNEL CLUB &amp; TRINITY LOUNGE LIVERPOOL"/>
    <n v="25"/>
    <n v="0"/>
    <d v="2025-02-19T00:00:00"/>
    <x v="6"/>
  </r>
  <r>
    <s v="ORT-0000010705"/>
    <s v="C000417384"/>
    <s v="NATIONAL ARCHIVES CLORE LEARNING CENTRE KEW PHASE 2 LONDON"/>
    <n v="0"/>
    <n v="1"/>
    <d v="2025-02-19T00:00:00"/>
    <x v="6"/>
  </r>
  <r>
    <s v="ORT-0000010707"/>
    <s v="C000417386"/>
    <s v="ROYAL MARSDEN HOSPITAL DOWNS ROAD SUTTON"/>
    <n v="0"/>
    <n v="1"/>
    <d v="2025-02-20T00:00:00"/>
    <x v="6"/>
  </r>
  <r>
    <s v="ORT-0000010708"/>
    <s v="C000417387"/>
    <s v="HARWELL SCIENCE PARK QUAD 3 OFFICES DIDCOT"/>
    <n v="1"/>
    <n v="1"/>
    <d v="2025-02-20T00:00:00"/>
    <x v="6"/>
  </r>
  <r>
    <s v="ORT-0000010709"/>
    <s v="C000417388"/>
    <s v="QUEEN VICTORIA STREET NO 71 FLR 3 REFURB LONDON"/>
    <n v="0"/>
    <n v="1"/>
    <d v="2025-02-20T00:00:00"/>
    <x v="6"/>
  </r>
  <r>
    <s v="ORT-0000010710"/>
    <s v="C000417390"/>
    <s v="CREECHURCH STREET NO 1 HOWDEN GROUP REFURB LONDON"/>
    <n v="17"/>
    <n v="0"/>
    <d v="2025-02-20T00:00:00"/>
    <x v="6"/>
  </r>
  <r>
    <s v="ORT-0000010711"/>
    <s v="C000417391"/>
    <s v="GROSVENOR PLACE NO 40 CAT A REFURB LONDON"/>
    <n v="66"/>
    <n v="0"/>
    <d v="2025-02-20T00:00:00"/>
    <x v="6"/>
  </r>
  <r>
    <s v="ORT-0000010712"/>
    <s v="C000417392"/>
    <s v="EQ BUILDING VICTORIA ST NO 111 FLR 4 EVELYN CAT B BRISTOL"/>
    <n v="0"/>
    <n v="1"/>
    <d v="2025-02-20T00:00:00"/>
    <x v="6"/>
  </r>
  <r>
    <s v="ORT-0000010713"/>
    <s v="C000417398"/>
    <s v="HOPTON STREET NO 71 THE GREEN WALK LONDON"/>
    <n v="1"/>
    <n v="1"/>
    <d v="2025-02-20T00:00:00"/>
    <x v="6"/>
  </r>
  <r>
    <s v="ORT-0000010714"/>
    <s v="C000417399"/>
    <s v="THORN LIGHTING LTD 2025"/>
    <n v="0"/>
    <n v="1"/>
    <d v="2025-02-20T00:00:00"/>
    <x v="6"/>
  </r>
  <r>
    <s v="ORT-0000010715"/>
    <s v="C000417403"/>
    <s v="WILTON ROAD NO 129 TRIDENT ENERGY REFURB FLRS 7 &amp; 8 LONDON"/>
    <n v="0"/>
    <n v="1"/>
    <d v="2025-02-20T00:00:00"/>
    <x v="6"/>
  </r>
  <r>
    <s v="ORT-0000010716"/>
    <s v="C000417404"/>
    <s v="BMS CHESTER CONFERENCE ROOM REFURB"/>
    <n v="0"/>
    <n v="1"/>
    <d v="2025-02-20T00:00:00"/>
    <x v="6"/>
  </r>
  <r>
    <s v="ORT-0000010717"/>
    <s v="C000417405"/>
    <s v="NEW STREET SQUARE NO 5 TAYLOR WESSING REFURB LONDON"/>
    <n v="0"/>
    <n v="1"/>
    <d v="2025-02-20T00:00:00"/>
    <x v="6"/>
  </r>
  <r>
    <s v="ORT-0000010718"/>
    <s v="C000417408"/>
    <s v="UNKNOWN"/>
    <n v="0"/>
    <n v="1"/>
    <d v="2025-02-20T00:00:00"/>
    <x v="6"/>
  </r>
  <r>
    <s v="ORT-0000010719"/>
    <s v="C000417410"/>
    <s v="DATUM MCR2 DATA CENTRE MANCHESTER DATA HALLS"/>
    <n v="0"/>
    <n v="1"/>
    <d v="2025-02-20T00:00:00"/>
    <x v="6"/>
  </r>
  <r>
    <s v="ORT-0000010720"/>
    <s v="C000417413"/>
    <s v="HAYS GALLERIA SHACKLETON HOUSE CAT A REFURB FLR 5 LONDON"/>
    <n v="0"/>
    <n v="1"/>
    <d v="2025-02-20T00:00:00"/>
    <x v="6"/>
  </r>
  <r>
    <s v="ORT-0000010722"/>
    <s v="C000417416"/>
    <s v="SCOTLAND &amp; NORTH EAST MISC 2025"/>
    <n v="2"/>
    <n v="1"/>
    <d v="2025-02-21T00:00:00"/>
    <x v="6"/>
  </r>
  <r>
    <s v="ORT-0000010723"/>
    <s v="C000417417"/>
    <s v="OLIVER BROSCH MISC 2025"/>
    <n v="0"/>
    <n v="1"/>
    <d v="2025-02-21T00:00:00"/>
    <x v="6"/>
  </r>
  <r>
    <s v="ORT-0000010724"/>
    <s v="C000417418"/>
    <s v="HEATHROW WEST BUSINESS PARK UNIT D2 SLOUGH"/>
    <n v="1"/>
    <n v="1"/>
    <d v="2025-02-21T00:00:00"/>
    <x v="6"/>
  </r>
  <r>
    <s v="ORT-0000010725"/>
    <s v="C000417419"/>
    <s v="TURING COURT NO 1 CARECO HQ BRAINTREE"/>
    <n v="0"/>
    <n v="1"/>
    <d v="2025-02-21T00:00:00"/>
    <x v="6"/>
  </r>
  <r>
    <s v="ORT-0000010726"/>
    <s v="C000417420"/>
    <s v="FORSEVEN INTERIM HQ BICESTER"/>
    <n v="18"/>
    <n v="0"/>
    <d v="2025-02-21T00:00:00"/>
    <x v="6"/>
  </r>
  <r>
    <s v="ORT-0000010727"/>
    <s v="C000417423"/>
    <s v="NORTH MISC 2025 - CHRIS EDGE"/>
    <n v="0"/>
    <n v="1"/>
    <d v="2025-02-21T00:00:00"/>
    <x v="6"/>
  </r>
  <r>
    <s v="ORT-0000010728"/>
    <s v="C000417425"/>
    <s v="MILLENIUM CAPITAL ICD L26 DUBAI PHASE 2"/>
    <n v="23"/>
    <n v="0"/>
    <d v="2025-02-21T00:00:00"/>
    <x v="6"/>
  </r>
  <r>
    <s v="ORT-0000010729"/>
    <s v="C000417427"/>
    <s v="WHITE &amp; CASE OLD BROAD STREET NO 5 REFURB LONDON"/>
    <n v="0"/>
    <n v="1"/>
    <d v="2025-02-21T00:00:00"/>
    <x v="6"/>
  </r>
  <r>
    <s v="ORT-0000010730"/>
    <s v="C000417431"/>
    <s v="UNI OF OXFORD CENTRE FOR LIFE AND MIND SCIENCES"/>
    <n v="0"/>
    <n v="1"/>
    <d v="2025-02-21T00:00:00"/>
    <x v="6"/>
  </r>
  <r>
    <s v="ORT-0000010733"/>
    <s v="C000417434"/>
    <s v="MORE LONDON RIVERSIDE NO 7 PWC REFRESH LONDON"/>
    <n v="0"/>
    <n v="1"/>
    <d v="2025-02-21T00:00:00"/>
    <x v="6"/>
  </r>
  <r>
    <s v="ORT-0000010734"/>
    <s v="C000417445"/>
    <s v="SALFORD CENTRAL PLOT C2 FOUR NEW BAILEY"/>
    <n v="0"/>
    <n v="1"/>
    <d v="2025-02-24T00:00:00"/>
    <x v="7"/>
  </r>
  <r>
    <s v="ORT-0000010735"/>
    <s v="C000417447"/>
    <s v="UNI OF OXFORD CENTRE FOR LIFE AND MIND SCIENCES"/>
    <n v="0"/>
    <n v="1"/>
    <d v="2025-02-24T00:00:00"/>
    <x v="7"/>
  </r>
  <r>
    <s v="ORT-0000010736"/>
    <s v="C000417449"/>
    <s v="ALPHA BANK ATHENS"/>
    <n v="0"/>
    <n v="1"/>
    <d v="2025-02-24T00:00:00"/>
    <x v="7"/>
  </r>
  <r>
    <s v="ORT-0000010737"/>
    <s v="C000417450"/>
    <s v="CHARING CROSS ROAD NO 127-133 LONDON"/>
    <n v="2"/>
    <n v="1"/>
    <d v="2025-02-24T00:00:00"/>
    <x v="7"/>
  </r>
  <r>
    <s v="ORT-0000010738"/>
    <s v="C000417452"/>
    <s v="BOTANICAL PLACE WEST BYFLEET BLOCK C REFURB"/>
    <n v="0"/>
    <n v="1"/>
    <d v="2025-02-24T00:00:00"/>
    <x v="7"/>
  </r>
  <r>
    <s v="ORT-0000010739"/>
    <s v="C000417454"/>
    <s v="VICTORIA HOUSE BLOOMSBURY SQUARE LONDON"/>
    <n v="0"/>
    <n v="1"/>
    <d v="2025-02-24T00:00:00"/>
    <x v="7"/>
  </r>
  <r>
    <s v="ORT-0000010740"/>
    <s v="C000417455"/>
    <s v="AIR STREET NO 20 CAT B PAUL WEISS LONDON"/>
    <n v="0"/>
    <n v="1"/>
    <d v="2025-02-24T00:00:00"/>
    <x v="7"/>
  </r>
  <r>
    <s v="ORT-0000010741"/>
    <s v="C000417457"/>
    <s v="SAMPLE ROOM READING"/>
    <n v="6"/>
    <n v="0"/>
    <d v="2025-02-24T00:00:00"/>
    <x v="7"/>
  </r>
  <r>
    <s v="ORT-0000010742"/>
    <s v="C000417460"/>
    <s v="CANARY WHARF CANADA SQUARE NO 25 CITIBANK REFURB LONDON"/>
    <n v="0"/>
    <n v="1"/>
    <d v="2025-02-24T00:00:00"/>
    <x v="7"/>
  </r>
  <r>
    <s v="ORT-0000010743"/>
    <s v="C000417463"/>
    <s v="ST VINCENT STREET NO 220 LEVEL 4 CAT A REFURB GLASGOW"/>
    <n v="0"/>
    <n v="1"/>
    <d v="2025-02-24T00:00:00"/>
    <x v="7"/>
  </r>
  <r>
    <s v="ORT-0000010745"/>
    <s v="C000417472"/>
    <s v="NDA - DEWA HQ TROX TILES DUBAI"/>
    <n v="50"/>
    <n v="0"/>
    <d v="2025-02-24T00:00:00"/>
    <x v="7"/>
  </r>
  <r>
    <s v="ORT-0000010747"/>
    <s v="C000417478"/>
    <s v="NEW STREET SQUARE NO 5 TAYLOR WESSING REFURB LONDON"/>
    <n v="6"/>
    <n v="0"/>
    <d v="2025-02-24T00:00:00"/>
    <x v="7"/>
  </r>
  <r>
    <s v="ORT-0000010748"/>
    <s v="C000417479"/>
    <s v="BISHOPSGATE NO 8 FLOORS 10-15 CFC UNDERWRITING LONDON"/>
    <n v="0"/>
    <n v="1"/>
    <d v="2025-02-24T00:00:00"/>
    <x v="7"/>
  </r>
  <r>
    <s v="ORT-0000010750"/>
    <s v="C000417493"/>
    <s v="FORMER TYNECASTLE SCHOOL STUDENT ACCOM ADDITIONALS EDINBURGH"/>
    <n v="0"/>
    <n v="1"/>
    <d v="2025-02-25T00:00:00"/>
    <x v="7"/>
  </r>
  <r>
    <s v="ORT-0000010751"/>
    <s v="C000417494"/>
    <s v="ST MARYS AXE NO 30 REMEDIAL LONDON"/>
    <n v="0"/>
    <n v="1"/>
    <d v="2025-02-25T00:00:00"/>
    <x v="7"/>
  </r>
  <r>
    <s v="ORT-0000010752"/>
    <s v="C000417497"/>
    <s v="LOWER MARSH NO 1-5 LOMA DEVELOPMENT LONDON"/>
    <n v="19"/>
    <n v="0"/>
    <d v="2025-02-25T00:00:00"/>
    <x v="7"/>
  </r>
  <r>
    <s v="ORT-0000010753"/>
    <s v="C000417499"/>
    <s v="CHADWICK HOUSE BIRCHWOOD PARK RISLEY WARRINGTON"/>
    <n v="1"/>
    <n v="1"/>
    <d v="2025-02-25T00:00:00"/>
    <x v="7"/>
  </r>
  <r>
    <s v="ORT-0000010754"/>
    <s v="C000417500"/>
    <s v="CENTRE CITY TOWER FLR 10 REFURB HILL STREET NO 7 BIRMINGHAM"/>
    <n v="17"/>
    <n v="0"/>
    <d v="2025-02-25T00:00:00"/>
    <x v="7"/>
  </r>
  <r>
    <s v="ORT-0000010755"/>
    <s v="CF00000503"/>
    <s v="BARCLAYS PARIS INVESTMENT BANK"/>
    <n v="43"/>
    <n v="0"/>
    <d v="2025-02-25T00:00:00"/>
    <x v="7"/>
  </r>
  <r>
    <s v="ORT-0000010756"/>
    <s v="C000417508"/>
    <s v="KINGS ROAD NO 120 LIBERTY GLOBAL FABRIC LONDON"/>
    <n v="0"/>
    <n v="1"/>
    <d v="2025-02-25T00:00:00"/>
    <x v="7"/>
  </r>
  <r>
    <s v="ORT-0000010757"/>
    <s v="C000417510"/>
    <s v="BEDFORD AVENUE NO 1 REFURB LONDON"/>
    <n v="0"/>
    <n v="1"/>
    <d v="2025-02-25T00:00:00"/>
    <x v="7"/>
  </r>
  <r>
    <s v="ORT-0000010758"/>
    <s v="CF00000502"/>
    <s v="ALPHA BANK ATHENS"/>
    <n v="7"/>
    <n v="0"/>
    <d v="2025-02-25T00:00:00"/>
    <x v="7"/>
  </r>
  <r>
    <s v="ORT-0000010759"/>
    <s v="CF00000494"/>
    <s v="TOUR MAJUNGA PARIS REFURBISHMENT 2024"/>
    <n v="10"/>
    <n v="0"/>
    <d v="2025-02-25T00:00:00"/>
    <x v="7"/>
  </r>
  <r>
    <s v="ORT-0000010760"/>
    <s v="CF00000499"/>
    <s v="BLOOMBERG RUE SCRIBE REFURBISHMENT PARIS 2025"/>
    <n v="9"/>
    <n v="0"/>
    <d v="2025-02-25T00:00:00"/>
    <x v="7"/>
  </r>
  <r>
    <s v="ORT-0000010761"/>
    <s v="CF00000501"/>
    <s v="LUSO PLAQUE &amp; PLATRE STOCK"/>
    <n v="2"/>
    <n v="1"/>
    <d v="2025-02-25T00:00:00"/>
    <x v="7"/>
  </r>
  <r>
    <s v="ORT-0000010762"/>
    <s v="C000417521"/>
    <s v="NICK DRAKE NORTHERN HOME COUNTIES MISC 2024 / 25"/>
    <n v="0"/>
    <n v="1"/>
    <d v="2025-02-25T00:00:00"/>
    <x v="7"/>
  </r>
  <r>
    <s v="ORT-0000010763"/>
    <s v="C000417522"/>
    <s v="LEADENHALL STREET NO 40 KIRKLAND &amp; ELLIS FLRS 15-34 LONDON"/>
    <n v="0"/>
    <n v="1"/>
    <d v="2025-02-25T00:00:00"/>
    <x v="7"/>
  </r>
  <r>
    <s v="ORT-0000010764"/>
    <s v="C000417530"/>
    <s v="WELBECK STREET NO 5 CLOSE BROTHERS HQ LONDON"/>
    <n v="15"/>
    <n v="0"/>
    <d v="2025-02-26T00:00:00"/>
    <x v="7"/>
  </r>
  <r>
    <s v="ORT-0000010765"/>
    <s v="C000417538"/>
    <s v="SKY STUDIOS GRANT WAY L2 &amp; L4 REFURB LONDON"/>
    <n v="3"/>
    <n v="1"/>
    <d v="2025-02-26T00:00:00"/>
    <x v="7"/>
  </r>
  <r>
    <s v="ORT-0000010766"/>
    <s v="C000417540"/>
    <s v="FINSBURY CIRCUS NO 8 CAT B GRANT THORNTON LONDON"/>
    <n v="0"/>
    <n v="1"/>
    <d v="2025-02-26T00:00:00"/>
    <x v="7"/>
  </r>
  <r>
    <s v="ORT-0000010767"/>
    <s v="C000417545"/>
    <s v="MARKS AND SPENCER PUDSEY"/>
    <n v="7"/>
    <n v="0"/>
    <d v="2025-02-26T00:00:00"/>
    <x v="7"/>
  </r>
  <r>
    <s v="ORT-0000010768"/>
    <s v="C000417546"/>
    <s v="KING STREET OFFICE DEVELOPMENT BLACKPOOL LIGHTING"/>
    <n v="0"/>
    <n v="1"/>
    <d v="2025-02-26T00:00:00"/>
    <x v="7"/>
  </r>
  <r>
    <s v="ORT-0000010769"/>
    <s v="C000417555"/>
    <s v="ARIMA OFFICES MADRID"/>
    <n v="0"/>
    <n v="1"/>
    <d v="2025-02-26T00:00:00"/>
    <x v="7"/>
  </r>
  <r>
    <s v="ORT-0000010770"/>
    <s v="C000417556"/>
    <s v="UNI OF OXFORD TRINITY COLLEGE KITCHEN OXFORD"/>
    <n v="3"/>
    <n v="1"/>
    <d v="2025-02-26T00:00:00"/>
    <x v="7"/>
  </r>
  <r>
    <s v="ORT-0000010773"/>
    <s v="C000417565"/>
    <s v="LEADENHALL STREET NO 40 KIRKLAND &amp; ELLIS FLRS 15-34 LONDON"/>
    <n v="0"/>
    <n v="1"/>
    <d v="2025-02-27T00:00:00"/>
    <x v="7"/>
  </r>
  <r>
    <s v="ORT-0000010774"/>
    <s v="C000417573"/>
    <s v="STRAND NO 40 FLR 3 REFURB LONDON"/>
    <n v="9"/>
    <n v="0"/>
    <d v="2025-02-27T00:00:00"/>
    <x v="7"/>
  </r>
  <r>
    <s v="ORT-0000010775"/>
    <m/>
    <s v="BOTHWELL STREET NO 120 FLS 8 &amp; 9 CAT B FITOUT GLASGOW"/>
    <n v="0"/>
    <n v="1"/>
    <d v="2025-02-27T00:00:00"/>
    <x v="7"/>
  </r>
  <r>
    <s v="ORT-0000010776"/>
    <s v="C000417578"/>
    <s v="BRISTOL AIRPORT WC AREAS REFURB BRISTOL"/>
    <n v="17"/>
    <n v="0"/>
    <d v="2025-02-27T00:00:00"/>
    <x v="7"/>
  </r>
  <r>
    <s v="ORT-0000010777"/>
    <s v="C000417581"/>
    <s v="KADANS HEALTH INNOVATION HUB GLASGOW"/>
    <n v="0"/>
    <n v="1"/>
    <d v="2025-02-27T00:00:00"/>
    <x v="7"/>
  </r>
  <r>
    <s v="ORT-0000010778"/>
    <s v="C000417582"/>
    <s v="TURING COURT NO 1 CARECO HQ BRAINTREE"/>
    <n v="0"/>
    <n v="1"/>
    <d v="2025-02-27T00:00:00"/>
    <x v="7"/>
  </r>
  <r>
    <s v="ORT-0000010779"/>
    <s v="C000417583"/>
    <s v="KING STREET OFFICE DEVELOPMENT BLACKPOOL"/>
    <n v="0"/>
    <n v="1"/>
    <d v="2025-02-27T00:00:00"/>
    <x v="7"/>
  </r>
  <r>
    <s v="ORT-0000010780"/>
    <s v="C000417599"/>
    <s v="MANCHESTER AIRPORT T2 EAST CHECK IN AREAS"/>
    <n v="0"/>
    <n v="1"/>
    <d v="2025-02-27T00:00:00"/>
    <x v="7"/>
  </r>
  <r>
    <s v="ORT-0000010781"/>
    <s v="C000417603"/>
    <s v="DEWA HQ AL SHERAA BUILDING (B+G+4P+15) AL JADDAF"/>
    <n v="29"/>
    <n v="0"/>
    <d v="2025-02-27T00:00:00"/>
    <x v="7"/>
  </r>
  <r>
    <s v="ORT-0000010783"/>
    <s v="C000417611"/>
    <s v="GRESHAM STREET NO 30 INVESTEC LEVEL 6 LONDON"/>
    <n v="7"/>
    <n v="0"/>
    <d v="2025-02-28T00:00:00"/>
    <x v="7"/>
  </r>
  <r>
    <s v="ORT-0000010784"/>
    <s v="C000417618"/>
    <s v="SMITHFIELD MARKET GENERAL MARKET MUSEUM OF LONDON CEILINGS"/>
    <n v="3"/>
    <n v="1"/>
    <d v="2025-02-28T00:00:00"/>
    <x v="7"/>
  </r>
  <r>
    <s v="ORT-0000010785"/>
    <s v="C000417623"/>
    <s v="QUEENSBOROUGH TERRACE NO 49-67 BAYSWATER LONDON"/>
    <n v="0"/>
    <n v="1"/>
    <d v="2025-02-28T00:00:00"/>
    <x v="7"/>
  </r>
  <r>
    <s v="ORT-0000010786"/>
    <s v="C000417624"/>
    <s v="HEATHROW T5 WS4 REFURB LONDON"/>
    <n v="0"/>
    <n v="1"/>
    <d v="2025-02-28T00:00:00"/>
    <x v="7"/>
  </r>
  <r>
    <s v="ORT-0000010787"/>
    <s v="C000417625"/>
    <s v="NEW STREET SQUARE NO 5 TAYLOR WESSING REFURB LONDON"/>
    <n v="0"/>
    <n v="1"/>
    <d v="2025-02-28T00:00:00"/>
    <x v="7"/>
  </r>
  <r>
    <s v="ORT-0000010788"/>
    <s v="C000417628"/>
    <s v="NEW STREET SQUARE NO 5 TAYLOR WESSING REFURB LONDON"/>
    <n v="32"/>
    <n v="0"/>
    <d v="2025-02-28T00:00:00"/>
    <x v="7"/>
  </r>
  <r>
    <s v="ORT-0000010789"/>
    <s v="C000417630"/>
    <s v="FETTER LANE NO 100 CORE AREAS LONDON"/>
    <n v="0"/>
    <n v="1"/>
    <d v="2025-02-28T00:00:00"/>
    <x v="7"/>
  </r>
  <r>
    <s v="ORT-0000010790"/>
    <s v="C000417632"/>
    <s v="THREADNEEDLE STREET NO 60 CAT A FLOOR 8 LONDON"/>
    <n v="0"/>
    <n v="1"/>
    <d v="2025-02-28T00:00:00"/>
    <x v="7"/>
  </r>
  <r>
    <s v="ORT-0000010791"/>
    <s v="C000417633"/>
    <s v="ALDERMANBURY SQUARE NO 2 BASINGHALL STREET LONDON"/>
    <n v="0"/>
    <n v="1"/>
    <d v="2025-02-28T00:00:00"/>
    <x v="7"/>
  </r>
  <r>
    <s v="ORT-0000010793"/>
    <s v="C000417637"/>
    <s v="FENCHURCH STREET NO 80 EIGHTYFEN AVIVA PH 2 LONDON"/>
    <n v="0"/>
    <n v="1"/>
    <d v="2025-03-03T00:00:00"/>
    <x v="8"/>
  </r>
  <r>
    <s v="ORT-0000010794"/>
    <s v="C000417639"/>
    <s v="WORKPLACE INTERIORS MISC 2025"/>
    <n v="0"/>
    <n v="1"/>
    <d v="2025-03-03T00:00:00"/>
    <x v="8"/>
  </r>
  <r>
    <s v="ORT-0000010795"/>
    <s v="C000417640"/>
    <s v="CORCEGA 331 SURE BARCELONA"/>
    <n v="11"/>
    <n v="0"/>
    <d v="2025-03-03T00:00:00"/>
    <x v="8"/>
  </r>
  <r>
    <s v="ORT-0000010796"/>
    <s v="C000417641"/>
    <s v="AIR STREET NO 20 CAT B PAUL WEISS LONDON"/>
    <n v="0"/>
    <n v="1"/>
    <d v="2025-03-03T00:00:00"/>
    <x v="8"/>
  </r>
  <r>
    <s v="ORT-0000010797"/>
    <s v="C000417647"/>
    <s v="JACK TURNBULL MISC TILE &amp; GRID 2025"/>
    <n v="0"/>
    <n v="1"/>
    <d v="2025-03-03T00:00:00"/>
    <x v="8"/>
  </r>
  <r>
    <s v="ORT-0000010798"/>
    <s v="C000417649"/>
    <s v="HSBC B-VITAL AMSTERDAM"/>
    <n v="10"/>
    <n v="0"/>
    <d v="2025-03-03T00:00:00"/>
    <x v="8"/>
  </r>
  <r>
    <s v="ORT-0000010799"/>
    <s v="C000417653"/>
    <s v="HOLBORN GATE HIGH HOLBORN 326-330 PICK EVERARD REFURB LONDON"/>
    <n v="0"/>
    <n v="1"/>
    <d v="2025-03-03T00:00:00"/>
    <x v="8"/>
  </r>
  <r>
    <s v="ORT-0000010800"/>
    <s v="C000417656"/>
    <s v="MANCHESTER COLLEGE CITY CENTRE CAMPUS MANCHESTER ADDITIONS"/>
    <n v="0"/>
    <n v="1"/>
    <d v="2025-03-03T00:00:00"/>
    <x v="8"/>
  </r>
  <r>
    <s v="ORT-0000010801"/>
    <s v="C000417657"/>
    <s v="THORN LIGHTING LTD 2025"/>
    <n v="0"/>
    <n v="1"/>
    <d v="2025-03-03T00:00:00"/>
    <x v="8"/>
  </r>
  <r>
    <s v="ORT-0000010802"/>
    <s v="C000417658"/>
    <s v="THORN LIGHTING LTD 2025"/>
    <n v="0"/>
    <n v="1"/>
    <d v="2025-03-03T00:00:00"/>
    <x v="8"/>
  </r>
  <r>
    <s v="ORT-0000010803"/>
    <s v="C000417659"/>
    <s v="T-THERAPEUTICS OFFICE CAMBRIDGE"/>
    <n v="0"/>
    <n v="1"/>
    <d v="2025-03-03T00:00:00"/>
    <x v="8"/>
  </r>
  <r>
    <s v="ORT-0000010804"/>
    <s v="C000417660"/>
    <s v="WELLESLEY EAST PRIMARY SCHOOL ALDERSHOT HAMPSHIRE"/>
    <n v="11"/>
    <n v="0"/>
    <d v="2025-03-03T00:00:00"/>
    <x v="8"/>
  </r>
  <r>
    <s v="ORT-0000010805"/>
    <s v="C000417661"/>
    <s v="NORTH MISC 2025 - CHRIS EDGE"/>
    <n v="0"/>
    <n v="1"/>
    <d v="2025-03-03T00:00:00"/>
    <x v="8"/>
  </r>
  <r>
    <s v="ORT-0000010806"/>
    <s v="C000417663"/>
    <s v="BRENT CROSS TOWN PLOT 25 FUSION STUDENT ACCOMMODATION LONDON"/>
    <n v="44"/>
    <n v="0"/>
    <d v="2025-03-03T00:00:00"/>
    <x v="8"/>
  </r>
  <r>
    <s v="ORT-0000010807"/>
    <m/>
    <s v="MERCEDES BENZ BRAND CENTER D3 DUBAI DESIGN DISTRICT"/>
    <n v="0"/>
    <n v="1"/>
    <d v="2025-03-03T00:00:00"/>
    <x v="8"/>
  </r>
  <r>
    <s v="ORT-0000010810"/>
    <s v="C000417666"/>
    <s v="NEW STREET SQUARE NO 5 TAYLOR WESSING REFURB LONDON"/>
    <n v="2"/>
    <n v="1"/>
    <d v="2025-03-03T00:00:00"/>
    <x v="8"/>
  </r>
  <r>
    <s v="ORT-0000010811"/>
    <s v="CF00000506"/>
    <s v="BOULEVARD HAUSSMANN 14 PARIS"/>
    <n v="4"/>
    <n v="1"/>
    <d v="2025-03-03T00:00:00"/>
    <x v="8"/>
  </r>
  <r>
    <s v="ORT-0000010812"/>
    <s v="C000417670"/>
    <s v="OCASO FUENCARRAL 107  MADRID"/>
    <n v="14"/>
    <n v="0"/>
    <d v="2025-03-03T00:00:00"/>
    <x v="8"/>
  </r>
  <r>
    <s v="ORT-0000010813"/>
    <s v="C000417673"/>
    <s v="KADANS HEALTH INNOVATION HUB GLASGOW"/>
    <n v="13"/>
    <n v="0"/>
    <d v="2025-03-04T00:00:00"/>
    <x v="8"/>
  </r>
  <r>
    <s v="ORT-0000010814"/>
    <s v="C000417676"/>
    <s v="L.-ILLA BY RENTAMAR BARCELONA"/>
    <n v="0"/>
    <n v="1"/>
    <d v="2025-03-04T00:00:00"/>
    <x v="8"/>
  </r>
  <r>
    <s v="ORT-0000010815"/>
    <s v="C000417681"/>
    <s v="GREAT SMITH STREET NO 35 LVL 1 LONDON"/>
    <n v="0"/>
    <n v="1"/>
    <d v="2025-03-04T00:00:00"/>
    <x v="8"/>
  </r>
  <r>
    <s v="ORT-0000010816"/>
    <s v="C000417688"/>
    <s v="CANARY WHARF DS7 CANADA SQUARE NO 1 UCL SOM PHASE 1 LONDON"/>
    <n v="26"/>
    <n v="0"/>
    <d v="2025-03-04T00:00:00"/>
    <x v="8"/>
  </r>
  <r>
    <s v="ORT-0000010817"/>
    <s v="C000417691"/>
    <s v="SCOTSCROFT REFURB TOWERS BUSINESS PARK MANCHESTER"/>
    <n v="0"/>
    <n v="1"/>
    <d v="2025-03-04T00:00:00"/>
    <x v="8"/>
  </r>
  <r>
    <s v="ORT-0000010818"/>
    <s v="C000417694"/>
    <s v="BISHOPSGATE NO 8 FLOOR 33 STANHOPE FITOUT LONDON"/>
    <n v="26"/>
    <n v="0"/>
    <d v="2025-03-04T00:00:00"/>
    <x v="8"/>
  </r>
  <r>
    <s v="ORT-0000010819"/>
    <s v="C000417695"/>
    <s v="CANARY WHARF DS7 CANADA SQUARE NO 1 UCL SOM PHASE 1 LONDON"/>
    <n v="0"/>
    <n v="1"/>
    <d v="2025-03-04T00:00:00"/>
    <x v="8"/>
  </r>
  <r>
    <s v="ORT-0000010821"/>
    <s v="C000417700"/>
    <s v="EDF SIZEWELL POWER STATION B TRAINING BUILDING SUFFOLK"/>
    <n v="0"/>
    <n v="1"/>
    <d v="2025-03-05T00:00:00"/>
    <x v="8"/>
  </r>
  <r>
    <s v="ORT-0000010822"/>
    <s v="C000417701"/>
    <s v="BOTHWELL STREET NO 120 FLS 8 &amp; 9 CAT B FITOUT GLASGOW"/>
    <n v="0"/>
    <n v="1"/>
    <d v="2025-03-05T00:00:00"/>
    <x v="8"/>
  </r>
  <r>
    <s v="ORT-0000010823"/>
    <s v="C000417703"/>
    <s v="CHESTERFORD RESEARCH PARK R&amp;D BLDG NO 800"/>
    <n v="0"/>
    <n v="1"/>
    <d v="2025-03-05T00:00:00"/>
    <x v="8"/>
  </r>
  <r>
    <s v="ORT-0000010824"/>
    <s v="C000417704"/>
    <s v="SAMPLES MISC 2025"/>
    <n v="0"/>
    <n v="1"/>
    <d v="2025-03-05T00:00:00"/>
    <x v="8"/>
  </r>
  <r>
    <s v="ORT-0000010825"/>
    <s v="C000417712"/>
    <s v="WP SHEFFIELD HALLAM UNI BLOCKS A - D UNI GREEN SHEFFIELD"/>
    <n v="0"/>
    <n v="1"/>
    <d v="2025-03-05T00:00:00"/>
    <x v="8"/>
  </r>
  <r>
    <s v="ORT-0000010826"/>
    <s v="C000417718"/>
    <s v="WORKPLACE INTERIORS MISC 2025"/>
    <n v="0"/>
    <n v="1"/>
    <d v="2025-03-05T00:00:00"/>
    <x v="8"/>
  </r>
  <r>
    <s v="ORT-0000010827"/>
    <s v="C000417719"/>
    <s v="CANARY WHARF DS7 CANADA SQUARE NO 1 UCL SOM PHASE 1 LONDON"/>
    <n v="16"/>
    <n v="0"/>
    <d v="2025-03-05T00:00:00"/>
    <x v="8"/>
  </r>
  <r>
    <s v="ORT-0000010830"/>
    <s v="C000417723"/>
    <s v="WORKPLACE INTERIORS MISC 2025"/>
    <n v="0"/>
    <n v="1"/>
    <d v="2025-03-05T00:00:00"/>
    <x v="8"/>
  </r>
  <r>
    <s v="ORT-0000010831"/>
    <s v="C000417726"/>
    <s v="F1 MANAGEMENT UNIT 1 &amp; 2 BIGGIN HILL"/>
    <n v="0"/>
    <n v="1"/>
    <d v="2025-03-06T00:00:00"/>
    <x v="8"/>
  </r>
  <r>
    <s v="ORT-0000010832"/>
    <s v="C000417729"/>
    <s v="DALES MANOR BUSINESS PARK CAT A CAMBRIDGE"/>
    <n v="0"/>
    <n v="1"/>
    <d v="2025-03-06T00:00:00"/>
    <x v="8"/>
  </r>
  <r>
    <s v="ORT-0000010833"/>
    <s v="C000417732"/>
    <s v="MOORFIELDS EYE HOSPITAL UCL INSTITUTE OF OPHTHALMOLOGY ORIEL"/>
    <n v="0"/>
    <n v="1"/>
    <d v="2025-03-06T00:00:00"/>
    <x v="8"/>
  </r>
  <r>
    <s v="ORT-0000010834"/>
    <s v="C000417737"/>
    <s v="JACK TURNBULL MISC TILE &amp; GRID 2025"/>
    <n v="0"/>
    <n v="1"/>
    <d v="2025-03-06T00:00:00"/>
    <x v="8"/>
  </r>
  <r>
    <s v="ORT-0000010835"/>
    <s v="C000417741"/>
    <s v="AUDLEY SQUARE HOUSE MAYFAIR NO 1 LONDON"/>
    <n v="130"/>
    <n v="0"/>
    <d v="2025-03-06T00:00:00"/>
    <x v="8"/>
  </r>
  <r>
    <s v="ORT-0000010836"/>
    <s v="C000417747"/>
    <s v="SAMPLE ROOM READING SQ PRODUCTS"/>
    <n v="0"/>
    <n v="1"/>
    <d v="2025-03-06T00:00:00"/>
    <x v="8"/>
  </r>
  <r>
    <s v="ORT-0000010837"/>
    <s v="C000417750"/>
    <s v="CENTRAL BANK OF IRAQ HEADQUARTERS BAGHDAD"/>
    <n v="94"/>
    <n v="0"/>
    <d v="2025-03-06T00:00:00"/>
    <x v="8"/>
  </r>
  <r>
    <s v="ORT-0000010839"/>
    <s v="C000417756"/>
    <s v="HARDMAN STREET SPINNINGFIELDS NO 4 LVL 2 MANCHESTER"/>
    <n v="1"/>
    <n v="1"/>
    <d v="2025-03-07T00:00:00"/>
    <x v="8"/>
  </r>
  <r>
    <s v="ORT-0000010840"/>
    <s v="C000417757"/>
    <s v="ST MICHAELS TOWER FLRS 7 &amp; 8 MANCHESTER"/>
    <n v="11"/>
    <n v="0"/>
    <d v="2025-03-07T00:00:00"/>
    <x v="8"/>
  </r>
  <r>
    <s v="ORT-0000010841"/>
    <s v="C000417759"/>
    <s v="CORCEGA 331 SURE BARCELONA"/>
    <n v="9"/>
    <n v="0"/>
    <d v="2025-03-07T00:00:00"/>
    <x v="8"/>
  </r>
  <r>
    <s v="ORT-0000010842"/>
    <s v="C000417760"/>
    <s v="BASKERVILLE HOUSE FITOUT BRITISH TRANSPORT POLICE BIRMINGHAM"/>
    <n v="0"/>
    <n v="1"/>
    <d v="2025-03-07T00:00:00"/>
    <x v="8"/>
  </r>
  <r>
    <s v="ORT-0000010843"/>
    <s v="C000417763"/>
    <s v="NDA - PWC LAYSEN VALLEY RIYADH OFFICE FIT OUT"/>
    <n v="16"/>
    <n v="0"/>
    <d v="2025-03-07T00:00:00"/>
    <x v="8"/>
  </r>
  <r>
    <s v="ORT-0000010844"/>
    <s v="C000417764"/>
    <s v="FORMER TYNECASTLE SCHOOL STUDENT ACCOMMODATION EDINBURGH"/>
    <n v="0"/>
    <n v="1"/>
    <d v="2025-03-07T00:00:00"/>
    <x v="8"/>
  </r>
  <r>
    <s v="ORT-0000010845"/>
    <s v="C000417765"/>
    <s v="THE WADDON STAFFORD ROAD CROYDON"/>
    <n v="0"/>
    <n v="1"/>
    <d v="2025-03-07T00:00:00"/>
    <x v="8"/>
  </r>
  <r>
    <s v="ORT-0000010846"/>
    <s v="C000417768"/>
    <s v="CARL ZEISS CAMBRIDGE"/>
    <n v="0"/>
    <n v="1"/>
    <d v="2025-03-07T00:00:00"/>
    <x v="8"/>
  </r>
  <r>
    <s v="ORT-0000010847"/>
    <s v="C000417769"/>
    <s v="ELEPHANT &amp; CASTLE TOWN CENTRE PLOT E1 SHELL AND CORE LONDON"/>
    <n v="0"/>
    <n v="1"/>
    <d v="2025-03-07T00:00:00"/>
    <x v="8"/>
  </r>
  <r>
    <s v="ORT-0000010848"/>
    <s v="C000417770"/>
    <s v="ARIMA OFFICES MADRID"/>
    <n v="4"/>
    <n v="1"/>
    <d v="2025-03-07T00:00:00"/>
    <x v="8"/>
  </r>
  <r>
    <s v="ORT-0000010849"/>
    <s v="C000417781"/>
    <s v="QUEENS QUAY BRISTOL CEILINGS"/>
    <n v="0"/>
    <n v="1"/>
    <d v="2025-03-07T00:00:00"/>
    <x v="8"/>
  </r>
  <r>
    <s v="ORT-0000010850"/>
    <s v="C000417783"/>
    <s v="LONDON WALL NO 120 MOOR HOUSE LONDON"/>
    <n v="0"/>
    <n v="1"/>
    <d v="2025-03-10T00:00:00"/>
    <x v="9"/>
  </r>
  <r>
    <s v="ORT-0000010851"/>
    <s v="C000417785"/>
    <s v="LACON HOUSE THEOBALDS ROAD NO 84 FLR 5 REMEDIAL LONDON"/>
    <n v="0"/>
    <n v="1"/>
    <d v="2025-03-10T00:00:00"/>
    <x v="9"/>
  </r>
  <r>
    <s v="ORT-0000010852"/>
    <s v="C000417787"/>
    <s v="STONECUTTER COURT CAT B TRAVERS SMITH LONDON"/>
    <n v="0"/>
    <n v="1"/>
    <d v="2025-03-10T00:00:00"/>
    <x v="9"/>
  </r>
  <r>
    <s v="ORT-0000010853"/>
    <s v="C000417793"/>
    <s v="LONDON SOUTH EAST COLLEGES FUTURE GREENWICH CAMPUS LONDON"/>
    <n v="0"/>
    <n v="1"/>
    <d v="2025-03-10T00:00:00"/>
    <x v="9"/>
  </r>
  <r>
    <s v="ORT-0000010854"/>
    <s v="C000417796"/>
    <s v="LISTON EXCHANGE 1ST FLR REFURB MARLOW"/>
    <n v="0"/>
    <n v="1"/>
    <d v="2025-03-10T00:00:00"/>
    <x v="9"/>
  </r>
  <r>
    <s v="ORT-0000010855"/>
    <s v="C000417797"/>
    <s v="WINNERSH TRIANGLE BUSINESS PARK BLDG 710 WOKINGHAM"/>
    <n v="0"/>
    <n v="1"/>
    <d v="2025-03-10T00:00:00"/>
    <x v="9"/>
  </r>
  <r>
    <s v="ORT-0000010856"/>
    <s v="C000417800"/>
    <s v="OLD BAILEY NO 10 CAT A REFURB FLOOR 5 LONDON"/>
    <n v="0"/>
    <n v="1"/>
    <d v="2025-03-10T00:00:00"/>
    <x v="9"/>
  </r>
  <r>
    <s v="ORT-0000010857"/>
    <s v="C000417814"/>
    <s v="Material Source Studio"/>
    <n v="5"/>
    <n v="1"/>
    <d v="2025-03-11T00:00:00"/>
    <x v="9"/>
  </r>
  <r>
    <s v="ORT-0000010858"/>
    <s v="C000417818"/>
    <s v="EASTBROOK STUDIOS DAGENHAM LONDON"/>
    <n v="0"/>
    <n v="1"/>
    <d v="2025-03-11T00:00:00"/>
    <x v="9"/>
  </r>
  <r>
    <s v="ORT-0000010859"/>
    <s v="C000417821"/>
    <s v="BROCKBOURNE HOUSE MOUNT EPHRAIM NO 77 FLR 4 REFURB TUNBRIDGE"/>
    <n v="0"/>
    <n v="1"/>
    <d v="2025-03-11T00:00:00"/>
    <x v="9"/>
  </r>
  <r>
    <s v="ORT-0000010860"/>
    <s v="C000417823"/>
    <s v="FETTER LANE NO 10 FLR 6 REFURB ARC LONDON"/>
    <n v="0"/>
    <n v="1"/>
    <d v="2025-03-11T00:00:00"/>
    <x v="9"/>
  </r>
  <r>
    <s v="ORT-0000010861"/>
    <s v="C000417835"/>
    <s v="SMITHFIELD MARKET DEVELOPMENT MUSEUM OF LONDON CLADDING"/>
    <n v="0"/>
    <n v="1"/>
    <d v="2025-03-11T00:00:00"/>
    <x v="9"/>
  </r>
  <r>
    <s v="ORT-0000010862"/>
    <s v="C000417836"/>
    <s v="SMITHFIELD MARKET DEVELOPMENT MUSEUM OF LONDON CLADDING"/>
    <n v="0"/>
    <n v="1"/>
    <d v="2025-03-11T00:00:00"/>
    <x v="9"/>
  </r>
  <r>
    <s v="ORT-0000010863"/>
    <s v="C000417837"/>
    <s v="FLORAL STREET NO 27 MARATHON ASSET MGT CAT B LONDON"/>
    <n v="0"/>
    <n v="1"/>
    <d v="2025-03-11T00:00:00"/>
    <x v="9"/>
  </r>
  <r>
    <s v="ORT-0000010864"/>
    <s v="C000417838"/>
    <s v="THE STAGE SHOREDITCH BARD &amp; HEWETT AMAZON FIT OUT LONDON"/>
    <n v="44"/>
    <n v="0"/>
    <d v="2025-03-11T00:00:00"/>
    <x v="9"/>
  </r>
  <r>
    <s v="ORT-0000010865"/>
    <s v="C000417841"/>
    <s v="BUNHILL ROW NO 1 SLAUGHTER &amp; MAY CAT A REFURB LONDON"/>
    <n v="0"/>
    <n v="1"/>
    <d v="2025-03-11T00:00:00"/>
    <x v="9"/>
  </r>
  <r>
    <s v="ORT-0000010866"/>
    <s v="CF00000511"/>
    <s v="ARC DE SEINE"/>
    <n v="15"/>
    <n v="0"/>
    <d v="2025-03-11T00:00:00"/>
    <x v="9"/>
  </r>
  <r>
    <s v="ORT-0000010867"/>
    <s v="C000417848"/>
    <s v="UNI OF STRATHCLYDE THOMAS GRAHAM BUILDING GLASGOW"/>
    <n v="5"/>
    <n v="1"/>
    <d v="2025-03-12T00:00:00"/>
    <x v="9"/>
  </r>
  <r>
    <s v="ORT-0000010868"/>
    <s v="C000417849"/>
    <s v="EVERTON FC TUNNEL CLUB &amp; TRINITY LOUNGE LIVERPOOL"/>
    <n v="0"/>
    <n v="1"/>
    <d v="2025-03-12T00:00:00"/>
    <x v="9"/>
  </r>
  <r>
    <s v="ORT-0000010869"/>
    <s v="C000417850"/>
    <s v="RESIDENTIAL PROJECT THAILAND"/>
    <n v="7"/>
    <n v="0"/>
    <d v="2025-03-12T00:00:00"/>
    <x v="9"/>
  </r>
  <r>
    <s v="ORT-0000010870"/>
    <s v="C000417851"/>
    <s v="ARKWRIGHT HOUSE REFURB MANCHESTER"/>
    <n v="0"/>
    <n v="1"/>
    <d v="2025-03-12T00:00:00"/>
    <x v="9"/>
  </r>
  <r>
    <s v="ORT-0000010871"/>
    <s v="C000417858"/>
    <s v="GRESHAM STREET NO 30 LG REFURB LONDON"/>
    <n v="0"/>
    <n v="1"/>
    <d v="2025-03-12T00:00:00"/>
    <x v="9"/>
  </r>
  <r>
    <s v="ORT-0000010872"/>
    <s v="C000417859"/>
    <s v="JAMES STREET NO 1 LONDON"/>
    <n v="24"/>
    <n v="0"/>
    <d v="2025-03-12T00:00:00"/>
    <x v="9"/>
  </r>
  <r>
    <s v="ORT-0000010873"/>
    <s v="C000417863"/>
    <s v="WORKPLACE INTERIORS MISC 2025"/>
    <n v="0"/>
    <n v="1"/>
    <d v="2025-03-12T00:00:00"/>
    <x v="9"/>
  </r>
  <r>
    <s v="ORT-0000010874"/>
    <s v="C000417866"/>
    <s v="EVERTON FC TUNNEL CLUB &amp; TRINITY LOUNGE LIVERPOOL"/>
    <n v="18"/>
    <n v="0"/>
    <d v="2025-03-12T00:00:00"/>
    <x v="9"/>
  </r>
  <r>
    <s v="ORT-0000010875"/>
    <s v="C000417867"/>
    <s v="OXFORD STREET NO 334-348 S&amp;C / LOBBIES LONDON"/>
    <n v="16"/>
    <n v="0"/>
    <d v="2025-03-12T00:00:00"/>
    <x v="9"/>
  </r>
  <r>
    <s v="ORT-0000010876"/>
    <s v="C000417868"/>
    <s v="PULSANT DATA CENTRE SE-1 MILTON KEYNES"/>
    <n v="6"/>
    <n v="0"/>
    <d v="2025-03-12T00:00:00"/>
    <x v="9"/>
  </r>
  <r>
    <s v="ORT-0000010877"/>
    <s v="C000417869"/>
    <s v="MANCHESTER AIRPORT PIER 2 PHASE 2 CELINGS"/>
    <n v="0"/>
    <n v="1"/>
    <d v="2025-03-12T00:00:00"/>
    <x v="9"/>
  </r>
  <r>
    <s v="ORT-0000010878"/>
    <s v="C000417871"/>
    <s v="HIGH TIMBER STREET MILLENIUM BRIDGE HOUSE NO 1 LONDON"/>
    <n v="0"/>
    <n v="1"/>
    <d v="2025-03-12T00:00:00"/>
    <x v="9"/>
  </r>
  <r>
    <s v="ORT-0000010879"/>
    <s v="C000417872"/>
    <s v="MANCHESTER AIRPORT T2 EAST WING NEW DEVELOPMENT"/>
    <n v="0"/>
    <n v="1"/>
    <d v="2025-03-12T00:00:00"/>
    <x v="9"/>
  </r>
  <r>
    <s v="ORT-0000010880"/>
    <s v="C000417875"/>
    <s v="THE STAGE SHOREDITCH BARD &amp; HEWETT AMAZON FIT OUT LONDON"/>
    <n v="30"/>
    <n v="0"/>
    <d v="2025-03-12T00:00:00"/>
    <x v="9"/>
  </r>
  <r>
    <s v="ORT-0000010881"/>
    <s v="C000417877"/>
    <s v="GSK BUILDING 5 REFURB WARE"/>
    <n v="6"/>
    <n v="0"/>
    <d v="2025-03-12T00:00:00"/>
    <x v="9"/>
  </r>
  <r>
    <s v="ORT-0000010882"/>
    <s v="C000417881"/>
    <s v="ST NICHOLAS BUILDING FLR 4 NEWCASTLE"/>
    <n v="19"/>
    <n v="0"/>
    <d v="2025-03-13T00:00:00"/>
    <x v="9"/>
  </r>
  <r>
    <s v="ORT-0000010883"/>
    <s v="C000417883"/>
    <s v="CANARY WHARF DS7 CANADA SQUARE NO 1 UCL SOM PHASE 1 LONDON"/>
    <n v="49"/>
    <n v="0"/>
    <d v="2025-03-13T00:00:00"/>
    <x v="9"/>
  </r>
  <r>
    <s v="ORT-0000010884"/>
    <s v="CF00000513"/>
    <s v="JEU DE PAUME PARIS"/>
    <n v="35"/>
    <n v="0"/>
    <d v="2025-03-13T00:00:00"/>
    <x v="9"/>
  </r>
  <r>
    <s v="ORT-0000010888"/>
    <s v="C000417904"/>
    <s v="BISHOPSGATE NO 22 FLR 16 REFURB LONDON"/>
    <n v="44"/>
    <n v="0"/>
    <d v="2025-03-14T00:00:00"/>
    <x v="9"/>
  </r>
  <r>
    <s v="ORT-0000010889"/>
    <s v="C000417907"/>
    <s v="EXCEL PHASE 3 DEVELOPMENT LONDON"/>
    <n v="0"/>
    <n v="1"/>
    <d v="2025-03-14T00:00:00"/>
    <x v="9"/>
  </r>
  <r>
    <s v="ORT-0000010890"/>
    <s v="C000417906"/>
    <s v="MORE LONDON NO 6 CAT A LONDON"/>
    <n v="0"/>
    <n v="1"/>
    <d v="2025-03-14T00:00:00"/>
    <x v="9"/>
  </r>
  <r>
    <s v="ORT-0000010891"/>
    <s v="C000417912"/>
    <s v="PUBLIC WCS FIT OUT PARLIAMENT STREET WESTMINSTER LONDON"/>
    <n v="15"/>
    <n v="0"/>
    <d v="2025-03-14T00:00:00"/>
    <x v="9"/>
  </r>
  <r>
    <s v="ORT-0000010892"/>
    <s v="C000417886"/>
    <s v="LEADENHALL STREET NO 1 SHELL AND CORE LONDON"/>
    <n v="0"/>
    <n v="1"/>
    <d v="2025-03-14T00:00:00"/>
    <x v="9"/>
  </r>
  <r>
    <s v="ORT-0000010893"/>
    <s v="C000417889"/>
    <s v="THE BOURN QUARTER META CAMBRIDGE"/>
    <n v="0"/>
    <n v="1"/>
    <d v="2025-03-14T00:00:00"/>
    <x v="9"/>
  </r>
  <r>
    <s v="ORT-0000010894"/>
    <s v="C000417899"/>
    <s v="QUEEN VICTORIA STREET NO 128 OLD CHANGE HOUSE REFURB LONDON"/>
    <n v="0"/>
    <n v="1"/>
    <d v="2025-03-14T00:00:00"/>
    <x v="9"/>
  </r>
  <r>
    <s v="ORT-0000010895"/>
    <s v="C000417900"/>
    <s v="EVERTON FC TUNNEL CLUB &amp; TRINITY LOUNGE LIVERPOOL"/>
    <n v="1"/>
    <n v="1"/>
    <d v="2025-03-14T00:00:00"/>
    <x v="9"/>
  </r>
  <r>
    <s v="ORT-0000010896"/>
    <s v="C000417910"/>
    <s v="THORN LIGHTING LTD 2025"/>
    <n v="0"/>
    <n v="1"/>
    <d v="2025-03-14T00:00:00"/>
    <x v="9"/>
  </r>
  <r>
    <s v="ORT-0000010897"/>
    <s v="C000417911"/>
    <s v="VICTORIA STREET NO 80 FLR 7 REFURB LONDON"/>
    <n v="0"/>
    <n v="1"/>
    <d v="2025-03-14T00:00:00"/>
    <x v="9"/>
  </r>
  <r>
    <s v="ORT-0000010898"/>
    <s v="C000417916"/>
    <s v="SPRING GARDENS NO 10 REFURB LONDON"/>
    <n v="2"/>
    <n v="1"/>
    <d v="2025-03-14T00:00:00"/>
    <x v="9"/>
  </r>
  <r>
    <s v="ORT-0000010899"/>
    <s v="C000417917"/>
    <s v="MANCHESTER AIRPORT T2 EAST WING NEW DEVELOPMENT"/>
    <n v="5"/>
    <n v="1"/>
    <d v="2025-03-14T00:00:00"/>
    <x v="9"/>
  </r>
  <r>
    <s v="ORT-0000010900"/>
    <s v="C000417927"/>
    <s v="DRAPERS GARDENS NO 12 BLACKROCK FLR 3 REFURB LONDON"/>
    <n v="0"/>
    <n v="1"/>
    <d v="2025-03-14T00:00:00"/>
    <x v="9"/>
  </r>
  <r>
    <s v="ORT-0000010903"/>
    <s v="C000417929"/>
    <s v="BRANDON STREET NO 20  BLACKROCK EDINBURGH"/>
    <n v="0"/>
    <n v="1"/>
    <d v="2025-03-17T00:00:00"/>
    <x v="10"/>
  </r>
  <r>
    <s v="ORT-0000010904"/>
    <s v="C000417930"/>
    <s v="GATWICK AIRPORT NGSC SUSSEX SUITE"/>
    <n v="5"/>
    <n v="1"/>
    <d v="2025-03-17T00:00:00"/>
    <x v="10"/>
  </r>
  <r>
    <s v="ORT-0000010905"/>
    <s v="C000417931"/>
    <s v="TRITON SQUARE NO 1 OFFICE / LABS RECEPTION WALL PANELS"/>
    <n v="3"/>
    <n v="1"/>
    <d v="2025-03-17T00:00:00"/>
    <x v="10"/>
  </r>
  <r>
    <s v="ORT-0000010906"/>
    <s v="C000417932"/>
    <s v="DEVONSHIRE SQUARE NO 9 FLOOR 4 REFURB LONDON"/>
    <n v="0"/>
    <n v="1"/>
    <d v="2025-03-17T00:00:00"/>
    <x v="10"/>
  </r>
  <r>
    <s v="ORT-0000010907"/>
    <s v="C000417933"/>
    <s v="KCL MACADAM BUILDING PRAYER ROOM LONDON"/>
    <n v="16"/>
    <n v="0"/>
    <d v="2025-03-17T00:00:00"/>
    <x v="10"/>
  </r>
  <r>
    <s v="ORT-0000010908"/>
    <s v="C000417935"/>
    <s v="CANARY WHARF WOOD WHARF B2 APARTMENT FIT OUT LONDON"/>
    <n v="0"/>
    <n v="1"/>
    <d v="2025-03-17T00:00:00"/>
    <x v="10"/>
  </r>
  <r>
    <s v="ORT-0000010909"/>
    <s v="C000417938"/>
    <s v="WORSHIP SQUARE NO 65 CLIFTON ST FRONTIER ECONOMICS FO LONDON"/>
    <n v="0"/>
    <n v="1"/>
    <d v="2025-03-17T00:00:00"/>
    <x v="10"/>
  </r>
  <r>
    <s v="ORT-0000010910"/>
    <s v="CF00000516"/>
    <s v="GENESYS BREST"/>
    <n v="74"/>
    <n v="0"/>
    <d v="2025-03-17T00:00:00"/>
    <x v="10"/>
  </r>
  <r>
    <s v="ORT-0000010911"/>
    <s v="C000417958"/>
    <s v="EVERTON FC BRAMLEY MOORE DOCK STADIUM FEATURES LIVERPOOL"/>
    <n v="0"/>
    <n v="1"/>
    <d v="2025-03-18T00:00:00"/>
    <x v="10"/>
  </r>
  <r>
    <s v="ORT-0000010912"/>
    <s v="C000417627"/>
    <s v="MERCEDES BENZ BRAND CENTER D3 DUBAI DESIGN DISTRICT"/>
    <n v="2"/>
    <n v="1"/>
    <d v="2025-03-18T00:00:00"/>
    <x v="10"/>
  </r>
  <r>
    <s v="ORT-0000010913"/>
    <s v="C000417960"/>
    <s v="DAKOTA HOTEL ST ANNS WHARF NEWCASTLE"/>
    <n v="0"/>
    <n v="1"/>
    <d v="2025-03-18T00:00:00"/>
    <x v="10"/>
  </r>
  <r>
    <s v="ORT-0000010914"/>
    <s v="C000417963"/>
    <s v="BT BUILDING LEVEL 2 GLASGOW"/>
    <n v="6"/>
    <n v="0"/>
    <d v="2025-03-18T00:00:00"/>
    <x v="10"/>
  </r>
  <r>
    <s v="ORT-0000010915"/>
    <s v="C000417965"/>
    <s v="Events"/>
    <n v="0"/>
    <n v="1"/>
    <d v="2025-03-18T00:00:00"/>
    <x v="10"/>
  </r>
  <r>
    <s v="ORT-0000010916"/>
    <s v="C000417968"/>
    <s v="BAKER STREET NO 25 LONDON"/>
    <n v="0"/>
    <n v="1"/>
    <d v="2025-03-18T00:00:00"/>
    <x v="10"/>
  </r>
  <r>
    <s v="ORT-0000010918"/>
    <s v="C000417977"/>
    <s v="BROADGATE NO 1-2 SHELL &amp; CORE LONDON"/>
    <n v="0"/>
    <n v="1"/>
    <d v="2025-03-19T00:00:00"/>
    <x v="10"/>
  </r>
  <r>
    <s v="ORT-0000010919"/>
    <s v="C000417978"/>
    <s v="CANARY WHARF CANADA SQUARE NO 25 CITIBANK REFURB LONDON"/>
    <n v="0"/>
    <n v="1"/>
    <d v="2025-03-19T00:00:00"/>
    <x v="10"/>
  </r>
  <r>
    <s v="ORT-0000010920"/>
    <s v="C000417986"/>
    <s v="THE SLOANE CLUB LOWER SLOANE STREET LONDON"/>
    <n v="0"/>
    <n v="1"/>
    <d v="2025-03-19T00:00:00"/>
    <x v="10"/>
  </r>
  <r>
    <s v="ORT-0000010921"/>
    <s v="C000417987"/>
    <s v="GRESHAM STREET NO 10 MOODYS CORP CAT B FITOUT LONDON"/>
    <n v="7"/>
    <n v="0"/>
    <d v="2025-03-19T00:00:00"/>
    <x v="10"/>
  </r>
  <r>
    <s v="ORT-0000010922"/>
    <s v="C000417991"/>
    <s v="SAVILE ROW NO 23 ROKOS FLR 1 PHASE 2 LONDON"/>
    <n v="12"/>
    <n v="0"/>
    <d v="2025-03-19T00:00:00"/>
    <x v="10"/>
  </r>
  <r>
    <s v="ORT-0000010923"/>
    <s v="C000417996"/>
    <s v="CAPITAL PARK CAMBRIDGE ROAD NO 2 FULBOURN CAMBRIDGE"/>
    <n v="0"/>
    <n v="1"/>
    <d v="2025-03-19T00:00:00"/>
    <x v="10"/>
  </r>
  <r>
    <s v="ORT-0000010924"/>
    <s v="C000417997"/>
    <s v="VICTORIA HOUSE BLOOMSBURY SQUARE LONDON"/>
    <n v="15"/>
    <n v="0"/>
    <d v="2025-03-19T00:00:00"/>
    <x v="10"/>
  </r>
  <r>
    <s v="ORT-0000010925"/>
    <s v="C000418010"/>
    <s v="PETERBOROUGH COURT DANIEL HOUSE LVL 4 LONDON"/>
    <n v="2"/>
    <n v="1"/>
    <d v="2025-03-19T00:00:00"/>
    <x v="10"/>
  </r>
  <r>
    <s v="ORT-0000010926"/>
    <s v="C000418020"/>
    <s v="HSBC BANK OFFICE RIYADH"/>
    <n v="46"/>
    <n v="0"/>
    <d v="2025-03-19T00:00:00"/>
    <x v="10"/>
  </r>
  <r>
    <s v="ORT-0000010928"/>
    <s v="C000418024"/>
    <s v="PETERBOROUGH COURT FLEET STREET NO 133 REFURB LONDON"/>
    <n v="0"/>
    <n v="1"/>
    <d v="2025-03-20T00:00:00"/>
    <x v="10"/>
  </r>
  <r>
    <s v="ORT-0000010929"/>
    <s v="C000418025"/>
    <s v="MANCHESTER AIRPORT T2 EAST WING NEW DEVELOPMENT"/>
    <n v="0"/>
    <n v="1"/>
    <d v="2025-03-20T00:00:00"/>
    <x v="10"/>
  </r>
  <r>
    <s v="ORT-0000010930"/>
    <s v="C000418031"/>
    <s v="ST MICHAELS TOWER FLRS 7 &amp; 8 MANCHESTER"/>
    <n v="8"/>
    <n v="0"/>
    <d v="2025-03-20T00:00:00"/>
    <x v="10"/>
  </r>
  <r>
    <s v="ORT-0000010931"/>
    <s v="C000418036"/>
    <s v="JACK TURNBULL MISC TILE &amp; GRID 2025"/>
    <n v="2"/>
    <n v="1"/>
    <d v="2025-03-20T00:00:00"/>
    <x v="10"/>
  </r>
  <r>
    <s v="ORT-0000010932"/>
    <s v="C000418037"/>
    <s v="SOUTH MISC 2025"/>
    <n v="9"/>
    <n v="0"/>
    <d v="2025-03-20T00:00:00"/>
    <x v="10"/>
  </r>
  <r>
    <s v="ORT-0000010933"/>
    <s v="C000418038"/>
    <s v="HEATHROW AIRPORT TERMINAL 3 CSA REFURBISHMENT"/>
    <n v="0"/>
    <n v="1"/>
    <d v="2025-03-20T00:00:00"/>
    <x v="10"/>
  </r>
  <r>
    <s v="ORT-0000010934"/>
    <s v="C000418039"/>
    <s v="LEADENHALL STREET NO 40 KIRKLAND &amp; ELLIS FLRS 15-34 LONDON"/>
    <n v="0"/>
    <n v="1"/>
    <d v="2025-03-20T00:00:00"/>
    <x v="10"/>
  </r>
  <r>
    <s v="ORT-0000010935"/>
    <s v="C000418048"/>
    <s v="CHAMARTIN PHASE 2 MADRID"/>
    <n v="0"/>
    <n v="1"/>
    <d v="2025-03-20T00:00:00"/>
    <x v="10"/>
  </r>
  <r>
    <s v="ORT-0000010939"/>
    <s v="C000418057"/>
    <s v="NEW BRIDGE ST HOUSE NO 30-34 REFURB LONDON"/>
    <n v="0"/>
    <n v="1"/>
    <d v="2025-03-20T00:00:00"/>
    <x v="10"/>
  </r>
  <r>
    <s v="ORT-0000010940"/>
    <s v="C000418062"/>
    <s v="MORE LONDON NO 6 CAT A LONDON"/>
    <n v="0"/>
    <n v="1"/>
    <d v="2025-03-20T00:00:00"/>
    <x v="10"/>
  </r>
  <r>
    <s v="ORT-0000010941"/>
    <s v="C000418063"/>
    <s v="MORE LONDON NO 6 CAT A LONDON"/>
    <n v="0"/>
    <n v="1"/>
    <d v="2025-03-20T00:00:00"/>
    <x v="10"/>
  </r>
  <r>
    <s v="ORT-0000010942"/>
    <s v="C000418064"/>
    <s v="MORE LONDON NO 6 CAT A LONDON"/>
    <n v="0"/>
    <n v="1"/>
    <d v="2025-03-20T00:00:00"/>
    <x v="10"/>
  </r>
  <r>
    <s v="ORT-0000010943"/>
    <s v="C000418065"/>
    <s v="MOORFIELDS NO 21 THE GLACIER CAT B DEUTSCHE BANK LONDON"/>
    <n v="0"/>
    <n v="1"/>
    <d v="2025-03-20T00:00:00"/>
    <x v="10"/>
  </r>
  <r>
    <s v="ORT-0000010944"/>
    <s v="C000418068"/>
    <s v="MANCHESTER AIRPORT T2 EAST WING NEW DEVELOPMENT"/>
    <n v="0"/>
    <n v="1"/>
    <d v="2025-03-20T00:00:00"/>
    <x v="10"/>
  </r>
  <r>
    <s v="ORT-0000010946"/>
    <s v="C000418072"/>
    <s v="TRITON SQUARE NO 1 OFFICE / LABS CAT A LONDON"/>
    <n v="0"/>
    <n v="1"/>
    <d v="2025-03-21T00:00:00"/>
    <x v="10"/>
  </r>
  <r>
    <s v="ORT-0000010947"/>
    <s v="C000418075"/>
    <s v="LEADENHALL STREET NO 1 SHELL AND CORE LONDON"/>
    <n v="0"/>
    <n v="1"/>
    <d v="2025-03-21T00:00:00"/>
    <x v="10"/>
  </r>
  <r>
    <s v="ORT-0000010948"/>
    <s v="C000418076"/>
    <s v="THE SHARD LEVEL 9 REFURB LONDON"/>
    <n v="2"/>
    <n v="1"/>
    <d v="2025-03-21T00:00:00"/>
    <x v="10"/>
  </r>
  <r>
    <s v="ORT-0000010949"/>
    <s v="C000418080"/>
    <s v="MORE LONDON NO 6 CAT A LONDON"/>
    <n v="14"/>
    <n v="0"/>
    <d v="2025-03-21T00:00:00"/>
    <x v="10"/>
  </r>
  <r>
    <s v="ORT-0000010950"/>
    <s v="C000418084"/>
    <s v="WORKPLACE INTERIORS MISC 2025"/>
    <n v="0"/>
    <n v="1"/>
    <d v="2025-03-21T00:00:00"/>
    <x v="10"/>
  </r>
  <r>
    <s v="ORT-0000010951"/>
    <s v="C000418085"/>
    <s v="HARWELL SCIENCE PARK QUAD 3 OFFICES DIDCOT"/>
    <n v="0"/>
    <n v="1"/>
    <d v="2025-03-21T00:00:00"/>
    <x v="10"/>
  </r>
  <r>
    <s v="ORT-0000010952"/>
    <s v="C000418090"/>
    <s v="CAMBRIDGE BIOMEDICAL CAMPUS HISTOPATHOLOGY"/>
    <n v="0"/>
    <n v="1"/>
    <d v="2025-03-21T00:00:00"/>
    <x v="10"/>
  </r>
  <r>
    <s v="ORT-0000010953"/>
    <s v="C000418091"/>
    <s v="BROADWAY NO 40 &amp; CARTERET STREET REDEVELOPMENT LONDON"/>
    <n v="0"/>
    <n v="1"/>
    <d v="2025-03-24T00:00:00"/>
    <x v="11"/>
  </r>
  <r>
    <s v="ORT-0000010954"/>
    <s v="C000418092"/>
    <s v="EURSHELL MISC TILE &amp; GRID 2025"/>
    <n v="0"/>
    <n v="1"/>
    <d v="2025-03-24T00:00:00"/>
    <x v="11"/>
  </r>
  <r>
    <s v="ORT-0000010955"/>
    <s v="C000418094"/>
    <s v="JOHN LEWIS MISC 2025"/>
    <n v="0"/>
    <n v="1"/>
    <d v="2025-03-24T00:00:00"/>
    <x v="11"/>
  </r>
  <r>
    <s v="ORT-0000010957"/>
    <m/>
    <s v="ORACLE OFFICE FIT-OUT BLDG6 DUBAI INTERNET CITY"/>
    <n v="8"/>
    <n v="0"/>
    <d v="2025-03-24T00:00:00"/>
    <x v="11"/>
  </r>
  <r>
    <s v="ORT-0000010958"/>
    <s v="C000418106"/>
    <s v="JACK TURNBULL MISC TILE &amp; GRID 2025"/>
    <n v="2"/>
    <n v="1"/>
    <d v="2025-03-24T00:00:00"/>
    <x v="11"/>
  </r>
  <r>
    <s v="ORT-0000010959"/>
    <s v="C000418116"/>
    <s v="CENTRO DE DATOS (CPD) SEGURIDAD SOCIAL SORIA"/>
    <n v="121"/>
    <n v="0"/>
    <d v="2025-03-24T00:00:00"/>
    <x v="11"/>
  </r>
  <r>
    <s v="ORT-0000010960"/>
    <s v="C000418120"/>
    <s v="JACK TURNBULL MISC TILE &amp; GRID 2025"/>
    <n v="0"/>
    <n v="1"/>
    <d v="2025-03-24T00:00:00"/>
    <x v="11"/>
  </r>
  <r>
    <s v="ORT-0000010961"/>
    <s v="C000418050"/>
    <s v="DUBAI MALL ICE RINK CEILING REFURB"/>
    <n v="2"/>
    <n v="1"/>
    <d v="2025-03-24T00:00:00"/>
    <x v="11"/>
  </r>
  <r>
    <s v="ORT-0000010965"/>
    <s v="C000418131"/>
    <s v="BROADWAY NO 40 &amp; CARTERET STREET REDEVELOPMENT LONDON"/>
    <n v="0"/>
    <n v="1"/>
    <d v="2025-03-25T00:00:00"/>
    <x v="11"/>
  </r>
  <r>
    <s v="ORT-0000010966"/>
    <s v="C000418132"/>
    <s v="WORKPLACE INTERIORS MISC 2025"/>
    <n v="0"/>
    <n v="1"/>
    <d v="2025-03-25T00:00:00"/>
    <x v="11"/>
  </r>
  <r>
    <s v="ORT-0000010967"/>
    <s v="C000418138"/>
    <s v="HEATHROW T4 CSA SECURITY PROGRAMME WORKS LONDON"/>
    <n v="9"/>
    <n v="0"/>
    <d v="2025-03-25T00:00:00"/>
    <x v="11"/>
  </r>
  <r>
    <s v="ORT-0000010968"/>
    <s v="C000418142"/>
    <s v="HOSPITAL EL CARMEN CIUDAD REAL"/>
    <n v="24"/>
    <n v="0"/>
    <d v="2025-03-25T00:00:00"/>
    <x v="11"/>
  </r>
  <r>
    <s v="ORT-0000010969"/>
    <s v="C000418143"/>
    <s v="CIRCLE SQUARE NO 3 MANCHESTER"/>
    <n v="2"/>
    <n v="1"/>
    <d v="2025-03-25T00:00:00"/>
    <x v="11"/>
  </r>
  <r>
    <s v="ORT-0000010970"/>
    <s v="C000418154"/>
    <s v="JSP PICCADILLY NO 180 DUKE STREET NO 30 LONDON"/>
    <n v="0"/>
    <n v="1"/>
    <d v="2025-03-25T00:00:00"/>
    <x v="11"/>
  </r>
  <r>
    <s v="ORT-0000010971"/>
    <s v="C000418157"/>
    <s v="ST PAULS SQUARE NO 4 FLOOR 5 CAT B LIVERPOOL"/>
    <n v="0"/>
    <n v="1"/>
    <d v="2025-03-26T00:00:00"/>
    <x v="11"/>
  </r>
  <r>
    <s v="ORT-0000010972"/>
    <s v="C000418165"/>
    <s v="PORTMAN SQUARE NO 10 LVL 3 REFURB LONDON"/>
    <n v="0"/>
    <n v="1"/>
    <d v="2025-03-26T00:00:00"/>
    <x v="11"/>
  </r>
  <r>
    <s v="ORT-0000010973"/>
    <s v="C000418171"/>
    <s v="FENCHURCH STREET NO 80 EIGHTYFEN AVIVA PH 2 LONDON"/>
    <n v="0"/>
    <n v="1"/>
    <d v="2025-03-26T00:00:00"/>
    <x v="11"/>
  </r>
  <r>
    <s v="ORT-0000010974"/>
    <s v="C000418174"/>
    <s v="SOUTH MISC 2025"/>
    <n v="0"/>
    <n v="1"/>
    <d v="2025-03-26T00:00:00"/>
    <x v="11"/>
  </r>
  <r>
    <s v="ORT-0000010975"/>
    <s v="C000418182"/>
    <s v="CORINTHIAN HOUSE FLR 9 CAT B FITOUT  CROYDON"/>
    <n v="0"/>
    <n v="1"/>
    <d v="2025-03-26T00:00:00"/>
    <x v="11"/>
  </r>
  <r>
    <s v="ORT-0000010976"/>
    <s v="C000418183"/>
    <s v="RIVERGATE NO 3 TEMPLE QUAY REFURB BRISTOL"/>
    <n v="0"/>
    <n v="1"/>
    <d v="2025-03-26T00:00:00"/>
    <x v="11"/>
  </r>
  <r>
    <s v="ORT-0000010977"/>
    <s v="C000418185"/>
    <s v="RAVENSBURY REGENERATION BLOCK F &amp; D LONDON"/>
    <n v="25"/>
    <n v="0"/>
    <d v="2025-03-26T00:00:00"/>
    <x v="11"/>
  </r>
  <r>
    <s v="ORT-0000010978"/>
    <s v="C000418189"/>
    <s v="HERON TOWER NO 110 BISHOPSGATE FLR 4 REFURB LONDON"/>
    <n v="0"/>
    <n v="1"/>
    <d v="2025-03-27T00:00:00"/>
    <x v="11"/>
  </r>
  <r>
    <s v="ORT-0000010979"/>
    <s v="C000418190"/>
    <s v="WEST REGENT STREET NO 1 SKYSCANNER FITOUT GLASGOW"/>
    <n v="0"/>
    <n v="1"/>
    <d v="2025-03-27T00:00:00"/>
    <x v="11"/>
  </r>
  <r>
    <s v="ORT-0000010980"/>
    <s v="C000418191"/>
    <s v="FREDERICK BREMMER SCHOOL REFURB"/>
    <n v="1"/>
    <n v="1"/>
    <d v="2025-03-27T00:00:00"/>
    <x v="11"/>
  </r>
  <r>
    <s v="ORT-0000010981"/>
    <s v="C000418192"/>
    <s v="AIR STREET NO 20 CAT B PAUL WEISS LONDON"/>
    <n v="0"/>
    <n v="1"/>
    <d v="2025-03-27T00:00:00"/>
    <x v="11"/>
  </r>
  <r>
    <s v="ORT-0000010982"/>
    <s v="C000418193"/>
    <s v="CANARY WHARF CANADA SQUARE NO 25 CITIBANK REFURB LONDON"/>
    <n v="6"/>
    <n v="0"/>
    <d v="2025-03-27T00:00:00"/>
    <x v="11"/>
  </r>
  <r>
    <s v="ORT-0000010983"/>
    <s v="C000418195"/>
    <s v="JACK TURNBULL MISC TILE &amp; GRID 2025"/>
    <n v="0"/>
    <n v="1"/>
    <d v="2025-03-27T00:00:00"/>
    <x v="11"/>
  </r>
  <r>
    <s v="ORT-0000010984"/>
    <s v="C000418196"/>
    <s v="BLUE FIN BUILDING SOUTHWARK STREET COSTAR FLRS 5-6 LONDON"/>
    <n v="0"/>
    <n v="1"/>
    <d v="2025-03-27T00:00:00"/>
    <x v="11"/>
  </r>
  <r>
    <s v="ORT-0000010985"/>
    <s v="C000418197"/>
    <s v="SACKVILLE STREET NO 15 FLR 3 &amp; 4 REFURB LONDON"/>
    <n v="0"/>
    <n v="1"/>
    <d v="2025-03-27T00:00:00"/>
    <x v="11"/>
  </r>
  <r>
    <s v="ORT-0000010986"/>
    <s v="C000418198"/>
    <s v="UNI OF CAMBRIDGE WHITTLE LAB EXTENSION CAMBRIDGE"/>
    <n v="23"/>
    <n v="0"/>
    <d v="2025-03-27T00:00:00"/>
    <x v="11"/>
  </r>
  <r>
    <s v="ORT-0000010987"/>
    <s v="C000418201"/>
    <s v="EDINBURGH AIRPORT ESCAPE LOUNGE"/>
    <n v="21"/>
    <n v="0"/>
    <d v="2025-03-27T00:00:00"/>
    <x v="11"/>
  </r>
  <r>
    <s v="ORT-0000010988"/>
    <s v="C000418203"/>
    <s v="SUGAR HOUSE ISLAND DEVELOPMENT PH2 STRATFORD LONDON"/>
    <n v="19"/>
    <n v="0"/>
    <d v="2025-03-27T00:00:00"/>
    <x v="11"/>
  </r>
  <r>
    <s v="ORT-0000010989"/>
    <s v="C000418204"/>
    <s v="LACON HOUSE THEOBALDS ROAD NO 84 FLR 5 MEETING ROOMS LONDON"/>
    <n v="0"/>
    <n v="1"/>
    <d v="2025-03-27T00:00:00"/>
    <x v="11"/>
  </r>
  <r>
    <s v="ORT-0000010990"/>
    <s v="C000418206"/>
    <s v="TOR BUILDING HOLLIS GLOBAL FLR 3 FIT OUT MAIDENHEAD"/>
    <n v="0"/>
    <n v="1"/>
    <d v="2025-03-27T00:00:00"/>
    <x v="11"/>
  </r>
  <r>
    <s v="ORT-0000010991"/>
    <s v="C000418218"/>
    <s v="DAVIDSON BUILDING SOUTHAMPTON STREET NO 5 LONDON"/>
    <n v="7"/>
    <n v="0"/>
    <d v="2025-03-27T00:00:00"/>
    <x v="11"/>
  </r>
  <r>
    <s v="ORT-0000010992"/>
    <s v="C000418222"/>
    <s v="CHAMARTIN PHASE 2 MADRID"/>
    <n v="10"/>
    <n v="0"/>
    <d v="2025-03-27T00:00:00"/>
    <x v="11"/>
  </r>
  <r>
    <s v="ORT-0000010994"/>
    <s v="C000418230"/>
    <s v="KING STREET NO 28 LVL 4 GUNVOR DILAPS LONDON"/>
    <n v="0"/>
    <n v="1"/>
    <d v="2025-03-28T00:00:00"/>
    <x v="11"/>
  </r>
  <r>
    <s v="ORT-0000010995"/>
    <s v="C000418231"/>
    <s v="GRESHAM STREET NO 10 MOODYS CORP CAT B FITOUT LONDON"/>
    <n v="2"/>
    <n v="1"/>
    <d v="2025-03-28T00:00:00"/>
    <x v="11"/>
  </r>
  <r>
    <s v="ORT-0000010996"/>
    <s v="C000418236"/>
    <s v="DANSOM LANE SOUTH RECKITTS REFURB HULL"/>
    <n v="2"/>
    <n v="1"/>
    <d v="2025-03-28T00:00:00"/>
    <x v="11"/>
  </r>
  <r>
    <s v="ORT-0000010997"/>
    <s v="C000418241"/>
    <s v="CATTERICK INTEGRATED CARE CAMPUS NORTH YORKSHIRE"/>
    <n v="9"/>
    <n v="0"/>
    <d v="2025-03-28T00:00:00"/>
    <x v="11"/>
  </r>
  <r>
    <s v="ORT-0000010998"/>
    <s v="C000418243"/>
    <s v="CANARY WHARF CANADA SQUARE NO 25 CITIBANK REFURB LONDON"/>
    <n v="24"/>
    <n v="0"/>
    <d v="2025-03-28T00:00:00"/>
    <x v="11"/>
  </r>
  <r>
    <s v="ORT-0000010999"/>
    <s v="C000418245"/>
    <m/>
    <n v="1"/>
    <n v="1"/>
    <d v="2025-03-28T00:00:00"/>
    <x v="11"/>
  </r>
  <r>
    <s v="ORT-0000011003"/>
    <s v="C000418253"/>
    <s v="HWE HUB BUILDING 7 WATFORD"/>
    <n v="0"/>
    <n v="1"/>
    <d v="2025-03-31T00:00:00"/>
    <x v="12"/>
  </r>
  <r>
    <s v="ORT-0000011004"/>
    <s v="C000418254"/>
    <s v="LANCELOT PLACE NO 8 CAT A REFURB LONDON"/>
    <n v="36"/>
    <n v="0"/>
    <d v="2025-03-31T00:00:00"/>
    <x v="12"/>
  </r>
  <r>
    <s v="ORT-0000011005"/>
    <s v="C000418258"/>
    <s v="KAO DATA CENTRE KLON06 SLOUGH TS03 DATA HALL TILES"/>
    <n v="33"/>
    <n v="0"/>
    <d v="2025-03-31T00:00:00"/>
    <x v="12"/>
  </r>
  <r>
    <s v="ORT-0000011006"/>
    <s v="C000418259"/>
    <s v="UNI OF EDINBURGH QMRI FLOORS 2 &amp; 3 REFURB"/>
    <n v="0"/>
    <n v="1"/>
    <d v="2025-03-31T00:00:00"/>
    <x v="12"/>
  </r>
  <r>
    <s v="ORT-0000011007"/>
    <s v="C000418260"/>
    <s v="WINNERSH TRIANGLE BUSINESS PARK BLDG 710 WOKINGHAM"/>
    <n v="0"/>
    <n v="1"/>
    <d v="2025-03-31T00:00:00"/>
    <x v="12"/>
  </r>
  <r>
    <s v="ORT-0000011008"/>
    <s v="C000418266"/>
    <s v="ARIMA OFFICES MADRID"/>
    <n v="20"/>
    <n v="0"/>
    <d v="2025-03-31T00:00:00"/>
    <x v="12"/>
  </r>
  <r>
    <s v="ORT-0000011009"/>
    <s v="C000418272"/>
    <s v="GRESHAM STREET NO 10 WC AREAS REFURB LONDON"/>
    <n v="0"/>
    <n v="1"/>
    <d v="2025-03-31T00:00:00"/>
    <x v="12"/>
  </r>
  <r>
    <s v="ORT-0000011010"/>
    <s v="C000418275"/>
    <s v="R+D INSTALLATION SCHOOL"/>
    <n v="0"/>
    <n v="1"/>
    <d v="2025-03-31T00:00:00"/>
    <x v="12"/>
  </r>
  <r>
    <s v="ORT-0000011011"/>
    <s v="C000418282"/>
    <s v="MANCHESTER AIRPORT PIER 2 PHASE 2 CELINGS"/>
    <n v="0"/>
    <n v="1"/>
    <d v="2025-03-31T00:00:00"/>
    <x v="12"/>
  </r>
  <r>
    <s v="ORT-0000011012"/>
    <s v="C000418283"/>
    <s v="MANCHESTER AIRPORT T2 EAST WING NEW DEVELOPMENT"/>
    <n v="0"/>
    <n v="1"/>
    <d v="2025-03-31T00:00:00"/>
    <x v="12"/>
  </r>
  <r>
    <s v="ORT-0000011013"/>
    <s v="C000418284"/>
    <s v="KINGS ROAD NO 120 LIBERTY GLOBAL FABRIC LONDON"/>
    <n v="0"/>
    <n v="1"/>
    <d v="2025-03-31T00:00:00"/>
    <x v="12"/>
  </r>
  <r>
    <s v="ORT-0000011014"/>
    <s v="C000418287"/>
    <s v="JACK TURNBULL MISC TILE &amp; GRID 2025"/>
    <n v="6"/>
    <n v="0"/>
    <d v="2025-04-01T00:00:00"/>
    <x v="12"/>
  </r>
  <r>
    <s v="ORT-0000011015"/>
    <s v="C000418288"/>
    <s v="CITY POINT 2ND FLR HAYMARKET TERRACE NO 65 EDINBURGH"/>
    <n v="35"/>
    <n v="0"/>
    <d v="2025-04-01T00:00:00"/>
    <x v="12"/>
  </r>
  <r>
    <s v="ORT-11016"/>
    <s v="C000418277"/>
    <s v="HOUNSOME FIELDS PRIMARY SCHOOL BASINGSTOKE"/>
    <n v="1"/>
    <n v="1"/>
    <d v="2025-04-01T00:00:00"/>
    <x v="12"/>
  </r>
  <r>
    <s v="ORT-11017"/>
    <s v="C000418295"/>
    <s v="KING STREET NO 33 CLEVELAND HOUSE REFURB FLOOR 4 LONDON"/>
    <n v="0"/>
    <n v="1"/>
    <d v="2025-04-01T00:00:00"/>
    <x v="12"/>
  </r>
  <r>
    <s v="ORT-11018"/>
    <s v="C000418296"/>
    <s v="ALDERSGATE ST NO 150 THE VERDANT TIKTOK FIT OUT LONDON"/>
    <n v="1"/>
    <n v="1"/>
    <d v="2025-04-01T00:00:00"/>
    <x v="12"/>
  </r>
  <r>
    <s v="ORT-11019"/>
    <s v="C000418298"/>
    <s v="DYSON NDA PROJECT APPLE BRISTOL"/>
    <n v="0"/>
    <n v="1"/>
    <d v="2025-04-01T00:00:00"/>
    <x v="12"/>
  </r>
  <r>
    <s v="ORT-11020"/>
    <s v="C000418309"/>
    <s v="CANARY WHARF DS7 CANADA SQUARE NO 1 UCL SOM PHASE 1 LONDON"/>
    <n v="7"/>
    <n v="0"/>
    <d v="2025-04-01T00:00:00"/>
    <x v="12"/>
  </r>
  <r>
    <s v="ORT-11023"/>
    <s v="C000418314"/>
    <s v="CHURCHILL PLACE NO 5 FLR 2 REFURB LONDON"/>
    <n v="0"/>
    <n v="1"/>
    <d v="2025-04-02T00:00:00"/>
    <x v="12"/>
  </r>
  <r>
    <s v="ORT-11024"/>
    <s v="C000418315"/>
    <s v="NEW YORK STREET NO 1 CAT A REFURB FLR 7 &amp; 10 MANCHESTER"/>
    <n v="2"/>
    <n v="1"/>
    <d v="2025-04-02T00:00:00"/>
    <x v="12"/>
  </r>
  <r>
    <s v="ORT-11025"/>
    <s v="C000418320"/>
    <s v="ENTERPRISE WHARF REDEVELOPMENT BIRMINGHAM"/>
    <n v="0"/>
    <n v="1"/>
    <d v="2025-04-02T00:00:00"/>
    <x v="12"/>
  </r>
  <r>
    <s v="ORT-11026"/>
    <s v="C000418326"/>
    <s v="FUSION STUDENTS KING EDWARD COURT  NOTTINGHAM"/>
    <n v="0"/>
    <n v="1"/>
    <d v="2025-04-02T00:00:00"/>
    <x v="12"/>
  </r>
  <r>
    <s v="ORT-11027"/>
    <s v="C000418327"/>
    <s v="TEMPLE QUARTER ENTERPRISE CAMPUS ACADEMIC BUILDINGS BRISTOL"/>
    <n v="0"/>
    <n v="1"/>
    <d v="2025-04-02T00:00:00"/>
    <x v="12"/>
  </r>
  <r>
    <s v="ORT-11028"/>
    <s v="C000418335"/>
    <s v="ARGYLL STREET NO 40 REFURB LONDON"/>
    <n v="29"/>
    <n v="0"/>
    <d v="2025-04-02T00:00:00"/>
    <x v="12"/>
  </r>
  <r>
    <s v="ORT-11029"/>
    <s v="C000418339"/>
    <s v="MANCHESTER AIRPORT T2 EAST CHECK IN AREAS"/>
    <n v="0"/>
    <n v="1"/>
    <d v="2025-04-02T00:00:00"/>
    <x v="12"/>
  </r>
  <r>
    <s v="ORT-11032"/>
    <s v="C000418348"/>
    <s v="LEADENHALL STREET NO 1 CAT B LATHAM &amp; WATKINS FLRS 1-20"/>
    <n v="30"/>
    <n v="0"/>
    <d v="2025-04-02T00:00:00"/>
    <x v="12"/>
  </r>
  <r>
    <s v="ORT-11033"/>
    <s v="C000418351"/>
    <s v="CRITERION BUILDING PICCADILLY NO 225-229 LONDON"/>
    <n v="0"/>
    <n v="1"/>
    <d v="2025-04-03T00:00:00"/>
    <x v="12"/>
  </r>
  <r>
    <s v="ORT-11034"/>
    <s v="C000418355"/>
    <s v="NEW YORK STREET NO 1 CAT A REFURB FLR 7 &amp; 10 MANCHESTER"/>
    <n v="7"/>
    <n v="0"/>
    <d v="2025-04-03T00:00:00"/>
    <x v="12"/>
  </r>
  <r>
    <s v="ORT-11035"/>
    <s v="C000418359"/>
    <s v="SCOTLAND &amp; NORTH EAST MISC 2025"/>
    <n v="0"/>
    <n v="1"/>
    <d v="2025-04-03T00:00:00"/>
    <x v="12"/>
  </r>
  <r>
    <s v="ORT-11036"/>
    <s v="C000418360"/>
    <s v="LEADENHALL STREET NO 40 KIRKLAND &amp; ELLIS FLRS 15-34 LONDON"/>
    <n v="0"/>
    <n v="1"/>
    <d v="2025-04-03T00:00:00"/>
    <x v="12"/>
  </r>
  <r>
    <s v="ORT-11037"/>
    <s v="C000418361"/>
    <s v="WELLS STREET NO 80 WELLS HOUSE THE RIBBON MTNG ROOMS / BSMNT"/>
    <n v="12"/>
    <n v="0"/>
    <d v="2025-04-03T00:00:00"/>
    <x v="12"/>
  </r>
  <r>
    <s v="ORT-11038"/>
    <s v="C000418369"/>
    <s v="CHASESIDE NO 1 JP MORGAN BOURNEMOUTH"/>
    <n v="2"/>
    <n v="1"/>
    <d v="2025-04-03T00:00:00"/>
    <x v="12"/>
  </r>
  <r>
    <s v="ORT-11039"/>
    <s v="C000418370"/>
    <s v="ONE BIOHUB FORESTERHILL ABERDEEN ADDITIONAL FIT OUT"/>
    <n v="16"/>
    <n v="0"/>
    <d v="2025-04-03T00:00:00"/>
    <x v="12"/>
  </r>
  <r>
    <s v="ORT-11040"/>
    <s v="C000418373"/>
    <s v="BIRCHIN COURT NO 20 FLR 2 REFURB LONDON"/>
    <n v="2"/>
    <n v="1"/>
    <d v="2025-04-03T00:00:00"/>
    <x v="12"/>
  </r>
  <r>
    <s v="ORT-11041"/>
    <s v="C000418375"/>
    <s v="DYSON NDA PROJECT APPLE BRISTOL"/>
    <n v="0"/>
    <n v="1"/>
    <d v="2025-04-03T00:00:00"/>
    <x v="12"/>
  </r>
  <r>
    <s v="ORT-11042"/>
    <s v="C000418376"/>
    <s v="MOORFIELDS NO 21 THE GLACIER CAT B DEUTSCHE BANK LONDON"/>
    <n v="0"/>
    <n v="1"/>
    <d v="2025-04-03T00:00:00"/>
    <x v="12"/>
  </r>
  <r>
    <s v="ORT-11043"/>
    <m/>
    <s v="STATION STREET LOXLEY HOUSE REFURB NOTTINGHAM"/>
    <n v="0"/>
    <n v="1"/>
    <d v="2025-04-03T00:00:00"/>
    <x v="12"/>
  </r>
  <r>
    <s v="ORT-11044"/>
    <s v="C000418378"/>
    <s v="ADOBE BUCHAREST"/>
    <n v="0"/>
    <n v="1"/>
    <d v="2025-04-03T00:00:00"/>
    <x v="12"/>
  </r>
  <r>
    <s v="ORT-11045"/>
    <s v="C000418380"/>
    <s v="MANCHESTER AIRPORT PIER 2 PHASE 2 NODES"/>
    <n v="2"/>
    <n v="1"/>
    <d v="2025-04-03T00:00:00"/>
    <x v="12"/>
  </r>
  <r>
    <s v="ORT-11046"/>
    <s v="C000418382"/>
    <s v="BLUE FIN BUILDING SOUTHWARK STREET COSTAR FLRS 5-6 LONDON"/>
    <n v="5"/>
    <n v="1"/>
    <d v="2025-04-04T00:00:00"/>
    <x v="12"/>
  </r>
  <r>
    <s v="ORT-11047"/>
    <s v="C000418384"/>
    <s v="DAVID FRY MISC 2025"/>
    <n v="2"/>
    <n v="1"/>
    <d v="2025-04-04T00:00:00"/>
    <x v="12"/>
  </r>
  <r>
    <s v="ORT-11048"/>
    <s v="C000418385"/>
    <s v="CRANBROOK WAY NO 1 PEGASUS HOUSE REFURB SOLIHULL"/>
    <n v="0"/>
    <n v="1"/>
    <d v="2025-04-04T00:00:00"/>
    <x v="12"/>
  </r>
  <r>
    <s v="ORT-11049"/>
    <s v="C000418394"/>
    <s v="GRESHAM STREET NO 10 MOODYS CORP CAT B FITOUT LONDON"/>
    <n v="0"/>
    <n v="1"/>
    <d v="2025-04-04T00:00:00"/>
    <x v="12"/>
  </r>
  <r>
    <s v="ORT-11050"/>
    <s v="C000418400"/>
    <s v="NATIONAL ARCHIVES CLORE LEARNING CENTRE KEW PHASE 2 LONDON"/>
    <n v="47"/>
    <n v="0"/>
    <d v="2025-04-04T00:00:00"/>
    <x v="12"/>
  </r>
  <r>
    <s v="ORT-11051"/>
    <s v="C000418408"/>
    <s v="BUCKINGHAM PALACE ROAD NO 110 REFURB LONDON"/>
    <n v="0"/>
    <n v="1"/>
    <d v="2025-04-07T00:00:00"/>
    <x v="13"/>
  </r>
  <r>
    <s v="ORT-11052"/>
    <s v="C000418411"/>
    <s v="JAMES STREET NO 1 LONDON"/>
    <n v="5"/>
    <n v="1"/>
    <d v="2025-04-07T00:00:00"/>
    <x v="13"/>
  </r>
  <r>
    <s v="ORT-11053"/>
    <s v="C000418413"/>
    <s v="JACK TURNBULL MISC TILE &amp; GRID 2025"/>
    <n v="3"/>
    <n v="1"/>
    <d v="2025-04-07T00:00:00"/>
    <x v="13"/>
  </r>
  <r>
    <s v="ORT-11054"/>
    <s v="C000418414"/>
    <s v="SUTHERLAND HOUSE ST VINCENT STREET NO 149 FLR 7 GLASGOW"/>
    <n v="1"/>
    <n v="1"/>
    <d v="2025-04-07T00:00:00"/>
    <x v="13"/>
  </r>
  <r>
    <s v="ORT-11055"/>
    <s v="C000418415"/>
    <s v="CANARY WHARF CANADA SQUARE NO 25 CITIBANK REFURB LONDON"/>
    <n v="0"/>
    <n v="1"/>
    <d v="2025-04-07T00:00:00"/>
    <x v="13"/>
  </r>
  <r>
    <s v="ORT-11056"/>
    <s v="C000418416"/>
    <s v="ELEPHANT &amp; CASTLE TOWN CENTRE PLOT E1 SHELL AND CORE LONDON"/>
    <n v="23"/>
    <n v="0"/>
    <d v="2025-04-07T00:00:00"/>
    <x v="13"/>
  </r>
  <r>
    <s v="ORT-11057"/>
    <s v="C000418417"/>
    <s v="GRESHAM STREET NO 10 MOODYS CORP CAT B FITOUT LONDON"/>
    <n v="4"/>
    <n v="1"/>
    <d v="2025-04-07T00:00:00"/>
    <x v="13"/>
  </r>
  <r>
    <s v="ORT-11058"/>
    <s v="C000418420"/>
    <s v="CHARING CROSS ROAD NO 127-133 LIGHTING LONDON"/>
    <n v="2"/>
    <n v="1"/>
    <d v="2025-04-07T00:00:00"/>
    <x v="13"/>
  </r>
  <r>
    <s v="ORT-11059"/>
    <s v="C000418423"/>
    <s v="MARKS AND SPENCER PUDSEY"/>
    <n v="1"/>
    <n v="1"/>
    <d v="2025-04-07T00:00:00"/>
    <x v="13"/>
  </r>
  <r>
    <s v="ORT-11060"/>
    <s v="C000418425"/>
    <s v="FINSBURY AVENUE NO 2 DEVELOPMENT LONDON"/>
    <n v="0"/>
    <n v="1"/>
    <d v="2025-04-07T00:00:00"/>
    <x v="13"/>
  </r>
  <r>
    <s v="ORT-11061"/>
    <s v="C000418427"/>
    <s v="HEAD QUARTERS INSPECTORATE GOVERMENT BUILDING KAMPALA"/>
    <n v="30"/>
    <n v="0"/>
    <d v="2025-04-07T00:00:00"/>
    <x v="13"/>
  </r>
  <r>
    <s v="ORT-11062"/>
    <s v="C000418433"/>
    <s v="ALDER CASTLE NOBLE ST NO 10 CAT B LDS CHURCH LONDON"/>
    <n v="0"/>
    <n v="1"/>
    <d v="2025-04-07T00:00:00"/>
    <x v="13"/>
  </r>
  <r>
    <s v="ORT-11063"/>
    <s v="C000418436"/>
    <s v="HAYMARKET BUILDING 4 &amp; 5 BAILLIE GIFFORD EDINBURGH ADDITIONS"/>
    <n v="7"/>
    <n v="0"/>
    <d v="2025-04-07T00:00:00"/>
    <x v="13"/>
  </r>
  <r>
    <s v="ORT-11065"/>
    <s v="C000418439"/>
    <s v="JACK TURNBULL MISC TILE &amp; GRID 2025"/>
    <n v="0"/>
    <n v="1"/>
    <d v="2025-04-07T00:00:00"/>
    <x v="13"/>
  </r>
  <r>
    <s v="ORT-11066"/>
    <s v="C000418442"/>
    <s v="ALDERSGATE STREET NO 200 FLOOR 1 &amp; MEZZANINE CONVENE LONDON"/>
    <n v="0"/>
    <n v="1"/>
    <d v="2025-04-07T00:00:00"/>
    <x v="13"/>
  </r>
  <r>
    <s v="ORT-11068"/>
    <s v="C000418452"/>
    <s v="SPAR PARKFOOT LONDON ROAD KENT"/>
    <n v="0"/>
    <n v="1"/>
    <d v="2025-04-07T00:00:00"/>
    <x v="13"/>
  </r>
  <r>
    <s v="ORT-11069"/>
    <s v="C000418453"/>
    <s v="SAMPLE ROOM READING"/>
    <n v="0"/>
    <n v="1"/>
    <d v="2025-04-07T00:00:00"/>
    <x v="13"/>
  </r>
  <r>
    <s v="ORT-11070"/>
    <s v="C000418455"/>
    <s v="KINGS ROAD NO 120 LIBERTY GLOBAL FABRIC LONDON"/>
    <n v="0"/>
    <n v="1"/>
    <d v="2025-04-07T00:00:00"/>
    <x v="13"/>
  </r>
  <r>
    <s v="ORT-11071"/>
    <s v="C000418456"/>
    <s v="BROADGATE QUARTER CAT A REFURB APPOLD STREET LONDON"/>
    <n v="3"/>
    <n v="1"/>
    <d v="2025-04-07T00:00:00"/>
    <x v="13"/>
  </r>
  <r>
    <s v="ORT-11073"/>
    <s v="C000418457"/>
    <s v="WIGMORE STREET NO 42 REFURB LONDON"/>
    <n v="0"/>
    <n v="1"/>
    <d v="2025-04-08T00:00:00"/>
    <x v="13"/>
  </r>
  <r>
    <s v="ORT-11074"/>
    <s v="C000418459"/>
    <s v="JACK TURNBULL MISC TILE &amp; GRID 2025"/>
    <n v="3"/>
    <n v="1"/>
    <d v="2025-04-08T00:00:00"/>
    <x v="13"/>
  </r>
  <r>
    <s v="ORT-11075"/>
    <s v="C000418462"/>
    <s v="CANARY WHARF SOUTH COLONNADE NO 30 REVOLUT FIT OUT  LONDON"/>
    <n v="0"/>
    <n v="1"/>
    <d v="2025-04-08T00:00:00"/>
    <x v="13"/>
  </r>
  <r>
    <s v="ORT-11076"/>
    <s v="C000418465"/>
    <s v="ROLLS ROYCE RIVER DRIVE INCHINNAN RENFREW"/>
    <n v="0"/>
    <n v="1"/>
    <d v="2025-04-08T00:00:00"/>
    <x v="13"/>
  </r>
  <r>
    <s v="ORT-11077"/>
    <s v="C000418468"/>
    <s v="TOTTENHAM HOTSPUR TRAINING ACADEMY LEVEL 1 OFFICES ENFIELD"/>
    <n v="15"/>
    <n v="0"/>
    <d v="2025-04-08T00:00:00"/>
    <x v="13"/>
  </r>
  <r>
    <s v="ORT-11078"/>
    <s v="C000418471"/>
    <s v="FETTER LANE NO 10 FLR 6 REFURB ARC LONDON"/>
    <n v="0"/>
    <n v="1"/>
    <d v="2025-04-08T00:00:00"/>
    <x v="13"/>
  </r>
  <r>
    <s v="ORT-11079"/>
    <m/>
    <s v="NDA - DEUTSCHE BANK ICD BROOKFIELD LEVEL 35 DUBAI"/>
    <n v="82"/>
    <n v="0"/>
    <d v="2025-04-08T00:00:00"/>
    <x v="13"/>
  </r>
  <r>
    <s v="ORT-11080"/>
    <s v="C000418443"/>
    <s v="RATP PORT ROYAL PARIS"/>
    <n v="59"/>
    <n v="0"/>
    <d v="2025-04-08T00:00:00"/>
    <x v="13"/>
  </r>
  <r>
    <s v="ORT-11082"/>
    <s v="C000418478"/>
    <s v="MANCHESTER AIRPORT T2 EAST CHECK IN AREAS"/>
    <n v="0"/>
    <n v="1"/>
    <d v="2025-04-08T00:00:00"/>
    <x v="13"/>
  </r>
  <r>
    <s v="ORT-11083"/>
    <s v="C000418479"/>
    <s v="WORKPLACE INTERIORS MISC 2025"/>
    <n v="0"/>
    <n v="1"/>
    <d v="2025-04-08T00:00:00"/>
    <x v="13"/>
  </r>
  <r>
    <s v="ORT-11084"/>
    <s v="C000418485"/>
    <s v="VICTORIA STREET NO 105 LIFT LOBBIES LONDON"/>
    <n v="1"/>
    <n v="1"/>
    <d v="2025-04-08T00:00:00"/>
    <x v="13"/>
  </r>
  <r>
    <s v="ORT-11085"/>
    <s v="C000418494"/>
    <s v="LEADENHALL STREET NO 1 CAT B LATHAM &amp; WATKINS FLRS 1-20"/>
    <n v="10"/>
    <n v="0"/>
    <d v="2025-04-08T00:00:00"/>
    <x v="13"/>
  </r>
  <r>
    <s v="ORT-11086"/>
    <s v="C000418497"/>
    <s v="CANARY WHARF DS7 CANADA SQUARE NO 1 UCL SOM PHASE 1 LONDON"/>
    <n v="20"/>
    <n v="0"/>
    <d v="2025-04-08T00:00:00"/>
    <x v="13"/>
  </r>
  <r>
    <s v="ORT-11087"/>
    <s v="C000418504"/>
    <s v="BUNHILL ROW NO 1 SLAUGHTER &amp; MAY CAT A REFURB LONDON"/>
    <n v="0"/>
    <n v="1"/>
    <d v="2025-04-09T00:00:00"/>
    <x v="13"/>
  </r>
  <r>
    <s v="ORT-11088"/>
    <s v="C000418506"/>
    <s v="ROPEMAKER STREET NO 20-22 LINKLATERS FIT-OUT LONDON"/>
    <n v="0"/>
    <n v="1"/>
    <d v="2025-04-09T00:00:00"/>
    <x v="13"/>
  </r>
  <r>
    <s v="ORT-11089"/>
    <s v="C000418507"/>
    <s v="CASTELNAU NO 73 REFURB LONDON"/>
    <n v="0"/>
    <n v="1"/>
    <d v="2025-04-09T00:00:00"/>
    <x v="13"/>
  </r>
  <r>
    <s v="ORT-11090"/>
    <s v="C000418508"/>
    <s v="RIVERGATE NO 3 TEMPLE QUAY REFURB BRISTOL"/>
    <n v="0"/>
    <n v="1"/>
    <d v="2025-04-09T00:00:00"/>
    <x v="13"/>
  </r>
  <r>
    <s v="ORT-11091"/>
    <s v="C000418516"/>
    <s v="CHAMARTIN PHASE 2 MADRID"/>
    <n v="21"/>
    <n v="0"/>
    <d v="2025-04-09T00:00:00"/>
    <x v="13"/>
  </r>
  <r>
    <s v="ORT-11092"/>
    <s v="C000418517"/>
    <s v="SOUTH MISC 2025"/>
    <n v="0"/>
    <n v="1"/>
    <d v="2025-04-09T00:00:00"/>
    <x v="13"/>
  </r>
  <r>
    <s v="ORT-11093"/>
    <s v="C000418518"/>
    <s v="PETERBOROUGH COURT FLEET STREET NO 133 REFURB LONDON"/>
    <n v="0"/>
    <n v="1"/>
    <d v="2025-04-09T00:00:00"/>
    <x v="13"/>
  </r>
  <r>
    <s v="ORT-11095"/>
    <s v="C000418527"/>
    <s v="UNI OF OXFORD CENTRE FOR LIFE AND MIND SCIENCES"/>
    <n v="0"/>
    <n v="1"/>
    <d v="2025-04-09T00:00:00"/>
    <x v="13"/>
  </r>
  <r>
    <s v="ORT-11096"/>
    <s v="C000418528"/>
    <s v="ORANGEBOX POD CASSETTES"/>
    <n v="0"/>
    <n v="1"/>
    <d v="2025-04-10T00:00:00"/>
    <x v="13"/>
  </r>
  <r>
    <s v="ORT-11097"/>
    <s v="C000418534"/>
    <s v="COLMORE SQUARE NO 1 FLOOR 4 BIRMINGHAM"/>
    <n v="0"/>
    <n v="1"/>
    <d v="2025-04-10T00:00:00"/>
    <x v="13"/>
  </r>
  <r>
    <s v="ORT-11098"/>
    <s v="C000418535"/>
    <s v="T-THERAPEUTICS OFFICE CAMBRIDGE"/>
    <n v="14"/>
    <n v="0"/>
    <d v="2025-04-10T00:00:00"/>
    <x v="13"/>
  </r>
  <r>
    <s v="ORT-11099"/>
    <s v="C000418545"/>
    <s v="CHARING CROSS ROAD NO 127-133 LONDON"/>
    <n v="0"/>
    <n v="1"/>
    <d v="2025-04-10T00:00:00"/>
    <x v="13"/>
  </r>
  <r>
    <s v="ORT-11100"/>
    <s v="C000418550"/>
    <s v="OLD JEWRY NO 27-32 FLR 5 REFURB LONDON"/>
    <n v="0"/>
    <n v="1"/>
    <d v="2025-04-10T00:00:00"/>
    <x v="13"/>
  </r>
  <r>
    <s v="ORT-11104"/>
    <s v="C000418565"/>
    <s v="GROSVENOR PLACE NO 40 CAT A REFURB LONDON"/>
    <n v="0"/>
    <n v="1"/>
    <d v="2025-04-11T00:00:00"/>
    <x v="13"/>
  </r>
  <r>
    <s v="ORT-11105"/>
    <s v="C000418568"/>
    <s v="AIR STREET NO 20 CAT B PAUL WEISS LONDON"/>
    <n v="0"/>
    <n v="1"/>
    <d v="2025-04-11T00:00:00"/>
    <x v="13"/>
  </r>
  <r>
    <s v="ORT-11106"/>
    <s v="C000418571"/>
    <s v="TORRE DIAGONAL MAR BARCELONA ADD'L MAT'LS"/>
    <n v="77"/>
    <n v="0"/>
    <d v="2025-04-11T00:00:00"/>
    <x v="13"/>
  </r>
  <r>
    <s v="ORT-11107"/>
    <s v="C000418573"/>
    <s v="FENCHURCH STREET NO 20 FLR 23 REFURB LONDON"/>
    <n v="2"/>
    <n v="1"/>
    <d v="2025-04-11T00:00:00"/>
    <x v="13"/>
  </r>
  <r>
    <s v="ORT-11109"/>
    <s v="C000418574"/>
    <s v="OVAL VILLAGE KENNINGTON LANE PLOT B LONDON"/>
    <n v="0"/>
    <n v="1"/>
    <d v="2025-04-11T00:00:00"/>
    <x v="13"/>
  </r>
  <r>
    <s v="ORT-11112"/>
    <s v="C000418581"/>
    <s v="BROADGATE NO 1-2 CAT A WASHROOMS LONDON"/>
    <n v="0"/>
    <n v="1"/>
    <d v="2025-04-14T00:00:00"/>
    <x v="14"/>
  </r>
  <r>
    <s v="ORT-11113"/>
    <s v="C000418582"/>
    <s v="WORKPLACE INTERIORS MISC 2025"/>
    <n v="0"/>
    <n v="1"/>
    <d v="2025-04-14T00:00:00"/>
    <x v="14"/>
  </r>
  <r>
    <s v="ORT-11114"/>
    <s v="C000418585"/>
    <s v="LONDON MISC 2025"/>
    <n v="5"/>
    <n v="1"/>
    <d v="2025-04-14T00:00:00"/>
    <x v="14"/>
  </r>
  <r>
    <s v="ORT-11115"/>
    <s v="C000418586"/>
    <s v="WIGMORE STREET NO 42 REFURB LONDON"/>
    <n v="37"/>
    <n v="0"/>
    <d v="2025-04-14T00:00:00"/>
    <x v="14"/>
  </r>
  <r>
    <s v="ORT-11116"/>
    <s v="C000418590"/>
    <s v="MANBRE WHARF REFINERY BUILDING HAMMERSMITH LONDON"/>
    <n v="0"/>
    <n v="1"/>
    <d v="2025-04-14T00:00:00"/>
    <x v="14"/>
  </r>
  <r>
    <s v="ORT-11117"/>
    <s v="C000418597"/>
    <s v="SAVILE ROW NO 23 ROKOS FLR 1 PHASE 2 LONDON"/>
    <n v="0"/>
    <n v="1"/>
    <d v="2025-04-14T00:00:00"/>
    <x v="14"/>
  </r>
  <r>
    <s v="ORT-11119"/>
    <s v="C000418600"/>
    <s v="PARK HOUSE FINSBURY CIRCUS NO 16/18 PH 2 FLR 7 CISCO LONDON"/>
    <n v="0"/>
    <n v="1"/>
    <d v="2025-04-15T00:00:00"/>
    <x v="14"/>
  </r>
  <r>
    <s v="ORT-11120"/>
    <s v="C000418602"/>
    <s v="ROPEMAKER STREET NO 20-22 LINKLATERS FIT-OUT LONDON"/>
    <n v="0"/>
    <n v="1"/>
    <d v="2025-04-15T00:00:00"/>
    <x v="14"/>
  </r>
  <r>
    <s v="ORT-11121"/>
    <s v="C000418605"/>
    <s v="LEADENHALL STREET NO 40 KIRKLAND &amp; ELLIS FLRS 15-34 LONDON"/>
    <n v="0"/>
    <n v="1"/>
    <d v="2025-04-15T00:00:00"/>
    <x v="14"/>
  </r>
  <r>
    <s v="ORT-11122"/>
    <s v="C000418613"/>
    <s v="THORN LIGHTING LTD 2025"/>
    <n v="0"/>
    <n v="1"/>
    <d v="2025-04-15T00:00:00"/>
    <x v="14"/>
  </r>
  <r>
    <s v="ORT-11123"/>
    <s v="C000418619"/>
    <s v="NEW STREET SQUARE NO 5 CAT B STEWARTS LAW LONDON"/>
    <n v="0"/>
    <n v="1"/>
    <d v="2025-04-15T00:00:00"/>
    <x v="14"/>
  </r>
  <r>
    <s v="ORT-11124"/>
    <s v="C000418623"/>
    <s v="BURY COLLEGE WOODBURY MANCHESTER"/>
    <n v="5"/>
    <n v="1"/>
    <d v="2025-04-15T00:00:00"/>
    <x v="14"/>
  </r>
  <r>
    <s v="ORT-11125"/>
    <s v="C000418624"/>
    <s v="STORE ROAD WOOLWICH LONDON"/>
    <n v="18"/>
    <n v="0"/>
    <d v="2025-04-15T00:00:00"/>
    <x v="14"/>
  </r>
  <r>
    <s v="ORT-11126"/>
    <s v="C000418625"/>
    <s v="STORE ROAD WOOLWICH LONDON"/>
    <n v="19"/>
    <n v="0"/>
    <d v="2025-04-15T00:00:00"/>
    <x v="14"/>
  </r>
  <r>
    <s v="ORT-11127"/>
    <s v="C000418627"/>
    <s v="NDA - PWC LAYSEN VALLEY RIYADH OFFICE FIT OUT WALL PANELS"/>
    <n v="3"/>
    <n v="1"/>
    <d v="2025-04-15T00:00:00"/>
    <x v="14"/>
  </r>
  <r>
    <s v="ORT-11128"/>
    <s v="C000418629"/>
    <s v="OXFORD STREET NO 214 OFFICE BUILDING LONDON"/>
    <n v="0"/>
    <n v="1"/>
    <d v="2025-04-15T00:00:00"/>
    <x v="14"/>
  </r>
  <r>
    <s v="ORT-11129"/>
    <s v="C000418631"/>
    <s v="WINCHESTER COLLEGE BOARDING AND SPORTS FACILITIES"/>
    <n v="1"/>
    <n v="1"/>
    <d v="2025-04-15T00:00:00"/>
    <x v="14"/>
  </r>
  <r>
    <s v="ORT-11130"/>
    <s v="C000418632"/>
    <s v="KINGS ROAD NO 120 LIBERTY GLOBAL FABRIC LONDON"/>
    <n v="10"/>
    <n v="0"/>
    <d v="2025-04-15T00:00:00"/>
    <x v="14"/>
  </r>
  <r>
    <s v="ORT-11133"/>
    <s v="C000418637"/>
    <s v="BAKER STREET NO 25 GROUND FLOOR BMO LONDON"/>
    <n v="9"/>
    <n v="0"/>
    <d v="2025-04-16T00:00:00"/>
    <x v="14"/>
  </r>
  <r>
    <s v="ORT-11134"/>
    <s v="C000418638"/>
    <s v="DEVONSHIRE HOUSE MAYFAIR PLACE NO 1 LEVELS 3-4 TA LONDON"/>
    <n v="14"/>
    <n v="0"/>
    <d v="2025-04-16T00:00:00"/>
    <x v="14"/>
  </r>
  <r>
    <s v="ORT-11135"/>
    <s v="C000418647"/>
    <s v="CANARY WHARF WOOD WHARF B2 APARTMENT FIT OUT LONDON"/>
    <n v="15"/>
    <n v="0"/>
    <d v="2025-04-16T00:00:00"/>
    <x v="14"/>
  </r>
  <r>
    <s v="ORT-11136"/>
    <s v="C000418650"/>
    <s v="GATEHOUSE CHAMBER LADY HALE GATE REFURB LONDON"/>
    <n v="0"/>
    <n v="1"/>
    <d v="2025-04-16T00:00:00"/>
    <x v="14"/>
  </r>
  <r>
    <s v="ORT-11137"/>
    <s v="C000418651"/>
    <s v="NEW STREET SQUARE NO 5 TAYLOR WESSING REFURB LONDON"/>
    <n v="7"/>
    <n v="0"/>
    <d v="2025-04-16T00:00:00"/>
    <x v="14"/>
  </r>
  <r>
    <s v="ORT-11138"/>
    <s v="C000418654"/>
    <s v="THE STAGE SHOREDITCH BARD &amp; HEWETT AMAZON FIT OUT LONDON"/>
    <n v="0"/>
    <n v="1"/>
    <d v="2025-04-16T00:00:00"/>
    <x v="14"/>
  </r>
  <r>
    <s v="ORT-11139"/>
    <s v="C000418658"/>
    <s v="HCP ABERDEEN MORTUARY"/>
    <n v="10"/>
    <n v="0"/>
    <d v="2025-04-16T00:00:00"/>
    <x v="14"/>
  </r>
  <r>
    <s v="ORT-11140"/>
    <s v="C000418663"/>
    <s v="ELEPHANT &amp; CASTLE TOWN CENTRE WASHROOMS LONDON"/>
    <n v="19"/>
    <n v="0"/>
    <d v="2025-04-17T00:00:00"/>
    <x v="14"/>
  </r>
  <r>
    <s v="ORT-11141"/>
    <s v="C000418664"/>
    <s v="ALDERMANBURY SQUARE NO 2 BASINGHALL STREET LONDON"/>
    <n v="3"/>
    <n v="1"/>
    <d v="2025-04-17T00:00:00"/>
    <x v="14"/>
  </r>
  <r>
    <s v="ORT-11142"/>
    <s v="C000418665"/>
    <s v="JACK TURNBULL MISC TILE &amp; GRID 2025"/>
    <n v="0"/>
    <n v="1"/>
    <d v="2025-04-17T00:00:00"/>
    <x v="14"/>
  </r>
  <r>
    <s v="ORT-11143"/>
    <s v="C000418667"/>
    <s v="LOTHBURY NO 41 CAT B FITOUT ADDLESHAW GODDARD LONDON"/>
    <n v="1"/>
    <n v="1"/>
    <d v="2025-04-17T00:00:00"/>
    <x v="14"/>
  </r>
  <r>
    <s v="ORT-11144"/>
    <s v="C000418668"/>
    <s v="PRINCES STREET NO 10-15 MOTEL ONE REFURB EDINBURGH"/>
    <n v="25"/>
    <n v="0"/>
    <d v="2025-04-17T00:00:00"/>
    <x v="14"/>
  </r>
  <r>
    <s v="ORT-11145"/>
    <s v="C000418672"/>
    <s v="LONGBRIDGE BUSINESS PARK ALLSEE HQ BIRMINGHAM"/>
    <n v="0"/>
    <n v="1"/>
    <d v="2025-04-17T00:00:00"/>
    <x v="14"/>
  </r>
  <r>
    <s v="ORT-11146"/>
    <s v="C000418673"/>
    <s v="CRITERION BUILDING PICCADILLY NO 225-229 LONDON"/>
    <n v="0"/>
    <n v="1"/>
    <d v="2025-04-17T00:00:00"/>
    <x v="14"/>
  </r>
  <r>
    <s v="ORT-11148"/>
    <s v="C000418679"/>
    <s v="DATUM MCR2 DATA CENTRE MANCHESTER DATA HALLS"/>
    <n v="8"/>
    <n v="0"/>
    <d v="2025-04-17T00:00:00"/>
    <x v="14"/>
  </r>
  <r>
    <s v="ORT-11149"/>
    <s v="C000418681"/>
    <s v="WARSAW CPK NEW INTERNATIONAL AIRPORT"/>
    <n v="6"/>
    <n v="0"/>
    <d v="2025-04-17T00:00:00"/>
    <x v="14"/>
  </r>
  <r>
    <s v="ORT-11150"/>
    <s v="C000418682"/>
    <s v="VICTORIA HOUSE BLOOMSBURY SQUARE LONDON"/>
    <n v="0"/>
    <n v="1"/>
    <d v="2025-04-17T00:00:00"/>
    <x v="14"/>
  </r>
  <r>
    <s v="ORT-11155"/>
    <s v="C000418691"/>
    <s v="CRITERION BUILDING PICCADILLY NO 225-229 LONDON"/>
    <n v="5"/>
    <n v="1"/>
    <d v="2025-04-22T00:00:00"/>
    <x v="15"/>
  </r>
  <r>
    <s v="ORT-11156"/>
    <s v="CF00000524"/>
    <s v="GENESYS BREST"/>
    <n v="49"/>
    <n v="0"/>
    <d v="2025-04-22T00:00:00"/>
    <x v="15"/>
  </r>
  <r>
    <s v="ORT-11157"/>
    <s v="C000418050"/>
    <s v="DUBAI MALL ICE RINK CEILING REFURB"/>
    <n v="0"/>
    <n v="1"/>
    <d v="2025-04-22T00:00:00"/>
    <x v="15"/>
  </r>
  <r>
    <s v="ORT-11158"/>
    <s v="C000418705"/>
    <s v="REPSOL 2026 PLAN MADRID"/>
    <n v="72"/>
    <n v="0"/>
    <d v="2025-04-22T00:00:00"/>
    <x v="15"/>
  </r>
  <r>
    <s v="ORT-11159"/>
    <s v="C000418706"/>
    <s v="BROADGATE NO 1-2 SHELL &amp; CORE LONDON"/>
    <n v="1"/>
    <n v="1"/>
    <d v="2025-04-22T00:00:00"/>
    <x v="15"/>
  </r>
  <r>
    <s v="ORT-11160"/>
    <s v="C000418713"/>
    <s v="THREADNEEDLE STREET NO 60 CAT A FLOOR 8 LONDON"/>
    <n v="3"/>
    <n v="1"/>
    <d v="2025-04-23T00:00:00"/>
    <x v="15"/>
  </r>
  <r>
    <s v="ORT-11161"/>
    <s v="C000418715"/>
    <s v="EXCEL PHASE 3 DEVELOPMENT WC LONDON"/>
    <n v="0"/>
    <n v="1"/>
    <d v="2025-04-23T00:00:00"/>
    <x v="15"/>
  </r>
  <r>
    <s v="ORT-11162"/>
    <s v="C000418721"/>
    <s v="MORE LONDON NO 6 CAT A LONDON"/>
    <n v="0"/>
    <n v="1"/>
    <d v="2025-04-23T00:00:00"/>
    <x v="15"/>
  </r>
  <r>
    <s v="ORT-11163"/>
    <s v="C000418722"/>
    <s v="TURING COURT NO 1 CARECO HQ BRAINTREE"/>
    <n v="0"/>
    <n v="1"/>
    <d v="2025-04-23T00:00:00"/>
    <x v="15"/>
  </r>
  <r>
    <s v="ORT-11164"/>
    <s v="C000418731"/>
    <s v="HMP NEW HALL PRISON YOI REFURB WAKEFIELD"/>
    <n v="0"/>
    <n v="1"/>
    <d v="2025-04-24T00:00:00"/>
    <x v="15"/>
  </r>
  <r>
    <s v="ORT-11165"/>
    <s v="C000418732"/>
    <s v="PROJECT ASPEN PRESTON FIT OUT MANCHESTER"/>
    <n v="7"/>
    <n v="0"/>
    <d v="2025-04-24T00:00:00"/>
    <x v="15"/>
  </r>
  <r>
    <s v="ORT-11166"/>
    <s v="C000418735"/>
    <s v="DRAPERS GARDENS NO 12 BLACKROCK FLR 3 REFURB LONDON"/>
    <n v="0"/>
    <n v="1"/>
    <d v="2025-04-24T00:00:00"/>
    <x v="15"/>
  </r>
  <r>
    <s v="ORT-11167"/>
    <s v="C000418736"/>
    <s v="GRAEME HUDSON MISC 2024"/>
    <n v="0"/>
    <n v="1"/>
    <d v="2025-04-24T00:00:00"/>
    <x v="15"/>
  </r>
  <r>
    <s v="ORT-11168"/>
    <s v="C000418739"/>
    <s v="MANCHESTER AIRPORT PIER 2 PHASE 2 CELINGS"/>
    <n v="0"/>
    <n v="1"/>
    <d v="2025-04-24T00:00:00"/>
    <x v="15"/>
  </r>
  <r>
    <s v="ORT-11169"/>
    <s v="C000418741"/>
    <s v="ST NICHOLAS BUILDING FLR 4 NEWCASTLE"/>
    <n v="0"/>
    <n v="1"/>
    <d v="2025-04-24T00:00:00"/>
    <x v="15"/>
  </r>
  <r>
    <s v="ORT-11170"/>
    <s v="C000418743"/>
    <s v="THE CURSITOR CHANCERY LANE NO 38 CAT A REFURB LONDON"/>
    <n v="0"/>
    <n v="1"/>
    <d v="2025-04-24T00:00:00"/>
    <x v="15"/>
  </r>
  <r>
    <s v="ORT-11171"/>
    <s v="C000418744"/>
    <s v="KING STREET OFFICE DEVELOPMENT BLACKPOOL LIGHTING"/>
    <n v="19"/>
    <n v="0"/>
    <d v="2025-04-24T00:00:00"/>
    <x v="15"/>
  </r>
  <r>
    <s v="ORT-11172"/>
    <s v="C000418745"/>
    <s v="NDI LIVERPOOL PROJECT"/>
    <n v="0"/>
    <n v="1"/>
    <d v="2025-04-24T00:00:00"/>
    <x v="15"/>
  </r>
  <r>
    <s v="ORT-11173"/>
    <s v="C000418750"/>
    <s v="PRINCIPAL PLACE CAT A LONDON"/>
    <n v="0"/>
    <n v="1"/>
    <d v="2025-04-24T00:00:00"/>
    <x v="15"/>
  </r>
  <r>
    <s v="ORT-11174"/>
    <s v="C000418755"/>
    <s v="BROADWAY NO 40 &amp; CARTERET STREET REDEVELOPMENT LONDON"/>
    <n v="11"/>
    <n v="0"/>
    <d v="2025-04-24T00:00:00"/>
    <x v="15"/>
  </r>
  <r>
    <s v="ORT-11175"/>
    <s v="C000418756"/>
    <s v="BROADWAY NO 40 &amp; CARTERET STREET REDEVELOPMENT LONDON"/>
    <n v="0"/>
    <n v="1"/>
    <d v="2025-04-24T00:00:00"/>
    <x v="15"/>
  </r>
  <r>
    <s v="ORT-11176"/>
    <s v="C000418757"/>
    <s v="BROADWAY NO 40 &amp; CARTERET STREET REDEVELOPMENT LONDON"/>
    <n v="0"/>
    <n v="1"/>
    <d v="2025-04-24T00:00:00"/>
    <x v="15"/>
  </r>
  <r>
    <s v="ORT-11177"/>
    <s v="C000418758"/>
    <s v="WELLS STREET NO 80 WELLS HOUSE THE RIBBON MTNG ROOMS / BSMNT"/>
    <n v="0"/>
    <n v="1"/>
    <d v="2025-04-24T00:00:00"/>
    <x v="15"/>
  </r>
  <r>
    <s v="ORT-11178"/>
    <s v="C000418759"/>
    <s v="NDA - PWC LAYSEN VALLEY RIYADH OFFICE FIT OUT"/>
    <n v="17"/>
    <n v="0"/>
    <d v="2025-04-24T00:00:00"/>
    <x v="15"/>
  </r>
  <r>
    <s v="ORT-11179"/>
    <s v="C000418761"/>
    <s v="JAMES STREET NO 1 LIGHTING LONDON"/>
    <n v="35"/>
    <n v="0"/>
    <d v="2025-04-24T00:00:00"/>
    <x v="15"/>
  </r>
  <r>
    <s v="ORT-11180"/>
    <s v="C000418783"/>
    <s v="ALDGATE TOWER UBER REFURB FLOORS 13-15 LONDON"/>
    <n v="1"/>
    <n v="1"/>
    <d v="2025-04-25T00:00:00"/>
    <x v="15"/>
  </r>
  <r>
    <s v="ORT-11181"/>
    <s v="C000418786"/>
    <s v="LONDON SOUTH EAST COLLEGES FUTURE GREENWICH CAMPUS LONDON"/>
    <n v="0"/>
    <n v="1"/>
    <d v="2025-04-26T00:00:00"/>
    <x v="16"/>
  </r>
  <r>
    <s v="ORT-11182"/>
    <s v="C000418793"/>
    <s v="CANARY WHARF DS7 CANADA SQUARE NO 1 UCL SOM PHASE 1 LONDON"/>
    <n v="0"/>
    <n v="1"/>
    <d v="2025-04-28T00:00:00"/>
    <x v="16"/>
  </r>
  <r>
    <s v="ORT-11183"/>
    <m/>
    <s v="LONDON SOUTH EAST COLLEGES FUTURE GREENWICH CAMPUS LONDON"/>
    <n v="0"/>
    <n v="1"/>
    <d v="2025-04-28T00:00:00"/>
    <x v="16"/>
  </r>
  <r>
    <s v="ORT-11184"/>
    <s v="C000418795"/>
    <s v="GATEHOUSE CHAMBER LADY HALE GATE REFURB LONDON"/>
    <n v="0"/>
    <n v="1"/>
    <d v="2025-04-28T00:00:00"/>
    <x v="16"/>
  </r>
  <r>
    <s v="ORT-11185"/>
    <s v="C000418797"/>
    <s v="LESTER ROAD LITTLE HULTON"/>
    <n v="0"/>
    <n v="1"/>
    <d v="2025-04-28T00:00:00"/>
    <x v="16"/>
  </r>
  <r>
    <s v="ORT-11186"/>
    <s v="C000418798"/>
    <s v="DEVONSHIRE SQUARE NO 7 FLOORS 7-8 RAILPEN LONDON"/>
    <n v="0"/>
    <n v="1"/>
    <d v="2025-04-28T00:00:00"/>
    <x v="16"/>
  </r>
  <r>
    <s v="ORT-11187"/>
    <s v="C000418802"/>
    <s v="REGENT QUARTER LIFE SCIENCES PH 1 BRAVINGTON WALKWAY LONDON"/>
    <n v="0"/>
    <n v="1"/>
    <d v="2025-04-28T00:00:00"/>
    <x v="16"/>
  </r>
  <r>
    <s v="ORT-11189"/>
    <s v="C000418808"/>
    <s v="LEADENHALL STREET NO 40 KIRKLAND &amp; ELLIS FLRS 15-34 LONDON"/>
    <n v="11"/>
    <n v="0"/>
    <d v="2025-04-28T00:00:00"/>
    <x v="16"/>
  </r>
  <r>
    <s v="ORT-11190"/>
    <s v="C000418811"/>
    <s v="THE BRITISH LIBRARY BOSTON SPA WETHERBY"/>
    <n v="0"/>
    <n v="1"/>
    <d v="2025-04-28T00:00:00"/>
    <x v="16"/>
  </r>
  <r>
    <s v="ORT-11191"/>
    <s v="C000418814"/>
    <s v="JACK TURNBULL MISC TILE &amp; GRID 2025"/>
    <n v="0"/>
    <n v="1"/>
    <d v="2025-04-28T00:00:00"/>
    <x v="16"/>
  </r>
  <r>
    <s v="ORT-11192"/>
    <s v="C000418816"/>
    <s v="BISHOPSGATE NO 155 FLOOR 5 LONDON"/>
    <n v="0"/>
    <n v="1"/>
    <d v="2025-04-28T00:00:00"/>
    <x v="16"/>
  </r>
  <r>
    <s v="ORT-11193"/>
    <s v="C000418818"/>
    <s v="BASINGHALL AVENUE NO 1 GROUND &amp; 5-10 REFURB LONDON"/>
    <n v="24"/>
    <n v="0"/>
    <d v="2025-04-28T00:00:00"/>
    <x v="16"/>
  </r>
  <r>
    <s v="ORT-11194"/>
    <s v="C000418819"/>
    <s v="CANARY WHARF CANADA SQUARE NO 25 CITIBANK REFURB LONDON"/>
    <n v="19"/>
    <n v="0"/>
    <d v="2025-04-28T00:00:00"/>
    <x v="16"/>
  </r>
  <r>
    <s v="ORT-11195"/>
    <s v="C000418820"/>
    <s v="CANARY WHARF CANADA SQUARE NO 25 CITIBANK REFURB LONDON"/>
    <n v="14"/>
    <n v="0"/>
    <d v="2025-04-28T00:00:00"/>
    <x v="16"/>
  </r>
  <r>
    <s v="ORT-11196"/>
    <s v="C000418821"/>
    <s v="KINGS CROSS CENTRAL GOOGLE HQ KGX1 CAT B LONDON"/>
    <n v="0"/>
    <n v="1"/>
    <d v="2025-04-28T00:00:00"/>
    <x v="16"/>
  </r>
  <r>
    <s v="ORT-11197"/>
    <s v="C000418823"/>
    <s v="GATWICK NORTH TERMINAL PIER 4 CEILING"/>
    <n v="0"/>
    <n v="1"/>
    <d v="2025-04-28T00:00:00"/>
    <x v="16"/>
  </r>
  <r>
    <s v="ORT-11198"/>
    <s v="C000418824"/>
    <s v="PORSCHE SHOWROOM EXETER"/>
    <n v="0"/>
    <n v="1"/>
    <d v="2025-04-28T00:00:00"/>
    <x v="16"/>
  </r>
  <r>
    <s v="ORT-11200"/>
    <s v="C000418827"/>
    <s v="PALACE STREET NO 16 CAT A FLOORS 1-2 LONDON"/>
    <n v="0"/>
    <n v="1"/>
    <d v="2025-04-29T00:00:00"/>
    <x v="16"/>
  </r>
  <r>
    <s v="ORT-11201"/>
    <s v="C000418830"/>
    <s v="MORE LONDON RIVERSIDE NO 7 PWC REFRESH LONDON"/>
    <n v="0"/>
    <n v="1"/>
    <d v="2025-04-29T00:00:00"/>
    <x v="16"/>
  </r>
  <r>
    <s v="ORT-11202"/>
    <s v="C000418831"/>
    <s v="NEW YORK STREET NO 1 CAT A REFURB FLR 7 &amp; 10 MANCHESTER"/>
    <n v="0"/>
    <n v="1"/>
    <d v="2025-04-29T00:00:00"/>
    <x v="16"/>
  </r>
  <r>
    <s v="ORT-11203"/>
    <s v="C000418832"/>
    <s v="NOVARTIS PHASE 2 BARCELONA"/>
    <n v="9"/>
    <n v="0"/>
    <d v="2025-04-29T00:00:00"/>
    <x v="16"/>
  </r>
  <r>
    <s v="ORT-11204"/>
    <s v="C000418834"/>
    <s v="PORTLAND HOUSE BRESSENDEN PLACE LONDON"/>
    <n v="1"/>
    <n v="1"/>
    <d v="2025-04-29T00:00:00"/>
    <x v="16"/>
  </r>
  <r>
    <s v="ORT-11205"/>
    <s v="C000418835"/>
    <s v="CURZON STREET NO 1 FLOOR 2 PJT PARTNERS LONDON"/>
    <n v="5"/>
    <n v="1"/>
    <d v="2025-04-29T00:00:00"/>
    <x v="16"/>
  </r>
  <r>
    <s v="ORT-11206"/>
    <s v="C000418837"/>
    <s v="BISHOPSGATE NO 8 FLOORS 4-6 SCOR JOINERY LONDON"/>
    <n v="19"/>
    <n v="0"/>
    <d v="2025-04-29T00:00:00"/>
    <x v="16"/>
  </r>
  <r>
    <s v="ORT-11207"/>
    <s v="C000418839"/>
    <s v="BAKER STREET NO 25 LONDON"/>
    <n v="0"/>
    <n v="1"/>
    <d v="2025-04-29T00:00:00"/>
    <x v="16"/>
  </r>
  <r>
    <s v="ORT-11208"/>
    <s v="C000418842"/>
    <s v="HATFIELD BUSINESS PARK"/>
    <n v="85"/>
    <n v="0"/>
    <d v="2025-04-29T00:00:00"/>
    <x v="16"/>
  </r>
  <r>
    <s v="ORT-11209"/>
    <s v="C000418847"/>
    <s v="PRIMARK MANCHESTER"/>
    <n v="0"/>
    <n v="1"/>
    <d v="2025-04-29T00:00:00"/>
    <x v="16"/>
  </r>
  <r>
    <s v="ORT-11210"/>
    <s v="C000418849"/>
    <s v="UNI OF CAMBRIDGE CHEMISTRY LECTURE ROOM GRD FLR LIGHTING"/>
    <n v="3"/>
    <n v="1"/>
    <d v="2025-04-29T00:00:00"/>
    <x v="16"/>
  </r>
  <r>
    <s v="ORT-11211"/>
    <s v="C000418850"/>
    <s v="ALDERSGATE STREET NO 200 FLOOR 1 &amp; MEZZANINE CONVENE LONDON"/>
    <n v="7"/>
    <n v="0"/>
    <d v="2025-04-29T00:00:00"/>
    <x v="16"/>
  </r>
  <r>
    <s v="ORT-11212"/>
    <s v="C000418851"/>
    <s v="UNI OF CAMBRIDGE CHEMISTRY LECTURE ROOM CEILINGS GRD FLOOR"/>
    <n v="0"/>
    <n v="1"/>
    <d v="2025-04-29T00:00:00"/>
    <x v="16"/>
  </r>
  <r>
    <s v="ORT-11213"/>
    <s v="C000418852"/>
    <s v="UNI OF CAMBRIDGE CHEMISTRY LECTURE ROOM CEILINGS GRD FLOOR"/>
    <n v="6"/>
    <n v="0"/>
    <d v="2025-04-29T00:00:00"/>
    <x v="16"/>
  </r>
  <r>
    <s v="ORT-11214"/>
    <s v="C000418853"/>
    <s v="ST MICHAEL'S FLR 9 HILL DICKINSON FIT OUT MANCHESTER"/>
    <n v="0"/>
    <n v="1"/>
    <d v="2025-04-29T00:00:00"/>
    <x v="16"/>
  </r>
  <r>
    <s v="ORT-11215"/>
    <s v="C000418855"/>
    <s v="EURSHELL MISC TILE &amp; GRID 2025"/>
    <n v="0"/>
    <n v="1"/>
    <d v="2025-04-29T00:00:00"/>
    <x v="16"/>
  </r>
  <r>
    <s v="ORT-11216"/>
    <s v="C000418856"/>
    <s v="NAKILAT OFFICE FIT OUT 21 TOWER THE PEARL DOHA"/>
    <n v="123"/>
    <n v="0"/>
    <d v="2025-04-29T00:00:00"/>
    <x v="16"/>
  </r>
  <r>
    <s v="ORT-11219"/>
    <s v="C000418863"/>
    <s v="SAMPLE ROOM READING"/>
    <n v="0"/>
    <n v="1"/>
    <d v="2025-04-30T00:00:00"/>
    <x v="16"/>
  </r>
  <r>
    <s v="ORT-11220"/>
    <s v="C000418869"/>
    <s v="WORKPLACE INTERIORS MISC 2025"/>
    <n v="0"/>
    <n v="1"/>
    <d v="2025-04-30T00:00:00"/>
    <x v="16"/>
  </r>
  <r>
    <s v="ORT-11221"/>
    <s v="C000418872"/>
    <s v="FORSEVEN INTERIM HQ BICESTER"/>
    <n v="2"/>
    <n v="1"/>
    <d v="2025-04-30T00:00:00"/>
    <x v="16"/>
  </r>
  <r>
    <s v="ORT-11222"/>
    <s v="C000418874"/>
    <s v="BLACKFRIARS ROAD NO 230 FLRS 6 &amp; 7 REMEDIAL LONDON"/>
    <n v="0"/>
    <n v="1"/>
    <d v="2025-04-30T00:00:00"/>
    <x v="16"/>
  </r>
  <r>
    <s v="ORT-11223"/>
    <s v="C000418875"/>
    <s v="HARWELL SCIENCE PARK QUAD 3 OFFICES DIDCOT"/>
    <n v="0"/>
    <n v="1"/>
    <d v="2025-04-30T00:00:00"/>
    <x v="16"/>
  </r>
  <r>
    <s v="ORT-11224"/>
    <s v="C000418893"/>
    <s v="UNI OF GLASGOW ADAM SMITH BUILDING ADDITIONAL MATERIALS"/>
    <n v="0"/>
    <n v="1"/>
    <d v="2025-04-30T00:00:00"/>
    <x v="16"/>
  </r>
  <r>
    <s v="ORT-11225"/>
    <s v="C000418897"/>
    <s v="THE FORUM KINGS QUARTER EXTERNAL WALKWAYS GLOUCESTER"/>
    <n v="0"/>
    <n v="1"/>
    <d v="2025-04-30T00:00:00"/>
    <x v="16"/>
  </r>
  <r>
    <s v="ORT-11226"/>
    <s v="C000418899"/>
    <s v="PETERBOROUGH COURT FLEET STREET NO 133 REFURB LONDON"/>
    <n v="0"/>
    <n v="1"/>
    <d v="2025-04-30T00:00:00"/>
    <x v="16"/>
  </r>
  <r>
    <s v="ORT-11227"/>
    <s v="C000418900"/>
    <s v="KING WILLIAM STREET NO 85 FLR 4 REFURB LONDON"/>
    <n v="0"/>
    <n v="1"/>
    <d v="2025-04-30T00:00:00"/>
    <x v="16"/>
  </r>
  <r>
    <s v="ORT-11229"/>
    <s v="C000418902"/>
    <s v="WORKPLACE INTERIORS MISC 2025"/>
    <n v="0"/>
    <n v="1"/>
    <d v="2025-05-01T00:00:00"/>
    <x v="16"/>
  </r>
  <r>
    <s v="ORT-11230"/>
    <s v="C000418905"/>
    <s v="WILTON ROAD NO 129 CAT A FLOORS 1-5 LONDON"/>
    <n v="5"/>
    <n v="1"/>
    <d v="2025-05-01T00:00:00"/>
    <x v="16"/>
  </r>
  <r>
    <s v="ORT-11231"/>
    <s v="C000418913"/>
    <s v="STONECUTTER COURT CAT B TRAVERS SMITH LONDON"/>
    <n v="6"/>
    <n v="0"/>
    <d v="2025-05-01T00:00:00"/>
    <x v="16"/>
  </r>
  <r>
    <s v="ORT-11232"/>
    <s v="C000418914"/>
    <s v="STONECUTTER COURT CAT B TRAVERS SMITH LONDON"/>
    <n v="10"/>
    <n v="0"/>
    <d v="2025-05-01T00:00:00"/>
    <x v="16"/>
  </r>
  <r>
    <s v="ORT-11233"/>
    <s v="C000418915"/>
    <s v="STONECUTTER COURT CAT B TRAVERS SMITH LONDON"/>
    <n v="10"/>
    <n v="0"/>
    <d v="2025-05-01T00:00:00"/>
    <x v="16"/>
  </r>
  <r>
    <s v="ORT-11234"/>
    <s v="C000418916"/>
    <s v="STONECUTTER COURT CAT B TRAVERS SMITH LONDON"/>
    <n v="10"/>
    <n v="0"/>
    <d v="2025-05-01T00:00:00"/>
    <x v="16"/>
  </r>
  <r>
    <s v="ORT-11235"/>
    <s v="C000418917"/>
    <s v="STONECUTTER COURT CAT B TRAVERS SMITH LONDON"/>
    <n v="10"/>
    <n v="0"/>
    <d v="2025-05-01T00:00:00"/>
    <x v="16"/>
  </r>
  <r>
    <s v="ORT-11236"/>
    <s v="C000418918"/>
    <s v="STONECUTTER COURT CAT B TRAVERS SMITH LONDON"/>
    <n v="10"/>
    <n v="0"/>
    <d v="2025-05-01T00:00:00"/>
    <x v="16"/>
  </r>
  <r>
    <s v="ORT-11237"/>
    <s v="C000418919"/>
    <s v="STONECUTTER COURT CAT B TRAVERS SMITH LONDON"/>
    <n v="10"/>
    <n v="0"/>
    <d v="2025-05-01T00:00:00"/>
    <x v="16"/>
  </r>
  <r>
    <s v="ORT-11238"/>
    <s v="C000418920"/>
    <s v="STONECUTTER COURT CAT B TRAVERS SMITH LONDON"/>
    <n v="10"/>
    <n v="0"/>
    <d v="2025-05-01T00:00:00"/>
    <x v="16"/>
  </r>
  <r>
    <s v="ORT-11239"/>
    <s v="C000418921"/>
    <s v="STONECUTTER COURT CAT B TRAVERS SMITH LONDON"/>
    <n v="10"/>
    <n v="0"/>
    <d v="2025-05-01T00:00:00"/>
    <x v="16"/>
  </r>
  <r>
    <s v="ORT-11240"/>
    <s v="C000418922"/>
    <s v="STONECUTTER COURT CAT B TRAVERS SMITH LONDON"/>
    <n v="10"/>
    <n v="0"/>
    <d v="2025-05-01T00:00:00"/>
    <x v="16"/>
  </r>
  <r>
    <s v="ORT-11241"/>
    <s v="C000418925"/>
    <s v="MANCHESTER AIRPORT T2 EAST WING NEW DEVELOPMENT"/>
    <n v="0"/>
    <n v="1"/>
    <d v="2025-05-01T00:00:00"/>
    <x v="16"/>
  </r>
  <r>
    <s v="ORT-11242"/>
    <m/>
    <s v="KITCHEN REVAMPING BOURI DP4 LIBYA OFFSHORE"/>
    <n v="105"/>
    <n v="0"/>
    <d v="2025-05-01T00:00:00"/>
    <x v="16"/>
  </r>
  <r>
    <s v="ORT-11243"/>
    <s v="C000418928"/>
    <s v="WARNER MUSIC UK WRIGHTS LANE NO 27 LONDON"/>
    <n v="0"/>
    <n v="1"/>
    <d v="2025-05-01T00:00:00"/>
    <x v="16"/>
  </r>
  <r>
    <s v="ORT-11244"/>
    <s v="C000418931"/>
    <s v="HWE HUB BUILDING 7 ADITIONALS WATFORD"/>
    <n v="0"/>
    <n v="1"/>
    <d v="2025-05-01T00:00:00"/>
    <x v="16"/>
  </r>
  <r>
    <s v="ORT-11245"/>
    <s v="C000418933"/>
    <s v="ONE STATION HILL PWC CAT B FITOUT READING"/>
    <n v="31"/>
    <n v="0"/>
    <d v="2025-05-01T00:00:00"/>
    <x v="16"/>
  </r>
  <r>
    <s v="ORT-11246"/>
    <s v="C000418935"/>
    <s v="ELEPHANT &amp; CASTLE TOWN CENTRE PLOT E2 &amp; E3 LONDON"/>
    <n v="0"/>
    <n v="1"/>
    <d v="2025-05-01T00:00:00"/>
    <x v="16"/>
  </r>
  <r>
    <s v="ORT-11247"/>
    <s v="C000418941"/>
    <s v="EVERTON FC BRAMLEY MOORE DOCK STADIUM FEATURES LIVERPOOL"/>
    <n v="0"/>
    <n v="1"/>
    <d v="2025-05-01T00:00:00"/>
    <x v="16"/>
  </r>
  <r>
    <s v="ORT-11248"/>
    <s v="C000418944"/>
    <s v="WORKPLACE INTERIORS MISC 2025"/>
    <n v="0"/>
    <n v="1"/>
    <d v="2025-05-01T00:00:00"/>
    <x v="16"/>
  </r>
  <r>
    <s v="ORT-11249"/>
    <s v="C000418945"/>
    <s v="SCOTLAND &amp; NORTH EAST MISC 2025"/>
    <n v="0"/>
    <n v="1"/>
    <d v="2025-05-01T00:00:00"/>
    <x v="16"/>
  </r>
  <r>
    <s v="ORT-11250"/>
    <s v="C000418946"/>
    <s v="ST MICHAELS TOWER FLRS 7 &amp; 8 MANCHESTER"/>
    <n v="0"/>
    <n v="1"/>
    <d v="2025-05-01T00:00:00"/>
    <x v="16"/>
  </r>
  <r>
    <s v="ORT-11252"/>
    <s v="C000418952"/>
    <s v="LEADENHALL STREET NO 1 SHELL AND CORE LONDON"/>
    <n v="2"/>
    <n v="1"/>
    <d v="2025-05-02T00:00:00"/>
    <x v="16"/>
  </r>
  <r>
    <s v="ORT-11253"/>
    <s v="C000418955"/>
    <s v="ST MICHAELS TOWER FLRS 7 &amp; 8 MANCHESTER"/>
    <n v="0"/>
    <n v="1"/>
    <d v="2025-05-02T00:00:00"/>
    <x v="16"/>
  </r>
  <r>
    <s v="ORT-11254"/>
    <s v="C000418957"/>
    <s v="BERKELEY SQUARE HOUSE REFURB LONDON"/>
    <n v="3"/>
    <n v="1"/>
    <d v="2025-05-02T00:00:00"/>
    <x v="16"/>
  </r>
  <r>
    <s v="ORT-11255"/>
    <s v="C000418961"/>
    <s v="WINCHESTER COLLEGE BOARDING AND SPORTS FACILITIES"/>
    <n v="0"/>
    <n v="1"/>
    <d v="2025-05-02T00:00:00"/>
    <x v="16"/>
  </r>
  <r>
    <s v="ORT-11256"/>
    <s v="C000418962"/>
    <s v="TEVILLE GATE HOUSE HMRC REFURB WORTHING"/>
    <n v="0"/>
    <n v="1"/>
    <d v="2025-05-02T00:00:00"/>
    <x v="16"/>
  </r>
  <r>
    <s v="ORT-11257"/>
    <s v="C000418964"/>
    <s v="HEATHROW TERMINAL 5 SECURITY LONDON"/>
    <n v="1"/>
    <n v="1"/>
    <d v="2025-05-02T00:00:00"/>
    <x v="16"/>
  </r>
  <r>
    <s v="ORT-11259"/>
    <s v="C000418969"/>
    <s v="EDWARD STREET HOSPITAL WEST BROMWICH"/>
    <n v="0"/>
    <n v="1"/>
    <d v="2025-05-06T00:00:00"/>
    <x v="17"/>
  </r>
  <r>
    <s v="ORT-11260"/>
    <s v="C000418971"/>
    <s v="OLD BROAD STREET NO 125 LVL 22 &amp; 23 CAT A LONDON"/>
    <n v="9"/>
    <n v="0"/>
    <d v="2025-05-06T00:00:00"/>
    <x v="17"/>
  </r>
  <r>
    <s v="ORT-11261"/>
    <s v="C000418980"/>
    <s v="ADANAC PARK NORTH OPUS FIT OUT SOUTHAMPTON"/>
    <n v="0"/>
    <n v="1"/>
    <d v="2025-05-06T00:00:00"/>
    <x v="17"/>
  </r>
  <r>
    <s v="ORT-11262"/>
    <s v="C000418981"/>
    <s v="BRADFORD MALL SADDLERS CENTRE WALSALL"/>
    <n v="0"/>
    <n v="1"/>
    <d v="2025-05-06T00:00:00"/>
    <x v="17"/>
  </r>
  <r>
    <s v="ORT-11263"/>
    <s v="C000418991"/>
    <s v="NOVOTEL KOLWEZI PUBLIC AREAS CONGO"/>
    <n v="118"/>
    <n v="0"/>
    <d v="2025-05-06T00:00:00"/>
    <x v="17"/>
  </r>
  <r>
    <s v="ORT-11264"/>
    <s v="C000419007"/>
    <s v="CHANCERY LANE NO 5 REDEVELOPMENT LONDON"/>
    <n v="0"/>
    <n v="1"/>
    <d v="2025-05-07T00:00:00"/>
    <x v="17"/>
  </r>
  <r>
    <s v="ORT-11265"/>
    <s v="C000419008"/>
    <s v="JAMES STREET NO 1 LONDON"/>
    <n v="0"/>
    <n v="1"/>
    <d v="2025-05-07T00:00:00"/>
    <x v="17"/>
  </r>
  <r>
    <s v="ORT-11266"/>
    <s v="C000419010"/>
    <s v="WARWICK UNIVERSITY TEXTILES MOCK UP"/>
    <n v="11"/>
    <n v="0"/>
    <d v="2025-05-07T00:00:00"/>
    <x v="17"/>
  </r>
  <r>
    <s v="ORT-11267"/>
    <s v="C000419011"/>
    <s v="SOUTH MISC 2025"/>
    <n v="0"/>
    <n v="1"/>
    <d v="2025-05-07T00:00:00"/>
    <x v="17"/>
  </r>
  <r>
    <s v="ORT-11268"/>
    <s v="C000419012"/>
    <s v="BAIT AL BARKA PALACE KITCHEN MUSCAT"/>
    <n v="5"/>
    <n v="1"/>
    <d v="2025-05-07T00:00:00"/>
    <x v="17"/>
  </r>
  <r>
    <s v="ORT-11269"/>
    <s v="C000419017"/>
    <s v="ROPEMAKER STREET NO 20-22 LINKLATERS FIT-OUT LONDON"/>
    <n v="0"/>
    <n v="1"/>
    <d v="2025-05-07T00:00:00"/>
    <x v="17"/>
  </r>
  <r>
    <s v="ORT-11270"/>
    <s v="C000419019"/>
    <s v="TEMPLE QUAY GLASS WHARF NO 1 GRD &amp; 1ST FLRS BRISTOL"/>
    <n v="0"/>
    <n v="1"/>
    <d v="2025-05-07T00:00:00"/>
    <x v="17"/>
  </r>
  <r>
    <s v="ORT-11271"/>
    <s v="C000419021"/>
    <s v="AIRE PARK FORMER TETLEY BREWERY LEEDS MU4A"/>
    <n v="0"/>
    <n v="1"/>
    <d v="2025-05-07T00:00:00"/>
    <x v="17"/>
  </r>
  <r>
    <s v="ORT-11272"/>
    <s v="C000419023"/>
    <s v="HEATHROW CP19 MAIN WORKS LEVEL 00 CAMPUS PRECINCTS"/>
    <n v="1"/>
    <n v="1"/>
    <d v="2025-05-07T00:00:00"/>
    <x v="17"/>
  </r>
  <r>
    <s v="ORT-11273"/>
    <s v="C000419025"/>
    <s v="NEW STREET SQUARE NO 5 TAYLOR WESSING REFURB LONDON"/>
    <n v="0"/>
    <n v="1"/>
    <d v="2025-05-07T00:00:00"/>
    <x v="17"/>
  </r>
  <r>
    <s v="ORT-11274"/>
    <s v="C000419027"/>
    <s v="THREADNEEDLE STREET NO 60 CAT A FLOOR 8 LONDON"/>
    <n v="22"/>
    <n v="0"/>
    <d v="2025-05-07T00:00:00"/>
    <x v="17"/>
  </r>
  <r>
    <s v="ORT-11275"/>
    <s v="C000419028"/>
    <s v="DEDALO 2 MADRID"/>
    <n v="117"/>
    <n v="0"/>
    <d v="2025-05-07T00:00:00"/>
    <x v="17"/>
  </r>
  <r>
    <s v="ORT-11276"/>
    <s v="C000419030"/>
    <s v="BBVA RENOVATION MADRID"/>
    <n v="7"/>
    <n v="0"/>
    <d v="2025-05-07T00:00:00"/>
    <x v="17"/>
  </r>
  <r>
    <s v="ORT-11277"/>
    <s v="C000419033"/>
    <s v="EVERTON FC BRAMLEY MOORE DOCK STADIUM FEATURES LIVERPOOL"/>
    <n v="0"/>
    <n v="1"/>
    <d v="2025-05-07T00:00:00"/>
    <x v="17"/>
  </r>
  <r>
    <s v="ORT-11279"/>
    <s v="C000419040"/>
    <s v="SAMPLE ROOM READING"/>
    <n v="0"/>
    <n v="1"/>
    <d v="2025-05-08T00:00:00"/>
    <x v="17"/>
  </r>
  <r>
    <s v="ORT-11280"/>
    <s v="C000419041"/>
    <s v="THE STAGE SHOREDITCH BARD &amp; HEWETT AMAZON FIT OUT LONDON"/>
    <n v="0"/>
    <n v="1"/>
    <d v="2025-05-08T00:00:00"/>
    <x v="17"/>
  </r>
  <r>
    <s v="ORT-11281"/>
    <s v="C000419043"/>
    <s v="SAINSBURYS MISC 2025"/>
    <n v="0"/>
    <n v="1"/>
    <d v="2025-05-08T00:00:00"/>
    <x v="17"/>
  </r>
  <r>
    <s v="ORT-11282"/>
    <s v="C000419044"/>
    <s v="WELLS STREET NO 80 WELLS HOUSE THE RIBBON LONDON"/>
    <n v="10"/>
    <n v="0"/>
    <d v="2025-05-08T00:00:00"/>
    <x v="17"/>
  </r>
  <r>
    <s v="ORT-11283"/>
    <s v="C000419046"/>
    <s v="LANCELOT PLACE NO 8 CAT A REFURB LONDON"/>
    <n v="3"/>
    <n v="1"/>
    <d v="2025-05-08T00:00:00"/>
    <x v="17"/>
  </r>
  <r>
    <s v="ORT-11284"/>
    <s v="C000419047"/>
    <s v="ALDERMANBURY SQUARE NO 2 BASINGHALL STREET LONDON"/>
    <n v="7"/>
    <n v="0"/>
    <d v="2025-05-08T00:00:00"/>
    <x v="17"/>
  </r>
  <r>
    <s v="ORT-11285"/>
    <s v="C000419050"/>
    <s v="MILLENIUM CAPITAL ICD L26 DUBAI PHASE 2"/>
    <n v="0"/>
    <n v="1"/>
    <d v="2025-05-08T00:00:00"/>
    <x v="17"/>
  </r>
  <r>
    <s v="ORT-11286"/>
    <s v="C000419051"/>
    <s v="GYM PROJECT BIRMINGHAM"/>
    <n v="0"/>
    <n v="1"/>
    <d v="2025-05-08T00:00:00"/>
    <x v="17"/>
  </r>
  <r>
    <s v="ORT-11287"/>
    <s v="C000419053"/>
    <s v="QUEEN VICTORIA STREET NO 160 FLR 2 LONDON"/>
    <n v="0"/>
    <n v="1"/>
    <d v="2025-05-08T00:00:00"/>
    <x v="17"/>
  </r>
  <r>
    <s v="ORT-11288"/>
    <s v="C000419054"/>
    <s v="CHAMARTIN PHASE 2 MADRID"/>
    <n v="26"/>
    <n v="0"/>
    <d v="2025-05-08T00:00:00"/>
    <x v="17"/>
  </r>
  <r>
    <s v="ORT-11289"/>
    <s v="C000419056"/>
    <s v="LONDON MISC 2025"/>
    <n v="0"/>
    <n v="1"/>
    <d v="2025-05-08T00:00:00"/>
    <x v="17"/>
  </r>
  <r>
    <s v="ORT-11290"/>
    <s v="C000419058"/>
    <s v="L&amp;S HAYMARKET YARDS NO 22 STUDENT RESIDENTAL EDINBURGH"/>
    <n v="1"/>
    <n v="1"/>
    <d v="2025-05-08T00:00:00"/>
    <x v="17"/>
  </r>
  <r>
    <s v="ORT-11291"/>
    <s v="C000419059"/>
    <s v="ALDERSGATE ST NO 150 THE VERDANT TIKTOK FIT OUT LONDON"/>
    <n v="3"/>
    <n v="1"/>
    <d v="2025-05-08T00:00:00"/>
    <x v="17"/>
  </r>
  <r>
    <s v="ORT-11292"/>
    <m/>
    <s v="FORMER TYNECASTLE SCHOOL STUDENT ACCOMMODATION EDINBURGH"/>
    <n v="114"/>
    <n v="0"/>
    <d v="2025-05-08T00:00:00"/>
    <x v="17"/>
  </r>
  <r>
    <s v="ORT-11295"/>
    <s v="C000419070"/>
    <s v="HEATHROW WEST BUSINESS PARK UNIT D2 SLOUGH"/>
    <n v="0"/>
    <n v="1"/>
    <d v="2025-05-09T00:00:00"/>
    <x v="17"/>
  </r>
  <r>
    <s v="ORT-11296"/>
    <s v="C000419072"/>
    <s v="PARK AVENUE BMW QUEBEC"/>
    <n v="2"/>
    <n v="1"/>
    <d v="2025-05-09T00:00:00"/>
    <x v="17"/>
  </r>
  <r>
    <s v="ORT-11297"/>
    <s v="C000419074"/>
    <s v="PRINCES DOCK PLOT A06 11TH FLR LIVERPOOL"/>
    <n v="0"/>
    <n v="1"/>
    <d v="2025-05-09T00:00:00"/>
    <x v="17"/>
  </r>
  <r>
    <s v="ORT-11298"/>
    <s v="C000419075"/>
    <s v="NEW STREET SQUARE NO 5 TAYLOR WESSING REFURB LONDON"/>
    <n v="10"/>
    <n v="0"/>
    <d v="2025-05-09T00:00:00"/>
    <x v="17"/>
  </r>
  <r>
    <s v="ORT-11299"/>
    <s v="C000419076"/>
    <s v="FORMER TYNECASTLE SCHOOL STUDENT ACCOMMODATION EDINBURGH"/>
    <n v="0"/>
    <n v="1"/>
    <d v="2025-05-09T00:00:00"/>
    <x v="17"/>
  </r>
  <r>
    <s v="ORT-11300"/>
    <s v="C000419079"/>
    <s v="ABBEY LANE STUDENT ACCOMMODATION EDINBURGH"/>
    <n v="0"/>
    <n v="1"/>
    <d v="2025-05-09T00:00:00"/>
    <x v="17"/>
  </r>
  <r>
    <s v="ORT-11301"/>
    <s v="C000419080"/>
    <s v="KING WILLIAM STREET NO 45 REGIS HOUSE FLRS 1 &amp; 5-7 LONDON"/>
    <n v="0"/>
    <n v="1"/>
    <d v="2025-05-09T00:00:00"/>
    <x v="17"/>
  </r>
  <r>
    <s v="ORT-11302"/>
    <s v="C000419081"/>
    <s v="BRAVINGTON HOUSE INHEALTH FLR 4 LIGHTING KINGS CROSS"/>
    <n v="26"/>
    <n v="0"/>
    <d v="2025-05-09T00:00:00"/>
    <x v="17"/>
  </r>
  <r>
    <s v="ORT-11303"/>
    <s v="C000419082"/>
    <s v="LONDON MISC 2025"/>
    <n v="0"/>
    <n v="1"/>
    <d v="2025-05-09T00:00:00"/>
    <x v="17"/>
  </r>
  <r>
    <s v="ORT-11304"/>
    <s v="CF00000527"/>
    <s v="ALPHA BANK ATHENS"/>
    <n v="35"/>
    <n v="0"/>
    <d v="2025-05-09T00:00:00"/>
    <x v="17"/>
  </r>
  <r>
    <s v="ORT-11306"/>
    <s v="C000419086"/>
    <s v="MANCHESTER AIRPORT PIER 2 PHASE 2 CELINGS"/>
    <n v="0"/>
    <n v="1"/>
    <d v="2025-05-09T00:00:00"/>
    <x v="17"/>
  </r>
  <r>
    <s v="ORT-11307"/>
    <s v="C000419088"/>
    <s v="ORANGEBOX POD CASSETTES"/>
    <n v="0"/>
    <n v="1"/>
    <d v="2025-05-09T00:00:00"/>
    <x v="17"/>
  </r>
  <r>
    <s v="ORT-11310"/>
    <s v="C000419097"/>
    <s v="LESTER ROAD LITTLE HULTON"/>
    <n v="0"/>
    <n v="1"/>
    <d v="2025-05-12T00:00:00"/>
    <x v="18"/>
  </r>
  <r>
    <s v="ORT-11311"/>
    <s v="C000419098"/>
    <s v="DUNFERMLINE LEARNING CAMPUS FIFE COLLEGE"/>
    <n v="0"/>
    <n v="1"/>
    <d v="2025-05-12T00:00:00"/>
    <x v="18"/>
  </r>
  <r>
    <s v="ORT-11312"/>
    <s v="C000419100"/>
    <s v="EURSHELL MISC TILE &amp; GRID 2025"/>
    <n v="0"/>
    <n v="1"/>
    <d v="2025-05-12T00:00:00"/>
    <x v="18"/>
  </r>
  <r>
    <s v="ORT-11313"/>
    <s v="C000419101"/>
    <s v="HANOVER SQUARE NO 25 REFURB LONDON"/>
    <n v="0"/>
    <n v="1"/>
    <d v="2025-05-12T00:00:00"/>
    <x v="18"/>
  </r>
  <r>
    <s v="ORT-11314"/>
    <s v="C000419104"/>
    <s v="MILLENNIUM RAMAT GAN"/>
    <n v="7"/>
    <n v="0"/>
    <d v="2025-05-12T00:00:00"/>
    <x v="18"/>
  </r>
  <r>
    <s v="ORT-11315"/>
    <s v="C000419105"/>
    <s v="MANCHESTER AIRPORT T2 EAST CHECK IN AREAS"/>
    <n v="0"/>
    <n v="1"/>
    <d v="2025-05-12T00:00:00"/>
    <x v="18"/>
  </r>
  <r>
    <s v="ORT-11316"/>
    <s v="C000419106"/>
    <s v="STEPHEN STREET NO 1-2 FLOOR 2 LONDON"/>
    <n v="21"/>
    <n v="0"/>
    <d v="2025-05-12T00:00:00"/>
    <x v="18"/>
  </r>
  <r>
    <s v="ORT-11317"/>
    <s v="C000419111"/>
    <s v="CENTRAL SQUARE NO 2 CARDIFF"/>
    <n v="0"/>
    <n v="1"/>
    <d v="2025-05-13T00:00:00"/>
    <x v="18"/>
  </r>
  <r>
    <s v="ORT-11318"/>
    <s v="C000419113"/>
    <s v="HOLBORN VIADUCT NO 14-21 WASHROOM FIT OUT LONDON"/>
    <n v="12"/>
    <n v="0"/>
    <d v="2025-05-13T00:00:00"/>
    <x v="18"/>
  </r>
  <r>
    <s v="ORT-11319"/>
    <s v="C000419114"/>
    <s v="BOTHWELL STREET NO 177 FLOOR 4 FIT OUT GLASGOW"/>
    <n v="0"/>
    <n v="1"/>
    <d v="2025-05-13T00:00:00"/>
    <x v="18"/>
  </r>
  <r>
    <s v="ORT-11320"/>
    <s v="C000419115"/>
    <s v="LEICESTER COLLEGE AERONAUTICAL BUILDING LEICESTER"/>
    <n v="3"/>
    <n v="1"/>
    <d v="2025-05-13T00:00:00"/>
    <x v="18"/>
  </r>
  <r>
    <s v="ORT-11321"/>
    <s v="C000419116"/>
    <s v="BEREWOOD PRIMARY SCHOOL KENTIDGE WATERLOOVILLE"/>
    <n v="11"/>
    <n v="0"/>
    <d v="2025-05-13T00:00:00"/>
    <x v="18"/>
  </r>
  <r>
    <s v="ORT-11322"/>
    <s v="C000419122"/>
    <s v="LONDON MISC 2025"/>
    <n v="0"/>
    <n v="1"/>
    <d v="2025-05-13T00:00:00"/>
    <x v="18"/>
  </r>
  <r>
    <s v="ORT-11323"/>
    <s v="C000419125"/>
    <s v="ROPEMAKER STREET NO 20-22 LINKLATERS JOINERY FEATURE LONDON"/>
    <n v="2"/>
    <n v="1"/>
    <d v="2025-05-13T00:00:00"/>
    <x v="18"/>
  </r>
  <r>
    <s v="ORT-11324"/>
    <s v="C000419126"/>
    <s v="LEADENHALL STREET NO 40 KIRKLAND &amp; ELLIS FLRS 15-34 LONDON"/>
    <n v="0"/>
    <n v="1"/>
    <d v="2025-05-13T00:00:00"/>
    <x v="18"/>
  </r>
  <r>
    <s v="ORT-11325"/>
    <s v="C000419127"/>
    <s v="NEW BRIDGE STREET NO 100 CAT A+ LONDON"/>
    <n v="56"/>
    <n v="0"/>
    <d v="2025-05-13T00:00:00"/>
    <x v="18"/>
  </r>
  <r>
    <s v="ORT-11326"/>
    <s v="C000419132"/>
    <s v="TOTTENHAM HOTSPUR TRAINING ACADEMY LEVEL 1 OFFICES ENFIELD"/>
    <n v="3"/>
    <n v="1"/>
    <d v="2025-05-13T00:00:00"/>
    <x v="18"/>
  </r>
  <r>
    <s v="ORT-11327"/>
    <s v="C000419133"/>
    <s v="GREEN MOUNTAIN LON1 EAST DATA CENTRE ROMFORD"/>
    <n v="0"/>
    <n v="1"/>
    <d v="2025-05-13T00:00:00"/>
    <x v="18"/>
  </r>
  <r>
    <s v="ORT-11328"/>
    <s v="C000419139"/>
    <s v="AMI ACADEMY HOD HASHARON"/>
    <n v="13"/>
    <n v="0"/>
    <d v="2025-05-13T00:00:00"/>
    <x v="18"/>
  </r>
  <r>
    <s v="ORT-11329"/>
    <s v="C000419154"/>
    <s v="SAMPLES MISC 2025"/>
    <n v="0"/>
    <n v="1"/>
    <d v="2025-05-14T00:00:00"/>
    <x v="18"/>
  </r>
  <r>
    <s v="ORT-11330"/>
    <s v="C000419157"/>
    <s v="KING STREET NO 12 LEEDS"/>
    <n v="0"/>
    <n v="1"/>
    <d v="2025-05-14T00:00:00"/>
    <x v="18"/>
  </r>
  <r>
    <s v="ORT-11331"/>
    <s v="C000419162"/>
    <s v="EMBERTON HOUSE OLYMPIA REDEVELOPMENT FIT-OUT LONDON"/>
    <n v="0"/>
    <n v="1"/>
    <d v="2025-05-14T00:00:00"/>
    <x v="18"/>
  </r>
  <r>
    <s v="ORT-11332"/>
    <s v="C000419163"/>
    <s v="MARRIOTT HOTEL ABASTUMANI"/>
    <n v="61"/>
    <n v="0"/>
    <d v="2025-05-14T00:00:00"/>
    <x v="18"/>
  </r>
  <r>
    <s v="ORT-11333"/>
    <s v="C000419164"/>
    <s v="SCOTLAND &amp; NORTH EAST MISC 2025"/>
    <n v="0"/>
    <n v="1"/>
    <d v="2025-05-14T00:00:00"/>
    <x v="18"/>
  </r>
  <r>
    <s v="ORT-11334"/>
    <s v="C000419169"/>
    <s v="MARSHAM STREET NO 2 DEFRA SECURE ROOM LONDON"/>
    <n v="0"/>
    <n v="1"/>
    <d v="2025-05-14T00:00:00"/>
    <x v="18"/>
  </r>
  <r>
    <s v="ORT-11335"/>
    <s v="C000419172"/>
    <s v="WIGMORE STREET NO 42 REFURB LONDON"/>
    <n v="0"/>
    <n v="1"/>
    <d v="2025-05-14T00:00:00"/>
    <x v="18"/>
  </r>
  <r>
    <s v="ORT-11336"/>
    <s v="C000419173"/>
    <s v="CHISWELL STREET NO 24 FLOOR 1 &amp; 3 INDUSTRIOUS FIT OUT LONDON"/>
    <n v="1"/>
    <n v="1"/>
    <d v="2025-05-15T00:00:00"/>
    <x v="18"/>
  </r>
  <r>
    <s v="ORT-11337"/>
    <s v="C000419176"/>
    <s v="FINSBURY SQUARE NO 26 FRESHWATER REFURB LONDON"/>
    <n v="0"/>
    <n v="1"/>
    <d v="2025-05-15T00:00:00"/>
    <x v="18"/>
  </r>
  <r>
    <s v="ORT-11339"/>
    <s v="C000419180"/>
    <s v="WARDOUR STREET NO 142 FILM HOUSE FLOORS 1-8 LONDON"/>
    <n v="0"/>
    <n v="1"/>
    <d v="2025-05-15T00:00:00"/>
    <x v="18"/>
  </r>
  <r>
    <s v="ORT-11340"/>
    <s v="C000419182"/>
    <s v="CORCEGA 331 SURE BARCELONA"/>
    <n v="0"/>
    <n v="1"/>
    <d v="2025-05-15T00:00:00"/>
    <x v="18"/>
  </r>
  <r>
    <s v="ORT-11341"/>
    <s v="C000419189"/>
    <s v="ONYX LEVEL 4 CAT A GLASGOW"/>
    <n v="0"/>
    <n v="1"/>
    <d v="2025-05-15T00:00:00"/>
    <x v="18"/>
  </r>
  <r>
    <s v="ORT-11342"/>
    <s v="C000419193"/>
    <s v="HEATHROW WEST BUSINESS PARK UNIT D2 SLOUGH"/>
    <n v="0"/>
    <n v="1"/>
    <d v="2025-05-15T00:00:00"/>
    <x v="18"/>
  </r>
  <r>
    <s v="ORT-11343"/>
    <s v="C000419195"/>
    <s v="LEADENHALL STREET NO 40 KIRKLAND &amp; ELLIS FLRS 15-34 LONDON"/>
    <n v="0"/>
    <n v="1"/>
    <d v="2025-05-15T00:00:00"/>
    <x v="18"/>
  </r>
  <r>
    <s v="ORT-11344"/>
    <s v="C000419196"/>
    <s v="PURE DATA CENTRE YAS ISLAND ABU DHABI DATA HALL"/>
    <n v="52"/>
    <n v="0"/>
    <d v="2025-05-15T00:00:00"/>
    <x v="18"/>
  </r>
  <r>
    <s v="ORT-11345"/>
    <s v="C000419202"/>
    <s v="CREECHURCH PLACE NO 1 FLOOR 5 REFURB LONDON"/>
    <n v="0"/>
    <n v="1"/>
    <d v="2025-05-15T00:00:00"/>
    <x v="18"/>
  </r>
  <r>
    <s v="ORT-11346"/>
    <s v="C000419204"/>
    <s v="NDA - PWC LAYSEN VALLEY RIYADH OFFICE FIT OUT WALL PANELS"/>
    <n v="0"/>
    <n v="1"/>
    <d v="2025-05-15T00:00:00"/>
    <x v="18"/>
  </r>
  <r>
    <s v="ORT-11347"/>
    <s v="C000419206"/>
    <s v="MANCHESTER AIRPORT T2 EAST WING NEW DEVELOPMENT"/>
    <n v="0"/>
    <n v="1"/>
    <d v="2025-05-15T00:00:00"/>
    <x v="18"/>
  </r>
  <r>
    <s v="ORT-11348"/>
    <s v="C000419215"/>
    <s v="BROADGATE NO 1-2 SHELL &amp; CORE LONDON"/>
    <n v="0"/>
    <n v="1"/>
    <d v="2025-05-16T00:00:00"/>
    <x v="18"/>
  </r>
  <r>
    <s v="ORT-11349"/>
    <s v="C000419217"/>
    <s v="EURSHELL MISC TILE &amp; GRID 2025"/>
    <n v="0"/>
    <n v="1"/>
    <d v="2025-05-16T00:00:00"/>
    <x v="18"/>
  </r>
  <r>
    <s v="ORT-11350"/>
    <s v="C000419218"/>
    <s v="TOTTENHAM HOTSPUR TRAINING ACADEMY LEVEL 1 OFFICES ENFIELD"/>
    <n v="0"/>
    <n v="1"/>
    <d v="2025-05-16T00:00:00"/>
    <x v="18"/>
  </r>
  <r>
    <s v="ORT-11351"/>
    <s v="C000419220"/>
    <s v="GRESHAM STREET NO 30 INVESTEC LEVEL 6 LONDON"/>
    <n v="0"/>
    <n v="1"/>
    <d v="2025-05-16T00:00:00"/>
    <x v="18"/>
  </r>
  <r>
    <s v="ORT-11352"/>
    <s v="C000419225"/>
    <s v="MANCHESTER AIRPORT PIER 2 PHASE 2 CELINGS"/>
    <n v="0"/>
    <n v="1"/>
    <d v="2025-05-16T00:00:00"/>
    <x v="18"/>
  </r>
  <r>
    <s v="ORT-11354"/>
    <s v="C000419229"/>
    <s v="BRANDON STREET NO 20  BLACKROCK EDINBURGH"/>
    <n v="0"/>
    <n v="1"/>
    <d v="2025-05-19T00:00:00"/>
    <x v="19"/>
  </r>
  <r>
    <s v="ORT-11355"/>
    <s v="C000419233"/>
    <s v="ROPEMAKER PLACE MUFG REFURB FLRS 1-2 &amp; 14-17 LONDON"/>
    <n v="0"/>
    <n v="1"/>
    <d v="2025-05-19T00:00:00"/>
    <x v="19"/>
  </r>
  <r>
    <s v="ORT-11356"/>
    <s v="C000419239"/>
    <s v="BARCELONA AIRPORT T2 &amp; T1"/>
    <n v="0"/>
    <n v="1"/>
    <d v="2025-05-19T00:00:00"/>
    <x v="19"/>
  </r>
  <r>
    <s v="ORT-11357"/>
    <s v="C000419244"/>
    <s v="LAURISTON PLACE NO15 SKYSCANNER FITOUT EDINBURGH"/>
    <n v="0"/>
    <n v="1"/>
    <d v="2025-05-19T00:00:00"/>
    <x v="19"/>
  </r>
  <r>
    <s v="ORT-11358"/>
    <s v="CF00000529"/>
    <s v="VENETTE MOCK UP"/>
    <n v="3"/>
    <n v="1"/>
    <d v="2025-05-19T00:00:00"/>
    <x v="19"/>
  </r>
  <r>
    <s v="ORT-11359"/>
    <s v="C000419255"/>
    <s v="THE BEACON ST VINCENT STREET NO 176 FLOOR 1 REFURB GLASGOW"/>
    <n v="0"/>
    <n v="1"/>
    <d v="2025-05-19T00:00:00"/>
    <x v="19"/>
  </r>
  <r>
    <s v="ORT-11360"/>
    <s v="C000419257"/>
    <s v="FINSBURY CIRCUS NO 8 CAT B GRANT THORNTON LONDON"/>
    <n v="0"/>
    <n v="1"/>
    <d v="2025-05-19T00:00:00"/>
    <x v="19"/>
  </r>
  <r>
    <s v="ORT-11361"/>
    <s v="C000419260"/>
    <s v="LEADENHALL STREET NO 40 KIRKLAND &amp; ELLIS FLRS 15-34 LONDON"/>
    <n v="0"/>
    <n v="1"/>
    <d v="2025-05-20T00:00:00"/>
    <x v="19"/>
  </r>
  <r>
    <s v="ORT-11362"/>
    <s v="C000419261"/>
    <s v="BISHOPSGATE NO 100 PART FLR 35 EXPANSION PAUL HASTINGS"/>
    <n v="0"/>
    <n v="1"/>
    <d v="2025-05-20T00:00:00"/>
    <x v="19"/>
  </r>
  <r>
    <s v="ORT-11363"/>
    <s v="C000419262"/>
    <s v="KINGS ROAD NO 120 LIBERTY GLOBAL FABRIC LONDON"/>
    <n v="0"/>
    <n v="1"/>
    <d v="2025-05-20T00:00:00"/>
    <x v="19"/>
  </r>
  <r>
    <s v="ORT-11364"/>
    <s v="C000419264"/>
    <s v="CANARY WHARF CANADA SQUARE NO 25 CITIBANK REFURB LONDON"/>
    <n v="0"/>
    <n v="1"/>
    <d v="2025-05-20T00:00:00"/>
    <x v="19"/>
  </r>
  <r>
    <s v="ORT-11365"/>
    <s v="CF00000530"/>
    <s v="AVENUE RAYMOND POINCARE 34 PARIS"/>
    <n v="2"/>
    <n v="1"/>
    <d v="2025-05-20T00:00:00"/>
    <x v="19"/>
  </r>
  <r>
    <s v="ORT-11366"/>
    <s v="C000419274"/>
    <s v="LEADENHALL STREET NO 1 CAT B LATHAM &amp; WATKINS FLRS 1-20"/>
    <n v="5"/>
    <n v="1"/>
    <d v="2025-05-20T00:00:00"/>
    <x v="19"/>
  </r>
  <r>
    <s v="ORT-11368"/>
    <s v="C000419280"/>
    <s v="SCOTLAND &amp; NORTH EAST MISC 2025"/>
    <n v="0"/>
    <n v="1"/>
    <d v="2025-05-20T00:00:00"/>
    <x v="19"/>
  </r>
  <r>
    <s v="ORT-11369"/>
    <s v="C000419282"/>
    <s v="LEADENHALL STREET NO 1 CAT B LATHAM &amp; WATKINS FLRS 1-20"/>
    <n v="0"/>
    <n v="1"/>
    <d v="2025-05-20T00:00:00"/>
    <x v="19"/>
  </r>
  <r>
    <s v="ORT-11370"/>
    <s v="C000419283"/>
    <s v="LEADENHALL STREET NO 1 CAT B LATHAM &amp; WATKINS FLRS 1-20"/>
    <n v="0"/>
    <n v="1"/>
    <d v="2025-05-20T00:00:00"/>
    <x v="19"/>
  </r>
  <r>
    <s v="ORT-11371"/>
    <s v="C000419284"/>
    <s v="LEADENHALL STREET NO 1 CAT B LATHAM &amp; WATKINS FLRS 1-20"/>
    <n v="9"/>
    <n v="0"/>
    <d v="2025-05-20T00:00:00"/>
    <x v="19"/>
  </r>
  <r>
    <s v="ORT-11372"/>
    <s v="C000419287"/>
    <s v="EVERTON FC BRAMLEY MOORE DOCK STADIUM FEATURES LIVERPOOL"/>
    <n v="0"/>
    <n v="1"/>
    <d v="2025-05-21T00:00:00"/>
    <x v="19"/>
  </r>
  <r>
    <s v="ORT-11373"/>
    <s v="C000419289"/>
    <s v="GATWICK AIRPORT NORTH TERMINAL GATE ROOM 45"/>
    <n v="1"/>
    <n v="1"/>
    <d v="2025-05-21T00:00:00"/>
    <x v="19"/>
  </r>
  <r>
    <s v="ORT-11374"/>
    <s v="C000419293"/>
    <s v="TRINITY BY BREAKTHROUGH FLR 1 OXFORD BUSINESS PARK"/>
    <n v="20"/>
    <n v="0"/>
    <d v="2025-05-21T00:00:00"/>
    <x v="19"/>
  </r>
  <r>
    <s v="ORT-11375"/>
    <s v="C000419294"/>
    <s v="CANNON STREET NO 111 &amp; ST SWITHINS LANE NO 17 REFURB LONDON"/>
    <n v="18"/>
    <n v="0"/>
    <d v="2025-05-21T00:00:00"/>
    <x v="19"/>
  </r>
  <r>
    <s v="ORT-11376"/>
    <s v="C000419296"/>
    <s v="SAMPLE ROOM READING"/>
    <n v="0"/>
    <n v="1"/>
    <d v="2025-05-21T00:00:00"/>
    <x v="19"/>
  </r>
  <r>
    <s v="ORT-11377"/>
    <s v="C000419298"/>
    <s v="NR EAST KILBRIDE &amp; HAIRMYRES STATIONS"/>
    <n v="0"/>
    <n v="1"/>
    <d v="2025-05-21T00:00:00"/>
    <x v="19"/>
  </r>
  <r>
    <s v="ORT-11378"/>
    <s v="C000419300"/>
    <s v="BRISTOL MYERS SQUIBB BUILDING 6 WIRRAL BIRKENHEAD"/>
    <n v="3"/>
    <n v="1"/>
    <d v="2025-05-21T00:00:00"/>
    <x v="19"/>
  </r>
  <r>
    <s v="ORT-11379"/>
    <s v="C000419303"/>
    <s v="LEADENHALL STREET NO 40 KIRKLAND &amp; ELLIS FLRS 15-34 LONDON"/>
    <n v="0"/>
    <n v="1"/>
    <d v="2025-05-21T00:00:00"/>
    <x v="19"/>
  </r>
  <r>
    <s v="ORT-11380"/>
    <s v="C000419306"/>
    <s v="MOORFIELDS NO 21 THE GLACIER CAT B DEUTSCHE BANK LONDON"/>
    <n v="0"/>
    <n v="1"/>
    <d v="2025-05-22T00:00:00"/>
    <x v="19"/>
  </r>
  <r>
    <s v="ORT-11381"/>
    <s v="C000419313"/>
    <s v="BUCKINGHAM GATE NO 25 RESI DEVELOPMENT LONDON"/>
    <n v="0"/>
    <n v="1"/>
    <d v="2025-05-22T00:00:00"/>
    <x v="19"/>
  </r>
  <r>
    <s v="ORT-11382"/>
    <s v="C000419315"/>
    <s v="QUESOME INTERNATIONAL LAGOS"/>
    <n v="0"/>
    <n v="1"/>
    <d v="2025-05-22T00:00:00"/>
    <x v="19"/>
  </r>
  <r>
    <s v="ORT-11383"/>
    <s v="C000419318"/>
    <s v="BASINGHALL AVENUE NO 1 STANDARD CHARTERED PH 2 LONDON"/>
    <n v="0"/>
    <n v="1"/>
    <d v="2025-05-22T00:00:00"/>
    <x v="19"/>
  </r>
  <r>
    <s v="ORT-11384"/>
    <s v="C000419323"/>
    <s v="KINGS ROAD NO 120 LIBERTY GLOBAL FABRIC LONDON"/>
    <n v="0"/>
    <n v="1"/>
    <d v="2025-05-22T00:00:00"/>
    <x v="19"/>
  </r>
  <r>
    <s v="ORT-11385"/>
    <s v="C000419325"/>
    <s v="CANARY WHARF CANADA SQUARE NO 25 CITIBANK REFURB LONDON"/>
    <n v="0"/>
    <n v="1"/>
    <d v="2025-05-22T00:00:00"/>
    <x v="19"/>
  </r>
  <r>
    <s v="ORT-11386"/>
    <s v="C000419327"/>
    <s v="KAO DATA CENTRE KLON06 SLOUGH TS03 DATA HALL TILES"/>
    <n v="0"/>
    <n v="1"/>
    <d v="2025-05-22T00:00:00"/>
    <x v="19"/>
  </r>
  <r>
    <s v="ORT-11387"/>
    <s v="C000419331"/>
    <s v="LONDON MISC 2025"/>
    <n v="0"/>
    <n v="1"/>
    <d v="2025-05-22T00:00:00"/>
    <x v="19"/>
  </r>
  <r>
    <s v="ORT-11388"/>
    <s v="C000419333"/>
    <s v="JACK WINGFIELD SOUTH EAST MISC 2024"/>
    <n v="0"/>
    <n v="1"/>
    <d v="2025-05-22T00:00:00"/>
    <x v="19"/>
  </r>
  <r>
    <s v="ORT-11389"/>
    <s v="C000419334"/>
    <s v="DEVONSHIRE HOUSE MAYFAIR PLACE NO 1 LEVEL 9 REFURB LONDON"/>
    <n v="11"/>
    <n v="0"/>
    <d v="2025-05-22T00:00:00"/>
    <x v="19"/>
  </r>
  <r>
    <s v="ORT-11390"/>
    <s v="C000419335"/>
    <s v="ADIDAS MANCHESTER"/>
    <n v="0"/>
    <n v="1"/>
    <d v="2025-05-22T00:00:00"/>
    <x v="19"/>
  </r>
  <r>
    <s v="ORT-11391"/>
    <s v="C000419342"/>
    <s v="CRITERION HOTEL PICCADILLY RECEPTION AREA LONDON"/>
    <n v="0"/>
    <n v="1"/>
    <d v="2025-05-23T00:00:00"/>
    <x v="19"/>
  </r>
  <r>
    <s v="ORT-11392"/>
    <s v="C000419346"/>
    <s v="MID CITY PLACE HIGH HOLBORN NO 71 MITSUBISHI LONDON"/>
    <n v="2"/>
    <n v="1"/>
    <d v="2025-05-23T00:00:00"/>
    <x v="19"/>
  </r>
  <r>
    <s v="ORT-11393"/>
    <s v="CF00000532"/>
    <s v="RUE TAITBOUT 89 PARIS"/>
    <n v="0"/>
    <n v="1"/>
    <d v="2025-05-23T00:00:00"/>
    <x v="19"/>
  </r>
  <r>
    <s v="ORT-11394"/>
    <s v="C000419349"/>
    <s v="ELDON COURT ELDON SQUARE NEWCASTLE"/>
    <n v="0"/>
    <n v="1"/>
    <d v="2025-05-23T00:00:00"/>
    <x v="19"/>
  </r>
  <r>
    <s v="ORT-11395"/>
    <s v="C000419350"/>
    <s v="SMARALIND MATHOLL SHOPPING MALL REYKJAVIK"/>
    <n v="13"/>
    <n v="0"/>
    <d v="2025-05-23T00:00:00"/>
    <x v="19"/>
  </r>
  <r>
    <s v="ORT-11396"/>
    <s v="C000419351"/>
    <s v="DEVONSHIRE HOUSE MAYFAIR PLACE NO 1 LEVEL 9 REFURB LONDON"/>
    <n v="21"/>
    <n v="0"/>
    <d v="2025-05-23T00:00:00"/>
    <x v="19"/>
  </r>
  <r>
    <s v="ORT-11397"/>
    <s v="C000419354"/>
    <s v="BROADGATE NO 1-2 CAT B A&amp;O SHEARMAN FLOORS 1-7"/>
    <n v="0"/>
    <n v="1"/>
    <d v="2025-05-23T00:00:00"/>
    <x v="19"/>
  </r>
  <r>
    <s v="ORT-11398"/>
    <s v="C000419355"/>
    <s v="BUNHILL ROW NO 1 SLAUGHTER &amp; MAY CAT A REFURB LONDON"/>
    <n v="0"/>
    <n v="1"/>
    <d v="2025-05-23T00:00:00"/>
    <x v="19"/>
  </r>
  <r>
    <s v="ORT-11399"/>
    <s v="C000419356"/>
    <s v="SHAFTESBURY AVENUE NO 130 CAT B FLOORS 3-4 TALON LONDON"/>
    <n v="0"/>
    <n v="1"/>
    <d v="2025-05-23T00:00:00"/>
    <x v="19"/>
  </r>
  <r>
    <s v="ORT-11400"/>
    <s v="C000419359"/>
    <s v="CATALENT PHARMA REFURB SWINDON"/>
    <n v="0"/>
    <n v="1"/>
    <d v="2025-05-23T00:00:00"/>
    <x v="19"/>
  </r>
  <r>
    <s v="ORT-11401"/>
    <s v="C000419360"/>
    <s v="IRC CAMPSFIELD HOUSE KIDLINGTON OXFORDSHIRE"/>
    <n v="0"/>
    <n v="1"/>
    <d v="2025-05-23T00:00:00"/>
    <x v="19"/>
  </r>
  <r>
    <s v="ORT-11402"/>
    <s v="C000419362"/>
    <s v="BURLEY STREET 16-22 STUDENT ACCOMMODATION LEEDS"/>
    <n v="0"/>
    <n v="1"/>
    <d v="2025-05-23T00:00:00"/>
    <x v="19"/>
  </r>
  <r>
    <s v="ORT-11403"/>
    <s v="C000419363"/>
    <s v="SOUTHFIELD VETERINARY HOSPITAL BASILDON"/>
    <n v="0"/>
    <n v="1"/>
    <d v="2025-05-23T00:00:00"/>
    <x v="19"/>
  </r>
  <r>
    <s v="ORT-11404"/>
    <s v="C000419374"/>
    <s v="ROPEMAKER STREET NO 20-22 LINKLATERS JOINERY FEATURE LONDON"/>
    <n v="1"/>
    <n v="1"/>
    <d v="2025-05-27T00:00:00"/>
    <x v="20"/>
  </r>
  <r>
    <s v="ORT-11405"/>
    <s v="C000419378"/>
    <s v="VICTORIA STREET NO 111 FLR 4 REFURB BRISTOL"/>
    <n v="0"/>
    <n v="1"/>
    <d v="2025-05-27T00:00:00"/>
    <x v="20"/>
  </r>
  <r>
    <s v="ORT-11406"/>
    <s v="C000419381"/>
    <s v="SALESIAN SISTERS CONVENT OXFORD"/>
    <n v="0"/>
    <n v="1"/>
    <d v="2025-05-27T00:00:00"/>
    <x v="20"/>
  </r>
  <r>
    <s v="ORT-11407"/>
    <s v="CF00000534"/>
    <s v="RUE JULES LEFEBVRE"/>
    <n v="16"/>
    <n v="0"/>
    <d v="2025-05-27T00:00:00"/>
    <x v="20"/>
  </r>
  <r>
    <s v="ORT-11408"/>
    <s v="C000419386"/>
    <s v="TRITON SQUARE NO 1 OFFICE / LABS CAT A LONDON"/>
    <n v="0"/>
    <n v="1"/>
    <d v="2025-05-27T00:00:00"/>
    <x v="20"/>
  </r>
  <r>
    <s v="ORT-11409"/>
    <m/>
    <s v="SKY STUDIOS GRANT WAY ISLEWORTH PHASE 2 LONDON"/>
    <n v="0"/>
    <n v="1"/>
    <d v="2025-05-27T00:00:00"/>
    <x v="20"/>
  </r>
  <r>
    <s v="ORT-11410"/>
    <s v="C000419392"/>
    <s v="ST GEORGE STREET NO 14 CAT A FLOOR 2 LONDON"/>
    <n v="14"/>
    <n v="0"/>
    <d v="2025-05-27T00:00:00"/>
    <x v="20"/>
  </r>
  <r>
    <s v="ORT-11411"/>
    <s v="C000419394"/>
    <s v="MERCHANT SQUARE NO 5 CAT A REFURB PADDINGTON LONDON"/>
    <n v="4"/>
    <n v="1"/>
    <d v="2025-05-27T00:00:00"/>
    <x v="20"/>
  </r>
  <r>
    <s v="ORT-11412"/>
    <s v="C000419397"/>
    <s v="NDA - JP MORGAN AL FAISALIYAH TOWER RIYADH KSA"/>
    <n v="0"/>
    <n v="1"/>
    <d v="2025-05-27T00:00:00"/>
    <x v="20"/>
  </r>
  <r>
    <s v="ORT-11413"/>
    <s v="C000419401"/>
    <s v="OLD BAILEY NO 10 CAT A REFURB FLOOR 5 LONDON"/>
    <n v="0"/>
    <n v="1"/>
    <d v="2025-05-27T00:00:00"/>
    <x v="20"/>
  </r>
  <r>
    <s v="ORT-11414"/>
    <s v="CF00000518"/>
    <s v="ALPHA BANK ATHENS"/>
    <n v="18"/>
    <n v="0"/>
    <d v="2025-05-27T00:00:00"/>
    <x v="20"/>
  </r>
  <r>
    <s v="ORT-11415"/>
    <s v="C000419403"/>
    <s v="KNIGHTSBRIDGE NO 25 NBD REFURB LONDON"/>
    <n v="11"/>
    <n v="0"/>
    <d v="2025-05-27T00:00:00"/>
    <x v="20"/>
  </r>
  <r>
    <s v="ORT-11416"/>
    <s v="C000419404"/>
    <s v="SKY STUDIOS GRANT WAY ISLEWORTH PHASE 2 LONDON"/>
    <n v="0"/>
    <n v="1"/>
    <d v="2025-05-27T00:00:00"/>
    <x v="20"/>
  </r>
  <r>
    <s v="ORT-11418"/>
    <s v="C000419405"/>
    <s v="BISHOPSGATE NO 201 BROADGATE TOWER FLRS 12-13,17,19 &amp; 29-33"/>
    <n v="0"/>
    <n v="1"/>
    <d v="2025-05-28T00:00:00"/>
    <x v="20"/>
  </r>
  <r>
    <s v="ORT-11419"/>
    <s v="C000419410"/>
    <s v="DANSOM LANE SOUTH RECKITTS REFURB HULL"/>
    <n v="0"/>
    <n v="1"/>
    <d v="2025-05-28T00:00:00"/>
    <x v="20"/>
  </r>
  <r>
    <s v="ORT-11420"/>
    <s v="C000419413"/>
    <s v="MANCHESTER AIRPORT T2 EAST WING NEW DEVELOPMENT"/>
    <n v="1"/>
    <n v="1"/>
    <d v="2025-05-28T00:00:00"/>
    <x v="20"/>
  </r>
  <r>
    <s v="ORT-11421"/>
    <s v="C000419415"/>
    <s v="LEICESTER CITY FC TRAINING GROUND"/>
    <n v="6"/>
    <n v="0"/>
    <d v="2025-05-28T00:00:00"/>
    <x v="20"/>
  </r>
  <r>
    <s v="ORT-11422"/>
    <s v="C000419419"/>
    <s v="CAVENDISH SQUARE NO 9 CAT A REFURB LONDON"/>
    <n v="0"/>
    <n v="1"/>
    <d v="2025-05-28T00:00:00"/>
    <x v="20"/>
  </r>
  <r>
    <s v="ORT-11423"/>
    <s v="C000419420"/>
    <s v="CANARY WHARF BANK STREET NO 12 LONDON"/>
    <n v="0"/>
    <n v="1"/>
    <d v="2025-05-28T00:00:00"/>
    <x v="20"/>
  </r>
  <r>
    <s v="ORT-11424"/>
    <s v="C000419423"/>
    <s v="EVERTON FC TUNNEL CLUB &amp; TRINITY LOUNGE LIVERPOOL"/>
    <n v="0"/>
    <n v="1"/>
    <d v="2025-05-28T00:00:00"/>
    <x v="20"/>
  </r>
  <r>
    <s v="ORT-11425"/>
    <s v="C000419424"/>
    <s v="THE LUMEN HELIX  DVSA ADMIN RELOCATION NEWCASTLE"/>
    <n v="0"/>
    <n v="1"/>
    <d v="2025-05-28T00:00:00"/>
    <x v="20"/>
  </r>
  <r>
    <s v="ORT-11426"/>
    <s v="C000419425"/>
    <s v="SCOTLAND &amp; NORTH EAST MISC 2025"/>
    <n v="0"/>
    <n v="1"/>
    <d v="2025-05-28T00:00:00"/>
    <x v="20"/>
  </r>
  <r>
    <s v="ORT-11427"/>
    <s v="C000419438"/>
    <s v="ICELAND MISC 2025"/>
    <n v="0"/>
    <n v="1"/>
    <d v="2025-05-29T00:00:00"/>
    <x v="20"/>
  </r>
  <r>
    <s v="ORT-11428"/>
    <s v="C000419446"/>
    <s v="CLARENDON ROAD NO 73 TJX EUROPE ADDITIONAL WORKS WATFORD"/>
    <n v="54"/>
    <n v="0"/>
    <d v="2025-05-29T00:00:00"/>
    <x v="20"/>
  </r>
  <r>
    <s v="ORT-11429"/>
    <s v="C000419447"/>
    <s v="MXL REFURB HERTFORD"/>
    <n v="0"/>
    <n v="1"/>
    <d v="2025-05-29T00:00:00"/>
    <x v="20"/>
  </r>
  <r>
    <s v="ORT-11430"/>
    <s v="C000419448"/>
    <s v="CHAMARTIN PHASE 2 MADRID"/>
    <n v="0"/>
    <n v="1"/>
    <d v="2025-05-29T00:00:00"/>
    <x v="20"/>
  </r>
  <r>
    <s v="ORT-11431"/>
    <s v="C000419449"/>
    <s v="BROADWAY NO 40 &amp; CARTERET STREET REDEVELOPMENT LONDON"/>
    <n v="0"/>
    <n v="1"/>
    <d v="2025-05-29T00:00:00"/>
    <x v="20"/>
  </r>
  <r>
    <s v="ORT-11433"/>
    <s v="C000419454"/>
    <s v="WORCESTERSHIRE ACUTE HOSPITAL DILAPS"/>
    <n v="18"/>
    <n v="0"/>
    <d v="2025-05-29T00:00:00"/>
    <x v="20"/>
  </r>
  <r>
    <s v="ORT-11434"/>
    <s v="C000419455"/>
    <s v="BRINDLEY PLACE NO 10 FLR 6 BIRMINGHAM"/>
    <n v="10"/>
    <n v="0"/>
    <d v="2025-05-29T00:00:00"/>
    <x v="20"/>
  </r>
  <r>
    <s v="ORT-11435"/>
    <m/>
    <s v="NDA - JP MORGAN AL FAISALIYAH TOWER RIYADH KSA"/>
    <n v="0"/>
    <n v="1"/>
    <d v="2025-05-29T00:00:00"/>
    <x v="20"/>
  </r>
  <r>
    <s v="ORT-11436"/>
    <s v="C000419456"/>
    <s v="HARWELL SCIENCE PARK QUAD 3 OFFICES DIDCOT"/>
    <n v="0"/>
    <n v="1"/>
    <d v="2025-05-29T00:00:00"/>
    <x v="20"/>
  </r>
  <r>
    <s v="ORT-11437"/>
    <s v="C000419458"/>
    <s v="GRESHAM STREET NO 20 CAT A REFURB LONDON"/>
    <n v="17"/>
    <n v="0"/>
    <d v="2025-05-29T00:00:00"/>
    <x v="20"/>
  </r>
  <r>
    <s v="ORT-11438"/>
    <s v="C000419459"/>
    <s v="GRESHAM STREET NO 20 CAT A REFURB LONDON"/>
    <n v="42"/>
    <n v="0"/>
    <d v="2025-05-29T00:00:00"/>
    <x v="20"/>
  </r>
  <r>
    <s v="ORT-11439"/>
    <s v="C000419460"/>
    <s v="CORCEGA 331 SURE BARCELONA"/>
    <n v="0"/>
    <n v="1"/>
    <d v="2025-05-29T00:00:00"/>
    <x v="20"/>
  </r>
  <r>
    <s v="ORT-11440"/>
    <m/>
    <s v="HOLDING SAINT MICHEL PARIS"/>
    <n v="92"/>
    <n v="0"/>
    <d v="2025-05-29T00:00:00"/>
    <x v="20"/>
  </r>
  <r>
    <s v="ORT-11443"/>
    <s v="C000419469"/>
    <s v="PALACE GARDENS SHOPPING CENTRE ENFIELD"/>
    <n v="8"/>
    <n v="0"/>
    <d v="2025-05-30T00:00:00"/>
    <x v="20"/>
  </r>
  <r>
    <s v="ORT-11444"/>
    <s v="C000419471"/>
    <s v="ST HELENS PLACE NO 5 - 7 CAT B ROYAL BANK OF CANADA LONDON"/>
    <n v="0"/>
    <n v="1"/>
    <d v="2025-05-30T00:00:00"/>
    <x v="20"/>
  </r>
  <r>
    <s v="ORT-11445"/>
    <s v="C000419472"/>
    <s v="SAINSBURYS MISC 2025"/>
    <n v="0"/>
    <n v="1"/>
    <d v="2025-05-30T00:00:00"/>
    <x v="20"/>
  </r>
  <r>
    <s v="ORT-11446"/>
    <s v="C000419473"/>
    <s v="BASINGHALL AVENUE NO 1 STANDARD CHARTERED PH 2 LONDON"/>
    <n v="0"/>
    <n v="1"/>
    <d v="2025-05-30T00:00:00"/>
    <x v="20"/>
  </r>
  <r>
    <s v="ORT-11447"/>
    <s v="C000419475"/>
    <s v="MOORFIELDS EYE HOSPITAL UCL INSTITUTE OF OPHTHALMOLOGY ORIEL"/>
    <n v="0"/>
    <n v="1"/>
    <d v="2025-05-30T00:00:00"/>
    <x v="20"/>
  </r>
  <r>
    <s v="ORT-11448"/>
    <s v="C000419476"/>
    <s v="ALDERMARY HOUSE 3RD FLOOR LONDON"/>
    <n v="0"/>
    <n v="1"/>
    <d v="2025-05-30T00:00:00"/>
    <x v="20"/>
  </r>
  <r>
    <s v="ORT-11449"/>
    <s v="C000419477"/>
    <s v="MORRISONS MISC 2025"/>
    <n v="0"/>
    <n v="1"/>
    <d v="2025-05-30T00:00:00"/>
    <x v="20"/>
  </r>
  <r>
    <s v="ORT-11450"/>
    <s v="C000419479"/>
    <s v="WORKPLACE INTERIORS MISC 2025"/>
    <n v="0"/>
    <n v="1"/>
    <d v="2025-05-30T00:00:00"/>
    <x v="20"/>
  </r>
  <r>
    <s v="ORT-11451"/>
    <s v="C000419483"/>
    <s v="PALMA AIRPORT EXTENSION LIGHTING"/>
    <n v="17"/>
    <n v="0"/>
    <d v="2025-05-30T00:00:00"/>
    <x v="20"/>
  </r>
  <r>
    <s v="ORT-11452"/>
    <s v="C000419485"/>
    <s v="DEWA HQ AL SHERAA BUILDING (B+G+4P+15) AL JADDAF"/>
    <n v="32"/>
    <n v="0"/>
    <d v="2025-05-30T00:00:00"/>
    <x v="20"/>
  </r>
  <r>
    <s v="ORT-11453"/>
    <s v="C000419486"/>
    <s v="UNI OF OXFORD HENRY WELCOME BUILDING DILAPS"/>
    <n v="5"/>
    <n v="1"/>
    <d v="2025-05-30T00:00:00"/>
    <x v="20"/>
  </r>
  <r>
    <s v="ORT-11454"/>
    <s v="C000419487"/>
    <s v="APPLE CAMPUS HERZLIYA DATA CENTRE"/>
    <n v="8"/>
    <n v="0"/>
    <d v="2025-05-30T00:00:00"/>
    <x v="20"/>
  </r>
  <r>
    <s v="ORT-11456"/>
    <s v="C000419496"/>
    <s v="DRAPERS GARDENS NO 12 BLACKROCK FLR 3 REFURB LONDON"/>
    <n v="1"/>
    <n v="1"/>
    <d v="2025-06-02T00:00:00"/>
    <x v="21"/>
  </r>
  <r>
    <s v="ORT-11457"/>
    <s v="C000419500"/>
    <s v="QUEEN VICTORIA STREET NO 160 FLR 2 LONDON"/>
    <n v="0"/>
    <n v="1"/>
    <d v="2025-06-02T00:00:00"/>
    <x v="21"/>
  </r>
  <r>
    <s v="ORT-11458"/>
    <s v="C000419509"/>
    <s v="LEADENHALL STREET NO 40 KIRKLAND &amp; ELLIS FLRS 15-34 LONDON"/>
    <n v="0"/>
    <n v="1"/>
    <d v="2025-06-02T00:00:00"/>
    <x v="21"/>
  </r>
  <r>
    <s v="ORT-11461"/>
    <s v="C000419518"/>
    <s v="AUSTIN FRIARS NO 4 REFURB LONDON"/>
    <n v="0"/>
    <n v="1"/>
    <d v="2025-06-03T00:00:00"/>
    <x v="21"/>
  </r>
  <r>
    <s v="ORT-11462"/>
    <s v="C000419526"/>
    <s v="TOTTENHAM HOTSPUR TRAINING ACADEMY LEVEL 1 OFFICES ENFIELD"/>
    <n v="0"/>
    <n v="1"/>
    <d v="2025-06-03T00:00:00"/>
    <x v="21"/>
  </r>
  <r>
    <s v="ORT-11463"/>
    <s v="C000419532"/>
    <s v="CANARY WHARF CANADA SQUARE NO 25 CITIBANK REFURB LONDON"/>
    <n v="0"/>
    <n v="1"/>
    <d v="2025-06-03T00:00:00"/>
    <x v="21"/>
  </r>
  <r>
    <s v="ORT-11464"/>
    <s v="C000419547"/>
    <s v="OXFORD STREET NO 334-348 S&amp;C / LOBBIES LONDON"/>
    <n v="37"/>
    <n v="0"/>
    <d v="2025-06-04T00:00:00"/>
    <x v="21"/>
  </r>
  <r>
    <s v="ORT-11465"/>
    <s v="C000419556"/>
    <s v="EDF SIZEWELL POWER STATION B SIMULATOR ROOM SUFFOLK"/>
    <n v="0"/>
    <n v="1"/>
    <d v="2025-06-04T00:00:00"/>
    <x v="21"/>
  </r>
  <r>
    <s v="ORT-11466"/>
    <s v="C000419558"/>
    <s v="ONE EASTSIDE TOWER A SKYLOUNGE BIRMINGHAM"/>
    <n v="3"/>
    <n v="1"/>
    <d v="2025-06-04T00:00:00"/>
    <x v="21"/>
  </r>
  <r>
    <s v="ORT-11467"/>
    <s v="C000419560"/>
    <s v="BRENT CROSS TOWN PLOT 25 FUSION STUDENT ACCOMMODATION LONDON"/>
    <n v="0"/>
    <n v="1"/>
    <d v="2025-06-04T00:00:00"/>
    <x v="21"/>
  </r>
  <r>
    <s v="ORT-11468"/>
    <s v="C000419562"/>
    <s v="LIVERPOOL STREET NO 1 FOH RECEPTION &amp; EVENT SPACE LONDON"/>
    <n v="0"/>
    <n v="1"/>
    <d v="2025-06-04T00:00:00"/>
    <x v="21"/>
  </r>
  <r>
    <s v="ORT-11469"/>
    <s v="C000419564"/>
    <s v="BEVIS MARKS NO 6 FLOOR 4 REFURB LONDON"/>
    <n v="1"/>
    <n v="1"/>
    <d v="2025-06-04T00:00:00"/>
    <x v="21"/>
  </r>
  <r>
    <s v="ORT-11470"/>
    <s v="C000419566"/>
    <s v="HUNDRED OF HOO ACADEMY MAIN ROAD ROCHESTER"/>
    <n v="6"/>
    <n v="0"/>
    <d v="2025-06-04T00:00:00"/>
    <x v="21"/>
  </r>
  <r>
    <s v="ORT-11471"/>
    <s v="C000419567"/>
    <s v="MERCHANT SQUARE NO 5 CAT A REFURB LIGHTING LONDON"/>
    <n v="0"/>
    <n v="1"/>
    <d v="2025-06-04T00:00:00"/>
    <x v="21"/>
  </r>
  <r>
    <s v="ORT-11472"/>
    <s v="C000419569"/>
    <s v="LEADENHALL STREET NO 1 CAT B LATHAM &amp; WATKINS FLRS 1-20"/>
    <n v="8"/>
    <n v="0"/>
    <d v="2025-06-04T00:00:00"/>
    <x v="21"/>
  </r>
  <r>
    <s v="ORT-11474"/>
    <s v="C000419571"/>
    <s v="OLD BROAD STREET NO 125 LVL 22 &amp; 23 CAT A LONDON"/>
    <n v="0"/>
    <n v="1"/>
    <d v="2025-06-04T00:00:00"/>
    <x v="21"/>
  </r>
  <r>
    <s v="ORT-11476"/>
    <s v="C000419581"/>
    <s v="WQ BUILDING AUCKLAND CBD"/>
    <n v="10"/>
    <n v="0"/>
    <d v="2025-06-05T00:00:00"/>
    <x v="21"/>
  </r>
  <r>
    <s v="ORT-11477"/>
    <s v="C000419584"/>
    <s v="STATION ROAD NO 21 RECEPTION AREA CAMBRIDGE"/>
    <n v="12"/>
    <n v="0"/>
    <d v="2025-06-05T00:00:00"/>
    <x v="21"/>
  </r>
  <r>
    <s v="ORT-11478"/>
    <m/>
    <s v="ALPHA BANK VE ALTERNATIVES FABRIC ATHENS"/>
    <n v="85"/>
    <n v="0"/>
    <d v="2025-06-05T00:00:00"/>
    <x v="21"/>
  </r>
  <r>
    <s v="ORT-11479"/>
    <s v="C000419594"/>
    <s v="EURSHELL MISC TILE &amp; GRID 2025"/>
    <n v="0"/>
    <n v="1"/>
    <d v="2025-06-05T00:00:00"/>
    <x v="21"/>
  </r>
  <r>
    <s v="ORT-11480"/>
    <s v="C000419595"/>
    <s v="SALFORD CENTRAL TRAIN STATION"/>
    <n v="0"/>
    <n v="1"/>
    <d v="2025-06-05T00:00:00"/>
    <x v="21"/>
  </r>
  <r>
    <s v="ORT-11481"/>
    <s v="C000419598"/>
    <s v="PROJECT ROBOTISM PHASE ONE CORE 4 LONDON"/>
    <n v="0"/>
    <n v="1"/>
    <d v="2025-06-05T00:00:00"/>
    <x v="21"/>
  </r>
  <r>
    <s v="ORT-11482"/>
    <s v="C000419601"/>
    <s v="BASINGHALL AVENUE NO 1 STANDARD CHARTERED PH 2 LIGHTING"/>
    <n v="1"/>
    <n v="1"/>
    <d v="2025-06-05T00:00:00"/>
    <x v="21"/>
  </r>
  <r>
    <s v="ORT-11483"/>
    <s v="C000419603"/>
    <s v="LONDON MISC 2025"/>
    <n v="0"/>
    <n v="1"/>
    <d v="2025-06-05T00:00:00"/>
    <x v="21"/>
  </r>
  <r>
    <s v="ORT-11484"/>
    <s v="C000419605"/>
    <s v="LEADENHALL STREET NO 40 KIRKLAND &amp; ELLIS FLRS 15-34 LONDON"/>
    <n v="0"/>
    <n v="1"/>
    <d v="2025-06-05T00:00:00"/>
    <x v="21"/>
  </r>
  <r>
    <s v="ORT-11487"/>
    <s v="C000419607"/>
    <s v="OXFORD STREET NO 334-348 S&amp;C / LOBBIES LONDON"/>
    <n v="3"/>
    <n v="1"/>
    <d v="2025-06-05T00:00:00"/>
    <x v="21"/>
  </r>
  <r>
    <s v="ORT-11488"/>
    <s v="C000419610"/>
    <s v="CHAMARTIN PHASE 2 MADRID"/>
    <n v="17"/>
    <n v="0"/>
    <d v="2025-06-05T00:00:00"/>
    <x v="21"/>
  </r>
  <r>
    <s v="ORT-11489"/>
    <s v="C000419612"/>
    <s v="THE STAGE SHOREDITCH BARD &amp; HEWETT AMAZON FIT OUT LONDON"/>
    <n v="7"/>
    <n v="0"/>
    <d v="2025-06-05T00:00:00"/>
    <x v="21"/>
  </r>
  <r>
    <s v="ORT-11494"/>
    <s v="C000419620"/>
    <s v="PARK HOUSE FINSBURY CIRCUS NO 16/18 PH 2 FLR 7 CISCO LONDON"/>
    <n v="0"/>
    <n v="1"/>
    <d v="2025-06-06T00:00:00"/>
    <x v="21"/>
  </r>
  <r>
    <s v="ORT-11495"/>
    <s v="C000419627"/>
    <s v="COLEMAN STREET NO 4 REFURB LONDON"/>
    <n v="9"/>
    <n v="0"/>
    <d v="2025-06-06T00:00:00"/>
    <x v="21"/>
  </r>
  <r>
    <s v="ORT-11496"/>
    <s v="C000419636"/>
    <s v="VICTORIA STREET NO 80 FLR 7 REFURB LONDON"/>
    <n v="0"/>
    <n v="1"/>
    <d v="2025-06-09T00:00:00"/>
    <x v="22"/>
  </r>
  <r>
    <s v="ORT-11497"/>
    <s v="C000419637"/>
    <s v="STOCKLEY PARK ROUNDWOOD AVENUE NO 6 PROJECT JUMPER LONDON"/>
    <n v="13"/>
    <n v="0"/>
    <d v="2025-06-09T00:00:00"/>
    <x v="22"/>
  </r>
  <r>
    <s v="ORT-11498"/>
    <s v="C000419641"/>
    <s v="STRAND NO 40 REFURB BAIN &amp; CO LONDON"/>
    <n v="4"/>
    <n v="1"/>
    <d v="2025-06-09T00:00:00"/>
    <x v="22"/>
  </r>
  <r>
    <s v="ORT-11499"/>
    <s v="C000419643"/>
    <s v="TORRE CEPSA 23/F AMAZON"/>
    <n v="15"/>
    <n v="0"/>
    <d v="2025-06-09T00:00:00"/>
    <x v="22"/>
  </r>
  <r>
    <s v="ORT-11500"/>
    <s v="C000419644"/>
    <s v="MILLBANK NO 7 WESTMINSTER HOUSE THE SMITH LONDON"/>
    <n v="13"/>
    <n v="0"/>
    <d v="2025-06-09T00:00:00"/>
    <x v="22"/>
  </r>
  <r>
    <s v="ORT-11501"/>
    <s v="C000419646"/>
    <s v="CENTRAL BANK OF IRAQ HEADQUARTERS BAGHDAD"/>
    <n v="90"/>
    <n v="0"/>
    <d v="2025-06-09T00:00:00"/>
    <x v="22"/>
  </r>
  <r>
    <s v="ORT-11502"/>
    <s v="CF00000536"/>
    <s v="ALPHA BANK ATHENS"/>
    <n v="5"/>
    <n v="1"/>
    <d v="2025-06-09T00:00:00"/>
    <x v="22"/>
  </r>
  <r>
    <s v="ORT-11504"/>
    <s v="C000419669"/>
    <s v="WHITEHALL RIVERSIDE RESIDENTIAL TOWERS LEEDS"/>
    <n v="0"/>
    <n v="1"/>
    <d v="2025-06-09T00:00:00"/>
    <x v="22"/>
  </r>
  <r>
    <s v="ORT-11505"/>
    <s v="C000419671"/>
    <s v="MANCHESTER AIRPORT T2 EAST WING NEW DEVELOPMENT"/>
    <n v="0"/>
    <n v="1"/>
    <d v="2025-06-09T00:00:00"/>
    <x v="22"/>
  </r>
  <r>
    <s v="ORT-11506"/>
    <s v="C000419673"/>
    <s v="MANCHESTER AIRPORT PIER 2 PHASE 2 CELINGS"/>
    <n v="0"/>
    <n v="1"/>
    <d v="2025-06-09T00:00:00"/>
    <x v="22"/>
  </r>
  <r>
    <s v="ORT-11508"/>
    <s v="C000419680"/>
    <s v="CAMBRIDGE BIOMEDICAL CAMPUS HISTOPATHOLOGY"/>
    <n v="0"/>
    <n v="1"/>
    <d v="2025-06-10T00:00:00"/>
    <x v="22"/>
  </r>
  <r>
    <s v="ORT-11509"/>
    <s v="C000419682"/>
    <s v="SAMPLE ROOM READING"/>
    <n v="0"/>
    <n v="1"/>
    <d v="2025-06-10T00:00:00"/>
    <x v="22"/>
  </r>
  <r>
    <s v="ORT-11510"/>
    <s v="C000419685"/>
    <s v="OLD BROAD STREET NO 125 LVL 22 &amp; 23 CAT A LONDON"/>
    <n v="0"/>
    <n v="1"/>
    <d v="2025-06-10T00:00:00"/>
    <x v="22"/>
  </r>
  <r>
    <s v="ORT-11511"/>
    <s v="C000419686"/>
    <s v="SAMPLE ROOM READING"/>
    <n v="0"/>
    <n v="1"/>
    <d v="2025-06-10T00:00:00"/>
    <x v="22"/>
  </r>
  <r>
    <s v="ORT-11512"/>
    <s v="C000419691"/>
    <s v="PULSANT DATA CENTRE SE-1 MILTON KEYNES"/>
    <n v="3"/>
    <n v="1"/>
    <d v="2025-06-10T00:00:00"/>
    <x v="22"/>
  </r>
  <r>
    <s v="ORT-11513"/>
    <s v="C000419693"/>
    <s v="THREE SNOWHILL NATIONAL HIGHWAYS OFFICE BIRMINGHAM"/>
    <n v="0"/>
    <n v="1"/>
    <d v="2025-06-10T00:00:00"/>
    <x v="22"/>
  </r>
  <r>
    <s v="ORT-11514"/>
    <s v="C000419695"/>
    <s v="MANCHESTER SCIENCE PARK GREENHEYS PROJECT"/>
    <n v="9"/>
    <n v="0"/>
    <d v="2025-06-10T00:00:00"/>
    <x v="22"/>
  </r>
  <r>
    <s v="ORT-11515"/>
    <s v="C000419696"/>
    <s v="QUEEN VICTORIA STREET NO 160 FLR 2 LONDON"/>
    <n v="13"/>
    <n v="0"/>
    <d v="2025-06-10T00:00:00"/>
    <x v="22"/>
  </r>
  <r>
    <s v="ORT-11516"/>
    <s v="C000419699"/>
    <s v="GREGGS MISC 2024"/>
    <n v="0"/>
    <n v="1"/>
    <d v="2025-06-10T00:00:00"/>
    <x v="22"/>
  </r>
  <r>
    <s v="ORT-11518"/>
    <s v="C000419703"/>
    <s v="WILTON ROAD NO 129 CAT A FLOORS 1-5 LONDON"/>
    <n v="0"/>
    <n v="1"/>
    <d v="2025-06-10T00:00:00"/>
    <x v="22"/>
  </r>
  <r>
    <s v="ORT-11519"/>
    <s v="C000419707"/>
    <s v="MOORFIELDS EYE HOSPITAL UCL INSTITUTE OF OPHTHALMOLOGY ORIEL"/>
    <n v="0"/>
    <n v="1"/>
    <d v="2025-06-10T00:00:00"/>
    <x v="22"/>
  </r>
  <r>
    <s v="ORT-11520"/>
    <s v="C000419708"/>
    <s v="LLOYDS GROUP HQ REFURB TRINITY ROAD HALIFAX"/>
    <n v="8"/>
    <n v="0"/>
    <d v="2025-06-10T00:00:00"/>
    <x v="22"/>
  </r>
  <r>
    <s v="ORT-11521"/>
    <s v="C000419712"/>
    <s v="CHERRY TREE FARM AMERSHAM"/>
    <n v="2"/>
    <n v="1"/>
    <d v="2025-06-11T00:00:00"/>
    <x v="22"/>
  </r>
  <r>
    <s v="ORT-11522"/>
    <s v="C000419721"/>
    <s v="LEADENHALL STREET NO 40 KIRKLAND &amp; ELLIS FLRS 15-34 LONDON"/>
    <n v="0"/>
    <n v="1"/>
    <d v="2025-06-11T00:00:00"/>
    <x v="22"/>
  </r>
  <r>
    <s v="ORT-11523"/>
    <s v="C000419723"/>
    <s v="OLD BREWERS YARD GUINNESS MICRO BREWERY LONDON"/>
    <n v="0"/>
    <n v="1"/>
    <d v="2025-06-11T00:00:00"/>
    <x v="22"/>
  </r>
  <r>
    <s v="ORT-11524"/>
    <s v="C000419724"/>
    <s v="FCDO KING CHARLES STREET REFURB LONDON"/>
    <n v="4"/>
    <n v="1"/>
    <d v="2025-06-11T00:00:00"/>
    <x v="22"/>
  </r>
  <r>
    <s v="ORT-11525"/>
    <s v="C000419725"/>
    <s v="LAVINGTON STREET NO 25 TIMBER SQUARE DEVELOPMENT WCS LONDON"/>
    <n v="0"/>
    <n v="1"/>
    <d v="2025-06-11T00:00:00"/>
    <x v="22"/>
  </r>
  <r>
    <s v="ORT-11526"/>
    <s v="C000419731"/>
    <s v="ALDERMANBURY SQUARE NO 2 BASINGHALL ST RECEPTION CEILINGS"/>
    <n v="16"/>
    <n v="0"/>
    <d v="2025-06-11T00:00:00"/>
    <x v="22"/>
  </r>
  <r>
    <s v="ORT-11527"/>
    <s v="C000419734"/>
    <s v="PILGRIM STREET PHASE 2 NEWCASTLE FURTHER DEVELOPMENT"/>
    <n v="0"/>
    <n v="1"/>
    <d v="2025-06-11T00:00:00"/>
    <x v="22"/>
  </r>
  <r>
    <s v="ORT-11528"/>
    <s v="C000419733"/>
    <s v="HARWELL SCIENCE PARK QUAD 3 OFFICES DIDCOT"/>
    <n v="2"/>
    <n v="1"/>
    <d v="2025-06-11T00:00:00"/>
    <x v="22"/>
  </r>
  <r>
    <s v="ORT-11529"/>
    <s v="C000419735"/>
    <s v="HARWELL CAMPUS PROJECT DEXTER PHASE 2 DIDCOT"/>
    <n v="0"/>
    <n v="1"/>
    <d v="2025-06-11T00:00:00"/>
    <x v="22"/>
  </r>
  <r>
    <s v="ORT-11530"/>
    <s v="C000419739"/>
    <s v="ARGOED HIGH SCHOOL REDEVELOPMENT MYNYDD ISA"/>
    <n v="0"/>
    <n v="1"/>
    <d v="2025-06-11T00:00:00"/>
    <x v="22"/>
  </r>
  <r>
    <s v="ORT-11532"/>
    <s v="C000419740"/>
    <s v="OCASO FUENCARRAL 107  MADRID"/>
    <n v="5"/>
    <n v="1"/>
    <d v="2025-06-11T00:00:00"/>
    <x v="22"/>
  </r>
  <r>
    <s v="ORT-11533"/>
    <s v="C000419755"/>
    <s v="AUGUSTINE HOUSE AUSTIN FRIARS NO 6 A FLR 3 &amp; 4 FITOUT LONDON"/>
    <n v="3"/>
    <n v="1"/>
    <d v="2025-06-12T00:00:00"/>
    <x v="22"/>
  </r>
  <r>
    <s v="ORT-11534"/>
    <s v="C000419757"/>
    <s v="BUNHILL ROW NO 1 SLAUGHTER &amp; MAY CAT A REFURB LONDON"/>
    <n v="24"/>
    <n v="0"/>
    <d v="2025-06-12T00:00:00"/>
    <x v="22"/>
  </r>
  <r>
    <s v="ORT-11535"/>
    <s v="C000419758"/>
    <s v="CHARLOTTE STREET NO 80 AURUM FIT OUT FLOOR 2 LONDON"/>
    <n v="3"/>
    <n v="1"/>
    <d v="2025-06-12T00:00:00"/>
    <x v="22"/>
  </r>
  <r>
    <s v="ORT-11536"/>
    <s v="C000419759"/>
    <s v="LONDON MISC 2025"/>
    <n v="3"/>
    <n v="1"/>
    <d v="2025-06-12T00:00:00"/>
    <x v="22"/>
  </r>
  <r>
    <s v="ORT-11537"/>
    <s v="CF00000537"/>
    <s v="HOLDING SAINT MICHEL PARIS"/>
    <n v="17"/>
    <n v="0"/>
    <d v="2025-06-12T00:00:00"/>
    <x v="22"/>
  </r>
  <r>
    <s v="ORT-11538"/>
    <s v="C000419766"/>
    <s v="BT BUILDING LEVEL 2 GLASGOW"/>
    <n v="0"/>
    <n v="1"/>
    <d v="2025-06-12T00:00:00"/>
    <x v="22"/>
  </r>
  <r>
    <s v="ORT-11539"/>
    <s v="C000419768"/>
    <s v="GRESHAM STREET NO 10 REMEDIAL LONDON"/>
    <n v="0"/>
    <n v="1"/>
    <d v="2025-06-12T00:00:00"/>
    <x v="22"/>
  </r>
  <r>
    <s v="ORT-11540"/>
    <s v="C000419772"/>
    <s v="LIVERPOOL FC EXECUTIVE BOXES ANFIELD"/>
    <n v="9"/>
    <n v="0"/>
    <d v="2025-06-12T00:00:00"/>
    <x v="22"/>
  </r>
  <r>
    <s v="ORT-11542"/>
    <s v="C000419776"/>
    <s v="BLUE FIN BUILDING SOUTHWARK STREET COSTAR FLRS 5-6 LONDON"/>
    <n v="0"/>
    <n v="1"/>
    <d v="2025-06-12T00:00:00"/>
    <x v="22"/>
  </r>
  <r>
    <s v="ORT-11543"/>
    <s v="C000419777"/>
    <s v="CHURCHILL PLACE NO 5 LVL 10 REFURB LONDON"/>
    <n v="0"/>
    <n v="1"/>
    <d v="2025-06-12T00:00:00"/>
    <x v="22"/>
  </r>
  <r>
    <s v="ORT-11544"/>
    <s v="C000419778"/>
    <s v="GRESHAM STREET NO 30 INVESTEC LEVEL 6 LONDON"/>
    <n v="0"/>
    <n v="1"/>
    <d v="2025-06-12T00:00:00"/>
    <x v="22"/>
  </r>
  <r>
    <s v="ORT-11545"/>
    <s v="C000419788"/>
    <s v="MANCHESTER AIRPORT PIER 2 PHASE 2 CELINGS"/>
    <n v="0"/>
    <n v="1"/>
    <d v="2025-06-12T00:00:00"/>
    <x v="22"/>
  </r>
  <r>
    <s v="ORT-11546"/>
    <s v="C000419790"/>
    <s v="JACK TURNBULL MISC TILE &amp; GRID 2025"/>
    <n v="0"/>
    <n v="1"/>
    <d v="2025-06-13T00:00:00"/>
    <x v="22"/>
  </r>
  <r>
    <s v="ORT-11547"/>
    <s v="C000419793"/>
    <s v="DEVONSHIRE HOUSE MAYFAIR PLACE NO 1 FLOORS G &amp; 2 LONDON"/>
    <n v="6"/>
    <n v="0"/>
    <d v="2025-06-13T00:00:00"/>
    <x v="22"/>
  </r>
  <r>
    <s v="ORT-11548"/>
    <s v="C000419794"/>
    <s v="EDEN CAMPUS UNILEVER CAT B KINGSTON"/>
    <n v="0"/>
    <n v="1"/>
    <d v="2025-06-13T00:00:00"/>
    <x v="22"/>
  </r>
  <r>
    <s v="ORT-11549"/>
    <s v="C000419796"/>
    <s v="PADDINGTON CENTRAL KINGDOM ST NO 1 FLRS 1,6,8 EQUINOR LONDON"/>
    <n v="7"/>
    <n v="0"/>
    <d v="2025-06-13T00:00:00"/>
    <x v="22"/>
  </r>
  <r>
    <s v="ORT-11550"/>
    <s v="C000419797"/>
    <s v="HANOVER SQUARE BUILDING NO 18 KKR FLOOR 5 LONDON"/>
    <n v="0"/>
    <n v="1"/>
    <d v="2025-06-13T00:00:00"/>
    <x v="22"/>
  </r>
  <r>
    <s v="ORT-11551"/>
    <s v="C000419798"/>
    <s v="SCOTLAND &amp; NORTH EAST MISC 2025"/>
    <n v="0"/>
    <n v="1"/>
    <d v="2025-06-13T00:00:00"/>
    <x v="22"/>
  </r>
  <r>
    <s v="ORT-11552"/>
    <s v="C000419799"/>
    <s v="TORRENS STREET NO 1 ANGEL SQUARE LONDON"/>
    <n v="5"/>
    <n v="1"/>
    <d v="2025-06-13T00:00:00"/>
    <x v="22"/>
  </r>
  <r>
    <s v="ORT-11553"/>
    <s v="C000419800"/>
    <s v="GSK OLIGO HUB BUILDING 6 STEVENAGE"/>
    <n v="0"/>
    <n v="1"/>
    <d v="2025-06-13T00:00:00"/>
    <x v="22"/>
  </r>
  <r>
    <s v="ORT-11554"/>
    <s v="C000419804"/>
    <s v="UNI OF KINGSTON JOHN GALSWORTHY BUILDING PH2 LONDON"/>
    <n v="0"/>
    <n v="1"/>
    <d v="2025-06-13T00:00:00"/>
    <x v="22"/>
  </r>
  <r>
    <s v="ORT-11555"/>
    <s v="C000419805"/>
    <s v="FIRST STREET PLOT 9A GPA CAT B MANCHESTER"/>
    <n v="0"/>
    <n v="1"/>
    <d v="2025-06-13T00:00:00"/>
    <x v="22"/>
  </r>
  <r>
    <s v="ORT-11556"/>
    <s v="C000419811"/>
    <s v="SKY STUDIOS GRANT WAY L2 &amp; L4 REFURB LONDON"/>
    <n v="0"/>
    <n v="1"/>
    <d v="2025-06-16T00:00:00"/>
    <x v="23"/>
  </r>
  <r>
    <s v="ORT-11557"/>
    <s v="C000419812"/>
    <s v="JACK TURNBULL MISC TILE &amp; GRID 2025"/>
    <n v="7"/>
    <n v="0"/>
    <d v="2025-06-16T00:00:00"/>
    <x v="23"/>
  </r>
  <r>
    <s v="ORT-11558"/>
    <s v="C000419813"/>
    <s v="BOTANICAL PLACE WEST BYFLEET BLOCK C REFURB"/>
    <n v="2"/>
    <n v="1"/>
    <d v="2025-06-16T00:00:00"/>
    <x v="23"/>
  </r>
  <r>
    <s v="ORT-11559"/>
    <s v="C000419814"/>
    <s v="MANCHESTER SCIENCE PARK GREENHEYS PROJECT"/>
    <n v="0"/>
    <n v="1"/>
    <d v="2025-06-16T00:00:00"/>
    <x v="23"/>
  </r>
  <r>
    <s v="ORT-11560"/>
    <s v="C000419815"/>
    <s v="MANCHESTER SCIENCE PARK GREENHEYS PROJECT"/>
    <n v="5"/>
    <n v="1"/>
    <d v="2025-06-16T00:00:00"/>
    <x v="23"/>
  </r>
  <r>
    <s v="ORT-11561"/>
    <s v="C000419816"/>
    <s v="MANCHESTER SCIENCE PARK GREENHEYS PROJECT"/>
    <n v="0"/>
    <n v="1"/>
    <d v="2025-06-16T00:00:00"/>
    <x v="23"/>
  </r>
  <r>
    <s v="ORT-11562"/>
    <s v="C000419818"/>
    <s v="HANOVER STREET NO 1 ARTUS UNIT TILE LONDON"/>
    <n v="1"/>
    <n v="1"/>
    <d v="2025-06-16T00:00:00"/>
    <x v="23"/>
  </r>
  <r>
    <s v="ORT-11563"/>
    <s v="C000419820"/>
    <s v="HARWELL SCIENCE PARK QUAD 3 OFFICES DIDCOT"/>
    <n v="7"/>
    <n v="0"/>
    <d v="2025-06-16T00:00:00"/>
    <x v="23"/>
  </r>
  <r>
    <s v="ORT-11564"/>
    <s v="C000419822"/>
    <s v="FORMER TYNECASTLE SCHOOL RESI BLOCK B PHASE 2 EDINBURGH"/>
    <n v="0"/>
    <n v="1"/>
    <d v="2025-06-16T00:00:00"/>
    <x v="23"/>
  </r>
  <r>
    <s v="ORT-11565"/>
    <s v="C000419824"/>
    <s v="RETAMA 7 MADRID"/>
    <n v="31"/>
    <n v="0"/>
    <d v="2025-06-16T00:00:00"/>
    <x v="23"/>
  </r>
  <r>
    <s v="ORT-11566"/>
    <s v="C000419825"/>
    <s v="ONE LUDLOW OFFICE SUITE 2 MAIDENHEAD LIGHTING"/>
    <n v="6"/>
    <n v="0"/>
    <d v="2025-06-16T00:00:00"/>
    <x v="23"/>
  </r>
  <r>
    <s v="ORT-11567"/>
    <s v="C000419828"/>
    <s v="CHELSEA WESTMINSTER HOSPITAL REFURB LONDON"/>
    <n v="3"/>
    <n v="1"/>
    <d v="2025-06-16T00:00:00"/>
    <x v="23"/>
  </r>
  <r>
    <s v="ORT-11568"/>
    <s v="CF00000538"/>
    <s v="BOULEVARD HAUSSMANN 14 PARIS"/>
    <n v="10"/>
    <n v="0"/>
    <d v="2025-06-16T00:00:00"/>
    <x v="23"/>
  </r>
  <r>
    <s v="ORT-11569"/>
    <s v="C000419834"/>
    <s v="DORKING OFFICE PARK NO 7 STONEBRIDGE HOUSE DORKING"/>
    <n v="0"/>
    <n v="1"/>
    <d v="2025-06-16T00:00:00"/>
    <x v="23"/>
  </r>
  <r>
    <s v="ORT-11570"/>
    <s v="C000419844"/>
    <s v="ARKWRIGHT HOUSE REFURB MANCHESTER"/>
    <n v="0"/>
    <n v="1"/>
    <d v="2025-06-16T00:00:00"/>
    <x v="23"/>
  </r>
  <r>
    <s v="ORT-11571"/>
    <s v="C000419845"/>
    <s v="BISHOPSGATE NO 199 CAT B FLR 9 CROWELL MORING LONDON"/>
    <n v="0"/>
    <n v="1"/>
    <d v="2025-06-16T00:00:00"/>
    <x v="23"/>
  </r>
  <r>
    <s v="ORT-11572"/>
    <s v="C000419847"/>
    <s v="ALDERMANBURY SQUARE NO 2 BASINGHALL STREET LONDON"/>
    <n v="0"/>
    <n v="1"/>
    <d v="2025-06-17T00:00:00"/>
    <x v="23"/>
  </r>
  <r>
    <s v="ORT-11573"/>
    <s v="C000419849"/>
    <s v="MARKS AND SPENCER KINGSTON"/>
    <n v="0"/>
    <n v="1"/>
    <d v="2025-06-17T00:00:00"/>
    <x v="23"/>
  </r>
  <r>
    <s v="ORT-11574"/>
    <s v="C000419850"/>
    <s v="ALDERMANBURY SQUARE NO 2 BASINGHALL STREET LONDON"/>
    <n v="0"/>
    <n v="1"/>
    <d v="2025-06-17T00:00:00"/>
    <x v="23"/>
  </r>
  <r>
    <s v="ORT-11575"/>
    <s v="C000419852"/>
    <s v="ALDERMANBURY SQUARE NO 2 BASINGHALL STREET LONDON"/>
    <n v="0"/>
    <n v="1"/>
    <d v="2025-06-17T00:00:00"/>
    <x v="23"/>
  </r>
  <r>
    <s v="ORT-11576"/>
    <s v="C000419856"/>
    <s v="DEWA HQ AL SHERAA BUILDING (B+G+4P+15) AL JADDAF"/>
    <n v="86"/>
    <n v="0"/>
    <d v="2025-06-17T00:00:00"/>
    <x v="23"/>
  </r>
  <r>
    <s v="ORT-11577"/>
    <s v="C000419867"/>
    <s v="UNI OF CAMBRIDGE HUTCHINSON BUILDING REFURB"/>
    <n v="0"/>
    <n v="1"/>
    <d v="2025-06-17T00:00:00"/>
    <x v="23"/>
  </r>
  <r>
    <s v="ORT-11578"/>
    <s v="C000419870"/>
    <s v="AWE THE HUB OFFICE AND TEACHING FACILITY MHS ALDERMASTON"/>
    <n v="3"/>
    <n v="1"/>
    <d v="2025-06-17T00:00:00"/>
    <x v="23"/>
  </r>
  <r>
    <s v="ORT-11579"/>
    <s v="C000419871"/>
    <s v="MANCHESTER AIRPORT NORTH FIRE STATION WC REFURB"/>
    <n v="0"/>
    <n v="1"/>
    <d v="2025-06-17T00:00:00"/>
    <x v="23"/>
  </r>
  <r>
    <s v="ORT-11581"/>
    <s v="C000419873"/>
    <s v="THE BARBER SHOP LONDON"/>
    <n v="0"/>
    <n v="1"/>
    <d v="2025-06-17T00:00:00"/>
    <x v="23"/>
  </r>
  <r>
    <s v="ORT-11582"/>
    <s v="C000419874"/>
    <s v="TRITON SQUARE NO 1 OFFICE / LABS CAT A LONDON"/>
    <n v="2"/>
    <n v="1"/>
    <d v="2025-06-17T00:00:00"/>
    <x v="23"/>
  </r>
  <r>
    <s v="ORT-11583"/>
    <s v="C000419875"/>
    <s v="WOOD STREET NO 125 FLOOR 4 &amp; 7 CAT A REFURB LONDON"/>
    <n v="4"/>
    <n v="1"/>
    <d v="2025-06-17T00:00:00"/>
    <x v="23"/>
  </r>
  <r>
    <s v="ORT-11585"/>
    <s v="C000419881"/>
    <s v="SUTHERLAND HOUSE ST VINCENT STREET NO 149 FLR 7 GLASGOW"/>
    <n v="0"/>
    <n v="1"/>
    <d v="2025-06-17T00:00:00"/>
    <x v="23"/>
  </r>
  <r>
    <s v="ORT-11586"/>
    <s v="C000419884"/>
    <s v="BASINGHALL AVENUE NO 1 STANDARD CHARTERED PH 2 LONDON"/>
    <n v="0"/>
    <n v="1"/>
    <d v="2025-06-17T00:00:00"/>
    <x v="23"/>
  </r>
  <r>
    <s v="ORT-11587"/>
    <s v="C000419886"/>
    <s v="ONE EASTSIDE TOWER A SKYLOUNGE BIRMINGHAM"/>
    <n v="0"/>
    <n v="1"/>
    <d v="2025-06-17T00:00:00"/>
    <x v="23"/>
  </r>
  <r>
    <s v="ORT-11588"/>
    <s v="C000419889"/>
    <s v="BASINGHALL AVENUE NO 1 STANDARD CHARTERED PH 2 LIGHTING"/>
    <n v="0"/>
    <n v="1"/>
    <d v="2025-06-17T00:00:00"/>
    <x v="23"/>
  </r>
  <r>
    <s v="ORT-11589"/>
    <s v="C000419891"/>
    <s v="JOB CENTRE MISC 2025"/>
    <n v="7"/>
    <n v="0"/>
    <d v="2025-06-17T00:00:00"/>
    <x v="23"/>
  </r>
  <r>
    <s v="ORT-11590"/>
    <s v="C000419893"/>
    <s v="AIRE PARK FORMER TETLEY BREWERY LEEDS MU4A"/>
    <n v="30"/>
    <n v="0"/>
    <d v="2025-06-17T00:00:00"/>
    <x v="23"/>
  </r>
  <r>
    <s v="ORT-11591"/>
    <s v="C000419894"/>
    <s v="LEADENHALL STREET NO 40 KIRKLAND &amp; ELLIS FLRS 15-34 LONDON"/>
    <n v="0"/>
    <n v="1"/>
    <d v="2025-06-17T00:00:00"/>
    <x v="23"/>
  </r>
  <r>
    <s v="ORT-11592"/>
    <s v="C000419895"/>
    <s v="OAKMOOR SCHOOL EXTENSION BORDON"/>
    <n v="0"/>
    <n v="1"/>
    <d v="2025-06-17T00:00:00"/>
    <x v="23"/>
  </r>
  <r>
    <s v="ORT-11593"/>
    <s v="C000419897"/>
    <s v="ARTUS MOCK UP PROJECT LONDON"/>
    <n v="5"/>
    <n v="1"/>
    <d v="2025-06-17T00:00:00"/>
    <x v="23"/>
  </r>
  <r>
    <s v="ORT-11594"/>
    <s v="C000419902"/>
    <s v="CANARY WHARF CANADA SQUARE NO 25 CITIBANK REFURB LONDON"/>
    <n v="5"/>
    <n v="1"/>
    <d v="2025-06-18T00:00:00"/>
    <x v="23"/>
  </r>
  <r>
    <s v="ORT-11595"/>
    <s v="C000419903"/>
    <s v="CANARY WHARF CANADA SQUARE NO 25 CITIBANK REFURB LONDON"/>
    <n v="13"/>
    <n v="0"/>
    <d v="2025-06-18T00:00:00"/>
    <x v="23"/>
  </r>
  <r>
    <s v="ORT-11596"/>
    <s v="C000419904"/>
    <s v="CANARY WHARF CANADA SQUARE NO 25 CITIBANK REFURB LONDON"/>
    <n v="13"/>
    <n v="0"/>
    <d v="2025-06-18T00:00:00"/>
    <x v="23"/>
  </r>
  <r>
    <s v="ORT-11597"/>
    <s v="C000419905"/>
    <s v="CANARY WHARF CANADA SQUARE NO 25 CITIBANK REFURB LONDON"/>
    <n v="11"/>
    <n v="0"/>
    <d v="2025-06-18T00:00:00"/>
    <x v="23"/>
  </r>
  <r>
    <s v="ORT-11598"/>
    <s v="C000419906"/>
    <s v="CANARY WHARF CANADA SQUARE NO 25 CITIBANK REFURB LONDON"/>
    <n v="26"/>
    <n v="0"/>
    <d v="2025-06-18T00:00:00"/>
    <x v="23"/>
  </r>
  <r>
    <s v="ORT-11599"/>
    <s v="C000419907"/>
    <s v="CANARY WHARF CANADA SQUARE NO 25 CITIBANK REFURB LONDON"/>
    <n v="7"/>
    <n v="0"/>
    <d v="2025-06-18T00:00:00"/>
    <x v="23"/>
  </r>
  <r>
    <s v="ORT-11600"/>
    <s v="C000419909"/>
    <s v="CANARY WHARF CANADA SQUARE NO 25 CITIBANK REFURB LONDON"/>
    <n v="3"/>
    <n v="1"/>
    <d v="2025-06-18T00:00:00"/>
    <x v="23"/>
  </r>
  <r>
    <s v="ORT-11601"/>
    <s v="C000419915"/>
    <s v="ST MICHAELS TOWER FLRS 7 &amp; 8 MANCHESTER"/>
    <n v="0"/>
    <n v="1"/>
    <d v="2025-06-18T00:00:00"/>
    <x v="23"/>
  </r>
  <r>
    <s v="ORT-11602"/>
    <s v="C000419927"/>
    <s v="MOH SUWAIQ HOSPITAL ADDTL MATERIALS OMAN"/>
    <n v="27"/>
    <n v="0"/>
    <d v="2025-06-18T00:00:00"/>
    <x v="23"/>
  </r>
  <r>
    <s v="ORT-11603"/>
    <s v="C000419928"/>
    <s v="MOH KHASAB HOSPITAL ADDTL MATERIALS OMAN"/>
    <n v="25"/>
    <n v="0"/>
    <d v="2025-06-18T00:00:00"/>
    <x v="23"/>
  </r>
  <r>
    <s v="ORT-11607"/>
    <s v="C000419935"/>
    <s v="BROADGATE NO 1-2 SHELL &amp; CORE LONDON"/>
    <n v="8"/>
    <n v="0"/>
    <d v="2025-06-19T00:00:00"/>
    <x v="23"/>
  </r>
  <r>
    <s v="ORT-11608"/>
    <s v="C000419944"/>
    <s v="CANARY WHARF DS7 CANADA SQUARE NO 1 UCL SOM PHASE 1 LONDON"/>
    <n v="0"/>
    <n v="1"/>
    <d v="2025-06-19T00:00:00"/>
    <x v="23"/>
  </r>
  <r>
    <s v="ORT-11609"/>
    <s v="C000419948"/>
    <s v="TRITON SQUARE NO 1 OFFICE / LABS CAT A LONDON"/>
    <n v="0"/>
    <n v="1"/>
    <d v="2025-06-19T00:00:00"/>
    <x v="23"/>
  </r>
  <r>
    <s v="ORT-11610"/>
    <s v="C000419952"/>
    <s v="LIVERPOOL JOHN LENNON AIRPORT ASPIRE LOUNGE"/>
    <n v="6"/>
    <n v="0"/>
    <d v="2025-06-19T00:00:00"/>
    <x v="23"/>
  </r>
  <r>
    <s v="ORT-11611"/>
    <m/>
    <s v="CENTRAL BANK OF IRAQ HEADQUARTERS BAGHDAD"/>
    <n v="75"/>
    <n v="0"/>
    <d v="2025-06-19T00:00:00"/>
    <x v="23"/>
  </r>
  <r>
    <s v="ORT-11612"/>
    <s v="C000419955"/>
    <s v="BASINGHALL STREET NO 25 WOOLGATE EXCHANGE L&amp;G FITOUT LONDON"/>
    <n v="0"/>
    <n v="1"/>
    <d v="2025-06-19T00:00:00"/>
    <x v="23"/>
  </r>
  <r>
    <s v="ORT-11613"/>
    <s v="C000419956"/>
    <s v="EMBERTON HOUSE OLYMPIA REDEVELOPMENT FIT-OUT LONDON"/>
    <n v="0"/>
    <n v="1"/>
    <d v="2025-06-19T00:00:00"/>
    <x v="23"/>
  </r>
  <r>
    <s v="ORT-11614"/>
    <m/>
    <s v="HOLDING SAINT MICHEL PARIS"/>
    <n v="83"/>
    <n v="0"/>
    <d v="2025-06-19T00:00:00"/>
    <x v="23"/>
  </r>
  <r>
    <s v="ORT-11615"/>
    <s v="CF00000539"/>
    <s v="CAMPUS ENGIE 2025"/>
    <n v="5"/>
    <n v="1"/>
    <d v="2025-06-19T00:00:00"/>
    <x v="23"/>
  </r>
  <r>
    <s v="ORT-11616"/>
    <s v="C000419967"/>
    <s v="BISHOPSGATE NO 8 FLOOR 33 STANHOPE FITOUT LONDON"/>
    <n v="0"/>
    <n v="1"/>
    <d v="2025-06-19T00:00:00"/>
    <x v="23"/>
  </r>
  <r>
    <s v="ORT-11617"/>
    <s v="C000419969"/>
    <s v="OPTIMA AMR DEVELOPMENT PROJECT"/>
    <n v="0"/>
    <n v="1"/>
    <d v="2025-06-19T00:00:00"/>
    <x v="23"/>
  </r>
  <r>
    <s v="ORT-11618"/>
    <s v="C000419972"/>
    <s v="JACK TURNBULL MISC TILE &amp; GRID 2025"/>
    <n v="0"/>
    <n v="1"/>
    <d v="2025-06-19T00:00:00"/>
    <x v="23"/>
  </r>
  <r>
    <s v="ORT-11619"/>
    <s v="C000419974"/>
    <s v="CANARY WHARF BANK STREET NO 12 LONDON"/>
    <n v="0"/>
    <n v="1"/>
    <d v="2025-06-19T00:00:00"/>
    <x v="23"/>
  </r>
  <r>
    <s v="ORT-11620"/>
    <s v="CF00000538"/>
    <s v="BOULEVARD HAUSSMANN 14 PARIS"/>
    <n v="7"/>
    <n v="0"/>
    <d v="2025-06-19T00:00:00"/>
    <x v="23"/>
  </r>
  <r>
    <s v="ORT-11621"/>
    <s v="CF00000540"/>
    <s v="BOULEVARD HAUSSMANN 14 PARIS"/>
    <n v="37"/>
    <n v="0"/>
    <d v="2025-06-19T00:00:00"/>
    <x v="23"/>
  </r>
  <r>
    <s v="ORT-11622"/>
    <s v="C000419978"/>
    <s v="KING STREET NO 55 6TH FLR CAT B MANCHESTER"/>
    <n v="5"/>
    <n v="1"/>
    <d v="2025-06-20T00:00:00"/>
    <x v="23"/>
  </r>
  <r>
    <s v="ORT-11623"/>
    <s v="C000419980"/>
    <s v="WORKPLACE INTERIORS MISC 2025"/>
    <n v="0"/>
    <n v="1"/>
    <d v="2025-06-20T00:00:00"/>
    <x v="23"/>
  </r>
  <r>
    <s v="ORT-11624"/>
    <s v="C000419981"/>
    <s v="EMBERTON HOUSE INSPIRED SCHOOLS CAT B OLYMPIA LONDON"/>
    <n v="1"/>
    <n v="1"/>
    <d v="2025-06-20T00:00:00"/>
    <x v="23"/>
  </r>
  <r>
    <s v="ORT-11625"/>
    <s v="C000419984"/>
    <s v="JACK TURNBULL MISC TILE &amp; GRID 2025"/>
    <n v="0"/>
    <n v="1"/>
    <d v="2025-06-20T00:00:00"/>
    <x v="23"/>
  </r>
  <r>
    <s v="ORT-11626"/>
    <s v="C000419985"/>
    <s v="UNKNOWN"/>
    <n v="1"/>
    <n v="1"/>
    <d v="2025-06-20T00:00:00"/>
    <x v="23"/>
  </r>
  <r>
    <s v="ORT-11628"/>
    <s v="C000419986"/>
    <s v="BASINGHALL AVENUE NO 1 STANDARD CHARTERED PH 2 LONDON"/>
    <n v="1"/>
    <n v="1"/>
    <d v="2025-06-21T00:00:00"/>
    <x v="24"/>
  </r>
  <r>
    <s v="ORT-11629"/>
    <s v="C000419987"/>
    <s v="ROPEMAKER STREET NO 20-22 LINKLATERS JOINERY FEATURE LONDON"/>
    <n v="2"/>
    <n v="1"/>
    <d v="2025-06-21T00:00:00"/>
    <x v="24"/>
  </r>
  <r>
    <s v="ORT-11630"/>
    <s v="C000419988"/>
    <s v="JACK TURNBULL MISC TILE &amp; GRID 2025"/>
    <n v="4"/>
    <n v="1"/>
    <d v="2025-06-21T00:00:00"/>
    <x v="24"/>
  </r>
  <r>
    <s v="ORT-11631"/>
    <s v="C000419989"/>
    <s v="WORKPLACE INTERIORS MISC 2025"/>
    <n v="0"/>
    <n v="1"/>
    <d v="2025-06-21T00:00:00"/>
    <x v="24"/>
  </r>
  <r>
    <s v="ORT-11632"/>
    <s v="C000419990"/>
    <s v="WESTFIELD AVENUE NO 1 NCA FIT OUT STRATFORD CITY"/>
    <n v="0"/>
    <n v="1"/>
    <d v="2025-06-21T00:00:00"/>
    <x v="24"/>
  </r>
  <r>
    <s v="ORT-11633"/>
    <s v="C000420001"/>
    <s v="PADDINGTON CENTRAL MICROSOFT FIT OUT FLOORS 5-6 LONDON"/>
    <n v="0"/>
    <n v="1"/>
    <d v="2025-06-23T00:00:00"/>
    <x v="24"/>
  </r>
  <r>
    <s v="ORT-11634"/>
    <s v="C000420002"/>
    <s v="THORN LIGHTING LTD 2025"/>
    <n v="0"/>
    <n v="1"/>
    <d v="2025-06-23T00:00:00"/>
    <x v="24"/>
  </r>
  <r>
    <s v="ORT-11635"/>
    <s v="C000420005"/>
    <s v="UNKNOWN"/>
    <n v="8"/>
    <n v="0"/>
    <d v="2025-06-23T00:00:00"/>
    <x v="24"/>
  </r>
  <r>
    <s v="ORT-11636"/>
    <s v="C000420007"/>
    <s v="HOLIDAY INN SOUTHAMPTON"/>
    <n v="2"/>
    <n v="1"/>
    <d v="2025-06-23T00:00:00"/>
    <x v="24"/>
  </r>
  <r>
    <s v="ORT-11637"/>
    <s v="C000420010"/>
    <s v="WORKPLACE INTERIORS MISC 2025"/>
    <n v="0"/>
    <n v="1"/>
    <d v="2025-06-23T00:00:00"/>
    <x v="24"/>
  </r>
  <r>
    <s v="ORT-11638"/>
    <s v="C000420012"/>
    <s v="MERCEDES LOOKERS SHOWROOM TONBRIDGE"/>
    <n v="0"/>
    <n v="1"/>
    <d v="2025-06-23T00:00:00"/>
    <x v="24"/>
  </r>
  <r>
    <s v="ORT-11639"/>
    <s v="C000420014"/>
    <s v="LAURISTON PLACE NO15 SKYSCANNER FITOUT EDINBURGH"/>
    <n v="0"/>
    <n v="1"/>
    <d v="2025-06-23T00:00:00"/>
    <x v="24"/>
  </r>
  <r>
    <s v="ORT-11640"/>
    <s v="C000420016"/>
    <s v="ARTHUR ROAD WINDSOR ONE IHG REFURB WINDSOR"/>
    <n v="8"/>
    <n v="0"/>
    <d v="2025-06-24T00:00:00"/>
    <x v="24"/>
  </r>
  <r>
    <s v="ORT-11641"/>
    <s v="C000420019"/>
    <s v="JOSE MALHOA 12 LISBON"/>
    <n v="25"/>
    <n v="0"/>
    <d v="2025-06-24T00:00:00"/>
    <x v="24"/>
  </r>
  <r>
    <s v="ORT-11642"/>
    <s v="C000420021"/>
    <s v="MANCHESTER SCIENCE PARK GREENHEYS PROJECT"/>
    <n v="0"/>
    <n v="1"/>
    <d v="2025-06-24T00:00:00"/>
    <x v="24"/>
  </r>
  <r>
    <s v="ORT-11643"/>
    <s v="CF00000541"/>
    <s v="COEUR AEROGARE MARSEILLE"/>
    <n v="12"/>
    <n v="0"/>
    <d v="2025-06-24T00:00:00"/>
    <x v="24"/>
  </r>
  <r>
    <s v="ORT-11644"/>
    <s v="C000420025"/>
    <s v="TURING COURT NO 1 CARECO HQ BRAINTREE"/>
    <n v="0"/>
    <n v="1"/>
    <d v="2025-06-24T00:00:00"/>
    <x v="24"/>
  </r>
  <r>
    <s v="ORT-11645"/>
    <s v="C000420027"/>
    <s v="VIRGIN MEDIA DATA CENTRE VM02 HARLOW ESSEX"/>
    <n v="0"/>
    <n v="1"/>
    <d v="2025-06-24T00:00:00"/>
    <x v="24"/>
  </r>
  <r>
    <s v="ORT-11646"/>
    <s v="C000420028"/>
    <s v="UNI OF CAMBRIDGE HUTCHINSON BUILDING REFURB"/>
    <n v="0"/>
    <n v="1"/>
    <d v="2025-06-24T00:00:00"/>
    <x v="24"/>
  </r>
  <r>
    <s v="ORT-11647"/>
    <s v="C000420031"/>
    <s v="WILTON ROAD NO 129 CAT A FLOORS 1-5 LONDON"/>
    <n v="4"/>
    <n v="1"/>
    <d v="2025-06-24T00:00:00"/>
    <x v="24"/>
  </r>
  <r>
    <s v="ORT-11648"/>
    <s v="C000417763"/>
    <m/>
    <n v="0"/>
    <n v="1"/>
    <d v="2025-06-24T00:00:00"/>
    <x v="24"/>
  </r>
  <r>
    <s v="ORT-11649"/>
    <s v="C000420035"/>
    <s v="CADWORKS FLOOR 5 FIT OUT GLASGOW"/>
    <n v="1"/>
    <n v="1"/>
    <d v="2025-06-24T00:00:00"/>
    <x v="24"/>
  </r>
  <r>
    <s v="ORT-11650"/>
    <s v="C000420042"/>
    <s v="LEADENHALL STREET NO 40 BROOKS MACDONALD FLR 8 LONDON"/>
    <n v="9"/>
    <n v="0"/>
    <d v="2025-06-24T00:00:00"/>
    <x v="24"/>
  </r>
  <r>
    <s v="ORT-11651"/>
    <s v="C000420051"/>
    <s v="CANADA LIFE FOURTH FLOOR FIT OUT BARBADOS"/>
    <n v="18"/>
    <n v="0"/>
    <d v="2025-06-24T00:00:00"/>
    <x v="24"/>
  </r>
  <r>
    <s v="ORT-11652"/>
    <s v="C000420053"/>
    <s v="NEW STREET SQUARE NO 5 TAYLOR WESSING REFURB LONDON"/>
    <n v="0"/>
    <n v="1"/>
    <d v="2025-06-24T00:00:00"/>
    <x v="24"/>
  </r>
  <r>
    <s v="ORT-11656"/>
    <s v="C000420058"/>
    <s v="ST GEORGE STREET NO 14 CAT A FLOOR 2 LIGHTING LONDON"/>
    <n v="2"/>
    <n v="1"/>
    <d v="2025-06-25T00:00:00"/>
    <x v="24"/>
  </r>
  <r>
    <s v="ORT-11657"/>
    <s v="C000420059"/>
    <s v="NEW BRIDGE STREET NO 100 CAT A+ LONDON"/>
    <n v="0"/>
    <n v="1"/>
    <d v="2025-06-25T00:00:00"/>
    <x v="24"/>
  </r>
  <r>
    <s v="ORT-11658"/>
    <s v="C000420061"/>
    <s v="ST MICHAELS TOWER FLRS 7 &amp; 8 MANCHESTER"/>
    <n v="0"/>
    <n v="1"/>
    <d v="2025-06-25T00:00:00"/>
    <x v="24"/>
  </r>
  <r>
    <s v="ORT-11659"/>
    <s v="C000420063"/>
    <s v="ARIMA OFFICES MADRID"/>
    <n v="0"/>
    <n v="1"/>
    <d v="2025-06-25T00:00:00"/>
    <x v="24"/>
  </r>
  <r>
    <s v="ORT-11660"/>
    <s v="C000420065"/>
    <s v="SALFORD CENTRAL PLOT C2 FOUR NEW BAILEY"/>
    <n v="1"/>
    <n v="1"/>
    <d v="2025-06-25T00:00:00"/>
    <x v="24"/>
  </r>
  <r>
    <s v="ORT-11661"/>
    <s v="C000420066"/>
    <s v="UNI OF SOUTHAMPTON B32 LABORATORY REFURB"/>
    <n v="13"/>
    <n v="0"/>
    <d v="2025-06-25T00:00:00"/>
    <x v="24"/>
  </r>
  <r>
    <s v="ORT-11662"/>
    <s v="C000420070"/>
    <s v="ELMFIELD ROAD NO 26 LOBBY AREA BROMLEY"/>
    <n v="8"/>
    <n v="0"/>
    <d v="2025-06-25T00:00:00"/>
    <x v="24"/>
  </r>
  <r>
    <s v="ORT-11663"/>
    <s v="C000420072"/>
    <s v="IMO BUILDING ALBERT EMBANKMENT NO 4 REFURB LONDON"/>
    <n v="2"/>
    <n v="1"/>
    <d v="2025-06-25T00:00:00"/>
    <x v="24"/>
  </r>
  <r>
    <s v="ORT-11664"/>
    <s v="C000420073"/>
    <s v="BRIXTON RECREATION CENTRE STATION ROAD NO 27 REFURB LONDON"/>
    <n v="13"/>
    <n v="0"/>
    <d v="2025-06-25T00:00:00"/>
    <x v="24"/>
  </r>
  <r>
    <s v="ORT-11665"/>
    <s v="C000420074"/>
    <s v="MANCHESTER AIRPORT PIER 2 PHASE 2 CELINGS"/>
    <n v="0"/>
    <n v="1"/>
    <d v="2025-06-25T00:00:00"/>
    <x v="24"/>
  </r>
  <r>
    <s v="ORT-11666"/>
    <s v="C000420075"/>
    <s v="BATTERSEA POWER STATION APPLE FITOUT FLRS 2 &amp; 3 LONDON"/>
    <n v="0"/>
    <n v="1"/>
    <d v="2025-06-25T00:00:00"/>
    <x v="24"/>
  </r>
  <r>
    <s v="ORT-11667"/>
    <s v="C000420077"/>
    <s v="IKEA MILTON KEYNES"/>
    <n v="8"/>
    <n v="0"/>
    <d v="2025-06-25T00:00:00"/>
    <x v="24"/>
  </r>
  <r>
    <s v="ORT-11668"/>
    <s v="C000420080"/>
    <s v="02034 CADDELL ADDITIONAL SCOPE"/>
    <n v="50"/>
    <n v="0"/>
    <d v="2025-06-25T00:00:00"/>
    <x v="24"/>
  </r>
  <r>
    <s v="ORT-11669"/>
    <s v="C000420081"/>
    <s v="THE POINT BUILDING MARKET STREET MAERSK CAT A MAIDENHEAD"/>
    <n v="14"/>
    <n v="0"/>
    <d v="2025-06-25T00:00:00"/>
    <x v="24"/>
  </r>
  <r>
    <s v="ORT-11670"/>
    <s v="C000420084"/>
    <s v="BISHOPSGATE NO 201 BROADGATE TOWER FLRS 12-13,17,19 &amp; 29-33"/>
    <n v="13"/>
    <n v="0"/>
    <d v="2025-06-25T00:00:00"/>
    <x v="24"/>
  </r>
  <r>
    <s v="ORT-11671"/>
    <s v="C000420087"/>
    <s v="ONE EASTSIDE TOWER A SKYLOUNGE BIRMINGHAM"/>
    <n v="4"/>
    <n v="1"/>
    <d v="2025-06-25T00:00:00"/>
    <x v="24"/>
  </r>
  <r>
    <s v="ORT-11673"/>
    <s v="C000420093"/>
    <s v="SAINSBURYS REFURBISHMENT TONBRIDGE"/>
    <n v="0"/>
    <n v="1"/>
    <d v="2025-06-26T00:00:00"/>
    <x v="24"/>
  </r>
  <r>
    <s v="ORT-11674"/>
    <s v="C000420094"/>
    <s v="BROOKFIELD SCHOOL HEREFORD"/>
    <n v="0"/>
    <n v="1"/>
    <d v="2025-06-26T00:00:00"/>
    <x v="24"/>
  </r>
  <r>
    <s v="ORT-11675"/>
    <s v="C000420098"/>
    <s v="ARIMA OFFICES MADRID"/>
    <n v="0"/>
    <n v="1"/>
    <d v="2025-06-26T00:00:00"/>
    <x v="24"/>
  </r>
  <r>
    <s v="ORT-11676"/>
    <s v="C000420100"/>
    <s v="SCOTLAND &amp; NORTH EAST MISC 2025"/>
    <n v="0"/>
    <n v="1"/>
    <d v="2025-06-26T00:00:00"/>
    <x v="24"/>
  </r>
  <r>
    <s v="ORT-11677"/>
    <s v="C000420107"/>
    <s v="PORSCHE SHOWROOM EXETER"/>
    <n v="0"/>
    <n v="1"/>
    <d v="2025-06-26T00:00:00"/>
    <x v="24"/>
  </r>
  <r>
    <s v="ORT-11678"/>
    <s v="C000420118"/>
    <s v="ST MICHAELS TOWER FLRS 7 &amp; 8 MANCHESTER"/>
    <n v="0"/>
    <n v="1"/>
    <d v="2025-06-26T00:00:00"/>
    <x v="24"/>
  </r>
  <r>
    <s v="ORT-11681"/>
    <s v="C000420129"/>
    <s v="PROJECT P MILLBANK LONDON"/>
    <n v="0"/>
    <n v="1"/>
    <d v="2025-06-27T00:00:00"/>
    <x v="24"/>
  </r>
  <r>
    <s v="ORT-11682"/>
    <s v="C000420122"/>
    <s v="GRESHAM STREET NO 30 INVESTEC LEVEL 6 LONDON"/>
    <n v="0"/>
    <n v="1"/>
    <d v="2025-06-27T00:00:00"/>
    <x v="24"/>
  </r>
  <r>
    <s v="ORT-11683"/>
    <s v="C000420123"/>
    <s v="CENTRAL BANK OF IRAQ HEADQUARTERS BAGHDAD"/>
    <n v="10"/>
    <n v="0"/>
    <d v="2025-06-27T00:00:00"/>
    <x v="24"/>
  </r>
  <r>
    <s v="ORT-11684"/>
    <s v="C000420125"/>
    <s v="WITAN GATE HOUSE REFURB PHASE 2 LIFT LOBBY MILTON KEYNES"/>
    <n v="16"/>
    <n v="0"/>
    <d v="2025-06-27T00:00:00"/>
    <x v="24"/>
  </r>
  <r>
    <s v="ORT-11685"/>
    <s v="C000420130"/>
    <s v="NDA - PWC LAYSEN VALLEY RIYADH OFFICE FIT OUT"/>
    <n v="0"/>
    <n v="1"/>
    <d v="2025-06-27T00:00:00"/>
    <x v="24"/>
  </r>
  <r>
    <s v="ORT-11686"/>
    <s v="C000420143"/>
    <s v="BASINGHALL AVENUE NO 1 GROUND &amp; 5-10 REFURB LONDON"/>
    <n v="0"/>
    <n v="1"/>
    <d v="2025-06-27T00:00:00"/>
    <x v="24"/>
  </r>
  <r>
    <s v="ORT-11687"/>
    <s v="C000420148"/>
    <s v="KING WILLIAM STREET NO 45 REGIS HOUSE FLRS 1 &amp; 5-7 LONDON"/>
    <n v="4"/>
    <n v="1"/>
    <d v="2025-06-27T00:00:00"/>
    <x v="24"/>
  </r>
  <r>
    <s v="ORT-11688"/>
    <s v="C000420150"/>
    <s v="NTT DATA CENTRE LON1-B DAGENHAM BOH"/>
    <n v="0"/>
    <n v="1"/>
    <d v="2025-06-27T00:00:00"/>
    <x v="24"/>
  </r>
  <r>
    <s v="ORT-11689"/>
    <s v="C000420149"/>
    <s v="WORKPLACE INTERIORS MISC 2025"/>
    <n v="3"/>
    <n v="1"/>
    <d v="2025-06-27T00:00:00"/>
    <x v="24"/>
  </r>
  <r>
    <s v="ORT-11690"/>
    <s v="C000420153"/>
    <s v="OLD BAILEY NO 10 CAT A REFURB FLOOR 1 LONDON"/>
    <n v="12"/>
    <n v="0"/>
    <d v="2025-06-27T00:00:00"/>
    <x v="24"/>
  </r>
  <r>
    <s v="ORT-11691"/>
    <s v="C000420155"/>
    <s v="ST MICHAELS TOWER FLRS 7 &amp; 8 MANCHESTER"/>
    <n v="0"/>
    <n v="1"/>
    <d v="2025-06-27T00:00:00"/>
    <x v="24"/>
  </r>
  <r>
    <s v="ORT-11692"/>
    <s v="C000420157"/>
    <s v="L.-ILLA BY RENTAMAR BARCELONA"/>
    <n v="48"/>
    <n v="0"/>
    <d v="2025-06-27T00:00:00"/>
    <x v="24"/>
  </r>
  <r>
    <s v="ORT-11693"/>
    <s v="C000420159"/>
    <s v="OXFORD SCIENCE PARK SCHRODINGER BUILDING"/>
    <n v="13"/>
    <n v="0"/>
    <d v="2025-06-27T00:00:00"/>
    <x v="24"/>
  </r>
  <r>
    <s v="ORT-11694"/>
    <s v="CF00000544"/>
    <s v="AVENUE RAYMOND POINCARE 34 PARIS"/>
    <n v="0"/>
    <n v="1"/>
    <d v="2025-06-27T00:00:00"/>
    <x v="24"/>
  </r>
  <r>
    <s v="ORT-11695"/>
    <s v="C000420154"/>
    <s v="SPTS CELTIC LAKES FIT OUT PHASE 2 NEWPORT WALES"/>
    <n v="0"/>
    <n v="1"/>
    <d v="2025-06-27T00:00:00"/>
    <x v="24"/>
  </r>
  <r>
    <s v="ORT-11696"/>
    <s v="C000420163"/>
    <s v="MOORFIELDS NO 21 THE GLACIER CAT B DEUTSCHE BANK LONDON"/>
    <n v="6"/>
    <n v="0"/>
    <d v="2025-06-27T00:00:00"/>
    <x v="24"/>
  </r>
  <r>
    <s v="ORT-11697"/>
    <s v="C000420164"/>
    <s v="WORKPLACE INTERIORS MISC 2025"/>
    <n v="0"/>
    <n v="1"/>
    <d v="2025-06-27T00:00:00"/>
    <x v="24"/>
  </r>
  <r>
    <s v="ORT-11698"/>
    <s v="C000420168"/>
    <s v="THE STAGE SHOREDITCH BARD &amp; HEWETT AMAZON FIT OUT LONDON"/>
    <n v="0"/>
    <n v="1"/>
    <d v="2025-06-30T00:00:00"/>
    <x v="25"/>
  </r>
  <r>
    <s v="ORT-11699"/>
    <s v="C000420170"/>
    <s v="THE STAGE SHOREDITCH BARD &amp; HEWETT AMAZON FIT OUT LONDON"/>
    <n v="6"/>
    <n v="0"/>
    <d v="2025-06-30T00:00:00"/>
    <x v="25"/>
  </r>
  <r>
    <s v="ORT-11700"/>
    <s v="C000420171"/>
    <s v="THE STAGE SHOREDITCH BARD &amp; HEWETT AMAZON FIT OUT LONDON"/>
    <n v="3"/>
    <n v="1"/>
    <d v="2025-06-30T00:00:00"/>
    <x v="25"/>
  </r>
  <r>
    <s v="ORT-11701"/>
    <s v="C000420172"/>
    <s v="NEWGATE STREET NO 7 CAT B MOJ REFURB LONDON"/>
    <n v="0"/>
    <n v="1"/>
    <d v="2025-06-30T00:00:00"/>
    <x v="25"/>
  </r>
  <r>
    <s v="ORT-11702"/>
    <s v="C000420174"/>
    <s v="CAPABILITY GREEN NO 400 FLOOR 2 REFURB PHASE 2 LUTON"/>
    <n v="2"/>
    <n v="1"/>
    <d v="2025-06-30T00:00:00"/>
    <x v="25"/>
  </r>
  <r>
    <s v="ORT-11703"/>
    <s v="C000420178"/>
    <s v="HIGH HOLBORN NO 90 FLR 3 QUINN EMANUEL LONDON"/>
    <n v="0"/>
    <n v="1"/>
    <d v="2025-06-30T00:00:00"/>
    <x v="25"/>
  </r>
  <r>
    <s v="ORT-11704"/>
    <s v="C000420190"/>
    <s v="PORTLAND HOUSE BRESSENDEN PLACE LONDON"/>
    <n v="1"/>
    <n v="1"/>
    <d v="2025-06-30T00:00:00"/>
    <x v="25"/>
  </r>
  <r>
    <s v="ORT-11705"/>
    <s v="C000420191"/>
    <s v="PORTLAND HOUSE BRESSENDEN PLACE LONDON"/>
    <n v="0"/>
    <n v="1"/>
    <d v="2025-06-30T00:00:00"/>
    <x v="25"/>
  </r>
  <r>
    <s v="ORT-11706"/>
    <s v="C000420192"/>
    <s v="PORTLAND HOUSE BRESSENDEN PLACE LONDON"/>
    <n v="0"/>
    <n v="1"/>
    <d v="2025-06-30T00:00:00"/>
    <x v="25"/>
  </r>
  <r>
    <s v="ORT-11707"/>
    <s v="C000420193"/>
    <s v="PORTLAND HOUSE BRESSENDEN PLACE LONDON"/>
    <n v="0"/>
    <n v="1"/>
    <d v="2025-06-30T00:00:00"/>
    <x v="25"/>
  </r>
  <r>
    <s v="ORT-11708"/>
    <s v="C000420194"/>
    <s v="PORTLAND HOUSE BRESSENDEN PLACE LONDON"/>
    <n v="0"/>
    <n v="1"/>
    <d v="2025-06-30T00:00:00"/>
    <x v="25"/>
  </r>
  <r>
    <s v="ORT-11709"/>
    <s v="C000420195"/>
    <s v="PORTLAND HOUSE BRESSENDEN PLACE LONDON"/>
    <n v="0"/>
    <n v="1"/>
    <d v="2025-06-30T00:00:00"/>
    <x v="25"/>
  </r>
  <r>
    <s v="ORT-11710"/>
    <s v="C000420196"/>
    <s v="PORTLAND HOUSE BRESSENDEN PLACE LONDON"/>
    <n v="0"/>
    <n v="1"/>
    <d v="2025-06-30T00:00:00"/>
    <x v="25"/>
  </r>
  <r>
    <s v="ORT-11711"/>
    <s v="CF00000545"/>
    <s v="GPE - SAINT MAUR CRETEIL STATION"/>
    <n v="42"/>
    <n v="0"/>
    <d v="2025-06-30T00:00:00"/>
    <x v="25"/>
  </r>
  <r>
    <s v="ORT-11712"/>
    <s v="C000420201"/>
    <s v="LEADENHALL STREET NO 40 KIRKLAND &amp; ELLIS FLRS 15-34 LONDON"/>
    <n v="0"/>
    <n v="1"/>
    <d v="2025-06-30T00:00:00"/>
    <x v="25"/>
  </r>
  <r>
    <s v="ORT-11713"/>
    <s v="C000420204"/>
    <s v="OXFORD STREET NO 334-348 S&amp;C / LOBBIES LONDON"/>
    <n v="78"/>
    <n v="0"/>
    <d v="2025-06-30T00:00:00"/>
    <x v="25"/>
  </r>
  <r>
    <s v="ORT-11714"/>
    <s v="C000420207"/>
    <s v="CITY POINT 2ND FLR HAYMARKET TERRACE NO 65 EDINBURGH"/>
    <n v="78"/>
    <n v="0"/>
    <d v="2025-06-30T00:00:00"/>
    <x v="25"/>
  </r>
  <r>
    <s v="ORT-11715"/>
    <s v="C000420208"/>
    <s v="MORE LONDON NO 6 CAT A LONDON"/>
    <n v="1"/>
    <n v="1"/>
    <d v="2025-07-01T00:00:00"/>
    <x v="25"/>
  </r>
  <r>
    <s v="ORT-11716"/>
    <s v="C000420209"/>
    <s v="STONECUTTER COURT CAT B TRAVERS SMITH LONDON"/>
    <n v="5"/>
    <n v="1"/>
    <d v="2025-07-01T00:00:00"/>
    <x v="25"/>
  </r>
  <r>
    <s v="ORT-11717"/>
    <s v="C000420210"/>
    <s v="THE OXFORD SCIENCE PARK PLOTS NO 23-26 OXFORD"/>
    <n v="7"/>
    <n v="0"/>
    <d v="2025-07-01T00:00:00"/>
    <x v="25"/>
  </r>
  <r>
    <s v="ORT-11718"/>
    <s v="C000420213"/>
    <s v="VICTORIA STREET NO 105 LIFT LOBBIES LONDON"/>
    <n v="9"/>
    <n v="0"/>
    <d v="2025-07-01T00:00:00"/>
    <x v="25"/>
  </r>
  <r>
    <s v="ORT-11719"/>
    <s v="C000420216"/>
    <s v="UNKNOWN"/>
    <n v="5"/>
    <n v="1"/>
    <d v="2025-07-01T00:00:00"/>
    <x v="25"/>
  </r>
  <r>
    <s v="ORT-11720"/>
    <s v="C000420217"/>
    <s v="OLD BROAD STREET NO 125 FLR 21 REFURB LONDON"/>
    <n v="10"/>
    <n v="0"/>
    <d v="2025-07-01T00:00:00"/>
    <x v="25"/>
  </r>
  <r>
    <s v="ORT-11721"/>
    <s v="C000420221"/>
    <s v="MANCHESTER SCIENCE PARK GREENHEYS PROJECT"/>
    <n v="0"/>
    <n v="1"/>
    <d v="2025-07-01T00:00:00"/>
    <x v="25"/>
  </r>
  <r>
    <s v="ORT-11722"/>
    <s v="C000420223"/>
    <s v="VICTORIA HOUSE BLOOMSBURY SQUARE LONDON"/>
    <n v="0"/>
    <n v="1"/>
    <d v="2025-07-01T00:00:00"/>
    <x v="25"/>
  </r>
  <r>
    <s v="ORT-11723"/>
    <s v="C000420225"/>
    <s v="WORKPLACE INTERIORS MISC 2025"/>
    <n v="0"/>
    <n v="1"/>
    <d v="2025-07-01T00:00:00"/>
    <x v="25"/>
  </r>
  <r>
    <s v="ORT-11725"/>
    <s v="C000420232"/>
    <s v="PORSCHE SHOWROOM EXETER"/>
    <n v="0"/>
    <n v="1"/>
    <d v="2025-07-01T00:00:00"/>
    <x v="25"/>
  </r>
  <r>
    <s v="ORT-11726"/>
    <s v="C000420236"/>
    <s v="QUEENSFERRY STREET NO 1-8 HOTEL EDINBURGH"/>
    <n v="7"/>
    <n v="0"/>
    <d v="2025-07-01T00:00:00"/>
    <x v="25"/>
  </r>
  <r>
    <s v="ORT-11727"/>
    <s v="C000420237"/>
    <s v="QUEEN VICTORIA STREET NO 160 FLR 2 LONDON"/>
    <n v="2"/>
    <n v="1"/>
    <d v="2025-07-01T00:00:00"/>
    <x v="25"/>
  </r>
  <r>
    <s v="ORT-11728"/>
    <s v="C000420242"/>
    <s v="MUSEO BELLAS ARTES BILBAO"/>
    <n v="6"/>
    <n v="0"/>
    <d v="2025-07-02T00:00:00"/>
    <x v="25"/>
  </r>
  <r>
    <s v="ORT-11729"/>
    <s v="C000420243"/>
    <s v="SAMPLE ROOM READING"/>
    <n v="77"/>
    <n v="0"/>
    <d v="2025-07-02T00:00:00"/>
    <x v="25"/>
  </r>
  <r>
    <s v="ORT-11730"/>
    <m/>
    <s v="WILLEN HOUSE BATH STREET NO 8-26 LONDON"/>
    <n v="77"/>
    <n v="0"/>
    <d v="2025-07-02T00:00:00"/>
    <x v="25"/>
  </r>
  <r>
    <s v="ORT-11731"/>
    <s v="C000420248"/>
    <s v="IPSWICH TOWN FOOTBALL CLUB LEVEL 2 LOUNGE"/>
    <n v="0"/>
    <n v="1"/>
    <d v="2025-07-02T00:00:00"/>
    <x v="25"/>
  </r>
  <r>
    <s v="ORT-11732"/>
    <s v="C000420249"/>
    <s v="BUCKINGHAM PALACE ROAD NO 123-151 SKYHUB HARTREE LONDON"/>
    <n v="11"/>
    <n v="0"/>
    <d v="2025-07-02T00:00:00"/>
    <x v="25"/>
  </r>
  <r>
    <s v="ORT-11733"/>
    <s v="C000420250"/>
    <s v="PORTMAN SQUARE NO 40 LEVEL 1-3 CPPIB FIT OUT LONDON"/>
    <n v="62"/>
    <n v="0"/>
    <d v="2025-07-02T00:00:00"/>
    <x v="25"/>
  </r>
  <r>
    <s v="ORT-11734"/>
    <s v="C000420256"/>
    <s v="MANSION HOUSE REFURB WALBROOK LONDON"/>
    <n v="1"/>
    <n v="1"/>
    <d v="2025-07-02T00:00:00"/>
    <x v="25"/>
  </r>
  <r>
    <s v="ORT-11735"/>
    <s v="C000420260"/>
    <s v="REPSOL 2026 PLAN MADRID"/>
    <n v="8"/>
    <n v="0"/>
    <d v="2025-07-02T00:00:00"/>
    <x v="25"/>
  </r>
  <r>
    <s v="ORT-11736"/>
    <s v="C000420262"/>
    <s v="UNI OF LIVERPOOL WATERHOUSE BUILDING"/>
    <n v="6"/>
    <n v="0"/>
    <d v="2025-07-02T00:00:00"/>
    <x v="25"/>
  </r>
  <r>
    <s v="ORT-11737"/>
    <s v="C000420279"/>
    <s v="GRESHAM STREET NO 20 CAT A REFURB LONDON"/>
    <n v="45"/>
    <n v="0"/>
    <d v="2025-07-03T00:00:00"/>
    <x v="25"/>
  </r>
  <r>
    <s v="ORT-11738"/>
    <s v="C000420282"/>
    <s v="WARNER MUSIC UK WRIGHTS LANE NO 27 LONDON"/>
    <n v="0"/>
    <n v="1"/>
    <d v="2025-07-03T00:00:00"/>
    <x v="25"/>
  </r>
  <r>
    <s v="ORT-11739"/>
    <s v="C000420283"/>
    <s v="EVERTON FC BRAMLEY MOORE DOCK STADIUM FEATURES LIVERPOOL"/>
    <n v="0"/>
    <n v="1"/>
    <d v="2025-07-03T00:00:00"/>
    <x v="25"/>
  </r>
  <r>
    <s v="ORT-11740"/>
    <s v="C000420301"/>
    <s v="KFC MISC 2025"/>
    <n v="0"/>
    <n v="1"/>
    <d v="2025-07-03T00:00:00"/>
    <x v="25"/>
  </r>
  <r>
    <s v="ORT-11741"/>
    <s v="C000420304"/>
    <s v="NDA - JP MORGAN AL FAISALIYAH TOWER RIYADH KSA"/>
    <n v="0"/>
    <n v="1"/>
    <d v="2025-07-03T00:00:00"/>
    <x v="25"/>
  </r>
  <r>
    <s v="ORT-11742"/>
    <s v="C000420308"/>
    <s v="DASHWOOD LANG ROAD GROUND FLOOR REFURB ADDLESTONE"/>
    <n v="0"/>
    <n v="1"/>
    <d v="2025-07-03T00:00:00"/>
    <x v="25"/>
  </r>
  <r>
    <s v="ORT-11743"/>
    <s v="C000420310"/>
    <s v="THE POINT BUILDING MARKET STREET MAERSK CAT A MAIDENHEAD"/>
    <n v="0"/>
    <n v="1"/>
    <d v="2025-07-03T00:00:00"/>
    <x v="25"/>
  </r>
  <r>
    <s v="ORT-11744"/>
    <s v="C000420312"/>
    <s v="THE POINT BUILDING MARKET STREET MAERSK CAT A MAIDENHEAD"/>
    <n v="0"/>
    <n v="1"/>
    <d v="2025-07-03T00:00:00"/>
    <x v="25"/>
  </r>
  <r>
    <s v="ORT-11745"/>
    <m/>
    <s v="IMMERSIVE TOWER DIFC COMMERCIAL OFFICE DEVT DUBAI"/>
    <n v="32"/>
    <n v="0"/>
    <d v="2025-07-03T00:00:00"/>
    <x v="25"/>
  </r>
  <r>
    <s v="ORT-11746"/>
    <s v="C000420314"/>
    <s v="LONDON WALL PLACE NO 2 LEVEL 4 LOGITECH FIT OUT LONDON"/>
    <n v="11"/>
    <n v="0"/>
    <d v="2025-07-04T00:00:00"/>
    <x v="25"/>
  </r>
  <r>
    <s v="ORT-11747"/>
    <s v="C000420321"/>
    <s v="EURSHELL MISC TILE &amp; GRID 2025"/>
    <n v="11"/>
    <n v="0"/>
    <d v="2025-07-04T00:00:00"/>
    <x v="25"/>
  </r>
  <r>
    <s v="ORT-11748"/>
    <s v="C000420323"/>
    <s v="PUBLIC WCS FIT OUT PARLIAMENT STREET WESTMINSTER LONDON"/>
    <n v="0"/>
    <n v="1"/>
    <d v="2025-07-04T00:00:00"/>
    <x v="25"/>
  </r>
  <r>
    <s v="ORT-11749"/>
    <s v="C000420325"/>
    <s v="CENTRAL SQUARE WELLING STREET NO 29 FREETHS PH2 LEEDS"/>
    <n v="1"/>
    <n v="1"/>
    <d v="2025-07-04T00:00:00"/>
    <x v="25"/>
  </r>
  <r>
    <s v="ORT-11750"/>
    <s v="C000420327"/>
    <s v="CITY OF LONDON SCHOOL FOR GIRLS SUMMER 2025 WORKS BARBICAN"/>
    <n v="0"/>
    <n v="1"/>
    <d v="2025-07-04T00:00:00"/>
    <x v="25"/>
  </r>
  <r>
    <s v="ORT-11751"/>
    <s v="C000420331"/>
    <s v="EURSHELL MISC TILE &amp; GRID 2025"/>
    <n v="0"/>
    <n v="1"/>
    <d v="2025-07-04T00:00:00"/>
    <x v="25"/>
  </r>
  <r>
    <s v="ORT-11752"/>
    <m/>
    <s v="WARNER MUSIC UK WRIGHTS LANE NO 27 LONDON"/>
    <n v="0"/>
    <n v="1"/>
    <d v="2025-07-04T00:00:00"/>
    <x v="25"/>
  </r>
  <r>
    <s v="ORT-11753"/>
    <s v="C000420340"/>
    <s v="WINCHESTER COLLEGE BOARDING AND SPORTS FACILITIES"/>
    <n v="63"/>
    <n v="0"/>
    <d v="2025-07-07T00:00:00"/>
    <x v="26"/>
  </r>
  <r>
    <s v="ORT-11754"/>
    <s v="C000420341"/>
    <s v="EDEN CAMPUS UNILEVER CAT B KINGSTON"/>
    <n v="0"/>
    <n v="1"/>
    <d v="2025-07-07T00:00:00"/>
    <x v="26"/>
  </r>
  <r>
    <s v="ORT-11755"/>
    <s v="C000420345"/>
    <s v="EVERTON FC BRAMLEY MOORE DOCK STADIUM FEATURES LIVERPOOL"/>
    <n v="0"/>
    <n v="1"/>
    <d v="2025-07-07T00:00:00"/>
    <x v="26"/>
  </r>
  <r>
    <s v="ORT-11756"/>
    <s v="C000420347"/>
    <s v="BERKHAMSTED GOLF CLUB FABRIC RAFTS"/>
    <n v="7"/>
    <n v="0"/>
    <d v="2025-07-07T00:00:00"/>
    <x v="26"/>
  </r>
  <r>
    <s v="ORT-11757"/>
    <s v="C000420339"/>
    <s v="BISHOPSGATE NO 199 CAT B FLR 9 CROWELL MORING LONDON"/>
    <n v="0"/>
    <n v="1"/>
    <d v="2025-07-07T00:00:00"/>
    <x v="26"/>
  </r>
  <r>
    <s v="ORT-11758"/>
    <s v="C000420348"/>
    <s v="GLOBE HOUSE TEMPLE PLACE NO 4 REFURB LONDON"/>
    <n v="0"/>
    <n v="1"/>
    <d v="2025-07-07T00:00:00"/>
    <x v="26"/>
  </r>
  <r>
    <s v="ORT-11759"/>
    <s v="C000420354"/>
    <s v="OSNEY POWER STATION SAID BUSINESS SCHOOL OXFORD"/>
    <n v="0"/>
    <n v="1"/>
    <d v="2025-07-07T00:00:00"/>
    <x v="26"/>
  </r>
  <r>
    <s v="ORT-11760"/>
    <s v="C000420355"/>
    <s v="CITY CENTER MIRDIF CCMI CITY KITCHEN WALL PANEL DUBAI"/>
    <n v="33"/>
    <n v="0"/>
    <d v="2025-07-07T00:00:00"/>
    <x v="26"/>
  </r>
  <r>
    <s v="ORT-11761"/>
    <s v="C000420359"/>
    <s v="ST GEORGES HOSPITAL REFURB LONDON"/>
    <n v="0"/>
    <n v="1"/>
    <d v="2025-07-08T00:00:00"/>
    <x v="26"/>
  </r>
  <r>
    <s v="ORT-11762"/>
    <s v="C000420363"/>
    <s v="GRESHAM STREET NO 10 REMEDIAL LONDON"/>
    <n v="6"/>
    <n v="0"/>
    <d v="2025-07-08T00:00:00"/>
    <x v="26"/>
  </r>
  <r>
    <s v="ORT-11763"/>
    <s v="C000420364"/>
    <s v="WILTON ROAD NO 129 CAT A FLOORS 1-5 LONDON"/>
    <n v="0"/>
    <n v="1"/>
    <d v="2025-07-08T00:00:00"/>
    <x v="26"/>
  </r>
  <r>
    <s v="ORT-11764"/>
    <s v="C000420365"/>
    <s v="LEADENHALL STREET NO 40 SOMPO FLRS 5-6 LONDON"/>
    <n v="7"/>
    <n v="0"/>
    <d v="2025-07-08T00:00:00"/>
    <x v="26"/>
  </r>
  <r>
    <s v="ORT-11765"/>
    <s v="C000420366"/>
    <s v="THE GRANGE BISHOPS CLEEVE CHELTENHAM"/>
    <n v="1"/>
    <n v="1"/>
    <d v="2025-07-08T00:00:00"/>
    <x v="26"/>
  </r>
  <r>
    <s v="ORT-11766"/>
    <s v="C000420369"/>
    <s v="MANCHESTER AIRPORT T1 STAFF CHANNEL"/>
    <n v="0"/>
    <n v="1"/>
    <d v="2025-07-08T00:00:00"/>
    <x v="26"/>
  </r>
  <r>
    <s v="ORT-11767"/>
    <s v="C000420374"/>
    <s v="UCB PHARMA COLLABORATION HUB WINDLESHAM CAMPUS SURREY"/>
    <n v="0"/>
    <n v="1"/>
    <d v="2025-07-08T00:00:00"/>
    <x v="26"/>
  </r>
  <r>
    <s v="ORT-11768"/>
    <s v="C000420375"/>
    <s v="BOWMER &amp; KIRKLAND HQ REFURB HEAGE BELPER"/>
    <n v="0"/>
    <n v="1"/>
    <d v="2025-07-08T00:00:00"/>
    <x v="26"/>
  </r>
  <r>
    <s v="ORT-11770"/>
    <s v="C000420383"/>
    <s v="MANCHESTER AIRPORT T2 EAST WING NEW DEVELOPMENT"/>
    <n v="0"/>
    <n v="1"/>
    <d v="2025-07-08T00:00:00"/>
    <x v="26"/>
  </r>
  <r>
    <s v="ORT-11771"/>
    <s v="C000420384"/>
    <s v="CENTRAL BANK OF IRAQ HEADQUARTERS BAGHDAD"/>
    <n v="23"/>
    <n v="0"/>
    <d v="2025-07-08T00:00:00"/>
    <x v="26"/>
  </r>
  <r>
    <s v="ORT-11772"/>
    <s v="C000420395"/>
    <s v="HERON TOWER BISHOPSGATE NO 110 FLR 3 &amp; 4 REFURB LONDON"/>
    <n v="0"/>
    <n v="1"/>
    <d v="2025-07-09T00:00:00"/>
    <x v="26"/>
  </r>
  <r>
    <s v="ORT-11773"/>
    <s v="C000420396"/>
    <s v="NEW STREET SQUARE NO 5 TAYLOR WESSING REFURB LONDON"/>
    <n v="0"/>
    <n v="1"/>
    <d v="2025-07-09T00:00:00"/>
    <x v="26"/>
  </r>
  <r>
    <s v="ORT-11774"/>
    <s v="C000420397"/>
    <s v="HERON TOWER NO 110 BISHOPSGATE TRADITION FLOORS 8-10 LONDON"/>
    <n v="6"/>
    <n v="0"/>
    <d v="2025-07-09T00:00:00"/>
    <x v="26"/>
  </r>
  <r>
    <s v="ORT-11775"/>
    <s v="C000420398"/>
    <s v="KHAZNA AUH4 DATA CENTER &amp; SERVICE BLDG AL MAFRAQ AUH"/>
    <n v="63"/>
    <n v="0"/>
    <d v="2025-07-09T00:00:00"/>
    <x v="26"/>
  </r>
  <r>
    <s v="ORT-11776"/>
    <s v="C000420400"/>
    <s v="DORKING OFFICE PARK NO 7 STONEBRIDGE HOUSE LIGHTING"/>
    <n v="23"/>
    <n v="0"/>
    <d v="2025-07-09T00:00:00"/>
    <x v="26"/>
  </r>
  <r>
    <s v="ORT-11777"/>
    <s v="C000420406"/>
    <s v="DIAMOND LIGHT SOURCE DEB EXTENSIONS DIDCOT"/>
    <n v="0"/>
    <n v="1"/>
    <d v="2025-07-09T00:00:00"/>
    <x v="26"/>
  </r>
  <r>
    <s v="ORT-11778"/>
    <s v="C000420407"/>
    <s v="PADDINGTON CENTRAL KINGDOM ST NO 1 FLRS 1,6,8 EQUINOR LONDON"/>
    <n v="1"/>
    <n v="1"/>
    <d v="2025-07-09T00:00:00"/>
    <x v="26"/>
  </r>
  <r>
    <s v="ORT-11779"/>
    <s v="C000420408"/>
    <s v="UCB FARCHIM"/>
    <n v="38"/>
    <n v="0"/>
    <d v="2025-07-09T00:00:00"/>
    <x v="26"/>
  </r>
  <r>
    <s v="ORT-11780"/>
    <s v="C000420414"/>
    <s v="LEADENHALL STREET NO 40 KIRKLAND &amp; ELLIS FLRS 15-34 LONDON"/>
    <n v="0"/>
    <n v="1"/>
    <d v="2025-07-09T00:00:00"/>
    <x v="26"/>
  </r>
  <r>
    <s v="ORT-11781"/>
    <s v="C000420416"/>
    <s v="LEADENHALL STREET NO 40 KIRKLAND &amp; ELLIS FLRS 15-34 LONDON"/>
    <n v="7"/>
    <n v="0"/>
    <d v="2025-07-09T00:00:00"/>
    <x v="26"/>
  </r>
  <r>
    <s v="ORT-11782"/>
    <s v="C000420417"/>
    <s v="CANARY WHARF WOOD WHARF B2 LIFT LOBBIES LONDON"/>
    <n v="7"/>
    <n v="0"/>
    <d v="2025-07-09T00:00:00"/>
    <x v="26"/>
  </r>
  <r>
    <s v="ORT-11785"/>
    <s v="C000420425"/>
    <s v="LIVERPOOL STREET NO 1 &amp; BLOMFIELD STREET S&amp;C LONDON"/>
    <n v="1"/>
    <n v="1"/>
    <d v="2025-07-10T00:00:00"/>
    <x v="26"/>
  </r>
  <r>
    <s v="ORT-11786"/>
    <s v="C000420430"/>
    <s v="OXFORD STREET NO 334-348 S&amp;C / LOBBIES LONDON"/>
    <n v="0"/>
    <n v="1"/>
    <d v="2025-07-10T00:00:00"/>
    <x v="26"/>
  </r>
  <r>
    <s v="ORT-11787"/>
    <s v="C000420434"/>
    <s v="DEWA HQ AL SHERAA BUILDING (B+G+4P+15) AL JADDAF"/>
    <n v="5"/>
    <n v="1"/>
    <d v="2025-07-10T00:00:00"/>
    <x v="26"/>
  </r>
  <r>
    <s v="ORT-11788"/>
    <s v="C000420435"/>
    <s v="SHELTON STREET NO 20-22 GROUND FLOOR COVENT GARDEN LONDON"/>
    <n v="1"/>
    <n v="1"/>
    <d v="2025-07-10T00:00:00"/>
    <x v="26"/>
  </r>
  <r>
    <s v="ORT-11789"/>
    <s v="C000420437"/>
    <s v="ALDERMANBURY SQUARE NO 2 BASINGHALL STREET LONDON"/>
    <n v="2"/>
    <n v="1"/>
    <d v="2025-07-10T00:00:00"/>
    <x v="26"/>
  </r>
  <r>
    <s v="ORT-11790"/>
    <s v="C000420439"/>
    <s v="ALDERSGATE ST NO 150 THE VERDANT TIKTOK JOINERY LONDON"/>
    <n v="1"/>
    <n v="1"/>
    <d v="2025-07-10T00:00:00"/>
    <x v="26"/>
  </r>
  <r>
    <s v="ORT-11791"/>
    <s v="C000420441"/>
    <s v="CADWORKS FLOOR 7 FIT OUT GLASGOW"/>
    <n v="4"/>
    <n v="1"/>
    <d v="2025-07-10T00:00:00"/>
    <x v="26"/>
  </r>
  <r>
    <s v="ORT-11792"/>
    <s v="C000420442"/>
    <s v="HOTEL ALBUFERA VALENCIA"/>
    <n v="70"/>
    <n v="0"/>
    <d v="2025-07-10T00:00:00"/>
    <x v="26"/>
  </r>
  <r>
    <s v="ORT-11793"/>
    <s v="C000420446"/>
    <s v="UBS INTEGRATION OFFICE FIT OUT MSHEREIB DOHA"/>
    <n v="19"/>
    <n v="0"/>
    <d v="2025-07-10T00:00:00"/>
    <x v="26"/>
  </r>
  <r>
    <s v="ORT-11794"/>
    <s v="C000420449"/>
    <s v="DUTY FREE PORTO"/>
    <n v="11"/>
    <n v="0"/>
    <d v="2025-07-10T00:00:00"/>
    <x v="26"/>
  </r>
  <r>
    <s v="ORT-11796"/>
    <s v="C000420457"/>
    <s v="CRAYFIELDS BUSINESS PARK UNIT 4.01 ORPINGTON"/>
    <n v="2"/>
    <n v="1"/>
    <d v="2025-07-11T00:00:00"/>
    <x v="26"/>
  </r>
  <r>
    <s v="ORT-11797"/>
    <s v="C000420462"/>
    <s v="CENTRAL BANK OF IRAQ HEADQUARTERS BAGHDAD"/>
    <n v="70"/>
    <n v="0"/>
    <d v="2025-07-11T00:00:00"/>
    <x v="26"/>
  </r>
  <r>
    <s v="ORT-11798"/>
    <s v="C000420466"/>
    <s v="ARLINGTON BUSINESS PARK NO 1330 THEALE READING"/>
    <n v="0"/>
    <n v="1"/>
    <d v="2025-07-11T00:00:00"/>
    <x v="26"/>
  </r>
  <r>
    <s v="ORT-11799"/>
    <s v="C000420474"/>
    <s v="MARKS AND SPENCER TEMPLE FORTUNE"/>
    <n v="0"/>
    <n v="1"/>
    <d v="2025-07-11T00:00:00"/>
    <x v="26"/>
  </r>
  <r>
    <s v="ORT-11800"/>
    <s v="C000420475"/>
    <s v="PILGRIM STREET NO 11 CAT A REFURB LONDON"/>
    <n v="0"/>
    <n v="1"/>
    <d v="2025-07-11T00:00:00"/>
    <x v="26"/>
  </r>
  <r>
    <s v="ORT-11801"/>
    <s v="C000420476"/>
    <s v="ST MICHAELS TOWER FLRS 7 &amp; 8 MANCHESTER"/>
    <n v="0"/>
    <n v="1"/>
    <d v="2025-07-11T00:00:00"/>
    <x v="26"/>
  </r>
  <r>
    <s v="ORT-11802"/>
    <s v="C000420478"/>
    <s v="SHAFTESBURY AVENUE NO 130 CAT B FLOORS 3-4 TALON LONDON"/>
    <n v="0"/>
    <n v="1"/>
    <d v="2025-07-11T00:00:00"/>
    <x v="26"/>
  </r>
  <r>
    <s v="ORT-11803"/>
    <s v="C000420480"/>
    <s v="ST GEORGE STREET NO 28 CAT A LONDON"/>
    <n v="13"/>
    <n v="0"/>
    <d v="2025-07-11T00:00:00"/>
    <x v="26"/>
  </r>
  <r>
    <s v="ORT-11804"/>
    <s v="C000420482"/>
    <s v="WHITFIELD STREET NO 90 FLOORS 4-5 LONDON"/>
    <n v="34"/>
    <n v="0"/>
    <d v="2025-07-11T00:00:00"/>
    <x v="26"/>
  </r>
  <r>
    <s v="ORT-11806"/>
    <s v="C000420484"/>
    <s v="SPINNINGFIELDS NO 1 9TH FLOOR REFURB MANCHESTER"/>
    <n v="0"/>
    <n v="1"/>
    <d v="2025-07-11T00:00:00"/>
    <x v="26"/>
  </r>
  <r>
    <s v="ORT-11808"/>
    <s v="C000420488"/>
    <s v="OXFORD SCIENCE PARK SCHRODINGER BUILDING"/>
    <n v="19"/>
    <n v="0"/>
    <d v="2025-07-14T00:00:00"/>
    <x v="27"/>
  </r>
  <r>
    <s v="ORT-11809"/>
    <s v="C000420489"/>
    <s v="OXFORD SCIENCE PARK SCHRODINGER BUILDING"/>
    <n v="66"/>
    <n v="0"/>
    <d v="2025-07-14T00:00:00"/>
    <x v="27"/>
  </r>
  <r>
    <s v="ORT-11810"/>
    <s v="C000420491"/>
    <s v="LEADENHALL STREET NO 1 CAT B LATHAM &amp; WATKINS FLRS 1-20"/>
    <n v="24"/>
    <n v="0"/>
    <d v="2025-07-14T00:00:00"/>
    <x v="27"/>
  </r>
  <r>
    <s v="ORT-11811"/>
    <s v="C000420492"/>
    <s v="CHEAPSIDE NO 100 CAT B CRAVAITH SWAINE &amp; MOORE LONDON"/>
    <n v="0"/>
    <n v="1"/>
    <d v="2025-07-14T00:00:00"/>
    <x v="27"/>
  </r>
  <r>
    <s v="ORT-11812"/>
    <s v="C000420497"/>
    <s v="ONE STATION HILL PWC CAT B FITOUT READING"/>
    <n v="13"/>
    <n v="0"/>
    <d v="2025-07-14T00:00:00"/>
    <x v="27"/>
  </r>
  <r>
    <s v="ORT-11815"/>
    <s v="C000420503"/>
    <s v="MANCHESTER SCIENCE PARK GREENHEYS PROJECT"/>
    <n v="0"/>
    <n v="1"/>
    <d v="2025-07-14T00:00:00"/>
    <x v="27"/>
  </r>
  <r>
    <s v="ORT-11816"/>
    <s v="C000420504"/>
    <s v="MANCHESTER SCIENCE PARK GREENHEYS PROJECT"/>
    <n v="0"/>
    <n v="1"/>
    <d v="2025-07-14T00:00:00"/>
    <x v="27"/>
  </r>
  <r>
    <s v="ORT-11817"/>
    <s v="C000420505"/>
    <s v="GRESHAM STREET NO 20 CAT A REFURB LONDON"/>
    <n v="0"/>
    <n v="1"/>
    <d v="2025-07-14T00:00:00"/>
    <x v="27"/>
  </r>
  <r>
    <s v="ORT-11819"/>
    <s v="C000420515"/>
    <s v="MID KENT COLLEGE GILLINGHAM CAMPUS REFURB GILLINGHAM"/>
    <n v="0"/>
    <n v="1"/>
    <d v="2025-07-15T00:00:00"/>
    <x v="27"/>
  </r>
  <r>
    <s v="ORT-11820"/>
    <s v="C000420520"/>
    <s v="FIVE GUYS HEATHROW TERMINAL 5 LONDON"/>
    <n v="18"/>
    <n v="0"/>
    <d v="2025-07-15T00:00:00"/>
    <x v="27"/>
  </r>
  <r>
    <s v="ORT-11821"/>
    <s v="C000420523"/>
    <s v="FIVE GUYS HEATHROW TERMINAL 5 LONDON LIGHTING"/>
    <n v="17"/>
    <n v="0"/>
    <d v="2025-07-15T00:00:00"/>
    <x v="27"/>
  </r>
  <r>
    <s v="ORT-11822"/>
    <s v="C000420524"/>
    <s v="EMBERTON HOUSE OLYMPIA REDEVELOPMENT FIT-OUT LONDON"/>
    <n v="0"/>
    <n v="1"/>
    <d v="2025-07-15T00:00:00"/>
    <x v="27"/>
  </r>
  <r>
    <s v="ORT-11823"/>
    <m/>
    <s v="HSBC PLATINUM MSHEIREB DOHA QATAR"/>
    <n v="0"/>
    <n v="1"/>
    <d v="2025-07-15T00:00:00"/>
    <x v="27"/>
  </r>
  <r>
    <s v="ORT-11824"/>
    <s v="C000420529"/>
    <s v="SALFORD CENTRAL PLOT C2 FOUR NEW BAILEY"/>
    <n v="0"/>
    <n v="1"/>
    <d v="2025-07-15T00:00:00"/>
    <x v="27"/>
  </r>
  <r>
    <s v="ORT-11825"/>
    <s v="C000420535"/>
    <s v="GRESHAM STREET NO 20 CAT A REFURB LONDON"/>
    <n v="2"/>
    <n v="1"/>
    <d v="2025-07-16T00:00:00"/>
    <x v="27"/>
  </r>
  <r>
    <s v="ORT-11826"/>
    <s v="C000420534"/>
    <s v="GRESHAM STREET NO 20 CAT A REFURB LONDON"/>
    <n v="12"/>
    <n v="0"/>
    <d v="2025-07-16T00:00:00"/>
    <x v="27"/>
  </r>
  <r>
    <s v="ORT-11827"/>
    <s v="C000420536"/>
    <s v="GRESHAM STREET NO 20 CAT A REFURB LONDON"/>
    <n v="48"/>
    <n v="0"/>
    <d v="2025-07-16T00:00:00"/>
    <x v="27"/>
  </r>
  <r>
    <s v="ORT-11828"/>
    <s v="C000420538"/>
    <s v="STATION STREET LOXLEY HOUSE AREA 3 NOTTINGHAM"/>
    <n v="0"/>
    <n v="1"/>
    <d v="2025-07-16T00:00:00"/>
    <x v="27"/>
  </r>
  <r>
    <s v="ORT-11829"/>
    <s v="C000420542"/>
    <s v="KINGS CROSS PANCRAS SQUARE NO 2 FLR 4 REFURB LONDON"/>
    <n v="0"/>
    <n v="1"/>
    <d v="2025-07-16T00:00:00"/>
    <x v="27"/>
  </r>
  <r>
    <s v="ORT-11830"/>
    <s v="C000420552"/>
    <s v="MANCHESTER AIRPORT T2 EAST WING NEW DEVELOPMENT"/>
    <n v="0"/>
    <n v="1"/>
    <d v="2025-07-16T00:00:00"/>
    <x v="27"/>
  </r>
  <r>
    <s v="ORT-11831"/>
    <s v="CF00000549"/>
    <s v="COEUR AEROGARE MARSEILLE"/>
    <n v="57"/>
    <n v="0"/>
    <d v="2025-07-16T00:00:00"/>
    <x v="27"/>
  </r>
  <r>
    <s v="ORT-11832"/>
    <s v="C000420556"/>
    <s v="BOWMER &amp; KIRKLAND HQ REFURB HEAGE BELPER"/>
    <n v="0"/>
    <n v="1"/>
    <d v="2025-07-16T00:00:00"/>
    <x v="27"/>
  </r>
  <r>
    <s v="ORT-11835"/>
    <s v="C000420559"/>
    <s v="SAMPLE ROOM READING"/>
    <n v="0"/>
    <n v="1"/>
    <d v="2025-07-17T00:00:00"/>
    <x v="27"/>
  </r>
  <r>
    <s v="ORT-11836"/>
    <s v="C000420561"/>
    <s v="PADDINGTON CENTRAL KINGDOM ST NO 1 FLRS 1,6,8 EQUINOR LONDON"/>
    <n v="23"/>
    <n v="0"/>
    <d v="2025-07-17T00:00:00"/>
    <x v="27"/>
  </r>
  <r>
    <s v="ORT-11837"/>
    <s v="C000420562"/>
    <s v="OXFORD SCIENCE PARK SCHRODINGER BUILDING"/>
    <n v="0"/>
    <n v="1"/>
    <d v="2025-07-17T00:00:00"/>
    <x v="27"/>
  </r>
  <r>
    <s v="ORT-11838"/>
    <s v="C000420563"/>
    <s v="THE CURSITOR CHANCERY LANE NO 38 CAT A REFURB LONDON"/>
    <n v="0"/>
    <n v="1"/>
    <d v="2025-07-17T00:00:00"/>
    <x v="27"/>
  </r>
  <r>
    <s v="ORT-11839"/>
    <s v="C000420564"/>
    <s v="ORANGEBOX POD CASSETTES"/>
    <n v="0"/>
    <n v="1"/>
    <d v="2025-07-17T00:00:00"/>
    <x v="27"/>
  </r>
  <r>
    <s v="ORT-11840"/>
    <s v="C000420566"/>
    <s v="PADDINGTON CENTRAL KINGDOM ST NO 1 FLRS 1,6,8 EQUINOR LONDON"/>
    <n v="33"/>
    <n v="0"/>
    <d v="2025-07-17T00:00:00"/>
    <x v="27"/>
  </r>
  <r>
    <s v="ORT-11841"/>
    <s v="C000420567"/>
    <s v="MORE LONDON RIVERSIDE NO 7 PWC REFRESH LONDON"/>
    <n v="0"/>
    <n v="1"/>
    <d v="2025-07-17T00:00:00"/>
    <x v="27"/>
  </r>
  <r>
    <s v="ORT-11842"/>
    <s v="C000420568"/>
    <s v="UNKNOWN"/>
    <n v="2"/>
    <n v="1"/>
    <d v="2025-07-17T00:00:00"/>
    <x v="27"/>
  </r>
  <r>
    <s v="ORT-11843"/>
    <m/>
    <s v="Active Stretch Fabric"/>
    <n v="65"/>
    <n v="0"/>
    <d v="2025-07-17T00:00:00"/>
    <x v="27"/>
  </r>
  <r>
    <s v="ORT-11844"/>
    <s v="C000420573"/>
    <s v="CENTRAL BANK OF IRAQ HEADQUARTERS BAGHDAD"/>
    <n v="61"/>
    <n v="0"/>
    <d v="2025-07-17T00:00:00"/>
    <x v="27"/>
  </r>
  <r>
    <s v="ORT-11845"/>
    <s v="C000420577"/>
    <s v="DOVER STREET NO 48 CAT B SIXTH STREET LONDON"/>
    <n v="6"/>
    <n v="0"/>
    <d v="2025-07-17T00:00:00"/>
    <x v="27"/>
  </r>
  <r>
    <s v="ORT-11848"/>
    <s v="C000420588"/>
    <s v="HOSPITAL EL CARMEN CIUDAD REAL"/>
    <n v="34"/>
    <n v="0"/>
    <d v="2025-07-18T00:00:00"/>
    <x v="27"/>
  </r>
  <r>
    <s v="ORT-11849"/>
    <m/>
    <s v="NOVARTIS PHASE 2 BARCELONA"/>
    <n v="0"/>
    <n v="1"/>
    <d v="2025-07-18T00:00:00"/>
    <x v="27"/>
  </r>
  <r>
    <s v="ORT-11850"/>
    <s v="C000420594"/>
    <s v="MOORFIELDS EYE HOSPITAL UCL INSTITUTE OF OPHTHALMOLOGY ORIEL"/>
    <n v="2"/>
    <n v="1"/>
    <d v="2025-07-18T00:00:00"/>
    <x v="27"/>
  </r>
  <r>
    <s v="ORT-11851"/>
    <s v="C000420599"/>
    <s v="MID KENT COLLEGE GILLINGHAM CAMPUS REFURB GILLINGHAM"/>
    <n v="7"/>
    <n v="0"/>
    <d v="2025-07-18T00:00:00"/>
    <x v="27"/>
  </r>
  <r>
    <s v="ORT-11852"/>
    <s v="C000420600"/>
    <s v="EURSHELL MISC TILE &amp; GRID 2025"/>
    <n v="1"/>
    <n v="1"/>
    <d v="2025-07-18T00:00:00"/>
    <x v="27"/>
  </r>
  <r>
    <s v="ORT-11853"/>
    <m/>
    <s v="LONDON SOUTH EAST COLLEGES FUTURE GREENWICH CAMPUS LONDON"/>
    <n v="0"/>
    <n v="1"/>
    <d v="2025-07-18T00:00:00"/>
    <x v="27"/>
  </r>
  <r>
    <s v="ORT-11854"/>
    <s v="C000420607"/>
    <s v="SNOW HILL BARCLAYS FIT OUT BIRMINGHAM"/>
    <n v="0"/>
    <n v="1"/>
    <d v="2025-07-21T00:00:00"/>
    <x v="28"/>
  </r>
  <r>
    <s v="ORT-11855"/>
    <s v="C000420608"/>
    <s v="WILLEN HOUSE BATH STREET NO 8-26 LONDON"/>
    <n v="2"/>
    <n v="1"/>
    <d v="2025-07-21T00:00:00"/>
    <x v="28"/>
  </r>
  <r>
    <s v="ORT-11856"/>
    <s v="C000420611"/>
    <s v="PADDINGTON CENTRAL KINGDOM ST NO 1 FLRS 1,6,8 EQUINOR LONDON"/>
    <n v="11"/>
    <n v="0"/>
    <d v="2025-07-21T00:00:00"/>
    <x v="28"/>
  </r>
  <r>
    <s v="ORT-11857"/>
    <s v="C000420613"/>
    <s v="DIAMOND LIGHT SOURCE DEB EXTENSIONS DIDCOT"/>
    <n v="0"/>
    <n v="1"/>
    <d v="2025-07-21T00:00:00"/>
    <x v="28"/>
  </r>
  <r>
    <s v="ORT-11858"/>
    <s v="C000420618"/>
    <s v="TRITON SQUARE NO 1 OFFICE / LABS CAT A LONDON"/>
    <n v="0"/>
    <n v="1"/>
    <d v="2025-07-21T00:00:00"/>
    <x v="28"/>
  </r>
  <r>
    <s v="ORT-11859"/>
    <s v="C000420620"/>
    <s v="HERON TOWER BISHOPSGATE NO 110 FLR 3 &amp; 4 REFURB LONDON"/>
    <n v="0"/>
    <n v="1"/>
    <d v="2025-07-21T00:00:00"/>
    <x v="28"/>
  </r>
  <r>
    <s v="ORT-11860"/>
    <s v="C000420625"/>
    <s v="AWE THE HUB OFFICE AND TEACHING FACILITY MHS ALDERMASTON"/>
    <n v="0"/>
    <n v="1"/>
    <d v="2025-07-21T00:00:00"/>
    <x v="28"/>
  </r>
  <r>
    <s v="ORT-11861"/>
    <s v="C000420627"/>
    <s v="PADDINGTON CENTRAL KINGDOM ST NO 1 FLRS 1,6,8 EQUINOR LONDON"/>
    <n v="13"/>
    <n v="0"/>
    <d v="2025-07-21T00:00:00"/>
    <x v="28"/>
  </r>
  <r>
    <s v="ORT-11862"/>
    <s v="C000420631"/>
    <s v="PORSCHE SHOWROOM BRISTOL"/>
    <n v="0"/>
    <n v="1"/>
    <d v="2025-07-21T00:00:00"/>
    <x v="28"/>
  </r>
  <r>
    <s v="ORT-11863"/>
    <s v="C000420632"/>
    <s v="REPSOL 2026 PLAN MADRID"/>
    <n v="54"/>
    <n v="0"/>
    <d v="2025-07-21T00:00:00"/>
    <x v="28"/>
  </r>
  <r>
    <s v="ORT-11864"/>
    <s v="C000420633"/>
    <s v="CANARY WHARF CANADA SQUARE NO 25 CITIBANK REFURB LONDON"/>
    <n v="9"/>
    <n v="0"/>
    <d v="2025-07-21T00:00:00"/>
    <x v="28"/>
  </r>
  <r>
    <s v="ORT-11865"/>
    <s v="C000420636"/>
    <s v="SAINSBURYS REFURBISHMENT TONBRIDGE"/>
    <n v="20"/>
    <n v="0"/>
    <d v="2025-07-22T00:00:00"/>
    <x v="28"/>
  </r>
  <r>
    <s v="ORT-11866"/>
    <s v="C000420639"/>
    <s v="TRITON SQUARE NO 1 OFFICE / LABS RECEPTION WALL PANELS"/>
    <n v="1"/>
    <n v="1"/>
    <d v="2025-07-22T00:00:00"/>
    <x v="28"/>
  </r>
  <r>
    <s v="ORT-11867"/>
    <s v="C000420640"/>
    <s v="ST GEORGE STREET NO 14 CAT A FLOOR 2 LIGHTING LONDON"/>
    <n v="0"/>
    <n v="1"/>
    <d v="2025-07-22T00:00:00"/>
    <x v="28"/>
  </r>
  <r>
    <s v="ORT-11868"/>
    <s v="C000420643"/>
    <s v="EURSHELL MISC TILE &amp; GRID 2025"/>
    <n v="0"/>
    <n v="1"/>
    <d v="2025-07-22T00:00:00"/>
    <x v="28"/>
  </r>
  <r>
    <s v="ORT-11869"/>
    <s v="C000420645"/>
    <s v="JACK TURNBULL MISC TILE &amp; GRID 2025"/>
    <n v="0"/>
    <n v="1"/>
    <d v="2025-07-22T00:00:00"/>
    <x v="28"/>
  </r>
  <r>
    <s v="ORT-11870"/>
    <s v="C000420648"/>
    <s v="UCB FARCHIM"/>
    <n v="6"/>
    <n v="0"/>
    <d v="2025-07-22T00:00:00"/>
    <x v="28"/>
  </r>
  <r>
    <s v="ORT-11871"/>
    <s v="C000420649"/>
    <s v="KUDU MARYLEBONE MOXON ST 6 LONDON"/>
    <n v="1"/>
    <n v="1"/>
    <d v="2025-07-22T00:00:00"/>
    <x v="28"/>
  </r>
  <r>
    <s v="ORT-11873"/>
    <s v="C000420654"/>
    <s v="QUEEN VICTORIA STREET NO 160 FLR 2 LONDON"/>
    <n v="0"/>
    <n v="1"/>
    <d v="2025-07-23T00:00:00"/>
    <x v="28"/>
  </r>
  <r>
    <s v="ORT-11874"/>
    <s v="C000420658"/>
    <s v="HEATHROW AIRPORT TERMINAL 3 CSA REFURBISHMENT"/>
    <n v="0"/>
    <n v="1"/>
    <d v="2025-07-23T00:00:00"/>
    <x v="28"/>
  </r>
  <r>
    <s v="ORT-11875"/>
    <s v="C000420683"/>
    <s v="DYSON NDA PROJECT APPLE BRISTOL"/>
    <n v="0"/>
    <n v="1"/>
    <d v="2025-07-23T00:00:00"/>
    <x v="28"/>
  </r>
  <r>
    <s v="ORT-11876"/>
    <s v="C000420661"/>
    <s v="CHRIS EDGE NORTH MISC PROJECTS 2025"/>
    <n v="0"/>
    <n v="1"/>
    <d v="2025-07-23T00:00:00"/>
    <x v="28"/>
  </r>
  <r>
    <s v="ORT-11877"/>
    <s v="C000420664"/>
    <s v="LONDON MISC 2025"/>
    <n v="0"/>
    <n v="1"/>
    <d v="2025-07-23T00:00:00"/>
    <x v="28"/>
  </r>
  <r>
    <s v="ORT-11878"/>
    <s v="C000420667"/>
    <s v="FCDO KING CHARLES STREET REFURB LONDON"/>
    <n v="5"/>
    <n v="1"/>
    <d v="2025-07-23T00:00:00"/>
    <x v="28"/>
  </r>
  <r>
    <s v="ORT-11879"/>
    <s v="C000420670"/>
    <s v="ROSARIO PINO 14 RENOVATION (20/F) MADRID"/>
    <n v="35"/>
    <n v="0"/>
    <d v="2025-07-23T00:00:00"/>
    <x v="28"/>
  </r>
  <r>
    <s v="ORT-11880"/>
    <s v="C000420672"/>
    <s v="JACK TURNBULL MISC TILE &amp; GRID 2025"/>
    <n v="6"/>
    <n v="0"/>
    <d v="2025-07-23T00:00:00"/>
    <x v="28"/>
  </r>
  <r>
    <s v="ORT-11882"/>
    <s v="C000420674"/>
    <s v="UNKNOWN"/>
    <n v="0"/>
    <n v="1"/>
    <d v="2025-07-23T00:00:00"/>
    <x v="28"/>
  </r>
  <r>
    <s v="ORT-11883"/>
    <m/>
    <s v="MORE LONDON RIVERSIDE NO 7 PWC REFRESH LONDON"/>
    <n v="62"/>
    <n v="0"/>
    <d v="2025-07-23T00:00:00"/>
    <x v="28"/>
  </r>
  <r>
    <s v="ORT-11884"/>
    <s v="C000420686"/>
    <s v="THE OXFORD SCIENCE PARK PLOTS NO 23-26 OXFORD"/>
    <n v="0"/>
    <n v="1"/>
    <d v="2025-07-23T00:00:00"/>
    <x v="28"/>
  </r>
  <r>
    <s v="ORT-11885"/>
    <s v="C000420692"/>
    <s v="LONDON SOUTH EAST COLLEGES FUTURE GREENWICH CAMPUS LONDON"/>
    <n v="17"/>
    <n v="0"/>
    <d v="2025-07-23T00:00:00"/>
    <x v="28"/>
  </r>
  <r>
    <s v="ORT-11886"/>
    <s v="C000420700"/>
    <s v="02034 CADDELL"/>
    <n v="1"/>
    <n v="1"/>
    <d v="2025-07-23T00:00:00"/>
    <x v="28"/>
  </r>
  <r>
    <s v="ORT-11887"/>
    <s v="C000420701"/>
    <s v="GATWICK AIRPORT MISC 2025"/>
    <n v="36"/>
    <n v="0"/>
    <d v="2025-07-23T00:00:00"/>
    <x v="28"/>
  </r>
  <r>
    <s v="ORT-11888"/>
    <s v="CF00000551"/>
    <s v="GPE - SAINT MAUR CRETEIL STATION"/>
    <n v="51"/>
    <n v="0"/>
    <d v="2025-07-23T00:00:00"/>
    <x v="28"/>
  </r>
  <r>
    <s v="ORT-11889"/>
    <s v="C000420708"/>
    <s v="NR EAST KILBRIDE &amp; HAIRMYRES STATIONS"/>
    <n v="5"/>
    <n v="1"/>
    <d v="2025-07-23T00:00:00"/>
    <x v="28"/>
  </r>
  <r>
    <s v="ORT-11890"/>
    <s v="C000420709"/>
    <s v="ONE LUDLOW OFFICE SUITE 2 MAIDENHEAD"/>
    <n v="6"/>
    <n v="0"/>
    <d v="2025-07-23T00:00:00"/>
    <x v="28"/>
  </r>
  <r>
    <s v="ORT-11891"/>
    <s v="C000420711"/>
    <s v="NEW BRIDGE STREET NO 100 CAT A+ LONDON"/>
    <n v="0"/>
    <n v="1"/>
    <d v="2025-07-23T00:00:00"/>
    <x v="28"/>
  </r>
  <r>
    <s v="ORT-11895"/>
    <s v="C000420718"/>
    <s v="VICTORIA STREET NO 105 LIFT LOBBIES LONDON"/>
    <n v="25"/>
    <n v="0"/>
    <d v="2025-07-24T00:00:00"/>
    <x v="28"/>
  </r>
  <r>
    <s v="ORT-11896"/>
    <s v="C000420723"/>
    <s v="CANNON STREET NO 111 &amp; ST SWITHIN LANE NO 17 LONDON"/>
    <n v="0"/>
    <n v="1"/>
    <d v="2025-07-24T00:00:00"/>
    <x v="28"/>
  </r>
  <r>
    <s v="ORT-11897"/>
    <s v="C000420731"/>
    <s v="OXFORD STREET NO 334-348 S&amp;C / LOBBIES LONDON"/>
    <n v="0"/>
    <n v="1"/>
    <d v="2025-07-24T00:00:00"/>
    <x v="28"/>
  </r>
  <r>
    <s v="ORT-11898"/>
    <s v="C000420738"/>
    <s v="BRINDLEY PLACE NO 10 FLR 6 BIRMINGHAM"/>
    <n v="0"/>
    <n v="1"/>
    <d v="2025-07-24T00:00:00"/>
    <x v="28"/>
  </r>
  <r>
    <s v="ORT-11899"/>
    <s v="C000420744"/>
    <s v="GROSVENOR PLACE NO 40 CAT A REFURB LONDON"/>
    <n v="0"/>
    <n v="1"/>
    <d v="2025-07-24T00:00:00"/>
    <x v="28"/>
  </r>
  <r>
    <s v="ORT-11900"/>
    <s v="C000420746"/>
    <s v="JACK TURNBULL MISC TILE &amp; GRID 2025"/>
    <n v="11"/>
    <n v="0"/>
    <d v="2025-07-24T00:00:00"/>
    <x v="28"/>
  </r>
  <r>
    <s v="ORT-11901"/>
    <s v="C000420752"/>
    <s v="NEKO HEALTH BIRMINGHAM"/>
    <n v="16"/>
    <n v="0"/>
    <d v="2025-07-24T00:00:00"/>
    <x v="28"/>
  </r>
  <r>
    <s v="ORT-11902"/>
    <s v="C000420756"/>
    <s v="LIVERPOOL JOHN LENNON AIRPORT ASPIRE LOUNGE"/>
    <n v="2"/>
    <n v="1"/>
    <d v="2025-07-24T00:00:00"/>
    <x v="28"/>
  </r>
  <r>
    <s v="ORT-11903"/>
    <s v="C000420758"/>
    <s v="EURSHELL MISC TILE &amp; GRID 2025"/>
    <n v="15"/>
    <n v="0"/>
    <d v="2025-07-24T00:00:00"/>
    <x v="28"/>
  </r>
  <r>
    <s v="ORT-11904"/>
    <s v="C000420759"/>
    <s v="ROPEMAKER STREET NO 20-22 LINKLATERS FIT-OUT LONDON"/>
    <n v="0"/>
    <n v="1"/>
    <d v="2025-07-24T00:00:00"/>
    <x v="28"/>
  </r>
  <r>
    <s v="ORT-11905"/>
    <s v="C000420761"/>
    <s v="LEADENHALL STREET NO 40 KIRKLAND &amp; ELLIS FLRS 15-34 LONDON"/>
    <n v="0"/>
    <n v="1"/>
    <d v="2025-07-24T00:00:00"/>
    <x v="28"/>
  </r>
  <r>
    <s v="ORT-11906"/>
    <s v="C000420762"/>
    <s v="MANCHESTER AIRPORT T2 EAST WING NEW DEVELOPMENT"/>
    <n v="4"/>
    <n v="1"/>
    <d v="2025-07-24T00:00:00"/>
    <x v="28"/>
  </r>
  <r>
    <s v="ORT-11907"/>
    <s v="C000420764"/>
    <s v="Active Stretch Fabric"/>
    <n v="0"/>
    <n v="1"/>
    <d v="2025-07-25T00:00:00"/>
    <x v="28"/>
  </r>
  <r>
    <s v="ORT-11908"/>
    <s v="C000420767"/>
    <s v="BUNHILL ROW NO 1 SLAUGHTER &amp; MAY CAT A REFURB LONDON"/>
    <n v="0"/>
    <n v="1"/>
    <d v="2025-07-25T00:00:00"/>
    <x v="28"/>
  </r>
  <r>
    <s v="ORT-11909"/>
    <s v="C000420768"/>
    <s v="OXFORD STREET NO 334-348 S&amp;C / LOBBIES LONDON"/>
    <n v="3"/>
    <n v="1"/>
    <d v="2025-07-25T00:00:00"/>
    <x v="28"/>
  </r>
  <r>
    <s v="ORT-11910"/>
    <s v="C000420769"/>
    <s v="OXFORD STREET NO 334-348 S&amp;C / LOBBIES LONDON"/>
    <n v="14"/>
    <n v="0"/>
    <d v="2025-07-25T00:00:00"/>
    <x v="28"/>
  </r>
  <r>
    <s v="ORT-11911"/>
    <s v="C000420770"/>
    <s v="HANOVER STREET NO 13-14 REFURB LONDON"/>
    <n v="0"/>
    <n v="1"/>
    <d v="2025-07-25T00:00:00"/>
    <x v="28"/>
  </r>
  <r>
    <s v="ORT-11912"/>
    <s v="C000420771"/>
    <s v="SOUTHBANK PLACE BUILDING 5 WATERLOO LONDON"/>
    <n v="13"/>
    <n v="0"/>
    <d v="2025-07-25T00:00:00"/>
    <x v="28"/>
  </r>
  <r>
    <s v="ORT-11913"/>
    <s v="C000420773"/>
    <s v="ROPEMAKER PLACE MUFG REFURB FLRS 1-2 &amp; 14-17 LONDON"/>
    <n v="0"/>
    <n v="1"/>
    <d v="2025-07-25T00:00:00"/>
    <x v="28"/>
  </r>
  <r>
    <s v="ORT-11914"/>
    <s v="C000420776"/>
    <s v="CATALENT PHARMA REFURB SWINDON"/>
    <n v="0"/>
    <n v="1"/>
    <d v="2025-07-25T00:00:00"/>
    <x v="28"/>
  </r>
  <r>
    <s v="ORT-11915"/>
    <s v="C000420778"/>
    <s v="WELLESLEY EAST PRIMARY SCHOOL ALDERSHOT HAMPSHIRE"/>
    <n v="10"/>
    <n v="0"/>
    <d v="2025-07-25T00:00:00"/>
    <x v="28"/>
  </r>
  <r>
    <s v="ORT-11918"/>
    <s v="C000420784"/>
    <s v="DUTY FREE PORTO"/>
    <n v="0"/>
    <n v="1"/>
    <d v="2025-07-28T00:00:00"/>
    <x v="29"/>
  </r>
  <r>
    <s v="ORT-11919"/>
    <s v="C000420788"/>
    <s v="ESTEL ANTIGUA TELEFONICA BARCELONA"/>
    <n v="41"/>
    <n v="0"/>
    <d v="2025-07-28T00:00:00"/>
    <x v="29"/>
  </r>
  <r>
    <s v="ORT-11920"/>
    <s v="C000420792"/>
    <s v="TURING COURT NO 1 CARECO HQ BRAINTREE"/>
    <n v="0"/>
    <n v="1"/>
    <d v="2025-07-28T00:00:00"/>
    <x v="29"/>
  </r>
  <r>
    <s v="ORT-11921"/>
    <s v="C000420793"/>
    <s v="KIRYAT MIGDAL RENOVATION"/>
    <n v="1"/>
    <n v="1"/>
    <d v="2025-07-28T00:00:00"/>
    <x v="29"/>
  </r>
  <r>
    <s v="ORT-11923"/>
    <s v="C000420795"/>
    <s v="LEADENHALL STREET NO 40 KIRKLAND &amp; ELLIS FLRS 15-34 LONDON"/>
    <n v="0"/>
    <n v="1"/>
    <d v="2025-07-28T00:00:00"/>
    <x v="29"/>
  </r>
  <r>
    <s v="ORT-11924"/>
    <s v="CF00000552"/>
    <s v="RUE SAINT LAZARE NO 74 PARIS"/>
    <n v="56"/>
    <n v="0"/>
    <d v="2025-07-28T00:00:00"/>
    <x v="29"/>
  </r>
  <r>
    <s v="ORT-11925"/>
    <s v="C000420802"/>
    <s v="EDF SIZEWELL POWER STATION B TRAINING BUILDING SUFFOLK"/>
    <n v="0"/>
    <n v="1"/>
    <d v="2025-07-28T00:00:00"/>
    <x v="29"/>
  </r>
  <r>
    <s v="ORT-11926"/>
    <s v="C000420805"/>
    <s v="OSNEY POWER STATION SAID BUSINESS SCHOOL OXFORD"/>
    <n v="11"/>
    <n v="0"/>
    <d v="2025-07-29T00:00:00"/>
    <x v="29"/>
  </r>
  <r>
    <s v="ORT-11927"/>
    <s v="C000420808"/>
    <s v="LONDON MISC 2025"/>
    <n v="8"/>
    <n v="0"/>
    <d v="2025-07-29T00:00:00"/>
    <x v="29"/>
  </r>
  <r>
    <s v="ORT-11928"/>
    <s v="C000420815"/>
    <s v="HERBAL HILL NO 3-7 FLOORS 1 &amp; 4 FIT"/>
    <n v="0"/>
    <n v="1"/>
    <d v="2025-07-29T00:00:00"/>
    <x v="29"/>
  </r>
  <r>
    <s v="ORT-11929"/>
    <s v="C000420817"/>
    <s v="DEGROOTE SCHOOL OF BUSINESS HAMILTON LEVELS 6 &amp; 9"/>
    <n v="32"/>
    <n v="0"/>
    <d v="2025-07-29T00:00:00"/>
    <x v="29"/>
  </r>
  <r>
    <s v="ORT-11930"/>
    <m/>
    <s v="BEORMA QUARTER PHASE 2 BUILDING TWO CAT A BIRMINGHAM"/>
    <n v="0"/>
    <n v="1"/>
    <d v="2025-07-29T00:00:00"/>
    <x v="29"/>
  </r>
  <r>
    <s v="ORT-11931"/>
    <s v="C000420821"/>
    <s v="OLD BROAD STREET NO 125 LVL 22 &amp; 23 CAT A LONDON"/>
    <n v="0"/>
    <n v="1"/>
    <d v="2025-07-29T00:00:00"/>
    <x v="29"/>
  </r>
  <r>
    <s v="ORT-11932"/>
    <s v="C000420825"/>
    <s v="BEORMA QUARTER PHASE 2 BUILDING TWO CAT A BIRMINGHAM"/>
    <n v="38"/>
    <n v="0"/>
    <d v="2025-07-29T00:00:00"/>
    <x v="29"/>
  </r>
  <r>
    <s v="ORT-11933"/>
    <s v="C000420835"/>
    <s v="GATWICK NORTH TERMINAL PIER 6 EXTENSION"/>
    <n v="7"/>
    <n v="0"/>
    <d v="2025-07-29T00:00:00"/>
    <x v="29"/>
  </r>
  <r>
    <s v="ORT-11934"/>
    <s v="C000420851"/>
    <s v="ST GEORGE STREET NO 14 CAT A FLOOR 2 LONDON"/>
    <n v="11"/>
    <n v="0"/>
    <d v="2025-07-30T00:00:00"/>
    <x v="29"/>
  </r>
  <r>
    <s v="ORT-11935"/>
    <s v="C000420854"/>
    <s v="CANARY WHARF BANK STREET NO 12 LONDON"/>
    <n v="0"/>
    <n v="1"/>
    <d v="2025-07-30T00:00:00"/>
    <x v="29"/>
  </r>
  <r>
    <s v="ORT-11936"/>
    <s v="C000420856"/>
    <s v="HIGH HOLBORN NO 90 FLR 3 QUINN EMANUEL LONDON"/>
    <n v="5"/>
    <n v="1"/>
    <d v="2025-07-30T00:00:00"/>
    <x v="29"/>
  </r>
  <r>
    <s v="ORT-11937"/>
    <s v="C000420858"/>
    <s v="HEATHROW TECHNICAL BLOCK C (TBC) TOILET REFURBISHMENT LONDON"/>
    <n v="2"/>
    <n v="1"/>
    <d v="2025-07-30T00:00:00"/>
    <x v="29"/>
  </r>
  <r>
    <s v="ORT-11938"/>
    <m/>
    <s v="SANCTUARY BUILDINGS GREAT SMITH ST PHASE 2 FLRS B-3 LONDON"/>
    <n v="52"/>
    <n v="0"/>
    <d v="2025-07-30T00:00:00"/>
    <x v="29"/>
  </r>
  <r>
    <s v="ORT-11939"/>
    <s v="C000420863"/>
    <s v="BISHOPSGATE NO 22 CAT B FIT OUT RIVERSTONE FLOOR 5 LONDON"/>
    <n v="7"/>
    <n v="0"/>
    <d v="2025-07-30T00:00:00"/>
    <x v="29"/>
  </r>
  <r>
    <s v="ORT-11940"/>
    <s v="C000420866"/>
    <s v="THAMES COURT QUEENHITHE NO 1 LONDON"/>
    <n v="0"/>
    <n v="1"/>
    <d v="2025-07-30T00:00:00"/>
    <x v="29"/>
  </r>
  <r>
    <s v="ORT-11941"/>
    <s v="C000420867"/>
    <s v="UPPER GROUND NO 20 SEACONTAINERS HOUSE REFURB PH2 LONDON"/>
    <n v="56"/>
    <n v="0"/>
    <d v="2025-07-30T00:00:00"/>
    <x v="29"/>
  </r>
  <r>
    <s v="ORT-11942"/>
    <s v="C000420868"/>
    <s v="VOYAGER PLACE REFURB MAIDENHEAD"/>
    <n v="0"/>
    <n v="1"/>
    <d v="2025-07-30T00:00:00"/>
    <x v="29"/>
  </r>
  <r>
    <s v="ORT-11943"/>
    <s v="C000420870"/>
    <s v="MERCEDES LOOKERS SHOWROOM TONBRIDGE"/>
    <n v="1"/>
    <n v="1"/>
    <d v="2025-07-30T00:00:00"/>
    <x v="29"/>
  </r>
  <r>
    <s v="ORT-11945"/>
    <s v="C000420871"/>
    <s v="UNKNOWN"/>
    <n v="0"/>
    <n v="1"/>
    <d v="2025-07-31T00:00:00"/>
    <x v="29"/>
  </r>
  <r>
    <s v="ORT-11946"/>
    <s v="C000420874"/>
    <s v="EDINBURGH AIRPORT ESCAPE LOUNGE"/>
    <n v="26"/>
    <n v="0"/>
    <d v="2025-07-31T00:00:00"/>
    <x v="29"/>
  </r>
  <r>
    <s v="ORT-11947"/>
    <s v="C000420876"/>
    <s v="EURSHELL MISC TILE &amp; GRID 2025"/>
    <n v="8"/>
    <n v="0"/>
    <d v="2025-07-31T00:00:00"/>
    <x v="29"/>
  </r>
  <r>
    <s v="ORT-11948"/>
    <s v="C000420877"/>
    <s v="BRISTOL ZOO PROJECT BLACKHORSE HILL BRISTOL"/>
    <n v="0"/>
    <n v="1"/>
    <d v="2025-07-31T00:00:00"/>
    <x v="29"/>
  </r>
  <r>
    <s v="ORT-11949"/>
    <s v="C000420883"/>
    <s v="GRACECHURCH STREET NO 85 DEVELOPMENT LONDON"/>
    <n v="9"/>
    <n v="0"/>
    <d v="2025-07-31T00:00:00"/>
    <x v="29"/>
  </r>
  <r>
    <s v="ORT-11951"/>
    <s v="C000420884"/>
    <s v="LUANDA MEMORIAL"/>
    <n v="18"/>
    <n v="0"/>
    <d v="2025-07-31T00:00:00"/>
    <x v="29"/>
  </r>
  <r>
    <s v="ORT-11952"/>
    <s v="C000420887"/>
    <s v="UCB PHARMA COLLABORATION HUB WINDLESHAM CAMPUS SURREY"/>
    <n v="24"/>
    <n v="0"/>
    <d v="2025-07-31T00:00:00"/>
    <x v="29"/>
  </r>
  <r>
    <s v="ORT-11953"/>
    <s v="C000420888"/>
    <s v="MOH SALALAH HOSPITAL OMAN ADDITIONAL MATERIALS"/>
    <n v="56"/>
    <n v="0"/>
    <d v="2025-07-31T00:00:00"/>
    <x v="29"/>
  </r>
  <r>
    <s v="ORT-11954"/>
    <s v="C000420891"/>
    <s v="CITY CENTER MIRDIF CCMI CITY KITCHEN WALL PANEL DUBAI"/>
    <n v="15"/>
    <n v="0"/>
    <d v="2025-07-31T00:00:00"/>
    <x v="29"/>
  </r>
  <r>
    <s v="ORT-11955"/>
    <s v="CF00000553"/>
    <s v="RATP GARE DE LYON"/>
    <n v="43"/>
    <n v="0"/>
    <d v="2025-07-31T00:00:00"/>
    <x v="29"/>
  </r>
  <r>
    <s v="ORT-11956"/>
    <s v="C000420892"/>
    <s v="KELVIN ENERGY RECOVERY FACILITY WEST BROMWICH"/>
    <n v="2"/>
    <n v="1"/>
    <d v="2025-07-31T00:00:00"/>
    <x v="29"/>
  </r>
  <r>
    <s v="ORT-11957"/>
    <s v="C000420894"/>
    <s v="HSBC PLATINUM MSHEIREB DOHA QATAR"/>
    <n v="16"/>
    <n v="0"/>
    <d v="2025-07-31T00:00:00"/>
    <x v="29"/>
  </r>
  <r>
    <s v="ORT-11958"/>
    <s v="C000420895"/>
    <s v="HSBC PLATINUM MSHEIREB DOHA QATAR"/>
    <n v="45"/>
    <n v="0"/>
    <d v="2025-07-31T00:00:00"/>
    <x v="29"/>
  </r>
  <r>
    <s v="ORT-11960"/>
    <s v="C000420897"/>
    <s v="OLD BROAD STREET NO 125 LVL 22 &amp; 23 CAT A LONDON"/>
    <n v="7"/>
    <n v="0"/>
    <d v="2025-07-31T00:00:00"/>
    <x v="29"/>
  </r>
  <r>
    <s v="ORT-11961"/>
    <s v="C000420910"/>
    <s v="PENTONVILLE ROAD NO 210 FLOORS 7-9 REFURB LONDON"/>
    <n v="0"/>
    <n v="1"/>
    <d v="2025-08-01T00:00:00"/>
    <x v="29"/>
  </r>
  <r>
    <s v="ORT-11963"/>
    <s v="C000420912"/>
    <s v="ADANAC PARK NORTH OPUS FIT OUT SOUTHAMPTON"/>
    <n v="0"/>
    <n v="1"/>
    <d v="2025-08-01T00:00:00"/>
    <x v="29"/>
  </r>
  <r>
    <s v="ORT-11964"/>
    <s v="C000420914"/>
    <s v="HOUNDSDITCH NO 133 FLOOR 3 REFURB LONDON"/>
    <n v="0"/>
    <n v="1"/>
    <d v="2025-08-01T00:00:00"/>
    <x v="29"/>
  </r>
  <r>
    <s v="ORT-11965"/>
    <s v="C000420916"/>
    <s v="CHURCHILL PL NO 5 FLRS 1 &amp; 12 REFURB CANARY WHARF LONDON"/>
    <n v="0"/>
    <n v="1"/>
    <d v="2025-08-01T00:00:00"/>
    <x v="29"/>
  </r>
  <r>
    <s v="ORT-11966"/>
    <s v="C000420917"/>
    <s v="VOYAGER PLACE REFURB MAIDENHEAD"/>
    <n v="0"/>
    <n v="1"/>
    <d v="2025-08-01T00:00:00"/>
    <x v="29"/>
  </r>
  <r>
    <s v="ORT-11967"/>
    <s v="C000420918"/>
    <s v="AMI TECHNOLOGIES HOD HASHARON"/>
    <n v="0"/>
    <n v="1"/>
    <d v="2025-08-01T00:00:00"/>
    <x v="29"/>
  </r>
  <r>
    <s v="ORT-11969"/>
    <s v="C000420920"/>
    <s v="CANARY WHARF CANADA SQUARE NO 25 CITIBANK REFURB LONDON"/>
    <n v="0"/>
    <n v="1"/>
    <d v="2025-08-01T00:00:00"/>
    <x v="29"/>
  </r>
  <r>
    <s v="ORT-11971"/>
    <s v="C000420923"/>
    <s v="CANARY WHARF CANADA SQUARE NO 25 CITIBANK REFURB LONDON"/>
    <n v="0"/>
    <n v="1"/>
    <d v="2025-08-04T00:00:00"/>
    <x v="30"/>
  </r>
  <r>
    <s v="ORT-11972"/>
    <s v="C000420927"/>
    <s v="CANARY WHARF CANADA SQUARE NO 25 CITIBANK REFURB LONDON"/>
    <n v="0"/>
    <n v="1"/>
    <d v="2025-08-04T00:00:00"/>
    <x v="30"/>
  </r>
  <r>
    <s v="ORT-11973"/>
    <s v="C000420930"/>
    <s v="PUBLIC WCS FIT OUT PICCADILLY CIRCUS WESTMINSTER LONDON"/>
    <n v="48"/>
    <n v="0"/>
    <d v="2025-08-04T00:00:00"/>
    <x v="30"/>
  </r>
  <r>
    <s v="ORT-11974"/>
    <s v="C000420942"/>
    <s v="SCOTLAND &amp; NORTH EAST MISC 2025"/>
    <n v="0"/>
    <n v="1"/>
    <d v="2025-08-04T00:00:00"/>
    <x v="30"/>
  </r>
  <r>
    <s v="ORT-11975"/>
    <s v="C000420944"/>
    <s v="AMAZON SWANSEA"/>
    <n v="6"/>
    <n v="0"/>
    <d v="2025-08-04T00:00:00"/>
    <x v="30"/>
  </r>
  <r>
    <s v="ORT-11976"/>
    <s v="C000420947"/>
    <s v="QUEEN VICTORIA STREET NO 160 BNY MELLON CAT B PHASE 3 LONDON"/>
    <n v="0"/>
    <n v="1"/>
    <d v="2025-08-05T00:00:00"/>
    <x v="30"/>
  </r>
  <r>
    <s v="ORT-11977"/>
    <s v="C000420951"/>
    <s v="OLD JEWRY NO 27 - 32 FLR 1 REFURB LONDON"/>
    <n v="0"/>
    <n v="1"/>
    <d v="2025-08-05T00:00:00"/>
    <x v="30"/>
  </r>
  <r>
    <s v="ORT-11978"/>
    <s v="C000420968"/>
    <s v="UNI OF OXFORD HENRY WELCOME BUILDING DILAPS"/>
    <n v="6"/>
    <n v="0"/>
    <d v="2025-08-05T00:00:00"/>
    <x v="30"/>
  </r>
  <r>
    <s v="ORT-11979"/>
    <s v="C000420970"/>
    <s v="HEATHROW T5 LEVEL 10 UK BORDER FORCE HOLDING ROOM"/>
    <n v="0"/>
    <n v="1"/>
    <d v="2025-08-05T00:00:00"/>
    <x v="30"/>
  </r>
  <r>
    <s v="ORT-11980"/>
    <s v="C000420974"/>
    <s v="MANCHESTER AIRPORT T2 EAST WING NEW DEVELOPMENT"/>
    <n v="1"/>
    <n v="1"/>
    <d v="2025-08-05T00:00:00"/>
    <x v="30"/>
  </r>
  <r>
    <s v="ORT-11981"/>
    <s v="C000420976"/>
    <s v="CITY POINT CAT B FIT OUT FLOOR 7 PHAIDON LONDON"/>
    <n v="5"/>
    <n v="1"/>
    <d v="2025-08-05T00:00:00"/>
    <x v="30"/>
  </r>
  <r>
    <s v="ORT-11982"/>
    <s v="C000420977"/>
    <s v="UNKNOWN"/>
    <n v="0"/>
    <n v="1"/>
    <d v="2025-08-05T00:00:00"/>
    <x v="30"/>
  </r>
  <r>
    <s v="ORT-11983"/>
    <s v="C000420978"/>
    <s v="BIRMINGHAM HEALTH INNOVATION CAMPUS"/>
    <n v="3"/>
    <n v="1"/>
    <d v="2025-08-05T00:00:00"/>
    <x v="30"/>
  </r>
  <r>
    <s v="ORT-11984"/>
    <s v="C000420979"/>
    <s v="WIGMORE STREET NO 42 REFURB LONDON"/>
    <n v="0"/>
    <n v="1"/>
    <d v="2025-08-05T00:00:00"/>
    <x v="30"/>
  </r>
  <r>
    <s v="ORT-11985"/>
    <s v="C000420982"/>
    <s v="UNI OF CAMBRIDGE CHEMISTRY LECTURE CEILINGS FLR 2&amp;3 LIGHTING"/>
    <n v="34"/>
    <n v="0"/>
    <d v="2025-08-05T00:00:00"/>
    <x v="30"/>
  </r>
  <r>
    <s v="ORT-11986"/>
    <s v="C000420983"/>
    <s v="DISHOOM CANARY WHARF"/>
    <n v="8"/>
    <n v="0"/>
    <d v="2025-08-05T00:00:00"/>
    <x v="30"/>
  </r>
  <r>
    <s v="ORT-11987"/>
    <s v="C000420984"/>
    <s v="SKY STUDIOS GRANT WAY ISLEWORTH PHASE 2 LONDON"/>
    <n v="1"/>
    <n v="1"/>
    <d v="2025-08-05T00:00:00"/>
    <x v="30"/>
  </r>
  <r>
    <s v="ORT-11988"/>
    <s v="C000420985"/>
    <s v="KINGS CROSS CENTRAL GOOGLE HQ KGX1 CAT B LONDON"/>
    <n v="0"/>
    <n v="1"/>
    <d v="2025-08-05T00:00:00"/>
    <x v="30"/>
  </r>
  <r>
    <s v="ORT-11989"/>
    <s v="C000420986"/>
    <s v="KINGS CROSS CENTRAL GOOGLE HQ KGX1 CAT B LONDON"/>
    <n v="0"/>
    <n v="1"/>
    <d v="2025-08-05T00:00:00"/>
    <x v="30"/>
  </r>
  <r>
    <s v="ORT-11990"/>
    <s v="C000420987"/>
    <s v="KINGS CROSS CENTRAL GOOGLE HQ KGX1 CAT B LONDON"/>
    <n v="0"/>
    <n v="1"/>
    <d v="2025-08-05T00:00:00"/>
    <x v="30"/>
  </r>
  <r>
    <s v="ORT-11991"/>
    <s v="CF00000557"/>
    <s v="ALPHA BANK VE ALTERNATIVES FABRIC ATHENS"/>
    <n v="0"/>
    <n v="1"/>
    <d v="2025-08-06T00:00:00"/>
    <x v="30"/>
  </r>
  <r>
    <s v="ORT-11992"/>
    <s v="C000420960"/>
    <s v="ALPHA BANK VE ALTERNATIVES FABRIC ATHENS"/>
    <n v="0"/>
    <n v="1"/>
    <d v="2025-08-06T00:00:00"/>
    <x v="30"/>
  </r>
  <r>
    <s v="ORT-11993"/>
    <s v="CF00000555"/>
    <s v="COEUR DE NANTERRE UNIVERSITE"/>
    <n v="0"/>
    <n v="1"/>
    <d v="2025-08-06T00:00:00"/>
    <x v="30"/>
  </r>
  <r>
    <s v="ORT-11994"/>
    <s v="C000421002"/>
    <s v="OPTIMA AMR DEVELOPMENT PROJECT"/>
    <n v="18"/>
    <n v="0"/>
    <d v="2025-08-06T00:00:00"/>
    <x v="30"/>
  </r>
  <r>
    <s v="ORT-11995"/>
    <s v="CF00000557"/>
    <s v="ALPHA BANK VE ALTERNATIVES FABRIC ATHENS"/>
    <n v="0"/>
    <n v="1"/>
    <d v="2025-08-06T00:00:00"/>
    <x v="30"/>
  </r>
  <r>
    <s v="ORT-11996"/>
    <s v="C000421008"/>
    <s v="SCOTLAND &amp; NORTH EAST MISC 2025"/>
    <n v="0"/>
    <n v="1"/>
    <d v="2025-08-06T00:00:00"/>
    <x v="30"/>
  </r>
  <r>
    <s v="ORT-11997"/>
    <s v="C000421015"/>
    <s v="THREE SNOWHILL NATIONAL HIGHWAYS OFFICE BIRMINGHAM"/>
    <n v="0"/>
    <n v="1"/>
    <d v="2025-08-06T00:00:00"/>
    <x v="30"/>
  </r>
  <r>
    <s v="ORT-11998"/>
    <s v="C000421020"/>
    <s v="AURIOL DRIVE UNIT 3 GREENFORD LONDON"/>
    <n v="0"/>
    <n v="1"/>
    <d v="2025-08-06T00:00:00"/>
    <x v="30"/>
  </r>
  <r>
    <s v="ORT-12000"/>
    <s v="C000421024"/>
    <s v="KINGS CROSS CENTRAL GOOGLE HQ KGX1 CAT B LONDON"/>
    <n v="0"/>
    <n v="1"/>
    <d v="2025-08-06T00:00:00"/>
    <x v="30"/>
  </r>
  <r>
    <s v="ORT-12001"/>
    <s v="C000421025"/>
    <s v="KINGS CROSS CENTRAL GOOGLE HQ KGX1 CAT B LONDON"/>
    <n v="0"/>
    <n v="1"/>
    <d v="2025-08-06T00:00:00"/>
    <x v="30"/>
  </r>
  <r>
    <s v="ORT-12002"/>
    <s v="C000421026"/>
    <s v="KINGS CROSS CENTRAL GOOGLE HQ KGX1 CAT B LONDON"/>
    <n v="0"/>
    <n v="1"/>
    <d v="2025-08-06T00:00:00"/>
    <x v="30"/>
  </r>
  <r>
    <s v="ORT-12003"/>
    <s v="C000421027"/>
    <s v="KINGS CROSS CENTRAL GOOGLE HQ KGX1 CAT B LONDON"/>
    <n v="0"/>
    <n v="1"/>
    <d v="2025-08-06T00:00:00"/>
    <x v="30"/>
  </r>
  <r>
    <s v="ORT-12004"/>
    <s v="C000421028"/>
    <s v="EDEN CAMPUS UNILEVER CAT B KINGSTON"/>
    <n v="1"/>
    <n v="1"/>
    <d v="2025-08-06T00:00:00"/>
    <x v="30"/>
  </r>
  <r>
    <s v="ORT-12006"/>
    <s v="C000421035"/>
    <s v="PALACE STREET NO 16 CAT A FLOORS 1-2 LONDON"/>
    <n v="7"/>
    <n v="0"/>
    <d v="2025-08-07T00:00:00"/>
    <x v="30"/>
  </r>
  <r>
    <s v="ORT-12007"/>
    <s v="C000421037"/>
    <s v="EURSHELL MISC TILE &amp; GRID 2025"/>
    <n v="13"/>
    <n v="0"/>
    <d v="2025-08-07T00:00:00"/>
    <x v="30"/>
  </r>
  <r>
    <s v="ORT-12008"/>
    <s v="C000421039"/>
    <s v="LONDON MISC 2025"/>
    <n v="0"/>
    <n v="1"/>
    <d v="2025-08-07T00:00:00"/>
    <x v="30"/>
  </r>
  <r>
    <s v="ORT-12009"/>
    <s v="C000421041"/>
    <s v="ONE STATION HILL PWC CAT B FITOUT READING"/>
    <n v="7"/>
    <n v="0"/>
    <d v="2025-08-07T00:00:00"/>
    <x v="30"/>
  </r>
  <r>
    <s v="ORT-12010"/>
    <s v="C000421043"/>
    <s v="HARWELL CAMPUS PROJECT DEXTER PHASE 2 DIDCOT"/>
    <n v="0"/>
    <n v="1"/>
    <d v="2025-08-07T00:00:00"/>
    <x v="30"/>
  </r>
  <r>
    <s v="ORT-12011"/>
    <s v="C000421053"/>
    <s v="BANK STREET NO 40 LVL 19 REFURB LONDON"/>
    <n v="0"/>
    <n v="1"/>
    <d v="2025-08-07T00:00:00"/>
    <x v="30"/>
  </r>
  <r>
    <s v="ORT-12012"/>
    <s v="C000421055"/>
    <s v="UPPER GROUND NO 76-78 CAT B PAYPAL LONDON"/>
    <n v="20"/>
    <n v="0"/>
    <d v="2025-08-07T00:00:00"/>
    <x v="30"/>
  </r>
  <r>
    <s v="ORT-12013"/>
    <s v="C000421056"/>
    <s v="JACK TURNBULL MISC TILE &amp; GRID 2025"/>
    <n v="0"/>
    <n v="1"/>
    <d v="2025-08-07T00:00:00"/>
    <x v="30"/>
  </r>
  <r>
    <s v="ORT-12014"/>
    <s v="C000421057"/>
    <s v="CENTRO DE DATOS (CPD) SEGURIDAD SOCIAL SORIA"/>
    <n v="43"/>
    <n v="0"/>
    <d v="2025-08-07T00:00:00"/>
    <x v="30"/>
  </r>
  <r>
    <s v="ORT-12015"/>
    <s v="C000421058"/>
    <s v="LEADENHALL STREET NO 40 KIRKLAND &amp; ELLIS FLRS 15-34 LONDON"/>
    <n v="0"/>
    <n v="1"/>
    <d v="2025-08-07T00:00:00"/>
    <x v="30"/>
  </r>
  <r>
    <s v="ORT-12017"/>
    <s v="C000421060"/>
    <s v="CANARY WHARF BANK STREET NO 12 LONDON"/>
    <n v="0"/>
    <n v="1"/>
    <d v="2025-08-07T00:00:00"/>
    <x v="30"/>
  </r>
  <r>
    <s v="ORT-12018"/>
    <s v="C000421061"/>
    <s v="CANARY WHARF BANK STREET NO 12 LONDON"/>
    <n v="0"/>
    <n v="1"/>
    <d v="2025-08-07T00:00:00"/>
    <x v="30"/>
  </r>
  <r>
    <s v="ORT-12019"/>
    <s v="C000421066"/>
    <s v="INTERNATIONAL HOUSE ST KATHARINES DOCK FLOOR 4 LONDON"/>
    <n v="22"/>
    <n v="0"/>
    <d v="2025-08-08T00:00:00"/>
    <x v="30"/>
  </r>
  <r>
    <s v="ORT-12020"/>
    <s v="C000421070"/>
    <s v="GRAFTON GATE NO 401 3RD FLOOR REFURB MILTON KEYNES"/>
    <n v="5"/>
    <n v="1"/>
    <d v="2025-08-08T00:00:00"/>
    <x v="30"/>
  </r>
  <r>
    <s v="ORT-12021"/>
    <s v="C000421074"/>
    <s v="MOORFIELDS EYE HOSPITAL UCL INSTITUTE OF OPHTHALMOLOGY ORIEL"/>
    <n v="0"/>
    <n v="1"/>
    <d v="2025-08-08T00:00:00"/>
    <x v="30"/>
  </r>
  <r>
    <s v="ORT-12022"/>
    <s v="C000421075"/>
    <s v="SOUTH MOLTON TRIANGLE DEVELOPMENT NORTH BLOCK LONDON"/>
    <n v="0"/>
    <n v="1"/>
    <d v="2025-08-08T00:00:00"/>
    <x v="30"/>
  </r>
  <r>
    <s v="ORT-12023"/>
    <s v="C000421088"/>
    <s v="MANCHESTER AIRPORT T2 EAST WING NEW DEVELOPMENT"/>
    <n v="13"/>
    <n v="0"/>
    <d v="2025-08-11T00:00:00"/>
    <x v="31"/>
  </r>
  <r>
    <s v="ORT-12024"/>
    <s v="C000421093"/>
    <s v="ROPEMAKER STREET NO 20-22 LINKLATERS FIT-OUT LONDON"/>
    <n v="0"/>
    <n v="1"/>
    <d v="2025-08-11T00:00:00"/>
    <x v="31"/>
  </r>
  <r>
    <s v="ORT-12025"/>
    <s v="C000421095"/>
    <s v="LONDON MISC 2025"/>
    <n v="0"/>
    <n v="1"/>
    <d v="2025-08-11T00:00:00"/>
    <x v="31"/>
  </r>
  <r>
    <s v="ORT-12026"/>
    <m/>
    <s v="UBS OFFICE MODIFICATION DIFC DUBAI"/>
    <n v="49"/>
    <n v="0"/>
    <d v="2025-08-11T00:00:00"/>
    <x v="31"/>
  </r>
  <r>
    <s v="ORT-12027"/>
    <s v="CF00000558"/>
    <s v="ARC DE SEINE"/>
    <n v="14"/>
    <n v="0"/>
    <d v="2025-08-11T00:00:00"/>
    <x v="31"/>
  </r>
  <r>
    <s v="ORT-12028"/>
    <s v="C000421099"/>
    <s v="ROPEMAKER STREET NO 20-22 LINKLATERS FIT-OUT LONDON"/>
    <n v="0"/>
    <n v="1"/>
    <d v="2025-08-11T00:00:00"/>
    <x v="31"/>
  </r>
  <r>
    <s v="ORT-12029"/>
    <s v="C000421101"/>
    <s v="MONKLANDS REPLACEMENT HOSPITAL AIRDRIE"/>
    <n v="0"/>
    <n v="1"/>
    <d v="2025-08-11T00:00:00"/>
    <x v="31"/>
  </r>
  <r>
    <s v="ORT-12030"/>
    <s v="C000421102"/>
    <s v="EMBERTON HOUSE OLYMPIA REDEVELOPMENT FIT-OUT LONDON"/>
    <n v="0"/>
    <n v="1"/>
    <d v="2025-08-11T00:00:00"/>
    <x v="31"/>
  </r>
  <r>
    <s v="ORT-12031"/>
    <s v="C000421104"/>
    <s v="PADDINGTON CENTRAL KINGDOM ST NO 1 FLRS 1,6,8 EQUINOR LONDON"/>
    <n v="0"/>
    <n v="1"/>
    <d v="2025-08-11T00:00:00"/>
    <x v="31"/>
  </r>
  <r>
    <s v="ORT-12036"/>
    <s v="C000421111"/>
    <s v="Elvis and Kresse"/>
    <n v="0"/>
    <n v="1"/>
    <d v="2025-08-12T00:00:00"/>
    <x v="31"/>
  </r>
  <r>
    <s v="ORT-12037"/>
    <s v="C000421116"/>
    <s v="EMBERTON HOUSE OLYMPIA REDEVELOPMENT FIT-OUT LONDON"/>
    <n v="0"/>
    <n v="1"/>
    <d v="2025-08-12T00:00:00"/>
    <x v="31"/>
  </r>
  <r>
    <s v="ORT-12038"/>
    <s v="C000421119"/>
    <s v="TYPHOO WHARF REDEVELOPMENT DIGBETH BIRMINGHAM CAT A"/>
    <n v="0"/>
    <n v="1"/>
    <d v="2025-08-12T00:00:00"/>
    <x v="31"/>
  </r>
  <r>
    <s v="ORT-12039"/>
    <s v="C000421120"/>
    <s v="SAVILE ROW NO 23 ROKOS FLR 1 PHASE 2 LONDON"/>
    <n v="0"/>
    <n v="1"/>
    <d v="2025-08-12T00:00:00"/>
    <x v="31"/>
  </r>
  <r>
    <s v="ORT-12040"/>
    <s v="C000421121"/>
    <s v="ALDERSGATE ST NO 150 THE VERDANT TIKTOK FIT OUT LONDON"/>
    <n v="0"/>
    <n v="1"/>
    <d v="2025-08-12T00:00:00"/>
    <x v="31"/>
  </r>
  <r>
    <s v="ORT-12041"/>
    <s v="C000421124"/>
    <s v="OVAL VILLAGE KENNINGTON LANE PLOT B LONDON"/>
    <n v="8"/>
    <n v="0"/>
    <d v="2025-08-12T00:00:00"/>
    <x v="31"/>
  </r>
  <r>
    <s v="ORT-12042"/>
    <s v="C000421125"/>
    <s v="CENTRAL SQUARE NO 1 CAPITAL QUARTER CARDIFF"/>
    <n v="0"/>
    <n v="1"/>
    <d v="2025-08-12T00:00:00"/>
    <x v="31"/>
  </r>
  <r>
    <s v="ORT-12043"/>
    <s v="C000421126"/>
    <s v="SOUTH MISC 2025"/>
    <n v="0"/>
    <n v="1"/>
    <d v="2025-08-12T00:00:00"/>
    <x v="31"/>
  </r>
  <r>
    <s v="ORT-12044"/>
    <s v="C000421127"/>
    <s v="CANARY WHARF BANK STREET NO 12 LONDON"/>
    <n v="0"/>
    <n v="1"/>
    <d v="2025-08-12T00:00:00"/>
    <x v="31"/>
  </r>
  <r>
    <s v="ORT-12045"/>
    <s v="C000421130"/>
    <s v="JACK TURNBULL MISC TILE &amp; GRID 2025"/>
    <n v="0"/>
    <n v="1"/>
    <d v="2025-08-12T00:00:00"/>
    <x v="31"/>
  </r>
  <r>
    <s v="ORT-12046"/>
    <s v="C000421137"/>
    <s v="PADDINGTON CENTRAL KINGDOM ST NO 1 FLRS 1,6,8 EQUINOR LONDON"/>
    <n v="0"/>
    <n v="1"/>
    <d v="2025-08-12T00:00:00"/>
    <x v="31"/>
  </r>
  <r>
    <s v="ORT-12047"/>
    <s v="C000421138"/>
    <s v="BROADGATE NO 1-2 CAT B A&amp;O SHEARMAN FLOORS 1-7"/>
    <n v="0"/>
    <n v="1"/>
    <d v="2025-08-12T00:00:00"/>
    <x v="31"/>
  </r>
  <r>
    <s v="ORT-12048"/>
    <s v="C000421139"/>
    <s v="NR EAST KILBRIDE &amp; HAIRMYRES STATIONS"/>
    <n v="10"/>
    <n v="0"/>
    <d v="2025-08-12T00:00:00"/>
    <x v="31"/>
  </r>
  <r>
    <s v="ORT-12049"/>
    <s v="C000421141"/>
    <s v="VINE STREET NO 1 FLOORS 3-4 CAT A+ LONDON"/>
    <n v="3"/>
    <n v="1"/>
    <d v="2025-08-12T00:00:00"/>
    <x v="31"/>
  </r>
  <r>
    <s v="ORT-12050"/>
    <s v="C000421146"/>
    <s v="MORE LONDON RIVERSIDE NO 7 PWC REFRESH LONDON"/>
    <n v="12"/>
    <n v="0"/>
    <d v="2025-08-13T00:00:00"/>
    <x v="31"/>
  </r>
  <r>
    <s v="ORT-12051"/>
    <s v="C000421150"/>
    <s v="CANARY WHARF WOOD WHARF WATER STREET NO 20 LONDON"/>
    <n v="1"/>
    <n v="1"/>
    <d v="2025-08-13T00:00:00"/>
    <x v="31"/>
  </r>
  <r>
    <s v="ORT-12052"/>
    <s v="C000421156"/>
    <s v="DIAMOND LIGHT SOURCE DEB EXTENSIONS DIDCOT"/>
    <n v="0"/>
    <n v="1"/>
    <d v="2025-08-13T00:00:00"/>
    <x v="31"/>
  </r>
  <r>
    <s v="ORT-12053"/>
    <s v="C000421157"/>
    <s v="ST PHILIPS PLACE NO 5 BIRMINGHAM"/>
    <n v="0"/>
    <n v="1"/>
    <d v="2025-08-13T00:00:00"/>
    <x v="31"/>
  </r>
  <r>
    <s v="ORT-12054"/>
    <s v="C000421158"/>
    <s v="CENTRAL SQUARE NO 1 CAPITAL QUARTER CARDIFF"/>
    <n v="0"/>
    <n v="1"/>
    <d v="2025-08-13T00:00:00"/>
    <x v="31"/>
  </r>
  <r>
    <s v="ORT-12055"/>
    <s v="C000421159"/>
    <s v="THE AVENUES MALL &amp; TOWER 2 AL KHOBAR KSA"/>
    <n v="29"/>
    <n v="0"/>
    <d v="2025-08-13T00:00:00"/>
    <x v="31"/>
  </r>
  <r>
    <s v="ORT-12056"/>
    <s v="C000421162"/>
    <s v="EURSHELL MISC TILE &amp; GRID 2025"/>
    <n v="0"/>
    <n v="1"/>
    <d v="2025-08-13T00:00:00"/>
    <x v="31"/>
  </r>
  <r>
    <s v="ORT-12057"/>
    <s v="C000421163"/>
    <s v="MOORFIELDS NO 21 THE GLACIER CAT B DEUTSCHE BANK LONDON"/>
    <n v="0"/>
    <n v="1"/>
    <d v="2025-08-13T00:00:00"/>
    <x v="31"/>
  </r>
  <r>
    <s v="ORT-12059"/>
    <s v="C000421165"/>
    <s v="EDEN CAMPUS UNILEVER CAT B KINGSTON"/>
    <n v="0"/>
    <n v="1"/>
    <d v="2025-08-13T00:00:00"/>
    <x v="31"/>
  </r>
  <r>
    <s v="ORT-12060"/>
    <s v="C000421166"/>
    <s v="EDEN CAMPUS UNILEVER CAT B KINGSTON"/>
    <n v="0"/>
    <n v="1"/>
    <d v="2025-08-13T00:00:00"/>
    <x v="31"/>
  </r>
  <r>
    <s v="ORT-12061"/>
    <s v="C000421167"/>
    <s v="EDEN CAMPUS UNILEVER CAT B KINGSTON"/>
    <n v="0"/>
    <n v="1"/>
    <d v="2025-08-13T00:00:00"/>
    <x v="31"/>
  </r>
  <r>
    <s v="ORT-12062"/>
    <s v="C000421168"/>
    <s v="EDEN CAMPUS UNILEVER CAT B KINGSTON"/>
    <n v="0"/>
    <n v="1"/>
    <d v="2025-08-13T00:00:00"/>
    <x v="31"/>
  </r>
  <r>
    <s v="ORT-12063"/>
    <s v="C000421169"/>
    <s v="STAR AKUSTIK ALTDORF"/>
    <n v="14"/>
    <n v="0"/>
    <d v="2025-08-14T00:00:00"/>
    <x v="31"/>
  </r>
  <r>
    <s v="ORT-12064"/>
    <s v="C000421178"/>
    <s v="NDA KIRKLEE MOD HEREFORD"/>
    <n v="5"/>
    <n v="1"/>
    <d v="2025-08-14T00:00:00"/>
    <x v="31"/>
  </r>
  <r>
    <s v="ORT-12065"/>
    <s v="C000421185"/>
    <s v="EDEN CAMPUS UNILEVER CAT B KINGSTON"/>
    <n v="0"/>
    <n v="1"/>
    <d v="2025-08-14T00:00:00"/>
    <x v="31"/>
  </r>
  <r>
    <s v="ORT-12066"/>
    <s v="C000421187"/>
    <s v="PALM BEACH TOWER PALM JUMEIRAH"/>
    <n v="42"/>
    <n v="0"/>
    <d v="2025-08-14T00:00:00"/>
    <x v="31"/>
  </r>
  <r>
    <s v="ORT-12067"/>
    <s v="C000421188"/>
    <s v="QIDDIYA MOTORSPORT PKG 2 &amp; 3 BOH RIYADH"/>
    <n v="42"/>
    <n v="0"/>
    <d v="2025-08-14T00:00:00"/>
    <x v="31"/>
  </r>
  <r>
    <s v="ORT-12068"/>
    <s v="C000421190"/>
    <s v="STRAND NO 111 CVC REFURB FLOORS 1-6 LONDON"/>
    <n v="0"/>
    <n v="1"/>
    <d v="2025-08-14T00:00:00"/>
    <x v="31"/>
  </r>
  <r>
    <s v="ORT-12072"/>
    <s v="C000421208"/>
    <s v="MARK LANE NO 70 LVL 11 CAT A LONDON"/>
    <n v="0"/>
    <n v="1"/>
    <d v="2025-08-15T00:00:00"/>
    <x v="31"/>
  </r>
  <r>
    <s v="ORT-12073"/>
    <s v="C000421209"/>
    <s v="LONDON MISC 2025"/>
    <n v="0"/>
    <n v="1"/>
    <d v="2025-08-15T00:00:00"/>
    <x v="31"/>
  </r>
  <r>
    <s v="ORT-12074"/>
    <s v="C000421214"/>
    <s v="NEW BRIDGE STREET NO 100 CAT A+ LONDON"/>
    <n v="0"/>
    <n v="1"/>
    <d v="2025-08-15T00:00:00"/>
    <x v="31"/>
  </r>
  <r>
    <s v="ORT-12075"/>
    <s v="C000421216"/>
    <s v="STEPHEN STREET NO 1-2 FLOOR 9 &amp; 10 ADDITIONALS LONDON"/>
    <n v="0"/>
    <n v="1"/>
    <d v="2025-08-15T00:00:00"/>
    <x v="31"/>
  </r>
  <r>
    <s v="ORT-12076"/>
    <s v="C000421225"/>
    <s v="MORE LONDON NO 6 CAT A LONDON"/>
    <n v="10"/>
    <n v="0"/>
    <d v="2025-08-18T00:00:00"/>
    <x v="32"/>
  </r>
  <r>
    <s v="ORT-12077"/>
    <s v="C000421230"/>
    <s v="QUEENSBERRY HOUSE OLD BURLINGTON STREET NO 3 MOCK UP LONDON"/>
    <n v="0"/>
    <n v="1"/>
    <d v="2025-08-18T00:00:00"/>
    <x v="32"/>
  </r>
  <r>
    <s v="ORT-12078"/>
    <s v="C000421232"/>
    <s v="LONDON MISC 2025"/>
    <n v="0"/>
    <n v="1"/>
    <d v="2025-08-18T00:00:00"/>
    <x v="32"/>
  </r>
  <r>
    <s v="ORT-12079"/>
    <s v="C000421238"/>
    <s v="OLD LIBRARY TRINITY STREET NO 18 CARDIFF"/>
    <n v="0"/>
    <n v="1"/>
    <d v="2025-08-18T00:00:00"/>
    <x v="32"/>
  </r>
  <r>
    <s v="ORT-12080"/>
    <m/>
    <s v="EURSHELL MISC TILE &amp; GRID 2025"/>
    <n v="0"/>
    <n v="1"/>
    <d v="2025-08-18T00:00:00"/>
    <x v="32"/>
  </r>
  <r>
    <s v="ORT-12081"/>
    <s v="C000421245"/>
    <s v="SAINSBURYS MISC 2025"/>
    <n v="0"/>
    <n v="1"/>
    <d v="2025-08-18T00:00:00"/>
    <x v="32"/>
  </r>
  <r>
    <s v="ORT-12082"/>
    <s v="C000421250"/>
    <s v="WORKPLACE INTERIORS MISC 2025"/>
    <n v="21"/>
    <n v="0"/>
    <d v="2025-08-18T00:00:00"/>
    <x v="32"/>
  </r>
  <r>
    <s v="ORT-12084"/>
    <s v="C000421255"/>
    <s v="WAVERLEY GATE FLR 2 REFURB EDINBURGH"/>
    <n v="0"/>
    <n v="1"/>
    <d v="2025-08-19T00:00:00"/>
    <x v="32"/>
  </r>
  <r>
    <s v="ORT-12085"/>
    <s v="C000421257"/>
    <s v="HUNDRED OF HOO ACADEMY MAIN ROAD ROCHESTER"/>
    <n v="5"/>
    <n v="1"/>
    <d v="2025-08-19T00:00:00"/>
    <x v="32"/>
  </r>
  <r>
    <s v="ORT-12086"/>
    <s v="C000421262"/>
    <s v="DAKOTA HOTEL MANCHESTER AIRPORT"/>
    <n v="0"/>
    <n v="1"/>
    <d v="2025-08-19T00:00:00"/>
    <x v="32"/>
  </r>
  <r>
    <s v="ORT-12087"/>
    <s v="C000421268"/>
    <s v="ABBEY LANE STUDENT ACCOMMODATION EDINBURGH"/>
    <n v="0"/>
    <n v="1"/>
    <d v="2025-08-19T00:00:00"/>
    <x v="32"/>
  </r>
  <r>
    <s v="ORT-12088"/>
    <m/>
    <s v="ABBEY LANE STUDENT ACCOMMODATION EDINBURGH"/>
    <n v="0"/>
    <n v="1"/>
    <d v="2025-08-19T00:00:00"/>
    <x v="32"/>
  </r>
  <r>
    <s v="ORT-12089"/>
    <s v="C000421270"/>
    <s v="MANCHESTER AIRPORT T2 EAST WING NEW DEVELOPMENT"/>
    <n v="0"/>
    <n v="1"/>
    <d v="2025-08-19T00:00:00"/>
    <x v="32"/>
  </r>
  <r>
    <s v="ORT-12090"/>
    <s v="C000421274"/>
    <s v="CITY POINT L1 AND LGF HAYMARKET TERRACE NO 65 EDINBURGH"/>
    <n v="17"/>
    <n v="0"/>
    <d v="2025-08-19T00:00:00"/>
    <x v="32"/>
  </r>
  <r>
    <s v="ORT-12091"/>
    <m/>
    <s v="MEC KSA BENOY PROJECT RIYADH"/>
    <n v="41"/>
    <n v="0"/>
    <d v="2025-08-19T00:00:00"/>
    <x v="32"/>
  </r>
  <r>
    <s v="ORT-12092"/>
    <s v="C000421277"/>
    <s v="AL NAMAA GENERAL HOSPITAL NORTH SHARQIYAH OMAN"/>
    <n v="0"/>
    <n v="1"/>
    <d v="2025-08-19T00:00:00"/>
    <x v="32"/>
  </r>
  <r>
    <s v="ORT-12093"/>
    <s v="C000421279"/>
    <s v="SANCTUARY BUILDINGS GREAT SMITH ST PHASE 2 FLRS B-3 LONDON"/>
    <n v="0"/>
    <n v="1"/>
    <d v="2025-08-19T00:00:00"/>
    <x v="32"/>
  </r>
  <r>
    <s v="ORT-12094"/>
    <s v="C000421281"/>
    <s v="WORKPLACE INTERIORS MISC 2025"/>
    <n v="0"/>
    <n v="1"/>
    <d v="2025-08-19T00:00:00"/>
    <x v="32"/>
  </r>
  <r>
    <s v="ORT-12095"/>
    <s v="C000421285"/>
    <s v="WAVERLEY GATE FLR 2 REFURB EDINBURGH"/>
    <n v="11"/>
    <n v="0"/>
    <d v="2025-08-19T00:00:00"/>
    <x v="32"/>
  </r>
  <r>
    <s v="ORT-12096"/>
    <s v="C000421289"/>
    <s v="KING WILLIAM STREET NO 45 REGIS HOUSE FLRS 1 &amp; 5-7 LONDON"/>
    <n v="0"/>
    <n v="1"/>
    <d v="2025-08-20T00:00:00"/>
    <x v="32"/>
  </r>
  <r>
    <s v="ORT-12097"/>
    <s v="C000421297"/>
    <s v="GILTSPUR STREET NO 20 PROJECT EDWARD LONDON"/>
    <n v="0"/>
    <n v="1"/>
    <d v="2025-08-20T00:00:00"/>
    <x v="32"/>
  </r>
  <r>
    <s v="ORT-12098"/>
    <s v="C000421298"/>
    <s v="SANCTUARY BUILDINGS GREAT SMITH ST PHASE 2 FLRS B-3 LONDON"/>
    <n v="0"/>
    <n v="1"/>
    <d v="2025-08-20T00:00:00"/>
    <x v="32"/>
  </r>
  <r>
    <s v="ORT-12099"/>
    <s v="C000421301"/>
    <s v="SANCTUARY BUILDINGS GREAT SMITH ST PHASE 2 FLRS B-3 LONDON"/>
    <n v="0"/>
    <n v="1"/>
    <d v="2025-08-20T00:00:00"/>
    <x v="32"/>
  </r>
  <r>
    <s v="ORT-12100"/>
    <s v="C000421302"/>
    <s v="SANCTUARY BUILDINGS GREAT SMITH ST PHASE 2 FLRS B-3 LONDON"/>
    <n v="5"/>
    <n v="1"/>
    <d v="2025-08-20T00:00:00"/>
    <x v="32"/>
  </r>
  <r>
    <s v="ORT-12101"/>
    <s v="C000421303"/>
    <s v="SANCTUARY BUILDINGS GREAT SMITH ST PHASE 2 FLRS B-3 LONDON"/>
    <n v="0"/>
    <n v="1"/>
    <d v="2025-08-20T00:00:00"/>
    <x v="32"/>
  </r>
  <r>
    <s v="ORT-12102"/>
    <s v="C000421306"/>
    <s v="NDA KIRKLEE MOD HEREFORD"/>
    <n v="0"/>
    <n v="1"/>
    <d v="2025-08-20T00:00:00"/>
    <x v="32"/>
  </r>
  <r>
    <s v="ORT-12103"/>
    <s v="C000421308"/>
    <s v="SAMPLE ROOM READING"/>
    <n v="0"/>
    <n v="1"/>
    <d v="2025-08-20T00:00:00"/>
    <x v="32"/>
  </r>
  <r>
    <s v="ORT-12104"/>
    <s v="C000421315"/>
    <s v="DUDLEY INTERCHANGE FISHER STREET"/>
    <n v="0"/>
    <n v="1"/>
    <d v="2025-08-20T00:00:00"/>
    <x v="32"/>
  </r>
  <r>
    <s v="ORT-12105"/>
    <s v="C000421316"/>
    <s v="JACK TURNBULL MISC TILE &amp; GRID 2025"/>
    <n v="0"/>
    <n v="1"/>
    <d v="2025-08-20T00:00:00"/>
    <x v="32"/>
  </r>
  <r>
    <s v="ORT-12106"/>
    <s v="C000421318"/>
    <s v="NEW BRIDGE STREET NO 100 CAT A+ LONDON"/>
    <n v="2"/>
    <n v="1"/>
    <d v="2025-08-20T00:00:00"/>
    <x v="32"/>
  </r>
  <r>
    <s v="ORT-12107"/>
    <s v="C000421323"/>
    <s v="ELEPHANT &amp; CASTLE TOWN CENTRE PLOT E2 &amp; E3 LONDON"/>
    <n v="0"/>
    <n v="1"/>
    <d v="2025-08-21T00:00:00"/>
    <x v="32"/>
  </r>
  <r>
    <s v="ORT-12108"/>
    <s v="C000421324"/>
    <s v="ARIMA OFFICES MADRID"/>
    <n v="0"/>
    <n v="1"/>
    <d v="2025-08-21T00:00:00"/>
    <x v="32"/>
  </r>
  <r>
    <s v="ORT-12109"/>
    <s v="C000421325"/>
    <s v="MISC TILE &amp; GRID PROJECTS"/>
    <n v="0"/>
    <n v="1"/>
    <d v="2025-08-21T00:00:00"/>
    <x v="32"/>
  </r>
  <r>
    <s v="ORT-12110"/>
    <s v="C000421326"/>
    <s v="NEW YORK STREET NO 1 CAT B REFURB MANCHESTER"/>
    <n v="2"/>
    <n v="1"/>
    <d v="2025-08-21T00:00:00"/>
    <x v="32"/>
  </r>
  <r>
    <s v="ORT-12111"/>
    <s v="C000421327"/>
    <s v="KIRYAT MIGDAL RENOVATION"/>
    <n v="0"/>
    <n v="1"/>
    <d v="2025-08-21T00:00:00"/>
    <x v="32"/>
  </r>
  <r>
    <s v="ORT-12112"/>
    <s v="C000421328"/>
    <s v="UNIVERSITY OF HERTFORDSHIRE TODD BUILDING"/>
    <n v="21"/>
    <n v="0"/>
    <d v="2025-08-21T00:00:00"/>
    <x v="32"/>
  </r>
  <r>
    <s v="ORT-12113"/>
    <s v="C000421338"/>
    <s v="SAMPLE ROOM READING"/>
    <n v="0"/>
    <n v="1"/>
    <d v="2025-08-21T00:00:00"/>
    <x v="32"/>
  </r>
  <r>
    <s v="ORT-12114"/>
    <s v="C000421347"/>
    <s v="MARKS &amp; SPENCER DOUGLAS"/>
    <n v="0"/>
    <n v="1"/>
    <d v="2025-08-21T00:00:00"/>
    <x v="32"/>
  </r>
  <r>
    <s v="ORT-12117"/>
    <s v="C000421363"/>
    <s v="LONDON MISC 2025"/>
    <n v="0"/>
    <n v="1"/>
    <d v="2025-08-22T00:00:00"/>
    <x v="32"/>
  </r>
  <r>
    <s v="ORT-12118"/>
    <s v="C000421364"/>
    <s v="STORE ROAD WOOLWICH LONDON"/>
    <n v="0"/>
    <n v="1"/>
    <d v="2025-08-22T00:00:00"/>
    <x v="32"/>
  </r>
  <r>
    <s v="ORT-12119"/>
    <s v="C000421368"/>
    <s v="WELLS STREET NO 80 WELLS HOUSE THE RIBBON LONDON"/>
    <n v="1"/>
    <n v="1"/>
    <d v="2025-08-22T00:00:00"/>
    <x v="32"/>
  </r>
  <r>
    <s v="ORT-12120"/>
    <s v="C000421369"/>
    <s v="VILLAGE HOTEL ASHTON MANCHESTER"/>
    <n v="3"/>
    <n v="1"/>
    <d v="2025-08-22T00:00:00"/>
    <x v="32"/>
  </r>
  <r>
    <s v="ORT-12121"/>
    <s v="C000421370"/>
    <s v="LEADENHALL STREET NO 40 KIRKLAND &amp; ELLIS FLRS 15-34 LONDON"/>
    <n v="0"/>
    <n v="1"/>
    <d v="2025-08-22T00:00:00"/>
    <x v="32"/>
  </r>
  <r>
    <s v="ORT-12122"/>
    <s v="C000421371"/>
    <s v="GROSVENOR STREET NO 77 FLOOR 4 PHASE 2 LONDON"/>
    <n v="0"/>
    <n v="1"/>
    <d v="2025-08-22T00:00:00"/>
    <x v="32"/>
  </r>
  <r>
    <s v="ORT-12123"/>
    <s v="C000421372"/>
    <s v="LEADENHALL STREET NO 40 KIRKLAND &amp; ELLIS FLRS 15-34 LONDON"/>
    <n v="0"/>
    <n v="1"/>
    <d v="2025-08-22T00:00:00"/>
    <x v="32"/>
  </r>
  <r>
    <s v="ORT-12124"/>
    <s v="C000421376"/>
    <s v="EXCHANGE SQUARE NO 1 CAT A REFURB LONDON"/>
    <n v="9"/>
    <n v="0"/>
    <d v="2025-08-22T00:00:00"/>
    <x v="32"/>
  </r>
  <r>
    <s v="ORT-12125"/>
    <s v="C000421377"/>
    <s v="LIVERPOOL STREET NO 100 CAT B MILBANK LLP LEVEL 7 LONDON"/>
    <n v="0"/>
    <n v="1"/>
    <d v="2025-08-22T00:00:00"/>
    <x v="32"/>
  </r>
  <r>
    <s v="ORT-12130"/>
    <s v="C000421382"/>
    <s v="HUMPHRYS ROAD UNIT 1 &amp; 1A WOODSIDE DUNSTABLE"/>
    <n v="0"/>
    <n v="1"/>
    <d v="2025-08-26T00:00:00"/>
    <x v="33"/>
  </r>
  <r>
    <s v="ORT-12131"/>
    <s v="C000421383"/>
    <s v="ACS HANGAR CAFE EWELL ROAD NO 171-185 SURBITON"/>
    <n v="0"/>
    <n v="1"/>
    <d v="2025-08-26T00:00:00"/>
    <x v="33"/>
  </r>
  <r>
    <s v="ORT-12132"/>
    <s v="C000421391"/>
    <s v="CIRCLE SQUARE NO 3 AUTOTRADER FITOUT MANCHESTER"/>
    <n v="0"/>
    <n v="1"/>
    <d v="2025-08-26T00:00:00"/>
    <x v="33"/>
  </r>
  <r>
    <s v="ORT-12133"/>
    <s v="C000421392"/>
    <s v="MARRIOTT HOTEL &amp; EXECUTIVE APARTMENTS KAMPALA"/>
    <n v="0"/>
    <n v="1"/>
    <d v="2025-08-26T00:00:00"/>
    <x v="33"/>
  </r>
  <r>
    <s v="ORT-12134"/>
    <s v="C000421393"/>
    <s v="HERBAL HILL NO 3-7 FLOORS 1 &amp; 4 FIT OUT LONDON"/>
    <n v="0"/>
    <n v="1"/>
    <d v="2025-08-26T00:00:00"/>
    <x v="33"/>
  </r>
  <r>
    <s v="ORT-12135"/>
    <s v="C000421399"/>
    <s v="MOH SUWAIQ HOSPITAL ADDTL MATERIALS OMAN"/>
    <n v="0"/>
    <n v="1"/>
    <d v="2025-08-26T00:00:00"/>
    <x v="33"/>
  </r>
  <r>
    <s v="ORT-12136"/>
    <s v="C000421400"/>
    <s v="MOH KHASAB HOSPITAL ADDTL MATERIALS OMAN"/>
    <n v="0"/>
    <n v="1"/>
    <d v="2025-08-26T00:00:00"/>
    <x v="33"/>
  </r>
  <r>
    <s v="ORT-12138"/>
    <s v="C000421401"/>
    <s v="STONECUTTER COURT CAT B TRAVERS SMITH LONDON"/>
    <n v="0"/>
    <n v="1"/>
    <d v="2025-08-26T00:00:00"/>
    <x v="33"/>
  </r>
  <r>
    <s v="ORT-12139"/>
    <s v="C000421403"/>
    <s v="MOH KHASAB HOSPITAL ADDTL MATERIALS OMAN"/>
    <n v="0"/>
    <n v="1"/>
    <d v="2025-08-26T00:00:00"/>
    <x v="33"/>
  </r>
  <r>
    <s v="ORT-12140"/>
    <s v="C000421404"/>
    <s v="WORKPLACE INTERIORS MISC 2025"/>
    <n v="0"/>
    <n v="1"/>
    <d v="2025-08-26T00:00:00"/>
    <x v="33"/>
  </r>
  <r>
    <s v="ORT-12141"/>
    <s v="C000421411"/>
    <s v="WEYBRIDGE INNOVATION FACILITY HALEON (GSK) THE HEIGHTS - NDA"/>
    <n v="0"/>
    <n v="1"/>
    <d v="2025-08-27T00:00:00"/>
    <x v="33"/>
  </r>
  <r>
    <s v="ORT-12142"/>
    <s v="C000421414"/>
    <s v="GSK OLIGO HUB BUILDING 6 STEVENAGE"/>
    <n v="0"/>
    <n v="1"/>
    <d v="2025-08-27T00:00:00"/>
    <x v="33"/>
  </r>
  <r>
    <s v="ORT-12143"/>
    <s v="C000421416"/>
    <s v="BRINDLEY PLACE NO 10 FLR 6 BIRMINGHAM"/>
    <n v="0"/>
    <n v="1"/>
    <d v="2025-08-27T00:00:00"/>
    <x v="33"/>
  </r>
  <r>
    <s v="ORT-12144"/>
    <s v="C000421417"/>
    <s v="THE OXFORD SCIENCE PARK PLOTS NO 23-26 OXFORD"/>
    <n v="8"/>
    <n v="0"/>
    <d v="2025-08-27T00:00:00"/>
    <x v="33"/>
  </r>
  <r>
    <s v="ORT-12145"/>
    <s v="C000421420"/>
    <s v="FINSBURY AVENUE NO 2 DEVELOPMENT LONDON"/>
    <n v="1"/>
    <n v="1"/>
    <d v="2025-08-27T00:00:00"/>
    <x v="33"/>
  </r>
  <r>
    <s v="ORT-12146"/>
    <s v="C000421423"/>
    <s v="GRESHAM STREET NO 20 DILAP LONDON"/>
    <n v="0"/>
    <n v="1"/>
    <d v="2025-08-27T00:00:00"/>
    <x v="33"/>
  </r>
  <r>
    <s v="ORT-12147"/>
    <m/>
    <s v="WORKPLACE INTERIORS MISC 2025"/>
    <n v="36"/>
    <n v="0"/>
    <d v="2025-08-27T00:00:00"/>
    <x v="33"/>
  </r>
  <r>
    <s v="ORT-12148"/>
    <s v="C000421451"/>
    <s v="RITZ HOTEL PICCADILLY NO 150 PROJECT PICNIC LONDON"/>
    <n v="0"/>
    <n v="1"/>
    <d v="2025-08-28T00:00:00"/>
    <x v="33"/>
  </r>
  <r>
    <s v="ORT-12149"/>
    <s v="C000421453"/>
    <s v="LONDON MISC 2025"/>
    <n v="0"/>
    <n v="1"/>
    <d v="2025-08-28T00:00:00"/>
    <x v="33"/>
  </r>
  <r>
    <s v="ORT-12150"/>
    <s v="C000421455"/>
    <s v="HEATHROW T5 WATCHES OF SWITZERLAND STORE"/>
    <n v="18"/>
    <n v="0"/>
    <d v="2025-08-28T00:00:00"/>
    <x v="33"/>
  </r>
  <r>
    <s v="ORT-12151"/>
    <s v="C000421459"/>
    <s v="BARCELONA AIRPORT T2 &amp; T1"/>
    <n v="10"/>
    <n v="0"/>
    <d v="2025-08-28T00:00:00"/>
    <x v="33"/>
  </r>
  <r>
    <s v="ORT-12152"/>
    <s v="C000421461"/>
    <s v="ALDERSGATE ST NO 150 THE VERDANT TIKTOK FIT OUT LONDON"/>
    <n v="0"/>
    <n v="1"/>
    <d v="2025-08-28T00:00:00"/>
    <x v="33"/>
  </r>
  <r>
    <s v="ORT-12153"/>
    <s v="C000421462"/>
    <s v="EDEN CAMPUS UNILEVER CAT B KINGSTON"/>
    <n v="19"/>
    <n v="0"/>
    <d v="2025-08-28T00:00:00"/>
    <x v="33"/>
  </r>
  <r>
    <s v="ORT-12154"/>
    <s v="C000421464"/>
    <s v="CENTRAL BANK OF IRAQ HEADQUARTERS BAGHDAD"/>
    <n v="23"/>
    <n v="0"/>
    <d v="2025-08-28T00:00:00"/>
    <x v="33"/>
  </r>
  <r>
    <s v="ORT-12155"/>
    <s v="C000421467"/>
    <s v="MIRA TECHNOLOGIES WORKSHOPS PHASE 3 NUNEATON"/>
    <n v="0"/>
    <n v="1"/>
    <d v="2025-08-28T00:00:00"/>
    <x v="33"/>
  </r>
  <r>
    <s v="ORT-12156"/>
    <s v="C000421470"/>
    <s v="HSBC PLATINUM MSHEIREB DOHA QATAR"/>
    <n v="4"/>
    <n v="1"/>
    <d v="2025-08-28T00:00:00"/>
    <x v="33"/>
  </r>
  <r>
    <s v="ORT-12157"/>
    <s v="C000421471"/>
    <s v="WOOLWICH LEISURE CENTRE PHASE 1 TRAMSHED THEATRE LONDON"/>
    <n v="0"/>
    <n v="1"/>
    <d v="2025-08-28T00:00:00"/>
    <x v="33"/>
  </r>
  <r>
    <s v="ORT-12158"/>
    <s v="C000421474"/>
    <s v="BISHOPSGATE NO 22 LEVEL 9 AMWINS REFURB LONDON"/>
    <n v="2"/>
    <n v="1"/>
    <d v="2025-08-28T00:00:00"/>
    <x v="33"/>
  </r>
  <r>
    <s v="ORT-12159"/>
    <s v="C000421475"/>
    <s v="GRUPO JORGE OFICINAS ZARAGOZA"/>
    <n v="0"/>
    <n v="1"/>
    <d v="2025-08-28T00:00:00"/>
    <x v="33"/>
  </r>
  <r>
    <s v="ORT-12160"/>
    <s v="C000421481"/>
    <s v="VINE STREET NO 1 FLOORS 3-4 CAT A+ LONDON"/>
    <n v="0"/>
    <n v="1"/>
    <d v="2025-08-29T00:00:00"/>
    <x v="33"/>
  </r>
  <r>
    <s v="ORT-12162"/>
    <s v="C000421486"/>
    <s v="SKY STUDIOS GRANT WAY ISLEWORTH PHASE 2 LONDON"/>
    <n v="0"/>
    <n v="1"/>
    <d v="2025-08-29T00:00:00"/>
    <x v="33"/>
  </r>
  <r>
    <s v="ORT-12163"/>
    <s v="C000421490"/>
    <s v="CHEAPSIDE NO 100 CAT B CRAVAITH SWAINE &amp; MOORE LONDON"/>
    <n v="0"/>
    <n v="1"/>
    <d v="2025-08-29T00:00:00"/>
    <x v="33"/>
  </r>
  <r>
    <s v="ORT-12164"/>
    <s v="C000421488"/>
    <s v="EURSHELL MISC TILE &amp; GRID 2025"/>
    <n v="0"/>
    <n v="1"/>
    <d v="2025-08-29T00:00:00"/>
    <x v="33"/>
  </r>
  <r>
    <s v="ORT-12165"/>
    <s v="C000421485"/>
    <s v="EURSHELL MISC TILE &amp; GRID 2025"/>
    <n v="18"/>
    <n v="0"/>
    <d v="2025-08-29T00:00:00"/>
    <x v="33"/>
  </r>
  <r>
    <s v="ORT-12166"/>
    <s v="C000421493"/>
    <s v="ALDERSGATE ST NO 150 THE VERDANT TIKTOK FIT OUT LONDON"/>
    <n v="0"/>
    <n v="1"/>
    <d v="2025-08-29T00:00:00"/>
    <x v="33"/>
  </r>
  <r>
    <s v="ORT-12167"/>
    <s v="C000421494"/>
    <s v="WINCHESTER COLLEGE BOARDING AND SPORTS FACILITIES"/>
    <n v="0"/>
    <n v="1"/>
    <d v="2025-08-29T00:00:00"/>
    <x v="33"/>
  </r>
  <r>
    <s v="ORT-12168"/>
    <s v="C000421510"/>
    <s v="RITZ HOTEL PICCADILLY NO 150 PROJECT PICNIC LONDON"/>
    <n v="1"/>
    <n v="1"/>
    <d v="2025-09-01T00:00:00"/>
    <x v="34"/>
  </r>
  <r>
    <s v="ORT-12169"/>
    <s v="C000421511"/>
    <s v="LONDON MISC 2025"/>
    <n v="0"/>
    <n v="1"/>
    <d v="2025-09-01T00:00:00"/>
    <x v="34"/>
  </r>
  <r>
    <s v="ORT-12170"/>
    <s v="C000421514"/>
    <s v="LEADENHALL STREET NO 40 KIRKLAND &amp; ELLIS FLRS 15-34 LONDON"/>
    <n v="0"/>
    <n v="1"/>
    <d v="2025-09-01T00:00:00"/>
    <x v="34"/>
  </r>
  <r>
    <s v="ORT-12171"/>
    <s v="C000421522"/>
    <s v="CITY POINT 2ND FLR HAYMARKET TERRACE NO 65 EDINBURGH"/>
    <n v="0"/>
    <n v="1"/>
    <d v="2025-09-01T00:00:00"/>
    <x v="34"/>
  </r>
  <r>
    <s v="ORT-12172"/>
    <s v="C000421525"/>
    <s v="LANCASTER WHARF GUN QUARTER BIRMINGHAM"/>
    <n v="8"/>
    <n v="0"/>
    <d v="2025-09-01T00:00:00"/>
    <x v="34"/>
  </r>
  <r>
    <s v="ORT-12173"/>
    <s v="C000421529"/>
    <s v="HEATHROW CP19 MAIN WORKS LEVEL 00 CAMPUS PRECINCTS"/>
    <n v="0"/>
    <n v="1"/>
    <d v="2025-09-01T00:00:00"/>
    <x v="34"/>
  </r>
  <r>
    <s v="ORT-12174"/>
    <s v="C000421546"/>
    <s v="TRINITY BY BREAKTHROUGH FLR 1 OXFORD BUSINESS PARK"/>
    <n v="0"/>
    <n v="1"/>
    <d v="2025-09-02T00:00:00"/>
    <x v="34"/>
  </r>
  <r>
    <s v="ORT-12175"/>
    <s v="C000421549"/>
    <s v="CANARY WHARF CANADA SQUARE NO 25 CITIBANK REFURB LONDON"/>
    <n v="5"/>
    <n v="1"/>
    <d v="2025-09-02T00:00:00"/>
    <x v="34"/>
  </r>
  <r>
    <s v="ORT-12176"/>
    <s v="C000421556"/>
    <s v="LONDON MISC 2025"/>
    <n v="0"/>
    <n v="1"/>
    <d v="2025-09-02T00:00:00"/>
    <x v="34"/>
  </r>
  <r>
    <s v="ORT-12177"/>
    <s v="C000421557"/>
    <s v="JACK TURNBULL MISC TILE &amp; GRID 2025"/>
    <n v="9"/>
    <n v="0"/>
    <d v="2025-09-02T00:00:00"/>
    <x v="34"/>
  </r>
  <r>
    <s v="ORT-12178"/>
    <s v="C000421558"/>
    <s v="LONDON MISC 2025"/>
    <n v="0"/>
    <n v="1"/>
    <d v="2025-09-02T00:00:00"/>
    <x v="34"/>
  </r>
  <r>
    <s v="ORT-12181"/>
    <m/>
    <s v="VERDE BY SOBHA MIXED DEVT PLOT 3935816 JLT DUBAI"/>
    <n v="31"/>
    <n v="0"/>
    <d v="2025-09-02T00:00:00"/>
    <x v="34"/>
  </r>
  <r>
    <s v="ORT-12182"/>
    <s v="C000421570"/>
    <s v="UNI OF OXFORD INSTITUTE FOR GLOBAL HEALTH BLDG"/>
    <n v="1"/>
    <n v="1"/>
    <d v="2025-09-03T00:00:00"/>
    <x v="34"/>
  </r>
  <r>
    <s v="ORT-12183"/>
    <s v="C000421577"/>
    <s v="UNKNOWN"/>
    <n v="0"/>
    <n v="1"/>
    <d v="2025-09-03T00:00:00"/>
    <x v="34"/>
  </r>
  <r>
    <s v="ORT-12184"/>
    <s v="C000421578"/>
    <s v="UNKNOWN"/>
    <n v="0"/>
    <n v="1"/>
    <d v="2025-09-03T00:00:00"/>
    <x v="34"/>
  </r>
  <r>
    <s v="ORT-12185"/>
    <s v="C000419293"/>
    <s v="TRINITY BY BREAKTHROUGH FLR 1 OXFORD BUSINESS PARK"/>
    <n v="31"/>
    <n v="0"/>
    <d v="2025-09-03T00:00:00"/>
    <x v="34"/>
  </r>
  <r>
    <s v="ORT-12186"/>
    <s v="C000421584"/>
    <s v="SALISBURY SQUARE DEVELOPMENT COURT BUILDING LONDON"/>
    <n v="3"/>
    <n v="1"/>
    <d v="2025-09-03T00:00:00"/>
    <x v="34"/>
  </r>
  <r>
    <s v="ORT-12187"/>
    <s v="C000421585"/>
    <s v="NEWATER HOUSE NEWHALL STREET FLOOR 2 BIRMINGHAM"/>
    <n v="0"/>
    <n v="1"/>
    <d v="2025-09-03T00:00:00"/>
    <x v="34"/>
  </r>
  <r>
    <s v="ORT-12188"/>
    <s v="C000421586"/>
    <s v="GRAFTON GATE NO 401 3RD FLOOR REFURB MILTON KEYNES"/>
    <n v="0"/>
    <n v="1"/>
    <d v="2025-09-03T00:00:00"/>
    <x v="34"/>
  </r>
  <r>
    <s v="ORT-12189"/>
    <s v="C000421588"/>
    <s v="LONDON MISC 2025"/>
    <n v="0"/>
    <n v="1"/>
    <d v="2025-09-03T00:00:00"/>
    <x v="34"/>
  </r>
  <r>
    <s v="ORT-12190"/>
    <s v="C000421589"/>
    <s v="BISHOPSGATE NO 199 CAT B FLOOR 10 DORSEY &amp; WHITNEY LONDON"/>
    <n v="0"/>
    <n v="1"/>
    <d v="2025-09-03T00:00:00"/>
    <x v="34"/>
  </r>
  <r>
    <s v="ORT-12191"/>
    <s v="C000421590"/>
    <s v="MOSELLE PROJECT BROADWATER FARM ESTATE HARINGEY"/>
    <n v="0"/>
    <n v="1"/>
    <d v="2025-09-03T00:00:00"/>
    <x v="34"/>
  </r>
  <r>
    <s v="ORT-12192"/>
    <s v="C000421591"/>
    <s v="CANARY WHARF CANADA SQUARE NO 25 CITIBANK REFURB LONDON"/>
    <n v="3"/>
    <n v="1"/>
    <d v="2025-09-03T00:00:00"/>
    <x v="34"/>
  </r>
  <r>
    <s v="ORT-12193"/>
    <s v="C000421592"/>
    <s v="UNI OF SOUTHAMPTON B1 LABORATORY"/>
    <n v="0"/>
    <n v="1"/>
    <d v="2025-09-03T00:00:00"/>
    <x v="34"/>
  </r>
  <r>
    <s v="ORT-12194"/>
    <s v="C000421593"/>
    <s v="BMW SHOWROOM FARNBOROUGH"/>
    <n v="0"/>
    <n v="1"/>
    <d v="2025-09-03T00:00:00"/>
    <x v="34"/>
  </r>
  <r>
    <s v="ORT-12195"/>
    <s v="C000421600"/>
    <s v="VICTORIA STREET NO 105 CORES &amp; BASEMENT LONDON"/>
    <n v="20"/>
    <n v="0"/>
    <d v="2025-09-03T00:00:00"/>
    <x v="34"/>
  </r>
  <r>
    <s v="ORT-12196"/>
    <s v="C000421603"/>
    <s v="MOH SALALAH HOSPITAL OMAN ADDITIONAL MATERIALS"/>
    <n v="0"/>
    <n v="1"/>
    <d v="2025-09-04T00:00:00"/>
    <x v="34"/>
  </r>
  <r>
    <s v="ORT-12197"/>
    <s v="C000421604"/>
    <s v="ASTON VILLA TRAINING GROUND REHAB CENTRE"/>
    <n v="0"/>
    <n v="1"/>
    <d v="2025-09-04T00:00:00"/>
    <x v="34"/>
  </r>
  <r>
    <s v="ORT-12198"/>
    <s v="C000421614"/>
    <s v="WAVERLEY GATE FLR 2 REFURB EDINBURGH"/>
    <n v="0"/>
    <n v="1"/>
    <d v="2025-09-04T00:00:00"/>
    <x v="34"/>
  </r>
  <r>
    <s v="ORT-12199"/>
    <s v="C000421616"/>
    <s v="IMO BUILDING ALBERT EMBANKMENT NO 4 REFURB LONDON"/>
    <n v="2"/>
    <n v="1"/>
    <d v="2025-09-04T00:00:00"/>
    <x v="34"/>
  </r>
  <r>
    <s v="ORT-12201"/>
    <s v="C000421624"/>
    <s v="BERKELEY SQUARE NO 36-38 CHANEL CAT B FIT OUT LONDON"/>
    <n v="0"/>
    <n v="1"/>
    <d v="2025-09-04T00:00:00"/>
    <x v="34"/>
  </r>
  <r>
    <s v="ORT-12202"/>
    <s v="C000421628"/>
    <s v="PILGRIM STREET PHASE 3 BUILDING 1 &amp; 2 NEWCASTLE"/>
    <n v="0"/>
    <n v="1"/>
    <d v="2025-09-04T00:00:00"/>
    <x v="34"/>
  </r>
  <r>
    <s v="ORT-12203"/>
    <s v="C000421630"/>
    <s v="QUEEN VICTORIA STREET NO 160 FLR 2 LONDON"/>
    <n v="14"/>
    <n v="0"/>
    <d v="2025-09-04T00:00:00"/>
    <x v="34"/>
  </r>
  <r>
    <s v="ORT-12204"/>
    <s v="C000421637"/>
    <s v="BISHOPSGATE NO 199 CAT B FLOOR 10 DORSEY &amp; WHITNEY LONDON"/>
    <n v="0"/>
    <n v="1"/>
    <d v="2025-09-05T00:00:00"/>
    <x v="34"/>
  </r>
  <r>
    <s v="ORT-12205"/>
    <s v="C000421641"/>
    <s v="MOORFIELDS NO 21 DEUTSCHE BANK REFURB LONDON"/>
    <n v="2"/>
    <n v="1"/>
    <d v="2025-09-05T00:00:00"/>
    <x v="34"/>
  </r>
  <r>
    <s v="ORT-12206"/>
    <s v="C000421645"/>
    <s v="BMW RENOVATION MISSISSAUGA ONTARIO"/>
    <n v="23"/>
    <n v="0"/>
    <d v="2025-09-05T00:00:00"/>
    <x v="34"/>
  </r>
  <r>
    <s v="ORT-12207"/>
    <s v="C000421654"/>
    <s v="FENCHURCH STREET NO 20 CAT A FLOOR 4 LONDON"/>
    <n v="12"/>
    <n v="0"/>
    <d v="2025-09-05T00:00:00"/>
    <x v="34"/>
  </r>
  <r>
    <s v="ORT-12208"/>
    <s v="C000421656"/>
    <s v="BANKSIDE YARDS PHASE 2 WESTERN YARDS BY2 OPUS LONDON"/>
    <n v="0"/>
    <n v="1"/>
    <d v="2025-09-05T00:00:00"/>
    <x v="34"/>
  </r>
  <r>
    <s v="ORT-12209"/>
    <s v="C000421658"/>
    <s v="OLYMPIA DEVELOPMENT G-GATE BUILDING SW LOBBY LONDON"/>
    <n v="1"/>
    <n v="1"/>
    <d v="2025-09-08T00:00:00"/>
    <x v="35"/>
  </r>
  <r>
    <s v="ORT-12210"/>
    <s v="C000421663"/>
    <s v="CITY POINT ROPEMAKER STREET FLR 16 REFURB LONDON"/>
    <n v="9"/>
    <n v="0"/>
    <d v="2025-09-08T00:00:00"/>
    <x v="35"/>
  </r>
  <r>
    <s v="ORT-12211"/>
    <s v="C000421666"/>
    <s v="ALDERWOOD SCHOOL EXPANSION TONGHAM ROAD ALDERSHOT"/>
    <n v="0"/>
    <n v="1"/>
    <d v="2025-09-08T00:00:00"/>
    <x v="35"/>
  </r>
  <r>
    <s v="ORT-12212"/>
    <s v="C000421670"/>
    <s v="ALDERLEY ROAD NO 52-56 HCA HEALTHCARE WILMSLOW"/>
    <n v="12"/>
    <n v="0"/>
    <d v="2025-09-08T00:00:00"/>
    <x v="35"/>
  </r>
  <r>
    <s v="ORT-12213"/>
    <s v="C000421671"/>
    <s v="CAMBRIDGE HOUSE HOTEL PICCADILLY NO 90-95 LONDON"/>
    <n v="24"/>
    <n v="0"/>
    <d v="2025-09-08T00:00:00"/>
    <x v="35"/>
  </r>
  <r>
    <s v="ORT-12214"/>
    <s v="C000421673"/>
    <s v="HAIMA HOSPITAL OMAN"/>
    <n v="8"/>
    <n v="0"/>
    <d v="2025-09-08T00:00:00"/>
    <x v="35"/>
  </r>
  <r>
    <s v="ORT-12215"/>
    <s v="C000421676"/>
    <s v="CHAMARTIN PHASE 2 MADRID"/>
    <n v="0"/>
    <n v="1"/>
    <d v="2025-09-08T00:00:00"/>
    <x v="35"/>
  </r>
  <r>
    <s v="ORT-12216"/>
    <s v="C000421678"/>
    <s v="SELVA DE MAR BARCELONA"/>
    <n v="0"/>
    <n v="1"/>
    <d v="2025-09-08T00:00:00"/>
    <x v="35"/>
  </r>
  <r>
    <s v="ORT-12217"/>
    <s v="C000421703"/>
    <s v="SOUTH MISC 2025"/>
    <n v="7"/>
    <n v="0"/>
    <d v="2025-09-09T00:00:00"/>
    <x v="35"/>
  </r>
  <r>
    <s v="ORT-12218"/>
    <s v="C000421706"/>
    <s v="ST MICHAELS TOWER FLRS 7 &amp; 8 MANCHESTER"/>
    <n v="0"/>
    <n v="1"/>
    <d v="2025-09-09T00:00:00"/>
    <x v="35"/>
  </r>
  <r>
    <s v="ORT-12219"/>
    <s v="C000421710"/>
    <s v="ST MICHAELS TOWER FLRS 7 &amp; 8 MANCHESTER"/>
    <n v="0"/>
    <n v="1"/>
    <d v="2025-09-09T00:00:00"/>
    <x v="35"/>
  </r>
  <r>
    <s v="ORT-12220"/>
    <s v="C000421715"/>
    <s v="EDMONDSON PARK TOWN CENTRE"/>
    <n v="28"/>
    <n v="0"/>
    <d v="2025-09-09T00:00:00"/>
    <x v="35"/>
  </r>
  <r>
    <s v="ORT-12221"/>
    <s v="C000421717"/>
    <s v="KIRYAT MIGDAL RENOVATION"/>
    <n v="0"/>
    <n v="1"/>
    <d v="2025-09-09T00:00:00"/>
    <x v="35"/>
  </r>
  <r>
    <s v="ORT-12222"/>
    <s v="C000421718"/>
    <s v="GOLDSWORTH PLACE FORGE END NO 1 WOKING"/>
    <n v="0"/>
    <n v="1"/>
    <d v="2025-09-09T00:00:00"/>
    <x v="35"/>
  </r>
  <r>
    <s v="ORT-12223"/>
    <s v="C000421495"/>
    <s v="CENTRAL SQUARE WELLING STREET NO 29 FREETHS PH2 LEEDS"/>
    <n v="0"/>
    <n v="1"/>
    <d v="2025-09-09T00:00:00"/>
    <x v="35"/>
  </r>
  <r>
    <s v="ORT-12224"/>
    <s v="C000421720"/>
    <s v="UCI 350 BEDS HOSPITAL UGANDA"/>
    <n v="23"/>
    <n v="0"/>
    <d v="2025-09-09T00:00:00"/>
    <x v="35"/>
  </r>
  <r>
    <s v="ORT-12225"/>
    <s v="C000421723"/>
    <s v="EURSHELL MISC TILE &amp; GRID 2025"/>
    <n v="11"/>
    <n v="0"/>
    <d v="2025-09-09T00:00:00"/>
    <x v="35"/>
  </r>
  <r>
    <s v="ORT-12227"/>
    <s v="C000421726"/>
    <s v="DRAPERS GARDENS NO 12 BLACKROCK FLR 3 REFURB LONDON"/>
    <n v="0"/>
    <n v="1"/>
    <d v="2025-09-10T00:00:00"/>
    <x v="35"/>
  </r>
  <r>
    <s v="ORT-12228"/>
    <s v="C000421728"/>
    <s v="NORTH MISC 2025 DAVID BAYLIS"/>
    <n v="0"/>
    <n v="1"/>
    <d v="2025-09-10T00:00:00"/>
    <x v="35"/>
  </r>
  <r>
    <s v="ORT-12229"/>
    <s v="C000421730"/>
    <s v="NORTH MISC 2025 DAVID BAYLIS"/>
    <n v="0"/>
    <n v="1"/>
    <d v="2025-09-10T00:00:00"/>
    <x v="35"/>
  </r>
  <r>
    <s v="ORT-12230"/>
    <s v="C000421733"/>
    <s v="WHITFIELD STREET NO 90 FLOORS 4-5 LONDON"/>
    <n v="11"/>
    <n v="0"/>
    <d v="2025-09-10T00:00:00"/>
    <x v="35"/>
  </r>
  <r>
    <s v="ORT-12231"/>
    <s v="C000421738"/>
    <s v="WELLS STREET NO 80 WELLS HOUSE THE RIBBON KITCHEN FLOOR 9"/>
    <n v="1"/>
    <n v="1"/>
    <d v="2025-09-10T00:00:00"/>
    <x v="35"/>
  </r>
  <r>
    <s v="ORT-12232"/>
    <s v="C000421743"/>
    <s v="FORMER TYNECASTLE SCHOOL STUDENT ACCOMODATION EDINBURGH"/>
    <n v="2"/>
    <n v="1"/>
    <d v="2025-09-10T00:00:00"/>
    <x v="35"/>
  </r>
  <r>
    <s v="ORT-12234"/>
    <s v="C000421749"/>
    <s v="BLOOMSBURY STREET NO 21 CAT A FITOUT LONDON"/>
    <n v="0"/>
    <n v="1"/>
    <d v="2025-09-10T00:00:00"/>
    <x v="35"/>
  </r>
  <r>
    <s v="ORT-12235"/>
    <s v="C000421750"/>
    <s v="MORE LONDON RIVERSIDE NO 7 PWC REFRESH LONDON"/>
    <n v="6"/>
    <n v="0"/>
    <d v="2025-09-11T00:00:00"/>
    <x v="35"/>
  </r>
  <r>
    <s v="ORT-12236"/>
    <s v="C000421751"/>
    <s v="SOUTH MISC 2025"/>
    <n v="2"/>
    <n v="1"/>
    <d v="2025-09-11T00:00:00"/>
    <x v="35"/>
  </r>
  <r>
    <s v="ORT-12237"/>
    <s v="C000421752"/>
    <s v="UNI OF SOUTHAMPTON NORTH EAST QUADRANT B142"/>
    <n v="15"/>
    <n v="0"/>
    <d v="2025-09-11T00:00:00"/>
    <x v="35"/>
  </r>
  <r>
    <s v="ORT-12238"/>
    <s v="C000421753"/>
    <s v="NEWGATE STREET NO 81 BT CENTRE HSBC FIT OUT LONDON"/>
    <n v="13"/>
    <n v="0"/>
    <d v="2025-09-11T00:00:00"/>
    <x v="35"/>
  </r>
  <r>
    <s v="ORT-12239"/>
    <s v="C000421759"/>
    <s v="COOPER HOUSE COVENTRY"/>
    <n v="0"/>
    <n v="1"/>
    <d v="2025-09-11T00:00:00"/>
    <x v="35"/>
  </r>
  <r>
    <s v="ORT-12240"/>
    <s v="C000421761"/>
    <s v="PRIMARK MISC 2025"/>
    <n v="6"/>
    <n v="0"/>
    <d v="2025-09-11T00:00:00"/>
    <x v="35"/>
  </r>
  <r>
    <s v="ORT-12241"/>
    <s v="C000421764"/>
    <s v="ONE EASTSIDE TOWER B SKYLOUNGE BIRMINGHAM"/>
    <n v="6"/>
    <n v="0"/>
    <d v="2025-09-11T00:00:00"/>
    <x v="35"/>
  </r>
  <r>
    <s v="ORT-12242"/>
    <s v="C000421767"/>
    <s v="BASINGHALL AVENUE NO 1 GROUND &amp; 5-10 REFURB LONDON"/>
    <n v="12"/>
    <n v="0"/>
    <d v="2025-09-11T00:00:00"/>
    <x v="35"/>
  </r>
  <r>
    <s v="ORT-12243"/>
    <s v="C000421768"/>
    <s v="LOCHSIDE AVENUE NO 3 EDINBURGH"/>
    <n v="0"/>
    <n v="1"/>
    <d v="2025-09-11T00:00:00"/>
    <x v="35"/>
  </r>
  <r>
    <s v="ORT-12244"/>
    <s v="C000421770"/>
    <s v="APPLE CAMPUS HERZLIYA DATA CENTRE"/>
    <n v="0"/>
    <n v="1"/>
    <d v="2025-09-11T00:00:00"/>
    <x v="35"/>
  </r>
  <r>
    <s v="ORT-12245"/>
    <s v="C000421778"/>
    <s v="EDEN CAMPUS BUILDING C UPLIFT UNILEVER KINGSTON"/>
    <n v="24"/>
    <n v="0"/>
    <d v="2025-09-11T00:00:00"/>
    <x v="35"/>
  </r>
  <r>
    <s v="ORT-12246"/>
    <s v="C000421783"/>
    <s v="AMAZON AMM15 CS BOULEVARD BLDG AMMAN JORDAN"/>
    <n v="12"/>
    <n v="0"/>
    <d v="2025-09-11T00:00:00"/>
    <x v="35"/>
  </r>
  <r>
    <s v="ORT-12247"/>
    <s v="C000421784"/>
    <s v="WILTON ROAD NO 129 CAT A FLOORS 1-5 LONDON"/>
    <n v="0"/>
    <n v="1"/>
    <d v="2025-09-11T00:00:00"/>
    <x v="35"/>
  </r>
  <r>
    <s v="ORT-12248"/>
    <s v="C000421789"/>
    <s v="BISHOPSGATE NO 201 BROADGATE TOWER FLRS 12-13,17,19 &amp; 29-33"/>
    <n v="12"/>
    <n v="0"/>
    <d v="2025-09-11T00:00:00"/>
    <x v="35"/>
  </r>
  <r>
    <s v="ORT-12249"/>
    <s v="C000421793"/>
    <s v="02034 CADDELL ADDITIONAL SCOPE"/>
    <n v="9"/>
    <n v="0"/>
    <d v="2025-09-11T00:00:00"/>
    <x v="35"/>
  </r>
  <r>
    <s v="ORT-12250"/>
    <s v="C000421799"/>
    <s v="SKILLS HUB &amp; STORAGE BUILDINGS CRADLEY HEATH"/>
    <n v="0"/>
    <n v="1"/>
    <d v="2025-09-12T00:00:00"/>
    <x v="35"/>
  </r>
  <r>
    <s v="ORT-12251"/>
    <s v="C000421801"/>
    <s v="SKILLS HUB &amp; STORAGE BUILDINGS CRADLEY HEATH"/>
    <n v="0"/>
    <n v="1"/>
    <d v="2025-09-12T00:00:00"/>
    <x v="35"/>
  </r>
  <r>
    <s v="ORT-12252"/>
    <s v="C000421802"/>
    <s v="PROJECT P MILLBANK LONDON"/>
    <n v="2"/>
    <n v="1"/>
    <d v="2025-09-12T00:00:00"/>
    <x v="35"/>
  </r>
  <r>
    <s v="ORT-12253"/>
    <s v="C000421812"/>
    <s v="BLUE FIN BUILDING SOUTHWARK STREET FLOORS 2, 7 &amp; 10 LONDON"/>
    <n v="8"/>
    <n v="0"/>
    <d v="2025-09-12T00:00:00"/>
    <x v="35"/>
  </r>
  <r>
    <s v="ORT-12254"/>
    <s v="C000421813"/>
    <s v="BLUE FIN BUILDING SOUTHWARK STREET FLOORS 2, 7 &amp; 10 LONDON"/>
    <n v="8"/>
    <n v="0"/>
    <d v="2025-09-12T00:00:00"/>
    <x v="35"/>
  </r>
  <r>
    <s v="ORT-12255"/>
    <s v="C000421814"/>
    <s v="BLUE FIN BUILDING SOUTHWARK STREET FLOORS 2, 7 &amp; 10 LONDON"/>
    <n v="5"/>
    <n v="1"/>
    <d v="2025-09-12T00:00:00"/>
    <x v="35"/>
  </r>
  <r>
    <s v="ORT-12256"/>
    <s v="C000421815"/>
    <s v="HEATHROW T4 CSA SECURITY PROGRAMME WORKS LONDON"/>
    <n v="0"/>
    <n v="1"/>
    <d v="2025-09-12T00:00:00"/>
    <x v="35"/>
  </r>
  <r>
    <s v="ORT-12257"/>
    <s v="C000421816"/>
    <s v="NEWGATE STREET NO 7 CAT B MOJ REFURB LONDON"/>
    <n v="0"/>
    <n v="1"/>
    <d v="2025-09-12T00:00:00"/>
    <x v="35"/>
  </r>
  <r>
    <s v="ORT-12258"/>
    <s v="C000421819"/>
    <s v="ST GEORGE STREET NO 14 CAT A FLOOR 2 LONDON"/>
    <n v="0"/>
    <n v="1"/>
    <d v="2025-09-15T00:00:00"/>
    <x v="36"/>
  </r>
  <r>
    <s v="ORT-12259"/>
    <s v="C000421821"/>
    <s v="SCIENTIFIC LAB SUPPLIES FAIRHAM NOTTINGHAM"/>
    <n v="23"/>
    <n v="0"/>
    <d v="2025-09-15T00:00:00"/>
    <x v="36"/>
  </r>
  <r>
    <s v="ORT-12260"/>
    <s v="C000421826"/>
    <s v="OPEL HOTEL EILAT"/>
    <n v="3"/>
    <n v="1"/>
    <d v="2025-09-15T00:00:00"/>
    <x v="36"/>
  </r>
  <r>
    <s v="ORT-12262"/>
    <s v="C000421837"/>
    <s v="MANCHESTER CITY FC HOTEL ETIHAD STADIUM MANCHESTER"/>
    <n v="24"/>
    <n v="0"/>
    <d v="2025-09-15T00:00:00"/>
    <x v="36"/>
  </r>
  <r>
    <s v="ORT-12263"/>
    <s v="C000421839"/>
    <s v="EURSHELL MISC TILE &amp; GRID 2025"/>
    <n v="0"/>
    <n v="1"/>
    <d v="2025-09-15T00:00:00"/>
    <x v="36"/>
  </r>
  <r>
    <s v="ORT-12264"/>
    <s v="C000421840"/>
    <s v="HOPTON STREET NO 71 THE GREEN WALK LONDON"/>
    <n v="0"/>
    <n v="1"/>
    <d v="2025-09-15T00:00:00"/>
    <x v="36"/>
  </r>
  <r>
    <s v="ORT-12265"/>
    <s v="C000421841"/>
    <s v="JACK TURNBULL MISC TILE &amp; GRID 2025"/>
    <n v="0"/>
    <n v="1"/>
    <d v="2025-09-15T00:00:00"/>
    <x v="36"/>
  </r>
  <r>
    <s v="ORT-12266"/>
    <s v="C000421846"/>
    <s v="BASINGHALL AVENUE NO 1 STANDARD CHARTERED PH 2 LONDON"/>
    <n v="0"/>
    <n v="1"/>
    <d v="2025-09-16T00:00:00"/>
    <x v="36"/>
  </r>
  <r>
    <s v="ORT-12267"/>
    <s v="C000421850"/>
    <s v="SOUTH MISC 2025"/>
    <n v="0"/>
    <n v="1"/>
    <d v="2025-09-16T00:00:00"/>
    <x v="36"/>
  </r>
  <r>
    <s v="ORT-12268"/>
    <s v="C000421857"/>
    <s v="MANCHESTER AIRPORT T2 EAST WING ENTRANCE LOBBY"/>
    <n v="6"/>
    <n v="0"/>
    <d v="2025-09-16T00:00:00"/>
    <x v="36"/>
  </r>
  <r>
    <s v="ORT-12269"/>
    <s v="CF00000560"/>
    <s v="ALPHA BANK VE ALTERNATIVES FABRIC ATHENS"/>
    <n v="1"/>
    <n v="1"/>
    <d v="2025-09-16T00:00:00"/>
    <x v="36"/>
  </r>
  <r>
    <s v="ORT-12270"/>
    <s v="C000421858"/>
    <s v="WIGMORE STREET NO 105 CAT B VITRUVIAN PARTNERS LONDON"/>
    <n v="0"/>
    <n v="1"/>
    <d v="2025-09-16T00:00:00"/>
    <x v="36"/>
  </r>
  <r>
    <s v="ORT-12271"/>
    <s v="C000421859"/>
    <s v="SPRING GARDENS NO 40 FLRS 5 AND 6 MANCHESTER"/>
    <n v="1"/>
    <n v="1"/>
    <d v="2025-09-16T00:00:00"/>
    <x v="36"/>
  </r>
  <r>
    <s v="ORT-12272"/>
    <s v="C000421860"/>
    <s v="SOUTH MISC 2025"/>
    <n v="3"/>
    <n v="1"/>
    <d v="2025-09-16T00:00:00"/>
    <x v="36"/>
  </r>
  <r>
    <s v="ORT-12273"/>
    <s v="C000421864"/>
    <s v="HISTORY AND EXHIBITION CENTRE REFURB SITE ONE CHESTER"/>
    <n v="10"/>
    <n v="0"/>
    <d v="2025-09-17T00:00:00"/>
    <x v="36"/>
  </r>
  <r>
    <s v="ORT-12274"/>
    <s v="C000421871"/>
    <s v="WORKPLACE INTERIORS MISC 2025"/>
    <n v="0"/>
    <n v="1"/>
    <d v="2025-09-17T00:00:00"/>
    <x v="36"/>
  </r>
  <r>
    <s v="ORT-12275"/>
    <s v="C000421879"/>
    <s v="LAVINGTON STREET NO 25 TIMBER SQUARE DEVELOPMENT WCS LONDON"/>
    <n v="1"/>
    <n v="1"/>
    <d v="2025-09-17T00:00:00"/>
    <x v="36"/>
  </r>
  <r>
    <s v="ORT-12276"/>
    <s v="C000421880"/>
    <s v="FINSBURY SQUARE NO 26 FRESHWATER REFURB LONDON"/>
    <n v="0"/>
    <n v="1"/>
    <d v="2025-09-17T00:00:00"/>
    <x v="36"/>
  </r>
  <r>
    <s v="ORT-12277"/>
    <s v="C000421881"/>
    <s v="NEW ZEALAND HOUSE HAYMARKET NO 80 REFURB LONDON"/>
    <n v="0"/>
    <n v="1"/>
    <d v="2025-09-17T00:00:00"/>
    <x v="36"/>
  </r>
  <r>
    <s v="ORT-12278"/>
    <s v="C000421884"/>
    <s v="ALDERMANBURY SQUARE NO 2 BASINGHALL STREET LONDON"/>
    <n v="0"/>
    <n v="1"/>
    <d v="2025-09-17T00:00:00"/>
    <x v="36"/>
  </r>
  <r>
    <s v="ORT-12279"/>
    <s v="C000421888"/>
    <s v="WAVERLEY GATE FLR 2 REFURB EDINBURGH"/>
    <n v="0"/>
    <n v="1"/>
    <d v="2025-09-17T00:00:00"/>
    <x v="36"/>
  </r>
  <r>
    <s v="ORT-12280"/>
    <s v="C000421889"/>
    <s v="AGAR STREET NO 6 CAT A REFURB FLOORS 2 &amp; 5 LONDON"/>
    <n v="0"/>
    <n v="1"/>
    <d v="2025-09-18T00:00:00"/>
    <x v="36"/>
  </r>
  <r>
    <s v="ORT-12281"/>
    <s v="C000421896"/>
    <s v="CANARY WHARF WOOD WHARF B2 APARTMENT FIT OUT LONDON"/>
    <n v="10"/>
    <n v="0"/>
    <d v="2025-09-18T00:00:00"/>
    <x v="36"/>
  </r>
  <r>
    <s v="ORT-12282"/>
    <s v="C000421898"/>
    <s v="PORTLAND HOUSE BRESSENDEN PLACE LONDON"/>
    <n v="19"/>
    <n v="0"/>
    <d v="2025-09-18T00:00:00"/>
    <x v="36"/>
  </r>
  <r>
    <s v="ORT-12283"/>
    <s v="C000421904"/>
    <s v="BASINGHALL AVENUE NO 1 STANDARD CHARTERED PH 2 LONDON"/>
    <n v="0"/>
    <n v="1"/>
    <d v="2025-09-18T00:00:00"/>
    <x v="36"/>
  </r>
  <r>
    <s v="ORT-12284"/>
    <s v="C000421906"/>
    <s v="HARWELL SCIENCE PARK QUAD 3 OFFICES DIDCOT"/>
    <n v="0"/>
    <n v="1"/>
    <d v="2025-09-18T00:00:00"/>
    <x v="36"/>
  </r>
  <r>
    <s v="ORT-12285"/>
    <s v="C000421915"/>
    <s v="DEGROOTE SCHOOL OF BUSINESS HAMILTON LEVELS 6 &amp; 9"/>
    <n v="0"/>
    <n v="1"/>
    <d v="2025-09-18T00:00:00"/>
    <x v="36"/>
  </r>
  <r>
    <s v="ORT-12287"/>
    <s v="C000421931"/>
    <s v="MORE LONDON RIVERSIDE NO 7 PWC REFRESH LONDON"/>
    <n v="3"/>
    <n v="1"/>
    <d v="2025-09-19T00:00:00"/>
    <x v="36"/>
  </r>
  <r>
    <s v="ORT-12288"/>
    <s v="C000421932"/>
    <s v="REPSOL 2026 PLAN MADRID"/>
    <n v="1"/>
    <n v="1"/>
    <d v="2025-09-19T00:00:00"/>
    <x v="36"/>
  </r>
  <r>
    <s v="ORT-12289"/>
    <s v="C000421938"/>
    <s v="ABBEY LANE STUDENT ACCOMMODATION EDINBURGH"/>
    <n v="0"/>
    <n v="1"/>
    <d v="2025-09-19T00:00:00"/>
    <x v="36"/>
  </r>
  <r>
    <s v="ORT-12290"/>
    <s v="C000421940"/>
    <s v="UNI OF LIVERPOOL SCHOOL OF ARCHITECTURE EXTENSION"/>
    <n v="0"/>
    <n v="1"/>
    <d v="2025-09-19T00:00:00"/>
    <x v="36"/>
  </r>
  <r>
    <s v="ORT-12292"/>
    <s v="C000421944"/>
    <s v="BROADGATE QUARTER CAT A REFURB APPOLD STREET LONDON"/>
    <n v="12"/>
    <n v="0"/>
    <d v="2025-09-22T00:00:00"/>
    <x v="37"/>
  </r>
  <r>
    <s v="ORT-12293"/>
    <s v="C000421951"/>
    <s v="WARNER MUSIC UK WRIGHTS LANE NO 27 LONDON"/>
    <n v="0"/>
    <n v="1"/>
    <d v="2025-09-22T00:00:00"/>
    <x v="37"/>
  </r>
  <r>
    <s v="ORT-12294"/>
    <s v="C000421953"/>
    <s v="MADDOX STREET NO 31 - 33 CAT A LONDON"/>
    <n v="0"/>
    <n v="1"/>
    <d v="2025-09-22T00:00:00"/>
    <x v="37"/>
  </r>
  <r>
    <s v="ORT-12295"/>
    <s v="C000421955"/>
    <s v="PEEL ESTATE &amp; NWCC EAST UNDERCROFT SOUTH KILBURN LONDON"/>
    <n v="0"/>
    <n v="1"/>
    <d v="2025-09-22T00:00:00"/>
    <x v="37"/>
  </r>
  <r>
    <s v="ORT-12296"/>
    <s v="C000421959"/>
    <s v="GRAFTON GATE NO 401 3RD FLOOR REFURB MILTON KEYNES"/>
    <n v="0"/>
    <n v="1"/>
    <d v="2025-09-22T00:00:00"/>
    <x v="37"/>
  </r>
  <r>
    <s v="ORT-12297"/>
    <s v="C000420861"/>
    <s v="SANCTUARY BUILDINGS GREAT SMITH ST PHASE 2 FLRS B-3 LONDON"/>
    <n v="0"/>
    <n v="1"/>
    <d v="2025-09-22T00:00:00"/>
    <x v="37"/>
  </r>
  <r>
    <s v="ORT-12298"/>
    <s v="C000421969"/>
    <s v="MANCHESTER SCIENCE PARK GREENHEYS PROJECT"/>
    <n v="0"/>
    <n v="1"/>
    <d v="2025-09-22T00:00:00"/>
    <x v="37"/>
  </r>
  <r>
    <s v="ORT-12299"/>
    <s v="C000421972"/>
    <s v="PALMA AIRPORT EXTENSION LIGHTING"/>
    <n v="15"/>
    <n v="0"/>
    <d v="2025-09-22T00:00:00"/>
    <x v="37"/>
  </r>
  <r>
    <s v="ORT-12300"/>
    <s v="C000421976"/>
    <s v="ONE STATION HILL PWC CAT B FITOUT READING"/>
    <n v="8"/>
    <n v="0"/>
    <d v="2025-09-22T00:00:00"/>
    <x v="37"/>
  </r>
  <r>
    <s v="ORT-12301"/>
    <s v="C000421975"/>
    <s v="MANCHESTER AIRPORT T2 EAST WING NEW DEVELOPMENT"/>
    <n v="1"/>
    <n v="1"/>
    <d v="2025-09-22T00:00:00"/>
    <x v="37"/>
  </r>
  <r>
    <s v="ORT-12302"/>
    <s v="C000421977"/>
    <s v="SCOTLAND &amp; NORTH EAST MISC 2025"/>
    <n v="0"/>
    <n v="1"/>
    <d v="2025-09-22T00:00:00"/>
    <x v="37"/>
  </r>
  <r>
    <s v="ORT-12303"/>
    <s v="C000421978"/>
    <s v="MANCHESTER AIRPORT T2 EAST CHECK IN AREAS"/>
    <n v="5"/>
    <n v="1"/>
    <d v="2025-09-22T00:00:00"/>
    <x v="37"/>
  </r>
  <r>
    <s v="ORT-12306"/>
    <s v="C000421987"/>
    <s v="THE INTERNATIONAL QUARTER PLOT S4 LIFT LOBBIES PHASE 2"/>
    <n v="1"/>
    <n v="1"/>
    <d v="2025-09-23T00:00:00"/>
    <x v="37"/>
  </r>
  <r>
    <s v="ORT-12307"/>
    <s v="C000421993"/>
    <s v="CANARY WHARF CANADA SQUARE NO 25 CITIBANK REFURB LONDON"/>
    <n v="0"/>
    <n v="1"/>
    <d v="2025-09-23T00:00:00"/>
    <x v="37"/>
  </r>
  <r>
    <s v="ORT-12308"/>
    <s v="C000421996"/>
    <s v="PUMA STORE OXFORD STREET LONDON"/>
    <n v="0"/>
    <n v="1"/>
    <d v="2025-09-23T00:00:00"/>
    <x v="37"/>
  </r>
  <r>
    <s v="ORT-12309"/>
    <s v="C000422001"/>
    <s v="EURSHELL MISC TILE &amp; GRID 2025"/>
    <n v="2"/>
    <n v="1"/>
    <d v="2025-09-23T00:00:00"/>
    <x v="37"/>
  </r>
  <r>
    <s v="ORT-12310"/>
    <s v="C000422002"/>
    <s v="SALISBURY SQUARE DEVELOPMENT COURT BUILDING LONDON"/>
    <n v="0"/>
    <n v="1"/>
    <d v="2025-09-23T00:00:00"/>
    <x v="37"/>
  </r>
  <r>
    <s v="ORT-12311"/>
    <s v="C000422003"/>
    <s v="NORTHERN ESTATES PROGRAMME NEP2 NORMAN SHAW NORTH LONDON"/>
    <n v="0"/>
    <n v="1"/>
    <d v="2025-09-23T00:00:00"/>
    <x v="37"/>
  </r>
  <r>
    <s v="ORT-12312"/>
    <s v="C000422006"/>
    <s v="NDA - DEWA HQ TROX TILES DUBAI"/>
    <n v="16"/>
    <n v="0"/>
    <d v="2025-09-23T00:00:00"/>
    <x v="37"/>
  </r>
  <r>
    <s v="ORT-12313"/>
    <s v="C000422007"/>
    <s v="MARK LANE NO 70 LVL 11 CAT A LONDON"/>
    <n v="0"/>
    <n v="1"/>
    <d v="2025-09-23T00:00:00"/>
    <x v="37"/>
  </r>
  <r>
    <s v="ORT-12314"/>
    <s v="C000422008"/>
    <s v="OXFORD SCIENCE PARK SCHRODINGER BUILDING REFURB"/>
    <n v="0"/>
    <n v="1"/>
    <d v="2025-09-23T00:00:00"/>
    <x v="37"/>
  </r>
  <r>
    <s v="ORT-12317"/>
    <s v="C000422013"/>
    <s v="BASINGHALL AVENUE NO 1 STANDARD CHARTERED PH 2 LONDON"/>
    <n v="0"/>
    <n v="1"/>
    <d v="2025-09-24T00:00:00"/>
    <x v="37"/>
  </r>
  <r>
    <s v="ORT-12318"/>
    <s v="C000422014"/>
    <s v="PRIMARK BRAEHEAD"/>
    <n v="0"/>
    <n v="1"/>
    <d v="2025-09-24T00:00:00"/>
    <x v="37"/>
  </r>
  <r>
    <s v="ORT-12319"/>
    <s v="C000422015"/>
    <s v="APPLE CAMPUS HERZLIYA DATA CENTRE"/>
    <n v="6"/>
    <n v="0"/>
    <d v="2025-09-24T00:00:00"/>
    <x v="37"/>
  </r>
  <r>
    <s v="ORT-12320"/>
    <s v="C000422016"/>
    <s v="OXFORD SCIENCE PARK PLOTS NO 23-25 OXFORD LIGHTING"/>
    <n v="11"/>
    <n v="0"/>
    <d v="2025-09-24T00:00:00"/>
    <x v="37"/>
  </r>
  <r>
    <s v="ORT-12321"/>
    <s v="C000422017"/>
    <s v="ONE STATION HILL PWC CAT B FITOUT READING"/>
    <n v="0"/>
    <n v="1"/>
    <d v="2025-09-24T00:00:00"/>
    <x v="37"/>
  </r>
  <r>
    <s v="ORT-12322"/>
    <s v="C000422018"/>
    <s v="UNI OF WARWICK CLAYCROFT HALLS OF RESIDENCE"/>
    <n v="0"/>
    <n v="1"/>
    <d v="2025-09-24T00:00:00"/>
    <x v="37"/>
  </r>
  <r>
    <s v="ORT-12323"/>
    <s v="C000422022"/>
    <s v="CANARY WHARF BANK STREET NO 25 JPMC FLOOR 7 REFURB LONDON"/>
    <n v="0"/>
    <n v="1"/>
    <d v="2025-09-24T00:00:00"/>
    <x v="37"/>
  </r>
  <r>
    <s v="ORT-12324"/>
    <s v="C000422023"/>
    <s v="ASSUTA ASHDOD HOSPITAL"/>
    <n v="0"/>
    <n v="1"/>
    <d v="2025-09-24T00:00:00"/>
    <x v="37"/>
  </r>
  <r>
    <s v="ORT-12325"/>
    <s v="C000422025"/>
    <s v="COLEMAN STREET NO 4 REFURB LONDON"/>
    <n v="10"/>
    <n v="0"/>
    <d v="2025-09-24T00:00:00"/>
    <x v="37"/>
  </r>
  <r>
    <s v="ORT-12328"/>
    <s v="C000422028"/>
    <s v="AUGUSTINE HOUSE AUSTIN FRIARS NO 6 A FLR 3 &amp; 4 FITOUT LONDON"/>
    <n v="0"/>
    <n v="1"/>
    <d v="2025-09-24T00:00:00"/>
    <x v="37"/>
  </r>
  <r>
    <s v="ORT-12329"/>
    <s v="C000422029"/>
    <s v="MOORFIELDS EYE HOSPITAL UCL INSTITUTE OF OPHTHALMOLOGY ORIEL"/>
    <n v="0"/>
    <n v="1"/>
    <d v="2025-09-24T00:00:00"/>
    <x v="37"/>
  </r>
  <r>
    <s v="ORT-12330"/>
    <s v="C000422031"/>
    <s v="WAKEFIELD COLLEGE CASTLEFORD CAMPUS"/>
    <n v="0"/>
    <n v="1"/>
    <d v="2025-09-24T00:00:00"/>
    <x v="37"/>
  </r>
  <r>
    <s v="ORT-12333"/>
    <s v="C000422039"/>
    <s v="SMITHFIELD MARKET POULTRY MARKET MUSEUM OF LONDON"/>
    <n v="5"/>
    <n v="1"/>
    <d v="2025-09-25T00:00:00"/>
    <x v="37"/>
  </r>
  <r>
    <s v="ORT-12334"/>
    <s v="C000422041"/>
    <s v="BISHOPSGATE NO 60 CAT A+ HASILWOOD HOUSE FLRS 1 &amp; 6 LONDON"/>
    <n v="4"/>
    <n v="1"/>
    <d v="2025-09-25T00:00:00"/>
    <x v="37"/>
  </r>
  <r>
    <s v="ORT-12335"/>
    <s v="C000422042"/>
    <s v="OXFORD STREET NO 334-348 BASEMENT LONDON"/>
    <n v="5"/>
    <n v="1"/>
    <d v="2025-09-25T00:00:00"/>
    <x v="37"/>
  </r>
  <r>
    <s v="ORT-12336"/>
    <s v="C000422044"/>
    <s v="HIGH HOLBORN NO 90 FLR 3 QUINN EMANUEL LONDON"/>
    <n v="8"/>
    <n v="0"/>
    <d v="2025-09-25T00:00:00"/>
    <x v="37"/>
  </r>
  <r>
    <s v="ORT-12337"/>
    <s v="C000422046"/>
    <s v="EDCITY PHASE 2 &amp; LIFT LOBBIES HAMMERSMITH LONDON"/>
    <n v="0"/>
    <n v="1"/>
    <d v="2025-09-25T00:00:00"/>
    <x v="37"/>
  </r>
  <r>
    <s v="ORT-12338"/>
    <s v="C000422049"/>
    <s v="CRITERION BUILDING PICCADILLY NO 225-229 LONDON"/>
    <n v="14"/>
    <n v="0"/>
    <d v="2025-09-25T00:00:00"/>
    <x v="37"/>
  </r>
  <r>
    <s v="ORT-12339"/>
    <s v="C000422050"/>
    <s v="BWM TORONTO"/>
    <n v="0"/>
    <n v="1"/>
    <d v="2025-09-25T00:00:00"/>
    <x v="37"/>
  </r>
  <r>
    <s v="ORT-12340"/>
    <s v="C000422051"/>
    <s v="DAVID FRY MISC 2025"/>
    <n v="16"/>
    <n v="0"/>
    <d v="2025-09-25T00:00:00"/>
    <x v="37"/>
  </r>
  <r>
    <s v="ORT-12341"/>
    <s v="C000422052"/>
    <s v="EURSHELL MISC TILE &amp; GRID 2025"/>
    <n v="0"/>
    <n v="1"/>
    <d v="2025-09-25T00:00:00"/>
    <x v="37"/>
  </r>
  <r>
    <s v="ORT-12342"/>
    <s v="C000422055"/>
    <s v="HARROW CROWN COURT MOJ ROOF REPLACEMENT LONDON"/>
    <n v="5"/>
    <n v="1"/>
    <d v="2025-09-25T00:00:00"/>
    <x v="37"/>
  </r>
  <r>
    <s v="ORT-12343"/>
    <s v="C000422062"/>
    <s v="ST GEORGE STREET NO 14 CAT A FLOOR 2 LONDON"/>
    <n v="0"/>
    <n v="1"/>
    <d v="2025-09-25T00:00:00"/>
    <x v="37"/>
  </r>
  <r>
    <s v="ORT-12344"/>
    <s v="C000422063"/>
    <s v="MERCHANT SQUARE NO 5 CAT A REFURB PADDINGTON LONDON"/>
    <n v="0"/>
    <n v="1"/>
    <d v="2025-09-25T00:00:00"/>
    <x v="37"/>
  </r>
  <r>
    <s v="ORT-12345"/>
    <s v="CF00000561"/>
    <s v="ALPHA BANK VE ALTERNATIVES FABRIC ATHENS"/>
    <n v="15"/>
    <n v="0"/>
    <d v="2025-09-25T00:00:00"/>
    <x v="37"/>
  </r>
  <r>
    <s v="ORT-12346"/>
    <s v="C000422075"/>
    <s v="LIVERPOOL JOHN LENNON AIRPORT ASPIRE LOUNGE"/>
    <n v="0"/>
    <n v="1"/>
    <d v="2025-09-26T00:00:00"/>
    <x v="37"/>
  </r>
  <r>
    <s v="ORT-12347"/>
    <s v="C000422076"/>
    <s v="UNI OF SOUTHAMPTON B32 LABORATORY REFURB"/>
    <n v="1"/>
    <n v="1"/>
    <d v="2025-09-26T00:00:00"/>
    <x v="37"/>
  </r>
  <r>
    <s v="ORT-12348"/>
    <s v="C000422093"/>
    <s v="NEW STREET SQUARE NO 5 TAYLOR WESSING REFURB LONDON"/>
    <n v="15"/>
    <n v="0"/>
    <d v="2025-09-26T00:00:00"/>
    <x v="37"/>
  </r>
  <r>
    <s v="ORT-12349"/>
    <s v="C000422094"/>
    <s v="NORTH MISC 2025 DAVID BAYLIS"/>
    <n v="0"/>
    <n v="1"/>
    <d v="2025-09-26T00:00:00"/>
    <x v="37"/>
  </r>
  <r>
    <s v="ORT-12350"/>
    <s v="C000422095"/>
    <s v="HEATHROW T4 CSA SECURITY PROGRAMME WORKS LONDON"/>
    <n v="7"/>
    <n v="0"/>
    <d v="2025-09-26T00:00:00"/>
    <x v="37"/>
  </r>
  <r>
    <s v="ORT-12351"/>
    <s v="C000422096"/>
    <s v="NEW HERTFORDSHIRE POLICE HQ WELWYN GARDEN CITY"/>
    <n v="5"/>
    <n v="1"/>
    <d v="2025-09-26T00:00:00"/>
    <x v="37"/>
  </r>
  <r>
    <s v="ORT-12355"/>
    <s v="C000422098"/>
    <s v="AMAZON SWANSEA"/>
    <n v="0"/>
    <n v="1"/>
    <d v="2025-09-29T00:00:00"/>
    <x v="38"/>
  </r>
  <r>
    <s v="ORT-12356"/>
    <s v="C000422101"/>
    <s v="MANCHESTER AIRPORT T2 EAST WING NEW DEVELOPMENT"/>
    <n v="0"/>
    <n v="1"/>
    <d v="2025-09-29T00:00:00"/>
    <x v="38"/>
  </r>
  <r>
    <s v="ORT-12357"/>
    <s v="C000422102"/>
    <s v="CENTRAL QUAY RESI PLOT 1 PHASE 2 CARDIFF"/>
    <n v="0"/>
    <n v="1"/>
    <d v="2025-09-29T00:00:00"/>
    <x v="38"/>
  </r>
  <r>
    <s v="ORT-12358"/>
    <s v="C000422105"/>
    <s v="HEATHROW T4 CROWN PLAZA GUEST CORRIDOR"/>
    <n v="0"/>
    <n v="1"/>
    <d v="2025-09-29T00:00:00"/>
    <x v="38"/>
  </r>
  <r>
    <s v="ORT-12359"/>
    <s v="C000422107"/>
    <s v="LEADENHALL STREET NO 40 BROOKS MACDONALD FLR 8 LONDON"/>
    <n v="0"/>
    <n v="1"/>
    <d v="2025-09-29T00:00:00"/>
    <x v="38"/>
  </r>
  <r>
    <s v="ORT-12360"/>
    <s v="C000422112"/>
    <s v="MANCHESTER SCIENCE PARK GREENHEYS PROJECT"/>
    <n v="11"/>
    <n v="0"/>
    <d v="2025-09-29T00:00:00"/>
    <x v="38"/>
  </r>
  <r>
    <s v="ORT-12361"/>
    <s v="C000422117"/>
    <s v="BRENT CROSS TOWN PLOT 1 COPPER SQUARE NO 3 LONDON"/>
    <n v="0"/>
    <n v="1"/>
    <d v="2025-09-29T00:00:00"/>
    <x v="38"/>
  </r>
  <r>
    <s v="ORT-12362"/>
    <s v="C000422119"/>
    <s v="HSBC PLATINUM MSHEIREB DOHA QATAR"/>
    <n v="0"/>
    <n v="1"/>
    <d v="2025-09-29T00:00:00"/>
    <x v="38"/>
  </r>
  <r>
    <s v="ORT-12363"/>
    <s v="C000422122"/>
    <s v="MANCHESTER SCIENCE PARK GREENHEYS PROJECT"/>
    <n v="3"/>
    <n v="1"/>
    <d v="2025-09-29T00:00:00"/>
    <x v="38"/>
  </r>
  <r>
    <s v="ORT-12364"/>
    <s v="C000422127"/>
    <s v="KIRION HAIFA"/>
    <n v="13"/>
    <n v="0"/>
    <d v="2025-09-29T00:00:00"/>
    <x v="38"/>
  </r>
  <r>
    <s v="ORT-12365"/>
    <s v="C000422134"/>
    <s v="CANARY WHARF CANADA SQUARE NO 25 CITIBANK REFURB LONDON"/>
    <n v="0"/>
    <n v="1"/>
    <d v="2025-09-30T00:00:00"/>
    <x v="38"/>
  </r>
  <r>
    <s v="ORT-12366"/>
    <s v="C000422135"/>
    <s v="NUFFIELD &amp; PEGASUS HOUSE DEVELOPMENT PICCADILLY LONDON"/>
    <n v="0"/>
    <n v="1"/>
    <d v="2025-09-30T00:00:00"/>
    <x v="38"/>
  </r>
  <r>
    <s v="ORT-12368"/>
    <s v="C000422143"/>
    <s v="MOORGATE NO 25 CAT B WATSON FARLEY LONDON"/>
    <n v="5"/>
    <n v="1"/>
    <d v="2025-09-30T00:00:00"/>
    <x v="38"/>
  </r>
  <r>
    <s v="ORT-12369"/>
    <s v="C000422144"/>
    <s v="MOORGATE NO 25 CAT B WATSON FARLEY LONDON"/>
    <n v="0"/>
    <n v="1"/>
    <d v="2025-09-30T00:00:00"/>
    <x v="38"/>
  </r>
  <r>
    <s v="ORT-12370"/>
    <s v="C000422146"/>
    <s v="MOORGATE NO 25 CAT B WATSON FARLEY LONDON"/>
    <n v="0"/>
    <n v="1"/>
    <d v="2025-09-30T00:00:00"/>
    <x v="38"/>
  </r>
  <r>
    <s v="ORT-12371"/>
    <s v="C000422153"/>
    <s v="ONE EASTSIDE TOWER A SKYLOUNGE BIRMINGHAM"/>
    <n v="0"/>
    <n v="1"/>
    <d v="2025-09-30T00:00:00"/>
    <x v="38"/>
  </r>
  <r>
    <s v="ORT-12372"/>
    <m/>
    <s v="02036 PROJECT CADDELL"/>
    <n v="12"/>
    <n v="0"/>
    <d v="2025-09-30T00:00:00"/>
    <x v="38"/>
  </r>
  <r>
    <s v="ORT-12373"/>
    <s v="C000422158"/>
    <s v="GSK B6 LABORATORY ANNEX STEVENAGE"/>
    <n v="0"/>
    <n v="1"/>
    <d v="2025-09-30T00:00:00"/>
    <x v="38"/>
  </r>
  <r>
    <s v="ORT-12374"/>
    <s v="C000421950"/>
    <s v="02036 PROJECT CADDELL"/>
    <n v="3"/>
    <n v="1"/>
    <d v="2025-09-30T00:00:00"/>
    <x v="38"/>
  </r>
  <r>
    <s v="ORT-12376"/>
    <s v="C000422160"/>
    <s v="THORN LIGHTING LTD 2025"/>
    <n v="0"/>
    <n v="1"/>
    <d v="2025-10-01T00:00:00"/>
    <x v="38"/>
  </r>
  <r>
    <s v="ORT-12377"/>
    <s v="C000422161"/>
    <s v="THORN LIGHTING LTD 2025"/>
    <n v="0"/>
    <n v="1"/>
    <d v="2025-10-01T00:00:00"/>
    <x v="38"/>
  </r>
  <r>
    <s v="ORT-12378"/>
    <s v="C000422164"/>
    <s v="GATWICK NORTH TERMINAL PIER 4 CEILING"/>
    <n v="0"/>
    <n v="1"/>
    <d v="2025-10-01T00:00:00"/>
    <x v="38"/>
  </r>
  <r>
    <s v="ORT-12379"/>
    <s v="C000422167"/>
    <s v="CHAPEL STREET NO 20 FLOOR 5 LIVERPOOL"/>
    <n v="0"/>
    <n v="1"/>
    <d v="2025-10-01T00:00:00"/>
    <x v="38"/>
  </r>
  <r>
    <s v="ORT-12380"/>
    <s v="C000422172"/>
    <s v="JAMES STREET NO 1 LONDON"/>
    <n v="0"/>
    <n v="1"/>
    <d v="2025-10-01T00:00:00"/>
    <x v="38"/>
  </r>
  <r>
    <s v="ORT-12381"/>
    <s v="C000422177"/>
    <s v="MERLIN PLACE CAMBRIDGE"/>
    <n v="0"/>
    <n v="1"/>
    <d v="2025-10-01T00:00:00"/>
    <x v="38"/>
  </r>
  <r>
    <s v="ORT-12382"/>
    <s v="C000422181"/>
    <s v="ONE STATION HILL PWC CAT B FITOUT READING"/>
    <n v="3"/>
    <n v="1"/>
    <d v="2025-10-01T00:00:00"/>
    <x v="38"/>
  </r>
  <r>
    <s v="ORT-12384"/>
    <s v="C000422183"/>
    <s v="KELVIN ENERGY RECOVERY FACILITY WEST BROMWICH"/>
    <n v="0"/>
    <n v="1"/>
    <d v="2025-10-01T00:00:00"/>
    <x v="38"/>
  </r>
  <r>
    <s v="ORT-12385"/>
    <s v="C000422184"/>
    <s v="LEADENHALL STREET NO 40 KIRKLAND &amp; ELLIS FLRS 15-34 LONDON"/>
    <n v="0"/>
    <n v="1"/>
    <d v="2025-10-01T00:00:00"/>
    <x v="38"/>
  </r>
  <r>
    <s v="ORT-12386"/>
    <s v="C000422185"/>
    <s v="MANCHESTER AIRPORT PIER 2 PHASE 2 CELINGS"/>
    <n v="2"/>
    <n v="1"/>
    <d v="2025-10-01T00:00:00"/>
    <x v="38"/>
  </r>
  <r>
    <s v="ORT-12387"/>
    <s v="C000422190"/>
    <s v="PRIME FOUR SHELL REMODEL ABERDEEN"/>
    <n v="0"/>
    <n v="1"/>
    <d v="2025-10-02T00:00:00"/>
    <x v="38"/>
  </r>
  <r>
    <s v="ORT-12388"/>
    <s v="C000422193"/>
    <s v="STATION ROAD NO 21 FLRS 4 &amp; 5 CAMBRIDGE"/>
    <n v="0"/>
    <n v="1"/>
    <d v="2025-10-02T00:00:00"/>
    <x v="38"/>
  </r>
  <r>
    <s v="ORT-12389"/>
    <s v="C000422196"/>
    <s v="WINCHESTER COLLEGE BOARDING AND SPORTS FACILITIES"/>
    <n v="0"/>
    <n v="1"/>
    <d v="2025-10-02T00:00:00"/>
    <x v="38"/>
  </r>
  <r>
    <s v="ORT-12391"/>
    <s v="C000422199"/>
    <s v="ACOUSTIC TREND PROJECT DUBAI"/>
    <n v="0"/>
    <n v="1"/>
    <d v="2025-10-02T00:00:00"/>
    <x v="38"/>
  </r>
  <r>
    <s v="ORT-12392"/>
    <s v="C000422201"/>
    <s v="02034 CADDELL"/>
    <n v="0"/>
    <n v="1"/>
    <d v="2025-10-02T00:00:00"/>
    <x v="38"/>
  </r>
  <r>
    <s v="ORT-12393"/>
    <s v="C000422208"/>
    <s v="BISHOPSGATE NO 155 FLRS 9-12 AKIN FIT OUT LONDON"/>
    <n v="5"/>
    <n v="1"/>
    <d v="2025-10-02T00:00:00"/>
    <x v="38"/>
  </r>
  <r>
    <s v="ORT-12394"/>
    <s v="C000422209"/>
    <s v="RESIDENTIAL PROJECT LAGOS"/>
    <n v="0"/>
    <n v="1"/>
    <d v="2025-10-02T00:00:00"/>
    <x v="38"/>
  </r>
  <r>
    <s v="ORT-12395"/>
    <s v="C000422211"/>
    <s v="GRESHAM STREET NO 20 CAT A REFURB LONDON"/>
    <n v="0"/>
    <n v="1"/>
    <d v="2025-10-02T00:00:00"/>
    <x v="38"/>
  </r>
  <r>
    <s v="ORT-12396"/>
    <s v="C000422213"/>
    <s v="UNI OF CAMBRIDGE HUTCHINSON BUILDING REFURB"/>
    <n v="4"/>
    <n v="1"/>
    <d v="2025-10-02T00:00:00"/>
    <x v="38"/>
  </r>
  <r>
    <s v="ORT-12397"/>
    <s v="C000422216"/>
    <s v="LEADENHALL STREET NO 40 SOMPO FLRS 5-6 LONDON"/>
    <n v="0"/>
    <n v="1"/>
    <d v="2025-10-02T00:00:00"/>
    <x v="38"/>
  </r>
  <r>
    <s v="ORT-12400"/>
    <s v="C000422227"/>
    <s v="SNOW HILL BLDG 1 QUEENSWAY FLR 10 REFURB BIRMINGHAM"/>
    <n v="0"/>
    <n v="1"/>
    <d v="2025-10-03T00:00:00"/>
    <x v="38"/>
  </r>
  <r>
    <s v="ORT-12401"/>
    <s v="C000422228"/>
    <s v="ELEPHANT &amp; CASTLE TOWN CENTRE PLOT E2 &amp; E3 LONDON"/>
    <n v="6"/>
    <n v="0"/>
    <d v="2025-10-03T00:00:00"/>
    <x v="38"/>
  </r>
  <r>
    <s v="ORT-12402"/>
    <s v="C000422229"/>
    <s v="ROPEMAKER STREET NO 20-22 LINKLATERS FIT-OUT LONDON"/>
    <n v="0"/>
    <n v="1"/>
    <d v="2025-10-03T00:00:00"/>
    <x v="38"/>
  </r>
  <r>
    <s v="ORT-12403"/>
    <s v="C000422230"/>
    <s v="VICTORIA HOUSE BLOOMSBURY SQUARE LONDON"/>
    <n v="0"/>
    <n v="1"/>
    <d v="2025-10-03T00:00:00"/>
    <x v="38"/>
  </r>
  <r>
    <s v="ORT-12404"/>
    <s v="C000422238"/>
    <s v="LIVERPOOL STREET NO 1 FLOOR 1 COFFEE BAR SPACE LONDON"/>
    <n v="0"/>
    <n v="1"/>
    <d v="2025-10-03T00:00:00"/>
    <x v="38"/>
  </r>
  <r>
    <s v="ORT-12405"/>
    <s v="C000422239"/>
    <s v="VICTORIA STREET NO 105 EVERCORE CAT B FIT OUT LONDON"/>
    <n v="0"/>
    <n v="1"/>
    <d v="2025-10-03T00:00:00"/>
    <x v="38"/>
  </r>
  <r>
    <s v="ORT-12406"/>
    <s v="C000422241"/>
    <s v="NEW STREET NO 135 KING EDWARD HOUSE BIRMINGHAM"/>
    <n v="1"/>
    <n v="1"/>
    <d v="2025-10-03T00:00:00"/>
    <x v="38"/>
  </r>
  <r>
    <s v="ORT-12407"/>
    <s v="C000422242"/>
    <s v="NEWGATE STREET NO 81 BT CENTRE HSBC JOINERY LONDON"/>
    <n v="0"/>
    <n v="1"/>
    <d v="2025-10-03T00:00:00"/>
    <x v="38"/>
  </r>
  <r>
    <s v="ORT-12408"/>
    <s v="C000422243"/>
    <s v="HIGH HOLBORN NO 90 FLR 3 QUINN EMANUEL LONDON"/>
    <n v="0"/>
    <n v="1"/>
    <d v="2025-10-03T00:00:00"/>
    <x v="38"/>
  </r>
  <r>
    <s v="ORT-12409"/>
    <s v="C000422247"/>
    <s v="BROADGATE NO 1-2 CAT B A&amp;O SHEARMAN FLOORS 1-7"/>
    <n v="8"/>
    <n v="0"/>
    <d v="2025-10-06T00:00:00"/>
    <x v="39"/>
  </r>
  <r>
    <s v="ORT-12410"/>
    <s v="C000422249"/>
    <s v="FINSBURY AVENUE NO 2 DEVELOPMENT LONDON"/>
    <n v="7"/>
    <n v="0"/>
    <d v="2025-10-06T00:00:00"/>
    <x v="39"/>
  </r>
  <r>
    <s v="ORT-12411"/>
    <s v="C000422251"/>
    <s v="WAKEFIELD COLLEGE CASTLEFORD CAMPUS"/>
    <n v="6"/>
    <n v="0"/>
    <d v="2025-10-06T00:00:00"/>
    <x v="39"/>
  </r>
  <r>
    <s v="ORT-12412"/>
    <s v="C000422253"/>
    <s v="SAMPLE ROOM READING"/>
    <n v="0"/>
    <n v="1"/>
    <d v="2025-10-06T00:00:00"/>
    <x v="39"/>
  </r>
  <r>
    <s v="ORT-12413"/>
    <s v="C000422257"/>
    <s v="02034 CADDELL"/>
    <n v="2"/>
    <n v="1"/>
    <d v="2025-10-06T00:00:00"/>
    <x v="39"/>
  </r>
  <r>
    <s v="ORT-12414"/>
    <s v="C000422258"/>
    <s v="ROKOS NO 23 SAVILLE ROW REFURB LONDON"/>
    <n v="0"/>
    <n v="1"/>
    <d v="2025-10-06T00:00:00"/>
    <x v="39"/>
  </r>
  <r>
    <s v="ORT-12415"/>
    <s v="C000422261"/>
    <s v="A&amp;O SHEARMAN EAST TOWER LAYSEN VALLEY RIYADH KSA"/>
    <n v="4"/>
    <n v="1"/>
    <d v="2025-10-06T00:00:00"/>
    <x v="39"/>
  </r>
  <r>
    <s v="ORT-12416"/>
    <s v="C000422148"/>
    <s v="THORN LIGHTING LTD 2025"/>
    <n v="0"/>
    <n v="1"/>
    <d v="2025-10-06T00:00:00"/>
    <x v="39"/>
  </r>
  <r>
    <s v="ORT-12417"/>
    <s v="C000422270"/>
    <s v="ARLA FOODS REFURB LOCKERBIE"/>
    <n v="0"/>
    <n v="1"/>
    <d v="2025-10-06T00:00:00"/>
    <x v="39"/>
  </r>
  <r>
    <s v="ORT-12418"/>
    <s v="C000422272"/>
    <s v="MORE LONDON RIVERSIDE NO 7 PWC REFRESH LONDON"/>
    <n v="0"/>
    <n v="1"/>
    <d v="2025-10-06T00:00:00"/>
    <x v="39"/>
  </r>
  <r>
    <s v="ORT-12419"/>
    <s v="C000422276"/>
    <s v="PORTMAN SQUARE NO 40 LEVEL 1-3 CPPIB FIT OUT LONDON"/>
    <n v="0"/>
    <n v="1"/>
    <d v="2025-10-07T00:00:00"/>
    <x v="39"/>
  </r>
  <r>
    <s v="ORT-12420"/>
    <s v="C000422277"/>
    <s v="UNKNOWN"/>
    <n v="8"/>
    <n v="0"/>
    <d v="2025-10-07T00:00:00"/>
    <x v="39"/>
  </r>
  <r>
    <s v="ORT-12421"/>
    <s v="C000422280"/>
    <s v="DUNFERMLINE LEARNING CAMPUS FIFE COLLEGE"/>
    <n v="0"/>
    <n v="1"/>
    <d v="2025-10-07T00:00:00"/>
    <x v="39"/>
  </r>
  <r>
    <s v="ORT-12422"/>
    <s v="C000422281"/>
    <s v="CANARY WHARF CANADA SQUARE NO 25 CITIBANK REFURB LONDON"/>
    <n v="0"/>
    <n v="1"/>
    <d v="2025-10-07T00:00:00"/>
    <x v="39"/>
  </r>
  <r>
    <s v="ORT-12423"/>
    <s v="C000422282"/>
    <s v="PORTMAN SQUARE NO 40 LEVEL 1-3 CPPIB FIT OUT LONDON"/>
    <n v="0"/>
    <n v="1"/>
    <d v="2025-10-07T00:00:00"/>
    <x v="39"/>
  </r>
  <r>
    <s v="ORT-12424"/>
    <s v="C000422283"/>
    <s v="NEW BRIDGE STREET NO 100 CAT A+ LONDON"/>
    <n v="0"/>
    <n v="1"/>
    <d v="2025-10-07T00:00:00"/>
    <x v="39"/>
  </r>
  <r>
    <s v="ORT-12425"/>
    <s v="C000422284"/>
    <s v="CHISWICK PARK BUILDING 6 LVL 7 &amp; 8 LONDON"/>
    <n v="0"/>
    <n v="1"/>
    <d v="2025-10-07T00:00:00"/>
    <x v="39"/>
  </r>
  <r>
    <s v="ORT-12426"/>
    <s v="C000422286"/>
    <s v="DRAPERS GARDENS NO 12 BLACKROCK FLR 3 REFURB LONDON"/>
    <n v="0"/>
    <n v="1"/>
    <d v="2025-10-07T00:00:00"/>
    <x v="39"/>
  </r>
  <r>
    <s v="ORT-12427"/>
    <s v="C000422294"/>
    <s v="PROJECT VITRUM LOBBY CAMBRIDGE"/>
    <n v="0"/>
    <n v="1"/>
    <d v="2025-10-07T00:00:00"/>
    <x v="39"/>
  </r>
  <r>
    <s v="ORT-12428"/>
    <s v="C000422145"/>
    <s v="GSK B6 LABORATORY ANNEX STEVENAGE"/>
    <n v="0"/>
    <n v="1"/>
    <d v="2025-10-07T00:00:00"/>
    <x v="39"/>
  </r>
  <r>
    <s v="ORT-12429"/>
    <s v="C000422298"/>
    <s v="DORKING OFFICE PARK NO 7 STONEBRIDGE HOUSE LIGHTING"/>
    <n v="0"/>
    <n v="1"/>
    <d v="2025-10-07T00:00:00"/>
    <x v="39"/>
  </r>
  <r>
    <s v="ORT-12430"/>
    <s v="C000422301"/>
    <s v="RESIDENTIAL PROJECT THAILAND"/>
    <n v="6"/>
    <n v="0"/>
    <d v="2025-10-07T00:00:00"/>
    <x v="39"/>
  </r>
  <r>
    <s v="ORT-12431"/>
    <s v="C000422304"/>
    <s v="BROADGATE NO 1-2 CAT B A&amp;O SHEARMAN FLOORS 1-7"/>
    <n v="0"/>
    <n v="1"/>
    <d v="2025-10-07T00:00:00"/>
    <x v="39"/>
  </r>
  <r>
    <s v="ORT-12432"/>
    <s v="C000422305"/>
    <s v="BROADGATE NO 1-2 CAT B A&amp;O SHEARMAN FLOORS 1-7"/>
    <n v="0"/>
    <n v="1"/>
    <d v="2025-10-07T00:00:00"/>
    <x v="39"/>
  </r>
  <r>
    <s v="ORT-12433"/>
    <s v="C000422306"/>
    <s v="ROSARIO PINO 14 RENOVATION (20/F) MADRID"/>
    <n v="8"/>
    <n v="0"/>
    <d v="2025-10-07T00:00:00"/>
    <x v="39"/>
  </r>
  <r>
    <s v="ORT-12434"/>
    <s v="C000422307"/>
    <s v="CAMBRIDGE BIOMEDICAL CAMPUS LABORATORY 2000 NEWBUILD"/>
    <n v="7"/>
    <n v="0"/>
    <d v="2025-10-07T00:00:00"/>
    <x v="39"/>
  </r>
  <r>
    <s v="ORT-12436"/>
    <s v="C000422311"/>
    <s v="CAPITAL PARK CAMBRIDGE ROAD NO 2 FULBOURN CAMBRIDGE"/>
    <n v="0"/>
    <n v="1"/>
    <d v="2025-10-07T00:00:00"/>
    <x v="39"/>
  </r>
  <r>
    <s v="ORT-12437"/>
    <s v="C000422320"/>
    <s v="GRIFFIN HOUSE 18-19 FLOOR 5 REFURB BIRMINGHAM"/>
    <n v="2"/>
    <n v="1"/>
    <d v="2025-10-08T00:00:00"/>
    <x v="39"/>
  </r>
  <r>
    <s v="ORT-12438"/>
    <s v="C000422325"/>
    <s v="THE REX CLARENCE STREET KINGSTON LONDON"/>
    <n v="5"/>
    <n v="1"/>
    <d v="2025-10-08T00:00:00"/>
    <x v="39"/>
  </r>
  <r>
    <s v="ORT-12439"/>
    <s v="C000422331"/>
    <s v="THORN LIGHTING LTD 2025"/>
    <n v="0"/>
    <n v="1"/>
    <d v="2025-10-08T00:00:00"/>
    <x v="39"/>
  </r>
  <r>
    <s v="ORT-12440"/>
    <s v="C000422332"/>
    <s v="THORN LIGHTING LTD 2025"/>
    <n v="0"/>
    <n v="1"/>
    <d v="2025-10-08T00:00:00"/>
    <x v="39"/>
  </r>
  <r>
    <s v="ORT-12441"/>
    <s v="C000422335"/>
    <s v="BEPO BUILDING HARWELL CAMPUS DIDCOT"/>
    <n v="0"/>
    <n v="1"/>
    <d v="2025-10-08T00:00:00"/>
    <x v="39"/>
  </r>
  <r>
    <s v="ORT-12442"/>
    <s v="C000422336"/>
    <s v="NEW BRIDGE STREET NO 100 CAT A+ LONDON"/>
    <n v="2"/>
    <n v="1"/>
    <d v="2025-10-08T00:00:00"/>
    <x v="39"/>
  </r>
  <r>
    <s v="ORT-12443"/>
    <s v="C000422337"/>
    <s v="LEADENHALL STREET NO 1 CAT B LATHAM &amp; WATKINS FLRS 1-20"/>
    <n v="5"/>
    <n v="1"/>
    <d v="2025-10-08T00:00:00"/>
    <x v="39"/>
  </r>
  <r>
    <s v="ORT-12444"/>
    <s v="C000422339"/>
    <s v="GROSVENOR PLACE NO 40 CAT A REFURB LONDON"/>
    <n v="0"/>
    <n v="1"/>
    <d v="2025-10-09T00:00:00"/>
    <x v="39"/>
  </r>
  <r>
    <s v="ORT-12445"/>
    <s v="C000422340"/>
    <s v="BISHOPSGATE NO 8 FLOOR 41 KING &amp; SPALDING LONDON"/>
    <n v="0"/>
    <n v="1"/>
    <d v="2025-10-09T00:00:00"/>
    <x v="39"/>
  </r>
  <r>
    <s v="ORT-12446"/>
    <s v="C000422341"/>
    <s v="JOHN TAYLOR SCHOOL RUGELEY STAFFORDSHIRE"/>
    <n v="0"/>
    <n v="1"/>
    <d v="2025-10-09T00:00:00"/>
    <x v="39"/>
  </r>
  <r>
    <s v="ORT-12447"/>
    <s v="C000422345"/>
    <s v="EURSHELL MISC TILE &amp; GRID 2025"/>
    <n v="0"/>
    <n v="1"/>
    <d v="2025-10-09T00:00:00"/>
    <x v="39"/>
  </r>
  <r>
    <s v="ORT-12448"/>
    <s v="C000422344"/>
    <s v="UNI OF OXFORD BEGBROKE FIT OUT"/>
    <n v="0"/>
    <n v="1"/>
    <d v="2025-10-09T00:00:00"/>
    <x v="39"/>
  </r>
  <r>
    <s v="ORT-12449"/>
    <s v="C000422348"/>
    <s v="NATIONAL GRID CASTLE DONNINGTON"/>
    <n v="0"/>
    <n v="1"/>
    <d v="2025-10-09T00:00:00"/>
    <x v="39"/>
  </r>
  <r>
    <s v="ORT-12450"/>
    <s v="C000422352"/>
    <s v="BRITISH AIRWAYS CUSTOMER SERVICES NEWCASTLE"/>
    <n v="3"/>
    <n v="1"/>
    <d v="2025-10-09T00:00:00"/>
    <x v="39"/>
  </r>
  <r>
    <s v="ORT-12451"/>
    <s v="C000422356"/>
    <s v="NUEVA SEDE SIEMENS MADRID"/>
    <n v="3"/>
    <n v="1"/>
    <d v="2025-10-09T00:00:00"/>
    <x v="39"/>
  </r>
  <r>
    <s v="ORT-12452"/>
    <s v="C000422357"/>
    <s v="MANCHESTER AIRPORT T2 EAST WING NEW DEVELOPMENT"/>
    <n v="0"/>
    <n v="1"/>
    <d v="2025-10-09T00:00:00"/>
    <x v="39"/>
  </r>
  <r>
    <s v="ORT-12453"/>
    <s v="C000422358"/>
    <s v="STRAND NO 40 REFURB BAIN &amp; CO LONDON"/>
    <n v="2"/>
    <n v="1"/>
    <d v="2025-10-09T00:00:00"/>
    <x v="39"/>
  </r>
  <r>
    <s v="ORT-12454"/>
    <s v="C000422362"/>
    <s v="CITY GATE 1 GROUND 4TH &amp; 5TH FLOORS NEWCASTLE"/>
    <n v="0"/>
    <n v="1"/>
    <d v="2025-10-09T00:00:00"/>
    <x v="39"/>
  </r>
  <r>
    <s v="ORT-12455"/>
    <s v="C000422368"/>
    <s v="PORTLAND HOUSE BRESSENDEN PLACE LONDON"/>
    <n v="5"/>
    <n v="1"/>
    <d v="2025-10-09T00:00:00"/>
    <x v="39"/>
  </r>
  <r>
    <s v="ORT-12456"/>
    <s v="C000422369"/>
    <s v="PORTLAND HOUSE BRESSENDEN PLACE LONDON"/>
    <n v="5"/>
    <n v="1"/>
    <d v="2025-10-09T00:00:00"/>
    <x v="39"/>
  </r>
  <r>
    <s v="ORT-12457"/>
    <s v="C000422370"/>
    <s v="PORTLAND HOUSE BRESSENDEN PLACE LONDON"/>
    <n v="5"/>
    <n v="1"/>
    <d v="2025-10-09T00:00:00"/>
    <x v="39"/>
  </r>
  <r>
    <s v="ORT-12462"/>
    <s v="C000422372"/>
    <s v="OSNEY POWER STATION SAID BUSINESS SCHOOL OXFORD"/>
    <n v="0"/>
    <n v="1"/>
    <d v="2025-10-10T00:00:00"/>
    <x v="39"/>
  </r>
  <r>
    <s v="ORT-12463"/>
    <s v="C000422374"/>
    <s v="HEATHROW T4 CSA SECURITY PROGRAMME WORKS LONDON"/>
    <n v="0"/>
    <n v="1"/>
    <d v="2025-10-10T00:00:00"/>
    <x v="39"/>
  </r>
  <r>
    <s v="ORT-12464"/>
    <s v="C000422382"/>
    <s v="BROADGATE QUARTER CAT A REFURB APPOLD STREET LONDON"/>
    <n v="0"/>
    <n v="1"/>
    <d v="2025-10-10T00:00:00"/>
    <x v="39"/>
  </r>
  <r>
    <s v="ORT-12465"/>
    <s v="C000422383"/>
    <s v="NEW BRIDGE STREET NO 100 CAT A+ LONDON"/>
    <n v="0"/>
    <n v="1"/>
    <d v="2025-10-10T00:00:00"/>
    <x v="39"/>
  </r>
  <r>
    <s v="ORT-12466"/>
    <s v="C000422385"/>
    <s v="CHANCERY LANE NO 5 REDEVELOPMENT LONDON"/>
    <n v="0"/>
    <n v="1"/>
    <d v="2025-10-10T00:00:00"/>
    <x v="39"/>
  </r>
  <r>
    <s v="ORT-12467"/>
    <s v="C000422386"/>
    <s v="BROADGATE QUARTER CAT A REFURB APPOLD STREET LONDON"/>
    <n v="0"/>
    <n v="1"/>
    <d v="2025-10-10T00:00:00"/>
    <x v="39"/>
  </r>
  <r>
    <s v="ORT-12468"/>
    <s v="C000422387"/>
    <s v="BROADGATE QUARTER CAT A REFURB APPOLD STREET LONDON"/>
    <n v="0"/>
    <n v="1"/>
    <d v="2025-10-10T00:00:00"/>
    <x v="39"/>
  </r>
  <r>
    <s v="ORT-12469"/>
    <s v="C000422388"/>
    <s v="BROADGATE QUARTER CAT A REFURB APPOLD STREET LONDON"/>
    <n v="0"/>
    <n v="1"/>
    <d v="2025-10-10T00:00:00"/>
    <x v="39"/>
  </r>
  <r>
    <s v="ORT-12470"/>
    <s v="C000422407"/>
    <s v="02034 CADDELL"/>
    <n v="0"/>
    <n v="1"/>
    <d v="2025-10-13T00:00:00"/>
    <x v="40"/>
  </r>
  <r>
    <s v="ORT-12471"/>
    <s v="C000422410"/>
    <s v="LANCELOT PLACE NO 8 CAT A REFURB LONDON"/>
    <n v="0"/>
    <n v="1"/>
    <d v="2025-10-13T00:00:00"/>
    <x v="40"/>
  </r>
  <r>
    <s v="ORT-12472"/>
    <s v="C000422412"/>
    <s v="JACK TURNBULL MISC TILE &amp; GRID 2025"/>
    <n v="0"/>
    <n v="1"/>
    <d v="2025-10-13T00:00:00"/>
    <x v="40"/>
  </r>
  <r>
    <s v="ORT-12473"/>
    <s v="C000422416"/>
    <s v="WARNER MUSIC UK WRIGHTS LANE NO 27 LONDON"/>
    <n v="0"/>
    <n v="1"/>
    <d v="2025-10-13T00:00:00"/>
    <x v="40"/>
  </r>
  <r>
    <s v="ORT-12474"/>
    <s v="C000422424"/>
    <s v="WEYBRIDGE INNOVATION FACILITY HALEON (GSK) THE HEIGHTS - NDA"/>
    <n v="0"/>
    <n v="1"/>
    <d v="2025-10-14T00:00:00"/>
    <x v="40"/>
  </r>
  <r>
    <s v="ORT-12475"/>
    <s v="C000422425"/>
    <s v="NATIONAL REHABILITATION CENTRE STANFORD HALL ESTATE"/>
    <n v="0"/>
    <n v="1"/>
    <d v="2025-10-14T00:00:00"/>
    <x v="40"/>
  </r>
  <r>
    <s v="ORT-12476"/>
    <s v="C000422427"/>
    <s v="VICTORIA STREET NO 105 LIFT LOBBIES LONDON"/>
    <n v="0"/>
    <n v="1"/>
    <d v="2025-10-14T00:00:00"/>
    <x v="40"/>
  </r>
  <r>
    <s v="ORT-12477"/>
    <s v="C000422428"/>
    <s v="THREADNEEDLE STREET NO 60 CAT A FLOOR 8 LONDON"/>
    <n v="1"/>
    <n v="1"/>
    <d v="2025-10-14T00:00:00"/>
    <x v="40"/>
  </r>
  <r>
    <s v="ORT-12478"/>
    <s v="C000422429"/>
    <s v="JSP PICCADILLY NO 180 DUKE STREET NO 30 WCS LONDON"/>
    <n v="2"/>
    <n v="1"/>
    <d v="2025-10-14T00:00:00"/>
    <x v="40"/>
  </r>
  <r>
    <s v="ORT-12479"/>
    <s v="C000422432"/>
    <s v="ONE COLMORE SQUARE FLR 8 BIRMINGHAM"/>
    <n v="0"/>
    <n v="1"/>
    <d v="2025-10-14T00:00:00"/>
    <x v="40"/>
  </r>
  <r>
    <s v="ORT-12480"/>
    <s v="C000422433"/>
    <s v="CANARY WHARF WOOD WHARF B2 APARTMENT FIT OUT LONDON"/>
    <n v="0"/>
    <n v="1"/>
    <d v="2025-10-14T00:00:00"/>
    <x v="40"/>
  </r>
  <r>
    <s v="ORT-12481"/>
    <s v="C000422435"/>
    <s v="LLOYDS MANCHESTER"/>
    <n v="0"/>
    <n v="1"/>
    <d v="2025-10-14T00:00:00"/>
    <x v="40"/>
  </r>
  <r>
    <s v="ORT-12482"/>
    <s v="C000422438"/>
    <s v="CANARY WHARF BANK STREET NO 25 JPMC FLOOR 7 RECEPTION LONDON"/>
    <n v="0"/>
    <n v="1"/>
    <d v="2025-10-14T00:00:00"/>
    <x v="40"/>
  </r>
  <r>
    <s v="ORT-12483"/>
    <s v="C000422439"/>
    <s v="SCOTLAND &amp; NORTH EAST MISC 2025"/>
    <n v="0"/>
    <n v="1"/>
    <d v="2025-10-14T00:00:00"/>
    <x v="40"/>
  </r>
  <r>
    <s v="ORT-12484"/>
    <s v="C000422445"/>
    <s v="PILGRIM STREET PHASE 3 BUILDING 1 &amp; 2 NEWCASTLE"/>
    <n v="0"/>
    <n v="1"/>
    <d v="2025-10-14T00:00:00"/>
    <x v="40"/>
  </r>
  <r>
    <s v="ORT-12485"/>
    <s v="C000422446"/>
    <s v="STANSTED AIRPORT TERMINAL CONCOURSE CENTRAL SEARCH AREA"/>
    <n v="2"/>
    <n v="1"/>
    <d v="2025-10-14T00:00:00"/>
    <x v="40"/>
  </r>
  <r>
    <s v="ORT-12486"/>
    <s v="C000422447"/>
    <s v="AWE HUB ALDERMASTON STREET"/>
    <n v="0"/>
    <n v="1"/>
    <d v="2025-10-14T00:00:00"/>
    <x v="40"/>
  </r>
  <r>
    <s v="ORT-12487"/>
    <s v="C000422448"/>
    <s v="02034 CADDELL"/>
    <n v="0"/>
    <n v="1"/>
    <d v="2025-10-14T00:00:00"/>
    <x v="40"/>
  </r>
  <r>
    <s v="ORT-12488"/>
    <s v="C000422451"/>
    <s v="NEW STREET SQUARE NO 5 TAYLOR WESSING REFURB LONDON"/>
    <n v="0"/>
    <n v="1"/>
    <d v="2025-10-14T00:00:00"/>
    <x v="40"/>
  </r>
  <r>
    <s v="ORT-12489"/>
    <s v="C000422460"/>
    <s v="ARGYLL STREET NO 40 REFURB LONDON"/>
    <n v="0"/>
    <n v="1"/>
    <d v="2025-10-15T00:00:00"/>
    <x v="40"/>
  </r>
  <r>
    <s v="ORT-12490"/>
    <s v="C000422465"/>
    <s v="LUMINOUS OAK SEMH SCHOOL SOUTHAMPTON"/>
    <n v="0"/>
    <n v="1"/>
    <d v="2025-10-15T00:00:00"/>
    <x v="40"/>
  </r>
  <r>
    <s v="ORT-12491"/>
    <s v="C000422468"/>
    <s v="ANGEL SQUARE NO 4 BNY FIT OUT MANCHESTER"/>
    <n v="0"/>
    <n v="1"/>
    <d v="2025-10-15T00:00:00"/>
    <x v="40"/>
  </r>
  <r>
    <s v="ORT-12492"/>
    <s v="C000422469"/>
    <s v="EURSHELL MISC TILE &amp; GRID 2025"/>
    <n v="0"/>
    <n v="1"/>
    <d v="2025-10-15T00:00:00"/>
    <x v="40"/>
  </r>
  <r>
    <s v="ORT-12493"/>
    <s v="C000422470"/>
    <s v="MOORFIELDS NO 21 DEUTSCHE BANK REFURB LONDON"/>
    <n v="0"/>
    <n v="1"/>
    <d v="2025-10-15T00:00:00"/>
    <x v="40"/>
  </r>
  <r>
    <s v="ORT-12494"/>
    <s v="C000422471"/>
    <s v="AWE HUB ALDERMASTON STREET"/>
    <n v="0"/>
    <n v="1"/>
    <d v="2025-10-15T00:00:00"/>
    <x v="40"/>
  </r>
  <r>
    <s v="ORT-12495"/>
    <s v="C000422476"/>
    <s v="LUDGATE HILL NO 60 REFURB LONDON"/>
    <n v="0"/>
    <n v="1"/>
    <d v="2025-10-15T00:00:00"/>
    <x v="40"/>
  </r>
  <r>
    <s v="ORT-12496"/>
    <s v="C000422482"/>
    <s v="JERSEY AIRPORT DEPARTURES REFURBISHMENT"/>
    <n v="0"/>
    <n v="1"/>
    <d v="2025-10-15T00:00:00"/>
    <x v="40"/>
  </r>
  <r>
    <s v="ORT-12497"/>
    <s v="C000422484"/>
    <s v="TEMPLE QUAY GLASS WHARF NO 1 GRD &amp; 1ST FLRS BRISTOL"/>
    <n v="2"/>
    <n v="1"/>
    <d v="2025-10-15T00:00:00"/>
    <x v="40"/>
  </r>
  <r>
    <s v="ORT-12498"/>
    <s v="C000422489"/>
    <s v="SQUIRE PATTON BOGGS"/>
    <n v="0"/>
    <n v="1"/>
    <d v="2025-10-15T00:00:00"/>
    <x v="40"/>
  </r>
  <r>
    <s v="ORT-12499"/>
    <s v="C000422490"/>
    <s v="HEATHROW AIRPORT T3 IMMIGRATION CORRIDOR REFURB"/>
    <n v="0"/>
    <n v="1"/>
    <d v="2025-10-15T00:00:00"/>
    <x v="40"/>
  </r>
  <r>
    <s v="ORT-12500"/>
    <s v="C000422492"/>
    <s v="DEVONSHIRE HOUSE MAYFAIR PLACE NO 1 LEVELS 3-4 TA LONDON"/>
    <n v="0"/>
    <n v="1"/>
    <d v="2025-10-15T00:00:00"/>
    <x v="40"/>
  </r>
  <r>
    <s v="ORT-12501"/>
    <s v="C000422496"/>
    <s v="CARLTON HOUSE TERRACE NO 20 REFURB PH2 LONDON"/>
    <n v="0"/>
    <n v="1"/>
    <d v="2025-10-15T00:00:00"/>
    <x v="40"/>
  </r>
  <r>
    <s v="ORT-12502"/>
    <s v="C000422510"/>
    <s v="QUEEN VICTORIA STREET NO 128 OLD CHANGE HOUSE FLR 3 LONDON"/>
    <n v="0"/>
    <n v="1"/>
    <d v="2025-10-16T00:00:00"/>
    <x v="40"/>
  </r>
  <r>
    <s v="ORT-12503"/>
    <s v="C000422511"/>
    <s v="IMPERIAL COLLEGE WHITE CITY IMPERIAL WEST BUILDING E LEVEL 1"/>
    <n v="0"/>
    <n v="1"/>
    <d v="2025-10-16T00:00:00"/>
    <x v="40"/>
  </r>
  <r>
    <s v="ORT-12504"/>
    <s v="C000422519"/>
    <s v="THE FAIRFAX PHASE 1 WALL PANELS MANCHESTER"/>
    <n v="0"/>
    <n v="1"/>
    <d v="2025-10-16T00:00:00"/>
    <x v="40"/>
  </r>
  <r>
    <s v="ORT-12505"/>
    <s v="C000422522"/>
    <s v="HOLBORN VIADUCT NO 14-21 WASHROOM FIT OUT LONDON"/>
    <n v="0"/>
    <n v="1"/>
    <d v="2025-10-16T00:00:00"/>
    <x v="40"/>
  </r>
  <r>
    <s v="ORT-12506"/>
    <s v="C000422523"/>
    <s v="UNKNOWN"/>
    <n v="0"/>
    <n v="1"/>
    <d v="2025-10-16T00:00:00"/>
    <x v="40"/>
  </r>
  <r>
    <s v="ORT-12507"/>
    <s v="C000422524"/>
    <s v="BRITISH AIRWAYS CUSTOMER SERVICES NEWCASTLE"/>
    <n v="0"/>
    <n v="1"/>
    <d v="2025-10-16T00:00:00"/>
    <x v="40"/>
  </r>
  <r>
    <s v="ORT-12508"/>
    <s v="C000422528"/>
    <s v="MANCHESTER AIRPORT T2 DUTY FREE"/>
    <n v="0"/>
    <n v="1"/>
    <d v="2025-10-16T00:00:00"/>
    <x v="40"/>
  </r>
  <r>
    <s v="ORT-12509"/>
    <s v="C000422529"/>
    <s v="PILGRIM STREET PHASE 2 NEWCASTLE FURTHER DEVELOPMENT"/>
    <n v="0"/>
    <n v="1"/>
    <d v="2025-10-16T00:00:00"/>
    <x v="40"/>
  </r>
  <r>
    <s v="ORT-12510"/>
    <s v="CF00000564"/>
    <s v="ATH11 AMAZON WORKSPACE ATHENS CEILINGS"/>
    <n v="0"/>
    <n v="1"/>
    <d v="2025-10-16T00:00:00"/>
    <x v="40"/>
  </r>
  <r>
    <s v="ORT-12511"/>
    <s v="CF00000565"/>
    <s v="ATH11 AMAZON WORKSPACE ATHENS LIGHTING"/>
    <n v="0"/>
    <n v="1"/>
    <d v="2025-10-16T00:00:00"/>
    <x v="40"/>
  </r>
  <r>
    <s v="ORT-12512"/>
    <m/>
    <s v="IMMERSIVE TOWER DIFC COMMERCIAL OFFICE DEVT DUBAI"/>
    <n v="0"/>
    <n v="1"/>
    <d v="2025-10-17T00:00:00"/>
    <x v="40"/>
  </r>
  <r>
    <s v="ORT-12513"/>
    <s v="C000422543"/>
    <s v="BROADGATE NO 1-2 CAT B A&amp;O SHEARMAN FLOORS 1-7"/>
    <n v="0"/>
    <n v="1"/>
    <d v="2025-10-17T00:00:00"/>
    <x v="40"/>
  </r>
  <r>
    <s v="ORT-12514"/>
    <s v="C000422544"/>
    <s v="DEVONSHIRE SQUARE NO 7 FLOOR 5 TWO SIGMA LONDON"/>
    <n v="0"/>
    <n v="1"/>
    <d v="2025-10-17T00:00:00"/>
    <x v="40"/>
  </r>
  <r>
    <s v="ORT-12515"/>
    <s v="CF00000566"/>
    <s v="NEW FIVE STOREY EDUCATIONAL CENTER ATHENS"/>
    <n v="0"/>
    <n v="1"/>
    <d v="2025-10-17T00:00:00"/>
    <x v="40"/>
  </r>
  <r>
    <s v="ORT-12516"/>
    <s v="C000422546"/>
    <s v="KINGS CROSS CENTRAL GOOGLE HQ KGX1 CAT B LONDON"/>
    <n v="0"/>
    <n v="1"/>
    <d v="2025-10-17T00:00:00"/>
    <x v="40"/>
  </r>
  <r>
    <s v="ORT-12517"/>
    <s v="C000422547"/>
    <s v="PETERBOROUGH COURT FLEET STREET NO 133 REFURB LONDON"/>
    <n v="0"/>
    <n v="1"/>
    <d v="2025-10-17T00:00:00"/>
    <x v="40"/>
  </r>
  <r>
    <s v="ORT-12518"/>
    <s v="C000422549"/>
    <s v="PETERBOROUGH COURT FLEET STREET NO 133 REFURB LONDON"/>
    <n v="0"/>
    <n v="1"/>
    <d v="2025-10-17T00:00:00"/>
    <x v="40"/>
  </r>
  <r>
    <s v="ORT-12519"/>
    <s v="C000422552"/>
    <s v="OXFORD STREET NO 334-348 S&amp;C / LOBBIES LONDON"/>
    <n v="0"/>
    <n v="1"/>
    <d v="2025-10-17T00:00:00"/>
    <x v="40"/>
  </r>
  <r>
    <s v="ORT-12520"/>
    <s v="C000422554"/>
    <s v="NEW BRIDGE STREET NO 100 CAT A+ LONDON"/>
    <n v="0"/>
    <n v="1"/>
    <d v="2025-10-17T00:00:00"/>
    <x v="40"/>
  </r>
  <r>
    <m/>
    <m/>
    <m/>
    <m/>
    <m/>
    <m/>
    <x v="4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2">
  <r>
    <s v="ORT-0000010139"/>
    <s v="C000416282"/>
    <s v="COPTHALL BRIDGE HOUSE HARROGATE"/>
    <n v="0"/>
    <n v="1"/>
    <d v="2025-01-06T00:00:00"/>
    <x v="0"/>
  </r>
  <r>
    <s v="ORT-0000010140"/>
    <s v="C000416283"/>
    <s v="SOUTH LONDON &amp; MAUDSLEY HOSPITAL CYP HOUSE LONDON"/>
    <n v="0"/>
    <n v="1"/>
    <d v="2025-01-06T00:00:00"/>
    <x v="0"/>
  </r>
  <r>
    <s v="ORT-0000010141"/>
    <s v="C000416284"/>
    <s v="LEADENHALL STREET NO 40 KIRKLAND &amp; ELLIS FLRS 15-34 LONDON"/>
    <n v="0"/>
    <n v="1"/>
    <d v="2025-01-06T00:00:00"/>
    <x v="0"/>
  </r>
  <r>
    <s v="ORT-0000010142"/>
    <s v="C000416285"/>
    <s v="MISC TILE &amp; GRID PROJECTS"/>
    <n v="0"/>
    <n v="1"/>
    <d v="2025-01-06T00:00:00"/>
    <x v="0"/>
  </r>
  <r>
    <s v="ORT-0000010143"/>
    <s v="C000416286"/>
    <s v="GROSVENOR SQUARE NO 30 ROSEWOOD HOTEL LONDON"/>
    <n v="0"/>
    <n v="1"/>
    <d v="2025-01-06T00:00:00"/>
    <x v="0"/>
  </r>
  <r>
    <s v="ORT-0000010144"/>
    <s v="C000416287"/>
    <s v="MANCHESTER AIRPORT T2 EAST WING NEW DEVELOPMENT"/>
    <n v="2"/>
    <n v="0"/>
    <d v="2025-01-06T00:00:00"/>
    <x v="0"/>
  </r>
  <r>
    <s v="ORT-0000010145"/>
    <s v="C000416288"/>
    <s v="MANCHESTER AIRPORT T2 EAST WING NEW DEVELOPMENT"/>
    <n v="1"/>
    <n v="1"/>
    <d v="2025-01-06T00:00:00"/>
    <x v="0"/>
  </r>
  <r>
    <s v="ORT-0000010146"/>
    <s v="C000416289"/>
    <s v="DALES MANOR BUSINESS PARK CAT A CAMBRIDGE"/>
    <n v="0"/>
    <n v="1"/>
    <d v="2025-01-06T00:00:00"/>
    <x v="0"/>
  </r>
  <r>
    <s v="ORT-0000010147"/>
    <s v="C000416290"/>
    <s v="DOVER STREET NO 48 CAT B SIXTH STREET LONDON"/>
    <n v="0"/>
    <n v="1"/>
    <d v="2025-01-06T00:00:00"/>
    <x v="0"/>
  </r>
  <r>
    <s v="ORT-0000010148"/>
    <s v="C000416291"/>
    <s v="MISC TILE &amp; GRID PROJECTS"/>
    <n v="0"/>
    <n v="1"/>
    <d v="2025-01-06T00:00:00"/>
    <x v="0"/>
  </r>
  <r>
    <s v="ORT-0000010149"/>
    <s v="C000416292"/>
    <s v="SOUTH PARADE NO 10 GRND FLR LEEDS"/>
    <n v="0"/>
    <n v="1"/>
    <d v="2025-01-06T00:00:00"/>
    <x v="0"/>
  </r>
  <r>
    <s v="ORT-0000010150"/>
    <s v="C000416293"/>
    <s v="HCA HALE MANCHESTER"/>
    <n v="1"/>
    <n v="1"/>
    <d v="2025-01-06T00:00:00"/>
    <x v="0"/>
  </r>
  <r>
    <s v="ORT-0000010151"/>
    <s v="C000416294"/>
    <s v="ORION PARK NO 1 SEGRO DAGENHAM"/>
    <n v="1"/>
    <n v="1"/>
    <d v="2025-01-06T00:00:00"/>
    <x v="0"/>
  </r>
  <r>
    <s v="ORT-0000010152"/>
    <s v="C000416295"/>
    <s v="OLD BROAD STREET NO 25 TOWER 42 REFURB LONDON"/>
    <n v="0"/>
    <n v="1"/>
    <d v="2025-01-06T00:00:00"/>
    <x v="0"/>
  </r>
  <r>
    <s v="ORT-0000010153"/>
    <s v="C000416296"/>
    <s v="EURSHELL MISC TILE &amp; GRID 2025"/>
    <n v="0"/>
    <n v="1"/>
    <d v="2025-01-06T00:00:00"/>
    <x v="0"/>
  </r>
  <r>
    <s v="ORT-0000010154"/>
    <s v="C000416297"/>
    <s v="WORKPLACE INTERIORS MISC 2025"/>
    <n v="0"/>
    <n v="1"/>
    <d v="2025-01-06T00:00:00"/>
    <x v="0"/>
  </r>
  <r>
    <s v="ORT-0000010155"/>
    <s v="C000416298"/>
    <s v="UNKNOWN"/>
    <n v="0"/>
    <n v="1"/>
    <d v="2025-01-06T00:00:00"/>
    <x v="0"/>
  </r>
  <r>
    <s v="ORT-0000010156"/>
    <s v="C000416300"/>
    <s v="BMS CHESTER CONFERENCE ROOM REFURB"/>
    <n v="1"/>
    <n v="1"/>
    <d v="2025-01-06T00:00:00"/>
    <x v="0"/>
  </r>
  <r>
    <s v="ORT-0000010157"/>
    <s v="C000416301"/>
    <s v="BMS CHESTER CONFERENCE ROOM REFURB"/>
    <n v="1"/>
    <n v="1"/>
    <d v="2025-01-06T00:00:00"/>
    <x v="0"/>
  </r>
  <r>
    <s v="ORT-0000010158"/>
    <s v="C000416302"/>
    <s v="EURSHELL MISC TILE &amp; GRID 2025"/>
    <n v="0"/>
    <n v="1"/>
    <d v="2025-01-06T00:00:00"/>
    <x v="0"/>
  </r>
  <r>
    <s v="ORT-0000010159"/>
    <s v="C000416304"/>
    <s v="AIR STREET NO 20 CAT B PAUL WEISS LONDON"/>
    <n v="0"/>
    <n v="1"/>
    <d v="2025-01-06T00:00:00"/>
    <x v="0"/>
  </r>
  <r>
    <s v="ORT-0000010160"/>
    <s v="C000416305"/>
    <s v="LOVELS WAY INDUSTRIAL UNIT WIDNES"/>
    <n v="0"/>
    <n v="1"/>
    <d v="2025-01-06T00:00:00"/>
    <x v="0"/>
  </r>
  <r>
    <s v="ORT-0000010161"/>
    <s v="C000416307"/>
    <s v="ALDERMANBURY SQUARE NO 2 BASINGHALL ST RECEPTION CEILINGS"/>
    <n v="0"/>
    <n v="1"/>
    <d v="2025-01-06T00:00:00"/>
    <x v="0"/>
  </r>
  <r>
    <s v="ORT-0000010162"/>
    <s v="C000416308"/>
    <s v="TESCO MISC 2025"/>
    <n v="0"/>
    <n v="1"/>
    <d v="2025-01-06T00:00:00"/>
    <x v="0"/>
  </r>
  <r>
    <s v="ORT-0000010163"/>
    <m/>
    <s v="OCASO FUENCARRAL 107  MADRID"/>
    <n v="0"/>
    <n v="1"/>
    <d v="2025-01-06T00:00:00"/>
    <x v="0"/>
  </r>
  <r>
    <s v="ORT-0000010164"/>
    <s v="C000416311"/>
    <s v="CHEAPSIDE NO 100 CAT B CRAVAITH SWAINE &amp; MOORE LONDON"/>
    <n v="0"/>
    <n v="1"/>
    <d v="2025-01-06T00:00:00"/>
    <x v="0"/>
  </r>
  <r>
    <s v="ORT-0000010165"/>
    <s v="C000416313"/>
    <s v="JACK TURNBULL MISC TILE &amp; GRID 2025"/>
    <n v="0"/>
    <n v="1"/>
    <d v="2025-01-06T00:00:00"/>
    <x v="0"/>
  </r>
  <r>
    <s v="ORT-0000010166"/>
    <s v="C000416314"/>
    <s v="BOLDON HOUSE DURHAM UNIVERSITY"/>
    <n v="0"/>
    <n v="1"/>
    <d v="2025-01-07T00:00:00"/>
    <x v="0"/>
  </r>
  <r>
    <s v="ORT-0000010167"/>
    <s v="C000416315"/>
    <s v="TESCO MISC 2025"/>
    <n v="0"/>
    <n v="1"/>
    <d v="2025-01-07T00:00:00"/>
    <x v="0"/>
  </r>
  <r>
    <s v="ORT-0000010168"/>
    <s v="C000416316"/>
    <s v="TESCO MISC 2025"/>
    <n v="0"/>
    <n v="1"/>
    <d v="2025-01-07T00:00:00"/>
    <x v="0"/>
  </r>
  <r>
    <s v="ORT-0000010169"/>
    <s v="C000416317"/>
    <s v="WORKPLACE INTERIORS MISC 2025"/>
    <n v="0"/>
    <n v="1"/>
    <d v="2025-01-07T00:00:00"/>
    <x v="0"/>
  </r>
  <r>
    <s v="ORT-0000010170"/>
    <s v="C000416318"/>
    <s v="KINGS ROAD NO 120 LIBERTY GLOBAL FABRIC LONDON"/>
    <n v="0"/>
    <n v="1"/>
    <d v="2025-01-07T00:00:00"/>
    <x v="0"/>
  </r>
  <r>
    <s v="ORT-0000010171"/>
    <s v="C000416319"/>
    <s v="CITY POINT ROPEMAKER STREET FLR 16 REFURB LONDON"/>
    <n v="0"/>
    <n v="1"/>
    <d v="2025-01-07T00:00:00"/>
    <x v="0"/>
  </r>
  <r>
    <s v="ORT-0000010172"/>
    <s v="C000416320"/>
    <s v="UNI OF OXFORD CENTRE FOR LIFE AND MIND SCIENCES"/>
    <n v="0"/>
    <n v="1"/>
    <d v="2025-01-07T00:00:00"/>
    <x v="0"/>
  </r>
  <r>
    <s v="ORT-0000010173"/>
    <s v="C000416321"/>
    <s v="NORTHCLIFFE HOUSE TUDOR STREET NO 26 FLRS 4-6 LONDON"/>
    <n v="0"/>
    <n v="1"/>
    <d v="2025-01-07T00:00:00"/>
    <x v="0"/>
  </r>
  <r>
    <s v="ORT-0000010174"/>
    <s v="C000416322"/>
    <s v="CANNON STREET NO 110 FLR 7 REFURB LONDON"/>
    <n v="0"/>
    <n v="1"/>
    <d v="2025-01-07T00:00:00"/>
    <x v="0"/>
  </r>
  <r>
    <s v="ORT-0000010175"/>
    <s v="C000416323"/>
    <s v="UNKNOWN"/>
    <n v="0"/>
    <n v="1"/>
    <d v="2025-01-07T00:00:00"/>
    <x v="0"/>
  </r>
  <r>
    <s v="ORT-0000010176"/>
    <s v="C000416324"/>
    <s v="SLOANE STREET NO 166 FLOORS 2-4 LONDON"/>
    <n v="0"/>
    <n v="1"/>
    <d v="2025-01-07T00:00:00"/>
    <x v="0"/>
  </r>
  <r>
    <s v="ORT-0000010177"/>
    <s v="C000416325"/>
    <s v="TESCO MISC 2025"/>
    <n v="0"/>
    <n v="1"/>
    <d v="2025-01-07T00:00:00"/>
    <x v="0"/>
  </r>
  <r>
    <s v="ORT-0000010178"/>
    <s v="C000416326"/>
    <s v="LONDON WALL NO 60 FLRS 4&amp;5 RABOBANK FITOUT LONDON"/>
    <n v="0"/>
    <n v="1"/>
    <d v="2025-01-07T00:00:00"/>
    <x v="0"/>
  </r>
  <r>
    <s v="ORT-0000010179"/>
    <s v="C000416327"/>
    <s v="EDEN CAMPUS THE HONEY BUILDING CAT A KINGSTON"/>
    <n v="0"/>
    <n v="1"/>
    <d v="2025-01-07T00:00:00"/>
    <x v="0"/>
  </r>
  <r>
    <s v="ORT-0000010180"/>
    <s v="C000416328"/>
    <s v="TESCO MISC 2025"/>
    <n v="0"/>
    <n v="1"/>
    <d v="2025-01-07T00:00:00"/>
    <x v="0"/>
  </r>
  <r>
    <s v="ORT-0000010181"/>
    <s v="C000416329"/>
    <s v="TESCO MISC 2025"/>
    <n v="0"/>
    <n v="1"/>
    <d v="2025-01-07T00:00:00"/>
    <x v="0"/>
  </r>
  <r>
    <s v="ORT-0000010182"/>
    <s v="C000416330"/>
    <s v="TESCO MISC 2025"/>
    <n v="0"/>
    <n v="1"/>
    <d v="2025-01-07T00:00:00"/>
    <x v="0"/>
  </r>
  <r>
    <s v="ORT-0000010183"/>
    <s v="C000416331"/>
    <s v="TESCO MISC 2025"/>
    <n v="0"/>
    <n v="1"/>
    <d v="2025-01-07T00:00:00"/>
    <x v="0"/>
  </r>
  <r>
    <s v="ORT-0000010184"/>
    <s v="C000416332"/>
    <s v="HILLSWOOD DRIVE NO 1000 CHERTSEY"/>
    <n v="0"/>
    <n v="1"/>
    <d v="2025-01-07T00:00:00"/>
    <x v="0"/>
  </r>
  <r>
    <s v="ORT-0000010185"/>
    <s v="C000416333"/>
    <s v="BUNHILL ROW NO 1 SLAUGHTER &amp; MAY CAT A REFURB LONDON"/>
    <n v="21"/>
    <n v="0"/>
    <d v="2025-01-07T00:00:00"/>
    <x v="0"/>
  </r>
  <r>
    <s v="ORT-0000010186"/>
    <s v="C000416334"/>
    <s v="BUNHILL ROW NO 1 SLAUGHTER &amp; MAY CAT A REFURB LONDON"/>
    <n v="21"/>
    <n v="0"/>
    <d v="2025-01-07T00:00:00"/>
    <x v="0"/>
  </r>
  <r>
    <s v="ORT-0000010187"/>
    <s v="C000416335"/>
    <s v="BUNHILL ROW NO 1 SLAUGHTER &amp; MAY CAT A REFURB LONDON"/>
    <n v="21"/>
    <n v="0"/>
    <d v="2025-01-07T00:00:00"/>
    <x v="0"/>
  </r>
  <r>
    <s v="ORT-0000010188"/>
    <s v="C000416336"/>
    <s v="BUNHILL ROW NO 1 SLAUGHTER &amp; MAY CAT A REFURB LONDON"/>
    <n v="21"/>
    <n v="0"/>
    <d v="2025-01-07T00:00:00"/>
    <x v="0"/>
  </r>
  <r>
    <s v="ORT-0000010189"/>
    <s v="C000416337"/>
    <s v="BUNHILL ROW NO 1 SLAUGHTER &amp; MAY CAT A REFURB LONDON"/>
    <n v="0"/>
    <n v="1"/>
    <d v="2025-01-07T00:00:00"/>
    <x v="0"/>
  </r>
  <r>
    <s v="ORT-0000010190"/>
    <s v="C000416338"/>
    <s v="JACK TURNBULL MISC TILE &amp; GRID 2025"/>
    <n v="0"/>
    <n v="1"/>
    <d v="2025-01-07T00:00:00"/>
    <x v="0"/>
  </r>
  <r>
    <s v="ORT-0000010191"/>
    <s v="C000416339"/>
    <s v="HEATHROW KITCHEN REFURB LONDON"/>
    <n v="0"/>
    <n v="1"/>
    <d v="2025-01-07T00:00:00"/>
    <x v="0"/>
  </r>
  <r>
    <s v="ORT-0000010192"/>
    <s v="C000416340"/>
    <s v="ALDI DISTRIBUTION CENTRE RECEPTION REFURB BATHGATE"/>
    <n v="0"/>
    <n v="1"/>
    <d v="2025-01-07T00:00:00"/>
    <x v="0"/>
  </r>
  <r>
    <s v="ORT-0000010193"/>
    <s v="C000416342"/>
    <s v="WARSAW CPK BAGGAGE HALL"/>
    <n v="0"/>
    <n v="1"/>
    <d v="2025-01-07T00:00:00"/>
    <x v="0"/>
  </r>
  <r>
    <s v="ORT-0000010194"/>
    <s v="C000416344"/>
    <s v="WORKPLACE INTERIORS MISC 2025"/>
    <n v="0"/>
    <n v="1"/>
    <d v="2025-01-07T00:00:00"/>
    <x v="0"/>
  </r>
  <r>
    <s v="ORT-0000010195"/>
    <s v="C000416345"/>
    <s v="SAINSBURYS MISC 2025"/>
    <n v="0"/>
    <n v="1"/>
    <d v="2025-01-07T00:00:00"/>
    <x v="0"/>
  </r>
  <r>
    <s v="ORT-0000010196"/>
    <s v="C000416391"/>
    <s v="EURSHELL MISC TILE &amp; GRID 2025"/>
    <n v="0"/>
    <n v="1"/>
    <d v="2025-01-07T00:00:00"/>
    <x v="0"/>
  </r>
  <r>
    <s v="ORT-0000010198"/>
    <s v="C000416394"/>
    <s v="LOMBARD STREET NO 1-6 FLOORS 2 &amp; 3 EAST LONDON"/>
    <n v="5"/>
    <n v="0"/>
    <d v="2025-01-07T00:00:00"/>
    <x v="0"/>
  </r>
  <r>
    <s v="ORT-0000010201"/>
    <s v="C000416397"/>
    <s v="HENRIETTA STREET NO 12 FLR 1 REFURB LONDON"/>
    <n v="0"/>
    <n v="1"/>
    <d v="2025-01-08T00:00:00"/>
    <x v="0"/>
  </r>
  <r>
    <s v="ORT-0000010202"/>
    <s v="C000416398"/>
    <s v="WHITE CITY PLACE WOOD LANE NO 201 ITV REFURB LONDON"/>
    <n v="0"/>
    <n v="1"/>
    <d v="2025-01-08T00:00:00"/>
    <x v="0"/>
  </r>
  <r>
    <s v="ORT-0000010203"/>
    <s v="C000416399"/>
    <s v="LEADENHALL STREET NO 40 KIRKLAND &amp; ELLIS FLRS 15-34 LONDON"/>
    <n v="0"/>
    <n v="1"/>
    <d v="2025-01-08T00:00:00"/>
    <x v="0"/>
  </r>
  <r>
    <s v="ORT-0000010204"/>
    <s v="C000416400"/>
    <s v="EURSHELL MISC TILE &amp; GRID 2024"/>
    <n v="0"/>
    <n v="1"/>
    <d v="2025-01-08T00:00:00"/>
    <x v="0"/>
  </r>
  <r>
    <s v="ORT-0000010205"/>
    <s v="C000416401"/>
    <s v="CANARY WHARF WOOD WHARF J1/J3 FLOOR 1 COWORKING AREAS LONDON"/>
    <n v="0"/>
    <n v="1"/>
    <d v="2025-01-08T00:00:00"/>
    <x v="0"/>
  </r>
  <r>
    <s v="ORT-0000010206"/>
    <s v="C000416403"/>
    <s v="SAMPLE ROOM READING"/>
    <n v="0"/>
    <n v="1"/>
    <d v="2025-01-08T00:00:00"/>
    <x v="0"/>
  </r>
  <r>
    <s v="ORT-0000010207"/>
    <s v="C000416404"/>
    <s v="CITY POINT ROPEMAKER STREET FLR 16 REFURB LONDON"/>
    <n v="0"/>
    <n v="1"/>
    <d v="2025-01-08T00:00:00"/>
    <x v="0"/>
  </r>
  <r>
    <s v="ORT-0000010208"/>
    <s v="C000416405"/>
    <s v="LUL NLE BATTERSEA STATION WEST ENTRANCE LONDON"/>
    <n v="0"/>
    <n v="1"/>
    <d v="2025-01-08T00:00:00"/>
    <x v="0"/>
  </r>
  <r>
    <s v="ORT-0000010209"/>
    <s v="C000416406"/>
    <s v="BISHOPSGATE NO 8 FLOORS 10-15 CFC UNDERWRITING LONDON"/>
    <n v="0"/>
    <n v="1"/>
    <d v="2025-01-08T00:00:00"/>
    <x v="0"/>
  </r>
  <r>
    <s v="ORT-0000010210"/>
    <s v="C000416407"/>
    <s v="PORTMAN SQUARE NO 10 FLR 1 REFURB LONDON"/>
    <n v="0"/>
    <n v="1"/>
    <d v="2025-01-08T00:00:00"/>
    <x v="0"/>
  </r>
  <r>
    <s v="ORT-0000010211"/>
    <s v="C000416408"/>
    <s v="NEW STREET SQUARE NO 5 RECEPTION AREA S&amp;C FIT-OUT  LONDON"/>
    <n v="1"/>
    <n v="1"/>
    <d v="2025-01-08T00:00:00"/>
    <x v="0"/>
  </r>
  <r>
    <s v="ORT-0000010212"/>
    <s v="C000416410"/>
    <s v="MCLAREN BUILDING FLOOR 10 CORRIDOR BIRMINGHAM"/>
    <n v="0"/>
    <n v="1"/>
    <d v="2025-01-08T00:00:00"/>
    <x v="0"/>
  </r>
  <r>
    <s v="ORT-0000010213"/>
    <s v="C000416411"/>
    <s v="NEW STREET SQUARE NO 5 TAYLOR WESSING REFURB LONDON"/>
    <n v="1"/>
    <n v="1"/>
    <d v="2025-01-08T00:00:00"/>
    <x v="0"/>
  </r>
  <r>
    <s v="ORT-0000010214"/>
    <s v="C000416412"/>
    <s v="OVAL VILLAGE KENNINGTON LANE PLOT B LONDON"/>
    <n v="0"/>
    <n v="1"/>
    <d v="2025-01-08T00:00:00"/>
    <x v="0"/>
  </r>
  <r>
    <s v="ORT-0000010215"/>
    <s v="C000416413"/>
    <s v="THE GRANGE SCHOOL MONMOUTH"/>
    <n v="0"/>
    <n v="1"/>
    <d v="2025-01-08T00:00:00"/>
    <x v="0"/>
  </r>
  <r>
    <s v="ORT-0000010216"/>
    <s v="C000416414"/>
    <s v="QUEENS QUAY BRISTOL CEILINGS"/>
    <n v="0"/>
    <n v="1"/>
    <d v="2025-01-08T00:00:00"/>
    <x v="0"/>
  </r>
  <r>
    <s v="ORT-0000010217"/>
    <s v="C000416415"/>
    <s v="THE FORUM KINGS QUARTER GLOUCESTER"/>
    <n v="0"/>
    <n v="1"/>
    <d v="2025-01-08T00:00:00"/>
    <x v="0"/>
  </r>
  <r>
    <s v="ORT-0000010218"/>
    <s v="C000416416"/>
    <s v="JACK TURNBULL MISC TILE &amp; GRID 2025"/>
    <n v="0"/>
    <n v="1"/>
    <d v="2025-01-08T00:00:00"/>
    <x v="0"/>
  </r>
  <r>
    <s v="ORT-0000010219"/>
    <s v="C000416417"/>
    <s v="EXCEL PHASE 3 DEVELOPMENT WC LONDON"/>
    <n v="0"/>
    <n v="1"/>
    <d v="2025-01-08T00:00:00"/>
    <x v="0"/>
  </r>
  <r>
    <s v="ORT-0000010220"/>
    <s v="C000416418"/>
    <s v="THORN LIGHTING LTD 2024"/>
    <n v="2"/>
    <n v="0"/>
    <d v="2025-01-08T00:00:00"/>
    <x v="0"/>
  </r>
  <r>
    <s v="ORT-0000010221"/>
    <s v="C000416419"/>
    <s v="PORTLAND HOUSE BRESSENDEN PLACE RECEPTION  LONDON"/>
    <n v="0"/>
    <n v="1"/>
    <d v="2025-01-08T00:00:00"/>
    <x v="0"/>
  </r>
  <r>
    <s v="ORT-0000010222"/>
    <s v="C000416420"/>
    <s v="GREAT ST HELENS NO 1 CAT A REFURBISHMENT LONDON"/>
    <n v="0"/>
    <n v="1"/>
    <d v="2025-01-08T00:00:00"/>
    <x v="0"/>
  </r>
  <r>
    <s v="ORT-0000010223"/>
    <s v="C000416421"/>
    <s v="CITY POINT CAT B REFURB LEVELS 18-21 SIMPSON THACHER LONDON"/>
    <n v="0"/>
    <n v="1"/>
    <d v="2025-01-08T00:00:00"/>
    <x v="0"/>
  </r>
  <r>
    <s v="ORT-0000010224"/>
    <s v="C000416422"/>
    <s v="BRAVINGTON HOUSE INHEALTH FLR 4 KINGS CROSS"/>
    <n v="0"/>
    <n v="1"/>
    <d v="2025-01-08T00:00:00"/>
    <x v="0"/>
  </r>
  <r>
    <s v="ORT-0000010225"/>
    <s v="C000416423"/>
    <s v="LEADENHALL STREET NO 1 SHELL AND CORE LONDON"/>
    <n v="5"/>
    <n v="0"/>
    <d v="2025-01-08T00:00:00"/>
    <x v="0"/>
  </r>
  <r>
    <s v="ORT-0000010226"/>
    <s v="C000416424"/>
    <s v="CURZON STREET NO 1 GRND &amp; FLR 4 REFURB LONDON"/>
    <n v="0"/>
    <n v="1"/>
    <d v="2025-01-08T00:00:00"/>
    <x v="0"/>
  </r>
  <r>
    <s v="ORT-0000010228"/>
    <s v="C000416425"/>
    <s v="CHRIS EDGE MIDLANDS / NORTH MISC PROJECTS 2024"/>
    <n v="0"/>
    <n v="1"/>
    <d v="2025-01-08T00:00:00"/>
    <x v="0"/>
  </r>
  <r>
    <s v="ORT-0000010229"/>
    <s v="C000416426"/>
    <s v="GRESHAM STREET NO 2 CAT A REFURB LONDON"/>
    <n v="1"/>
    <n v="1"/>
    <d v="2025-01-08T00:00:00"/>
    <x v="0"/>
  </r>
  <r>
    <s v="ORT-0000010230"/>
    <s v="C000416427"/>
    <s v="FIRST STREET PLOT 9A CAT A MANCHESTER"/>
    <n v="1"/>
    <n v="1"/>
    <d v="2025-01-08T00:00:00"/>
    <x v="0"/>
  </r>
  <r>
    <s v="ORT-0000010231"/>
    <s v="C000416428"/>
    <s v="JACK TURNBULL MISC TILE &amp; GRID 2025"/>
    <n v="0"/>
    <n v="1"/>
    <d v="2025-01-08T00:00:00"/>
    <x v="0"/>
  </r>
  <r>
    <s v="ORT-0000010232"/>
    <s v="C000416429"/>
    <s v="MOORFIELDS NO 21 THE GLACIER CAT B DEUTSCHE BANK LONDON"/>
    <n v="0"/>
    <n v="1"/>
    <d v="2025-01-08T00:00:00"/>
    <x v="0"/>
  </r>
  <r>
    <s v="ORT-0000010233"/>
    <s v="C000416430"/>
    <s v="BP SUNBRY BUILDING E"/>
    <n v="0"/>
    <n v="1"/>
    <d v="2025-01-08T00:00:00"/>
    <x v="0"/>
  </r>
  <r>
    <s v="ORT-0000010234"/>
    <s v="C000416431"/>
    <s v="PINEHURST SQUARE NO 150 FARNBOROUGH BUSINESS PARK"/>
    <n v="0"/>
    <n v="1"/>
    <d v="2025-01-08T00:00:00"/>
    <x v="0"/>
  </r>
  <r>
    <s v="ORT-0000010235"/>
    <s v="C000416432"/>
    <s v="KIRBY STREET NO 20-24 MORGAN CAPITAL CAT A REFURB LONDON"/>
    <n v="0"/>
    <n v="1"/>
    <d v="2025-01-08T00:00:00"/>
    <x v="0"/>
  </r>
  <r>
    <s v="ORT-0000010236"/>
    <s v="C000416433"/>
    <s v="BISHOPSGATE NO 250 RBS REFURBISHMENT LONDON"/>
    <n v="0"/>
    <n v="1"/>
    <d v="2025-01-08T00:00:00"/>
    <x v="0"/>
  </r>
  <r>
    <s v="ORT-0000010237"/>
    <s v="C000416434"/>
    <s v="BERKELEY SQUARE HOUSE REFURB LONDON"/>
    <n v="1"/>
    <n v="1"/>
    <d v="2025-01-08T00:00:00"/>
    <x v="0"/>
  </r>
  <r>
    <s v="ORT-0000010240"/>
    <s v="C000416437"/>
    <s v="EURSHELL MISC TILE &amp; GRID 2024"/>
    <n v="0"/>
    <n v="1"/>
    <d v="2025-01-08T00:00:00"/>
    <x v="0"/>
  </r>
  <r>
    <s v="ORT-0000010243"/>
    <s v="C000416440"/>
    <s v="MANCHESTER SQUARE NO 20 CAT B LAZARD LONDON"/>
    <n v="0"/>
    <n v="1"/>
    <d v="2025-01-09T00:00:00"/>
    <x v="0"/>
  </r>
  <r>
    <s v="ORT-0000010244"/>
    <m/>
    <s v="QUEENS QUAY BRISTOL CEILINGS"/>
    <n v="0"/>
    <n v="1"/>
    <d v="2025-01-09T00:00:00"/>
    <x v="0"/>
  </r>
  <r>
    <s v="ORT-0000010245"/>
    <s v="C000416442"/>
    <s v="MILLER HOMES LOCHSIDE VIEW NO 2 EDINBURGH"/>
    <n v="0"/>
    <n v="1"/>
    <d v="2025-01-09T00:00:00"/>
    <x v="0"/>
  </r>
  <r>
    <s v="ORT-0000010246"/>
    <s v="C000416443"/>
    <s v="LONDON WALL NO 120 MOOR HOUSE CITADEL REFURB LONDON"/>
    <n v="0"/>
    <n v="1"/>
    <d v="2025-01-09T00:00:00"/>
    <x v="0"/>
  </r>
  <r>
    <s v="ORT-0000010247"/>
    <s v="C000416444"/>
    <s v="OXFORD SCIENCE PARK PLOT 16 FIT OUT - IVERSEN BUILDING"/>
    <n v="0"/>
    <n v="1"/>
    <d v="2025-01-09T00:00:00"/>
    <x v="0"/>
  </r>
  <r>
    <s v="ORT-0000010248"/>
    <s v="C000416445"/>
    <s v="CAPITAL PARK CAMBRIDGE ROAD NO 2 FULBOURN CAMBRIDGE"/>
    <n v="3"/>
    <n v="0"/>
    <d v="2025-01-09T00:00:00"/>
    <x v="0"/>
  </r>
  <r>
    <s v="ORT-0000010249"/>
    <s v="C000416446"/>
    <s v="TFL TRAIN DEPOT CONTROLLERS ROOM CROYDON"/>
    <n v="0"/>
    <n v="1"/>
    <d v="2025-01-09T00:00:00"/>
    <x v="0"/>
  </r>
  <r>
    <s v="ORT-0000010250"/>
    <s v="C000416447"/>
    <s v="ST MICHAELS FLR 9 HILL DICKINSON LIGHTING MANCHESTER"/>
    <n v="1"/>
    <n v="1"/>
    <d v="2025-01-09T00:00:00"/>
    <x v="0"/>
  </r>
  <r>
    <s v="ORT-0000010251"/>
    <s v="C000416448"/>
    <s v="CAMBRIDGE BIOMEDICAL CAMPUS HISTOPATHOLOGY"/>
    <n v="0"/>
    <n v="1"/>
    <d v="2025-01-09T00:00:00"/>
    <x v="0"/>
  </r>
  <r>
    <s v="ORT-0000010252"/>
    <s v="C000416450"/>
    <s v="NEW DOHA INTERNATIONAL AIRPORT EXTENSION"/>
    <n v="0"/>
    <n v="1"/>
    <d v="2025-01-09T00:00:00"/>
    <x v="0"/>
  </r>
  <r>
    <s v="ORT-0000010253"/>
    <s v="C000416452"/>
    <s v="WORKPLACE INTERIORS MISC 2025"/>
    <n v="0"/>
    <n v="1"/>
    <d v="2025-01-09T00:00:00"/>
    <x v="0"/>
  </r>
  <r>
    <s v="ORT-0000010254"/>
    <s v="C000416454"/>
    <s v="JACK TURNBULL MISC TILE &amp; GRID 2025"/>
    <n v="0"/>
    <n v="1"/>
    <d v="2025-01-09T00:00:00"/>
    <x v="0"/>
  </r>
  <r>
    <s v="ORT-0000010255"/>
    <s v="C000416456"/>
    <s v="DEWA HQ AL SHERAA BUILDING (B+G+4P+15) AL JADDAF"/>
    <n v="0"/>
    <n v="1"/>
    <d v="2025-01-09T00:00:00"/>
    <x v="0"/>
  </r>
  <r>
    <s v="ORT-0000010256"/>
    <s v="C000416457"/>
    <s v="KINGS CROSS CENTRAL BLDG B4 FLR 6 WEST ASTRA ZENECA LONDON"/>
    <n v="0"/>
    <n v="1"/>
    <d v="2025-01-09T00:00:00"/>
    <x v="0"/>
  </r>
  <r>
    <s v="ORT-0000010257"/>
    <s v="C000416458"/>
    <s v="DEWA HQ AL SHERAA BUILDING (B+G+4P+15) AL JADDAF"/>
    <n v="0"/>
    <n v="1"/>
    <d v="2025-01-09T00:00:00"/>
    <x v="0"/>
  </r>
  <r>
    <s v="ORT-0000010258"/>
    <s v="C000416459"/>
    <s v="SHOE LANE NO 66 DELOITTE REFURB FLOOR 2 LONDON"/>
    <n v="0"/>
    <n v="1"/>
    <d v="2025-01-09T00:00:00"/>
    <x v="0"/>
  </r>
  <r>
    <s v="ORT-0000010259"/>
    <s v="C000416460"/>
    <s v="EURSHELL MISC TILE &amp; GRID 2025"/>
    <n v="0"/>
    <n v="1"/>
    <d v="2025-01-09T00:00:00"/>
    <x v="0"/>
  </r>
  <r>
    <s v="ORT-0000010260"/>
    <s v="C000416461"/>
    <s v="MIDAS HOUSE GOLDSWORTH RD NO 62 WOKING"/>
    <n v="0"/>
    <n v="1"/>
    <d v="2025-01-09T00:00:00"/>
    <x v="0"/>
  </r>
  <r>
    <s v="ORT-0000010261"/>
    <s v="C000416462"/>
    <s v="BRISTOL AIRPORT CENTRAL SEARCH AREA REFURB"/>
    <n v="0"/>
    <n v="1"/>
    <d v="2025-01-09T00:00:00"/>
    <x v="0"/>
  </r>
  <r>
    <s v="ORT-0000010262"/>
    <s v="C000416464"/>
    <s v="NTT COMMUNICATIONS DATA CENTRE LON1 PHASE 1 BOH AREAS"/>
    <n v="0"/>
    <n v="1"/>
    <d v="2025-01-09T00:00:00"/>
    <x v="0"/>
  </r>
  <r>
    <s v="ORT-0000010263"/>
    <s v="C000416465"/>
    <s v="BRUNTWOOD CEO OFFICE &amp; MEETING ROOMS MANCHESTER"/>
    <n v="0"/>
    <n v="1"/>
    <d v="2025-01-09T00:00:00"/>
    <x v="0"/>
  </r>
  <r>
    <s v="ORT-0000010264"/>
    <s v="C000416466"/>
    <s v="LEADENHALL STREET NO 122 FLR 16 REFURB LONDON"/>
    <n v="0"/>
    <n v="1"/>
    <d v="2025-01-09T00:00:00"/>
    <x v="0"/>
  </r>
  <r>
    <s v="ORT-0000010265"/>
    <s v="C000416467"/>
    <s v="EURSHELL MISC TILE &amp; GRID 2024"/>
    <n v="0"/>
    <n v="1"/>
    <d v="2025-01-09T00:00:00"/>
    <x v="0"/>
  </r>
  <r>
    <s v="ORT-0000010266"/>
    <s v="C000416468"/>
    <s v="NEW STREET SQUARE NO 5 TAYLOR WESSING REFURB LONDON"/>
    <n v="2"/>
    <n v="0"/>
    <d v="2025-01-09T00:00:00"/>
    <x v="0"/>
  </r>
  <r>
    <s v="ORT-0000010267"/>
    <s v="C000416469"/>
    <s v="KNIGHTSBRIDGE NO 1 REFURB LONDON"/>
    <n v="0"/>
    <n v="1"/>
    <d v="2025-01-09T00:00:00"/>
    <x v="0"/>
  </r>
  <r>
    <s v="ORT-0000010268"/>
    <s v="C000416256"/>
    <s v="MANCHESTER SQUARE NO 20 CAT B LAZARD LONDON"/>
    <n v="0"/>
    <n v="1"/>
    <d v="2025-01-09T00:00:00"/>
    <x v="0"/>
  </r>
  <r>
    <s v="ORT-0000010269"/>
    <s v="C000416470"/>
    <s v="UNKNOWN"/>
    <n v="0"/>
    <n v="1"/>
    <d v="2025-01-09T00:00:00"/>
    <x v="0"/>
  </r>
  <r>
    <s v="ORT-0000010270"/>
    <s v="C000416471"/>
    <s v="KFC MISC 2025"/>
    <n v="0"/>
    <n v="1"/>
    <d v="2025-01-09T00:00:00"/>
    <x v="0"/>
  </r>
  <r>
    <s v="ORT-0000010271"/>
    <s v="C000416472"/>
    <s v="READING BRIDGE HOUSE CAPITA PLC REFURB READING"/>
    <n v="0"/>
    <n v="1"/>
    <d v="2025-01-09T00:00:00"/>
    <x v="0"/>
  </r>
  <r>
    <s v="ORT-0000010272"/>
    <s v="C000416473"/>
    <s v="SAMPLE ROOM READING LIGHTING VARIOUS TYPES"/>
    <n v="0"/>
    <n v="1"/>
    <d v="2025-01-09T00:00:00"/>
    <x v="0"/>
  </r>
  <r>
    <s v="ORT-0000010273"/>
    <s v="C000416474"/>
    <s v="UNKNOWN"/>
    <n v="0"/>
    <n v="1"/>
    <d v="2025-01-09T00:00:00"/>
    <x v="0"/>
  </r>
  <r>
    <s v="ORT-0000010274"/>
    <s v="C000416475"/>
    <s v="EURSHELL MISC TILE &amp; GRID 2023"/>
    <n v="0"/>
    <n v="1"/>
    <d v="2025-01-09T00:00:00"/>
    <x v="0"/>
  </r>
  <r>
    <s v="ORT-0000010275"/>
    <s v="C000416476"/>
    <s v="WORKPLACE INTERIORS MISC 2025"/>
    <n v="0"/>
    <n v="1"/>
    <d v="2025-01-09T00:00:00"/>
    <x v="0"/>
  </r>
  <r>
    <s v="ORT-0000010276"/>
    <s v="C000416477"/>
    <s v="UNKNOWN"/>
    <n v="0"/>
    <n v="1"/>
    <d v="2025-01-09T00:00:00"/>
    <x v="0"/>
  </r>
  <r>
    <s v="ORT-0000010277"/>
    <s v="C000416478"/>
    <s v="TESCO MISC 2025"/>
    <n v="0"/>
    <n v="1"/>
    <d v="2025-01-09T00:00:00"/>
    <x v="0"/>
  </r>
  <r>
    <s v="ORT-0000010278"/>
    <s v="C000416479"/>
    <s v="HAYS GALLERIA SHACKLETON HOUSE CAT A REFURB FLR 5 LONDON"/>
    <n v="0"/>
    <n v="1"/>
    <d v="2025-01-09T00:00:00"/>
    <x v="0"/>
  </r>
  <r>
    <s v="ORT-0000010279"/>
    <m/>
    <s v="PALMA AIRPORT EXTENSION LIGHTING"/>
    <n v="0"/>
    <n v="1"/>
    <d v="2025-01-09T00:00:00"/>
    <x v="0"/>
  </r>
  <r>
    <s v="ORT-0000010280"/>
    <s v="C000416481"/>
    <s v="COPTHALL AVENUE NO 25 FLR 4 REFURB LONDON"/>
    <n v="0"/>
    <n v="1"/>
    <d v="2025-01-09T00:00:00"/>
    <x v="0"/>
  </r>
  <r>
    <s v="ORT-0000010281"/>
    <s v="C000416482"/>
    <s v="JACK TURNBULL MISC TILE &amp; GRID 2025"/>
    <n v="0"/>
    <n v="1"/>
    <d v="2025-01-09T00:00:00"/>
    <x v="0"/>
  </r>
  <r>
    <s v="ORT-0000010282"/>
    <s v="C000416483"/>
    <s v="LEADENHALL STREET NO 40 KIRKLAND &amp; ELLIS FLRS 15-34 LONDON"/>
    <n v="0"/>
    <n v="1"/>
    <d v="2025-01-09T00:00:00"/>
    <x v="0"/>
  </r>
  <r>
    <s v="ORT-0000010283"/>
    <s v="C000416484"/>
    <s v="ROPEMAKER STREET NO 20-22 LINKLATERS FIT-OUT LONDON"/>
    <n v="0"/>
    <n v="1"/>
    <d v="2025-01-09T00:00:00"/>
    <x v="0"/>
  </r>
  <r>
    <s v="ORT-0000010284"/>
    <s v="C000416486"/>
    <s v="CENTRAL SQUARE NO 2 CARDIFF"/>
    <n v="0"/>
    <n v="1"/>
    <d v="2025-01-10T00:00:00"/>
    <x v="0"/>
  </r>
  <r>
    <s v="ORT-0000010285"/>
    <s v="C000416488"/>
    <s v="UNKNOWN"/>
    <n v="0"/>
    <n v="1"/>
    <d v="2025-01-10T00:00:00"/>
    <x v="0"/>
  </r>
  <r>
    <s v="ORT-0000010286"/>
    <s v="C000416490"/>
    <s v="SAINSBURYS MISC 2025"/>
    <n v="0"/>
    <n v="1"/>
    <d v="2025-01-10T00:00:00"/>
    <x v="0"/>
  </r>
  <r>
    <s v="ORT-0000010287"/>
    <s v="C000416491"/>
    <s v="BRISTOL MYERS SQUIBB BUILDING 6 WIRRAL BIRKENHEAD"/>
    <n v="6"/>
    <n v="0"/>
    <d v="2025-01-10T00:00:00"/>
    <x v="0"/>
  </r>
  <r>
    <s v="ORT-0000010288"/>
    <s v="C000416492"/>
    <s v="Linear Rolled Products"/>
    <n v="0"/>
    <n v="1"/>
    <d v="2025-01-10T00:00:00"/>
    <x v="0"/>
  </r>
  <r>
    <s v="ORT-0000010289"/>
    <s v="C000416493"/>
    <s v="JACK TURNBULL MISC TILE &amp; GRID 2025"/>
    <n v="0"/>
    <n v="1"/>
    <d v="2025-01-10T00:00:00"/>
    <x v="0"/>
  </r>
  <r>
    <s v="ORT-0000010290"/>
    <s v="C000416494"/>
    <s v="SCHNEIDER ELECTRIC SILICON OASIS DUBAI"/>
    <n v="1"/>
    <n v="1"/>
    <d v="2025-01-10T00:00:00"/>
    <x v="0"/>
  </r>
  <r>
    <s v="ORT-0000010291"/>
    <s v="C000416495"/>
    <s v="LONDON MISC 2025"/>
    <n v="0"/>
    <n v="1"/>
    <d v="2025-01-10T00:00:00"/>
    <x v="0"/>
  </r>
  <r>
    <s v="ORT-0000010292"/>
    <s v="C000416496"/>
    <s v="AIR STREET NO 20 CAT B PAUL WEISS LONDON"/>
    <n v="0"/>
    <n v="1"/>
    <d v="2025-01-10T00:00:00"/>
    <x v="0"/>
  </r>
  <r>
    <s v="ORT-0000010293"/>
    <s v="C000416498"/>
    <s v="MANCHESTER LIFE ELIZA YARD"/>
    <n v="0"/>
    <n v="1"/>
    <d v="2025-01-10T00:00:00"/>
    <x v="0"/>
  </r>
  <r>
    <s v="ORT-0000010294"/>
    <s v="C000416499"/>
    <s v="EVERTON FC TUNNEL CLUB &amp; TRINITY LOUNGE LIVERPOOL"/>
    <n v="17"/>
    <n v="0"/>
    <d v="2025-01-10T00:00:00"/>
    <x v="0"/>
  </r>
  <r>
    <s v="ORT-0000010295"/>
    <s v="C000416501"/>
    <s v="QUEEN VICTORIA STREET NO 128 OLD CHANGE HOUSE REFURB LONDON"/>
    <n v="0"/>
    <n v="1"/>
    <d v="2025-01-10T00:00:00"/>
    <x v="0"/>
  </r>
  <r>
    <s v="ORT-0000010296"/>
    <s v="C000416503"/>
    <s v="WORKPLACE INTERIORS MISC 2025"/>
    <n v="0"/>
    <n v="1"/>
    <d v="2025-01-10T00:00:00"/>
    <x v="0"/>
  </r>
  <r>
    <s v="ORT-0000010297"/>
    <s v="C000416505"/>
    <s v="QUEEN VICTORIA STREET NO 95 CAT B FIT OUT CAPGEMINI LONDON"/>
    <n v="0"/>
    <n v="1"/>
    <d v="2025-01-10T00:00:00"/>
    <x v="0"/>
  </r>
  <r>
    <s v="ORT-0000010298"/>
    <s v="C000416504"/>
    <s v="LEADENHALL STREET NO 40 KIRKLAND &amp; ELLIS FLRS 15-34 LONDON"/>
    <n v="0"/>
    <n v="1"/>
    <d v="2025-01-10T00:00:00"/>
    <x v="0"/>
  </r>
  <r>
    <s v="ORT-0000010299"/>
    <s v="C000416506"/>
    <s v="EARLEY EAST BUILDING THAMES VALLEY PARK READING"/>
    <n v="0"/>
    <n v="1"/>
    <d v="2025-01-10T00:00:00"/>
    <x v="0"/>
  </r>
  <r>
    <s v="ORT-0000010300"/>
    <s v="C000416509"/>
    <s v="WORKPLACE INTERIORS MISC 2025"/>
    <n v="0"/>
    <n v="1"/>
    <d v="2025-01-13T00:00:00"/>
    <x v="1"/>
  </r>
  <r>
    <s v="ORT-0000010301"/>
    <s v="C000416510"/>
    <s v="BUILDING A1 FLOOR 2 REFURB CODY TECHNOLOGY PARK FARNBOROUGH"/>
    <n v="0"/>
    <n v="1"/>
    <d v="2025-01-13T00:00:00"/>
    <x v="1"/>
  </r>
  <r>
    <s v="ORT-0000010302"/>
    <s v="C000416511"/>
    <s v="CHESTERFIELD GARDENS NO 6 REFURB LONDON"/>
    <n v="0"/>
    <n v="1"/>
    <d v="2025-01-13T00:00:00"/>
    <x v="1"/>
  </r>
  <r>
    <s v="ORT-0000010303"/>
    <s v="C000416512"/>
    <s v="ATLANTIC QUAY NO 6 REFURB GLASGOW"/>
    <n v="0"/>
    <n v="1"/>
    <d v="2025-01-13T00:00:00"/>
    <x v="1"/>
  </r>
  <r>
    <s v="ORT-0000010304"/>
    <s v="C000416513"/>
    <s v="EURSHELL MISC TILE &amp; GRID 2025"/>
    <n v="0"/>
    <n v="1"/>
    <d v="2025-01-13T00:00:00"/>
    <x v="1"/>
  </r>
  <r>
    <s v="ORT-0000010305"/>
    <s v="C000416515"/>
    <s v="EXCHANGE HOUSE PRIMROSE STREET FLR 1 REFURB LONDON"/>
    <n v="0"/>
    <n v="1"/>
    <d v="2025-01-13T00:00:00"/>
    <x v="1"/>
  </r>
  <r>
    <s v="ORT-0000010306"/>
    <s v="C000416516"/>
    <s v="TESCO MISC 2025"/>
    <n v="0"/>
    <n v="1"/>
    <d v="2025-01-13T00:00:00"/>
    <x v="1"/>
  </r>
  <r>
    <s v="ORT-0000010307"/>
    <s v="C000416517"/>
    <s v="CURZON STREET NO 1 GRND &amp; FLR 4 REFURB LONDON"/>
    <n v="1"/>
    <n v="1"/>
    <d v="2025-01-13T00:00:00"/>
    <x v="1"/>
  </r>
  <r>
    <s v="ORT-0000010308"/>
    <s v="C000416518"/>
    <s v="STATION STREET LOXLEY HOUSE REFURB NOTTINGHAM"/>
    <n v="0"/>
    <n v="1"/>
    <d v="2025-01-13T00:00:00"/>
    <x v="1"/>
  </r>
  <r>
    <s v="ORT-0000010309"/>
    <s v="C000416519"/>
    <s v="BISHOPSGATE NO 8 FLOOR 33 STANHOPE FITOUT LONDON"/>
    <n v="0"/>
    <n v="1"/>
    <d v="2025-01-13T00:00:00"/>
    <x v="1"/>
  </r>
  <r>
    <s v="ORT-0000010310"/>
    <s v="C000416521"/>
    <s v="TESCO MISC 2025"/>
    <n v="0"/>
    <n v="1"/>
    <d v="2025-01-13T00:00:00"/>
    <x v="1"/>
  </r>
  <r>
    <s v="ORT-0000010311"/>
    <s v="C000416522"/>
    <s v="APEX BLOCK C FLR 3 READING"/>
    <n v="0"/>
    <n v="1"/>
    <d v="2025-01-13T00:00:00"/>
    <x v="1"/>
  </r>
  <r>
    <s v="ORT-0000010312"/>
    <s v="C000416523"/>
    <s v="ALDI DISTRIBUTION CENTRE RECEPTION REFURB BATHGATE"/>
    <n v="0"/>
    <n v="1"/>
    <d v="2025-01-13T00:00:00"/>
    <x v="1"/>
  </r>
  <r>
    <s v="ORT-0000010313"/>
    <s v="C000416525"/>
    <s v="SAINSBURYS MISC 2025"/>
    <n v="0"/>
    <n v="1"/>
    <d v="2025-01-13T00:00:00"/>
    <x v="1"/>
  </r>
  <r>
    <s v="ORT-0000010314"/>
    <s v="C000416526"/>
    <s v="ARNOS GROVE DEPOT BOWES ROAD LONDON"/>
    <n v="0"/>
    <n v="1"/>
    <d v="2025-01-13T00:00:00"/>
    <x v="1"/>
  </r>
  <r>
    <s v="ORT-0000010316"/>
    <s v="C000416528"/>
    <s v="JACK TURNBULL MISC TILE &amp; GRID 2025"/>
    <n v="1"/>
    <n v="1"/>
    <d v="2025-01-13T00:00:00"/>
    <x v="1"/>
  </r>
  <r>
    <s v="ORT-0000010317"/>
    <s v="C000416529"/>
    <s v="EURSHELL MISC TILE &amp; GRID 2025"/>
    <n v="0"/>
    <n v="1"/>
    <d v="2025-01-13T00:00:00"/>
    <x v="1"/>
  </r>
  <r>
    <s v="ORT-0000010318"/>
    <s v="C000416533"/>
    <s v="MOORGATE NO 101 CAT A OVERSITE DEVELOPMENT LONDON"/>
    <n v="6"/>
    <n v="0"/>
    <d v="2025-01-13T00:00:00"/>
    <x v="1"/>
  </r>
  <r>
    <s v="ORT-0000010319"/>
    <s v="C000416534"/>
    <s v="FLANNELS WESTFIELD SHOPPING CENTRE STRATFORD"/>
    <n v="0"/>
    <n v="1"/>
    <d v="2025-01-13T00:00:00"/>
    <x v="1"/>
  </r>
  <r>
    <s v="ORT-0000010320"/>
    <s v="C000416536"/>
    <s v="SAINSBURYS MISC 2025"/>
    <n v="0"/>
    <n v="1"/>
    <d v="2025-01-13T00:00:00"/>
    <x v="1"/>
  </r>
  <r>
    <s v="ORT-0000010321"/>
    <s v="C000416537"/>
    <s v="INTERIOR ALTERATION OF OFFICE AVENUE DE LA PAIX 5-7 GENEVA"/>
    <n v="0"/>
    <n v="1"/>
    <d v="2025-01-13T00:00:00"/>
    <x v="1"/>
  </r>
  <r>
    <s v="ORT-0000010322"/>
    <s v="C000416538"/>
    <s v="MOORFIELDS NO 21 THE GLACIER CAT B DEUTSCHE BANK LONDON"/>
    <n v="0"/>
    <n v="1"/>
    <d v="2025-01-13T00:00:00"/>
    <x v="1"/>
  </r>
  <r>
    <s v="ORT-0000010323"/>
    <s v="C000416539"/>
    <s v="WESTFIELD AVENUE NO 1 NCA FIT OUT STRATFORD CITY"/>
    <n v="0"/>
    <n v="1"/>
    <d v="2025-01-13T00:00:00"/>
    <x v="1"/>
  </r>
  <r>
    <s v="ORT-0000010324"/>
    <s v="C000416540"/>
    <s v="NATIONAL PHYSICAL LABATORY L4 G8 REFURB LONDON"/>
    <n v="0"/>
    <n v="1"/>
    <d v="2025-01-13T00:00:00"/>
    <x v="1"/>
  </r>
  <r>
    <s v="ORT-0000010325"/>
    <s v="C000416541"/>
    <s v="LEADENHALL STREET NO 40 KIRKLAND &amp; ELLIS FLRS 15-34 LONDON"/>
    <n v="0"/>
    <n v="1"/>
    <d v="2025-01-13T00:00:00"/>
    <x v="1"/>
  </r>
  <r>
    <s v="ORT-0000010327"/>
    <s v="C000416543"/>
    <s v="UNKNOWN"/>
    <n v="0"/>
    <n v="1"/>
    <d v="2025-01-14T00:00:00"/>
    <x v="1"/>
  </r>
  <r>
    <s v="ORT-0000010328"/>
    <s v="C000416544"/>
    <s v="LEADENHALL STREET NO 40 KIRKLAND &amp; ELLIS FLRS 15-34 LONDON"/>
    <n v="0"/>
    <n v="1"/>
    <d v="2025-01-14T00:00:00"/>
    <x v="1"/>
  </r>
  <r>
    <s v="ORT-0000010329"/>
    <s v="C000416547"/>
    <s v="EURSHELL MISC TILE &amp; GRID 2024"/>
    <n v="0"/>
    <n v="1"/>
    <d v="2025-01-14T00:00:00"/>
    <x v="1"/>
  </r>
  <r>
    <s v="ORT-0000010330"/>
    <s v="C000416548"/>
    <s v="WORKPLACE INTERIORS MISC 2025"/>
    <n v="0"/>
    <n v="1"/>
    <d v="2025-01-14T00:00:00"/>
    <x v="1"/>
  </r>
  <r>
    <s v="ORT-0000010331"/>
    <s v="C000416549"/>
    <s v="BMW SHOWROOM INVERNESS ARNOLD CLARK"/>
    <n v="1"/>
    <n v="1"/>
    <d v="2025-01-14T00:00:00"/>
    <x v="1"/>
  </r>
  <r>
    <s v="ORT-0000010332"/>
    <s v="C000416550"/>
    <s v="T-THERAPEUTICS OFFICE CAMBRIDGE"/>
    <n v="0"/>
    <n v="1"/>
    <d v="2025-01-14T00:00:00"/>
    <x v="1"/>
  </r>
  <r>
    <s v="ORT-0000010333"/>
    <s v="C000416551"/>
    <s v="TRITON SQUARE NO 1 OFFICE / LABS CAT A LONDON"/>
    <n v="0"/>
    <n v="1"/>
    <d v="2025-01-14T00:00:00"/>
    <x v="1"/>
  </r>
  <r>
    <s v="ORT-0000010334"/>
    <s v="C000416552"/>
    <s v="LOCKTON HOUSE OFFICES CAMBRIDGE"/>
    <n v="0"/>
    <n v="1"/>
    <d v="2025-01-14T00:00:00"/>
    <x v="1"/>
  </r>
  <r>
    <s v="ORT-0000010335"/>
    <s v="C000416553"/>
    <s v="CITY POINT SIMPSON THACHER FLR 15 CAT B LONDON"/>
    <n v="0"/>
    <n v="1"/>
    <d v="2025-01-14T00:00:00"/>
    <x v="1"/>
  </r>
  <r>
    <s v="ORT-0000010336"/>
    <s v="C000416554"/>
    <s v="EURSHELL MISC TILE &amp; GRID 2024"/>
    <n v="0"/>
    <n v="1"/>
    <d v="2025-01-14T00:00:00"/>
    <x v="1"/>
  </r>
  <r>
    <s v="ORT-0000010337"/>
    <s v="C000416555"/>
    <s v="MANCHESTER SQUARE NO 20 CAT B LAZARD LONDON"/>
    <n v="0"/>
    <n v="1"/>
    <d v="2025-01-14T00:00:00"/>
    <x v="1"/>
  </r>
  <r>
    <s v="ORT-0000010338"/>
    <s v="C000416556"/>
    <s v="ALDERSGATE STREET NO 200 FLOOR 1 &amp; MEZZANINE CONVENE LONDON"/>
    <n v="0"/>
    <n v="1"/>
    <d v="2025-01-14T00:00:00"/>
    <x v="1"/>
  </r>
  <r>
    <s v="ORT-0000010339"/>
    <s v="C000416557"/>
    <s v="NTT COMMUNICATIONS DATA CENTRE LON1 PHASE 1 BOH AREAS"/>
    <n v="0"/>
    <n v="1"/>
    <d v="2025-01-14T00:00:00"/>
    <x v="1"/>
  </r>
  <r>
    <s v="ORT-0000010340"/>
    <s v="C000416558"/>
    <s v="WORKPLACE INTERIORS MISC 2024"/>
    <n v="0"/>
    <n v="1"/>
    <d v="2025-01-14T00:00:00"/>
    <x v="1"/>
  </r>
  <r>
    <s v="ORT-0000010341"/>
    <s v="C000416559"/>
    <s v="HORSEFERRY HOUSE BURBERRY REFURB LONDON"/>
    <n v="0"/>
    <n v="1"/>
    <d v="2025-01-14T00:00:00"/>
    <x v="1"/>
  </r>
  <r>
    <s v="ORT-0000010342"/>
    <s v="C000416560"/>
    <s v="COLMORE ROW NO 125 LLOYDS BANK REFURB BIRMINGHAM"/>
    <n v="0"/>
    <n v="1"/>
    <d v="2025-01-14T00:00:00"/>
    <x v="1"/>
  </r>
  <r>
    <s v="ORT-0000010343"/>
    <s v="C000416562"/>
    <s v="UNKNOWN"/>
    <n v="0"/>
    <n v="1"/>
    <d v="2025-01-14T00:00:00"/>
    <x v="1"/>
  </r>
  <r>
    <s v="ORT-0000010344"/>
    <s v="C000416563"/>
    <s v="CENTRAL SQUARE NO 2 CARDIFF"/>
    <n v="0"/>
    <n v="1"/>
    <d v="2025-01-14T00:00:00"/>
    <x v="1"/>
  </r>
  <r>
    <s v="ORT-0000010345"/>
    <s v="C000416565"/>
    <s v="LEADENHALL STREET NO 122 FLR 16 REFURB LONDON"/>
    <n v="0"/>
    <n v="1"/>
    <d v="2025-01-14T00:00:00"/>
    <x v="1"/>
  </r>
  <r>
    <s v="ORT-0000010348"/>
    <s v="C000416566"/>
    <s v="GOLDMAN SACHS KAFD PARCEL 1.11 RIYADH"/>
    <n v="0"/>
    <n v="1"/>
    <d v="2025-01-14T00:00:00"/>
    <x v="1"/>
  </r>
  <r>
    <s v="ORT-0000010349"/>
    <s v="C000416567"/>
    <s v="LAMB STREET NO 1 NEKO HEALTH REFURB LONDON"/>
    <n v="0"/>
    <n v="1"/>
    <d v="2025-01-14T00:00:00"/>
    <x v="1"/>
  </r>
  <r>
    <s v="ORT-0000010350"/>
    <s v="C000416568"/>
    <s v="BERKELEY SQUARE NO 20 REFURB LONDON"/>
    <n v="0"/>
    <n v="1"/>
    <d v="2025-01-14T00:00:00"/>
    <x v="1"/>
  </r>
  <r>
    <s v="ORT-0000010351"/>
    <s v="C000416569"/>
    <s v="EURSHELL MISC TILE &amp; GRID 2024"/>
    <n v="0"/>
    <n v="1"/>
    <d v="2025-01-14T00:00:00"/>
    <x v="1"/>
  </r>
  <r>
    <s v="ORT-0000010352"/>
    <s v="C000416571"/>
    <s v="NOVA NORTH BRESSENDEN PLACE NO 11 FLR 7 REFURB LONDON"/>
    <n v="0"/>
    <n v="1"/>
    <d v="2025-01-14T00:00:00"/>
    <x v="1"/>
  </r>
  <r>
    <s v="ORT-0000010353"/>
    <s v="C000416572"/>
    <s v="WAVERLEY GATE FLR 2 REFURB EDINBURGH"/>
    <n v="0"/>
    <n v="1"/>
    <d v="2025-01-14T00:00:00"/>
    <x v="1"/>
  </r>
  <r>
    <s v="ORT-0000010354"/>
    <s v="C000416573"/>
    <s v="WORSHIP SQUARE CLIFTON STREET NO 65 CAT B WISE LONDON"/>
    <n v="0"/>
    <n v="1"/>
    <d v="2025-01-14T00:00:00"/>
    <x v="1"/>
  </r>
  <r>
    <s v="ORT-0000010355"/>
    <s v="C000416574"/>
    <s v="FIELDEN ST THOMAS SHARD PLACE LONDON BRIDGE PH2 LONDON"/>
    <n v="0"/>
    <n v="1"/>
    <d v="2025-01-14T00:00:00"/>
    <x v="1"/>
  </r>
  <r>
    <s v="ORT-0000010356"/>
    <s v="C000416575"/>
    <s v="CHAMARTIN PHASE 2 MADRID"/>
    <n v="0"/>
    <n v="1"/>
    <d v="2025-01-14T00:00:00"/>
    <x v="1"/>
  </r>
  <r>
    <s v="ORT-0000010357"/>
    <s v="C000416576"/>
    <s v="JACK TURNBULL MISC TILE &amp; GRID 2025"/>
    <n v="0"/>
    <n v="1"/>
    <d v="2025-01-14T00:00:00"/>
    <x v="1"/>
  </r>
  <r>
    <s v="ORT-0000010358"/>
    <s v="C000416577"/>
    <s v="ONE STATION HILL LEVEL B1 GYM READING"/>
    <n v="0"/>
    <n v="1"/>
    <d v="2025-01-14T00:00:00"/>
    <x v="1"/>
  </r>
  <r>
    <s v="ORT-0000010359"/>
    <s v="C000416578"/>
    <s v="FLEET PLACE NO 5 FLOORS 4, 6, 7 &amp; 8 LONDON"/>
    <n v="0"/>
    <n v="1"/>
    <d v="2025-01-14T00:00:00"/>
    <x v="1"/>
  </r>
  <r>
    <s v="ORT-0000010360"/>
    <s v="C000416579"/>
    <s v="LEADENHALL STREET NO 122 FLR 16 REFURB LONDON"/>
    <n v="0"/>
    <n v="1"/>
    <d v="2025-01-14T00:00:00"/>
    <x v="1"/>
  </r>
  <r>
    <s v="ORT-0000010361"/>
    <s v="C000416580"/>
    <s v="THE CURSITOR CHANCERY LANE NO 38 CAT A REFURB LONDON"/>
    <n v="2"/>
    <n v="0"/>
    <d v="2025-01-14T00:00:00"/>
    <x v="1"/>
  </r>
  <r>
    <s v="ORT-0000010362"/>
    <s v="C000416582"/>
    <s v="BP PANGBOURNE TECHNOLOGY CENTRE BUILDING C READING"/>
    <n v="0"/>
    <n v="1"/>
    <d v="2025-01-14T00:00:00"/>
    <x v="1"/>
  </r>
  <r>
    <s v="ORT-0000010363"/>
    <s v="C000416583"/>
    <s v="GEORGE STREET NO 101 EDINBURGH"/>
    <n v="0"/>
    <n v="1"/>
    <d v="2025-01-14T00:00:00"/>
    <x v="1"/>
  </r>
  <r>
    <s v="ORT-0000010364"/>
    <s v="C000416584"/>
    <s v="SAMPLE ROOM EUROPE ROW"/>
    <n v="0"/>
    <n v="1"/>
    <d v="2025-01-14T00:00:00"/>
    <x v="1"/>
  </r>
  <r>
    <s v="ORT-0000010365"/>
    <s v="C000416585"/>
    <s v="NEW STREET SQUARE NO 5 TAYLOR WESSING REFURB LONDON"/>
    <n v="14"/>
    <n v="0"/>
    <d v="2025-01-14T00:00:00"/>
    <x v="1"/>
  </r>
  <r>
    <s v="ORT-0000010367"/>
    <s v="C000416589"/>
    <s v="WORKPLACE INTERIORS MISC 2025"/>
    <n v="0"/>
    <n v="1"/>
    <d v="2025-01-15T00:00:00"/>
    <x v="1"/>
  </r>
  <r>
    <s v="ORT-0000010368"/>
    <s v="C000416591"/>
    <s v="WORKPLACE INTERIORS MISC 2025"/>
    <n v="0"/>
    <n v="1"/>
    <d v="2025-01-15T00:00:00"/>
    <x v="1"/>
  </r>
  <r>
    <s v="ORT-0000010369"/>
    <s v="C000416592"/>
    <s v="QUEEN STREET PLACE NO 36 LONDON"/>
    <n v="0"/>
    <n v="1"/>
    <d v="2025-01-15T00:00:00"/>
    <x v="1"/>
  </r>
  <r>
    <s v="ORT-0000010370"/>
    <s v="C000416593"/>
    <s v="MUSGROVE PARK HOSPITAL TAUNTON"/>
    <n v="0"/>
    <n v="1"/>
    <d v="2025-01-15T00:00:00"/>
    <x v="1"/>
  </r>
  <r>
    <s v="ORT-0000010371"/>
    <s v="C000416594"/>
    <s v="WILTON ROAD NO 129 TRIDENT ENERGY REFURB FLRS 7 &amp; 8 LONDON"/>
    <n v="0"/>
    <n v="1"/>
    <d v="2025-01-15T00:00:00"/>
    <x v="1"/>
  </r>
  <r>
    <s v="ORT-0000010372"/>
    <s v="C000416595"/>
    <s v="WORKPLACE INTERIORS MISC 2025"/>
    <n v="0"/>
    <n v="1"/>
    <d v="2025-01-15T00:00:00"/>
    <x v="1"/>
  </r>
  <r>
    <s v="ORT-0000010373"/>
    <s v="C000416596"/>
    <s v="UNKNOWN"/>
    <n v="0"/>
    <n v="1"/>
    <d v="2025-01-15T00:00:00"/>
    <x v="1"/>
  </r>
  <r>
    <s v="ORT-0000010374"/>
    <s v="C000416598"/>
    <s v="BISHOPSGATE NO 280 CAT B FIT OUT BAKER MCKENZIE LONDON"/>
    <n v="0"/>
    <n v="1"/>
    <d v="2025-01-15T00:00:00"/>
    <x v="1"/>
  </r>
  <r>
    <s v="ORT-0000010375"/>
    <s v="C000416599"/>
    <s v="CITY POINT ROPEMAKER STREET FLR 16 REFURB LONDON"/>
    <n v="0"/>
    <n v="1"/>
    <d v="2025-01-15T00:00:00"/>
    <x v="1"/>
  </r>
  <r>
    <s v="ORT-0000010376"/>
    <s v="C000416600"/>
    <s v="SAINSBURYS MISC 2025"/>
    <n v="0"/>
    <n v="1"/>
    <d v="2025-01-15T00:00:00"/>
    <x v="1"/>
  </r>
  <r>
    <s v="ORT-0000010377"/>
    <s v="C000416601"/>
    <s v="UNKNOWN"/>
    <n v="0"/>
    <n v="1"/>
    <d v="2025-01-15T00:00:00"/>
    <x v="1"/>
  </r>
  <r>
    <s v="ORT-0000010378"/>
    <s v="C000416602"/>
    <s v="ALEXANDER BAIN HOUSE REFURB GLASGOW"/>
    <n v="0"/>
    <n v="1"/>
    <d v="2025-01-15T00:00:00"/>
    <x v="1"/>
  </r>
  <r>
    <s v="ORT-0000010379"/>
    <s v="C000416603"/>
    <s v="Active Stretch Fabric"/>
    <n v="0"/>
    <n v="1"/>
    <d v="2025-01-15T00:00:00"/>
    <x v="1"/>
  </r>
  <r>
    <s v="ORT-0000010380"/>
    <s v="C000416608"/>
    <s v="MORE LONDON NO 6 CAT A LONDON"/>
    <n v="0"/>
    <n v="1"/>
    <d v="2025-01-15T00:00:00"/>
    <x v="1"/>
  </r>
  <r>
    <s v="ORT-0000010381"/>
    <s v="C000416609"/>
    <s v="UNI OF OXFORD CENTRE FOR LIFE AND MIND SCIENCES"/>
    <n v="0"/>
    <n v="1"/>
    <d v="2025-01-15T00:00:00"/>
    <x v="1"/>
  </r>
  <r>
    <s v="ORT-0000010382"/>
    <s v="C000416610"/>
    <s v="LOVELS WAY INDUSTRIAL UNIT WIDNES"/>
    <n v="0"/>
    <n v="1"/>
    <d v="2025-01-15T00:00:00"/>
    <x v="1"/>
  </r>
  <r>
    <s v="ORT-0000010384"/>
    <s v="C000416611"/>
    <s v="Pressure Testing"/>
    <n v="0"/>
    <n v="1"/>
    <d v="2025-01-16T00:00:00"/>
    <x v="1"/>
  </r>
  <r>
    <s v="ORT-0000010385"/>
    <s v="C000416613"/>
    <s v="ROOM COMFORT"/>
    <n v="0"/>
    <n v="1"/>
    <d v="2025-01-16T00:00:00"/>
    <x v="1"/>
  </r>
  <r>
    <s v="ORT-0000010386"/>
    <s v="C000416614"/>
    <s v="BONHILL STREET NO 6-8 REFURB LONDON"/>
    <n v="0"/>
    <n v="1"/>
    <d v="2025-01-16T00:00:00"/>
    <x v="1"/>
  </r>
  <r>
    <s v="ORT-0000010387"/>
    <s v="C000416615"/>
    <s v="SPINNINGFIELDS NO 1 9TH FLOOR REFURB MANCHESTER"/>
    <n v="0"/>
    <n v="1"/>
    <d v="2025-01-16T00:00:00"/>
    <x v="1"/>
  </r>
  <r>
    <s v="ORT-0000010388"/>
    <s v="C000416616"/>
    <s v="MORE LONDON NO 6 CAT A LONDON"/>
    <n v="0"/>
    <n v="1"/>
    <d v="2025-01-16T00:00:00"/>
    <x v="1"/>
  </r>
  <r>
    <s v="ORT-0000010389"/>
    <s v="C000416617"/>
    <s v="EVERTON FC BRAMLEY MOORE DOCK STADIUM FEATURES LIVERPOOL"/>
    <n v="0"/>
    <n v="1"/>
    <d v="2025-01-16T00:00:00"/>
    <x v="1"/>
  </r>
  <r>
    <s v="ORT-0000010390"/>
    <s v="C000416618"/>
    <s v="DUNFERMLINE LEARNING CAMPUS FIFE COLLEGE"/>
    <n v="0"/>
    <n v="1"/>
    <d v="2025-01-16T00:00:00"/>
    <x v="1"/>
  </r>
  <r>
    <s v="ORT-0000010391"/>
    <s v="C000416619"/>
    <s v="LOWER MARSH NO 1-5 LOMA DEVELOPMENT LONDON"/>
    <n v="2"/>
    <n v="0"/>
    <d v="2025-01-16T00:00:00"/>
    <x v="1"/>
  </r>
  <r>
    <s v="ORT-0000010392"/>
    <s v="C000416620"/>
    <s v="CITY POINT ROPEMAKER STREET FLR 16 REFURB LONDON"/>
    <n v="0"/>
    <n v="1"/>
    <d v="2025-01-16T00:00:00"/>
    <x v="1"/>
  </r>
  <r>
    <s v="ORT-0000010393"/>
    <s v="C000416621"/>
    <s v="EVERTON FC BRAMLEY MOORE DOCK STADIUM FEATURES LIVERPOOL"/>
    <n v="0"/>
    <n v="1"/>
    <d v="2025-01-16T00:00:00"/>
    <x v="1"/>
  </r>
  <r>
    <s v="ORT-0000010394"/>
    <s v="C000416622"/>
    <s v="TRITON SQUARE NO 1 OFFICE / LABS RECEPTION WALL PANELS"/>
    <n v="2"/>
    <n v="0"/>
    <d v="2025-01-16T00:00:00"/>
    <x v="1"/>
  </r>
  <r>
    <s v="ORT-0000010395"/>
    <s v="C000416624"/>
    <s v="WORKPLACE INTERIORS MISC 2025"/>
    <n v="0"/>
    <n v="1"/>
    <d v="2025-01-16T00:00:00"/>
    <x v="1"/>
  </r>
  <r>
    <s v="ORT-0000010396"/>
    <s v="C000416625"/>
    <s v="EVERTON FC BRAMLEY MOORE DOCK STADIUM FEATURES LIVERPOOL"/>
    <n v="0"/>
    <n v="1"/>
    <d v="2025-01-16T00:00:00"/>
    <x v="1"/>
  </r>
  <r>
    <s v="ORT-0000010397"/>
    <s v="C000416626"/>
    <s v="BISHOPSGATE NO 199 CAT B FLR 9 CROWELL MORING LONDON"/>
    <n v="0"/>
    <n v="1"/>
    <d v="2025-01-16T00:00:00"/>
    <x v="1"/>
  </r>
  <r>
    <s v="ORT-0000010398"/>
    <s v="C000416627"/>
    <s v="SP MISC PROJECTS 2024"/>
    <n v="0"/>
    <n v="1"/>
    <d v="2025-01-16T00:00:00"/>
    <x v="1"/>
  </r>
  <r>
    <s v="ORT-0000010399"/>
    <s v="C000416628"/>
    <s v="ROPEMAKER STREET NO 20-22 LINKLATERS FIT-OUT LONDON"/>
    <n v="0"/>
    <n v="1"/>
    <d v="2025-01-16T00:00:00"/>
    <x v="1"/>
  </r>
  <r>
    <s v="ORT-0000010400"/>
    <s v="C000416630"/>
    <s v="BISHOPSGATE NO 199 CAT B FLR 9 CROWELL MORING LONDON"/>
    <n v="0"/>
    <n v="1"/>
    <d v="2025-01-16T00:00:00"/>
    <x v="1"/>
  </r>
  <r>
    <s v="ORT-0000010401"/>
    <s v="C000416631"/>
    <s v="KINGS CROSS CENTRAL GOOGLE HQ KGX1 CAT A LONDON"/>
    <n v="0"/>
    <n v="1"/>
    <d v="2025-01-16T00:00:00"/>
    <x v="1"/>
  </r>
  <r>
    <s v="ORT-0000010402"/>
    <s v="C000416632"/>
    <s v="LONDON MISC 2025"/>
    <n v="1"/>
    <n v="1"/>
    <d v="2025-01-16T00:00:00"/>
    <x v="1"/>
  </r>
  <r>
    <s v="ORT-0000010403"/>
    <s v="C000416633"/>
    <s v="TESCO MISC 2025"/>
    <n v="0"/>
    <n v="1"/>
    <d v="2025-01-16T00:00:00"/>
    <x v="1"/>
  </r>
  <r>
    <s v="ORT-0000010404"/>
    <s v="C000416634"/>
    <s v="TESCO MISC 2025"/>
    <n v="0"/>
    <n v="1"/>
    <d v="2025-01-16T00:00:00"/>
    <x v="1"/>
  </r>
  <r>
    <s v="ORT-0000010405"/>
    <s v="C000416635"/>
    <s v="MISC TILE &amp; GRID PROJECTS"/>
    <n v="0"/>
    <n v="1"/>
    <d v="2025-01-16T00:00:00"/>
    <x v="1"/>
  </r>
  <r>
    <s v="ORT-0000010406"/>
    <s v="C000416637"/>
    <s v="JACK TURNBULL MISC TILE &amp; GRID 2025"/>
    <n v="0"/>
    <n v="1"/>
    <d v="2025-01-16T00:00:00"/>
    <x v="1"/>
  </r>
  <r>
    <s v="ORT-0000010407"/>
    <s v="C000416638"/>
    <s v="WORSHIP SQUARE CLIFTON STREET NO 65 CAT B WISE LONDON"/>
    <n v="0"/>
    <n v="1"/>
    <d v="2025-01-16T00:00:00"/>
    <x v="1"/>
  </r>
  <r>
    <s v="ORT-0000010408"/>
    <s v="C000416639"/>
    <s v="TESCO MISC 2025"/>
    <n v="0"/>
    <n v="1"/>
    <d v="2025-01-16T00:00:00"/>
    <x v="1"/>
  </r>
  <r>
    <s v="ORT-0000010412"/>
    <s v="C000416675"/>
    <s v="READING BRIDGE HOUSE CAPITA PLC REFURB READING"/>
    <n v="0"/>
    <n v="1"/>
    <d v="2025-01-20T00:00:00"/>
    <x v="2"/>
  </r>
  <r>
    <s v="ORT-0000010413"/>
    <s v="C000416676"/>
    <s v="BISHOPSGATE NO 250 FLR 1 &amp; 2 NATWEST REFURB LONDON"/>
    <n v="0"/>
    <n v="1"/>
    <d v="2025-01-20T00:00:00"/>
    <x v="2"/>
  </r>
  <r>
    <s v="ORT-0000010414"/>
    <s v="C000416677"/>
    <s v="BRAVINGTON HOUSE INHEALTH FLR 4 LIGHTING KINGS CROSS"/>
    <n v="0"/>
    <n v="1"/>
    <d v="2025-01-20T00:00:00"/>
    <x v="2"/>
  </r>
  <r>
    <s v="ORT-0000010415"/>
    <s v="C000416678"/>
    <s v="UNKNOWN"/>
    <n v="0"/>
    <n v="1"/>
    <d v="2025-01-20T00:00:00"/>
    <x v="2"/>
  </r>
  <r>
    <s v="ORT-0000010416"/>
    <s v="C000416679"/>
    <s v="WORKPLACE INTERIORS MISC 2025"/>
    <n v="0"/>
    <n v="1"/>
    <d v="2025-01-20T00:00:00"/>
    <x v="2"/>
  </r>
  <r>
    <s v="ORT-0000010417"/>
    <s v="C000416680"/>
    <s v="UNI OF EDINBURGH QMRI FLOORS 2 &amp; 3 REFURB ADDITIONALS"/>
    <n v="0"/>
    <n v="1"/>
    <d v="2025-01-20T00:00:00"/>
    <x v="2"/>
  </r>
  <r>
    <s v="ORT-0000010418"/>
    <s v="C000416681"/>
    <s v="PUBLIC WCS FIT OUT EMBANKMENT STATION LONDON"/>
    <n v="0"/>
    <n v="1"/>
    <d v="2025-01-20T00:00:00"/>
    <x v="2"/>
  </r>
  <r>
    <s v="ORT-0000010419"/>
    <s v="C000416683"/>
    <s v="TESCO MISC 2025"/>
    <n v="0"/>
    <n v="1"/>
    <d v="2025-01-20T00:00:00"/>
    <x v="2"/>
  </r>
  <r>
    <s v="ORT-0000010420"/>
    <s v="C000416684"/>
    <s v="GREAT QUEEN STREET NO 10 REFURB LONDON"/>
    <n v="0"/>
    <n v="1"/>
    <d v="2025-01-20T00:00:00"/>
    <x v="2"/>
  </r>
  <r>
    <s v="ORT-0000010421"/>
    <s v="C000416685"/>
    <s v="SIMON NORTH MISC 2024"/>
    <n v="0"/>
    <n v="1"/>
    <d v="2025-01-20T00:00:00"/>
    <x v="2"/>
  </r>
  <r>
    <s v="ORT-0000010422"/>
    <s v="C000416687"/>
    <s v="HOLBORN VIADUCT NO 60 AMAZON POP LONDON"/>
    <n v="2"/>
    <n v="0"/>
    <d v="2025-01-20T00:00:00"/>
    <x v="2"/>
  </r>
  <r>
    <s v="ORT-0000010423"/>
    <s v="C000416688"/>
    <s v="HAYMARKET BUILDING 4 &amp; 5 BAILLIE GIFFORD FIT OUT EDINBURGH"/>
    <n v="0"/>
    <n v="1"/>
    <d v="2025-01-20T00:00:00"/>
    <x v="2"/>
  </r>
  <r>
    <s v="ORT-0000010424"/>
    <s v="C000416689"/>
    <s v="CURZON STREET NO 1 GRND &amp; FLR 4 REFURB LONDON"/>
    <n v="0"/>
    <n v="1"/>
    <d v="2025-01-20T00:00:00"/>
    <x v="2"/>
  </r>
  <r>
    <s v="ORT-0000010425"/>
    <s v="C000416691"/>
    <s v="VISA CHINEHAM PARK LIME TREE WAY PHASE 2  BASINGSTOKE"/>
    <n v="0"/>
    <n v="1"/>
    <d v="2025-01-20T00:00:00"/>
    <x v="2"/>
  </r>
  <r>
    <s v="ORT-0000010426"/>
    <s v="C000416692"/>
    <s v="MOORFIELDS NO 21 THE GLACIER CAT B DEUTSCHE BANK LONDON"/>
    <n v="6"/>
    <n v="0"/>
    <d v="2025-01-20T00:00:00"/>
    <x v="2"/>
  </r>
  <r>
    <s v="ORT-0000010427"/>
    <s v="C000416693"/>
    <s v="WELLINGTON STREET NO 76 CENTURA BUILDING REFURB LEEDS"/>
    <n v="0"/>
    <n v="1"/>
    <d v="2025-01-20T00:00:00"/>
    <x v="2"/>
  </r>
  <r>
    <s v="ORT-0000010428"/>
    <s v="C000416694"/>
    <s v="QUEENS QUAY BRISTOL CEILINGS"/>
    <n v="5"/>
    <n v="0"/>
    <d v="2025-01-20T00:00:00"/>
    <x v="2"/>
  </r>
  <r>
    <s v="ORT-0000010429"/>
    <s v="C000416695"/>
    <s v="BOTHWELL STREET NO 120 FLS 8 &amp; 9 CAT B FITOUT GLASGOW"/>
    <n v="2"/>
    <n v="0"/>
    <d v="2025-01-20T00:00:00"/>
    <x v="2"/>
  </r>
  <r>
    <s v="ORT-0000010431"/>
    <s v="C000416696"/>
    <s v="ELMFIELD ROAD NO 26 LOBBY AREA BROMLEY"/>
    <n v="17"/>
    <n v="0"/>
    <d v="2025-01-20T00:00:00"/>
    <x v="2"/>
  </r>
  <r>
    <s v="ORT-0000010432"/>
    <s v="C000416700"/>
    <s v="CHESTERFIELD GARDENS NO 6 REFURB LONDON"/>
    <n v="0"/>
    <n v="1"/>
    <d v="2025-01-20T00:00:00"/>
    <x v="2"/>
  </r>
  <r>
    <s v="ORT-0000010433"/>
    <s v="C000416701"/>
    <s v="LONDON MISC 2025"/>
    <n v="0"/>
    <n v="1"/>
    <d v="2025-01-20T00:00:00"/>
    <x v="2"/>
  </r>
  <r>
    <s v="ORT-0000010434"/>
    <s v="C000416704"/>
    <s v="SPTS CELTIC LAKES FIT OUT NEWPORT WALES"/>
    <n v="0"/>
    <n v="1"/>
    <d v="2025-01-20T00:00:00"/>
    <x v="2"/>
  </r>
  <r>
    <s v="ORT-0000010435"/>
    <s v="C000416705"/>
    <s v="WORKPLACE INTERIORS MISC 2025"/>
    <n v="1"/>
    <n v="1"/>
    <d v="2025-01-20T00:00:00"/>
    <x v="2"/>
  </r>
  <r>
    <s v="ORT-0000010438"/>
    <s v="C000416706"/>
    <s v="SAINSBURYS MISC 2025"/>
    <n v="0"/>
    <n v="1"/>
    <d v="2025-01-21T00:00:00"/>
    <x v="2"/>
  </r>
  <r>
    <s v="ORT-0000010439"/>
    <s v="C000416708"/>
    <s v="EXCHANGE TOWER HARBOUR EXCHANGE REFURB LONDON"/>
    <n v="0"/>
    <n v="1"/>
    <d v="2025-01-21T00:00:00"/>
    <x v="2"/>
  </r>
  <r>
    <s v="ORT-0000010441"/>
    <s v="C000416710"/>
    <s v="MISC TILE &amp; GRID PROJECTS"/>
    <n v="0"/>
    <n v="1"/>
    <d v="2025-01-21T00:00:00"/>
    <x v="2"/>
  </r>
  <r>
    <s v="ORT-0000010442"/>
    <s v="C000416711"/>
    <s v="WESTFIELD AVENUE NO 1 NCA FIT OUT STRATFORD CITY"/>
    <n v="0"/>
    <n v="1"/>
    <d v="2025-01-21T00:00:00"/>
    <x v="2"/>
  </r>
  <r>
    <s v="ORT-0000010443"/>
    <s v="C000416712"/>
    <s v="ST JAMES PARK STATION REFURB LONDON"/>
    <n v="0"/>
    <n v="1"/>
    <d v="2025-01-21T00:00:00"/>
    <x v="2"/>
  </r>
  <r>
    <s v="ORT-0000010444"/>
    <s v="C000416713"/>
    <s v="UNI OF OXFORD CENTRE FOR LIFE AND MIND SCIENCES"/>
    <n v="0"/>
    <n v="1"/>
    <d v="2025-01-21T00:00:00"/>
    <x v="2"/>
  </r>
  <r>
    <s v="ORT-0000010445"/>
    <s v="C000416714"/>
    <s v="ROPEMAKER STREET NO 20-22 LINKLATERS FIT-OUT LONDON"/>
    <n v="0"/>
    <n v="1"/>
    <d v="2025-01-21T00:00:00"/>
    <x v="2"/>
  </r>
  <r>
    <s v="ORT-0000010446"/>
    <s v="C000416716"/>
    <s v="KING WILLIAM STREET NO 85 FLR 4 REFURB LONDON"/>
    <n v="0"/>
    <n v="1"/>
    <d v="2025-01-21T00:00:00"/>
    <x v="2"/>
  </r>
  <r>
    <s v="ORT-0000010447"/>
    <s v="C000416717"/>
    <s v="EARLEY EAST BUILDING THAMES VALLEY PARK READING"/>
    <n v="0"/>
    <n v="1"/>
    <d v="2025-01-21T00:00:00"/>
    <x v="2"/>
  </r>
  <r>
    <s v="ORT-0000010448"/>
    <s v="C000416718"/>
    <s v="EMBERTON HOUSE OLYMPIA REDEVELOPMENT FIT-OUT LONDON"/>
    <n v="11"/>
    <n v="0"/>
    <d v="2025-01-21T00:00:00"/>
    <x v="2"/>
  </r>
  <r>
    <s v="ORT-0000010449"/>
    <s v="C000416719"/>
    <s v="HEATHROW TECHNICAL BLOCK C (TBC) TOILET REFURBISHMENT LONDON"/>
    <n v="0"/>
    <n v="1"/>
    <d v="2025-01-21T00:00:00"/>
    <x v="2"/>
  </r>
  <r>
    <s v="ORT-0000010450"/>
    <s v="C000416721"/>
    <s v="ST MICHAEL'S FLR 9 HILL DICKINSON FIT OUT MANCHESTER"/>
    <n v="0"/>
    <n v="1"/>
    <d v="2025-01-21T00:00:00"/>
    <x v="2"/>
  </r>
  <r>
    <s v="ORT-0000010451"/>
    <s v="C000416722"/>
    <s v="CANARY WHARF CANADA SQUARE NO 25 CITIBANK REFURB LONDON"/>
    <n v="5"/>
    <n v="0"/>
    <d v="2025-01-21T00:00:00"/>
    <x v="2"/>
  </r>
  <r>
    <s v="ORT-0000010452"/>
    <s v="C000416723"/>
    <s v="HAYS GALLERIA SHACKLETON HOUSE CAT A REFURB FLR 5 LONDON"/>
    <n v="0"/>
    <n v="1"/>
    <d v="2025-01-21T00:00:00"/>
    <x v="2"/>
  </r>
  <r>
    <s v="ORT-0000010453"/>
    <s v="C000416724"/>
    <s v="BROADGATE NO 1-2 CAT B A&amp;O SHEARMAN FLOORS 1-7"/>
    <n v="3"/>
    <n v="0"/>
    <d v="2025-01-21T00:00:00"/>
    <x v="2"/>
  </r>
  <r>
    <s v="ORT-0000010454"/>
    <s v="C000416725"/>
    <s v="JACK TURNBULL MISC TILE &amp; GRID 2025"/>
    <n v="0"/>
    <n v="1"/>
    <d v="2025-01-21T00:00:00"/>
    <x v="2"/>
  </r>
  <r>
    <s v="ORT-0000010455"/>
    <s v="C000416726"/>
    <s v="YEOMAN PARK ACADEMY REFURB MANSFIELD"/>
    <n v="0"/>
    <n v="1"/>
    <d v="2025-01-21T00:00:00"/>
    <x v="2"/>
  </r>
  <r>
    <s v="ORT-0000010456"/>
    <s v="C000416727"/>
    <s v="CANARY WHARF CANADA SQUARE NO 25 CITIBANK REFURB LONDON"/>
    <n v="8"/>
    <n v="0"/>
    <d v="2025-01-21T00:00:00"/>
    <x v="2"/>
  </r>
  <r>
    <s v="ORT-0000010457"/>
    <s v="C000416728"/>
    <s v="CORINTHIAN HOUSE FLR 9 CAT B FITOUT  CROYDON"/>
    <n v="0"/>
    <n v="1"/>
    <d v="2025-01-21T00:00:00"/>
    <x v="2"/>
  </r>
  <r>
    <s v="ORT-0000010458"/>
    <s v="C000416729"/>
    <s v="JACK TURNBULL MISC TILE &amp; GRID 2025"/>
    <n v="0"/>
    <n v="1"/>
    <d v="2025-01-21T00:00:00"/>
    <x v="2"/>
  </r>
  <r>
    <s v="ORT-0000010459"/>
    <s v="C000416730"/>
    <s v="AMAZON CAI-14 FESTIVAL CITY PHASE 2 CAIRO"/>
    <n v="0"/>
    <n v="1"/>
    <d v="2025-01-21T00:00:00"/>
    <x v="2"/>
  </r>
  <r>
    <s v="ORT-0000010460"/>
    <s v="C000416731"/>
    <s v="EURSHELL MISC TILE &amp; GRID 2025"/>
    <n v="0"/>
    <n v="1"/>
    <d v="2025-01-21T00:00:00"/>
    <x v="2"/>
  </r>
  <r>
    <s v="ORT-0000010461"/>
    <s v="C000416732"/>
    <s v="EURSHELL MISC TILE &amp; GRID 2025"/>
    <n v="0"/>
    <n v="1"/>
    <d v="2025-01-21T00:00:00"/>
    <x v="2"/>
  </r>
  <r>
    <s v="ORT-0000010462"/>
    <s v="C000416735"/>
    <s v="TESCO MISC 2025"/>
    <n v="0"/>
    <n v="1"/>
    <d v="2025-01-21T00:00:00"/>
    <x v="2"/>
  </r>
  <r>
    <s v="ORT-0000010463"/>
    <s v="C000416736"/>
    <s v="GREENWICH PENINSULA PLOT NO 19.05 RESI LONDON"/>
    <n v="0"/>
    <n v="1"/>
    <d v="2025-01-21T00:00:00"/>
    <x v="2"/>
  </r>
  <r>
    <s v="ORT-0000010464"/>
    <s v="C000416737"/>
    <s v="CENTRAL SQUARE NO 2 CARDIFF"/>
    <n v="0"/>
    <n v="1"/>
    <d v="2025-01-21T00:00:00"/>
    <x v="2"/>
  </r>
  <r>
    <s v="ORT-0000010465"/>
    <s v="C000416738"/>
    <s v="SNOW HILL BUILDING 1 FLOOR 8 REFURB BIRMINGHAM"/>
    <n v="14"/>
    <n v="0"/>
    <d v="2025-01-21T00:00:00"/>
    <x v="2"/>
  </r>
  <r>
    <s v="ORT-0000010466"/>
    <s v="C000416739"/>
    <s v="CURZON STREET NO 1 GRND &amp; FLR 4 REFURB LONDON"/>
    <n v="0"/>
    <n v="1"/>
    <d v="2025-01-21T00:00:00"/>
    <x v="2"/>
  </r>
  <r>
    <s v="ORT-0000010467"/>
    <s v="C000416740"/>
    <s v="ONE STATION HILL LEVEL B1 GYM READING"/>
    <n v="0"/>
    <n v="1"/>
    <d v="2025-01-21T00:00:00"/>
    <x v="2"/>
  </r>
  <r>
    <s v="ORT-0000010468"/>
    <s v="C000416742"/>
    <s v="TESCO MISC 2025"/>
    <n v="0"/>
    <n v="1"/>
    <d v="2025-01-21T00:00:00"/>
    <x v="2"/>
  </r>
  <r>
    <s v="ORT-0000010469"/>
    <s v="C000416743"/>
    <s v="TESCO MISC 2025"/>
    <n v="0"/>
    <n v="1"/>
    <d v="2025-01-21T00:00:00"/>
    <x v="2"/>
  </r>
  <r>
    <s v="ORT-0000010470"/>
    <s v="C000416745"/>
    <s v="BATTERY GREEN ROTTERDAM ROAD LOWESTOFT"/>
    <n v="0"/>
    <n v="1"/>
    <d v="2025-01-21T00:00:00"/>
    <x v="2"/>
  </r>
  <r>
    <s v="ORT-0000010471"/>
    <s v="C000416747"/>
    <s v="BASINGHALL 1 LONDON"/>
    <n v="0"/>
    <n v="1"/>
    <d v="2025-01-21T00:00:00"/>
    <x v="2"/>
  </r>
  <r>
    <s v="ORT-0000010472"/>
    <s v="C000416748"/>
    <s v="CRAYFIELDS BUSINESS PARK UNIT 1.02 ORPINGTON"/>
    <n v="0"/>
    <n v="1"/>
    <d v="2025-01-21T00:00:00"/>
    <x v="2"/>
  </r>
  <r>
    <s v="ORT-0000010473"/>
    <s v="C000416749"/>
    <s v="EURSHELL MISC TILE &amp; GRID 2025"/>
    <n v="0"/>
    <n v="1"/>
    <d v="2025-01-21T00:00:00"/>
    <x v="2"/>
  </r>
  <r>
    <s v="ORT-0000010476"/>
    <s v="C000416750"/>
    <s v="BANK OF AMERICA KING EDWARD STREET NO 2 WC REFURB LONDON"/>
    <n v="0"/>
    <n v="1"/>
    <d v="2025-01-21T00:00:00"/>
    <x v="2"/>
  </r>
  <r>
    <s v="ORT-0000010478"/>
    <s v="C000416751"/>
    <s v="THE CURSITOR CHANCERY LANE NO 38 CAT A REFURB LONDON"/>
    <n v="0"/>
    <n v="1"/>
    <d v="2025-01-22T00:00:00"/>
    <x v="2"/>
  </r>
  <r>
    <s v="ORT-0000010479"/>
    <s v="C000416752"/>
    <s v="DATA CENTRE MOCK UPS"/>
    <n v="0"/>
    <n v="1"/>
    <d v="2025-01-22T00:00:00"/>
    <x v="2"/>
  </r>
  <r>
    <s v="ORT-0000010480"/>
    <s v="C000416753"/>
    <s v="ST PETERS SQUARE LANDMARK BUILDING FLOOR 6 MANCHESTER"/>
    <n v="0"/>
    <n v="1"/>
    <d v="2025-01-22T00:00:00"/>
    <x v="2"/>
  </r>
  <r>
    <s v="ORT-0000010481"/>
    <s v="C000416754"/>
    <s v="ST JAMES PARK STATION REFURB LONDON"/>
    <n v="0"/>
    <n v="1"/>
    <d v="2025-01-22T00:00:00"/>
    <x v="2"/>
  </r>
  <r>
    <s v="ORT-0000010482"/>
    <s v="C000416760"/>
    <s v="WESTFIELD AVENUE NO 1 NCA FIT OUT STRATFORD CITY"/>
    <n v="4"/>
    <n v="0"/>
    <d v="2025-01-22T00:00:00"/>
    <x v="2"/>
  </r>
  <r>
    <s v="ORT-0000010483"/>
    <s v="C000416770"/>
    <s v="MANCHESTER SQUARE NO 20 CAT B LAZARD LONDON"/>
    <n v="5"/>
    <n v="0"/>
    <d v="2025-01-22T00:00:00"/>
    <x v="2"/>
  </r>
  <r>
    <s v="ORT-0000010484"/>
    <s v="C000416771"/>
    <s v="ARKWRIGHT HOUSE REFURB MANCHESTER"/>
    <n v="2"/>
    <n v="0"/>
    <d v="2025-01-22T00:00:00"/>
    <x v="2"/>
  </r>
  <r>
    <s v="ORT-0000010485"/>
    <s v="C000416783"/>
    <s v="CHARTERHOUSE STREET NO 33 SAINSBURYS FLRS 1-3 LONDON"/>
    <n v="4"/>
    <n v="0"/>
    <d v="2025-01-22T00:00:00"/>
    <x v="2"/>
  </r>
  <r>
    <s v="ORT-0000010491"/>
    <s v="I000412835"/>
    <s v="LEADENHALL STREET NO 40 KIRKLAND &amp; ELLIS FLRS 15-34 LONDON"/>
    <n v="3"/>
    <n v="0"/>
    <d v="2025-01-23T00:00:00"/>
    <x v="2"/>
  </r>
  <r>
    <s v="ORT-0000010492"/>
    <s v="C000416795"/>
    <s v="TURNER HOUSE BATH RD NO 103 - 105 REFURB SLOUGH"/>
    <n v="5"/>
    <n v="0"/>
    <d v="2025-01-23T00:00:00"/>
    <x v="2"/>
  </r>
  <r>
    <s v="ORT-0000010493"/>
    <s v="C000416797"/>
    <s v="JACK TURNBULL MISC TILE &amp; GRID 2025"/>
    <n v="25"/>
    <n v="0"/>
    <d v="2025-01-23T00:00:00"/>
    <x v="2"/>
  </r>
  <r>
    <s v="ORT-0000010494"/>
    <s v="C000416817"/>
    <s v="LEADENHALL STREET NO 122 FLR 16 REFURB LONDON"/>
    <n v="2"/>
    <n v="0"/>
    <d v="2025-01-23T00:00:00"/>
    <x v="2"/>
  </r>
  <r>
    <s v="ORT-0000010495"/>
    <s v="C000416820"/>
    <s v="FINSBURY CIRCUS NO 16-18 PARK HOUSE FLR 1 REFURB LONDON"/>
    <n v="1"/>
    <n v="1"/>
    <d v="2025-01-23T00:00:00"/>
    <x v="2"/>
  </r>
  <r>
    <s v="ORT-0000010496"/>
    <s v="C000416821"/>
    <s v="GRESHAM STREET NO 30 REFURB LONDON"/>
    <n v="1"/>
    <n v="1"/>
    <d v="2025-01-23T00:00:00"/>
    <x v="2"/>
  </r>
  <r>
    <s v="ORT-0000010497"/>
    <s v="C000416826"/>
    <s v="MIDDLEWOOD LOCKS PHASE 3 RESIDENTIAL MANCHESTER"/>
    <n v="2"/>
    <n v="0"/>
    <d v="2025-01-23T00:00:00"/>
    <x v="2"/>
  </r>
  <r>
    <s v="ORT-0000010498"/>
    <s v="C000416828"/>
    <s v="TRITON SQUARE NO 1 OFFICE / LABS CAT A LONDON"/>
    <n v="17"/>
    <n v="0"/>
    <d v="2025-01-23T00:00:00"/>
    <x v="2"/>
  </r>
  <r>
    <s v="ORT-0000010499"/>
    <s v="C000416840"/>
    <s v="JACK TURNBULL MISC TILE &amp; GRID 2025"/>
    <n v="4"/>
    <n v="0"/>
    <d v="2025-01-24T00:00:00"/>
    <x v="2"/>
  </r>
  <r>
    <s v="ORT-0000010500"/>
    <s v="C000416842"/>
    <s v="GRESHAM STREET NO 30 INVESTEC LEVEL 6 LONDON"/>
    <n v="4"/>
    <n v="0"/>
    <d v="2025-01-24T00:00:00"/>
    <x v="2"/>
  </r>
  <r>
    <s v="ORT-0000010501"/>
    <s v="C000416844"/>
    <s v="HARWELL NO 3302 FLOOR 1 LAB PHASE 1 REFURB DIDCOT"/>
    <n v="15"/>
    <n v="0"/>
    <d v="2025-01-24T00:00:00"/>
    <x v="2"/>
  </r>
  <r>
    <s v="ORT-0000010502"/>
    <s v="C000416845"/>
    <s v="KING STREET NO 33 CLEVELAND HOUSE CDR REFURB FLOORS 4-5"/>
    <n v="5"/>
    <n v="0"/>
    <d v="2025-01-24T00:00:00"/>
    <x v="2"/>
  </r>
  <r>
    <s v="ORT-0000010503"/>
    <s v="C000416846"/>
    <s v="EXCEL PHASE 3 DEVELOPMENT WC LONDON"/>
    <n v="5"/>
    <n v="0"/>
    <d v="2025-01-24T00:00:00"/>
    <x v="2"/>
  </r>
  <r>
    <s v="ORT-0000010505"/>
    <s v="C000416852"/>
    <s v="EURSHELL MISC TILE &amp; GRID 2025"/>
    <n v="7"/>
    <n v="0"/>
    <d v="2025-01-27T00:00:00"/>
    <x v="3"/>
  </r>
  <r>
    <s v="ORT-0000010506"/>
    <s v="C000416853"/>
    <s v="EURSHELL MISC TILE &amp; GRID 2025"/>
    <n v="7"/>
    <n v="0"/>
    <d v="2025-01-27T00:00:00"/>
    <x v="3"/>
  </r>
  <r>
    <s v="ORT-0000010507"/>
    <s v="C000416854"/>
    <s v="MANCHESTER AIRPORT T2 EAST CHECK IN AREAS"/>
    <n v="2"/>
    <n v="0"/>
    <d v="2025-01-27T00:00:00"/>
    <x v="3"/>
  </r>
  <r>
    <s v="ORT-0000010508"/>
    <s v="C000416855"/>
    <s v="MANCHESTER AIRPORT T2 EAST WING NEW DEVELOPMENT"/>
    <n v="1"/>
    <n v="1"/>
    <d v="2025-01-27T00:00:00"/>
    <x v="3"/>
  </r>
  <r>
    <s v="ORT-0000010509"/>
    <s v="C000416859"/>
    <s v="THE FORUM KINGS QUARTER GLOUCESTER"/>
    <n v="3"/>
    <n v="0"/>
    <d v="2025-01-27T00:00:00"/>
    <x v="3"/>
  </r>
  <r>
    <s v="ORT-0000010510"/>
    <s v="C000416861"/>
    <s v="CHARING CROSS ROAD NO 127-133 LONDON"/>
    <n v="7"/>
    <n v="0"/>
    <d v="2025-01-27T00:00:00"/>
    <x v="3"/>
  </r>
  <r>
    <s v="ORT-0000010511"/>
    <s v="C000416868"/>
    <s v="UNKNOWN"/>
    <n v="3"/>
    <n v="0"/>
    <d v="2025-01-27T00:00:00"/>
    <x v="3"/>
  </r>
  <r>
    <s v="ORT-0000010512"/>
    <s v="C000416871"/>
    <s v="RIPLEY BUILDING WHITEHALL 22-26 REFURB LONDON"/>
    <n v="1"/>
    <n v="1"/>
    <d v="2025-01-27T00:00:00"/>
    <x v="3"/>
  </r>
  <r>
    <s v="ORT-0000010513"/>
    <s v="C000416872"/>
    <s v="BARGE HOUSE UPPER GROUND REFURB LONDON"/>
    <n v="3"/>
    <n v="0"/>
    <d v="2025-01-27T00:00:00"/>
    <x v="3"/>
  </r>
  <r>
    <s v="ORT-0000010514"/>
    <s v="C000416879"/>
    <s v="SAMPLE ROOM READING"/>
    <n v="1"/>
    <n v="1"/>
    <d v="2025-01-27T00:00:00"/>
    <x v="3"/>
  </r>
  <r>
    <s v="ORT-0000010515"/>
    <s v="C000416885"/>
    <s v="SPAR PARKFOOT LONDON ROAD KENT"/>
    <n v="13"/>
    <n v="0"/>
    <d v="2025-01-28T00:00:00"/>
    <x v="3"/>
  </r>
  <r>
    <s v="ORT-0000010516"/>
    <s v="C000416889"/>
    <s v="NATIONAL ARCHIVES CLORE LEARNING CENTRE KEW PHASE 2 LONDON"/>
    <n v="2"/>
    <n v="0"/>
    <d v="2025-01-28T00:00:00"/>
    <x v="3"/>
  </r>
  <r>
    <s v="ORT-0000010517"/>
    <s v="C000416894"/>
    <s v="BEDFORD AVENUE NO 1 REFURB LONDON"/>
    <n v="0"/>
    <n v="1"/>
    <d v="2025-01-28T00:00:00"/>
    <x v="3"/>
  </r>
  <r>
    <s v="ORT-0000010518"/>
    <s v="C000416896"/>
    <s v="PALACE GARDENS SHOPPING CENTRE ENFIELD"/>
    <n v="2"/>
    <n v="0"/>
    <d v="2025-01-28T00:00:00"/>
    <x v="3"/>
  </r>
  <r>
    <s v="ORT-0000010519"/>
    <s v="C000416898"/>
    <s v="GREAT QUEEN STREET NO 10 REFURB LONDON"/>
    <n v="3"/>
    <n v="0"/>
    <d v="2025-01-28T00:00:00"/>
    <x v="3"/>
  </r>
  <r>
    <s v="ORT-0000010520"/>
    <s v="C000416899"/>
    <s v="ORANGEBOX POD CASSETTES"/>
    <n v="5"/>
    <n v="0"/>
    <d v="2025-01-28T00:00:00"/>
    <x v="3"/>
  </r>
  <r>
    <s v="ORT-0000010521"/>
    <s v="C000416904"/>
    <s v="EURSHELL MISC TILE &amp; GRID 2024"/>
    <n v="3"/>
    <n v="0"/>
    <d v="2025-01-28T00:00:00"/>
    <x v="3"/>
  </r>
  <r>
    <s v="ORT-0000010522"/>
    <s v="C000416905"/>
    <s v="CITY POINT ROPEMAKER STREET FLR 16 REFURB LONDON"/>
    <n v="17"/>
    <n v="0"/>
    <d v="2025-01-28T00:00:00"/>
    <x v="3"/>
  </r>
  <r>
    <s v="ORT-0000010523"/>
    <s v="C000416908"/>
    <s v="DUNFERMLINE LEARNING CAMPUS FIFE COLLEGE"/>
    <n v="2"/>
    <n v="0"/>
    <d v="2025-01-28T00:00:00"/>
    <x v="3"/>
  </r>
  <r>
    <s v="ORT-0000010524"/>
    <s v="C000416909"/>
    <s v="ROPEMAKER STREET NO 20-22 LINKLATERS FIT-OUT LONDON"/>
    <n v="1"/>
    <n v="1"/>
    <d v="2025-01-28T00:00:00"/>
    <x v="3"/>
  </r>
  <r>
    <s v="ORT-0000010525"/>
    <s v="C000416917"/>
    <s v="ST JAMES PARK STATION REFURB LONDON"/>
    <n v="5"/>
    <n v="0"/>
    <d v="2025-01-29T00:00:00"/>
    <x v="3"/>
  </r>
  <r>
    <s v="ORT-0000010526"/>
    <s v="C000416922"/>
    <s v="BARCLAYS BANK BRANCH BARNSLEY"/>
    <n v="15"/>
    <n v="0"/>
    <d v="2025-01-29T00:00:00"/>
    <x v="3"/>
  </r>
  <r>
    <s v="ORT-0000010527"/>
    <m/>
    <s v="FALCON SQUARE NO 1 HIGHLAND HOSPICE INVERNESS"/>
    <n v="160"/>
    <n v="0"/>
    <d v="2025-01-29T00:00:00"/>
    <x v="3"/>
  </r>
  <r>
    <s v="ORT-0000010528"/>
    <s v="C000416924"/>
    <s v="FALCON SQUARE NO 1 HIGHLAND HOSPICE INVERNESS"/>
    <n v="5"/>
    <n v="0"/>
    <d v="2025-01-29T00:00:00"/>
    <x v="3"/>
  </r>
  <r>
    <s v="ORT-0000010529"/>
    <s v="C000416925"/>
    <s v="BARCLAYS BANK BRANCH EAST HAM LONDON"/>
    <n v="15"/>
    <n v="0"/>
    <d v="2025-01-29T00:00:00"/>
    <x v="3"/>
  </r>
  <r>
    <s v="ORT-0000010531"/>
    <s v="C000416928"/>
    <s v="CANARY WHARF CANADA SQUARE NO 25 CITIBANK REFURB LONDON"/>
    <n v="5"/>
    <n v="0"/>
    <d v="2025-01-29T00:00:00"/>
    <x v="3"/>
  </r>
  <r>
    <s v="ORT-0000010532"/>
    <s v="C000416931"/>
    <s v="STONECUTTER COURT CAT B TRAVERS SMITH LONDON"/>
    <n v="5"/>
    <n v="0"/>
    <d v="2025-01-29T00:00:00"/>
    <x v="3"/>
  </r>
  <r>
    <s v="ORT-0000010533"/>
    <s v="C000416932"/>
    <s v="ELEPHANT &amp; CASTLE TOWN CENTRE PLOT E1 LCC CAT B LONDON"/>
    <n v="5"/>
    <n v="0"/>
    <d v="2025-01-29T00:00:00"/>
    <x v="3"/>
  </r>
  <r>
    <s v="ORT-0000010534"/>
    <s v="C000416934"/>
    <s v="SPINDLES TOWN SQUARE SHOPPING CENTRE OLDHAM"/>
    <n v="10"/>
    <n v="0"/>
    <d v="2025-01-29T00:00:00"/>
    <x v="3"/>
  </r>
  <r>
    <s v="ORT-0000010535"/>
    <s v="C000416941"/>
    <s v="CHARTERHOUSE STREET NO 33 THREE CROWNS FLR 8 LONDON"/>
    <n v="1"/>
    <n v="1"/>
    <d v="2025-01-30T00:00:00"/>
    <x v="3"/>
  </r>
  <r>
    <s v="ORT-0000010536"/>
    <s v="C000416942"/>
    <s v="LEADENHALL STREET NO 40 KIRKLAND &amp; ELLIS FLRS 15-34 LONDON"/>
    <n v="0"/>
    <n v="1"/>
    <d v="2025-01-30T00:00:00"/>
    <x v="3"/>
  </r>
  <r>
    <s v="ORT-0000010537"/>
    <s v="C000416943"/>
    <s v="JACK TURNBULL MISC TILE &amp; GRID 2025"/>
    <n v="3"/>
    <n v="0"/>
    <d v="2025-01-30T00:00:00"/>
    <x v="3"/>
  </r>
  <r>
    <s v="ORT-0000010538"/>
    <s v="C000416945"/>
    <s v="WHITECHAPEL BUILDING REFURB LONDON"/>
    <n v="2"/>
    <n v="0"/>
    <d v="2025-01-30T00:00:00"/>
    <x v="3"/>
  </r>
  <r>
    <s v="ORT-0000010539"/>
    <s v="C000416962"/>
    <s v="KING STREET OFFICE DEVELOPMENT BLACKPOOL"/>
    <n v="3"/>
    <n v="0"/>
    <d v="2025-01-30T00:00:00"/>
    <x v="3"/>
  </r>
  <r>
    <s v="ORT-0000010540"/>
    <s v="C000416965"/>
    <s v="WORKPLACE INTERIORS MISC 2025"/>
    <n v="0"/>
    <n v="1"/>
    <d v="2025-01-30T00:00:00"/>
    <x v="3"/>
  </r>
  <r>
    <s v="ORT-0000010542"/>
    <s v="C000416950"/>
    <s v="TORRE DIAGONAL MAR BARCELONA ADD'L MAT'LS"/>
    <n v="3"/>
    <n v="0"/>
    <d v="2025-01-30T00:00:00"/>
    <x v="3"/>
  </r>
  <r>
    <s v="ORT-0000010543"/>
    <s v="C000416902"/>
    <s v="FACULTY OF ISLAMIC STUDIES EDUC ADDTL MATERIALS DOHA"/>
    <n v="4"/>
    <n v="0"/>
    <d v="2025-01-30T00:00:00"/>
    <x v="3"/>
  </r>
  <r>
    <s v="ORT-0000010545"/>
    <s v="C000416974"/>
    <s v="ARTHUR STREET NO 12 FLOOR 6 LIGHTING LONDON"/>
    <n v="4"/>
    <n v="0"/>
    <d v="2025-01-31T00:00:00"/>
    <x v="3"/>
  </r>
  <r>
    <s v="ORT-0000010546"/>
    <s v="C000416977"/>
    <s v="ARTHUR STREET NO 12 FLOOR 6 REFURB LONDON"/>
    <n v="1"/>
    <n v="1"/>
    <d v="2025-01-31T00:00:00"/>
    <x v="3"/>
  </r>
  <r>
    <s v="ORT-0000010547"/>
    <s v="C000416979"/>
    <s v="OLYMPIA CENTRAL TENANT LOBBY 1 &amp; 2 LEVEL 2M LONDON"/>
    <n v="0"/>
    <n v="1"/>
    <d v="2025-01-31T00:00:00"/>
    <x v="3"/>
  </r>
  <r>
    <s v="ORT-0000010548"/>
    <m/>
    <s v="EDF SIZEWELL POWER STATION B TRAINING BUILDING SUFFOLK"/>
    <n v="0"/>
    <n v="1"/>
    <d v="2025-01-31T00:00:00"/>
    <x v="3"/>
  </r>
  <r>
    <s v="ORT-0000010549"/>
    <s v="C000416981"/>
    <s v="DEVONSHIRE SQUARE NO 2-5 PREMIER PLACE CAT B JANE STREET"/>
    <n v="2"/>
    <n v="0"/>
    <d v="2025-01-31T00:00:00"/>
    <x v="3"/>
  </r>
  <r>
    <s v="ORT-0000010550"/>
    <s v="C000416982"/>
    <s v="WORKPLACE INTERIORS MISC 2025"/>
    <n v="0"/>
    <n v="1"/>
    <d v="2025-01-31T00:00:00"/>
    <x v="3"/>
  </r>
  <r>
    <s v="ORT-0000010551"/>
    <s v="C000416983"/>
    <s v="MABLEDON PLACE NO 1 HALO BUILDING FLR 8 REFURB LONDON"/>
    <n v="0"/>
    <n v="1"/>
    <d v="2025-01-31T00:00:00"/>
    <x v="3"/>
  </r>
  <r>
    <s v="ORT-0000010552"/>
    <s v="C000416985"/>
    <s v="HOUNSOME FIELDS PRIMARY SCHOOL BASINGSTOKE"/>
    <n v="0"/>
    <n v="1"/>
    <d v="2025-01-31T00:00:00"/>
    <x v="3"/>
  </r>
  <r>
    <s v="ORT-0000010553"/>
    <s v="C000416987"/>
    <s v="WESTFIELD AVENUE NO 1 NCA FIT OUT STRATFORD CITY"/>
    <n v="0"/>
    <n v="1"/>
    <d v="2025-01-31T00:00:00"/>
    <x v="3"/>
  </r>
  <r>
    <s v="ORT-0000010559"/>
    <s v="C000416992"/>
    <s v="MANCHESTER AIRPORT T2 EAST WING NEW DEVELOPMENT"/>
    <n v="3"/>
    <n v="0"/>
    <d v="2025-02-03T00:00:00"/>
    <x v="4"/>
  </r>
  <r>
    <s v="ORT-0000010560"/>
    <s v="C000416993"/>
    <s v="AQUIS HOUSE REFURB BALGRAVE STREET READING"/>
    <n v="0"/>
    <n v="1"/>
    <d v="2025-02-03T00:00:00"/>
    <x v="4"/>
  </r>
  <r>
    <s v="ORT-0000010561"/>
    <s v="C000416995"/>
    <s v="BASINGHALL STREET NO 25 WOOLGATE EXCHANGE CAT A LONDON"/>
    <n v="0"/>
    <n v="1"/>
    <d v="2025-02-03T00:00:00"/>
    <x v="4"/>
  </r>
  <r>
    <s v="ORT-0000010562"/>
    <s v="C000416996"/>
    <s v="ST JAMES'S SQUARE NO 8 FLOOR 4 POINT 72 LONDON"/>
    <n v="7"/>
    <n v="0"/>
    <d v="2025-02-03T00:00:00"/>
    <x v="4"/>
  </r>
  <r>
    <s v="ORT-0000010563"/>
    <s v="C000416997"/>
    <s v="OSNEY POWER STATION SAID BUSINESS SCHOOL OXFORD"/>
    <n v="2"/>
    <n v="0"/>
    <d v="2025-02-03T00:00:00"/>
    <x v="4"/>
  </r>
  <r>
    <s v="ORT-0000010564"/>
    <s v="C000417000"/>
    <s v="HAMMERSMITH ROAD NO 245 FLR 5 REFURB LONDON"/>
    <n v="3"/>
    <n v="0"/>
    <d v="2025-02-03T00:00:00"/>
    <x v="4"/>
  </r>
  <r>
    <s v="ORT-0000010565"/>
    <s v="C000417002"/>
    <s v="HCP PETERBOROUGH CITY HOSPITAL"/>
    <n v="1"/>
    <n v="1"/>
    <d v="2025-02-03T00:00:00"/>
    <x v="4"/>
  </r>
  <r>
    <s v="ORT-0000010566"/>
    <s v="C000417005"/>
    <s v="JACK TURNBULL MISC TILE &amp; GRID 2025"/>
    <n v="0"/>
    <n v="1"/>
    <d v="2025-02-03T00:00:00"/>
    <x v="4"/>
  </r>
  <r>
    <s v="ORT-0000010567"/>
    <s v="C000417007"/>
    <s v="F1 MANAGEMENT UNIT 1 &amp; 2 BIGGIN HILL"/>
    <n v="7"/>
    <n v="0"/>
    <d v="2025-02-03T00:00:00"/>
    <x v="4"/>
  </r>
  <r>
    <s v="ORT-0000010568"/>
    <s v="C000417010"/>
    <s v="QUINTON BUSINESS PARK BUILDING 9 BIRMINGHAM"/>
    <n v="5"/>
    <n v="0"/>
    <d v="2025-02-03T00:00:00"/>
    <x v="4"/>
  </r>
  <r>
    <s v="ORT-0000010569"/>
    <s v="C000417012"/>
    <s v="BASINGHALL AVENUE NO 1 GROUND &amp; 5-10 REFURB LONDON"/>
    <n v="2"/>
    <n v="0"/>
    <d v="2025-02-03T00:00:00"/>
    <x v="4"/>
  </r>
  <r>
    <s v="ORT-0000010570"/>
    <s v="C000417013"/>
    <s v="ALDERMANBURY SQUARE NO 2 BASINGHALL ST BASEMENT LONDON"/>
    <n v="2"/>
    <n v="0"/>
    <d v="2025-02-03T00:00:00"/>
    <x v="4"/>
  </r>
  <r>
    <s v="ORT-0000010571"/>
    <s v="C000417019"/>
    <s v="CHURCH STREET NO 45 FLOORS 3 &amp; 9 BIRMINGHAM"/>
    <n v="9"/>
    <n v="0"/>
    <d v="2025-02-03T00:00:00"/>
    <x v="4"/>
  </r>
  <r>
    <s v="ORT-0000010572"/>
    <s v="C000417020"/>
    <s v="DATA CENTRE MOCK UPS"/>
    <n v="10"/>
    <n v="0"/>
    <d v="2025-02-03T00:00:00"/>
    <x v="4"/>
  </r>
  <r>
    <s v="ORT-0000010573"/>
    <s v="C000417022"/>
    <s v="QUEENS QUAY BRISTOL CEILINGS"/>
    <n v="1"/>
    <n v="1"/>
    <d v="2025-02-03T00:00:00"/>
    <x v="4"/>
  </r>
  <r>
    <s v="ORT-0000010574"/>
    <s v="C000417018"/>
    <s v="SONEA ADDITIONAL LISBON"/>
    <n v="0"/>
    <n v="1"/>
    <d v="2025-02-03T00:00:00"/>
    <x v="4"/>
  </r>
  <r>
    <s v="ORT-0000010575"/>
    <s v="C000417028"/>
    <s v="CURZON STREET NO 1 GRND &amp; FLR 4 REFURB LONDON"/>
    <n v="1"/>
    <n v="1"/>
    <d v="2025-02-04T00:00:00"/>
    <x v="4"/>
  </r>
  <r>
    <s v="ORT-0000010576"/>
    <s v="C000417029"/>
    <s v="ALDERSGATE ST NO 150 THE VERDANT TIKTOK FIT OUT LONDON"/>
    <n v="1"/>
    <n v="1"/>
    <d v="2025-02-04T00:00:00"/>
    <x v="4"/>
  </r>
  <r>
    <s v="ORT-0000010577"/>
    <s v="C000417032"/>
    <s v="PORTLAND HOUSE BRESSENDEN PLACE RECEPTION  LONDON"/>
    <n v="0"/>
    <n v="1"/>
    <d v="2025-02-04T00:00:00"/>
    <x v="4"/>
  </r>
  <r>
    <s v="ORT-0000010578"/>
    <s v="C000417037"/>
    <s v="EMBERTON HOUSE OLYMPIA REDEVELOPMENT FIT-OUT LONDON"/>
    <n v="1"/>
    <n v="1"/>
    <d v="2025-02-04T00:00:00"/>
    <x v="4"/>
  </r>
  <r>
    <s v="ORT-0000010579"/>
    <s v="C000417038"/>
    <s v="HANOVER SQUARE NO 25 REFURB LONDON"/>
    <n v="0"/>
    <n v="1"/>
    <d v="2025-02-04T00:00:00"/>
    <x v="4"/>
  </r>
  <r>
    <s v="ORT-0000010580"/>
    <s v="C000417039"/>
    <s v="UPPER CAMPFIELD LIVERPOOL ROAD MANCHESTER"/>
    <n v="0"/>
    <n v="1"/>
    <d v="2025-02-04T00:00:00"/>
    <x v="4"/>
  </r>
  <r>
    <s v="ORT-0000010581"/>
    <s v="C000417040"/>
    <s v="HIGH STREET NO 29-35 REFURB CRAWLEY"/>
    <n v="1"/>
    <n v="1"/>
    <d v="2025-02-04T00:00:00"/>
    <x v="4"/>
  </r>
  <r>
    <s v="ORT-0000010582"/>
    <s v="C000417045"/>
    <s v="NEKO HEALTH MANCHESTER"/>
    <n v="11"/>
    <n v="0"/>
    <d v="2025-02-04T00:00:00"/>
    <x v="4"/>
  </r>
  <r>
    <s v="ORT-0000010583"/>
    <s v="C000417046"/>
    <s v="KAR COMMERCIAL BUILDING ERBIL IRAQ LIGHTING"/>
    <n v="3"/>
    <n v="0"/>
    <d v="2025-02-04T00:00:00"/>
    <x v="4"/>
  </r>
  <r>
    <s v="ORT-0000010584"/>
    <s v="C000417047"/>
    <s v="KAR COMMERCIAL BUILDING ERBIL IRAQ"/>
    <n v="0"/>
    <n v="1"/>
    <d v="2025-02-04T00:00:00"/>
    <x v="4"/>
  </r>
  <r>
    <s v="ORT-0000010585"/>
    <s v="C000417052"/>
    <s v="LEADENHALL STREET NO 1 CAT B LATHAM &amp; WATKINS FLRS 1-20"/>
    <n v="1"/>
    <n v="1"/>
    <d v="2025-02-04T00:00:00"/>
    <x v="4"/>
  </r>
  <r>
    <s v="ORT-0000010586"/>
    <s v="C000417053"/>
    <s v="OXFORD STREET NO 214 OFFICE BUILDING LONDON"/>
    <n v="4"/>
    <n v="0"/>
    <d v="2025-02-04T00:00:00"/>
    <x v="4"/>
  </r>
  <r>
    <s v="ORT-0000010587"/>
    <s v="C000417054"/>
    <s v="SMITHFIELD MARKET POULTRY MARKET MUSEUM OF LONDON"/>
    <n v="1"/>
    <n v="1"/>
    <d v="2025-02-04T00:00:00"/>
    <x v="4"/>
  </r>
  <r>
    <s v="ORT-0000010588"/>
    <s v="C000417056"/>
    <s v="SPTS CELTIC LAKES FIT OUT PHASE 2 NEWPORT WALES"/>
    <n v="11"/>
    <n v="0"/>
    <d v="2025-02-04T00:00:00"/>
    <x v="4"/>
  </r>
  <r>
    <s v="ORT-0000010589"/>
    <s v="C000417058"/>
    <s v="ALDERSGATE STREET NO 200 FLOOR 1 &amp; MEZZANINE CONVENE LONDON"/>
    <n v="1"/>
    <n v="1"/>
    <d v="2025-02-04T00:00:00"/>
    <x v="4"/>
  </r>
  <r>
    <s v="ORT-0000010590"/>
    <s v="C000417064"/>
    <s v="TESCO MISC 2025"/>
    <n v="11"/>
    <n v="0"/>
    <d v="2025-02-04T00:00:00"/>
    <x v="4"/>
  </r>
  <r>
    <s v="ORT-0000010591"/>
    <s v="C000417067"/>
    <s v="PILGRIM STREET PHASE 2 NEWCASTLE ADDITIONAL MATERIALS"/>
    <n v="2"/>
    <n v="0"/>
    <d v="2025-02-04T00:00:00"/>
    <x v="4"/>
  </r>
  <r>
    <s v="ORT-0000010592"/>
    <s v="C000417069"/>
    <s v="L.-ILLA BY RENTAMAR BARCELONA"/>
    <n v="0"/>
    <n v="1"/>
    <d v="2025-02-04T00:00:00"/>
    <x v="4"/>
  </r>
  <r>
    <s v="ORT-0000010593"/>
    <s v="C000417070"/>
    <s v="WELLS STREET NO 80 WELLS HOUSE THE RIBBON LONDON"/>
    <n v="0"/>
    <n v="1"/>
    <d v="2025-02-04T00:00:00"/>
    <x v="4"/>
  </r>
  <r>
    <s v="ORT-0000010597"/>
    <s v="C000417073"/>
    <s v="JACK TURNBULL MISC TILE &amp; GRID 2025"/>
    <n v="0"/>
    <n v="1"/>
    <d v="2025-02-05T00:00:00"/>
    <x v="4"/>
  </r>
  <r>
    <s v="ORT-0000010598"/>
    <s v="C000417075"/>
    <s v="EVERTON FC TUNNEL CLUB &amp; TRINITY LOUNGE LIVERPOOL"/>
    <n v="3"/>
    <n v="0"/>
    <d v="2025-02-05T00:00:00"/>
    <x v="4"/>
  </r>
  <r>
    <s v="ORT-0000010599"/>
    <s v="C000417078"/>
    <s v="BROADGATE NO 1-2 CAT A WASHROOMS LONDON"/>
    <n v="3"/>
    <n v="0"/>
    <d v="2025-02-05T00:00:00"/>
    <x v="4"/>
  </r>
  <r>
    <s v="ORT-0000010600"/>
    <s v="C000417081"/>
    <s v="TEVIOT ROW HOUSE STUDENT UNION REFURB UNI OF EDINBURGH"/>
    <n v="0"/>
    <n v="1"/>
    <d v="2025-02-05T00:00:00"/>
    <x v="4"/>
  </r>
  <r>
    <s v="ORT-0000010601"/>
    <s v="C000417087"/>
    <s v="PALACE STREET NO 16 CAT A FLOORS 1-2 LONDON"/>
    <n v="0"/>
    <n v="1"/>
    <d v="2025-02-05T00:00:00"/>
    <x v="4"/>
  </r>
  <r>
    <s v="ORT-0000010602"/>
    <s v="C000417091"/>
    <s v="CHEAPSIDE NO 100 CAT B CRAVAITH SWAINE &amp; MOORE LONDON"/>
    <n v="0"/>
    <n v="1"/>
    <d v="2025-02-05T00:00:00"/>
    <x v="4"/>
  </r>
  <r>
    <s v="ORT-0000010603"/>
    <s v="C000417096"/>
    <s v="UNI OF EDINBURGH QMRI FLOORS 2 &amp; 3 REFURB"/>
    <n v="10"/>
    <n v="0"/>
    <d v="2025-02-05T00:00:00"/>
    <x v="4"/>
  </r>
  <r>
    <s v="ORT-0000010604"/>
    <s v="C000417104"/>
    <s v="CENTRAL SQUARE NO 2 CARDIFF"/>
    <n v="1"/>
    <n v="1"/>
    <d v="2025-02-06T00:00:00"/>
    <x v="4"/>
  </r>
  <r>
    <s v="ORT-0000010605"/>
    <s v="C000417105"/>
    <s v="PILGRIM STREET PHASE 2 NEWCASTLE FURTHER DEVELOPMENT"/>
    <n v="5"/>
    <n v="0"/>
    <d v="2025-02-06T00:00:00"/>
    <x v="4"/>
  </r>
  <r>
    <s v="ORT-0000010606"/>
    <s v="C000417106"/>
    <s v="NEW BAILEY NO FOUR REFURB FLR 7 BT MANCHESTER"/>
    <n v="0"/>
    <n v="1"/>
    <d v="2025-02-06T00:00:00"/>
    <x v="4"/>
  </r>
  <r>
    <s v="ORT-0000010607"/>
    <s v="C000417108"/>
    <s v="NEW BAILEY NO FOUR REFURB FLRS 9&amp;10 BT MANCHESTER"/>
    <n v="0"/>
    <n v="1"/>
    <d v="2025-02-06T00:00:00"/>
    <x v="4"/>
  </r>
  <r>
    <s v="ORT-0000010608"/>
    <s v="C000417130"/>
    <s v="DUNDEE CENTRAL WATERFRONT PLOT 6 PHASE 2 DUNDEE"/>
    <n v="0"/>
    <n v="1"/>
    <d v="2025-02-07T00:00:00"/>
    <x v="4"/>
  </r>
  <r>
    <s v="ORT-0000010609"/>
    <s v="C000417131"/>
    <s v="EVERTON FC BRAMLEY MOORE DOCK STADIUM FEATURES LIVERPOOL"/>
    <n v="0"/>
    <n v="1"/>
    <d v="2025-02-07T00:00:00"/>
    <x v="4"/>
  </r>
  <r>
    <s v="ORT-0000010610"/>
    <s v="C000417132"/>
    <s v="THE SLOANE CLUB LOWER SLOANE STREET LONDON"/>
    <n v="0"/>
    <n v="1"/>
    <d v="2025-02-07T00:00:00"/>
    <x v="4"/>
  </r>
  <r>
    <s v="ORT-0000010611"/>
    <s v="C000417133"/>
    <s v="ELMFIELD ROAD NO 26 LOBBY AREA LIGHTING BROMLEY"/>
    <n v="0"/>
    <n v="1"/>
    <d v="2025-02-07T00:00:00"/>
    <x v="4"/>
  </r>
  <r>
    <s v="ORT-0000010612"/>
    <s v="C000417136"/>
    <s v="ARGYLE STREET DEVELOPMENT CAT A GLASGOW"/>
    <n v="18"/>
    <n v="0"/>
    <d v="2025-02-07T00:00:00"/>
    <x v="4"/>
  </r>
  <r>
    <s v="ORT-0000010613"/>
    <s v="C000417138"/>
    <s v="DATA CENTRE MOCK UPS"/>
    <n v="0"/>
    <n v="1"/>
    <d v="2025-02-07T00:00:00"/>
    <x v="4"/>
  </r>
  <r>
    <s v="ORT-0000010614"/>
    <s v="C000417140"/>
    <s v="CURRENCY HOUSE LEVEL 9 FIT OUT BLOOMBERG PHASE 2 DUBAI"/>
    <n v="1"/>
    <n v="1"/>
    <d v="2025-02-07T00:00:00"/>
    <x v="4"/>
  </r>
  <r>
    <s v="ORT-0000010615"/>
    <s v="C000417145"/>
    <s v="OXFORD STREET NO 214 OFFICE BUILDING LONDON"/>
    <n v="2"/>
    <n v="0"/>
    <d v="2025-02-07T00:00:00"/>
    <x v="4"/>
  </r>
  <r>
    <s v="ORT-0000010616"/>
    <s v="C000417146"/>
    <s v="EMBERTON HOUSE OLYMPIA REDEVELOPMENT FIT-OUT LONDON"/>
    <n v="5"/>
    <n v="0"/>
    <d v="2025-02-07T00:00:00"/>
    <x v="4"/>
  </r>
  <r>
    <s v="ORT-0000010618"/>
    <s v="C000417147"/>
    <s v="PETERBOROUGH COURT FLEET STREET NO 133 REFURB LONDON"/>
    <n v="11"/>
    <n v="0"/>
    <d v="2025-02-07T00:00:00"/>
    <x v="4"/>
  </r>
  <r>
    <s v="ORT-0000010619"/>
    <s v="C000417148"/>
    <s v="BIGGIN HILL SAPHIRE HOUSE F1 FLR 1 REFURB KENT"/>
    <n v="7"/>
    <n v="0"/>
    <d v="2025-02-07T00:00:00"/>
    <x v="4"/>
  </r>
  <r>
    <s v="ORT-0000010620"/>
    <s v="C000417153"/>
    <s v="THE STAGE SHOREDITCH BARD &amp; HEWETT AMAZON FIT OUT LONDON"/>
    <n v="0"/>
    <n v="1"/>
    <d v="2025-02-10T00:00:00"/>
    <x v="5"/>
  </r>
  <r>
    <s v="ORT-0000010621"/>
    <s v="C000417156"/>
    <s v="BERKELEY SQUARE HOUSE REFURB LONDON"/>
    <n v="1"/>
    <n v="1"/>
    <d v="2025-02-10T00:00:00"/>
    <x v="5"/>
  </r>
  <r>
    <s v="ORT-0000010622"/>
    <s v="C000417157"/>
    <s v="OLD BURLINGTON STREET NO 25 FLOOR 1 REFURB LONDON"/>
    <n v="0"/>
    <n v="1"/>
    <d v="2025-02-10T00:00:00"/>
    <x v="5"/>
  </r>
  <r>
    <s v="ORT-0000010623"/>
    <s v="C000417159"/>
    <s v="MERLIN PLACE CAMBRIDGE"/>
    <n v="13"/>
    <n v="0"/>
    <d v="2025-02-10T00:00:00"/>
    <x v="5"/>
  </r>
  <r>
    <s v="ORT-0000010624"/>
    <s v="C000416790"/>
    <s v="OXFORD STREET NO 334-348 S&amp;C / LOBBIES LONDON"/>
    <n v="0"/>
    <n v="1"/>
    <d v="2025-02-10T00:00:00"/>
    <x v="5"/>
  </r>
  <r>
    <s v="ORT-0000010625"/>
    <s v="C000417164"/>
    <s v="BLACKFRIARS NO 240 CAT B HDR FLOORS 7-8 LONDON"/>
    <n v="1"/>
    <n v="1"/>
    <d v="2025-02-10T00:00:00"/>
    <x v="5"/>
  </r>
  <r>
    <s v="ORT-0000010626"/>
    <s v="C000417170"/>
    <s v="NEW YORK STREET NO 1 CAT A REFURB FLR 7 &amp; 10 MANCHESTER"/>
    <n v="10"/>
    <n v="0"/>
    <d v="2025-02-10T00:00:00"/>
    <x v="5"/>
  </r>
  <r>
    <s v="ORT-0000010627"/>
    <s v="C000417171"/>
    <s v="WIGMORE STREET NO 42 REFURB LONDON"/>
    <n v="0"/>
    <n v="1"/>
    <d v="2025-02-10T00:00:00"/>
    <x v="5"/>
  </r>
  <r>
    <s v="ORT-0000010628"/>
    <s v="C000417173"/>
    <s v="WIGMORE STREET NO 42 REFURB LONDON"/>
    <n v="13"/>
    <n v="0"/>
    <d v="2025-02-10T00:00:00"/>
    <x v="5"/>
  </r>
  <r>
    <s v="ORT-0000010629"/>
    <s v="C000417176"/>
    <s v="ORION PARK NO 1 SEGRO DAGENHAM"/>
    <n v="1"/>
    <n v="1"/>
    <d v="2025-02-10T00:00:00"/>
    <x v="5"/>
  </r>
  <r>
    <s v="ORT-0000010630"/>
    <s v="C000417179"/>
    <s v="SCHNEIDER ELECTRIC SILICON OASIS DUBAI"/>
    <n v="0"/>
    <n v="1"/>
    <d v="2025-02-10T00:00:00"/>
    <x v="5"/>
  </r>
  <r>
    <s v="ORT-0000010631"/>
    <s v="C000417185"/>
    <s v="DEVONSHIRE HOUSE MAYFAIR PLACE NO 1 LEVELS 3-4 TA LONDON"/>
    <n v="1"/>
    <n v="1"/>
    <d v="2025-02-10T00:00:00"/>
    <x v="5"/>
  </r>
  <r>
    <s v="ORT-0000010632"/>
    <s v="C000417186"/>
    <s v="THORN LIGHTING LTD 2025"/>
    <n v="3"/>
    <n v="0"/>
    <d v="2025-02-10T00:00:00"/>
    <x v="5"/>
  </r>
  <r>
    <s v="ORT-0000010633"/>
    <s v="C000417190"/>
    <s v="HMP NEW HALL PRISON YOI REFURB WAKEFIELD"/>
    <n v="6"/>
    <n v="0"/>
    <d v="2025-02-11T00:00:00"/>
    <x v="5"/>
  </r>
  <r>
    <s v="ORT-0000010634"/>
    <s v="C000417198"/>
    <s v="BISHOPSGATE NO 199 CAT B FLR 9 CROWELL MORING LONDON"/>
    <n v="4"/>
    <n v="0"/>
    <d v="2025-02-11T00:00:00"/>
    <x v="5"/>
  </r>
  <r>
    <s v="ORT-0000010635"/>
    <s v="C000417204"/>
    <s v="ALDERMANBURY SQUARE NO 2 BASINGHALL ST RECEPTION CEILINGS"/>
    <n v="0"/>
    <n v="1"/>
    <d v="2025-02-11T00:00:00"/>
    <x v="5"/>
  </r>
  <r>
    <s v="ORT-0000010636"/>
    <s v="C000413231"/>
    <s v="WORKPLACE INTERIORS MISC 2024"/>
    <n v="0"/>
    <n v="1"/>
    <d v="2025-02-11T00:00:00"/>
    <x v="5"/>
  </r>
  <r>
    <s v="ORT-0000010637"/>
    <s v="C000413231"/>
    <s v="WORKPLACE INTERIORS MISC 2024"/>
    <n v="0"/>
    <n v="1"/>
    <d v="2025-02-11T00:00:00"/>
    <x v="5"/>
  </r>
  <r>
    <s v="ORT-0000010638"/>
    <s v="C000413231"/>
    <s v="WORKPLACE INTERIORS MISC 2024"/>
    <n v="0"/>
    <n v="1"/>
    <d v="2025-02-11T00:00:00"/>
    <x v="5"/>
  </r>
  <r>
    <s v="ORT-0000010639"/>
    <s v="C000413231"/>
    <s v="WORKPLACE INTERIORS MISC 2024"/>
    <n v="0"/>
    <n v="1"/>
    <d v="2025-02-11T00:00:00"/>
    <x v="5"/>
  </r>
  <r>
    <s v="ORT-0000010641"/>
    <s v="C000417211"/>
    <s v="THE PEAK WILTON ROAD NO 5 FLOOR 5 GIP LONDON"/>
    <n v="3"/>
    <n v="0"/>
    <d v="2025-02-11T00:00:00"/>
    <x v="5"/>
  </r>
  <r>
    <s v="ORT-0000010643"/>
    <s v="C000417214"/>
    <s v="SHAFTESBURY AVENUE NO 130 CAT B FLOORS 3-4 TALON LONDON"/>
    <n v="0"/>
    <n v="1"/>
    <d v="2025-02-11T00:00:00"/>
    <x v="5"/>
  </r>
  <r>
    <s v="ORT-0000010644"/>
    <s v="C000417215"/>
    <s v="CHURCH STREET NO 45 FLOORS 3 &amp; 9 BIRMINGHAM"/>
    <n v="1"/>
    <n v="1"/>
    <d v="2025-02-11T00:00:00"/>
    <x v="5"/>
  </r>
  <r>
    <s v="ORT-0000010645"/>
    <s v="C000417216"/>
    <s v="LEADENHALL STREET NO 40 KIRKLAND &amp; ELLIS FLRS 15-34 LONDON"/>
    <n v="0"/>
    <n v="1"/>
    <d v="2025-02-11T00:00:00"/>
    <x v="5"/>
  </r>
  <r>
    <s v="ORT-0000010646"/>
    <s v="C000417217"/>
    <s v="WORKPLACE INTERIORS MISC 2025"/>
    <n v="0"/>
    <n v="1"/>
    <d v="2025-02-11T00:00:00"/>
    <x v="5"/>
  </r>
  <r>
    <s v="ORT-0000010649"/>
    <s v="C000417224"/>
    <s v="THE HALE NO 29-33 TOTTENHAM LONDON"/>
    <n v="1"/>
    <n v="1"/>
    <d v="2025-02-12T00:00:00"/>
    <x v="5"/>
  </r>
  <r>
    <s v="ORT-0000010650"/>
    <s v="C000417225"/>
    <s v="EVERTON FC TUNNEL CLUB &amp; TRINITY LOUNGE LIVERPOOL"/>
    <n v="0"/>
    <n v="1"/>
    <d v="2025-02-12T00:00:00"/>
    <x v="5"/>
  </r>
  <r>
    <s v="ORT-0000010651"/>
    <s v="C000417227"/>
    <s v="OXFORD STREET NO 214 OFFICE BUILDING LONDON"/>
    <n v="1"/>
    <n v="1"/>
    <d v="2025-02-12T00:00:00"/>
    <x v="5"/>
  </r>
  <r>
    <s v="ORT-0000010652"/>
    <s v="C000417229"/>
    <s v="JACK TURNBULL MISC TILE &amp; GRID 2025"/>
    <n v="0"/>
    <n v="1"/>
    <d v="2025-02-12T00:00:00"/>
    <x v="5"/>
  </r>
  <r>
    <s v="ORT-0000010656"/>
    <m/>
    <s v="BLOOMBERG RUE SCRIBE REFURBISHMENT PARIS 2025"/>
    <n v="0"/>
    <n v="1"/>
    <d v="2025-02-13T00:00:00"/>
    <x v="5"/>
  </r>
  <r>
    <s v="ORT-0000010658"/>
    <m/>
    <s v="SONY CENTER BUILDING A"/>
    <n v="12"/>
    <n v="0"/>
    <d v="2025-02-13T00:00:00"/>
    <x v="5"/>
  </r>
  <r>
    <s v="ORT-0000010659"/>
    <s v="C000417241"/>
    <s v="CHURCHILL PLACE NO 5 FLR 2 REFURB LONDON"/>
    <n v="2"/>
    <n v="0"/>
    <d v="2025-02-13T00:00:00"/>
    <x v="5"/>
  </r>
  <r>
    <s v="ORT-0000010660"/>
    <m/>
    <s v="SONY CENTER BUILDING A"/>
    <n v="12"/>
    <n v="0"/>
    <d v="2025-02-13T00:00:00"/>
    <x v="5"/>
  </r>
  <r>
    <s v="ORT-0000010661"/>
    <m/>
    <s v="STATION STREET LOXLEY HOUSE REFURB NOTTINGHAM"/>
    <n v="149"/>
    <n v="0"/>
    <d v="2025-02-13T00:00:00"/>
    <x v="5"/>
  </r>
  <r>
    <s v="ORT-0000010662"/>
    <s v="C000417252"/>
    <s v="LOMBARD STREET NO 1-6 FLOORS 2 &amp; 3 EAST LONDON"/>
    <n v="0"/>
    <n v="1"/>
    <d v="2025-02-13T00:00:00"/>
    <x v="5"/>
  </r>
  <r>
    <s v="ORT-0000010663"/>
    <s v="C000417253"/>
    <s v="DEVONSHIRE SQUARE NO 2-5 PREMIER PLACE CAT B JANE STREET"/>
    <n v="0"/>
    <n v="1"/>
    <d v="2025-02-13T00:00:00"/>
    <x v="5"/>
  </r>
  <r>
    <s v="ORT-0000010664"/>
    <s v="C000417254"/>
    <s v="TRITON SQUARE NO 1 OFFICE / LABS CAT A LONDON"/>
    <n v="9"/>
    <n v="0"/>
    <d v="2025-02-13T00:00:00"/>
    <x v="5"/>
  </r>
  <r>
    <s v="ORT-0000010665"/>
    <s v="C000417255"/>
    <s v="OVAL TOWER REFURB 14TH FLOOR AMSTERDAM"/>
    <n v="8"/>
    <n v="0"/>
    <d v="2025-02-13T00:00:00"/>
    <x v="5"/>
  </r>
  <r>
    <s v="ORT-0000010666"/>
    <s v="C000417258"/>
    <s v="CORNWALL STREET NO 19 OFFICE BIRMINGHAM"/>
    <n v="6"/>
    <n v="0"/>
    <d v="2025-02-13T00:00:00"/>
    <x v="5"/>
  </r>
  <r>
    <s v="ORT-0000010667"/>
    <s v="C000417260"/>
    <s v="NEW STREET SQUARE NO 5 TAYLOR WESSING REFURB LONDON"/>
    <n v="4"/>
    <n v="0"/>
    <d v="2025-02-13T00:00:00"/>
    <x v="5"/>
  </r>
  <r>
    <s v="ORT-0000010668"/>
    <s v="C000417262"/>
    <s v="GRESHAM STREET NO 30 INVESTEC LEVEL 6 LONDON"/>
    <n v="0"/>
    <n v="1"/>
    <d v="2025-02-13T00:00:00"/>
    <x v="5"/>
  </r>
  <r>
    <s v="ORT-0000010669"/>
    <s v="C000417263"/>
    <s v="MANCHESTER SQUARE NO 20 CAT B LAZARD LONDON"/>
    <n v="2"/>
    <n v="0"/>
    <d v="2025-02-13T00:00:00"/>
    <x v="5"/>
  </r>
  <r>
    <s v="ORT-0000010670"/>
    <s v="C000417270"/>
    <s v="UNI OF OXFORD CENTRE FOR LIFE AND MIND SCIENCES"/>
    <n v="6"/>
    <n v="0"/>
    <d v="2025-02-14T00:00:00"/>
    <x v="5"/>
  </r>
  <r>
    <s v="ORT-0000010671"/>
    <s v="C000417271"/>
    <s v="CAREY OLSEN ESPLANADE NO 47 REFURB JERSEY"/>
    <n v="1"/>
    <n v="1"/>
    <d v="2025-02-14T00:00:00"/>
    <x v="5"/>
  </r>
  <r>
    <s v="ORT-0000010672"/>
    <s v="C000417272"/>
    <s v="VICTORIA HOUSE BLOOMSBURY SQUARE LONDON"/>
    <n v="0"/>
    <n v="1"/>
    <d v="2025-02-14T00:00:00"/>
    <x v="5"/>
  </r>
  <r>
    <s v="ORT-0000010673"/>
    <s v="C000417273"/>
    <s v="QUEENS BUILDING EXTENSION BRENTWOOD SCHOOL"/>
    <n v="7"/>
    <n v="0"/>
    <d v="2025-02-14T00:00:00"/>
    <x v="5"/>
  </r>
  <r>
    <s v="ORT-0000010674"/>
    <s v="C000417275"/>
    <s v="BUNHILL ROW NO 1 SLAUGHTER &amp; MAY CAT A REFURB LONDON"/>
    <n v="9"/>
    <n v="0"/>
    <d v="2025-02-14T00:00:00"/>
    <x v="5"/>
  </r>
  <r>
    <s v="ORT-0000010675"/>
    <s v="C000417276"/>
    <s v="NEW STREET SQUARE NO 5 TAYLOR WESSING REFURB LONDON"/>
    <n v="0"/>
    <n v="1"/>
    <d v="2025-02-14T00:00:00"/>
    <x v="5"/>
  </r>
  <r>
    <s v="ORT-0000010676"/>
    <m/>
    <s v="SONY CENTER BUILDING A"/>
    <n v="11"/>
    <n v="0"/>
    <d v="2025-02-14T00:00:00"/>
    <x v="5"/>
  </r>
  <r>
    <s v="ORT-0000010677"/>
    <s v="C000417282"/>
    <s v="WOOLWICH LEISURE CENTRE PHASE 1 TRAMSHED THEATRE LONDON"/>
    <n v="1"/>
    <n v="1"/>
    <d v="2025-02-14T00:00:00"/>
    <x v="5"/>
  </r>
  <r>
    <s v="ORT-0000010678"/>
    <s v="C000417285"/>
    <s v="MIDCITY PLACE HIGH HOLBORN NO 71 REFURB LONDON"/>
    <n v="3"/>
    <n v="0"/>
    <d v="2025-02-14T00:00:00"/>
    <x v="5"/>
  </r>
  <r>
    <s v="ORT-0000010681"/>
    <s v="C000417289"/>
    <s v="BLOOMSBURY STREET NO 21 CAT A FITOUT LONDON"/>
    <n v="0"/>
    <n v="1"/>
    <d v="2025-02-17T00:00:00"/>
    <x v="6"/>
  </r>
  <r>
    <s v="ORT-0000010682"/>
    <s v="C000417290"/>
    <s v="WHITE &amp; CASE OLD BROAD STREET NO 5 REFURB LONDON"/>
    <n v="2"/>
    <n v="0"/>
    <d v="2025-02-17T00:00:00"/>
    <x v="6"/>
  </r>
  <r>
    <s v="ORT-0000010683"/>
    <s v="C000417292"/>
    <s v="JACK TURNBULL MISC TILE &amp; GRID 2025"/>
    <n v="0"/>
    <n v="1"/>
    <d v="2025-02-17T00:00:00"/>
    <x v="6"/>
  </r>
  <r>
    <s v="ORT-0000010684"/>
    <s v="C000417295"/>
    <s v="ALMACK HOUSE KING STREET NO 28 REFURB LONDON"/>
    <n v="0"/>
    <n v="1"/>
    <d v="2025-02-17T00:00:00"/>
    <x v="6"/>
  </r>
  <r>
    <s v="ORT-0000010685"/>
    <s v="C000417296"/>
    <s v="CHARTERHOUSE STREET NO 33 THREE CROWNS FLR 8 LONDON"/>
    <n v="4"/>
    <n v="0"/>
    <d v="2025-02-17T00:00:00"/>
    <x v="6"/>
  </r>
  <r>
    <s v="ORT-0000010686"/>
    <s v="C000417298"/>
    <s v="BISHOPSGATE NO 8 FLOORS 10-15 CFC UNDERWRITING LONDON"/>
    <n v="2"/>
    <n v="0"/>
    <d v="2025-02-17T00:00:00"/>
    <x v="6"/>
  </r>
  <r>
    <s v="ORT-0000010687"/>
    <s v="C000417310"/>
    <s v="CITY POINT ROPEMAKER STREET FLR 16 REFURB LONDON"/>
    <n v="2"/>
    <n v="0"/>
    <d v="2025-02-17T00:00:00"/>
    <x v="6"/>
  </r>
  <r>
    <s v="ORT-0000010688"/>
    <s v="C000417311"/>
    <s v="SCHNEIDER ELECTRIC SILICON OASIS DUBAI"/>
    <n v="0"/>
    <n v="1"/>
    <d v="2025-02-17T00:00:00"/>
    <x v="6"/>
  </r>
  <r>
    <s v="ORT-0000010689"/>
    <s v="C000417321"/>
    <s v="THE CURSITOR CHANCERY LANE NO 38 CAT A REFURB LONDON"/>
    <n v="1"/>
    <n v="1"/>
    <d v="2025-02-18T00:00:00"/>
    <x v="6"/>
  </r>
  <r>
    <s v="ORT-0000010690"/>
    <s v="C000417323"/>
    <s v="BISHOPSGATE NO 199 CAT B FLR 9 CROWELL MORING LONDON"/>
    <n v="0"/>
    <n v="1"/>
    <d v="2025-02-18T00:00:00"/>
    <x v="6"/>
  </r>
  <r>
    <s v="ORT-0000010691"/>
    <s v="C000417326"/>
    <s v="CURZON STREET NO 1 GRND &amp; FLR 4 REFURB LONDON"/>
    <n v="1"/>
    <n v="1"/>
    <d v="2025-02-18T00:00:00"/>
    <x v="6"/>
  </r>
  <r>
    <s v="ORT-0000010692"/>
    <s v="C000417327"/>
    <s v="CITY POINT ROPEMAKER STREET FLR 16 REFURB LONDON"/>
    <n v="0"/>
    <n v="1"/>
    <d v="2025-02-18T00:00:00"/>
    <x v="6"/>
  </r>
  <r>
    <s v="ORT-0000010693"/>
    <s v="C000417331"/>
    <s v="BISHOPSGATE NO 199 CAT B FLR 9 CROWELL MORING LONDON"/>
    <n v="0"/>
    <n v="1"/>
    <d v="2025-02-18T00:00:00"/>
    <x v="6"/>
  </r>
  <r>
    <s v="ORT-0000010694"/>
    <s v="C000417340"/>
    <s v="THE NORTHCLIFFE TUDOR STREET CAT B IRWIN MITCHELL LONDON"/>
    <n v="4"/>
    <n v="0"/>
    <d v="2025-02-18T00:00:00"/>
    <x v="6"/>
  </r>
  <r>
    <s v="ORT-0000010695"/>
    <s v="C000417353"/>
    <s v="SAINSBURYS MISC 2025"/>
    <n v="1"/>
    <n v="1"/>
    <d v="2025-02-18T00:00:00"/>
    <x v="6"/>
  </r>
  <r>
    <s v="ORT-0000010696"/>
    <s v="C000417355"/>
    <s v="CANARY WHARF BP1 BARCLAYS HQ REFURB LONDON"/>
    <n v="4"/>
    <n v="0"/>
    <d v="2025-02-18T00:00:00"/>
    <x v="6"/>
  </r>
  <r>
    <s v="ORT-0000010698"/>
    <s v="C000417366"/>
    <s v="BISHOPSGATE NO 199 CAT B FLR 9 LIGHTING LONDON"/>
    <n v="1"/>
    <n v="1"/>
    <d v="2025-02-19T00:00:00"/>
    <x v="6"/>
  </r>
  <r>
    <s v="ORT-0000010702"/>
    <s v="C000417376"/>
    <s v="EVERTON FC TUNNEL CLUB &amp; TRINITY LOUNGE LIVERPOOL"/>
    <n v="0"/>
    <n v="1"/>
    <d v="2025-02-19T00:00:00"/>
    <x v="6"/>
  </r>
  <r>
    <s v="ORT-0000010703"/>
    <s v="C000417379"/>
    <s v="EVERTON FC TUNNEL CLUB &amp; TRINITY LOUNGE LIVERPOOL"/>
    <n v="0"/>
    <n v="1"/>
    <d v="2025-02-19T00:00:00"/>
    <x v="6"/>
  </r>
  <r>
    <s v="ORT-0000010704"/>
    <s v="C000417382"/>
    <s v="EVERTON FC TUNNEL CLUB &amp; TRINITY LOUNGE LIVERPOOL"/>
    <n v="0"/>
    <n v="1"/>
    <d v="2025-02-19T00:00:00"/>
    <x v="6"/>
  </r>
  <r>
    <s v="ORT-0000010705"/>
    <s v="C000417384"/>
    <s v="NATIONAL ARCHIVES CLORE LEARNING CENTRE KEW PHASE 2 LONDON"/>
    <n v="1"/>
    <n v="1"/>
    <d v="2025-02-19T00:00:00"/>
    <x v="6"/>
  </r>
  <r>
    <s v="ORT-0000010707"/>
    <s v="C000417386"/>
    <s v="ROYAL MARSDEN HOSPITAL DOWNS ROAD SUTTON"/>
    <n v="2"/>
    <n v="0"/>
    <d v="2025-02-20T00:00:00"/>
    <x v="6"/>
  </r>
  <r>
    <s v="ORT-0000010708"/>
    <s v="C000417387"/>
    <s v="HARWELL SCIENCE PARK QUAD 3 OFFICES DIDCOT"/>
    <n v="0"/>
    <n v="1"/>
    <d v="2025-02-20T00:00:00"/>
    <x v="6"/>
  </r>
  <r>
    <s v="ORT-0000010709"/>
    <s v="C000417388"/>
    <s v="QUEEN VICTORIA STREET NO 71 FLR 3 REFURB LONDON"/>
    <n v="3"/>
    <n v="0"/>
    <d v="2025-02-20T00:00:00"/>
    <x v="6"/>
  </r>
  <r>
    <s v="ORT-0000010710"/>
    <s v="C000417390"/>
    <s v="CREECHURCH STREET NO 1 HOWDEN GROUP REFURB LONDON"/>
    <n v="5"/>
    <n v="0"/>
    <d v="2025-02-20T00:00:00"/>
    <x v="6"/>
  </r>
  <r>
    <s v="ORT-0000010711"/>
    <s v="C000417391"/>
    <s v="GROSVENOR PLACE NO 40 CAT A REFURB LONDON"/>
    <n v="0"/>
    <n v="1"/>
    <d v="2025-02-20T00:00:00"/>
    <x v="6"/>
  </r>
  <r>
    <s v="ORT-0000010712"/>
    <s v="C000417392"/>
    <s v="EQ BUILDING VICTORIA ST NO 111 FLR 4 EVELYN CAT B BRISTOL"/>
    <n v="0"/>
    <n v="1"/>
    <d v="2025-02-20T00:00:00"/>
    <x v="6"/>
  </r>
  <r>
    <s v="ORT-0000010713"/>
    <s v="C000417398"/>
    <s v="HOPTON STREET NO 71 THE GREEN WALK LONDON"/>
    <n v="0"/>
    <n v="1"/>
    <d v="2025-02-20T00:00:00"/>
    <x v="6"/>
  </r>
  <r>
    <s v="ORT-0000010714"/>
    <s v="C000417399"/>
    <s v="THORN LIGHTING LTD 2025"/>
    <n v="3"/>
    <n v="0"/>
    <d v="2025-02-20T00:00:00"/>
    <x v="6"/>
  </r>
  <r>
    <s v="ORT-0000010715"/>
    <s v="C000417403"/>
    <s v="WILTON ROAD NO 129 TRIDENT ENERGY REFURB FLRS 7 &amp; 8 LONDON"/>
    <n v="2"/>
    <n v="0"/>
    <d v="2025-02-20T00:00:00"/>
    <x v="6"/>
  </r>
  <r>
    <s v="ORT-0000010716"/>
    <s v="C000417404"/>
    <s v="BMS CHESTER CONFERENCE ROOM REFURB"/>
    <n v="2"/>
    <n v="0"/>
    <d v="2025-02-20T00:00:00"/>
    <x v="6"/>
  </r>
  <r>
    <s v="ORT-0000010717"/>
    <s v="C000417405"/>
    <s v="NEW STREET SQUARE NO 5 TAYLOR WESSING REFURB LONDON"/>
    <n v="0"/>
    <n v="1"/>
    <d v="2025-02-20T00:00:00"/>
    <x v="6"/>
  </r>
  <r>
    <s v="ORT-0000010718"/>
    <s v="C000417408"/>
    <s v="UNKNOWN"/>
    <n v="3"/>
    <n v="0"/>
    <d v="2025-02-20T00:00:00"/>
    <x v="6"/>
  </r>
  <r>
    <s v="ORT-0000010719"/>
    <s v="C000417410"/>
    <s v="DATUM MCR2 DATA CENTRE MANCHESTER DATA HALLS"/>
    <n v="0"/>
    <n v="1"/>
    <d v="2025-02-20T00:00:00"/>
    <x v="6"/>
  </r>
  <r>
    <s v="ORT-0000010720"/>
    <s v="C000417413"/>
    <s v="HAYS GALLERIA SHACKLETON HOUSE CAT A REFURB FLR 5 LONDON"/>
    <n v="4"/>
    <n v="0"/>
    <d v="2025-02-20T00:00:00"/>
    <x v="6"/>
  </r>
  <r>
    <s v="ORT-0000010722"/>
    <s v="C000417416"/>
    <s v="SCOTLAND &amp; NORTH EAST MISC 2025"/>
    <n v="1"/>
    <n v="1"/>
    <d v="2025-02-21T00:00:00"/>
    <x v="6"/>
  </r>
  <r>
    <s v="ORT-0000010723"/>
    <s v="C000417417"/>
    <s v="OLIVER BROSCH MISC 2025"/>
    <n v="1"/>
    <n v="1"/>
    <d v="2025-02-21T00:00:00"/>
    <x v="6"/>
  </r>
  <r>
    <s v="ORT-0000010724"/>
    <s v="C000417418"/>
    <s v="HEATHROW WEST BUSINESS PARK UNIT D2 SLOUGH"/>
    <n v="0"/>
    <n v="1"/>
    <d v="2025-02-21T00:00:00"/>
    <x v="6"/>
  </r>
  <r>
    <s v="ORT-0000010725"/>
    <s v="C000417419"/>
    <s v="TURING COURT NO 1 CARECO HQ BRAINTREE"/>
    <n v="2"/>
    <n v="0"/>
    <d v="2025-02-21T00:00:00"/>
    <x v="6"/>
  </r>
  <r>
    <s v="ORT-0000010726"/>
    <s v="C000417420"/>
    <s v="FORSEVEN INTERIM HQ BICESTER"/>
    <n v="0"/>
    <n v="1"/>
    <d v="2025-02-21T00:00:00"/>
    <x v="6"/>
  </r>
  <r>
    <s v="ORT-0000010727"/>
    <s v="C000417423"/>
    <s v="NORTH MISC 2025 - CHRIS EDGE"/>
    <n v="1"/>
    <n v="1"/>
    <d v="2025-02-21T00:00:00"/>
    <x v="6"/>
  </r>
  <r>
    <s v="ORT-0000010728"/>
    <s v="C000417425"/>
    <s v="MILLENIUM CAPITAL ICD L26 DUBAI PHASE 2"/>
    <n v="1"/>
    <n v="1"/>
    <d v="2025-02-21T00:00:00"/>
    <x v="6"/>
  </r>
  <r>
    <s v="ORT-0000010729"/>
    <s v="C000417427"/>
    <s v="WHITE &amp; CASE OLD BROAD STREET NO 5 REFURB LONDON"/>
    <n v="2"/>
    <n v="0"/>
    <d v="2025-02-21T00:00:00"/>
    <x v="6"/>
  </r>
  <r>
    <s v="ORT-0000010730"/>
    <s v="C000417431"/>
    <s v="UNI OF OXFORD CENTRE FOR LIFE AND MIND SCIENCES"/>
    <n v="0"/>
    <n v="1"/>
    <d v="2025-02-21T00:00:00"/>
    <x v="6"/>
  </r>
  <r>
    <s v="ORT-0000010733"/>
    <s v="C000417434"/>
    <s v="MORE LONDON RIVERSIDE NO 7 PWC REFRESH LONDON"/>
    <n v="3"/>
    <n v="0"/>
    <d v="2025-02-21T00:00:00"/>
    <x v="6"/>
  </r>
  <r>
    <s v="ORT-0000010734"/>
    <s v="C000417445"/>
    <s v="SALFORD CENTRAL PLOT C2 FOUR NEW BAILEY"/>
    <n v="3"/>
    <n v="0"/>
    <d v="2025-02-24T00:00:00"/>
    <x v="7"/>
  </r>
  <r>
    <s v="ORT-0000010735"/>
    <s v="C000417447"/>
    <s v="UNI OF OXFORD CENTRE FOR LIFE AND MIND SCIENCES"/>
    <n v="3"/>
    <n v="0"/>
    <d v="2025-02-24T00:00:00"/>
    <x v="7"/>
  </r>
  <r>
    <s v="ORT-0000010736"/>
    <s v="C000417449"/>
    <s v="ALPHA BANK ATHENS"/>
    <n v="1"/>
    <n v="1"/>
    <d v="2025-02-24T00:00:00"/>
    <x v="7"/>
  </r>
  <r>
    <s v="ORT-0000010737"/>
    <s v="C000417450"/>
    <s v="CHARING CROSS ROAD NO 127-133 LONDON"/>
    <n v="3"/>
    <n v="0"/>
    <d v="2025-02-24T00:00:00"/>
    <x v="7"/>
  </r>
  <r>
    <s v="ORT-0000010738"/>
    <s v="C000417452"/>
    <s v="BOTANICAL PLACE WEST BYFLEET BLOCK C REFURB"/>
    <n v="3"/>
    <n v="0"/>
    <d v="2025-02-24T00:00:00"/>
    <x v="7"/>
  </r>
  <r>
    <s v="ORT-0000010739"/>
    <s v="C000417454"/>
    <s v="VICTORIA HOUSE BLOOMSBURY SQUARE LONDON"/>
    <n v="0"/>
    <n v="1"/>
    <d v="2025-02-24T00:00:00"/>
    <x v="7"/>
  </r>
  <r>
    <s v="ORT-0000010740"/>
    <s v="C000417455"/>
    <s v="AIR STREET NO 20 CAT B PAUL WEISS LONDON"/>
    <n v="1"/>
    <n v="1"/>
    <d v="2025-02-24T00:00:00"/>
    <x v="7"/>
  </r>
  <r>
    <s v="ORT-0000010741"/>
    <s v="C000417457"/>
    <s v="SAMPLE ROOM READING"/>
    <n v="2"/>
    <n v="0"/>
    <d v="2025-02-24T00:00:00"/>
    <x v="7"/>
  </r>
  <r>
    <s v="ORT-0000010742"/>
    <s v="C000417460"/>
    <s v="CANARY WHARF CANADA SQUARE NO 25 CITIBANK REFURB LONDON"/>
    <n v="2"/>
    <n v="0"/>
    <d v="2025-02-24T00:00:00"/>
    <x v="7"/>
  </r>
  <r>
    <s v="ORT-0000010743"/>
    <s v="C000417463"/>
    <s v="ST VINCENT STREET NO 220 LEVEL 4 CAT A REFURB GLASGOW"/>
    <n v="1"/>
    <n v="1"/>
    <d v="2025-02-24T00:00:00"/>
    <x v="7"/>
  </r>
  <r>
    <s v="ORT-0000010745"/>
    <s v="C000417472"/>
    <s v="NDA - DEWA HQ TROX TILES DUBAI"/>
    <n v="0"/>
    <n v="1"/>
    <d v="2025-02-24T00:00:00"/>
    <x v="7"/>
  </r>
  <r>
    <s v="ORT-0000010747"/>
    <s v="C000417478"/>
    <s v="NEW STREET SQUARE NO 5 TAYLOR WESSING REFURB LONDON"/>
    <n v="1"/>
    <n v="1"/>
    <d v="2025-02-24T00:00:00"/>
    <x v="7"/>
  </r>
  <r>
    <s v="ORT-0000010748"/>
    <s v="C000417479"/>
    <s v="BISHOPSGATE NO 8 FLOORS 10-15 CFC UNDERWRITING LONDON"/>
    <n v="2"/>
    <n v="0"/>
    <d v="2025-02-24T00:00:00"/>
    <x v="7"/>
  </r>
  <r>
    <s v="ORT-0000010750"/>
    <s v="C000417493"/>
    <s v="FORMER TYNECASTLE SCHOOL STUDENT ACCOM ADDITIONALS EDINBURGH"/>
    <n v="0"/>
    <n v="1"/>
    <d v="2025-02-25T00:00:00"/>
    <x v="7"/>
  </r>
  <r>
    <s v="ORT-0000010751"/>
    <s v="C000417494"/>
    <s v="ST MARYS AXE NO 30 REMEDIAL LONDON"/>
    <n v="2"/>
    <n v="0"/>
    <d v="2025-02-25T00:00:00"/>
    <x v="7"/>
  </r>
  <r>
    <s v="ORT-0000010752"/>
    <s v="C000417497"/>
    <s v="LOWER MARSH NO 1-5 LOMA DEVELOPMENT LONDON"/>
    <n v="0"/>
    <n v="1"/>
    <d v="2025-02-25T00:00:00"/>
    <x v="7"/>
  </r>
  <r>
    <s v="ORT-0000010753"/>
    <s v="C000417499"/>
    <s v="CHADWICK HOUSE BIRCHWOOD PARK RISLEY WARRINGTON"/>
    <n v="0"/>
    <n v="1"/>
    <d v="2025-02-25T00:00:00"/>
    <x v="7"/>
  </r>
  <r>
    <s v="ORT-0000010754"/>
    <s v="C000417500"/>
    <s v="CENTRE CITY TOWER FLR 10 REFURB HILL STREET NO 7 BIRMINGHAM"/>
    <n v="0"/>
    <n v="1"/>
    <d v="2025-02-25T00:00:00"/>
    <x v="7"/>
  </r>
  <r>
    <s v="ORT-0000010755"/>
    <s v="CF00000503"/>
    <s v="BARCLAYS PARIS INVESTMENT BANK"/>
    <n v="0"/>
    <n v="1"/>
    <d v="2025-02-25T00:00:00"/>
    <x v="7"/>
  </r>
  <r>
    <s v="ORT-0000010756"/>
    <s v="C000417508"/>
    <s v="KINGS ROAD NO 120 LIBERTY GLOBAL FABRIC LONDON"/>
    <n v="0"/>
    <n v="1"/>
    <d v="2025-02-25T00:00:00"/>
    <x v="7"/>
  </r>
  <r>
    <s v="ORT-0000010757"/>
    <s v="C000417510"/>
    <s v="BEDFORD AVENUE NO 1 REFURB LONDON"/>
    <n v="1"/>
    <n v="1"/>
    <d v="2025-02-25T00:00:00"/>
    <x v="7"/>
  </r>
  <r>
    <s v="ORT-0000010758"/>
    <s v="CF00000502"/>
    <s v="ALPHA BANK ATHENS"/>
    <n v="0"/>
    <n v="1"/>
    <d v="2025-02-25T00:00:00"/>
    <x v="7"/>
  </r>
  <r>
    <s v="ORT-0000010759"/>
    <s v="CF00000494"/>
    <s v="TOUR MAJUNGA PARIS REFURBISHMENT 2024"/>
    <n v="0"/>
    <n v="1"/>
    <d v="2025-02-25T00:00:00"/>
    <x v="7"/>
  </r>
  <r>
    <s v="ORT-0000010760"/>
    <s v="CF00000499"/>
    <s v="BLOOMBERG RUE SCRIBE REFURBISHMENT PARIS 2025"/>
    <n v="0"/>
    <n v="1"/>
    <d v="2025-02-25T00:00:00"/>
    <x v="7"/>
  </r>
  <r>
    <s v="ORT-0000010761"/>
    <s v="CF00000501"/>
    <s v="LUSO PLAQUE &amp; PLATRE STOCK"/>
    <n v="0"/>
    <n v="1"/>
    <d v="2025-02-25T00:00:00"/>
    <x v="7"/>
  </r>
  <r>
    <s v="ORT-0000010762"/>
    <s v="C000417521"/>
    <s v="NICK DRAKE NORTHERN HOME COUNTIES MISC 2024 / 25"/>
    <n v="4"/>
    <n v="0"/>
    <d v="2025-02-25T00:00:00"/>
    <x v="7"/>
  </r>
  <r>
    <s v="ORT-0000010763"/>
    <s v="C000417522"/>
    <s v="LEADENHALL STREET NO 40 KIRKLAND &amp; ELLIS FLRS 15-34 LONDON"/>
    <n v="0"/>
    <n v="1"/>
    <d v="2025-02-25T00:00:00"/>
    <x v="7"/>
  </r>
  <r>
    <s v="ORT-0000010764"/>
    <s v="C000417530"/>
    <s v="WELBECK STREET NO 5 CLOSE BROTHERS HQ LONDON"/>
    <n v="0"/>
    <n v="1"/>
    <d v="2025-02-26T00:00:00"/>
    <x v="7"/>
  </r>
  <r>
    <s v="ORT-0000010765"/>
    <s v="C000417538"/>
    <s v="SKY STUDIOS GRANT WAY L2 &amp; L4 REFURB LONDON"/>
    <n v="0"/>
    <n v="1"/>
    <d v="2025-02-26T00:00:00"/>
    <x v="7"/>
  </r>
  <r>
    <s v="ORT-0000010766"/>
    <s v="C000417540"/>
    <s v="FINSBURY CIRCUS NO 8 CAT B GRANT THORNTON LONDON"/>
    <n v="5"/>
    <n v="0"/>
    <d v="2025-02-26T00:00:00"/>
    <x v="7"/>
  </r>
  <r>
    <s v="ORT-0000010767"/>
    <s v="C000417545"/>
    <s v="MARKS AND SPENCER PUDSEY"/>
    <n v="0"/>
    <n v="1"/>
    <d v="2025-02-26T00:00:00"/>
    <x v="7"/>
  </r>
  <r>
    <s v="ORT-0000010768"/>
    <s v="C000417546"/>
    <s v="KING STREET OFFICE DEVELOPMENT BLACKPOOL LIGHTING"/>
    <n v="1"/>
    <n v="1"/>
    <d v="2025-02-26T00:00:00"/>
    <x v="7"/>
  </r>
  <r>
    <s v="ORT-0000010769"/>
    <s v="C000417555"/>
    <s v="ARIMA OFFICES MADRID"/>
    <n v="19"/>
    <n v="0"/>
    <d v="2025-02-26T00:00:00"/>
    <x v="7"/>
  </r>
  <r>
    <s v="ORT-0000010770"/>
    <s v="C000417556"/>
    <s v="UNI OF OXFORD TRINITY COLLEGE KITCHEN OXFORD"/>
    <n v="0"/>
    <n v="1"/>
    <d v="2025-02-26T00:00:00"/>
    <x v="7"/>
  </r>
  <r>
    <s v="ORT-0000010773"/>
    <s v="C000417565"/>
    <s v="LEADENHALL STREET NO 40 KIRKLAND &amp; ELLIS FLRS 15-34 LONDON"/>
    <n v="1"/>
    <n v="1"/>
    <d v="2025-02-27T00:00:00"/>
    <x v="7"/>
  </r>
  <r>
    <s v="ORT-0000010774"/>
    <s v="C000417573"/>
    <s v="STRAND NO 40 FLR 3 REFURB LONDON"/>
    <n v="2"/>
    <n v="0"/>
    <d v="2025-02-27T00:00:00"/>
    <x v="7"/>
  </r>
  <r>
    <s v="ORT-0000010775"/>
    <m/>
    <s v="BOTHWELL STREET NO 120 FLS 8 &amp; 9 CAT B FITOUT GLASGOW"/>
    <n v="139"/>
    <n v="0"/>
    <d v="2025-02-27T00:00:00"/>
    <x v="7"/>
  </r>
  <r>
    <s v="ORT-0000010776"/>
    <s v="C000417578"/>
    <s v="BRISTOL AIRPORT WC AREAS REFURB BRISTOL"/>
    <n v="0"/>
    <n v="1"/>
    <d v="2025-02-27T00:00:00"/>
    <x v="7"/>
  </r>
  <r>
    <s v="ORT-0000010777"/>
    <s v="C000417581"/>
    <s v="KADANS HEALTH INNOVATION HUB GLASGOW"/>
    <n v="5"/>
    <n v="0"/>
    <d v="2025-02-27T00:00:00"/>
    <x v="7"/>
  </r>
  <r>
    <s v="ORT-0000010778"/>
    <s v="C000417582"/>
    <s v="TURING COURT NO 1 CARECO HQ BRAINTREE"/>
    <n v="0"/>
    <n v="1"/>
    <d v="2025-02-27T00:00:00"/>
    <x v="7"/>
  </r>
  <r>
    <s v="ORT-0000010779"/>
    <s v="C000417583"/>
    <s v="KING STREET OFFICE DEVELOPMENT BLACKPOOL"/>
    <n v="0"/>
    <n v="1"/>
    <d v="2025-02-27T00:00:00"/>
    <x v="7"/>
  </r>
  <r>
    <s v="ORT-0000010780"/>
    <s v="C000417599"/>
    <s v="MANCHESTER AIRPORT T2 EAST CHECK IN AREAS"/>
    <n v="0"/>
    <n v="1"/>
    <d v="2025-02-27T00:00:00"/>
    <x v="7"/>
  </r>
  <r>
    <s v="ORT-0000010781"/>
    <s v="C000417603"/>
    <s v="DEWA HQ AL SHERAA BUILDING (B+G+4P+15) AL JADDAF"/>
    <n v="2"/>
    <n v="0"/>
    <d v="2025-02-27T00:00:00"/>
    <x v="7"/>
  </r>
  <r>
    <s v="ORT-0000010783"/>
    <s v="C000417611"/>
    <s v="GRESHAM STREET NO 30 INVESTEC LEVEL 6 LONDON"/>
    <n v="0"/>
    <n v="1"/>
    <d v="2025-02-28T00:00:00"/>
    <x v="7"/>
  </r>
  <r>
    <s v="ORT-0000010784"/>
    <s v="C000417618"/>
    <s v="SMITHFIELD MARKET GENERAL MARKET MUSEUM OF LONDON CEILINGS"/>
    <n v="4"/>
    <n v="0"/>
    <d v="2025-02-28T00:00:00"/>
    <x v="7"/>
  </r>
  <r>
    <s v="ORT-0000010785"/>
    <s v="C000417623"/>
    <s v="QUEENSBOROUGH TERRACE NO 49-67 BAYSWATER LONDON"/>
    <n v="3"/>
    <n v="0"/>
    <d v="2025-02-28T00:00:00"/>
    <x v="7"/>
  </r>
  <r>
    <s v="ORT-0000010786"/>
    <s v="C000417624"/>
    <s v="HEATHROW T5 WS4 REFURB LONDON"/>
    <n v="1"/>
    <n v="1"/>
    <d v="2025-02-28T00:00:00"/>
    <x v="7"/>
  </r>
  <r>
    <s v="ORT-0000010787"/>
    <s v="C000417625"/>
    <s v="NEW STREET SQUARE NO 5 TAYLOR WESSING REFURB LONDON"/>
    <n v="1"/>
    <n v="1"/>
    <d v="2025-02-28T00:00:00"/>
    <x v="7"/>
  </r>
  <r>
    <s v="ORT-0000010788"/>
    <s v="C000417628"/>
    <s v="NEW STREET SQUARE NO 5 TAYLOR WESSING REFURB LONDON"/>
    <n v="0"/>
    <n v="1"/>
    <d v="2025-02-28T00:00:00"/>
    <x v="7"/>
  </r>
  <r>
    <s v="ORT-0000010789"/>
    <s v="C000417630"/>
    <s v="FETTER LANE NO 100 CORE AREAS LONDON"/>
    <n v="6"/>
    <n v="0"/>
    <d v="2025-02-28T00:00:00"/>
    <x v="7"/>
  </r>
  <r>
    <s v="ORT-0000010790"/>
    <s v="C000417632"/>
    <s v="THREADNEEDLE STREET NO 60 CAT A FLOOR 8 LONDON"/>
    <n v="1"/>
    <n v="1"/>
    <d v="2025-02-28T00:00:00"/>
    <x v="7"/>
  </r>
  <r>
    <s v="ORT-0000010791"/>
    <s v="C000417633"/>
    <s v="ALDERMANBURY SQUARE NO 2 BASINGHALL STREET LONDON"/>
    <n v="1"/>
    <n v="1"/>
    <d v="2025-02-28T00:00:00"/>
    <x v="7"/>
  </r>
  <r>
    <s v="ORT-0000010793"/>
    <s v="C000417637"/>
    <s v="FENCHURCH STREET NO 80 EIGHTYFEN AVIVA PH 2 LONDON"/>
    <n v="3"/>
    <n v="0"/>
    <d v="2025-03-03T00:00:00"/>
    <x v="8"/>
  </r>
  <r>
    <s v="ORT-0000010794"/>
    <s v="C000417639"/>
    <s v="WORKPLACE INTERIORS MISC 2025"/>
    <n v="3"/>
    <n v="0"/>
    <d v="2025-03-03T00:00:00"/>
    <x v="8"/>
  </r>
  <r>
    <s v="ORT-0000010795"/>
    <s v="C000417640"/>
    <s v="CORCEGA 331 SURE BARCELONA"/>
    <n v="0"/>
    <n v="1"/>
    <d v="2025-03-03T00:00:00"/>
    <x v="8"/>
  </r>
  <r>
    <s v="ORT-0000010796"/>
    <s v="C000417641"/>
    <s v="AIR STREET NO 20 CAT B PAUL WEISS LONDON"/>
    <n v="5"/>
    <n v="0"/>
    <d v="2025-03-03T00:00:00"/>
    <x v="8"/>
  </r>
  <r>
    <s v="ORT-0000010797"/>
    <s v="C000417647"/>
    <s v="JACK TURNBULL MISC TILE &amp; GRID 2025"/>
    <n v="2"/>
    <n v="0"/>
    <d v="2025-03-03T00:00:00"/>
    <x v="8"/>
  </r>
  <r>
    <s v="ORT-0000010798"/>
    <s v="C000417649"/>
    <s v="HSBC B-VITAL AMSTERDAM"/>
    <n v="6"/>
    <n v="0"/>
    <d v="2025-03-03T00:00:00"/>
    <x v="8"/>
  </r>
  <r>
    <s v="ORT-0000010799"/>
    <s v="C000417653"/>
    <s v="HOLBORN GATE HIGH HOLBORN 326-330 PICK EVERARD REFURB LONDON"/>
    <n v="0"/>
    <n v="1"/>
    <d v="2025-03-03T00:00:00"/>
    <x v="8"/>
  </r>
  <r>
    <s v="ORT-0000010800"/>
    <s v="C000417656"/>
    <s v="MANCHESTER COLLEGE CITY CENTRE CAMPUS MANCHESTER ADDITIONS"/>
    <n v="3"/>
    <n v="0"/>
    <d v="2025-03-03T00:00:00"/>
    <x v="8"/>
  </r>
  <r>
    <s v="ORT-0000010801"/>
    <s v="C000417657"/>
    <s v="THORN LIGHTING LTD 2025"/>
    <n v="5"/>
    <n v="0"/>
    <d v="2025-03-03T00:00:00"/>
    <x v="8"/>
  </r>
  <r>
    <s v="ORT-0000010802"/>
    <s v="C000417658"/>
    <s v="THORN LIGHTING LTD 2025"/>
    <n v="5"/>
    <n v="0"/>
    <d v="2025-03-03T00:00:00"/>
    <x v="8"/>
  </r>
  <r>
    <s v="ORT-0000010803"/>
    <s v="C000417659"/>
    <s v="T-THERAPEUTICS OFFICE CAMBRIDGE"/>
    <n v="5"/>
    <n v="0"/>
    <d v="2025-03-03T00:00:00"/>
    <x v="8"/>
  </r>
  <r>
    <s v="ORT-0000010804"/>
    <s v="C000417660"/>
    <s v="WELLESLEY EAST PRIMARY SCHOOL ALDERSHOT HAMPSHIRE"/>
    <n v="7"/>
    <n v="0"/>
    <d v="2025-03-03T00:00:00"/>
    <x v="8"/>
  </r>
  <r>
    <s v="ORT-0000010805"/>
    <s v="C000417661"/>
    <s v="NORTH MISC 2025 - CHRIS EDGE"/>
    <n v="2"/>
    <n v="0"/>
    <d v="2025-03-03T00:00:00"/>
    <x v="8"/>
  </r>
  <r>
    <s v="ORT-0000010806"/>
    <s v="C000417663"/>
    <s v="BRENT CROSS TOWN PLOT 25 FUSION STUDENT ACCOMMODATION LONDON"/>
    <n v="3"/>
    <n v="0"/>
    <d v="2025-03-03T00:00:00"/>
    <x v="8"/>
  </r>
  <r>
    <s v="ORT-0000010807"/>
    <m/>
    <s v="MERCEDES BENZ BRAND CENTER D3 DUBAI DESIGN DISTRICT"/>
    <n v="0"/>
    <n v="1"/>
    <d v="2025-03-03T00:00:00"/>
    <x v="8"/>
  </r>
  <r>
    <s v="ORT-0000010810"/>
    <s v="C000417666"/>
    <s v="NEW STREET SQUARE NO 5 TAYLOR WESSING REFURB LONDON"/>
    <n v="2"/>
    <n v="0"/>
    <d v="2025-03-03T00:00:00"/>
    <x v="8"/>
  </r>
  <r>
    <s v="ORT-0000010811"/>
    <s v="CF00000506"/>
    <s v="BOULEVARD HAUSSMANN 14 PARIS"/>
    <n v="0"/>
    <n v="1"/>
    <d v="2025-03-03T00:00:00"/>
    <x v="8"/>
  </r>
  <r>
    <s v="ORT-0000010812"/>
    <s v="C000417670"/>
    <s v="OCASO FUENCARRAL 107  MADRID"/>
    <n v="0"/>
    <n v="1"/>
    <d v="2025-03-03T00:00:00"/>
    <x v="8"/>
  </r>
  <r>
    <s v="ORT-0000010813"/>
    <s v="C000417673"/>
    <s v="KADANS HEALTH INNOVATION HUB GLASGOW"/>
    <n v="5"/>
    <n v="0"/>
    <d v="2025-03-04T00:00:00"/>
    <x v="8"/>
  </r>
  <r>
    <s v="ORT-0000010814"/>
    <s v="C000417676"/>
    <s v="L.-ILLA BY RENTAMAR BARCELONA"/>
    <n v="2"/>
    <n v="0"/>
    <d v="2025-03-04T00:00:00"/>
    <x v="8"/>
  </r>
  <r>
    <s v="ORT-0000010815"/>
    <s v="C000417681"/>
    <s v="GREAT SMITH STREET NO 35 LVL 1 LONDON"/>
    <n v="1"/>
    <n v="1"/>
    <d v="2025-03-04T00:00:00"/>
    <x v="8"/>
  </r>
  <r>
    <s v="ORT-0000010816"/>
    <s v="C000417688"/>
    <s v="CANARY WHARF DS7 CANADA SQUARE NO 1 UCL SOM PHASE 1 LONDON"/>
    <n v="0"/>
    <n v="1"/>
    <d v="2025-03-04T00:00:00"/>
    <x v="8"/>
  </r>
  <r>
    <s v="ORT-0000010817"/>
    <s v="C000417691"/>
    <s v="SCOTSCROFT REFURB TOWERS BUSINESS PARK MANCHESTER"/>
    <n v="1"/>
    <n v="1"/>
    <d v="2025-03-04T00:00:00"/>
    <x v="8"/>
  </r>
  <r>
    <s v="ORT-0000010818"/>
    <s v="C000417694"/>
    <s v="BISHOPSGATE NO 8 FLOOR 33 STANHOPE FITOUT LONDON"/>
    <n v="1"/>
    <n v="1"/>
    <d v="2025-03-04T00:00:00"/>
    <x v="8"/>
  </r>
  <r>
    <s v="ORT-0000010819"/>
    <s v="C000417695"/>
    <s v="CANARY WHARF DS7 CANADA SQUARE NO 1 UCL SOM PHASE 1 LONDON"/>
    <n v="4"/>
    <n v="0"/>
    <d v="2025-03-04T00:00:00"/>
    <x v="8"/>
  </r>
  <r>
    <s v="ORT-0000010821"/>
    <s v="C000417700"/>
    <s v="EDF SIZEWELL POWER STATION B TRAINING BUILDING SUFFOLK"/>
    <n v="4"/>
    <n v="0"/>
    <d v="2025-03-05T00:00:00"/>
    <x v="8"/>
  </r>
  <r>
    <s v="ORT-0000010822"/>
    <s v="C000417701"/>
    <s v="BOTHWELL STREET NO 120 FLS 8 &amp; 9 CAT B FITOUT GLASGOW"/>
    <n v="5"/>
    <n v="0"/>
    <d v="2025-03-05T00:00:00"/>
    <x v="8"/>
  </r>
  <r>
    <s v="ORT-0000010823"/>
    <s v="C000417703"/>
    <s v="CHESTERFORD RESEARCH PARK R&amp;D BLDG NO 800"/>
    <n v="3"/>
    <n v="0"/>
    <d v="2025-03-05T00:00:00"/>
    <x v="8"/>
  </r>
  <r>
    <s v="ORT-0000010824"/>
    <s v="C000417704"/>
    <s v="SAMPLES MISC 2025"/>
    <n v="1"/>
    <n v="1"/>
    <d v="2025-03-05T00:00:00"/>
    <x v="8"/>
  </r>
  <r>
    <s v="ORT-0000010825"/>
    <s v="C000417712"/>
    <s v="WP SHEFFIELD HALLAM UNI BLOCKS A - D UNI GREEN SHEFFIELD"/>
    <n v="0"/>
    <n v="1"/>
    <d v="2025-03-05T00:00:00"/>
    <x v="8"/>
  </r>
  <r>
    <s v="ORT-0000010826"/>
    <s v="C000417718"/>
    <s v="WORKPLACE INTERIORS MISC 2025"/>
    <n v="3"/>
    <n v="0"/>
    <d v="2025-03-05T00:00:00"/>
    <x v="8"/>
  </r>
  <r>
    <s v="ORT-0000010827"/>
    <s v="C000417719"/>
    <s v="CANARY WHARF DS7 CANADA SQUARE NO 1 UCL SOM PHASE 1 LONDON"/>
    <n v="0"/>
    <n v="1"/>
    <d v="2025-03-05T00:00:00"/>
    <x v="8"/>
  </r>
  <r>
    <s v="ORT-0000010830"/>
    <s v="C000417723"/>
    <s v="WORKPLACE INTERIORS MISC 2025"/>
    <n v="4"/>
    <n v="0"/>
    <d v="2025-03-05T00:00:00"/>
    <x v="8"/>
  </r>
  <r>
    <s v="ORT-0000010831"/>
    <s v="C000417726"/>
    <s v="F1 MANAGEMENT UNIT 1 &amp; 2 BIGGIN HILL"/>
    <n v="4"/>
    <n v="0"/>
    <d v="2025-03-06T00:00:00"/>
    <x v="8"/>
  </r>
  <r>
    <s v="ORT-0000010832"/>
    <s v="C000417729"/>
    <s v="DALES MANOR BUSINESS PARK CAT A CAMBRIDGE"/>
    <n v="134"/>
    <n v="0"/>
    <d v="2025-03-06T00:00:00"/>
    <x v="8"/>
  </r>
  <r>
    <s v="ORT-0000010833"/>
    <s v="C000417732"/>
    <s v="MOORFIELDS EYE HOSPITAL UCL INSTITUTE OF OPHTHALMOLOGY ORIEL"/>
    <n v="2"/>
    <n v="0"/>
    <d v="2025-03-06T00:00:00"/>
    <x v="8"/>
  </r>
  <r>
    <s v="ORT-0000010834"/>
    <s v="C000417737"/>
    <s v="JACK TURNBULL MISC TILE &amp; GRID 2025"/>
    <n v="2"/>
    <n v="0"/>
    <d v="2025-03-06T00:00:00"/>
    <x v="8"/>
  </r>
  <r>
    <s v="ORT-0000010835"/>
    <s v="C000417741"/>
    <s v="AUDLEY SQUARE HOUSE MAYFAIR NO 1 LONDON"/>
    <n v="1"/>
    <n v="1"/>
    <d v="2025-03-06T00:00:00"/>
    <x v="8"/>
  </r>
  <r>
    <s v="ORT-0000010836"/>
    <s v="C000417747"/>
    <s v="SAMPLE ROOM READING SQ PRODUCTS"/>
    <n v="4"/>
    <n v="0"/>
    <d v="2025-03-06T00:00:00"/>
    <x v="8"/>
  </r>
  <r>
    <s v="ORT-0000010837"/>
    <s v="C000417750"/>
    <s v="CENTRAL BANK OF IRAQ HEADQUARTERS BAGHDAD"/>
    <n v="1"/>
    <n v="1"/>
    <d v="2025-03-06T00:00:00"/>
    <x v="8"/>
  </r>
  <r>
    <s v="ORT-0000010839"/>
    <s v="C000417756"/>
    <s v="HARDMAN STREET SPINNINGFIELDS NO 4 LVL 2 MANCHESTER"/>
    <n v="0"/>
    <n v="1"/>
    <d v="2025-03-07T00:00:00"/>
    <x v="8"/>
  </r>
  <r>
    <s v="ORT-0000010840"/>
    <s v="C000417757"/>
    <s v="ST MICHAELS TOWER FLRS 7 &amp; 8 MANCHESTER"/>
    <n v="5"/>
    <n v="0"/>
    <d v="2025-03-07T00:00:00"/>
    <x v="8"/>
  </r>
  <r>
    <s v="ORT-0000010841"/>
    <s v="C000417759"/>
    <s v="CORCEGA 331 SURE BARCELONA"/>
    <n v="0"/>
    <n v="1"/>
    <d v="2025-03-07T00:00:00"/>
    <x v="8"/>
  </r>
  <r>
    <s v="ORT-0000010842"/>
    <s v="C000417760"/>
    <s v="BASKERVILLE HOUSE FITOUT BRITISH TRANSPORT POLICE BIRMINGHAM"/>
    <n v="0"/>
    <n v="1"/>
    <d v="2025-03-07T00:00:00"/>
    <x v="8"/>
  </r>
  <r>
    <s v="ORT-0000010843"/>
    <s v="C000417763"/>
    <s v="NDA - PWC LAYSEN VALLEY RIYADH OFFICE FIT OUT"/>
    <n v="1"/>
    <n v="1"/>
    <d v="2025-03-07T00:00:00"/>
    <x v="8"/>
  </r>
  <r>
    <s v="ORT-0000010844"/>
    <s v="C000417764"/>
    <s v="FORMER TYNECASTLE SCHOOL STUDENT ACCOMMODATION EDINBURGH"/>
    <n v="6"/>
    <n v="0"/>
    <d v="2025-03-07T00:00:00"/>
    <x v="8"/>
  </r>
  <r>
    <s v="ORT-0000010845"/>
    <s v="C000417765"/>
    <s v="THE WADDON STAFFORD ROAD CROYDON"/>
    <n v="2"/>
    <n v="0"/>
    <d v="2025-03-07T00:00:00"/>
    <x v="8"/>
  </r>
  <r>
    <s v="ORT-0000010846"/>
    <s v="C000417768"/>
    <s v="CARL ZEISS CAMBRIDGE"/>
    <n v="0"/>
    <n v="1"/>
    <d v="2025-03-07T00:00:00"/>
    <x v="8"/>
  </r>
  <r>
    <s v="ORT-0000010847"/>
    <s v="C000417769"/>
    <s v="ELEPHANT &amp; CASTLE TOWN CENTRE PLOT E1 SHELL AND CORE LONDON"/>
    <n v="0"/>
    <n v="1"/>
    <d v="2025-03-07T00:00:00"/>
    <x v="8"/>
  </r>
  <r>
    <s v="ORT-0000010848"/>
    <s v="C000417770"/>
    <s v="ARIMA OFFICES MADRID"/>
    <n v="2"/>
    <n v="0"/>
    <d v="2025-03-07T00:00:00"/>
    <x v="8"/>
  </r>
  <r>
    <s v="ORT-0000010849"/>
    <s v="C000417781"/>
    <s v="QUEENS QUAY BRISTOL CEILINGS"/>
    <n v="1"/>
    <n v="1"/>
    <d v="2025-03-07T00:00:00"/>
    <x v="8"/>
  </r>
  <r>
    <s v="ORT-0000010850"/>
    <s v="C000417783"/>
    <s v="LONDON WALL NO 120 MOOR HOUSE LONDON"/>
    <n v="0"/>
    <n v="1"/>
    <d v="2025-03-10T00:00:00"/>
    <x v="9"/>
  </r>
  <r>
    <s v="ORT-0000010851"/>
    <s v="C000417785"/>
    <s v="LACON HOUSE THEOBALDS ROAD NO 84 FLR 5 REMEDIAL LONDON"/>
    <n v="1"/>
    <n v="1"/>
    <d v="2025-03-10T00:00:00"/>
    <x v="9"/>
  </r>
  <r>
    <s v="ORT-0000010852"/>
    <s v="C000417787"/>
    <s v="STONECUTTER COURT CAT B TRAVERS SMITH LONDON"/>
    <n v="58"/>
    <n v="0"/>
    <d v="2025-03-10T00:00:00"/>
    <x v="9"/>
  </r>
  <r>
    <s v="ORT-0000010853"/>
    <s v="C000417793"/>
    <s v="LONDON SOUTH EAST COLLEGES FUTURE GREENWICH CAMPUS LONDON"/>
    <n v="1"/>
    <n v="1"/>
    <d v="2025-03-10T00:00:00"/>
    <x v="9"/>
  </r>
  <r>
    <s v="ORT-0000010854"/>
    <s v="C000417796"/>
    <s v="LISTON EXCHANGE 1ST FLR REFURB MARLOW"/>
    <n v="2"/>
    <n v="0"/>
    <d v="2025-03-10T00:00:00"/>
    <x v="9"/>
  </r>
  <r>
    <s v="ORT-0000010855"/>
    <s v="C000417797"/>
    <s v="WINNERSH TRIANGLE BUSINESS PARK BLDG 710 WOKINGHAM"/>
    <n v="3"/>
    <n v="0"/>
    <d v="2025-03-10T00:00:00"/>
    <x v="9"/>
  </r>
  <r>
    <s v="ORT-0000010856"/>
    <s v="C000417800"/>
    <s v="OLD BAILEY NO 10 CAT A REFURB FLOOR 5 LONDON"/>
    <n v="10"/>
    <n v="0"/>
    <d v="2025-03-10T00:00:00"/>
    <x v="9"/>
  </r>
  <r>
    <s v="ORT-0000010857"/>
    <s v="C000417814"/>
    <s v="Material Source Studio"/>
    <n v="0"/>
    <n v="1"/>
    <d v="2025-03-11T00:00:00"/>
    <x v="9"/>
  </r>
  <r>
    <s v="ORT-0000010858"/>
    <s v="C000417818"/>
    <s v="EASTBROOK STUDIOS DAGENHAM LONDON"/>
    <n v="11"/>
    <n v="0"/>
    <d v="2025-03-11T00:00:00"/>
    <x v="9"/>
  </r>
  <r>
    <s v="ORT-0000010859"/>
    <s v="C000417821"/>
    <s v="BROCKBOURNE HOUSE MOUNT EPHRAIM NO 77 FLR 4 REFURB TUNBRIDGE"/>
    <n v="11"/>
    <n v="0"/>
    <d v="2025-03-11T00:00:00"/>
    <x v="9"/>
  </r>
  <r>
    <s v="ORT-0000010860"/>
    <s v="C000417823"/>
    <s v="FETTER LANE NO 10 FLR 6 REFURB ARC LONDON"/>
    <n v="131"/>
    <n v="0"/>
    <d v="2025-03-11T00:00:00"/>
    <x v="9"/>
  </r>
  <r>
    <s v="ORT-0000010861"/>
    <s v="C000417835"/>
    <s v="SMITHFIELD MARKET DEVELOPMENT MUSEUM OF LONDON CLADDING"/>
    <n v="0"/>
    <n v="1"/>
    <d v="2025-03-11T00:00:00"/>
    <x v="9"/>
  </r>
  <r>
    <s v="ORT-0000010862"/>
    <s v="C000417836"/>
    <s v="SMITHFIELD MARKET DEVELOPMENT MUSEUM OF LONDON CLADDING"/>
    <n v="0"/>
    <n v="1"/>
    <d v="2025-03-11T00:00:00"/>
    <x v="9"/>
  </r>
  <r>
    <s v="ORT-0000010863"/>
    <s v="C000417837"/>
    <s v="FLORAL STREET NO 27 MARATHON ASSET MGT CAT B LONDON"/>
    <n v="9"/>
    <n v="0"/>
    <d v="2025-03-11T00:00:00"/>
    <x v="9"/>
  </r>
  <r>
    <s v="ORT-0000010864"/>
    <s v="C000417838"/>
    <s v="THE STAGE SHOREDITCH BARD &amp; HEWETT AMAZON FIT OUT LONDON"/>
    <n v="0"/>
    <n v="1"/>
    <d v="2025-03-11T00:00:00"/>
    <x v="9"/>
  </r>
  <r>
    <s v="ORT-0000010865"/>
    <s v="C000417841"/>
    <s v="BUNHILL ROW NO 1 SLAUGHTER &amp; MAY CAT A REFURB LONDON"/>
    <n v="1"/>
    <n v="1"/>
    <d v="2025-03-11T00:00:00"/>
    <x v="9"/>
  </r>
  <r>
    <s v="ORT-0000010866"/>
    <s v="CF00000511"/>
    <s v="ARC DE SEINE"/>
    <n v="0"/>
    <n v="1"/>
    <d v="2025-03-11T00:00:00"/>
    <x v="9"/>
  </r>
  <r>
    <s v="ORT-0000010867"/>
    <s v="C000417848"/>
    <s v="UNI OF STRATHCLYDE THOMAS GRAHAM BUILDING GLASGOW"/>
    <n v="0"/>
    <n v="1"/>
    <d v="2025-03-12T00:00:00"/>
    <x v="9"/>
  </r>
  <r>
    <s v="ORT-0000010868"/>
    <s v="C000417849"/>
    <s v="EVERTON FC TUNNEL CLUB &amp; TRINITY LOUNGE LIVERPOOL"/>
    <n v="0"/>
    <n v="1"/>
    <d v="2025-03-12T00:00:00"/>
    <x v="9"/>
  </r>
  <r>
    <s v="ORT-0000010869"/>
    <s v="C000417850"/>
    <s v="RESIDENTIAL PROJECT THAILAND"/>
    <n v="0"/>
    <n v="1"/>
    <d v="2025-03-12T00:00:00"/>
    <x v="9"/>
  </r>
  <r>
    <s v="ORT-0000010870"/>
    <s v="C000417851"/>
    <s v="ARKWRIGHT HOUSE REFURB MANCHESTER"/>
    <n v="4"/>
    <n v="0"/>
    <d v="2025-03-12T00:00:00"/>
    <x v="9"/>
  </r>
  <r>
    <s v="ORT-0000010871"/>
    <s v="C000417858"/>
    <s v="GRESHAM STREET NO 30 LG REFURB LONDON"/>
    <n v="5"/>
    <n v="0"/>
    <d v="2025-03-12T00:00:00"/>
    <x v="9"/>
  </r>
  <r>
    <s v="ORT-0000010872"/>
    <s v="C000417859"/>
    <s v="JAMES STREET NO 1 LONDON"/>
    <n v="0"/>
    <n v="1"/>
    <d v="2025-03-12T00:00:00"/>
    <x v="9"/>
  </r>
  <r>
    <s v="ORT-0000010873"/>
    <s v="C000417863"/>
    <s v="WORKPLACE INTERIORS MISC 2025"/>
    <n v="0"/>
    <n v="1"/>
    <d v="2025-03-12T00:00:00"/>
    <x v="9"/>
  </r>
  <r>
    <s v="ORT-0000010874"/>
    <s v="C000417866"/>
    <s v="EVERTON FC TUNNEL CLUB &amp; TRINITY LOUNGE LIVERPOOL"/>
    <n v="0"/>
    <n v="1"/>
    <d v="2025-03-12T00:00:00"/>
    <x v="9"/>
  </r>
  <r>
    <s v="ORT-0000010875"/>
    <s v="C000417867"/>
    <s v="OXFORD STREET NO 334-348 S&amp;C / LOBBIES LONDON"/>
    <n v="0"/>
    <n v="1"/>
    <d v="2025-03-12T00:00:00"/>
    <x v="9"/>
  </r>
  <r>
    <s v="ORT-0000010876"/>
    <s v="C000417868"/>
    <s v="PULSANT DATA CENTRE SE-1 MILTON KEYNES"/>
    <n v="0"/>
    <n v="1"/>
    <d v="2025-03-12T00:00:00"/>
    <x v="9"/>
  </r>
  <r>
    <s v="ORT-0000010877"/>
    <s v="C000417869"/>
    <s v="MANCHESTER AIRPORT PIER 2 PHASE 2 CELINGS"/>
    <n v="0"/>
    <n v="1"/>
    <d v="2025-03-12T00:00:00"/>
    <x v="9"/>
  </r>
  <r>
    <s v="ORT-0000010878"/>
    <s v="C000417871"/>
    <s v="HIGH TIMBER STREET MILLENIUM BRIDGE HOUSE NO 1 LONDON"/>
    <n v="10"/>
    <n v="0"/>
    <d v="2025-03-12T00:00:00"/>
    <x v="9"/>
  </r>
  <r>
    <s v="ORT-0000010879"/>
    <s v="C000417872"/>
    <s v="MANCHESTER AIRPORT T2 EAST WING NEW DEVELOPMENT"/>
    <n v="0"/>
    <n v="1"/>
    <d v="2025-03-12T00:00:00"/>
    <x v="9"/>
  </r>
  <r>
    <s v="ORT-0000010880"/>
    <s v="C000417875"/>
    <s v="THE STAGE SHOREDITCH BARD &amp; HEWETT AMAZON FIT OUT LONDON"/>
    <n v="0"/>
    <n v="1"/>
    <d v="2025-03-12T00:00:00"/>
    <x v="9"/>
  </r>
  <r>
    <s v="ORT-0000010881"/>
    <s v="C000417877"/>
    <s v="GSK BUILDING 5 REFURB WARE"/>
    <n v="0"/>
    <n v="1"/>
    <d v="2025-03-12T00:00:00"/>
    <x v="9"/>
  </r>
  <r>
    <s v="ORT-0000010882"/>
    <s v="C000417881"/>
    <s v="ST NICHOLAS BUILDING FLR 4 NEWCASTLE"/>
    <n v="0"/>
    <n v="1"/>
    <d v="2025-03-13T00:00:00"/>
    <x v="9"/>
  </r>
  <r>
    <s v="ORT-0000010883"/>
    <s v="C000417883"/>
    <s v="CANARY WHARF DS7 CANADA SQUARE NO 1 UCL SOM PHASE 1 LONDON"/>
    <n v="0"/>
    <n v="1"/>
    <d v="2025-03-13T00:00:00"/>
    <x v="9"/>
  </r>
  <r>
    <s v="ORT-0000010884"/>
    <s v="CF00000513"/>
    <s v="JEU DE PAUME PARIS"/>
    <n v="26"/>
    <n v="0"/>
    <d v="2025-03-13T00:00:00"/>
    <x v="9"/>
  </r>
  <r>
    <s v="ORT-0000010888"/>
    <s v="C000417904"/>
    <s v="BISHOPSGATE NO 22 FLR 16 REFURB LONDON"/>
    <n v="0"/>
    <n v="1"/>
    <d v="2025-03-14T00:00:00"/>
    <x v="9"/>
  </r>
  <r>
    <s v="ORT-0000010889"/>
    <s v="C000417907"/>
    <s v="EXCEL PHASE 3 DEVELOPMENT LONDON"/>
    <n v="128"/>
    <n v="0"/>
    <d v="2025-03-14T00:00:00"/>
    <x v="9"/>
  </r>
  <r>
    <s v="ORT-0000010890"/>
    <s v="C000417906"/>
    <s v="MORE LONDON NO 6 CAT A LONDON"/>
    <n v="8"/>
    <n v="0"/>
    <d v="2025-03-14T00:00:00"/>
    <x v="9"/>
  </r>
  <r>
    <s v="ORT-0000010891"/>
    <s v="C000417912"/>
    <s v="PUBLIC WCS FIT OUT PARLIAMENT STREET WESTMINSTER LONDON"/>
    <n v="0"/>
    <n v="1"/>
    <d v="2025-03-14T00:00:00"/>
    <x v="9"/>
  </r>
  <r>
    <s v="ORT-0000010892"/>
    <s v="C000417886"/>
    <s v="LEADENHALL STREET NO 1 SHELL AND CORE LONDON"/>
    <n v="3"/>
    <n v="0"/>
    <d v="2025-03-14T00:00:00"/>
    <x v="9"/>
  </r>
  <r>
    <s v="ORT-0000010893"/>
    <s v="C000417889"/>
    <s v="THE BOURN QUARTER META CAMBRIDGE"/>
    <n v="3"/>
    <n v="0"/>
    <d v="2025-03-14T00:00:00"/>
    <x v="9"/>
  </r>
  <r>
    <s v="ORT-0000010894"/>
    <s v="C000417899"/>
    <s v="QUEEN VICTORIA STREET NO 128 OLD CHANGE HOUSE REFURB LONDON"/>
    <n v="8"/>
    <n v="0"/>
    <d v="2025-03-14T00:00:00"/>
    <x v="9"/>
  </r>
  <r>
    <s v="ORT-0000010895"/>
    <s v="C000417900"/>
    <s v="EVERTON FC TUNNEL CLUB &amp; TRINITY LOUNGE LIVERPOOL"/>
    <n v="0"/>
    <n v="1"/>
    <d v="2025-03-14T00:00:00"/>
    <x v="9"/>
  </r>
  <r>
    <s v="ORT-0000010896"/>
    <s v="C000417910"/>
    <s v="THORN LIGHTING LTD 2025"/>
    <n v="6"/>
    <n v="0"/>
    <d v="2025-03-14T00:00:00"/>
    <x v="9"/>
  </r>
  <r>
    <s v="ORT-0000010897"/>
    <s v="C000417911"/>
    <s v="VICTORIA STREET NO 80 FLR 7 REFURB LONDON"/>
    <n v="2"/>
    <n v="0"/>
    <d v="2025-03-14T00:00:00"/>
    <x v="9"/>
  </r>
  <r>
    <s v="ORT-0000010898"/>
    <s v="C000417916"/>
    <s v="SPRING GARDENS NO 10 REFURB LONDON"/>
    <n v="4"/>
    <n v="0"/>
    <d v="2025-03-14T00:00:00"/>
    <x v="9"/>
  </r>
  <r>
    <s v="ORT-0000010899"/>
    <s v="C000417917"/>
    <s v="MANCHESTER AIRPORT T2 EAST WING NEW DEVELOPMENT"/>
    <n v="0"/>
    <n v="1"/>
    <d v="2025-03-14T00:00:00"/>
    <x v="9"/>
  </r>
  <r>
    <s v="ORT-0000010900"/>
    <s v="C000417927"/>
    <s v="DRAPERS GARDENS NO 12 BLACKROCK FLR 3 REFURB LONDON"/>
    <n v="8"/>
    <n v="0"/>
    <d v="2025-03-14T00:00:00"/>
    <x v="9"/>
  </r>
  <r>
    <s v="ORT-0000010903"/>
    <s v="C000417929"/>
    <s v="BRANDON STREET NO 20  BLACKROCK EDINBURGH"/>
    <n v="5"/>
    <n v="0"/>
    <d v="2025-03-17T00:00:00"/>
    <x v="10"/>
  </r>
  <r>
    <s v="ORT-0000010904"/>
    <s v="C000417930"/>
    <s v="GATWICK AIRPORT NGSC SUSSEX SUITE"/>
    <n v="0"/>
    <n v="1"/>
    <d v="2025-03-17T00:00:00"/>
    <x v="10"/>
  </r>
  <r>
    <s v="ORT-0000010905"/>
    <s v="C000417931"/>
    <s v="TRITON SQUARE NO 1 OFFICE / LABS RECEPTION WALL PANELS"/>
    <n v="0"/>
    <n v="1"/>
    <d v="2025-03-17T00:00:00"/>
    <x v="10"/>
  </r>
  <r>
    <s v="ORT-0000010906"/>
    <s v="C000417932"/>
    <s v="DEVONSHIRE SQUARE NO 9 FLOOR 4 REFURB LONDON"/>
    <n v="7"/>
    <n v="0"/>
    <d v="2025-03-17T00:00:00"/>
    <x v="10"/>
  </r>
  <r>
    <s v="ORT-0000010907"/>
    <s v="C000417933"/>
    <s v="KCL MACADAM BUILDING PRAYER ROOM LONDON"/>
    <n v="0"/>
    <n v="1"/>
    <d v="2025-03-17T00:00:00"/>
    <x v="10"/>
  </r>
  <r>
    <s v="ORT-0000010908"/>
    <s v="C000417935"/>
    <s v="CANARY WHARF WOOD WHARF B2 APARTMENT FIT OUT LONDON"/>
    <n v="0"/>
    <n v="1"/>
    <d v="2025-03-17T00:00:00"/>
    <x v="10"/>
  </r>
  <r>
    <s v="ORT-0000010909"/>
    <s v="C000417938"/>
    <s v="WORSHIP SQUARE NO 65 CLIFTON ST FRONTIER ECONOMICS FO LONDON"/>
    <n v="0"/>
    <n v="1"/>
    <d v="2025-03-17T00:00:00"/>
    <x v="10"/>
  </r>
  <r>
    <s v="ORT-0000010910"/>
    <s v="CF00000516"/>
    <s v="GENESYS BREST"/>
    <n v="0"/>
    <n v="1"/>
    <d v="2025-03-17T00:00:00"/>
    <x v="10"/>
  </r>
  <r>
    <s v="ORT-0000010911"/>
    <s v="C000417958"/>
    <s v="EVERTON FC BRAMLEY MOORE DOCK STADIUM FEATURES LIVERPOOL"/>
    <n v="0"/>
    <n v="1"/>
    <d v="2025-03-18T00:00:00"/>
    <x v="10"/>
  </r>
  <r>
    <s v="ORT-0000010912"/>
    <s v="C000417627"/>
    <s v="MERCEDES BENZ BRAND CENTER D3 DUBAI DESIGN DISTRICT"/>
    <n v="20"/>
    <n v="0"/>
    <d v="2025-03-18T00:00:00"/>
    <x v="10"/>
  </r>
  <r>
    <s v="ORT-0000010913"/>
    <s v="C000417960"/>
    <s v="DAKOTA HOTEL ST ANNS WHARF NEWCASTLE"/>
    <n v="52"/>
    <n v="0"/>
    <d v="2025-03-18T00:00:00"/>
    <x v="10"/>
  </r>
  <r>
    <s v="ORT-0000010914"/>
    <s v="C000417963"/>
    <s v="BT BUILDING LEVEL 2 GLASGOW"/>
    <n v="0"/>
    <n v="1"/>
    <d v="2025-03-18T00:00:00"/>
    <x v="10"/>
  </r>
  <r>
    <s v="ORT-0000010915"/>
    <s v="C000417965"/>
    <s v="Events"/>
    <n v="1"/>
    <n v="1"/>
    <d v="2025-03-18T00:00:00"/>
    <x v="10"/>
  </r>
  <r>
    <s v="ORT-0000010916"/>
    <s v="C000417968"/>
    <s v="BAKER STREET NO 25 LONDON"/>
    <n v="4"/>
    <n v="0"/>
    <d v="2025-03-18T00:00:00"/>
    <x v="10"/>
  </r>
  <r>
    <s v="ORT-0000010918"/>
    <s v="C000417977"/>
    <s v="BROADGATE NO 1-2 SHELL &amp; CORE LONDON"/>
    <n v="5"/>
    <n v="0"/>
    <d v="2025-03-19T00:00:00"/>
    <x v="10"/>
  </r>
  <r>
    <s v="ORT-0000010919"/>
    <s v="C000417978"/>
    <s v="CANARY WHARF CANADA SQUARE NO 25 CITIBANK REFURB LONDON"/>
    <n v="0"/>
    <n v="1"/>
    <d v="2025-03-19T00:00:00"/>
    <x v="10"/>
  </r>
  <r>
    <s v="ORT-0000010920"/>
    <s v="C000417986"/>
    <s v="THE SLOANE CLUB LOWER SLOANE STREET LONDON"/>
    <n v="3"/>
    <n v="0"/>
    <d v="2025-03-19T00:00:00"/>
    <x v="10"/>
  </r>
  <r>
    <s v="ORT-0000010921"/>
    <s v="C000417987"/>
    <s v="GRESHAM STREET NO 10 MOODYS CORP CAT B FITOUT LONDON"/>
    <n v="5"/>
    <n v="0"/>
    <d v="2025-03-19T00:00:00"/>
    <x v="10"/>
  </r>
  <r>
    <s v="ORT-0000010922"/>
    <s v="C000417991"/>
    <s v="SAVILE ROW NO 23 ROKOS FLR 1 PHASE 2 LONDON"/>
    <n v="0"/>
    <n v="1"/>
    <d v="2025-03-19T00:00:00"/>
    <x v="10"/>
  </r>
  <r>
    <s v="ORT-0000010923"/>
    <s v="C000417996"/>
    <s v="CAPITAL PARK CAMBRIDGE ROAD NO 2 FULBOURN CAMBRIDGE"/>
    <n v="5"/>
    <n v="0"/>
    <d v="2025-03-19T00:00:00"/>
    <x v="10"/>
  </r>
  <r>
    <s v="ORT-0000010924"/>
    <s v="C000417997"/>
    <s v="VICTORIA HOUSE BLOOMSBURY SQUARE LONDON"/>
    <n v="0"/>
    <n v="1"/>
    <d v="2025-03-19T00:00:00"/>
    <x v="10"/>
  </r>
  <r>
    <s v="ORT-0000010925"/>
    <s v="C000418010"/>
    <s v="PETERBOROUGH COURT DANIEL HOUSE LVL 4 LONDON"/>
    <n v="0"/>
    <n v="1"/>
    <d v="2025-03-19T00:00:00"/>
    <x v="10"/>
  </r>
  <r>
    <s v="ORT-0000010926"/>
    <s v="C000418020"/>
    <s v="HSBC BANK OFFICE RIYADH"/>
    <n v="1"/>
    <n v="1"/>
    <d v="2025-03-19T00:00:00"/>
    <x v="10"/>
  </r>
  <r>
    <s v="ORT-0000010928"/>
    <s v="C000418024"/>
    <s v="PETERBOROUGH COURT FLEET STREET NO 133 REFURB LONDON"/>
    <n v="1"/>
    <n v="1"/>
    <d v="2025-03-20T00:00:00"/>
    <x v="10"/>
  </r>
  <r>
    <s v="ORT-0000010929"/>
    <s v="C000418025"/>
    <s v="MANCHESTER AIRPORT T2 EAST WING NEW DEVELOPMENT"/>
    <n v="2"/>
    <n v="0"/>
    <d v="2025-03-20T00:00:00"/>
    <x v="10"/>
  </r>
  <r>
    <s v="ORT-0000010930"/>
    <s v="C000418031"/>
    <s v="ST MICHAELS TOWER FLRS 7 &amp; 8 MANCHESTER"/>
    <n v="0"/>
    <n v="1"/>
    <d v="2025-03-20T00:00:00"/>
    <x v="10"/>
  </r>
  <r>
    <s v="ORT-0000010931"/>
    <s v="C000418036"/>
    <s v="JACK TURNBULL MISC TILE &amp; GRID 2025"/>
    <n v="0"/>
    <n v="1"/>
    <d v="2025-03-20T00:00:00"/>
    <x v="10"/>
  </r>
  <r>
    <s v="ORT-0000010932"/>
    <s v="C000418037"/>
    <s v="SOUTH MISC 2025"/>
    <n v="0"/>
    <n v="1"/>
    <d v="2025-03-20T00:00:00"/>
    <x v="10"/>
  </r>
  <r>
    <s v="ORT-0000010933"/>
    <s v="C000418038"/>
    <s v="HEATHROW AIRPORT TERMINAL 3 CSA REFURBISHMENT"/>
    <n v="1"/>
    <n v="1"/>
    <d v="2025-03-20T00:00:00"/>
    <x v="10"/>
  </r>
  <r>
    <s v="ORT-0000010934"/>
    <s v="C000418039"/>
    <s v="LEADENHALL STREET NO 40 KIRKLAND &amp; ELLIS FLRS 15-34 LONDON"/>
    <n v="0"/>
    <n v="1"/>
    <d v="2025-03-20T00:00:00"/>
    <x v="10"/>
  </r>
  <r>
    <s v="ORT-0000010935"/>
    <s v="C000418048"/>
    <s v="CHAMARTIN PHASE 2 MADRID"/>
    <n v="4"/>
    <n v="0"/>
    <d v="2025-03-20T00:00:00"/>
    <x v="10"/>
  </r>
  <r>
    <s v="ORT-0000010939"/>
    <s v="C000418057"/>
    <s v="NEW BRIDGE ST HOUSE NO 30-34 REFURB LONDON"/>
    <n v="5"/>
    <n v="0"/>
    <d v="2025-03-20T00:00:00"/>
    <x v="10"/>
  </r>
  <r>
    <s v="ORT-0000010940"/>
    <s v="C000418062"/>
    <s v="MORE LONDON NO 6 CAT A LONDON"/>
    <n v="5"/>
    <n v="0"/>
    <d v="2025-03-20T00:00:00"/>
    <x v="10"/>
  </r>
  <r>
    <s v="ORT-0000010941"/>
    <s v="C000418063"/>
    <s v="MORE LONDON NO 6 CAT A LONDON"/>
    <n v="5"/>
    <n v="0"/>
    <d v="2025-03-20T00:00:00"/>
    <x v="10"/>
  </r>
  <r>
    <s v="ORT-0000010942"/>
    <s v="C000418064"/>
    <s v="MORE LONDON NO 6 CAT A LONDON"/>
    <n v="5"/>
    <n v="0"/>
    <d v="2025-03-20T00:00:00"/>
    <x v="10"/>
  </r>
  <r>
    <s v="ORT-0000010943"/>
    <s v="C000418065"/>
    <s v="MOORFIELDS NO 21 THE GLACIER CAT B DEUTSCHE BANK LONDON"/>
    <n v="0"/>
    <n v="1"/>
    <d v="2025-03-20T00:00:00"/>
    <x v="10"/>
  </r>
  <r>
    <s v="ORT-0000010944"/>
    <s v="C000418068"/>
    <s v="MANCHESTER AIRPORT T2 EAST WING NEW DEVELOPMENT"/>
    <n v="2"/>
    <n v="0"/>
    <d v="2025-03-20T00:00:00"/>
    <x v="10"/>
  </r>
  <r>
    <s v="ORT-0000010946"/>
    <s v="C000418072"/>
    <s v="TRITON SQUARE NO 1 OFFICE / LABS CAT A LONDON"/>
    <n v="4"/>
    <n v="0"/>
    <d v="2025-03-21T00:00:00"/>
    <x v="10"/>
  </r>
  <r>
    <s v="ORT-0000010947"/>
    <s v="C000418075"/>
    <s v="LEADENHALL STREET NO 1 SHELL AND CORE LONDON"/>
    <n v="4"/>
    <n v="0"/>
    <d v="2025-03-21T00:00:00"/>
    <x v="10"/>
  </r>
  <r>
    <s v="ORT-0000010948"/>
    <s v="C000418076"/>
    <s v="THE SHARD LEVEL 9 REFURB LONDON"/>
    <n v="0"/>
    <n v="1"/>
    <d v="2025-03-21T00:00:00"/>
    <x v="10"/>
  </r>
  <r>
    <s v="ORT-0000010949"/>
    <s v="C000418080"/>
    <s v="MORE LONDON NO 6 CAT A LONDON"/>
    <n v="4"/>
    <n v="0"/>
    <d v="2025-03-21T00:00:00"/>
    <x v="10"/>
  </r>
  <r>
    <s v="ORT-0000010950"/>
    <s v="C000418084"/>
    <s v="WORKPLACE INTERIORS MISC 2025"/>
    <n v="2"/>
    <n v="0"/>
    <d v="2025-03-21T00:00:00"/>
    <x v="10"/>
  </r>
  <r>
    <s v="ORT-0000010951"/>
    <s v="C000418085"/>
    <s v="HARWELL SCIENCE PARK QUAD 3 OFFICES DIDCOT"/>
    <n v="51"/>
    <n v="0"/>
    <d v="2025-03-21T00:00:00"/>
    <x v="10"/>
  </r>
  <r>
    <s v="ORT-0000010952"/>
    <s v="C000418090"/>
    <s v="CAMBRIDGE BIOMEDICAL CAMPUS HISTOPATHOLOGY"/>
    <n v="3"/>
    <n v="0"/>
    <d v="2025-03-21T00:00:00"/>
    <x v="10"/>
  </r>
  <r>
    <s v="ORT-0000010953"/>
    <s v="C000418091"/>
    <s v="BROADWAY NO 40 &amp; CARTERET STREET REDEVELOPMENT LONDON"/>
    <n v="2"/>
    <n v="0"/>
    <d v="2025-03-24T00:00:00"/>
    <x v="11"/>
  </r>
  <r>
    <s v="ORT-0000010954"/>
    <s v="C000418092"/>
    <s v="EURSHELL MISC TILE &amp; GRID 2025"/>
    <n v="1"/>
    <n v="1"/>
    <d v="2025-03-24T00:00:00"/>
    <x v="11"/>
  </r>
  <r>
    <s v="ORT-0000010955"/>
    <s v="C000418094"/>
    <s v="JOHN LEWIS MISC 2025"/>
    <n v="0"/>
    <n v="1"/>
    <d v="2025-03-24T00:00:00"/>
    <x v="11"/>
  </r>
  <r>
    <s v="ORT-0000010957"/>
    <m/>
    <s v="ORACLE OFFICE FIT-OUT BLDG6 DUBAI INTERNET CITY"/>
    <n v="0"/>
    <n v="1"/>
    <d v="2025-03-24T00:00:00"/>
    <x v="11"/>
  </r>
  <r>
    <s v="ORT-0000010958"/>
    <s v="C000418106"/>
    <s v="JACK TURNBULL MISC TILE &amp; GRID 2025"/>
    <n v="1"/>
    <n v="1"/>
    <d v="2025-03-24T00:00:00"/>
    <x v="11"/>
  </r>
  <r>
    <s v="ORT-0000010959"/>
    <s v="C000418116"/>
    <s v="CENTRO DE DATOS (CPD) SEGURIDAD SOCIAL SORIA"/>
    <n v="0"/>
    <n v="1"/>
    <d v="2025-03-24T00:00:00"/>
    <x v="11"/>
  </r>
  <r>
    <s v="ORT-0000010960"/>
    <s v="C000418120"/>
    <s v="JACK TURNBULL MISC TILE &amp; GRID 2025"/>
    <n v="2"/>
    <n v="0"/>
    <d v="2025-03-24T00:00:00"/>
    <x v="11"/>
  </r>
  <r>
    <s v="ORT-0000010961"/>
    <s v="C000418050"/>
    <s v="DUBAI MALL ICE RINK CEILING REFURB"/>
    <n v="1"/>
    <n v="1"/>
    <d v="2025-03-24T00:00:00"/>
    <x v="11"/>
  </r>
  <r>
    <s v="ORT-0000010965"/>
    <s v="C000418131"/>
    <s v="BROADWAY NO 40 &amp; CARTERET STREET REDEVELOPMENT LONDON"/>
    <n v="0"/>
    <n v="1"/>
    <d v="2025-03-25T00:00:00"/>
    <x v="11"/>
  </r>
  <r>
    <s v="ORT-0000010966"/>
    <s v="C000418132"/>
    <s v="WORKPLACE INTERIORS MISC 2025"/>
    <n v="0"/>
    <n v="1"/>
    <d v="2025-03-25T00:00:00"/>
    <x v="11"/>
  </r>
  <r>
    <s v="ORT-0000010967"/>
    <s v="C000418138"/>
    <s v="HEATHROW T4 CSA SECURITY PROGRAMME WORKS LONDON"/>
    <n v="0"/>
    <n v="1"/>
    <d v="2025-03-25T00:00:00"/>
    <x v="11"/>
  </r>
  <r>
    <s v="ORT-0000010968"/>
    <s v="C000418142"/>
    <s v="HOSPITAL EL CARMEN CIUDAD REAL"/>
    <n v="4"/>
    <n v="0"/>
    <d v="2025-03-25T00:00:00"/>
    <x v="11"/>
  </r>
  <r>
    <s v="ORT-0000010969"/>
    <s v="C000418143"/>
    <s v="CIRCLE SQUARE NO 3 MANCHESTER"/>
    <n v="1"/>
    <n v="1"/>
    <d v="2025-03-25T00:00:00"/>
    <x v="11"/>
  </r>
  <r>
    <s v="ORT-0000010970"/>
    <s v="C000418154"/>
    <s v="JSP PICCADILLY NO 180 DUKE STREET NO 30 LONDON"/>
    <n v="51"/>
    <n v="0"/>
    <d v="2025-03-25T00:00:00"/>
    <x v="11"/>
  </r>
  <r>
    <s v="ORT-0000010971"/>
    <s v="C000418157"/>
    <s v="ST PAULS SQUARE NO 4 FLOOR 5 CAT B LIVERPOOL"/>
    <n v="0"/>
    <n v="1"/>
    <d v="2025-03-26T00:00:00"/>
    <x v="11"/>
  </r>
  <r>
    <s v="ORT-0000010972"/>
    <s v="C000418165"/>
    <s v="PORTMAN SQUARE NO 10 LVL 3 REFURB LONDON"/>
    <n v="3"/>
    <n v="0"/>
    <d v="2025-03-26T00:00:00"/>
    <x v="11"/>
  </r>
  <r>
    <s v="ORT-0000010973"/>
    <s v="C000418171"/>
    <s v="FENCHURCH STREET NO 80 EIGHTYFEN AVIVA PH 2 LONDON"/>
    <n v="0"/>
    <n v="1"/>
    <d v="2025-03-26T00:00:00"/>
    <x v="11"/>
  </r>
  <r>
    <s v="ORT-0000010974"/>
    <s v="C000418174"/>
    <s v="SOUTH MISC 2025"/>
    <n v="1"/>
    <n v="1"/>
    <d v="2025-03-26T00:00:00"/>
    <x v="11"/>
  </r>
  <r>
    <s v="ORT-0000010975"/>
    <s v="C000418182"/>
    <s v="CORINTHIAN HOUSE FLR 9 CAT B FITOUT  CROYDON"/>
    <n v="4"/>
    <n v="0"/>
    <d v="2025-03-26T00:00:00"/>
    <x v="11"/>
  </r>
  <r>
    <s v="ORT-0000010976"/>
    <s v="C000418183"/>
    <s v="RIVERGATE NO 3 TEMPLE QUAY REFURB BRISTOL"/>
    <n v="1"/>
    <n v="1"/>
    <d v="2025-03-26T00:00:00"/>
    <x v="11"/>
  </r>
  <r>
    <s v="ORT-0000010977"/>
    <s v="C000418185"/>
    <s v="RAVENSBURY REGENERATION BLOCK F &amp; D LONDON"/>
    <n v="1"/>
    <n v="1"/>
    <d v="2025-03-26T00:00:00"/>
    <x v="11"/>
  </r>
  <r>
    <s v="ORT-0000010978"/>
    <s v="C000418189"/>
    <s v="HERON TOWER NO 110 BISHOPSGATE FLR 4 REFURB LONDON"/>
    <n v="3"/>
    <n v="0"/>
    <d v="2025-03-27T00:00:00"/>
    <x v="11"/>
  </r>
  <r>
    <s v="ORT-0000010979"/>
    <s v="C000418190"/>
    <s v="WEST REGENT STREET NO 1 SKYSCANNER FITOUT GLASGOW"/>
    <n v="0"/>
    <n v="1"/>
    <d v="2025-03-27T00:00:00"/>
    <x v="11"/>
  </r>
  <r>
    <s v="ORT-0000010980"/>
    <s v="C000418191"/>
    <s v="FREDERICK BREMMER SCHOOL REFURB"/>
    <n v="0"/>
    <n v="1"/>
    <d v="2025-03-27T00:00:00"/>
    <x v="11"/>
  </r>
  <r>
    <s v="ORT-0000010981"/>
    <s v="C000418192"/>
    <s v="AIR STREET NO 20 CAT B PAUL WEISS LONDON"/>
    <n v="2"/>
    <n v="0"/>
    <d v="2025-03-27T00:00:00"/>
    <x v="11"/>
  </r>
  <r>
    <s v="ORT-0000010982"/>
    <s v="C000418193"/>
    <s v="CANARY WHARF CANADA SQUARE NO 25 CITIBANK REFURB LONDON"/>
    <n v="0"/>
    <n v="1"/>
    <d v="2025-03-27T00:00:00"/>
    <x v="11"/>
  </r>
  <r>
    <s v="ORT-0000010983"/>
    <s v="C000418195"/>
    <s v="JACK TURNBULL MISC TILE &amp; GRID 2025"/>
    <n v="0"/>
    <n v="1"/>
    <d v="2025-03-27T00:00:00"/>
    <x v="11"/>
  </r>
  <r>
    <s v="ORT-0000010984"/>
    <s v="C000418196"/>
    <s v="BLUE FIN BUILDING SOUTHWARK STREET COSTAR FLRS 5-6 LONDON"/>
    <n v="3"/>
    <n v="0"/>
    <d v="2025-03-27T00:00:00"/>
    <x v="11"/>
  </r>
  <r>
    <s v="ORT-0000010985"/>
    <s v="C000418197"/>
    <s v="SACKVILLE STREET NO 15 FLR 3 &amp; 4 REFURB LONDON"/>
    <n v="4"/>
    <n v="0"/>
    <d v="2025-03-27T00:00:00"/>
    <x v="11"/>
  </r>
  <r>
    <s v="ORT-0000010986"/>
    <s v="C000418198"/>
    <s v="UNI OF CAMBRIDGE WHITTLE LAB EXTENSION CAMBRIDGE"/>
    <n v="3"/>
    <n v="0"/>
    <d v="2025-03-27T00:00:00"/>
    <x v="11"/>
  </r>
  <r>
    <s v="ORT-0000010987"/>
    <s v="C000418201"/>
    <s v="EDINBURGH AIRPORT ESCAPE LOUNGE"/>
    <n v="4"/>
    <n v="0"/>
    <d v="2025-03-27T00:00:00"/>
    <x v="11"/>
  </r>
  <r>
    <s v="ORT-0000010988"/>
    <s v="C000418203"/>
    <s v="SUGAR HOUSE ISLAND DEVELOPMENT PH2 STRATFORD LONDON"/>
    <n v="4"/>
    <n v="0"/>
    <d v="2025-03-27T00:00:00"/>
    <x v="11"/>
  </r>
  <r>
    <s v="ORT-0000010989"/>
    <s v="C000418204"/>
    <s v="LACON HOUSE THEOBALDS ROAD NO 84 FLR 5 MEETING ROOMS LONDON"/>
    <n v="0"/>
    <n v="1"/>
    <d v="2025-03-27T00:00:00"/>
    <x v="11"/>
  </r>
  <r>
    <s v="ORT-0000010990"/>
    <s v="C000418206"/>
    <s v="TOR BUILDING HOLLIS GLOBAL FLR 3 FIT OUT MAIDENHEAD"/>
    <n v="4"/>
    <n v="0"/>
    <d v="2025-03-27T00:00:00"/>
    <x v="11"/>
  </r>
  <r>
    <s v="ORT-0000010991"/>
    <s v="C000418218"/>
    <s v="DAVIDSON BUILDING SOUTHAMPTON STREET NO 5 LONDON"/>
    <n v="1"/>
    <n v="1"/>
    <d v="2025-03-27T00:00:00"/>
    <x v="11"/>
  </r>
  <r>
    <s v="ORT-0000010992"/>
    <s v="C000418222"/>
    <s v="CHAMARTIN PHASE 2 MADRID"/>
    <n v="0"/>
    <n v="1"/>
    <d v="2025-03-27T00:00:00"/>
    <x v="11"/>
  </r>
  <r>
    <s v="ORT-0000010994"/>
    <s v="C000418230"/>
    <s v="KING STREET NO 28 LVL 4 GUNVOR DILAPS LONDON"/>
    <n v="4"/>
    <n v="0"/>
    <d v="2025-03-28T00:00:00"/>
    <x v="11"/>
  </r>
  <r>
    <s v="ORT-0000010995"/>
    <s v="C000418231"/>
    <s v="GRESHAM STREET NO 10 MOODYS CORP CAT B FITOUT LONDON"/>
    <n v="0"/>
    <n v="1"/>
    <d v="2025-03-28T00:00:00"/>
    <x v="11"/>
  </r>
  <r>
    <s v="ORT-0000010996"/>
    <s v="C000418236"/>
    <s v="DANSOM LANE SOUTH RECKITTS REFURB HULL"/>
    <n v="1"/>
    <n v="1"/>
    <d v="2025-03-28T00:00:00"/>
    <x v="11"/>
  </r>
  <r>
    <s v="ORT-0000010997"/>
    <s v="C000418241"/>
    <s v="CATTERICK INTEGRATED CARE CAMPUS NORTH YORKSHIRE"/>
    <n v="1"/>
    <n v="1"/>
    <d v="2025-03-28T00:00:00"/>
    <x v="11"/>
  </r>
  <r>
    <s v="ORT-0000010998"/>
    <s v="C000418243"/>
    <s v="CANARY WHARF CANADA SQUARE NO 25 CITIBANK REFURB LONDON"/>
    <n v="2"/>
    <n v="0"/>
    <d v="2025-03-28T00:00:00"/>
    <x v="11"/>
  </r>
  <r>
    <s v="ORT-0000010999"/>
    <s v="C000418245"/>
    <m/>
    <n v="1"/>
    <n v="1"/>
    <d v="2025-03-28T00:00:00"/>
    <x v="11"/>
  </r>
  <r>
    <s v="ORT-0000011003"/>
    <s v="C000418253"/>
    <s v="HWE HUB BUILDING 7 WATFORD"/>
    <n v="0"/>
    <n v="1"/>
    <d v="2025-03-31T00:00:00"/>
    <x v="12"/>
  </r>
  <r>
    <s v="ORT-0000011004"/>
    <s v="C000418254"/>
    <s v="LANCELOT PLACE NO 8 CAT A REFURB LONDON"/>
    <n v="4"/>
    <n v="0"/>
    <d v="2025-03-31T00:00:00"/>
    <x v="12"/>
  </r>
  <r>
    <s v="ORT-0000011005"/>
    <s v="C000418258"/>
    <s v="KAO DATA CENTRE KLON06 SLOUGH TS03 DATA HALL TILES"/>
    <n v="0"/>
    <n v="1"/>
    <d v="2025-03-31T00:00:00"/>
    <x v="12"/>
  </r>
  <r>
    <s v="ORT-0000011006"/>
    <s v="C000418259"/>
    <s v="UNI OF EDINBURGH QMRI FLOORS 2 &amp; 3 REFURB"/>
    <n v="3"/>
    <n v="0"/>
    <d v="2025-03-31T00:00:00"/>
    <x v="12"/>
  </r>
  <r>
    <s v="ORT-0000011007"/>
    <s v="C000418260"/>
    <s v="WINNERSH TRIANGLE BUSINESS PARK BLDG 710 WOKINGHAM"/>
    <n v="0"/>
    <n v="1"/>
    <d v="2025-03-31T00:00:00"/>
    <x v="12"/>
  </r>
  <r>
    <s v="ORT-0000011008"/>
    <s v="C000418266"/>
    <s v="ARIMA OFFICES MADRID"/>
    <n v="0"/>
    <n v="1"/>
    <d v="2025-03-31T00:00:00"/>
    <x v="12"/>
  </r>
  <r>
    <s v="ORT-0000011009"/>
    <s v="C000418272"/>
    <s v="GRESHAM STREET NO 10 WC AREAS REFURB LONDON"/>
    <n v="4"/>
    <n v="0"/>
    <d v="2025-03-31T00:00:00"/>
    <x v="12"/>
  </r>
  <r>
    <s v="ORT-0000011010"/>
    <s v="C000418275"/>
    <s v="R+D INSTALLATION SCHOOL"/>
    <n v="1"/>
    <n v="1"/>
    <d v="2025-03-31T00:00:00"/>
    <x v="12"/>
  </r>
  <r>
    <s v="ORT-0000011011"/>
    <s v="C000418282"/>
    <s v="MANCHESTER AIRPORT PIER 2 PHASE 2 CELINGS"/>
    <n v="2"/>
    <n v="0"/>
    <d v="2025-03-31T00:00:00"/>
    <x v="12"/>
  </r>
  <r>
    <s v="ORT-0000011012"/>
    <s v="C000418283"/>
    <s v="MANCHESTER AIRPORT T2 EAST WING NEW DEVELOPMENT"/>
    <n v="2"/>
    <n v="0"/>
    <d v="2025-03-31T00:00:00"/>
    <x v="12"/>
  </r>
  <r>
    <s v="ORT-0000011013"/>
    <s v="C000418284"/>
    <s v="KINGS ROAD NO 120 LIBERTY GLOBAL FABRIC LONDON"/>
    <n v="2"/>
    <n v="0"/>
    <d v="2025-03-31T00:00:00"/>
    <x v="12"/>
  </r>
  <r>
    <s v="ORT-0000011014"/>
    <s v="C000418287"/>
    <s v="JACK TURNBULL MISC TILE &amp; GRID 2025"/>
    <n v="0"/>
    <n v="1"/>
    <d v="2025-04-01T00:00:00"/>
    <x v="12"/>
  </r>
  <r>
    <s v="ORT-0000011015"/>
    <s v="C000418288"/>
    <s v="CITY POINT 2ND FLR HAYMARKET TERRACE NO 65 EDINBURGH"/>
    <n v="0"/>
    <n v="1"/>
    <d v="2025-04-01T00:00:00"/>
    <x v="12"/>
  </r>
  <r>
    <s v="ORT-11016"/>
    <s v="C000418277"/>
    <s v="HOUNSOME FIELDS PRIMARY SCHOOL BASINGSTOKE"/>
    <n v="0"/>
    <n v="1"/>
    <d v="2025-04-01T00:00:00"/>
    <x v="12"/>
  </r>
  <r>
    <s v="ORT-11017"/>
    <s v="C000418295"/>
    <s v="KING STREET NO 33 CLEVELAND HOUSE REFURB FLOOR 4 LONDON"/>
    <n v="0"/>
    <n v="1"/>
    <d v="2025-04-01T00:00:00"/>
    <x v="12"/>
  </r>
  <r>
    <s v="ORT-11018"/>
    <s v="C000418296"/>
    <s v="ALDERSGATE ST NO 150 THE VERDANT TIKTOK FIT OUT LONDON"/>
    <n v="0"/>
    <n v="1"/>
    <d v="2025-04-01T00:00:00"/>
    <x v="12"/>
  </r>
  <r>
    <s v="ORT-11019"/>
    <s v="C000418298"/>
    <s v="DYSON NDA PROJECT APPLE BRISTOL"/>
    <n v="1"/>
    <n v="1"/>
    <d v="2025-04-01T00:00:00"/>
    <x v="12"/>
  </r>
  <r>
    <s v="ORT-11020"/>
    <s v="C000418309"/>
    <s v="CANARY WHARF DS7 CANADA SQUARE NO 1 UCL SOM PHASE 1 LONDON"/>
    <n v="1"/>
    <n v="1"/>
    <d v="2025-04-01T00:00:00"/>
    <x v="12"/>
  </r>
  <r>
    <s v="ORT-11023"/>
    <s v="C000418314"/>
    <s v="CHURCHILL PLACE NO 5 FLR 2 REFURB LONDON"/>
    <n v="2"/>
    <n v="0"/>
    <d v="2025-04-02T00:00:00"/>
    <x v="12"/>
  </r>
  <r>
    <s v="ORT-11024"/>
    <s v="C000418315"/>
    <s v="NEW YORK STREET NO 1 CAT A REFURB FLR 7 &amp; 10 MANCHESTER"/>
    <n v="0"/>
    <n v="1"/>
    <d v="2025-04-02T00:00:00"/>
    <x v="12"/>
  </r>
  <r>
    <s v="ORT-11025"/>
    <s v="C000418320"/>
    <s v="ENTERPRISE WHARF REDEVELOPMENT BIRMINGHAM"/>
    <n v="2"/>
    <n v="0"/>
    <d v="2025-04-02T00:00:00"/>
    <x v="12"/>
  </r>
  <r>
    <s v="ORT-11026"/>
    <s v="C000418326"/>
    <s v="FUSION STUDENTS KING EDWARD COURT  NOTTINGHAM"/>
    <n v="0"/>
    <n v="1"/>
    <d v="2025-04-02T00:00:00"/>
    <x v="12"/>
  </r>
  <r>
    <s v="ORT-11027"/>
    <s v="C000418327"/>
    <s v="TEMPLE QUARTER ENTERPRISE CAMPUS ACADEMIC BUILDINGS BRISTOL"/>
    <n v="4"/>
    <n v="0"/>
    <d v="2025-04-02T00:00:00"/>
    <x v="12"/>
  </r>
  <r>
    <s v="ORT-11028"/>
    <s v="C000418335"/>
    <s v="ARGYLL STREET NO 40 REFURB LONDON"/>
    <n v="0"/>
    <n v="1"/>
    <d v="2025-04-02T00:00:00"/>
    <x v="12"/>
  </r>
  <r>
    <s v="ORT-11029"/>
    <s v="C000418339"/>
    <s v="MANCHESTER AIRPORT T2 EAST CHECK IN AREAS"/>
    <n v="3"/>
    <n v="0"/>
    <d v="2025-04-02T00:00:00"/>
    <x v="12"/>
  </r>
  <r>
    <s v="ORT-11032"/>
    <s v="C000418348"/>
    <s v="LEADENHALL STREET NO 1 CAT B LATHAM &amp; WATKINS FLRS 1-20"/>
    <n v="6"/>
    <n v="0"/>
    <d v="2025-04-02T00:00:00"/>
    <x v="12"/>
  </r>
  <r>
    <s v="ORT-11033"/>
    <s v="C000418351"/>
    <s v="CRITERION BUILDING PICCADILLY NO 225-229 LONDON"/>
    <n v="0"/>
    <n v="1"/>
    <d v="2025-04-03T00:00:00"/>
    <x v="12"/>
  </r>
  <r>
    <s v="ORT-11034"/>
    <s v="C000418355"/>
    <s v="NEW YORK STREET NO 1 CAT A REFURB FLR 7 &amp; 10 MANCHESTER"/>
    <n v="0"/>
    <n v="1"/>
    <d v="2025-04-03T00:00:00"/>
    <x v="12"/>
  </r>
  <r>
    <s v="ORT-11035"/>
    <s v="C000418359"/>
    <s v="SCOTLAND &amp; NORTH EAST MISC 2025"/>
    <n v="0"/>
    <n v="1"/>
    <d v="2025-04-03T00:00:00"/>
    <x v="12"/>
  </r>
  <r>
    <s v="ORT-11036"/>
    <s v="C000418360"/>
    <s v="LEADENHALL STREET NO 40 KIRKLAND &amp; ELLIS FLRS 15-34 LONDON"/>
    <n v="1"/>
    <n v="1"/>
    <d v="2025-04-03T00:00:00"/>
    <x v="12"/>
  </r>
  <r>
    <s v="ORT-11037"/>
    <s v="C000418361"/>
    <s v="WELLS STREET NO 80 WELLS HOUSE THE RIBBON MTNG ROOMS / BSMNT"/>
    <n v="0"/>
    <n v="1"/>
    <d v="2025-04-03T00:00:00"/>
    <x v="12"/>
  </r>
  <r>
    <s v="ORT-11038"/>
    <s v="C000418369"/>
    <s v="CHASESIDE NO 1 JP MORGAN BOURNEMOUTH"/>
    <n v="0"/>
    <n v="1"/>
    <d v="2025-04-03T00:00:00"/>
    <x v="12"/>
  </r>
  <r>
    <s v="ORT-11039"/>
    <s v="C000418370"/>
    <s v="ONE BIOHUB FORESTERHILL ABERDEEN ADDITIONAL FIT OUT"/>
    <n v="5"/>
    <n v="0"/>
    <d v="2025-04-03T00:00:00"/>
    <x v="12"/>
  </r>
  <r>
    <s v="ORT-11040"/>
    <s v="C000418373"/>
    <s v="BIRCHIN COURT NO 20 FLR 2 REFURB LONDON"/>
    <n v="2"/>
    <n v="0"/>
    <d v="2025-04-03T00:00:00"/>
    <x v="12"/>
  </r>
  <r>
    <s v="ORT-11041"/>
    <s v="C000418375"/>
    <s v="DYSON NDA PROJECT APPLE BRISTOL"/>
    <n v="4"/>
    <n v="0"/>
    <d v="2025-04-03T00:00:00"/>
    <x v="12"/>
  </r>
  <r>
    <s v="ORT-11042"/>
    <s v="C000418376"/>
    <s v="MOORFIELDS NO 21 THE GLACIER CAT B DEUTSCHE BANK LONDON"/>
    <n v="1"/>
    <n v="1"/>
    <d v="2025-04-03T00:00:00"/>
    <x v="12"/>
  </r>
  <r>
    <s v="ORT-11043"/>
    <m/>
    <s v="STATION STREET LOXLEY HOUSE REFURB NOTTINGHAM"/>
    <n v="0"/>
    <n v="1"/>
    <d v="2025-04-03T00:00:00"/>
    <x v="12"/>
  </r>
  <r>
    <s v="ORT-11044"/>
    <s v="C000418378"/>
    <s v="ADOBE BUCHAREST"/>
    <n v="3"/>
    <n v="0"/>
    <d v="2025-04-03T00:00:00"/>
    <x v="12"/>
  </r>
  <r>
    <s v="ORT-11045"/>
    <s v="C000418380"/>
    <s v="MANCHESTER AIRPORT PIER 2 PHASE 2 NODES"/>
    <n v="1"/>
    <n v="1"/>
    <d v="2025-04-03T00:00:00"/>
    <x v="12"/>
  </r>
  <r>
    <s v="ORT-11046"/>
    <s v="C000418382"/>
    <s v="BLUE FIN BUILDING SOUTHWARK STREET COSTAR FLRS 5-6 LONDON"/>
    <n v="2"/>
    <n v="0"/>
    <d v="2025-04-04T00:00:00"/>
    <x v="12"/>
  </r>
  <r>
    <s v="ORT-11047"/>
    <s v="C000418384"/>
    <s v="DAVID FRY MISC 2025"/>
    <n v="0"/>
    <n v="1"/>
    <d v="2025-04-04T00:00:00"/>
    <x v="12"/>
  </r>
  <r>
    <s v="ORT-11048"/>
    <s v="C000418385"/>
    <s v="CRANBROOK WAY NO 1 PEGASUS HOUSE REFURB SOLIHULL"/>
    <n v="0"/>
    <n v="1"/>
    <d v="2025-04-04T00:00:00"/>
    <x v="12"/>
  </r>
  <r>
    <s v="ORT-11049"/>
    <s v="C000418394"/>
    <s v="GRESHAM STREET NO 10 MOODYS CORP CAT B FITOUT LONDON"/>
    <n v="1"/>
    <n v="1"/>
    <d v="2025-04-04T00:00:00"/>
    <x v="12"/>
  </r>
  <r>
    <s v="ORT-11050"/>
    <s v="C000418400"/>
    <s v="NATIONAL ARCHIVES CLORE LEARNING CENTRE KEW PHASE 2 LONDON"/>
    <n v="0"/>
    <n v="1"/>
    <d v="2025-04-04T00:00:00"/>
    <x v="12"/>
  </r>
  <r>
    <s v="ORT-11051"/>
    <s v="C000418408"/>
    <s v="BUCKINGHAM PALACE ROAD NO 110 REFURB LONDON"/>
    <n v="1"/>
    <n v="1"/>
    <d v="2025-04-07T00:00:00"/>
    <x v="13"/>
  </r>
  <r>
    <s v="ORT-11052"/>
    <s v="C000418411"/>
    <s v="JAMES STREET NO 1 LONDON"/>
    <n v="3"/>
    <n v="0"/>
    <d v="2025-04-07T00:00:00"/>
    <x v="13"/>
  </r>
  <r>
    <s v="ORT-11053"/>
    <s v="C000418413"/>
    <s v="JACK TURNBULL MISC TILE &amp; GRID 2025"/>
    <n v="1"/>
    <n v="1"/>
    <d v="2025-04-07T00:00:00"/>
    <x v="13"/>
  </r>
  <r>
    <s v="ORT-11054"/>
    <s v="C000418414"/>
    <s v="SUTHERLAND HOUSE ST VINCENT STREET NO 149 FLR 7 GLASGOW"/>
    <n v="1"/>
    <n v="1"/>
    <d v="2025-04-07T00:00:00"/>
    <x v="13"/>
  </r>
  <r>
    <s v="ORT-11055"/>
    <s v="C000418415"/>
    <s v="CANARY WHARF CANADA SQUARE NO 25 CITIBANK REFURB LONDON"/>
    <n v="0"/>
    <n v="1"/>
    <d v="2025-04-07T00:00:00"/>
    <x v="13"/>
  </r>
  <r>
    <s v="ORT-11056"/>
    <s v="C000418416"/>
    <s v="ELEPHANT &amp; CASTLE TOWN CENTRE PLOT E1 SHELL AND CORE LONDON"/>
    <n v="2"/>
    <n v="0"/>
    <d v="2025-04-07T00:00:00"/>
    <x v="13"/>
  </r>
  <r>
    <s v="ORT-11057"/>
    <s v="C000418417"/>
    <s v="GRESHAM STREET NO 10 MOODYS CORP CAT B FITOUT LONDON"/>
    <n v="1"/>
    <n v="1"/>
    <d v="2025-04-07T00:00:00"/>
    <x v="13"/>
  </r>
  <r>
    <s v="ORT-11058"/>
    <s v="C000418420"/>
    <s v="CHARING CROSS ROAD NO 127-133 LIGHTING LONDON"/>
    <n v="0"/>
    <n v="1"/>
    <d v="2025-04-07T00:00:00"/>
    <x v="13"/>
  </r>
  <r>
    <s v="ORT-11059"/>
    <s v="C000418423"/>
    <s v="MARKS AND SPENCER PUDSEY"/>
    <n v="0"/>
    <n v="1"/>
    <d v="2025-04-07T00:00:00"/>
    <x v="13"/>
  </r>
  <r>
    <s v="ORT-11060"/>
    <s v="C000418425"/>
    <s v="FINSBURY AVENUE NO 2 DEVELOPMENT LONDON"/>
    <n v="0"/>
    <n v="1"/>
    <d v="2025-04-07T00:00:00"/>
    <x v="13"/>
  </r>
  <r>
    <s v="ORT-11061"/>
    <s v="C000418427"/>
    <s v="HEAD QUARTERS INSPECTORATE GOVERMENT BUILDING KAMPALA"/>
    <n v="0"/>
    <n v="1"/>
    <d v="2025-04-07T00:00:00"/>
    <x v="13"/>
  </r>
  <r>
    <s v="ORT-11062"/>
    <s v="C000418433"/>
    <s v="ALDER CASTLE NOBLE ST NO 10 CAT B LDS CHURCH LONDON"/>
    <n v="1"/>
    <n v="1"/>
    <d v="2025-04-07T00:00:00"/>
    <x v="13"/>
  </r>
  <r>
    <s v="ORT-11063"/>
    <s v="C000418436"/>
    <s v="HAYMARKET BUILDING 4 &amp; 5 BAILLIE GIFFORD EDINBURGH ADDITIONS"/>
    <n v="0"/>
    <n v="1"/>
    <d v="2025-04-07T00:00:00"/>
    <x v="13"/>
  </r>
  <r>
    <s v="ORT-11065"/>
    <s v="C000418439"/>
    <s v="JACK TURNBULL MISC TILE &amp; GRID 2025"/>
    <n v="0"/>
    <n v="1"/>
    <d v="2025-04-07T00:00:00"/>
    <x v="13"/>
  </r>
  <r>
    <s v="ORT-11066"/>
    <s v="C000418442"/>
    <s v="ALDERSGATE STREET NO 200 FLOOR 1 &amp; MEZZANINE CONVENE LONDON"/>
    <n v="0"/>
    <n v="1"/>
    <d v="2025-04-07T00:00:00"/>
    <x v="13"/>
  </r>
  <r>
    <s v="ORT-11068"/>
    <s v="C000418452"/>
    <s v="SPAR PARKFOOT LONDON ROAD KENT"/>
    <n v="2"/>
    <n v="0"/>
    <d v="2025-04-07T00:00:00"/>
    <x v="13"/>
  </r>
  <r>
    <s v="ORT-11069"/>
    <s v="C000418453"/>
    <s v="SAMPLE ROOM READING"/>
    <n v="4"/>
    <n v="0"/>
    <d v="2025-04-07T00:00:00"/>
    <x v="13"/>
  </r>
  <r>
    <s v="ORT-11070"/>
    <s v="C000418455"/>
    <s v="KINGS ROAD NO 120 LIBERTY GLOBAL FABRIC LONDON"/>
    <n v="0"/>
    <n v="1"/>
    <d v="2025-04-07T00:00:00"/>
    <x v="13"/>
  </r>
  <r>
    <s v="ORT-11071"/>
    <s v="C000418456"/>
    <s v="BROADGATE QUARTER CAT A REFURB APPOLD STREET LONDON"/>
    <n v="0"/>
    <n v="1"/>
    <d v="2025-04-07T00:00:00"/>
    <x v="13"/>
  </r>
  <r>
    <s v="ORT-11073"/>
    <s v="C000418457"/>
    <s v="WIGMORE STREET NO 42 REFURB LONDON"/>
    <n v="1"/>
    <n v="1"/>
    <d v="2025-04-08T00:00:00"/>
    <x v="13"/>
  </r>
  <r>
    <s v="ORT-11074"/>
    <s v="C000418459"/>
    <s v="JACK TURNBULL MISC TILE &amp; GRID 2025"/>
    <n v="0"/>
    <n v="1"/>
    <d v="2025-04-08T00:00:00"/>
    <x v="13"/>
  </r>
  <r>
    <s v="ORT-11075"/>
    <s v="C000418462"/>
    <s v="CANARY WHARF SOUTH COLONNADE NO 30 REVOLUT FIT OUT  LONDON"/>
    <n v="1"/>
    <n v="1"/>
    <d v="2025-04-08T00:00:00"/>
    <x v="13"/>
  </r>
  <r>
    <s v="ORT-11076"/>
    <s v="C000418465"/>
    <s v="ROLLS ROYCE RIVER DRIVE INCHINNAN RENFREW"/>
    <n v="1"/>
    <n v="1"/>
    <d v="2025-04-08T00:00:00"/>
    <x v="13"/>
  </r>
  <r>
    <s v="ORT-11077"/>
    <s v="C000418468"/>
    <s v="TOTTENHAM HOTSPUR TRAINING ACADEMY LEVEL 1 OFFICES ENFIELD"/>
    <n v="0"/>
    <n v="1"/>
    <d v="2025-04-08T00:00:00"/>
    <x v="13"/>
  </r>
  <r>
    <s v="ORT-11078"/>
    <s v="C000418471"/>
    <s v="FETTER LANE NO 10 FLR 6 REFURB ARC LONDON"/>
    <n v="3"/>
    <n v="0"/>
    <d v="2025-04-08T00:00:00"/>
    <x v="13"/>
  </r>
  <r>
    <s v="ORT-11079"/>
    <m/>
    <s v="NDA - DEUTSCHE BANK ICD BROOKFIELD LEVEL 35 DUBAI"/>
    <n v="0"/>
    <n v="1"/>
    <d v="2025-04-08T00:00:00"/>
    <x v="13"/>
  </r>
  <r>
    <s v="ORT-11080"/>
    <s v="C000418443"/>
    <s v="RATP PORT ROYAL PARIS"/>
    <n v="0"/>
    <n v="1"/>
    <d v="2025-04-08T00:00:00"/>
    <x v="13"/>
  </r>
  <r>
    <s v="ORT-11082"/>
    <s v="C000418478"/>
    <s v="MANCHESTER AIRPORT T2 EAST CHECK IN AREAS"/>
    <n v="0"/>
    <n v="1"/>
    <d v="2025-04-08T00:00:00"/>
    <x v="13"/>
  </r>
  <r>
    <s v="ORT-11083"/>
    <s v="C000418479"/>
    <s v="WORKPLACE INTERIORS MISC 2025"/>
    <n v="1"/>
    <n v="1"/>
    <d v="2025-04-08T00:00:00"/>
    <x v="13"/>
  </r>
  <r>
    <s v="ORT-11084"/>
    <s v="C000418485"/>
    <s v="VICTORIA STREET NO 105 LIFT LOBBIES LONDON"/>
    <n v="1"/>
    <n v="1"/>
    <d v="2025-04-08T00:00:00"/>
    <x v="13"/>
  </r>
  <r>
    <s v="ORT-11085"/>
    <s v="C000418494"/>
    <s v="LEADENHALL STREET NO 1 CAT B LATHAM &amp; WATKINS FLRS 1-20"/>
    <n v="4"/>
    <n v="0"/>
    <d v="2025-04-08T00:00:00"/>
    <x v="13"/>
  </r>
  <r>
    <s v="ORT-11086"/>
    <s v="C000418497"/>
    <s v="CANARY WHARF DS7 CANADA SQUARE NO 1 UCL SOM PHASE 1 LONDON"/>
    <n v="1"/>
    <n v="1"/>
    <d v="2025-04-08T00:00:00"/>
    <x v="13"/>
  </r>
  <r>
    <s v="ORT-11087"/>
    <s v="C000418504"/>
    <s v="BUNHILL ROW NO 1 SLAUGHTER &amp; MAY CAT A REFURB LONDON"/>
    <n v="0"/>
    <n v="1"/>
    <d v="2025-04-09T00:00:00"/>
    <x v="13"/>
  </r>
  <r>
    <s v="ORT-11088"/>
    <s v="C000418506"/>
    <s v="ROPEMAKER STREET NO 20-22 LINKLATERS FIT-OUT LONDON"/>
    <n v="5"/>
    <n v="0"/>
    <d v="2025-04-09T00:00:00"/>
    <x v="13"/>
  </r>
  <r>
    <s v="ORT-11089"/>
    <s v="C000418507"/>
    <s v="CASTELNAU NO 73 REFURB LONDON"/>
    <n v="0"/>
    <n v="1"/>
    <d v="2025-04-09T00:00:00"/>
    <x v="13"/>
  </r>
  <r>
    <s v="ORT-11090"/>
    <s v="C000418508"/>
    <s v="RIVERGATE NO 3 TEMPLE QUAY REFURB BRISTOL"/>
    <n v="0"/>
    <n v="1"/>
    <d v="2025-04-09T00:00:00"/>
    <x v="13"/>
  </r>
  <r>
    <s v="ORT-11091"/>
    <s v="C000418516"/>
    <s v="CHAMARTIN PHASE 2 MADRID"/>
    <n v="1"/>
    <n v="1"/>
    <d v="2025-04-09T00:00:00"/>
    <x v="13"/>
  </r>
  <r>
    <s v="ORT-11092"/>
    <s v="C000418517"/>
    <s v="SOUTH MISC 2025"/>
    <n v="1"/>
    <n v="1"/>
    <d v="2025-04-09T00:00:00"/>
    <x v="13"/>
  </r>
  <r>
    <s v="ORT-11093"/>
    <s v="C000418518"/>
    <s v="PETERBOROUGH COURT FLEET STREET NO 133 REFURB LONDON"/>
    <n v="0"/>
    <n v="1"/>
    <d v="2025-04-09T00:00:00"/>
    <x v="13"/>
  </r>
  <r>
    <s v="ORT-11095"/>
    <s v="C000418527"/>
    <s v="UNI OF OXFORD CENTRE FOR LIFE AND MIND SCIENCES"/>
    <n v="1"/>
    <n v="1"/>
    <d v="2025-04-09T00:00:00"/>
    <x v="13"/>
  </r>
  <r>
    <s v="ORT-11096"/>
    <s v="C000418528"/>
    <s v="ORANGEBOX POD CASSETTES"/>
    <n v="3"/>
    <n v="0"/>
    <d v="2025-04-10T00:00:00"/>
    <x v="13"/>
  </r>
  <r>
    <s v="ORT-11097"/>
    <s v="C000418534"/>
    <s v="COLMORE SQUARE NO 1 FLOOR 4 BIRMINGHAM"/>
    <n v="0"/>
    <n v="1"/>
    <d v="2025-04-10T00:00:00"/>
    <x v="13"/>
  </r>
  <r>
    <s v="ORT-11098"/>
    <s v="C000418535"/>
    <s v="T-THERAPEUTICS OFFICE CAMBRIDGE"/>
    <n v="0"/>
    <n v="1"/>
    <d v="2025-04-10T00:00:00"/>
    <x v="13"/>
  </r>
  <r>
    <s v="ORT-11099"/>
    <s v="C000418545"/>
    <s v="CHARING CROSS ROAD NO 127-133 LONDON"/>
    <n v="0"/>
    <n v="1"/>
    <d v="2025-04-10T00:00:00"/>
    <x v="13"/>
  </r>
  <r>
    <s v="ORT-11100"/>
    <s v="C000418550"/>
    <s v="OLD JEWRY NO 27-32 FLR 5 REFURB LONDON"/>
    <n v="1"/>
    <n v="1"/>
    <d v="2025-04-10T00:00:00"/>
    <x v="13"/>
  </r>
  <r>
    <s v="ORT-11104"/>
    <s v="C000418565"/>
    <s v="GROSVENOR PLACE NO 40 CAT A REFURB LONDON"/>
    <n v="0"/>
    <n v="1"/>
    <d v="2025-04-11T00:00:00"/>
    <x v="13"/>
  </r>
  <r>
    <s v="ORT-11105"/>
    <s v="C000418568"/>
    <s v="AIR STREET NO 20 CAT B PAUL WEISS LONDON"/>
    <n v="0"/>
    <n v="1"/>
    <d v="2025-04-11T00:00:00"/>
    <x v="13"/>
  </r>
  <r>
    <s v="ORT-11106"/>
    <s v="C000418571"/>
    <s v="TORRE DIAGONAL MAR BARCELONA ADD'L MAT'LS"/>
    <n v="0"/>
    <n v="1"/>
    <d v="2025-04-11T00:00:00"/>
    <x v="13"/>
  </r>
  <r>
    <s v="ORT-11107"/>
    <s v="C000418573"/>
    <s v="FENCHURCH STREET NO 20 FLR 23 REFURB LONDON"/>
    <n v="1"/>
    <n v="1"/>
    <d v="2025-04-11T00:00:00"/>
    <x v="13"/>
  </r>
  <r>
    <s v="ORT-11109"/>
    <s v="C000418574"/>
    <s v="OVAL VILLAGE KENNINGTON LANE PLOT B LONDON"/>
    <n v="14"/>
    <n v="0"/>
    <d v="2025-04-11T00:00:00"/>
    <x v="13"/>
  </r>
  <r>
    <s v="ORT-11112"/>
    <s v="C000418581"/>
    <s v="BROADGATE NO 1-2 CAT A WASHROOMS LONDON"/>
    <n v="0"/>
    <n v="1"/>
    <d v="2025-04-14T00:00:00"/>
    <x v="14"/>
  </r>
  <r>
    <s v="ORT-11113"/>
    <s v="C000418582"/>
    <s v="WORKPLACE INTERIORS MISC 2025"/>
    <n v="3"/>
    <n v="0"/>
    <d v="2025-04-14T00:00:00"/>
    <x v="14"/>
  </r>
  <r>
    <s v="ORT-11114"/>
    <s v="C000418585"/>
    <s v="LONDON MISC 2025"/>
    <n v="1"/>
    <n v="1"/>
    <d v="2025-04-14T00:00:00"/>
    <x v="14"/>
  </r>
  <r>
    <s v="ORT-11115"/>
    <s v="C000418586"/>
    <s v="WIGMORE STREET NO 42 REFURB LONDON"/>
    <n v="0"/>
    <n v="1"/>
    <d v="2025-04-14T00:00:00"/>
    <x v="14"/>
  </r>
  <r>
    <s v="ORT-11116"/>
    <s v="C000418590"/>
    <s v="MANBRE WHARF REFINERY BUILDING HAMMERSMITH LONDON"/>
    <n v="3"/>
    <n v="0"/>
    <d v="2025-04-14T00:00:00"/>
    <x v="14"/>
  </r>
  <r>
    <s v="ORT-11117"/>
    <s v="C000418597"/>
    <s v="SAVILE ROW NO 23 ROKOS FLR 1 PHASE 2 LONDON"/>
    <n v="3"/>
    <n v="0"/>
    <d v="2025-04-14T00:00:00"/>
    <x v="14"/>
  </r>
  <r>
    <s v="ORT-11119"/>
    <s v="C000418600"/>
    <s v="PARK HOUSE FINSBURY CIRCUS NO 16/18 PH 2 FLR 7 CISCO LONDON"/>
    <n v="11"/>
    <n v="0"/>
    <d v="2025-04-15T00:00:00"/>
    <x v="14"/>
  </r>
  <r>
    <s v="ORT-11120"/>
    <s v="C000418602"/>
    <s v="ROPEMAKER STREET NO 20-22 LINKLATERS FIT-OUT LONDON"/>
    <n v="1"/>
    <n v="1"/>
    <d v="2025-04-15T00:00:00"/>
    <x v="14"/>
  </r>
  <r>
    <s v="ORT-11121"/>
    <s v="C000418605"/>
    <s v="LEADENHALL STREET NO 40 KIRKLAND &amp; ELLIS FLRS 15-34 LONDON"/>
    <n v="1"/>
    <n v="1"/>
    <d v="2025-04-15T00:00:00"/>
    <x v="14"/>
  </r>
  <r>
    <s v="ORT-11122"/>
    <s v="C000418613"/>
    <s v="THORN LIGHTING LTD 2025"/>
    <n v="0"/>
    <n v="1"/>
    <d v="2025-04-15T00:00:00"/>
    <x v="14"/>
  </r>
  <r>
    <s v="ORT-11123"/>
    <s v="C000418619"/>
    <s v="NEW STREET SQUARE NO 5 CAT B STEWARTS LAW LONDON"/>
    <n v="0"/>
    <n v="1"/>
    <d v="2025-04-15T00:00:00"/>
    <x v="14"/>
  </r>
  <r>
    <s v="ORT-11124"/>
    <s v="C000418623"/>
    <s v="BURY COLLEGE WOODBURY MANCHESTER"/>
    <n v="0"/>
    <n v="1"/>
    <d v="2025-04-15T00:00:00"/>
    <x v="14"/>
  </r>
  <r>
    <s v="ORT-11125"/>
    <s v="C000418624"/>
    <s v="STORE ROAD WOOLWICH LONDON"/>
    <n v="0"/>
    <n v="1"/>
    <d v="2025-04-15T00:00:00"/>
    <x v="14"/>
  </r>
  <r>
    <s v="ORT-11126"/>
    <s v="C000418625"/>
    <s v="STORE ROAD WOOLWICH LONDON"/>
    <n v="0"/>
    <n v="1"/>
    <d v="2025-04-15T00:00:00"/>
    <x v="14"/>
  </r>
  <r>
    <s v="ORT-11127"/>
    <s v="C000418627"/>
    <s v="NDA - PWC LAYSEN VALLEY RIYADH OFFICE FIT OUT WALL PANELS"/>
    <n v="5"/>
    <n v="0"/>
    <d v="2025-04-15T00:00:00"/>
    <x v="14"/>
  </r>
  <r>
    <s v="ORT-11128"/>
    <s v="C000418629"/>
    <s v="OXFORD STREET NO 214 OFFICE BUILDING LONDON"/>
    <n v="5"/>
    <n v="0"/>
    <d v="2025-04-15T00:00:00"/>
    <x v="14"/>
  </r>
  <r>
    <s v="ORT-11129"/>
    <s v="C000418631"/>
    <s v="WINCHESTER COLLEGE BOARDING AND SPORTS FACILITIES"/>
    <n v="0"/>
    <n v="1"/>
    <d v="2025-04-15T00:00:00"/>
    <x v="14"/>
  </r>
  <r>
    <s v="ORT-11130"/>
    <s v="C000418632"/>
    <s v="KINGS ROAD NO 120 LIBERTY GLOBAL FABRIC LONDON"/>
    <n v="11"/>
    <n v="0"/>
    <d v="2025-04-15T00:00:00"/>
    <x v="14"/>
  </r>
  <r>
    <s v="ORT-11133"/>
    <s v="C000418637"/>
    <s v="BAKER STREET NO 25 GROUND FLOOR BMO LONDON"/>
    <n v="0"/>
    <n v="1"/>
    <d v="2025-04-16T00:00:00"/>
    <x v="14"/>
  </r>
  <r>
    <s v="ORT-11134"/>
    <s v="C000418638"/>
    <s v="DEVONSHIRE HOUSE MAYFAIR PLACE NO 1 LEVELS 3-4 TA LONDON"/>
    <n v="1"/>
    <n v="1"/>
    <d v="2025-04-16T00:00:00"/>
    <x v="14"/>
  </r>
  <r>
    <s v="ORT-11135"/>
    <s v="C000418647"/>
    <s v="CANARY WHARF WOOD WHARF B2 APARTMENT FIT OUT LONDON"/>
    <n v="0"/>
    <n v="1"/>
    <d v="2025-04-16T00:00:00"/>
    <x v="14"/>
  </r>
  <r>
    <s v="ORT-11136"/>
    <s v="C000418650"/>
    <s v="GATEHOUSE CHAMBER LADY HALE GATE REFURB LONDON"/>
    <n v="0"/>
    <n v="1"/>
    <d v="2025-04-16T00:00:00"/>
    <x v="14"/>
  </r>
  <r>
    <s v="ORT-11137"/>
    <s v="C000418651"/>
    <s v="NEW STREET SQUARE NO 5 TAYLOR WESSING REFURB LONDON"/>
    <n v="12"/>
    <n v="0"/>
    <d v="2025-04-16T00:00:00"/>
    <x v="14"/>
  </r>
  <r>
    <s v="ORT-11138"/>
    <s v="C000418654"/>
    <s v="THE STAGE SHOREDITCH BARD &amp; HEWETT AMAZON FIT OUT LONDON"/>
    <n v="0"/>
    <n v="1"/>
    <d v="2025-04-16T00:00:00"/>
    <x v="14"/>
  </r>
  <r>
    <s v="ORT-11139"/>
    <s v="C000418658"/>
    <s v="HCP ABERDEEN MORTUARY"/>
    <n v="1"/>
    <n v="1"/>
    <d v="2025-04-16T00:00:00"/>
    <x v="14"/>
  </r>
  <r>
    <s v="ORT-11140"/>
    <s v="C000418663"/>
    <s v="ELEPHANT &amp; CASTLE TOWN CENTRE WASHROOMS LONDON"/>
    <n v="0"/>
    <n v="1"/>
    <d v="2025-04-17T00:00:00"/>
    <x v="14"/>
  </r>
  <r>
    <s v="ORT-11141"/>
    <s v="C000418664"/>
    <s v="ALDERMANBURY SQUARE NO 2 BASINGHALL STREET LONDON"/>
    <n v="3"/>
    <n v="0"/>
    <d v="2025-04-17T00:00:00"/>
    <x v="14"/>
  </r>
  <r>
    <s v="ORT-11142"/>
    <s v="C000418665"/>
    <s v="JACK TURNBULL MISC TILE &amp; GRID 2025"/>
    <n v="0"/>
    <n v="1"/>
    <d v="2025-04-17T00:00:00"/>
    <x v="14"/>
  </r>
  <r>
    <s v="ORT-11143"/>
    <s v="C000418667"/>
    <s v="LOTHBURY NO 41 CAT B FITOUT ADDLESHAW GODDARD LONDON"/>
    <n v="6"/>
    <n v="0"/>
    <d v="2025-04-17T00:00:00"/>
    <x v="14"/>
  </r>
  <r>
    <s v="ORT-11144"/>
    <s v="C000418668"/>
    <s v="PRINCES STREET NO 10-15 MOTEL ONE REFURB EDINBURGH"/>
    <n v="4"/>
    <n v="0"/>
    <d v="2025-04-17T00:00:00"/>
    <x v="14"/>
  </r>
  <r>
    <s v="ORT-11145"/>
    <s v="C000418672"/>
    <s v="LONGBRIDGE BUSINESS PARK ALLSEE HQ BIRMINGHAM"/>
    <n v="5"/>
    <n v="0"/>
    <d v="2025-04-17T00:00:00"/>
    <x v="14"/>
  </r>
  <r>
    <s v="ORT-11146"/>
    <s v="C000418673"/>
    <s v="CRITERION BUILDING PICCADILLY NO 225-229 LONDON"/>
    <n v="0"/>
    <n v="1"/>
    <d v="2025-04-17T00:00:00"/>
    <x v="14"/>
  </r>
  <r>
    <s v="ORT-11148"/>
    <s v="C000418679"/>
    <s v="DATUM MCR2 DATA CENTRE MANCHESTER DATA HALLS"/>
    <n v="5"/>
    <n v="0"/>
    <d v="2025-04-17T00:00:00"/>
    <x v="14"/>
  </r>
  <r>
    <s v="ORT-11149"/>
    <s v="C000418681"/>
    <s v="WARSAW CPK NEW INTERNATIONAL AIRPORT"/>
    <n v="0"/>
    <n v="1"/>
    <d v="2025-04-17T00:00:00"/>
    <x v="14"/>
  </r>
  <r>
    <s v="ORT-11150"/>
    <s v="C000418682"/>
    <s v="VICTORIA HOUSE BLOOMSBURY SQUARE LONDON"/>
    <n v="5"/>
    <n v="0"/>
    <d v="2025-04-17T00:00:00"/>
    <x v="14"/>
  </r>
  <r>
    <s v="ORT-11155"/>
    <s v="C000418691"/>
    <s v="CRITERION BUILDING PICCADILLY NO 225-229 LONDON"/>
    <n v="2"/>
    <n v="0"/>
    <d v="2025-04-22T00:00:00"/>
    <x v="15"/>
  </r>
  <r>
    <s v="ORT-11156"/>
    <s v="CF00000524"/>
    <s v="GENESYS BREST"/>
    <n v="0"/>
    <n v="1"/>
    <d v="2025-04-22T00:00:00"/>
    <x v="15"/>
  </r>
  <r>
    <s v="ORT-11157"/>
    <s v="C000418050"/>
    <s v="DUBAI MALL ICE RINK CEILING REFURB"/>
    <n v="15"/>
    <n v="0"/>
    <d v="2025-04-22T00:00:00"/>
    <x v="15"/>
  </r>
  <r>
    <s v="ORT-11158"/>
    <s v="C000418705"/>
    <s v="REPSOL 2026 PLAN MADRID"/>
    <n v="0"/>
    <n v="1"/>
    <d v="2025-04-22T00:00:00"/>
    <x v="15"/>
  </r>
  <r>
    <s v="ORT-11159"/>
    <s v="C000418706"/>
    <s v="BROADGATE NO 1-2 SHELL &amp; CORE LONDON"/>
    <n v="2"/>
    <n v="0"/>
    <d v="2025-04-22T00:00:00"/>
    <x v="15"/>
  </r>
  <r>
    <s v="ORT-11160"/>
    <s v="C000418713"/>
    <s v="THREADNEEDLE STREET NO 60 CAT A FLOOR 8 LONDON"/>
    <n v="0"/>
    <n v="1"/>
    <d v="2025-04-23T00:00:00"/>
    <x v="15"/>
  </r>
  <r>
    <s v="ORT-11161"/>
    <s v="C000418715"/>
    <s v="EXCEL PHASE 3 DEVELOPMENT WC LONDON"/>
    <n v="7"/>
    <n v="0"/>
    <d v="2025-04-23T00:00:00"/>
    <x v="15"/>
  </r>
  <r>
    <s v="ORT-11162"/>
    <s v="C000418721"/>
    <s v="MORE LONDON NO 6 CAT A LONDON"/>
    <n v="11"/>
    <n v="0"/>
    <d v="2025-04-23T00:00:00"/>
    <x v="15"/>
  </r>
  <r>
    <s v="ORT-11163"/>
    <s v="C000418722"/>
    <s v="TURING COURT NO 1 CARECO HQ BRAINTREE"/>
    <n v="1"/>
    <n v="1"/>
    <d v="2025-04-23T00:00:00"/>
    <x v="15"/>
  </r>
  <r>
    <s v="ORT-11164"/>
    <s v="C000418731"/>
    <s v="HMP NEW HALL PRISON YOI REFURB WAKEFIELD"/>
    <n v="9"/>
    <n v="0"/>
    <d v="2025-04-24T00:00:00"/>
    <x v="15"/>
  </r>
  <r>
    <s v="ORT-11165"/>
    <s v="C000418732"/>
    <s v="PROJECT ASPEN PRESTON FIT OUT MANCHESTER"/>
    <n v="30"/>
    <n v="0"/>
    <d v="2025-04-24T00:00:00"/>
    <x v="15"/>
  </r>
  <r>
    <s v="ORT-11166"/>
    <s v="C000418735"/>
    <s v="DRAPERS GARDENS NO 12 BLACKROCK FLR 3 REFURB LONDON"/>
    <n v="0"/>
    <n v="1"/>
    <d v="2025-04-24T00:00:00"/>
    <x v="15"/>
  </r>
  <r>
    <s v="ORT-11167"/>
    <s v="C000418736"/>
    <s v="GRAEME HUDSON MISC 2024"/>
    <n v="4"/>
    <n v="0"/>
    <d v="2025-04-24T00:00:00"/>
    <x v="15"/>
  </r>
  <r>
    <s v="ORT-11168"/>
    <s v="C000418739"/>
    <s v="MANCHESTER AIRPORT PIER 2 PHASE 2 CELINGS"/>
    <n v="0"/>
    <n v="1"/>
    <d v="2025-04-24T00:00:00"/>
    <x v="15"/>
  </r>
  <r>
    <s v="ORT-11169"/>
    <s v="C000418741"/>
    <s v="ST NICHOLAS BUILDING FLR 4 NEWCASTLE"/>
    <n v="5"/>
    <n v="0"/>
    <d v="2025-04-24T00:00:00"/>
    <x v="15"/>
  </r>
  <r>
    <s v="ORT-11170"/>
    <s v="C000418743"/>
    <s v="THE CURSITOR CHANCERY LANE NO 38 CAT A REFURB LONDON"/>
    <n v="0"/>
    <n v="1"/>
    <d v="2025-04-24T00:00:00"/>
    <x v="15"/>
  </r>
  <r>
    <s v="ORT-11171"/>
    <s v="C000418744"/>
    <s v="KING STREET OFFICE DEVELOPMENT BLACKPOOL LIGHTING"/>
    <n v="0"/>
    <n v="1"/>
    <d v="2025-04-24T00:00:00"/>
    <x v="15"/>
  </r>
  <r>
    <s v="ORT-11172"/>
    <s v="C000418745"/>
    <s v="NDI LIVERPOOL PROJECT"/>
    <n v="1"/>
    <n v="1"/>
    <d v="2025-04-24T00:00:00"/>
    <x v="15"/>
  </r>
  <r>
    <s v="ORT-11173"/>
    <s v="C000418750"/>
    <s v="PRINCIPAL PLACE CAT A LONDON"/>
    <n v="9"/>
    <n v="0"/>
    <d v="2025-04-24T00:00:00"/>
    <x v="15"/>
  </r>
  <r>
    <s v="ORT-11174"/>
    <s v="C000418755"/>
    <s v="BROADWAY NO 40 &amp; CARTERET STREET REDEVELOPMENT LONDON"/>
    <n v="5"/>
    <n v="0"/>
    <d v="2025-04-24T00:00:00"/>
    <x v="15"/>
  </r>
  <r>
    <s v="ORT-11175"/>
    <s v="C000418756"/>
    <s v="BROADWAY NO 40 &amp; CARTERET STREET REDEVELOPMENT LONDON"/>
    <n v="13"/>
    <n v="0"/>
    <d v="2025-04-24T00:00:00"/>
    <x v="15"/>
  </r>
  <r>
    <s v="ORT-11176"/>
    <s v="C000418757"/>
    <s v="BROADWAY NO 40 &amp; CARTERET STREET REDEVELOPMENT LONDON"/>
    <n v="13"/>
    <n v="0"/>
    <d v="2025-04-24T00:00:00"/>
    <x v="15"/>
  </r>
  <r>
    <s v="ORT-11177"/>
    <s v="C000418758"/>
    <s v="WELLS STREET NO 80 WELLS HOUSE THE RIBBON MTNG ROOMS / BSMNT"/>
    <n v="3"/>
    <n v="0"/>
    <d v="2025-04-24T00:00:00"/>
    <x v="15"/>
  </r>
  <r>
    <s v="ORT-11178"/>
    <s v="C000418759"/>
    <s v="NDA - PWC LAYSEN VALLEY RIYADH OFFICE FIT OUT"/>
    <n v="2"/>
    <n v="0"/>
    <d v="2025-04-24T00:00:00"/>
    <x v="15"/>
  </r>
  <r>
    <s v="ORT-11179"/>
    <s v="C000418761"/>
    <s v="JAMES STREET NO 1 LIGHTING LONDON"/>
    <n v="0"/>
    <n v="1"/>
    <d v="2025-04-24T00:00:00"/>
    <x v="15"/>
  </r>
  <r>
    <s v="ORT-11180"/>
    <s v="C000418783"/>
    <s v="ALDGATE TOWER UBER REFURB FLOORS 13-15 LONDON"/>
    <n v="0"/>
    <n v="1"/>
    <d v="2025-04-25T00:00:00"/>
    <x v="15"/>
  </r>
  <r>
    <s v="ORT-11181"/>
    <s v="C000418786"/>
    <s v="LONDON SOUTH EAST COLLEGES FUTURE GREENWICH CAMPUS LONDON"/>
    <n v="8"/>
    <n v="0"/>
    <d v="2025-04-26T00:00:00"/>
    <x v="16"/>
  </r>
  <r>
    <s v="ORT-11182"/>
    <s v="C000418793"/>
    <s v="CANARY WHARF DS7 CANADA SQUARE NO 1 UCL SOM PHASE 1 LONDON"/>
    <n v="0"/>
    <n v="1"/>
    <d v="2025-04-28T00:00:00"/>
    <x v="16"/>
  </r>
  <r>
    <s v="ORT-11183"/>
    <m/>
    <s v="LONDON SOUTH EAST COLLEGES FUTURE GREENWICH CAMPUS LONDON"/>
    <n v="103"/>
    <n v="0"/>
    <d v="2025-04-28T00:00:00"/>
    <x v="16"/>
  </r>
  <r>
    <s v="ORT-11184"/>
    <s v="C000418795"/>
    <s v="GATEHOUSE CHAMBER LADY HALE GATE REFURB LONDON"/>
    <n v="4"/>
    <n v="0"/>
    <d v="2025-04-28T00:00:00"/>
    <x v="16"/>
  </r>
  <r>
    <s v="ORT-11185"/>
    <s v="C000418797"/>
    <s v="LESTER ROAD LITTLE HULTON"/>
    <n v="0"/>
    <n v="1"/>
    <d v="2025-04-28T00:00:00"/>
    <x v="16"/>
  </r>
  <r>
    <s v="ORT-11186"/>
    <s v="C000418798"/>
    <s v="DEVONSHIRE SQUARE NO 7 FLOORS 7-8 RAILPEN LONDON"/>
    <n v="3"/>
    <n v="0"/>
    <d v="2025-04-28T00:00:00"/>
    <x v="16"/>
  </r>
  <r>
    <s v="ORT-11187"/>
    <s v="C000418802"/>
    <s v="REGENT QUARTER LIFE SCIENCES PH 1 BRAVINGTON WALKWAY LONDON"/>
    <n v="0"/>
    <n v="1"/>
    <d v="2025-04-28T00:00:00"/>
    <x v="16"/>
  </r>
  <r>
    <s v="ORT-11189"/>
    <s v="C000418808"/>
    <s v="LEADENHALL STREET NO 40 KIRKLAND &amp; ELLIS FLRS 15-34 LONDON"/>
    <n v="0"/>
    <n v="1"/>
    <d v="2025-04-28T00:00:00"/>
    <x v="16"/>
  </r>
  <r>
    <s v="ORT-11190"/>
    <s v="C000418811"/>
    <s v="THE BRITISH LIBRARY BOSTON SPA WETHERBY"/>
    <n v="9"/>
    <n v="0"/>
    <d v="2025-04-28T00:00:00"/>
    <x v="16"/>
  </r>
  <r>
    <s v="ORT-11191"/>
    <s v="C000418814"/>
    <s v="JACK TURNBULL MISC TILE &amp; GRID 2025"/>
    <n v="9"/>
    <n v="0"/>
    <d v="2025-04-28T00:00:00"/>
    <x v="16"/>
  </r>
  <r>
    <s v="ORT-11192"/>
    <s v="C000418816"/>
    <s v="BISHOPSGATE NO 155 FLOOR 5 LONDON"/>
    <n v="7"/>
    <n v="0"/>
    <d v="2025-04-28T00:00:00"/>
    <x v="16"/>
  </r>
  <r>
    <s v="ORT-11193"/>
    <s v="C000418818"/>
    <s v="BASINGHALL AVENUE NO 1 GROUND &amp; 5-10 REFURB LONDON"/>
    <n v="3"/>
    <n v="0"/>
    <d v="2025-04-28T00:00:00"/>
    <x v="16"/>
  </r>
  <r>
    <s v="ORT-11194"/>
    <s v="C000418819"/>
    <s v="CANARY WHARF CANADA SQUARE NO 25 CITIBANK REFURB LONDON"/>
    <n v="12"/>
    <n v="0"/>
    <d v="2025-04-28T00:00:00"/>
    <x v="16"/>
  </r>
  <r>
    <s v="ORT-11195"/>
    <s v="C000418820"/>
    <s v="CANARY WHARF CANADA SQUARE NO 25 CITIBANK REFURB LONDON"/>
    <n v="3"/>
    <n v="0"/>
    <d v="2025-04-28T00:00:00"/>
    <x v="16"/>
  </r>
  <r>
    <s v="ORT-11196"/>
    <s v="C000418821"/>
    <s v="KINGS CROSS CENTRAL GOOGLE HQ KGX1 CAT B LONDON"/>
    <n v="0"/>
    <n v="1"/>
    <d v="2025-04-28T00:00:00"/>
    <x v="16"/>
  </r>
  <r>
    <s v="ORT-11197"/>
    <s v="C000418823"/>
    <s v="GATWICK NORTH TERMINAL PIER 4 CEILING"/>
    <n v="0"/>
    <n v="1"/>
    <d v="2025-04-28T00:00:00"/>
    <x v="16"/>
  </r>
  <r>
    <s v="ORT-11198"/>
    <s v="C000418824"/>
    <s v="PORSCHE SHOWROOM EXETER"/>
    <n v="8"/>
    <n v="0"/>
    <d v="2025-04-28T00:00:00"/>
    <x v="16"/>
  </r>
  <r>
    <s v="ORT-11200"/>
    <s v="C000418827"/>
    <s v="PALACE STREET NO 16 CAT A FLOORS 1-2 LONDON"/>
    <n v="0"/>
    <n v="1"/>
    <d v="2025-04-29T00:00:00"/>
    <x v="16"/>
  </r>
  <r>
    <s v="ORT-11201"/>
    <s v="C000418830"/>
    <s v="MORE LONDON RIVERSIDE NO 7 PWC REFRESH LONDON"/>
    <n v="7"/>
    <n v="0"/>
    <d v="2025-04-29T00:00:00"/>
    <x v="16"/>
  </r>
  <r>
    <s v="ORT-11202"/>
    <s v="C000418831"/>
    <s v="NEW YORK STREET NO 1 CAT A REFURB FLR 7 &amp; 10 MANCHESTER"/>
    <n v="1"/>
    <n v="1"/>
    <d v="2025-04-29T00:00:00"/>
    <x v="16"/>
  </r>
  <r>
    <s v="ORT-11203"/>
    <s v="C000418832"/>
    <s v="NOVARTIS PHASE 2 BARCELONA"/>
    <n v="2"/>
    <n v="0"/>
    <d v="2025-04-29T00:00:00"/>
    <x v="16"/>
  </r>
  <r>
    <s v="ORT-11204"/>
    <s v="C000418834"/>
    <s v="PORTLAND HOUSE BRESSENDEN PLACE LONDON"/>
    <n v="0"/>
    <n v="1"/>
    <d v="2025-04-29T00:00:00"/>
    <x v="16"/>
  </r>
  <r>
    <s v="ORT-11205"/>
    <s v="C000418835"/>
    <s v="CURZON STREET NO 1 FLOOR 2 PJT PARTNERS LONDON"/>
    <n v="0"/>
    <n v="1"/>
    <d v="2025-04-29T00:00:00"/>
    <x v="16"/>
  </r>
  <r>
    <s v="ORT-11206"/>
    <s v="C000418837"/>
    <s v="BISHOPSGATE NO 8 FLOORS 4-6 SCOR JOINERY LONDON"/>
    <n v="2"/>
    <n v="0"/>
    <d v="2025-04-29T00:00:00"/>
    <x v="16"/>
  </r>
  <r>
    <s v="ORT-11207"/>
    <s v="C000418839"/>
    <s v="BAKER STREET NO 25 LONDON"/>
    <n v="2"/>
    <n v="0"/>
    <d v="2025-04-29T00:00:00"/>
    <x v="16"/>
  </r>
  <r>
    <s v="ORT-11208"/>
    <s v="C000418842"/>
    <s v="HATFIELD BUSINESS PARK"/>
    <n v="0"/>
    <n v="1"/>
    <d v="2025-04-29T00:00:00"/>
    <x v="16"/>
  </r>
  <r>
    <s v="ORT-11209"/>
    <s v="C000418847"/>
    <s v="PRIMARK MANCHESTER"/>
    <n v="1"/>
    <n v="1"/>
    <d v="2025-04-29T00:00:00"/>
    <x v="16"/>
  </r>
  <r>
    <s v="ORT-11210"/>
    <s v="C000418849"/>
    <s v="UNI OF CAMBRIDGE CHEMISTRY LECTURE ROOM GRD FLR LIGHTING"/>
    <n v="3"/>
    <n v="0"/>
    <d v="2025-04-29T00:00:00"/>
    <x v="16"/>
  </r>
  <r>
    <s v="ORT-11211"/>
    <s v="C000418850"/>
    <s v="ALDERSGATE STREET NO 200 FLOOR 1 &amp; MEZZANINE CONVENE LONDON"/>
    <n v="2"/>
    <n v="0"/>
    <d v="2025-04-29T00:00:00"/>
    <x v="16"/>
  </r>
  <r>
    <s v="ORT-11212"/>
    <s v="C000418851"/>
    <s v="UNI OF CAMBRIDGE CHEMISTRY LECTURE ROOM CEILINGS GRD FLOOR"/>
    <n v="7"/>
    <n v="0"/>
    <d v="2025-04-29T00:00:00"/>
    <x v="16"/>
  </r>
  <r>
    <s v="ORT-11213"/>
    <s v="C000418852"/>
    <s v="UNI OF CAMBRIDGE CHEMISTRY LECTURE ROOM CEILINGS GRD FLOOR"/>
    <n v="7"/>
    <n v="0"/>
    <d v="2025-04-29T00:00:00"/>
    <x v="16"/>
  </r>
  <r>
    <s v="ORT-11214"/>
    <s v="C000418853"/>
    <s v="ST MICHAEL'S FLR 9 HILL DICKINSON FIT OUT MANCHESTER"/>
    <n v="6"/>
    <n v="0"/>
    <d v="2025-04-29T00:00:00"/>
    <x v="16"/>
  </r>
  <r>
    <s v="ORT-11215"/>
    <s v="C000418855"/>
    <s v="EURSHELL MISC TILE &amp; GRID 2025"/>
    <n v="5"/>
    <n v="0"/>
    <d v="2025-04-29T00:00:00"/>
    <x v="16"/>
  </r>
  <r>
    <s v="ORT-11216"/>
    <s v="C000418856"/>
    <s v="NAKILAT OFFICE FIT OUT 21 TOWER THE PEARL DOHA"/>
    <n v="0"/>
    <n v="1"/>
    <d v="2025-04-29T00:00:00"/>
    <x v="16"/>
  </r>
  <r>
    <s v="ORT-11219"/>
    <s v="C000418863"/>
    <s v="SAMPLE ROOM READING"/>
    <n v="0"/>
    <n v="1"/>
    <d v="2025-04-30T00:00:00"/>
    <x v="16"/>
  </r>
  <r>
    <s v="ORT-11220"/>
    <s v="C000418869"/>
    <s v="WORKPLACE INTERIORS MISC 2025"/>
    <n v="0"/>
    <n v="1"/>
    <d v="2025-04-30T00:00:00"/>
    <x v="16"/>
  </r>
  <r>
    <s v="ORT-11221"/>
    <s v="C000418872"/>
    <s v="FORSEVEN INTERIM HQ BICESTER"/>
    <n v="0"/>
    <n v="1"/>
    <d v="2025-04-30T00:00:00"/>
    <x v="16"/>
  </r>
  <r>
    <s v="ORT-11222"/>
    <s v="C000418874"/>
    <s v="BLACKFRIARS ROAD NO 230 FLRS 6 &amp; 7 REMEDIAL LONDON"/>
    <n v="1"/>
    <n v="1"/>
    <d v="2025-04-30T00:00:00"/>
    <x v="16"/>
  </r>
  <r>
    <s v="ORT-11223"/>
    <s v="C000418875"/>
    <s v="HARWELL SCIENCE PARK QUAD 3 OFFICES DIDCOT"/>
    <n v="1"/>
    <n v="1"/>
    <d v="2025-04-30T00:00:00"/>
    <x v="16"/>
  </r>
  <r>
    <s v="ORT-11224"/>
    <s v="C000418893"/>
    <s v="UNI OF GLASGOW ADAM SMITH BUILDING ADDITIONAL MATERIALS"/>
    <n v="6"/>
    <n v="0"/>
    <d v="2025-04-30T00:00:00"/>
    <x v="16"/>
  </r>
  <r>
    <s v="ORT-11225"/>
    <s v="C000418897"/>
    <s v="THE FORUM KINGS QUARTER EXTERNAL WALKWAYS GLOUCESTER"/>
    <n v="0"/>
    <n v="1"/>
    <d v="2025-04-30T00:00:00"/>
    <x v="16"/>
  </r>
  <r>
    <s v="ORT-11226"/>
    <s v="C000418899"/>
    <s v="PETERBOROUGH COURT FLEET STREET NO 133 REFURB LONDON"/>
    <n v="6"/>
    <n v="0"/>
    <d v="2025-04-30T00:00:00"/>
    <x v="16"/>
  </r>
  <r>
    <s v="ORT-11227"/>
    <s v="C000418900"/>
    <s v="KING WILLIAM STREET NO 85 FLR 4 REFURB LONDON"/>
    <n v="5"/>
    <n v="0"/>
    <d v="2025-04-30T00:00:00"/>
    <x v="16"/>
  </r>
  <r>
    <s v="ORT-11229"/>
    <s v="C000418902"/>
    <s v="WORKPLACE INTERIORS MISC 2025"/>
    <n v="0"/>
    <n v="1"/>
    <d v="2025-05-01T00:00:00"/>
    <x v="16"/>
  </r>
  <r>
    <s v="ORT-11230"/>
    <s v="C000418905"/>
    <s v="WILTON ROAD NO 129 CAT A FLOORS 1-5 LONDON"/>
    <n v="0"/>
    <n v="1"/>
    <d v="2025-05-01T00:00:00"/>
    <x v="16"/>
  </r>
  <r>
    <s v="ORT-11231"/>
    <s v="C000418913"/>
    <s v="STONECUTTER COURT CAT B TRAVERS SMITH LONDON"/>
    <n v="5"/>
    <n v="0"/>
    <d v="2025-05-01T00:00:00"/>
    <x v="16"/>
  </r>
  <r>
    <s v="ORT-11232"/>
    <s v="C000418914"/>
    <s v="STONECUTTER COURT CAT B TRAVERS SMITH LONDON"/>
    <n v="5"/>
    <n v="0"/>
    <d v="2025-05-01T00:00:00"/>
    <x v="16"/>
  </r>
  <r>
    <s v="ORT-11233"/>
    <s v="C000418915"/>
    <s v="STONECUTTER COURT CAT B TRAVERS SMITH LONDON"/>
    <n v="5"/>
    <n v="0"/>
    <d v="2025-05-01T00:00:00"/>
    <x v="16"/>
  </r>
  <r>
    <s v="ORT-11234"/>
    <s v="C000418916"/>
    <s v="STONECUTTER COURT CAT B TRAVERS SMITH LONDON"/>
    <n v="5"/>
    <n v="0"/>
    <d v="2025-05-01T00:00:00"/>
    <x v="16"/>
  </r>
  <r>
    <s v="ORT-11235"/>
    <s v="C000418917"/>
    <s v="STONECUTTER COURT CAT B TRAVERS SMITH LONDON"/>
    <n v="5"/>
    <n v="0"/>
    <d v="2025-05-01T00:00:00"/>
    <x v="16"/>
  </r>
  <r>
    <s v="ORT-11236"/>
    <s v="C000418918"/>
    <s v="STONECUTTER COURT CAT B TRAVERS SMITH LONDON"/>
    <n v="5"/>
    <n v="0"/>
    <d v="2025-05-01T00:00:00"/>
    <x v="16"/>
  </r>
  <r>
    <s v="ORT-11237"/>
    <s v="C000418919"/>
    <s v="STONECUTTER COURT CAT B TRAVERS SMITH LONDON"/>
    <n v="5"/>
    <n v="0"/>
    <d v="2025-05-01T00:00:00"/>
    <x v="16"/>
  </r>
  <r>
    <s v="ORT-11238"/>
    <s v="C000418920"/>
    <s v="STONECUTTER COURT CAT B TRAVERS SMITH LONDON"/>
    <n v="5"/>
    <n v="0"/>
    <d v="2025-05-01T00:00:00"/>
    <x v="16"/>
  </r>
  <r>
    <s v="ORT-11239"/>
    <s v="C000418921"/>
    <s v="STONECUTTER COURT CAT B TRAVERS SMITH LONDON"/>
    <n v="5"/>
    <n v="0"/>
    <d v="2025-05-01T00:00:00"/>
    <x v="16"/>
  </r>
  <r>
    <s v="ORT-11240"/>
    <s v="C000418922"/>
    <s v="STONECUTTER COURT CAT B TRAVERS SMITH LONDON"/>
    <n v="5"/>
    <n v="0"/>
    <d v="2025-05-01T00:00:00"/>
    <x v="16"/>
  </r>
  <r>
    <s v="ORT-11241"/>
    <s v="C000418925"/>
    <s v="MANCHESTER AIRPORT T2 EAST WING NEW DEVELOPMENT"/>
    <n v="5"/>
    <n v="0"/>
    <d v="2025-05-01T00:00:00"/>
    <x v="16"/>
  </r>
  <r>
    <s v="ORT-11242"/>
    <m/>
    <s v="KITCHEN REVAMPING BOURI DP4 LIBYA OFFSHORE"/>
    <n v="0"/>
    <n v="1"/>
    <d v="2025-05-01T00:00:00"/>
    <x v="16"/>
  </r>
  <r>
    <s v="ORT-11243"/>
    <s v="C000418928"/>
    <s v="WARNER MUSIC UK WRIGHTS LANE NO 27 LONDON"/>
    <n v="5"/>
    <n v="0"/>
    <d v="2025-05-01T00:00:00"/>
    <x v="16"/>
  </r>
  <r>
    <s v="ORT-11244"/>
    <s v="C000418931"/>
    <s v="HWE HUB BUILDING 7 ADITIONALS WATFORD"/>
    <n v="5"/>
    <n v="0"/>
    <d v="2025-05-01T00:00:00"/>
    <x v="16"/>
  </r>
  <r>
    <s v="ORT-11245"/>
    <s v="C000418933"/>
    <s v="ONE STATION HILL PWC CAT B FITOUT READING"/>
    <n v="0"/>
    <n v="1"/>
    <d v="2025-05-01T00:00:00"/>
    <x v="16"/>
  </r>
  <r>
    <s v="ORT-11246"/>
    <s v="C000418935"/>
    <s v="ELEPHANT &amp; CASTLE TOWN CENTRE PLOT E2 &amp; E3 LONDON"/>
    <n v="4"/>
    <n v="0"/>
    <d v="2025-05-01T00:00:00"/>
    <x v="16"/>
  </r>
  <r>
    <s v="ORT-11247"/>
    <s v="C000418941"/>
    <s v="EVERTON FC BRAMLEY MOORE DOCK STADIUM FEATURES LIVERPOOL"/>
    <n v="1"/>
    <n v="1"/>
    <d v="2025-05-01T00:00:00"/>
    <x v="16"/>
  </r>
  <r>
    <s v="ORT-11248"/>
    <s v="C000418944"/>
    <s v="WORKPLACE INTERIORS MISC 2025"/>
    <n v="3"/>
    <n v="0"/>
    <d v="2025-05-01T00:00:00"/>
    <x v="16"/>
  </r>
  <r>
    <s v="ORT-11249"/>
    <s v="C000418945"/>
    <s v="SCOTLAND &amp; NORTH EAST MISC 2025"/>
    <n v="4"/>
    <n v="0"/>
    <d v="2025-05-01T00:00:00"/>
    <x v="16"/>
  </r>
  <r>
    <s v="ORT-11250"/>
    <s v="C000418946"/>
    <s v="ST MICHAELS TOWER FLRS 7 &amp; 8 MANCHESTER"/>
    <n v="0"/>
    <n v="1"/>
    <d v="2025-05-01T00:00:00"/>
    <x v="16"/>
  </r>
  <r>
    <s v="ORT-11252"/>
    <s v="C000418952"/>
    <s v="LEADENHALL STREET NO 1 SHELL AND CORE LONDON"/>
    <n v="2"/>
    <n v="0"/>
    <d v="2025-05-02T00:00:00"/>
    <x v="16"/>
  </r>
  <r>
    <s v="ORT-11253"/>
    <s v="C000418955"/>
    <s v="ST MICHAELS TOWER FLRS 7 &amp; 8 MANCHESTER"/>
    <n v="0"/>
    <n v="1"/>
    <d v="2025-05-02T00:00:00"/>
    <x v="16"/>
  </r>
  <r>
    <s v="ORT-11254"/>
    <s v="C000418957"/>
    <s v="BERKELEY SQUARE HOUSE REFURB LONDON"/>
    <n v="0"/>
    <n v="1"/>
    <d v="2025-05-02T00:00:00"/>
    <x v="16"/>
  </r>
  <r>
    <s v="ORT-11255"/>
    <s v="C000418961"/>
    <s v="WINCHESTER COLLEGE BOARDING AND SPORTS FACILITIES"/>
    <n v="0"/>
    <n v="1"/>
    <d v="2025-05-02T00:00:00"/>
    <x v="16"/>
  </r>
  <r>
    <s v="ORT-11256"/>
    <s v="C000418962"/>
    <s v="TEVILLE GATE HOUSE HMRC REFURB WORTHING"/>
    <n v="0"/>
    <n v="1"/>
    <d v="2025-05-02T00:00:00"/>
    <x v="16"/>
  </r>
  <r>
    <s v="ORT-11257"/>
    <s v="C000418964"/>
    <s v="HEATHROW TERMINAL 5 SECURITY LONDON"/>
    <n v="2"/>
    <n v="0"/>
    <d v="2025-05-02T00:00:00"/>
    <x v="16"/>
  </r>
  <r>
    <s v="ORT-11259"/>
    <s v="C000418969"/>
    <s v="EDWARD STREET HOSPITAL WEST BROMWICH"/>
    <n v="2"/>
    <n v="0"/>
    <d v="2025-05-06T00:00:00"/>
    <x v="17"/>
  </r>
  <r>
    <s v="ORT-11260"/>
    <s v="C000418971"/>
    <s v="OLD BROAD STREET NO 125 LVL 22 &amp; 23 CAT A LONDON"/>
    <n v="3"/>
    <n v="0"/>
    <d v="2025-05-06T00:00:00"/>
    <x v="17"/>
  </r>
  <r>
    <s v="ORT-11261"/>
    <s v="C000418980"/>
    <s v="ADANAC PARK NORTH OPUS FIT OUT SOUTHAMPTON"/>
    <n v="2"/>
    <n v="0"/>
    <d v="2025-05-06T00:00:00"/>
    <x v="17"/>
  </r>
  <r>
    <s v="ORT-11262"/>
    <s v="C000418981"/>
    <s v="BRADFORD MALL SADDLERS CENTRE WALSALL"/>
    <n v="2"/>
    <n v="0"/>
    <d v="2025-05-06T00:00:00"/>
    <x v="17"/>
  </r>
  <r>
    <s v="ORT-11263"/>
    <s v="C000418991"/>
    <s v="NOVOTEL KOLWEZI PUBLIC AREAS CONGO"/>
    <n v="0"/>
    <n v="1"/>
    <d v="2025-05-06T00:00:00"/>
    <x v="17"/>
  </r>
  <r>
    <s v="ORT-11264"/>
    <s v="C000419007"/>
    <s v="CHANCERY LANE NO 5 REDEVELOPMENT LONDON"/>
    <n v="1"/>
    <n v="1"/>
    <d v="2025-05-07T00:00:00"/>
    <x v="17"/>
  </r>
  <r>
    <s v="ORT-11265"/>
    <s v="C000419008"/>
    <s v="JAMES STREET NO 1 LONDON"/>
    <n v="1"/>
    <n v="1"/>
    <d v="2025-05-07T00:00:00"/>
    <x v="17"/>
  </r>
  <r>
    <s v="ORT-11266"/>
    <s v="C000419010"/>
    <s v="WARWICK UNIVERSITY TEXTILES MOCK UP"/>
    <n v="1"/>
    <n v="1"/>
    <d v="2025-05-07T00:00:00"/>
    <x v="17"/>
  </r>
  <r>
    <s v="ORT-11267"/>
    <s v="C000419011"/>
    <s v="SOUTH MISC 2025"/>
    <n v="1"/>
    <n v="1"/>
    <d v="2025-05-07T00:00:00"/>
    <x v="17"/>
  </r>
  <r>
    <s v="ORT-11268"/>
    <s v="C000419012"/>
    <s v="BAIT AL BARKA PALACE KITCHEN MUSCAT"/>
    <n v="0"/>
    <n v="1"/>
    <d v="2025-05-07T00:00:00"/>
    <x v="17"/>
  </r>
  <r>
    <s v="ORT-11269"/>
    <s v="C000419017"/>
    <s v="ROPEMAKER STREET NO 20-22 LINKLATERS FIT-OUT LONDON"/>
    <n v="1"/>
    <n v="1"/>
    <d v="2025-05-07T00:00:00"/>
    <x v="17"/>
  </r>
  <r>
    <s v="ORT-11270"/>
    <s v="C000419019"/>
    <s v="TEMPLE QUAY GLASS WHARF NO 1 GRD &amp; 1ST FLRS BRISTOL"/>
    <n v="0"/>
    <n v="1"/>
    <d v="2025-05-07T00:00:00"/>
    <x v="17"/>
  </r>
  <r>
    <s v="ORT-11271"/>
    <s v="C000419021"/>
    <s v="AIRE PARK FORMER TETLEY BREWERY LEEDS MU4A"/>
    <n v="1"/>
    <n v="1"/>
    <d v="2025-05-07T00:00:00"/>
    <x v="17"/>
  </r>
  <r>
    <s v="ORT-11272"/>
    <s v="C000419023"/>
    <s v="HEATHROW CP19 MAIN WORKS LEVEL 00 CAMPUS PRECINCTS"/>
    <n v="0"/>
    <n v="1"/>
    <d v="2025-05-07T00:00:00"/>
    <x v="17"/>
  </r>
  <r>
    <s v="ORT-11273"/>
    <s v="C000419025"/>
    <s v="NEW STREET SQUARE NO 5 TAYLOR WESSING REFURB LONDON"/>
    <n v="0"/>
    <n v="1"/>
    <d v="2025-05-07T00:00:00"/>
    <x v="17"/>
  </r>
  <r>
    <s v="ORT-11274"/>
    <s v="C000419027"/>
    <s v="THREADNEEDLE STREET NO 60 CAT A FLOOR 8 LONDON"/>
    <n v="1"/>
    <n v="1"/>
    <d v="2025-05-07T00:00:00"/>
    <x v="17"/>
  </r>
  <r>
    <s v="ORT-11275"/>
    <s v="C000419028"/>
    <s v="DEDALO 2 MADRID"/>
    <n v="0"/>
    <n v="1"/>
    <d v="2025-05-07T00:00:00"/>
    <x v="17"/>
  </r>
  <r>
    <s v="ORT-11276"/>
    <s v="C000419030"/>
    <s v="BBVA RENOVATION MADRID"/>
    <n v="1"/>
    <n v="1"/>
    <d v="2025-05-07T00:00:00"/>
    <x v="17"/>
  </r>
  <r>
    <s v="ORT-11277"/>
    <s v="C000419033"/>
    <s v="EVERTON FC BRAMLEY MOORE DOCK STADIUM FEATURES LIVERPOOL"/>
    <n v="0"/>
    <n v="1"/>
    <d v="2025-05-07T00:00:00"/>
    <x v="17"/>
  </r>
  <r>
    <s v="ORT-11279"/>
    <s v="C000419040"/>
    <s v="SAMPLE ROOM READING"/>
    <n v="0"/>
    <n v="1"/>
    <d v="2025-05-08T00:00:00"/>
    <x v="17"/>
  </r>
  <r>
    <s v="ORT-11280"/>
    <s v="C000419041"/>
    <s v="THE STAGE SHOREDITCH BARD &amp; HEWETT AMAZON FIT OUT LONDON"/>
    <n v="11"/>
    <n v="0"/>
    <d v="2025-05-08T00:00:00"/>
    <x v="17"/>
  </r>
  <r>
    <s v="ORT-11281"/>
    <s v="C000419043"/>
    <s v="SAINSBURYS MISC 2025"/>
    <n v="0"/>
    <n v="1"/>
    <d v="2025-05-08T00:00:00"/>
    <x v="17"/>
  </r>
  <r>
    <s v="ORT-11282"/>
    <s v="C000419044"/>
    <s v="WELLS STREET NO 80 WELLS HOUSE THE RIBBON LONDON"/>
    <n v="0"/>
    <n v="1"/>
    <d v="2025-05-08T00:00:00"/>
    <x v="17"/>
  </r>
  <r>
    <s v="ORT-11283"/>
    <s v="C000419046"/>
    <s v="LANCELOT PLACE NO 8 CAT A REFURB LONDON"/>
    <n v="0"/>
    <n v="1"/>
    <d v="2025-05-08T00:00:00"/>
    <x v="17"/>
  </r>
  <r>
    <s v="ORT-11284"/>
    <s v="C000419047"/>
    <s v="ALDERMANBURY SQUARE NO 2 BASINGHALL STREET LONDON"/>
    <n v="0"/>
    <n v="1"/>
    <d v="2025-05-08T00:00:00"/>
    <x v="17"/>
  </r>
  <r>
    <s v="ORT-11285"/>
    <s v="C000419050"/>
    <s v="MILLENIUM CAPITAL ICD L26 DUBAI PHASE 2"/>
    <n v="0"/>
    <n v="1"/>
    <d v="2025-05-08T00:00:00"/>
    <x v="17"/>
  </r>
  <r>
    <s v="ORT-11286"/>
    <s v="C000419051"/>
    <s v="GYM PROJECT BIRMINGHAM"/>
    <n v="0"/>
    <n v="1"/>
    <d v="2025-05-08T00:00:00"/>
    <x v="17"/>
  </r>
  <r>
    <s v="ORT-11287"/>
    <s v="C000419053"/>
    <s v="QUEEN VICTORIA STREET NO 160 FLR 2 LONDON"/>
    <n v="0"/>
    <n v="1"/>
    <d v="2025-05-08T00:00:00"/>
    <x v="17"/>
  </r>
  <r>
    <s v="ORT-11288"/>
    <s v="C000419054"/>
    <s v="CHAMARTIN PHASE 2 MADRID"/>
    <n v="0"/>
    <n v="1"/>
    <d v="2025-05-08T00:00:00"/>
    <x v="17"/>
  </r>
  <r>
    <s v="ORT-11289"/>
    <s v="C000419056"/>
    <s v="LONDON MISC 2025"/>
    <n v="0"/>
    <n v="1"/>
    <d v="2025-05-08T00:00:00"/>
    <x v="17"/>
  </r>
  <r>
    <s v="ORT-11290"/>
    <s v="C000419058"/>
    <s v="L&amp;S HAYMARKET YARDS NO 22 STUDENT RESIDENTAL EDINBURGH"/>
    <n v="0"/>
    <n v="1"/>
    <d v="2025-05-08T00:00:00"/>
    <x v="17"/>
  </r>
  <r>
    <s v="ORT-11291"/>
    <s v="C000419059"/>
    <s v="ALDERSGATE ST NO 150 THE VERDANT TIKTOK FIT OUT LONDON"/>
    <n v="0"/>
    <n v="1"/>
    <d v="2025-05-08T00:00:00"/>
    <x v="17"/>
  </r>
  <r>
    <s v="ORT-11292"/>
    <m/>
    <s v="FORMER TYNECASTLE SCHOOL STUDENT ACCOMMODATION EDINBURGH"/>
    <n v="0"/>
    <n v="1"/>
    <d v="2025-05-08T00:00:00"/>
    <x v="17"/>
  </r>
  <r>
    <s v="ORT-11295"/>
    <s v="C000419070"/>
    <s v="HEATHROW WEST BUSINESS PARK UNIT D2 SLOUGH"/>
    <n v="0"/>
    <n v="1"/>
    <d v="2025-05-09T00:00:00"/>
    <x v="17"/>
  </r>
  <r>
    <s v="ORT-11296"/>
    <s v="C000419072"/>
    <s v="PARK AVENUE BMW QUEBEC"/>
    <n v="4"/>
    <n v="0"/>
    <d v="2025-05-09T00:00:00"/>
    <x v="17"/>
  </r>
  <r>
    <s v="ORT-11297"/>
    <s v="C000419074"/>
    <s v="PRINCES DOCK PLOT A06 11TH FLR LIVERPOOL"/>
    <n v="0"/>
    <n v="1"/>
    <d v="2025-05-09T00:00:00"/>
    <x v="17"/>
  </r>
  <r>
    <s v="ORT-11298"/>
    <s v="C000419075"/>
    <s v="NEW STREET SQUARE NO 5 TAYLOR WESSING REFURB LONDON"/>
    <n v="0"/>
    <n v="1"/>
    <d v="2025-05-09T00:00:00"/>
    <x v="17"/>
  </r>
  <r>
    <s v="ORT-11299"/>
    <s v="C000419076"/>
    <s v="FORMER TYNECASTLE SCHOOL STUDENT ACCOMMODATION EDINBURGH"/>
    <n v="0"/>
    <n v="1"/>
    <d v="2025-05-09T00:00:00"/>
    <x v="17"/>
  </r>
  <r>
    <s v="ORT-11300"/>
    <s v="C000419079"/>
    <s v="ABBEY LANE STUDENT ACCOMMODATION EDINBURGH"/>
    <n v="0"/>
    <n v="1"/>
    <d v="2025-05-09T00:00:00"/>
    <x v="17"/>
  </r>
  <r>
    <s v="ORT-11301"/>
    <s v="C000419080"/>
    <s v="KING WILLIAM STREET NO 45 REGIS HOUSE FLRS 1 &amp; 5-7 LONDON"/>
    <n v="0"/>
    <n v="1"/>
    <d v="2025-05-09T00:00:00"/>
    <x v="17"/>
  </r>
  <r>
    <s v="ORT-11302"/>
    <s v="C000419081"/>
    <s v="BRAVINGTON HOUSE INHEALTH FLR 4 LIGHTING KINGS CROSS"/>
    <n v="0"/>
    <n v="1"/>
    <d v="2025-05-09T00:00:00"/>
    <x v="17"/>
  </r>
  <r>
    <s v="ORT-11303"/>
    <s v="C000419082"/>
    <s v="LONDON MISC 2025"/>
    <n v="0"/>
    <n v="1"/>
    <d v="2025-05-09T00:00:00"/>
    <x v="17"/>
  </r>
  <r>
    <s v="ORT-11304"/>
    <s v="CF00000527"/>
    <s v="ALPHA BANK ATHENS"/>
    <n v="0"/>
    <n v="1"/>
    <d v="2025-05-09T00:00:00"/>
    <x v="17"/>
  </r>
  <r>
    <s v="ORT-11306"/>
    <s v="C000419086"/>
    <s v="MANCHESTER AIRPORT PIER 2 PHASE 2 CELINGS"/>
    <n v="0"/>
    <n v="1"/>
    <d v="2025-05-09T00:00:00"/>
    <x v="17"/>
  </r>
  <r>
    <s v="ORT-11307"/>
    <s v="C000419088"/>
    <s v="ORANGEBOX POD CASSETTES"/>
    <n v="0"/>
    <n v="1"/>
    <d v="2025-05-09T00:00:00"/>
    <x v="17"/>
  </r>
  <r>
    <s v="ORT-11310"/>
    <s v="C000419097"/>
    <s v="LESTER ROAD LITTLE HULTON"/>
    <n v="0"/>
    <n v="1"/>
    <d v="2025-05-12T00:00:00"/>
    <x v="18"/>
  </r>
  <r>
    <s v="ORT-11311"/>
    <s v="C000419098"/>
    <s v="DUNFERMLINE LEARNING CAMPUS FIFE COLLEGE"/>
    <n v="0"/>
    <n v="1"/>
    <d v="2025-05-12T00:00:00"/>
    <x v="18"/>
  </r>
  <r>
    <s v="ORT-11312"/>
    <s v="C000419100"/>
    <s v="EURSHELL MISC TILE &amp; GRID 2025"/>
    <n v="0"/>
    <n v="1"/>
    <d v="2025-05-12T00:00:00"/>
    <x v="18"/>
  </r>
  <r>
    <s v="ORT-11313"/>
    <s v="C000419101"/>
    <s v="HANOVER SQUARE NO 25 REFURB LONDON"/>
    <n v="0"/>
    <n v="1"/>
    <d v="2025-05-12T00:00:00"/>
    <x v="18"/>
  </r>
  <r>
    <s v="ORT-11314"/>
    <s v="C000419104"/>
    <s v="MILLENNIUM RAMAT GAN"/>
    <n v="0"/>
    <n v="1"/>
    <d v="2025-05-12T00:00:00"/>
    <x v="18"/>
  </r>
  <r>
    <s v="ORT-11315"/>
    <s v="C000419105"/>
    <s v="MANCHESTER AIRPORT T2 EAST CHECK IN AREAS"/>
    <n v="0"/>
    <n v="1"/>
    <d v="2025-05-12T00:00:00"/>
    <x v="18"/>
  </r>
  <r>
    <s v="ORT-11316"/>
    <s v="C000419106"/>
    <s v="STEPHEN STREET NO 1-2 FLOOR 2 LONDON"/>
    <n v="0"/>
    <n v="1"/>
    <d v="2025-05-12T00:00:00"/>
    <x v="18"/>
  </r>
  <r>
    <s v="ORT-11317"/>
    <s v="C000419111"/>
    <s v="CENTRAL SQUARE NO 2 CARDIFF"/>
    <n v="0"/>
    <n v="1"/>
    <d v="2025-05-13T00:00:00"/>
    <x v="18"/>
  </r>
  <r>
    <s v="ORT-11318"/>
    <s v="C000419113"/>
    <s v="HOLBORN VIADUCT NO 14-21 WASHROOM FIT OUT LONDON"/>
    <n v="0"/>
    <n v="1"/>
    <d v="2025-05-13T00:00:00"/>
    <x v="18"/>
  </r>
  <r>
    <s v="ORT-11319"/>
    <s v="C000419114"/>
    <s v="BOTHWELL STREET NO 177 FLOOR 4 FIT OUT GLASGOW"/>
    <n v="0"/>
    <n v="1"/>
    <d v="2025-05-13T00:00:00"/>
    <x v="18"/>
  </r>
  <r>
    <s v="ORT-11320"/>
    <s v="C000419115"/>
    <s v="LEICESTER COLLEGE AERONAUTICAL BUILDING LEICESTER"/>
    <n v="0"/>
    <n v="1"/>
    <d v="2025-05-13T00:00:00"/>
    <x v="18"/>
  </r>
  <r>
    <s v="ORT-11321"/>
    <s v="C000419116"/>
    <s v="BEREWOOD PRIMARY SCHOOL KENTIDGE WATERLOOVILLE"/>
    <n v="0"/>
    <n v="1"/>
    <d v="2025-05-13T00:00:00"/>
    <x v="18"/>
  </r>
  <r>
    <s v="ORT-11322"/>
    <s v="C000419122"/>
    <s v="LONDON MISC 2025"/>
    <n v="0"/>
    <n v="1"/>
    <d v="2025-05-13T00:00:00"/>
    <x v="18"/>
  </r>
  <r>
    <s v="ORT-11323"/>
    <s v="C000419125"/>
    <s v="ROPEMAKER STREET NO 20-22 LINKLATERS JOINERY FEATURE LONDON"/>
    <n v="0"/>
    <n v="1"/>
    <d v="2025-05-13T00:00:00"/>
    <x v="18"/>
  </r>
  <r>
    <s v="ORT-11324"/>
    <s v="C000419126"/>
    <s v="LEADENHALL STREET NO 40 KIRKLAND &amp; ELLIS FLRS 15-34 LONDON"/>
    <n v="0"/>
    <n v="1"/>
    <d v="2025-05-13T00:00:00"/>
    <x v="18"/>
  </r>
  <r>
    <s v="ORT-11325"/>
    <s v="C000419127"/>
    <s v="NEW BRIDGE STREET NO 100 CAT A+ LONDON"/>
    <n v="0"/>
    <n v="1"/>
    <d v="2025-05-13T00:00:00"/>
    <x v="18"/>
  </r>
  <r>
    <s v="ORT-11326"/>
    <s v="C000419132"/>
    <s v="TOTTENHAM HOTSPUR TRAINING ACADEMY LEVEL 1 OFFICES ENFIELD"/>
    <n v="0"/>
    <n v="1"/>
    <d v="2025-05-13T00:00:00"/>
    <x v="18"/>
  </r>
  <r>
    <s v="ORT-11327"/>
    <s v="C000419133"/>
    <s v="GREEN MOUNTAIN LON1 EAST DATA CENTRE ROMFORD"/>
    <n v="0"/>
    <n v="1"/>
    <d v="2025-05-13T00:00:00"/>
    <x v="18"/>
  </r>
  <r>
    <s v="ORT-11328"/>
    <s v="C000419139"/>
    <s v="AMI ACADEMY HOD HASHARON"/>
    <n v="0"/>
    <n v="1"/>
    <d v="2025-05-13T00:00:00"/>
    <x v="18"/>
  </r>
  <r>
    <s v="ORT-11329"/>
    <s v="C000419154"/>
    <s v="SAMPLES MISC 2025"/>
    <n v="0"/>
    <n v="1"/>
    <d v="2025-05-14T00:00:00"/>
    <x v="18"/>
  </r>
  <r>
    <s v="ORT-11330"/>
    <s v="C000419157"/>
    <s v="KING STREET NO 12 LEEDS"/>
    <n v="0"/>
    <n v="1"/>
    <d v="2025-05-14T00:00:00"/>
    <x v="18"/>
  </r>
  <r>
    <s v="ORT-11331"/>
    <s v="C000419162"/>
    <s v="EMBERTON HOUSE OLYMPIA REDEVELOPMENT FIT-OUT LONDON"/>
    <n v="0"/>
    <n v="1"/>
    <d v="2025-05-14T00:00:00"/>
    <x v="18"/>
  </r>
  <r>
    <s v="ORT-11332"/>
    <s v="C000419163"/>
    <s v="MARRIOTT HOTEL ABASTUMANI"/>
    <n v="0"/>
    <n v="1"/>
    <d v="2025-05-14T00:00:00"/>
    <x v="18"/>
  </r>
  <r>
    <s v="ORT-11333"/>
    <s v="C000419164"/>
    <s v="SCOTLAND &amp; NORTH EAST MISC 2025"/>
    <n v="0"/>
    <n v="1"/>
    <d v="2025-05-14T00:00:00"/>
    <x v="18"/>
  </r>
  <r>
    <s v="ORT-11334"/>
    <s v="C000419169"/>
    <s v="MARSHAM STREET NO 2 DEFRA SECURE ROOM LONDON"/>
    <n v="0"/>
    <n v="1"/>
    <d v="2025-05-14T00:00:00"/>
    <x v="18"/>
  </r>
  <r>
    <s v="ORT-11335"/>
    <s v="C000419172"/>
    <s v="WIGMORE STREET NO 42 REFURB LONDON"/>
    <n v="0"/>
    <n v="1"/>
    <d v="2025-05-14T00:00:00"/>
    <x v="18"/>
  </r>
  <r>
    <s v="ORT-11336"/>
    <s v="C000419173"/>
    <s v="CHISWELL STREET NO 24 FLOOR 1 &amp; 3 INDUSTRIOUS FIT OUT LONDON"/>
    <n v="0"/>
    <n v="1"/>
    <d v="2025-05-15T00:00:00"/>
    <x v="18"/>
  </r>
  <r>
    <s v="ORT-11337"/>
    <s v="C000419176"/>
    <s v="FINSBURY SQUARE NO 26 FRESHWATER REFURB LONDON"/>
    <n v="0"/>
    <n v="1"/>
    <d v="2025-05-15T00:00:00"/>
    <x v="18"/>
  </r>
  <r>
    <s v="ORT-11339"/>
    <s v="C000419180"/>
    <s v="WARDOUR STREET NO 142 FILM HOUSE FLOORS 1-8 LONDON"/>
    <n v="0"/>
    <n v="1"/>
    <d v="2025-05-15T00:00:00"/>
    <x v="18"/>
  </r>
  <r>
    <s v="ORT-11340"/>
    <s v="C000419182"/>
    <s v="CORCEGA 331 SURE BARCELONA"/>
    <n v="0"/>
    <n v="1"/>
    <d v="2025-05-15T00:00:00"/>
    <x v="18"/>
  </r>
  <r>
    <s v="ORT-11341"/>
    <s v="C000419189"/>
    <s v="ONYX LEVEL 4 CAT A GLASGOW"/>
    <n v="0"/>
    <n v="1"/>
    <d v="2025-05-15T00:00:00"/>
    <x v="18"/>
  </r>
  <r>
    <s v="ORT-11342"/>
    <s v="C000419193"/>
    <s v="HEATHROW WEST BUSINESS PARK UNIT D2 SLOUGH"/>
    <n v="15"/>
    <n v="0"/>
    <d v="2025-05-15T00:00:00"/>
    <x v="18"/>
  </r>
  <r>
    <s v="ORT-11343"/>
    <s v="C000419195"/>
    <s v="LEADENHALL STREET NO 40 KIRKLAND &amp; ELLIS FLRS 15-34 LONDON"/>
    <n v="15"/>
    <n v="0"/>
    <d v="2025-05-15T00:00:00"/>
    <x v="18"/>
  </r>
  <r>
    <s v="ORT-11344"/>
    <s v="C000419196"/>
    <s v="PURE DATA CENTRE YAS ISLAND ABU DHABI DATA HALL"/>
    <n v="0"/>
    <n v="1"/>
    <d v="2025-05-15T00:00:00"/>
    <x v="18"/>
  </r>
  <r>
    <s v="ORT-11345"/>
    <s v="C000419202"/>
    <s v="CREECHURCH PLACE NO 1 FLOOR 5 REFURB LONDON"/>
    <n v="0"/>
    <n v="1"/>
    <d v="2025-05-15T00:00:00"/>
    <x v="18"/>
  </r>
  <r>
    <s v="ORT-11346"/>
    <s v="C000419204"/>
    <s v="NDA - PWC LAYSEN VALLEY RIYADH OFFICE FIT OUT WALL PANELS"/>
    <n v="0"/>
    <n v="1"/>
    <d v="2025-05-15T00:00:00"/>
    <x v="18"/>
  </r>
  <r>
    <s v="ORT-11347"/>
    <s v="C000419206"/>
    <s v="MANCHESTER AIRPORT T2 EAST WING NEW DEVELOPMENT"/>
    <n v="0"/>
    <n v="1"/>
    <d v="2025-05-15T00:00:00"/>
    <x v="18"/>
  </r>
  <r>
    <s v="ORT-11348"/>
    <s v="C000419215"/>
    <s v="BROADGATE NO 1-2 SHELL &amp; CORE LONDON"/>
    <n v="15"/>
    <n v="0"/>
    <d v="2025-05-16T00:00:00"/>
    <x v="18"/>
  </r>
  <r>
    <s v="ORT-11349"/>
    <s v="C000419217"/>
    <s v="EURSHELL MISC TILE &amp; GRID 2025"/>
    <n v="0"/>
    <n v="1"/>
    <d v="2025-05-16T00:00:00"/>
    <x v="18"/>
  </r>
  <r>
    <s v="ORT-11350"/>
    <s v="C000419218"/>
    <s v="TOTTENHAM HOTSPUR TRAINING ACADEMY LEVEL 1 OFFICES ENFIELD"/>
    <n v="0"/>
    <n v="1"/>
    <d v="2025-05-16T00:00:00"/>
    <x v="18"/>
  </r>
  <r>
    <s v="ORT-11351"/>
    <s v="C000419220"/>
    <s v="GRESHAM STREET NO 30 INVESTEC LEVEL 6 LONDON"/>
    <n v="0"/>
    <n v="1"/>
    <d v="2025-05-16T00:00:00"/>
    <x v="18"/>
  </r>
  <r>
    <s v="ORT-11352"/>
    <s v="C000419225"/>
    <s v="MANCHESTER AIRPORT PIER 2 PHASE 2 CELINGS"/>
    <n v="0"/>
    <n v="1"/>
    <d v="2025-05-16T00:00:00"/>
    <x v="18"/>
  </r>
  <r>
    <s v="ORT-11354"/>
    <s v="C000419229"/>
    <s v="BRANDON STREET NO 20  BLACKROCK EDINBURGH"/>
    <n v="0"/>
    <n v="1"/>
    <d v="2025-05-19T00:00:00"/>
    <x v="19"/>
  </r>
  <r>
    <s v="ORT-11355"/>
    <s v="C000419233"/>
    <s v="ROPEMAKER PLACE MUFG REFURB FLRS 1-2 &amp; 14-17 LONDON"/>
    <n v="0"/>
    <n v="1"/>
    <d v="2025-05-19T00:00:00"/>
    <x v="19"/>
  </r>
  <r>
    <s v="ORT-11356"/>
    <s v="C000419239"/>
    <s v="BARCELONA AIRPORT T2 &amp; T1"/>
    <n v="0"/>
    <n v="1"/>
    <d v="2025-05-19T00:00:00"/>
    <x v="19"/>
  </r>
  <r>
    <s v="ORT-11357"/>
    <s v="C000419244"/>
    <s v="LAURISTON PLACE NO15 SKYSCANNER FITOUT EDINBURGH"/>
    <n v="0"/>
    <n v="1"/>
    <d v="2025-05-19T00:00:00"/>
    <x v="19"/>
  </r>
  <r>
    <s v="ORT-11358"/>
    <s v="CF00000529"/>
    <s v="VENETTE MOCK UP"/>
    <n v="0"/>
    <n v="1"/>
    <d v="2025-05-19T00:00:00"/>
    <x v="19"/>
  </r>
  <r>
    <s v="ORT-11359"/>
    <s v="C000419255"/>
    <s v="THE BEACON ST VINCENT STREET NO 176 FLOOR 1 REFURB GLASGOW"/>
    <n v="0"/>
    <n v="1"/>
    <d v="2025-05-19T00:00:00"/>
    <x v="19"/>
  </r>
  <r>
    <s v="ORT-11360"/>
    <s v="C000419257"/>
    <s v="FINSBURY CIRCUS NO 8 CAT B GRANT THORNTON LONDON"/>
    <n v="0"/>
    <n v="1"/>
    <d v="2025-05-19T00:00:00"/>
    <x v="19"/>
  </r>
  <r>
    <s v="ORT-11361"/>
    <s v="C000419260"/>
    <s v="LEADENHALL STREET NO 40 KIRKLAND &amp; ELLIS FLRS 15-34 LONDON"/>
    <n v="0"/>
    <n v="1"/>
    <d v="2025-05-20T00:00:00"/>
    <x v="19"/>
  </r>
  <r>
    <s v="ORT-11362"/>
    <s v="C000419261"/>
    <s v="BISHOPSGATE NO 100 PART FLR 35 EXPANSION PAUL HASTINGS"/>
    <n v="0"/>
    <n v="1"/>
    <d v="2025-05-20T00:00:00"/>
    <x v="19"/>
  </r>
  <r>
    <s v="ORT-11363"/>
    <s v="C000419262"/>
    <s v="KINGS ROAD NO 120 LIBERTY GLOBAL FABRIC LONDON"/>
    <n v="0"/>
    <n v="1"/>
    <d v="2025-05-20T00:00:00"/>
    <x v="19"/>
  </r>
  <r>
    <s v="ORT-11364"/>
    <s v="C000419264"/>
    <s v="CANARY WHARF CANADA SQUARE NO 25 CITIBANK REFURB LONDON"/>
    <n v="0"/>
    <n v="1"/>
    <d v="2025-05-20T00:00:00"/>
    <x v="19"/>
  </r>
  <r>
    <s v="ORT-11365"/>
    <s v="CF00000530"/>
    <s v="AVENUE RAYMOND POINCARE 34 PARIS"/>
    <n v="0"/>
    <n v="1"/>
    <d v="2025-05-20T00:00:00"/>
    <x v="19"/>
  </r>
  <r>
    <s v="ORT-11366"/>
    <s v="C000419274"/>
    <s v="LEADENHALL STREET NO 1 CAT B LATHAM &amp; WATKINS FLRS 1-20"/>
    <n v="0"/>
    <n v="1"/>
    <d v="2025-05-20T00:00:00"/>
    <x v="19"/>
  </r>
  <r>
    <s v="ORT-11368"/>
    <s v="C000419280"/>
    <s v="SCOTLAND &amp; NORTH EAST MISC 2025"/>
    <n v="0"/>
    <n v="1"/>
    <d v="2025-05-20T00:00:00"/>
    <x v="19"/>
  </r>
  <r>
    <s v="ORT-11369"/>
    <s v="C000419282"/>
    <s v="LEADENHALL STREET NO 1 CAT B LATHAM &amp; WATKINS FLRS 1-20"/>
    <n v="0"/>
    <n v="1"/>
    <d v="2025-05-20T00:00:00"/>
    <x v="19"/>
  </r>
  <r>
    <s v="ORT-11370"/>
    <s v="C000419283"/>
    <s v="LEADENHALL STREET NO 1 CAT B LATHAM &amp; WATKINS FLRS 1-20"/>
    <n v="0"/>
    <n v="1"/>
    <d v="2025-05-20T00:00:00"/>
    <x v="19"/>
  </r>
  <r>
    <s v="ORT-11371"/>
    <s v="C000419284"/>
    <s v="LEADENHALL STREET NO 1 CAT B LATHAM &amp; WATKINS FLRS 1-20"/>
    <n v="0"/>
    <n v="1"/>
    <d v="2025-05-20T00:00:00"/>
    <x v="19"/>
  </r>
  <r>
    <s v="ORT-11372"/>
    <s v="C000419287"/>
    <s v="EVERTON FC BRAMLEY MOORE DOCK STADIUM FEATURES LIVERPOOL"/>
    <n v="15"/>
    <n v="0"/>
    <d v="2025-05-21T00:00:00"/>
    <x v="19"/>
  </r>
  <r>
    <s v="ORT-11373"/>
    <s v="C000419289"/>
    <s v="GATWICK AIRPORT NORTH TERMINAL GATE ROOM 45"/>
    <n v="0"/>
    <n v="1"/>
    <d v="2025-05-21T00:00:00"/>
    <x v="19"/>
  </r>
  <r>
    <s v="ORT-11374"/>
    <s v="C000419293"/>
    <s v="TRINITY BY BREAKTHROUGH FLR 1 OXFORD BUSINESS PARK"/>
    <n v="0"/>
    <n v="1"/>
    <d v="2025-05-21T00:00:00"/>
    <x v="19"/>
  </r>
  <r>
    <s v="ORT-11375"/>
    <s v="C000419294"/>
    <s v="CANNON STREET NO 111 &amp; ST SWITHINS LANE NO 17 REFURB LONDON"/>
    <n v="0"/>
    <n v="1"/>
    <d v="2025-05-21T00:00:00"/>
    <x v="19"/>
  </r>
  <r>
    <s v="ORT-11376"/>
    <s v="C000419296"/>
    <s v="SAMPLE ROOM READING"/>
    <n v="12"/>
    <n v="0"/>
    <d v="2025-05-21T00:00:00"/>
    <x v="19"/>
  </r>
  <r>
    <s v="ORT-11377"/>
    <s v="C000419298"/>
    <s v="NR EAST KILBRIDE &amp; HAIRMYRES STATIONS"/>
    <n v="0"/>
    <n v="1"/>
    <d v="2025-05-21T00:00:00"/>
    <x v="19"/>
  </r>
  <r>
    <s v="ORT-11378"/>
    <s v="C000419300"/>
    <s v="BRISTOL MYERS SQUIBB BUILDING 6 WIRRAL BIRKENHEAD"/>
    <n v="0"/>
    <n v="1"/>
    <d v="2025-05-21T00:00:00"/>
    <x v="19"/>
  </r>
  <r>
    <s v="ORT-11379"/>
    <s v="C000419303"/>
    <s v="LEADENHALL STREET NO 40 KIRKLAND &amp; ELLIS FLRS 15-34 LONDON"/>
    <n v="0"/>
    <n v="1"/>
    <d v="2025-05-21T00:00:00"/>
    <x v="19"/>
  </r>
  <r>
    <s v="ORT-11380"/>
    <s v="C000419306"/>
    <s v="MOORFIELDS NO 21 THE GLACIER CAT B DEUTSCHE BANK LONDON"/>
    <n v="0"/>
    <n v="1"/>
    <d v="2025-05-22T00:00:00"/>
    <x v="19"/>
  </r>
  <r>
    <s v="ORT-11381"/>
    <s v="C000419313"/>
    <s v="BUCKINGHAM GATE NO 25 RESI DEVELOPMENT LONDON"/>
    <n v="0"/>
    <n v="1"/>
    <d v="2025-05-22T00:00:00"/>
    <x v="19"/>
  </r>
  <r>
    <s v="ORT-11382"/>
    <s v="C000419315"/>
    <s v="QUESOME INTERNATIONAL LAGOS"/>
    <n v="5"/>
    <n v="0"/>
    <d v="2025-05-22T00:00:00"/>
    <x v="19"/>
  </r>
  <r>
    <s v="ORT-11383"/>
    <s v="C000419318"/>
    <s v="BASINGHALL AVENUE NO 1 STANDARD CHARTERED PH 2 LONDON"/>
    <n v="10"/>
    <n v="0"/>
    <d v="2025-05-22T00:00:00"/>
    <x v="19"/>
  </r>
  <r>
    <s v="ORT-11384"/>
    <s v="C000419323"/>
    <s v="KINGS ROAD NO 120 LIBERTY GLOBAL FABRIC LONDON"/>
    <n v="0"/>
    <n v="1"/>
    <d v="2025-05-22T00:00:00"/>
    <x v="19"/>
  </r>
  <r>
    <s v="ORT-11385"/>
    <s v="C000419325"/>
    <s v="CANARY WHARF CANADA SQUARE NO 25 CITIBANK REFURB LONDON"/>
    <n v="0"/>
    <n v="1"/>
    <d v="2025-05-22T00:00:00"/>
    <x v="19"/>
  </r>
  <r>
    <s v="ORT-11386"/>
    <s v="C000419327"/>
    <s v="KAO DATA CENTRE KLON06 SLOUGH TS03 DATA HALL TILES"/>
    <n v="15"/>
    <n v="0"/>
    <d v="2025-05-22T00:00:00"/>
    <x v="19"/>
  </r>
  <r>
    <s v="ORT-11387"/>
    <s v="C000419331"/>
    <s v="LONDON MISC 2025"/>
    <n v="0"/>
    <n v="1"/>
    <d v="2025-05-22T00:00:00"/>
    <x v="19"/>
  </r>
  <r>
    <s v="ORT-11388"/>
    <s v="C000419333"/>
    <s v="JACK WINGFIELD SOUTH EAST MISC 2024"/>
    <n v="1"/>
    <n v="1"/>
    <d v="2025-05-22T00:00:00"/>
    <x v="19"/>
  </r>
  <r>
    <s v="ORT-11389"/>
    <s v="C000419334"/>
    <s v="DEVONSHIRE HOUSE MAYFAIR PLACE NO 1 LEVEL 9 REFURB LONDON"/>
    <n v="0"/>
    <n v="1"/>
    <d v="2025-05-22T00:00:00"/>
    <x v="19"/>
  </r>
  <r>
    <s v="ORT-11390"/>
    <s v="C000419335"/>
    <s v="ADIDAS MANCHESTER"/>
    <n v="0"/>
    <n v="1"/>
    <d v="2025-05-22T00:00:00"/>
    <x v="19"/>
  </r>
  <r>
    <s v="ORT-11391"/>
    <s v="C000419342"/>
    <s v="CRITERION HOTEL PICCADILLY RECEPTION AREA LONDON"/>
    <n v="3"/>
    <n v="0"/>
    <d v="2025-05-23T00:00:00"/>
    <x v="19"/>
  </r>
  <r>
    <s v="ORT-11392"/>
    <s v="C000419346"/>
    <s v="MID CITY PLACE HIGH HOLBORN NO 71 MITSUBISHI LONDON"/>
    <n v="0"/>
    <n v="1"/>
    <d v="2025-05-23T00:00:00"/>
    <x v="19"/>
  </r>
  <r>
    <s v="ORT-11393"/>
    <s v="CF00000532"/>
    <s v="RUE TAITBOUT 89 PARIS"/>
    <n v="0"/>
    <n v="1"/>
    <d v="2025-05-23T00:00:00"/>
    <x v="19"/>
  </r>
  <r>
    <s v="ORT-11394"/>
    <s v="C000419349"/>
    <s v="ELDON COURT ELDON SQUARE NEWCASTLE"/>
    <n v="0"/>
    <n v="1"/>
    <d v="2025-05-23T00:00:00"/>
    <x v="19"/>
  </r>
  <r>
    <s v="ORT-11395"/>
    <s v="C000419350"/>
    <s v="SMARALIND MATHOLL SHOPPING MALL REYKJAVIK"/>
    <n v="14"/>
    <n v="0"/>
    <d v="2025-05-23T00:00:00"/>
    <x v="19"/>
  </r>
  <r>
    <s v="ORT-11396"/>
    <s v="C000419351"/>
    <s v="DEVONSHIRE HOUSE MAYFAIR PLACE NO 1 LEVEL 9 REFURB LONDON"/>
    <n v="0"/>
    <n v="1"/>
    <d v="2025-05-23T00:00:00"/>
    <x v="19"/>
  </r>
  <r>
    <s v="ORT-11397"/>
    <s v="C000419354"/>
    <s v="BROADGATE NO 1-2 CAT B A&amp;O SHEARMAN FLOORS 1-7"/>
    <n v="0"/>
    <n v="1"/>
    <d v="2025-05-23T00:00:00"/>
    <x v="19"/>
  </r>
  <r>
    <s v="ORT-11398"/>
    <s v="C000419355"/>
    <s v="BUNHILL ROW NO 1 SLAUGHTER &amp; MAY CAT A REFURB LONDON"/>
    <n v="10"/>
    <n v="0"/>
    <d v="2025-05-23T00:00:00"/>
    <x v="19"/>
  </r>
  <r>
    <s v="ORT-11399"/>
    <s v="C000419356"/>
    <s v="SHAFTESBURY AVENUE NO 130 CAT B FLOORS 3-4 TALON LONDON"/>
    <n v="0"/>
    <n v="1"/>
    <d v="2025-05-23T00:00:00"/>
    <x v="19"/>
  </r>
  <r>
    <s v="ORT-11400"/>
    <s v="C000419359"/>
    <s v="CATALENT PHARMA REFURB SWINDON"/>
    <n v="1"/>
    <n v="1"/>
    <d v="2025-05-23T00:00:00"/>
    <x v="19"/>
  </r>
  <r>
    <s v="ORT-11401"/>
    <s v="C000419360"/>
    <s v="IRC CAMPSFIELD HOUSE KIDLINGTON OXFORDSHIRE"/>
    <n v="0"/>
    <n v="1"/>
    <d v="2025-05-23T00:00:00"/>
    <x v="19"/>
  </r>
  <r>
    <s v="ORT-11402"/>
    <s v="C000419362"/>
    <s v="BURLEY STREET 16-22 STUDENT ACCOMMODATION LEEDS"/>
    <n v="0"/>
    <n v="1"/>
    <d v="2025-05-23T00:00:00"/>
    <x v="19"/>
  </r>
  <r>
    <s v="ORT-11403"/>
    <s v="C000419363"/>
    <s v="SOUTHFIELD VETERINARY HOSPITAL BASILDON"/>
    <n v="1"/>
    <n v="1"/>
    <d v="2025-05-23T00:00:00"/>
    <x v="19"/>
  </r>
  <r>
    <s v="ORT-11404"/>
    <s v="C000419374"/>
    <s v="ROPEMAKER STREET NO 20-22 LINKLATERS JOINERY FEATURE LONDON"/>
    <n v="0"/>
    <n v="1"/>
    <d v="2025-05-27T00:00:00"/>
    <x v="20"/>
  </r>
  <r>
    <s v="ORT-11405"/>
    <s v="C000419378"/>
    <s v="VICTORIA STREET NO 111 FLR 4 REFURB BRISTOL"/>
    <n v="0"/>
    <n v="1"/>
    <d v="2025-05-27T00:00:00"/>
    <x v="20"/>
  </r>
  <r>
    <s v="ORT-11406"/>
    <s v="C000419381"/>
    <s v="SALESIAN SISTERS CONVENT OXFORD"/>
    <n v="0"/>
    <n v="1"/>
    <d v="2025-05-27T00:00:00"/>
    <x v="20"/>
  </r>
  <r>
    <s v="ORT-11407"/>
    <s v="CF00000534"/>
    <s v="RUE JULES LEFEBVRE"/>
    <n v="0"/>
    <n v="1"/>
    <d v="2025-05-27T00:00:00"/>
    <x v="20"/>
  </r>
  <r>
    <s v="ORT-11408"/>
    <s v="C000419386"/>
    <s v="TRITON SQUARE NO 1 OFFICE / LABS CAT A LONDON"/>
    <n v="0"/>
    <n v="1"/>
    <d v="2025-05-27T00:00:00"/>
    <x v="20"/>
  </r>
  <r>
    <s v="ORT-11409"/>
    <m/>
    <s v="SKY STUDIOS GRANT WAY ISLEWORTH PHASE 2 LONDON"/>
    <n v="88"/>
    <n v="0"/>
    <d v="2025-05-27T00:00:00"/>
    <x v="20"/>
  </r>
  <r>
    <s v="ORT-11410"/>
    <s v="C000419392"/>
    <s v="ST GEORGE STREET NO 14 CAT A FLOOR 2 LONDON"/>
    <n v="0"/>
    <n v="1"/>
    <d v="2025-05-27T00:00:00"/>
    <x v="20"/>
  </r>
  <r>
    <s v="ORT-11411"/>
    <s v="C000419394"/>
    <s v="MERCHANT SQUARE NO 5 CAT A REFURB PADDINGTON LONDON"/>
    <n v="1"/>
    <n v="1"/>
    <d v="2025-05-27T00:00:00"/>
    <x v="20"/>
  </r>
  <r>
    <s v="ORT-11412"/>
    <s v="C000419397"/>
    <s v="NDA - JP MORGAN AL FAISALIYAH TOWER RIYADH KSA"/>
    <n v="0"/>
    <n v="1"/>
    <d v="2025-05-27T00:00:00"/>
    <x v="20"/>
  </r>
  <r>
    <s v="ORT-11413"/>
    <s v="C000419401"/>
    <s v="OLD BAILEY NO 10 CAT A REFURB FLOOR 5 LONDON"/>
    <n v="0"/>
    <n v="1"/>
    <d v="2025-05-27T00:00:00"/>
    <x v="20"/>
  </r>
  <r>
    <s v="ORT-11414"/>
    <s v="CF00000518"/>
    <s v="ALPHA BANK ATHENS"/>
    <n v="0"/>
    <n v="1"/>
    <d v="2025-05-27T00:00:00"/>
    <x v="20"/>
  </r>
  <r>
    <s v="ORT-11415"/>
    <s v="C000419403"/>
    <s v="KNIGHTSBRIDGE NO 25 NBD REFURB LONDON"/>
    <n v="0"/>
    <n v="1"/>
    <d v="2025-05-27T00:00:00"/>
    <x v="20"/>
  </r>
  <r>
    <s v="ORT-11416"/>
    <s v="C000419404"/>
    <s v="SKY STUDIOS GRANT WAY ISLEWORTH PHASE 2 LONDON"/>
    <n v="6"/>
    <n v="0"/>
    <d v="2025-05-27T00:00:00"/>
    <x v="20"/>
  </r>
  <r>
    <s v="ORT-11418"/>
    <s v="C000419405"/>
    <s v="BISHOPSGATE NO 201 BROADGATE TOWER FLRS 12-13,17,19 &amp; 29-33"/>
    <n v="0"/>
    <n v="1"/>
    <d v="2025-05-28T00:00:00"/>
    <x v="20"/>
  </r>
  <r>
    <s v="ORT-11419"/>
    <s v="C000419410"/>
    <s v="DANSOM LANE SOUTH RECKITTS REFURB HULL"/>
    <n v="10"/>
    <n v="0"/>
    <d v="2025-05-28T00:00:00"/>
    <x v="20"/>
  </r>
  <r>
    <s v="ORT-11420"/>
    <s v="C000419413"/>
    <s v="MANCHESTER AIRPORT T2 EAST WING NEW DEVELOPMENT"/>
    <n v="0"/>
    <n v="1"/>
    <d v="2025-05-28T00:00:00"/>
    <x v="20"/>
  </r>
  <r>
    <s v="ORT-11421"/>
    <s v="C000419415"/>
    <s v="LEICESTER CITY FC TRAINING GROUND"/>
    <n v="0"/>
    <n v="1"/>
    <d v="2025-05-28T00:00:00"/>
    <x v="20"/>
  </r>
  <r>
    <s v="ORT-11422"/>
    <s v="C000419419"/>
    <s v="CAVENDISH SQUARE NO 9 CAT A REFURB LONDON"/>
    <n v="7"/>
    <n v="0"/>
    <d v="2025-05-28T00:00:00"/>
    <x v="20"/>
  </r>
  <r>
    <s v="ORT-11423"/>
    <s v="C000419420"/>
    <s v="CANARY WHARF BANK STREET NO 12 LONDON"/>
    <n v="1"/>
    <n v="1"/>
    <d v="2025-05-28T00:00:00"/>
    <x v="20"/>
  </r>
  <r>
    <s v="ORT-11424"/>
    <s v="C000419423"/>
    <s v="EVERTON FC TUNNEL CLUB &amp; TRINITY LOUNGE LIVERPOOL"/>
    <n v="15"/>
    <n v="0"/>
    <d v="2025-05-28T00:00:00"/>
    <x v="20"/>
  </r>
  <r>
    <s v="ORT-11425"/>
    <s v="C000419424"/>
    <s v="THE LUMEN HELIX  DVSA ADMIN RELOCATION NEWCASTLE"/>
    <n v="15"/>
    <n v="0"/>
    <d v="2025-05-28T00:00:00"/>
    <x v="20"/>
  </r>
  <r>
    <s v="ORT-11426"/>
    <s v="C000419425"/>
    <s v="SCOTLAND &amp; NORTH EAST MISC 2025"/>
    <n v="0"/>
    <n v="1"/>
    <d v="2025-05-28T00:00:00"/>
    <x v="20"/>
  </r>
  <r>
    <s v="ORT-11427"/>
    <s v="C000419438"/>
    <s v="ICELAND MISC 2025"/>
    <n v="1"/>
    <n v="1"/>
    <d v="2025-05-29T00:00:00"/>
    <x v="20"/>
  </r>
  <r>
    <s v="ORT-11428"/>
    <s v="C000419446"/>
    <s v="CLARENDON ROAD NO 73 TJX EUROPE ADDITIONAL WORKS WATFORD"/>
    <n v="4"/>
    <n v="0"/>
    <d v="2025-05-29T00:00:00"/>
    <x v="20"/>
  </r>
  <r>
    <s v="ORT-11429"/>
    <s v="C000419447"/>
    <s v="MXL REFURB HERTFORD"/>
    <n v="9"/>
    <n v="0"/>
    <d v="2025-05-29T00:00:00"/>
    <x v="20"/>
  </r>
  <r>
    <s v="ORT-11430"/>
    <s v="C000419448"/>
    <s v="CHAMARTIN PHASE 2 MADRID"/>
    <n v="0"/>
    <n v="1"/>
    <d v="2025-05-29T00:00:00"/>
    <x v="20"/>
  </r>
  <r>
    <s v="ORT-11431"/>
    <s v="C000419449"/>
    <s v="BROADWAY NO 40 &amp; CARTERET STREET REDEVELOPMENT LONDON"/>
    <n v="15"/>
    <n v="0"/>
    <d v="2025-05-29T00:00:00"/>
    <x v="20"/>
  </r>
  <r>
    <s v="ORT-11433"/>
    <s v="C000419454"/>
    <s v="WORCESTERSHIRE ACUTE HOSPITAL DILAPS"/>
    <n v="1"/>
    <n v="1"/>
    <d v="2025-05-29T00:00:00"/>
    <x v="20"/>
  </r>
  <r>
    <s v="ORT-11434"/>
    <s v="C000419455"/>
    <s v="BRINDLEY PLACE NO 10 FLR 6 BIRMINGHAM"/>
    <n v="1"/>
    <n v="1"/>
    <d v="2025-05-29T00:00:00"/>
    <x v="20"/>
  </r>
  <r>
    <s v="ORT-11435"/>
    <m/>
    <s v="NDA - JP MORGAN AL FAISALIYAH TOWER RIYADH KSA"/>
    <n v="0"/>
    <n v="1"/>
    <d v="2025-05-29T00:00:00"/>
    <x v="20"/>
  </r>
  <r>
    <s v="ORT-11436"/>
    <s v="C000419456"/>
    <s v="HARWELL SCIENCE PARK QUAD 3 OFFICES DIDCOT"/>
    <n v="1"/>
    <n v="1"/>
    <d v="2025-05-29T00:00:00"/>
    <x v="20"/>
  </r>
  <r>
    <s v="ORT-11437"/>
    <s v="C000419458"/>
    <s v="GRESHAM STREET NO 20 CAT A REFURB LONDON"/>
    <n v="1"/>
    <n v="1"/>
    <d v="2025-05-29T00:00:00"/>
    <x v="20"/>
  </r>
  <r>
    <s v="ORT-11438"/>
    <s v="C000419459"/>
    <s v="GRESHAM STREET NO 20 CAT A REFURB LONDON"/>
    <n v="1"/>
    <n v="1"/>
    <d v="2025-05-29T00:00:00"/>
    <x v="20"/>
  </r>
  <r>
    <s v="ORT-11439"/>
    <s v="C000419460"/>
    <s v="CORCEGA 331 SURE BARCELONA"/>
    <n v="0"/>
    <n v="1"/>
    <d v="2025-05-29T00:00:00"/>
    <x v="20"/>
  </r>
  <r>
    <s v="ORT-11440"/>
    <m/>
    <s v="HOLDING SAINT MICHEL PARIS"/>
    <n v="0"/>
    <n v="1"/>
    <d v="2025-05-29T00:00:00"/>
    <x v="20"/>
  </r>
  <r>
    <s v="ORT-11443"/>
    <s v="C000419469"/>
    <s v="PALACE GARDENS SHOPPING CENTRE ENFIELD"/>
    <n v="3"/>
    <n v="0"/>
    <d v="2025-05-30T00:00:00"/>
    <x v="20"/>
  </r>
  <r>
    <s v="ORT-11444"/>
    <s v="C000419471"/>
    <s v="ST HELENS PLACE NO 5 - 7 CAT B ROYAL BANK OF CANADA LONDON"/>
    <n v="8"/>
    <n v="0"/>
    <d v="2025-05-30T00:00:00"/>
    <x v="20"/>
  </r>
  <r>
    <s v="ORT-11445"/>
    <s v="C000419472"/>
    <s v="SAINSBURYS MISC 2025"/>
    <n v="2"/>
    <n v="0"/>
    <d v="2025-05-30T00:00:00"/>
    <x v="20"/>
  </r>
  <r>
    <s v="ORT-11446"/>
    <s v="C000419473"/>
    <s v="BASINGHALL AVENUE NO 1 STANDARD CHARTERED PH 2 LONDON"/>
    <n v="12"/>
    <n v="0"/>
    <d v="2025-05-30T00:00:00"/>
    <x v="20"/>
  </r>
  <r>
    <s v="ORT-11447"/>
    <s v="C000419475"/>
    <s v="MOORFIELDS EYE HOSPITAL UCL INSTITUTE OF OPHTHALMOLOGY ORIEL"/>
    <n v="2"/>
    <n v="0"/>
    <d v="2025-05-30T00:00:00"/>
    <x v="20"/>
  </r>
  <r>
    <s v="ORT-11448"/>
    <s v="C000419476"/>
    <s v="ALDERMARY HOUSE 3RD FLOOR LONDON"/>
    <n v="1"/>
    <n v="1"/>
    <d v="2025-05-30T00:00:00"/>
    <x v="20"/>
  </r>
  <r>
    <s v="ORT-11449"/>
    <s v="C000419477"/>
    <s v="MORRISONS MISC 2025"/>
    <n v="0"/>
    <n v="1"/>
    <d v="2025-05-30T00:00:00"/>
    <x v="20"/>
  </r>
  <r>
    <s v="ORT-11450"/>
    <s v="C000419479"/>
    <s v="WORKPLACE INTERIORS MISC 2025"/>
    <n v="1"/>
    <n v="1"/>
    <d v="2025-05-30T00:00:00"/>
    <x v="20"/>
  </r>
  <r>
    <s v="ORT-11451"/>
    <s v="C000419483"/>
    <s v="PALMA AIRPORT EXTENSION LIGHTING"/>
    <n v="0"/>
    <n v="1"/>
    <d v="2025-05-30T00:00:00"/>
    <x v="20"/>
  </r>
  <r>
    <s v="ORT-11452"/>
    <s v="C000419485"/>
    <s v="DEWA HQ AL SHERAA BUILDING (B+G+4P+15) AL JADDAF"/>
    <n v="1"/>
    <n v="1"/>
    <d v="2025-05-30T00:00:00"/>
    <x v="20"/>
  </r>
  <r>
    <s v="ORT-11453"/>
    <s v="C000419486"/>
    <s v="UNI OF OXFORD HENRY WELCOME BUILDING DILAPS"/>
    <n v="3"/>
    <n v="0"/>
    <d v="2025-05-30T00:00:00"/>
    <x v="20"/>
  </r>
  <r>
    <s v="ORT-11454"/>
    <s v="C000419487"/>
    <s v="APPLE CAMPUS HERZLIYA DATA CENTRE"/>
    <n v="1"/>
    <n v="1"/>
    <d v="2025-05-30T00:00:00"/>
    <x v="20"/>
  </r>
  <r>
    <s v="ORT-11456"/>
    <s v="C000419496"/>
    <s v="DRAPERS GARDENS NO 12 BLACKROCK FLR 3 REFURB LONDON"/>
    <n v="0"/>
    <n v="1"/>
    <d v="2025-06-02T00:00:00"/>
    <x v="21"/>
  </r>
  <r>
    <s v="ORT-11457"/>
    <s v="C000419500"/>
    <s v="QUEEN VICTORIA STREET NO 160 FLR 2 LONDON"/>
    <n v="1"/>
    <n v="1"/>
    <d v="2025-06-02T00:00:00"/>
    <x v="21"/>
  </r>
  <r>
    <s v="ORT-11458"/>
    <s v="C000419509"/>
    <s v="LEADENHALL STREET NO 40 KIRKLAND &amp; ELLIS FLRS 15-34 LONDON"/>
    <n v="0"/>
    <n v="1"/>
    <d v="2025-06-02T00:00:00"/>
    <x v="21"/>
  </r>
  <r>
    <s v="ORT-11461"/>
    <s v="C000419518"/>
    <s v="AUSTIN FRIARS NO 4 REFURB LONDON"/>
    <n v="2"/>
    <n v="0"/>
    <d v="2025-06-03T00:00:00"/>
    <x v="21"/>
  </r>
  <r>
    <s v="ORT-11462"/>
    <s v="C000419526"/>
    <s v="TOTTENHAM HOTSPUR TRAINING ACADEMY LEVEL 1 OFFICES ENFIELD"/>
    <n v="11"/>
    <n v="0"/>
    <d v="2025-06-03T00:00:00"/>
    <x v="21"/>
  </r>
  <r>
    <s v="ORT-11463"/>
    <s v="C000419532"/>
    <s v="CANARY WHARF CANADA SQUARE NO 25 CITIBANK REFURB LONDON"/>
    <n v="0"/>
    <n v="1"/>
    <d v="2025-06-03T00:00:00"/>
    <x v="21"/>
  </r>
  <r>
    <s v="ORT-11464"/>
    <s v="C000419547"/>
    <s v="OXFORD STREET NO 334-348 S&amp;C / LOBBIES LONDON"/>
    <n v="7"/>
    <n v="0"/>
    <d v="2025-06-04T00:00:00"/>
    <x v="21"/>
  </r>
  <r>
    <s v="ORT-11465"/>
    <s v="C000419556"/>
    <s v="EDF SIZEWELL POWER STATION B SIMULATOR ROOM SUFFOLK"/>
    <n v="4"/>
    <n v="0"/>
    <d v="2025-06-04T00:00:00"/>
    <x v="21"/>
  </r>
  <r>
    <s v="ORT-11466"/>
    <s v="C000419558"/>
    <s v="ONE EASTSIDE TOWER A SKYLOUNGE BIRMINGHAM"/>
    <n v="3"/>
    <n v="0"/>
    <d v="2025-06-04T00:00:00"/>
    <x v="21"/>
  </r>
  <r>
    <s v="ORT-11467"/>
    <s v="C000419560"/>
    <s v="BRENT CROSS TOWN PLOT 25 FUSION STUDENT ACCOMMODATION LONDON"/>
    <n v="5"/>
    <n v="0"/>
    <d v="2025-06-04T00:00:00"/>
    <x v="21"/>
  </r>
  <r>
    <s v="ORT-11468"/>
    <s v="C000419562"/>
    <s v="LIVERPOOL STREET NO 1 FOH RECEPTION &amp; EVENT SPACE LONDON"/>
    <n v="8"/>
    <n v="0"/>
    <d v="2025-06-04T00:00:00"/>
    <x v="21"/>
  </r>
  <r>
    <s v="ORT-11469"/>
    <s v="C000419564"/>
    <s v="BEVIS MARKS NO 6 FLOOR 4 REFURB LONDON"/>
    <n v="0"/>
    <n v="1"/>
    <d v="2025-06-04T00:00:00"/>
    <x v="21"/>
  </r>
  <r>
    <s v="ORT-11470"/>
    <s v="C000419566"/>
    <s v="HUNDRED OF HOO ACADEMY MAIN ROAD ROCHESTER"/>
    <n v="1"/>
    <n v="1"/>
    <d v="2025-06-04T00:00:00"/>
    <x v="21"/>
  </r>
  <r>
    <s v="ORT-11471"/>
    <s v="C000419567"/>
    <s v="MERCHANT SQUARE NO 5 CAT A REFURB LIGHTING LONDON"/>
    <n v="0"/>
    <n v="1"/>
    <d v="2025-06-04T00:00:00"/>
    <x v="21"/>
  </r>
  <r>
    <s v="ORT-11472"/>
    <s v="C000419569"/>
    <s v="LEADENHALL STREET NO 1 CAT B LATHAM &amp; WATKINS FLRS 1-20"/>
    <n v="1"/>
    <n v="1"/>
    <d v="2025-06-04T00:00:00"/>
    <x v="21"/>
  </r>
  <r>
    <s v="ORT-11474"/>
    <s v="C000419571"/>
    <s v="OLD BROAD STREET NO 125 LVL 22 &amp; 23 CAT A LONDON"/>
    <n v="9"/>
    <n v="0"/>
    <d v="2025-06-04T00:00:00"/>
    <x v="21"/>
  </r>
  <r>
    <s v="ORT-11476"/>
    <s v="C000419581"/>
    <s v="WQ BUILDING AUCKLAND CBD"/>
    <n v="0"/>
    <n v="1"/>
    <d v="2025-06-05T00:00:00"/>
    <x v="21"/>
  </r>
  <r>
    <s v="ORT-11477"/>
    <s v="C000419584"/>
    <s v="STATION ROAD NO 21 RECEPTION AREA CAMBRIDGE"/>
    <n v="5"/>
    <n v="0"/>
    <d v="2025-06-05T00:00:00"/>
    <x v="21"/>
  </r>
  <r>
    <s v="ORT-11478"/>
    <m/>
    <s v="ALPHA BANK VE ALTERNATIVES FABRIC ATHENS"/>
    <n v="0"/>
    <n v="1"/>
    <d v="2025-06-05T00:00:00"/>
    <x v="21"/>
  </r>
  <r>
    <s v="ORT-11479"/>
    <s v="C000419594"/>
    <s v="EURSHELL MISC TILE &amp; GRID 2025"/>
    <n v="0"/>
    <n v="1"/>
    <d v="2025-06-05T00:00:00"/>
    <x v="21"/>
  </r>
  <r>
    <s v="ORT-11480"/>
    <s v="C000419595"/>
    <s v="SALFORD CENTRAL TRAIN STATION"/>
    <n v="2"/>
    <n v="0"/>
    <d v="2025-06-05T00:00:00"/>
    <x v="21"/>
  </r>
  <r>
    <s v="ORT-11481"/>
    <s v="C000419598"/>
    <s v="PROJECT ROBOTISM PHASE ONE CORE 4 LONDON"/>
    <n v="5"/>
    <n v="0"/>
    <d v="2025-06-05T00:00:00"/>
    <x v="21"/>
  </r>
  <r>
    <s v="ORT-11482"/>
    <s v="C000419601"/>
    <s v="BASINGHALL AVENUE NO 1 STANDARD CHARTERED PH 2 LIGHTING"/>
    <n v="1"/>
    <n v="1"/>
    <d v="2025-06-05T00:00:00"/>
    <x v="21"/>
  </r>
  <r>
    <s v="ORT-11483"/>
    <s v="C000419603"/>
    <s v="LONDON MISC 2025"/>
    <n v="5"/>
    <n v="0"/>
    <d v="2025-06-05T00:00:00"/>
    <x v="21"/>
  </r>
  <r>
    <s v="ORT-11484"/>
    <s v="C000419605"/>
    <s v="LEADENHALL STREET NO 40 KIRKLAND &amp; ELLIS FLRS 15-34 LONDON"/>
    <n v="3"/>
    <n v="0"/>
    <d v="2025-06-05T00:00:00"/>
    <x v="21"/>
  </r>
  <r>
    <s v="ORT-11487"/>
    <s v="C000419607"/>
    <s v="OXFORD STREET NO 334-348 S&amp;C / LOBBIES LONDON"/>
    <n v="6"/>
    <n v="0"/>
    <d v="2025-06-05T00:00:00"/>
    <x v="21"/>
  </r>
  <r>
    <s v="ORT-11488"/>
    <s v="C000419610"/>
    <s v="CHAMARTIN PHASE 2 MADRID"/>
    <n v="0"/>
    <n v="1"/>
    <d v="2025-06-05T00:00:00"/>
    <x v="21"/>
  </r>
  <r>
    <s v="ORT-11489"/>
    <s v="C000419612"/>
    <s v="THE STAGE SHOREDITCH BARD &amp; HEWETT AMAZON FIT OUT LONDON"/>
    <n v="0"/>
    <n v="1"/>
    <d v="2025-06-05T00:00:00"/>
    <x v="21"/>
  </r>
  <r>
    <s v="ORT-11494"/>
    <s v="C000419620"/>
    <s v="PARK HOUSE FINSBURY CIRCUS NO 16/18 PH 2 FLR 7 CISCO LONDON"/>
    <n v="2"/>
    <n v="0"/>
    <d v="2025-06-06T00:00:00"/>
    <x v="21"/>
  </r>
  <r>
    <s v="ORT-11495"/>
    <s v="C000419627"/>
    <s v="COLEMAN STREET NO 4 REFURB LONDON"/>
    <n v="0"/>
    <n v="1"/>
    <d v="2025-06-06T00:00:00"/>
    <x v="21"/>
  </r>
  <r>
    <s v="ORT-11496"/>
    <s v="C000419636"/>
    <s v="VICTORIA STREET NO 80 FLR 7 REFURB LONDON"/>
    <n v="1"/>
    <n v="1"/>
    <d v="2025-06-09T00:00:00"/>
    <x v="22"/>
  </r>
  <r>
    <s v="ORT-11497"/>
    <s v="C000419637"/>
    <s v="STOCKLEY PARK ROUNDWOOD AVENUE NO 6 PROJECT JUMPER LONDON"/>
    <n v="2"/>
    <n v="0"/>
    <d v="2025-06-09T00:00:00"/>
    <x v="22"/>
  </r>
  <r>
    <s v="ORT-11498"/>
    <s v="C000419641"/>
    <s v="STRAND NO 40 REFURB BAIN &amp; CO LONDON"/>
    <n v="0"/>
    <n v="1"/>
    <d v="2025-06-09T00:00:00"/>
    <x v="22"/>
  </r>
  <r>
    <s v="ORT-11499"/>
    <s v="C000419643"/>
    <s v="TORRE CEPSA 23/F AMAZON"/>
    <n v="0"/>
    <n v="1"/>
    <d v="2025-06-09T00:00:00"/>
    <x v="22"/>
  </r>
  <r>
    <s v="ORT-11500"/>
    <s v="C000419644"/>
    <s v="MILLBANK NO 7 WESTMINSTER HOUSE THE SMITH LONDON"/>
    <n v="3"/>
    <n v="0"/>
    <d v="2025-06-09T00:00:00"/>
    <x v="22"/>
  </r>
  <r>
    <s v="ORT-11501"/>
    <s v="C000419646"/>
    <s v="CENTRAL BANK OF IRAQ HEADQUARTERS BAGHDAD"/>
    <n v="0"/>
    <n v="1"/>
    <d v="2025-06-09T00:00:00"/>
    <x v="22"/>
  </r>
  <r>
    <s v="ORT-11502"/>
    <s v="CF00000536"/>
    <s v="ALPHA BANK ATHENS"/>
    <n v="0"/>
    <n v="1"/>
    <d v="2025-06-09T00:00:00"/>
    <x v="22"/>
  </r>
  <r>
    <s v="ORT-11504"/>
    <s v="C000419669"/>
    <s v="WHITEHALL RIVERSIDE RESIDENTIAL TOWERS LEEDS"/>
    <n v="3"/>
    <n v="0"/>
    <d v="2025-06-09T00:00:00"/>
    <x v="22"/>
  </r>
  <r>
    <s v="ORT-11505"/>
    <s v="C000419671"/>
    <s v="MANCHESTER AIRPORT T2 EAST WING NEW DEVELOPMENT"/>
    <n v="4"/>
    <n v="0"/>
    <d v="2025-06-09T00:00:00"/>
    <x v="22"/>
  </r>
  <r>
    <s v="ORT-11506"/>
    <s v="C000419673"/>
    <s v="MANCHESTER AIRPORT PIER 2 PHASE 2 CELINGS"/>
    <n v="81"/>
    <n v="0"/>
    <d v="2025-06-09T00:00:00"/>
    <x v="22"/>
  </r>
  <r>
    <s v="ORT-11508"/>
    <s v="C000419680"/>
    <s v="CAMBRIDGE BIOMEDICAL CAMPUS HISTOPATHOLOGY"/>
    <n v="0"/>
    <n v="1"/>
    <d v="2025-06-10T00:00:00"/>
    <x v="22"/>
  </r>
  <r>
    <s v="ORT-11509"/>
    <s v="C000419682"/>
    <s v="SAMPLE ROOM READING"/>
    <n v="0"/>
    <n v="1"/>
    <d v="2025-06-10T00:00:00"/>
    <x v="22"/>
  </r>
  <r>
    <s v="ORT-11510"/>
    <s v="C000419685"/>
    <s v="OLD BROAD STREET NO 125 LVL 22 &amp; 23 CAT A LONDON"/>
    <n v="0"/>
    <n v="1"/>
    <d v="2025-06-10T00:00:00"/>
    <x v="22"/>
  </r>
  <r>
    <s v="ORT-11511"/>
    <s v="C000419686"/>
    <s v="SAMPLE ROOM READING"/>
    <n v="0"/>
    <n v="1"/>
    <d v="2025-06-10T00:00:00"/>
    <x v="22"/>
  </r>
  <r>
    <s v="ORT-11512"/>
    <s v="C000419691"/>
    <s v="PULSANT DATA CENTRE SE-1 MILTON KEYNES"/>
    <n v="1"/>
    <n v="1"/>
    <d v="2025-06-10T00:00:00"/>
    <x v="22"/>
  </r>
  <r>
    <s v="ORT-11513"/>
    <s v="C000419693"/>
    <s v="THREE SNOWHILL NATIONAL HIGHWAYS OFFICE BIRMINGHAM"/>
    <n v="2"/>
    <n v="0"/>
    <d v="2025-06-10T00:00:00"/>
    <x v="22"/>
  </r>
  <r>
    <s v="ORT-11514"/>
    <s v="C000419695"/>
    <s v="MANCHESTER SCIENCE PARK GREENHEYS PROJECT"/>
    <n v="1"/>
    <n v="1"/>
    <d v="2025-06-10T00:00:00"/>
    <x v="22"/>
  </r>
  <r>
    <s v="ORT-11515"/>
    <s v="C000419696"/>
    <s v="QUEEN VICTORIA STREET NO 160 FLR 2 LONDON"/>
    <n v="2"/>
    <n v="0"/>
    <d v="2025-06-10T00:00:00"/>
    <x v="22"/>
  </r>
  <r>
    <s v="ORT-11516"/>
    <s v="C000419699"/>
    <s v="GREGGS MISC 2024"/>
    <n v="3"/>
    <n v="0"/>
    <d v="2025-06-10T00:00:00"/>
    <x v="22"/>
  </r>
  <r>
    <s v="ORT-11518"/>
    <s v="C000419703"/>
    <s v="WILTON ROAD NO 129 CAT A FLOORS 1-5 LONDON"/>
    <n v="0"/>
    <n v="1"/>
    <d v="2025-06-10T00:00:00"/>
    <x v="22"/>
  </r>
  <r>
    <s v="ORT-11519"/>
    <s v="C000419707"/>
    <s v="MOORFIELDS EYE HOSPITAL UCL INSTITUTE OF OPHTHALMOLOGY ORIEL"/>
    <n v="6"/>
    <n v="0"/>
    <d v="2025-06-10T00:00:00"/>
    <x v="22"/>
  </r>
  <r>
    <s v="ORT-11520"/>
    <s v="C000419708"/>
    <s v="LLOYDS GROUP HQ REFURB TRINITY ROAD HALIFAX"/>
    <n v="3"/>
    <n v="0"/>
    <d v="2025-06-10T00:00:00"/>
    <x v="22"/>
  </r>
  <r>
    <s v="ORT-11521"/>
    <s v="C000419712"/>
    <s v="CHERRY TREE FARM AMERSHAM"/>
    <n v="2"/>
    <n v="0"/>
    <d v="2025-06-11T00:00:00"/>
    <x v="22"/>
  </r>
  <r>
    <s v="ORT-11522"/>
    <s v="C000419721"/>
    <s v="LEADENHALL STREET NO 40 KIRKLAND &amp; ELLIS FLRS 15-34 LONDON"/>
    <n v="3"/>
    <n v="0"/>
    <d v="2025-06-11T00:00:00"/>
    <x v="22"/>
  </r>
  <r>
    <s v="ORT-11523"/>
    <s v="C000419723"/>
    <s v="OLD BREWERS YARD GUINNESS MICRO BREWERY LONDON"/>
    <n v="2"/>
    <n v="0"/>
    <d v="2025-06-11T00:00:00"/>
    <x v="22"/>
  </r>
  <r>
    <s v="ORT-11524"/>
    <s v="C000419724"/>
    <s v="FCDO KING CHARLES STREET REFURB LONDON"/>
    <n v="1"/>
    <n v="1"/>
    <d v="2025-06-11T00:00:00"/>
    <x v="22"/>
  </r>
  <r>
    <s v="ORT-11525"/>
    <s v="C000419725"/>
    <s v="LAVINGTON STREET NO 25 TIMBER SQUARE DEVELOPMENT WCS LONDON"/>
    <n v="1"/>
    <n v="1"/>
    <d v="2025-06-11T00:00:00"/>
    <x v="22"/>
  </r>
  <r>
    <s v="ORT-11526"/>
    <s v="C000419731"/>
    <s v="ALDERMANBURY SQUARE NO 2 BASINGHALL ST RECEPTION CEILINGS"/>
    <n v="1"/>
    <n v="1"/>
    <d v="2025-06-11T00:00:00"/>
    <x v="22"/>
  </r>
  <r>
    <s v="ORT-11527"/>
    <s v="C000419734"/>
    <s v="PILGRIM STREET PHASE 2 NEWCASTLE FURTHER DEVELOPMENT"/>
    <n v="5"/>
    <n v="0"/>
    <d v="2025-06-11T00:00:00"/>
    <x v="22"/>
  </r>
  <r>
    <s v="ORT-11528"/>
    <s v="C000419733"/>
    <s v="HARWELL SCIENCE PARK QUAD 3 OFFICES DIDCOT"/>
    <n v="1"/>
    <n v="1"/>
    <d v="2025-06-11T00:00:00"/>
    <x v="22"/>
  </r>
  <r>
    <s v="ORT-11529"/>
    <s v="C000419735"/>
    <s v="HARWELL CAMPUS PROJECT DEXTER PHASE 2 DIDCOT"/>
    <n v="2"/>
    <n v="0"/>
    <d v="2025-06-11T00:00:00"/>
    <x v="22"/>
  </r>
  <r>
    <s v="ORT-11530"/>
    <s v="C000419739"/>
    <s v="ARGOED HIGH SCHOOL REDEVELOPMENT MYNYDD ISA"/>
    <n v="5"/>
    <n v="0"/>
    <d v="2025-06-11T00:00:00"/>
    <x v="22"/>
  </r>
  <r>
    <s v="ORT-11532"/>
    <s v="C000419740"/>
    <s v="OCASO FUENCARRAL 107  MADRID"/>
    <n v="1"/>
    <n v="1"/>
    <d v="2025-06-11T00:00:00"/>
    <x v="22"/>
  </r>
  <r>
    <s v="ORT-11533"/>
    <s v="C000419755"/>
    <s v="AUGUSTINE HOUSE AUSTIN FRIARS NO 6 A FLR 3 &amp; 4 FITOUT LONDON"/>
    <n v="0"/>
    <n v="1"/>
    <d v="2025-06-12T00:00:00"/>
    <x v="22"/>
  </r>
  <r>
    <s v="ORT-11534"/>
    <s v="C000419757"/>
    <s v="BUNHILL ROW NO 1 SLAUGHTER &amp; MAY CAT A REFURB LONDON"/>
    <n v="2"/>
    <n v="0"/>
    <d v="2025-06-12T00:00:00"/>
    <x v="22"/>
  </r>
  <r>
    <s v="ORT-11535"/>
    <s v="C000419758"/>
    <s v="CHARLOTTE STREET NO 80 AURUM FIT OUT FLOOR 2 LONDON"/>
    <n v="8"/>
    <n v="0"/>
    <d v="2025-06-12T00:00:00"/>
    <x v="22"/>
  </r>
  <r>
    <s v="ORT-11536"/>
    <s v="C000419759"/>
    <s v="LONDON MISC 2025"/>
    <n v="0"/>
    <n v="1"/>
    <d v="2025-06-12T00:00:00"/>
    <x v="22"/>
  </r>
  <r>
    <s v="ORT-11537"/>
    <s v="CF00000537"/>
    <s v="HOLDING SAINT MICHEL PARIS"/>
    <n v="0"/>
    <n v="1"/>
    <d v="2025-06-12T00:00:00"/>
    <x v="22"/>
  </r>
  <r>
    <s v="ORT-11538"/>
    <s v="C000419766"/>
    <s v="BT BUILDING LEVEL 2 GLASGOW"/>
    <n v="1"/>
    <n v="1"/>
    <d v="2025-06-12T00:00:00"/>
    <x v="22"/>
  </r>
  <r>
    <s v="ORT-11539"/>
    <s v="C000419768"/>
    <s v="GRESHAM STREET NO 10 REMEDIAL LONDON"/>
    <n v="0"/>
    <n v="1"/>
    <d v="2025-06-12T00:00:00"/>
    <x v="22"/>
  </r>
  <r>
    <s v="ORT-11540"/>
    <s v="C000419772"/>
    <s v="LIVERPOOL FC EXECUTIVE BOXES ANFIELD"/>
    <n v="1"/>
    <n v="1"/>
    <d v="2025-06-12T00:00:00"/>
    <x v="22"/>
  </r>
  <r>
    <s v="ORT-11542"/>
    <s v="C000419776"/>
    <s v="BLUE FIN BUILDING SOUTHWARK STREET COSTAR FLRS 5-6 LONDON"/>
    <n v="5"/>
    <n v="0"/>
    <d v="2025-06-12T00:00:00"/>
    <x v="22"/>
  </r>
  <r>
    <s v="ORT-11543"/>
    <s v="C000419777"/>
    <s v="CHURCHILL PLACE NO 5 LVL 10 REFURB LONDON"/>
    <n v="5"/>
    <n v="0"/>
    <d v="2025-06-12T00:00:00"/>
    <x v="22"/>
  </r>
  <r>
    <s v="ORT-11544"/>
    <s v="C000419778"/>
    <s v="GRESHAM STREET NO 30 INVESTEC LEVEL 6 LONDON"/>
    <n v="0"/>
    <n v="1"/>
    <d v="2025-06-12T00:00:00"/>
    <x v="22"/>
  </r>
  <r>
    <s v="ORT-11545"/>
    <s v="C000419788"/>
    <s v="MANCHESTER AIRPORT PIER 2 PHASE 2 CELINGS"/>
    <n v="2"/>
    <n v="0"/>
    <d v="2025-06-12T00:00:00"/>
    <x v="22"/>
  </r>
  <r>
    <s v="ORT-11546"/>
    <s v="C000419790"/>
    <s v="JACK TURNBULL MISC TILE &amp; GRID 2025"/>
    <n v="4"/>
    <n v="0"/>
    <d v="2025-06-13T00:00:00"/>
    <x v="22"/>
  </r>
  <r>
    <s v="ORT-11547"/>
    <s v="C000419793"/>
    <s v="DEVONSHIRE HOUSE MAYFAIR PLACE NO 1 FLOORS G &amp; 2 LONDON"/>
    <n v="0"/>
    <n v="1"/>
    <d v="2025-06-13T00:00:00"/>
    <x v="22"/>
  </r>
  <r>
    <s v="ORT-11548"/>
    <s v="C000419794"/>
    <s v="EDEN CAMPUS UNILEVER CAT B KINGSTON"/>
    <n v="2"/>
    <n v="0"/>
    <d v="2025-06-13T00:00:00"/>
    <x v="22"/>
  </r>
  <r>
    <s v="ORT-11549"/>
    <s v="C000419796"/>
    <s v="PADDINGTON CENTRAL KINGDOM ST NO 1 FLRS 1,6,8 EQUINOR LONDON"/>
    <n v="0"/>
    <n v="1"/>
    <d v="2025-06-13T00:00:00"/>
    <x v="22"/>
  </r>
  <r>
    <s v="ORT-11550"/>
    <s v="C000419797"/>
    <s v="HANOVER SQUARE BUILDING NO 18 KKR FLOOR 5 LONDON"/>
    <n v="4"/>
    <n v="0"/>
    <d v="2025-06-13T00:00:00"/>
    <x v="22"/>
  </r>
  <r>
    <s v="ORT-11551"/>
    <s v="C000419798"/>
    <s v="SCOTLAND &amp; NORTH EAST MISC 2025"/>
    <n v="0"/>
    <n v="1"/>
    <d v="2025-06-13T00:00:00"/>
    <x v="22"/>
  </r>
  <r>
    <s v="ORT-11552"/>
    <s v="C000419799"/>
    <s v="TORRENS STREET NO 1 ANGEL SQUARE LONDON"/>
    <n v="2"/>
    <n v="0"/>
    <d v="2025-06-13T00:00:00"/>
    <x v="22"/>
  </r>
  <r>
    <s v="ORT-11553"/>
    <s v="C000419800"/>
    <s v="GSK OLIGO HUB BUILDING 6 STEVENAGE"/>
    <n v="4"/>
    <n v="0"/>
    <d v="2025-06-13T00:00:00"/>
    <x v="22"/>
  </r>
  <r>
    <s v="ORT-11554"/>
    <s v="C000419804"/>
    <s v="UNI OF KINGSTON JOHN GALSWORTHY BUILDING PH2 LONDON"/>
    <n v="3"/>
    <n v="0"/>
    <d v="2025-06-13T00:00:00"/>
    <x v="22"/>
  </r>
  <r>
    <s v="ORT-11555"/>
    <s v="C000419805"/>
    <s v="FIRST STREET PLOT 9A GPA CAT B MANCHESTER"/>
    <n v="0"/>
    <n v="1"/>
    <d v="2025-06-13T00:00:00"/>
    <x v="22"/>
  </r>
  <r>
    <s v="ORT-11556"/>
    <s v="C000419811"/>
    <s v="SKY STUDIOS GRANT WAY L2 &amp; L4 REFURB LONDON"/>
    <n v="0"/>
    <n v="1"/>
    <d v="2025-06-16T00:00:00"/>
    <x v="23"/>
  </r>
  <r>
    <s v="ORT-11557"/>
    <s v="C000419812"/>
    <s v="JACK TURNBULL MISC TILE &amp; GRID 2025"/>
    <n v="0"/>
    <n v="1"/>
    <d v="2025-06-16T00:00:00"/>
    <x v="23"/>
  </r>
  <r>
    <s v="ORT-11558"/>
    <s v="C000419813"/>
    <s v="BOTANICAL PLACE WEST BYFLEET BLOCK C REFURB"/>
    <n v="1"/>
    <n v="1"/>
    <d v="2025-06-16T00:00:00"/>
    <x v="23"/>
  </r>
  <r>
    <s v="ORT-11559"/>
    <s v="C000419814"/>
    <s v="MANCHESTER SCIENCE PARK GREENHEYS PROJECT"/>
    <n v="1"/>
    <n v="1"/>
    <d v="2025-06-16T00:00:00"/>
    <x v="23"/>
  </r>
  <r>
    <s v="ORT-11560"/>
    <s v="C000419815"/>
    <s v="MANCHESTER SCIENCE PARK GREENHEYS PROJECT"/>
    <n v="1"/>
    <n v="1"/>
    <d v="2025-06-16T00:00:00"/>
    <x v="23"/>
  </r>
  <r>
    <s v="ORT-11561"/>
    <s v="C000419816"/>
    <s v="MANCHESTER SCIENCE PARK GREENHEYS PROJECT"/>
    <n v="3"/>
    <n v="0"/>
    <d v="2025-06-16T00:00:00"/>
    <x v="23"/>
  </r>
  <r>
    <s v="ORT-11562"/>
    <s v="C000419818"/>
    <s v="HANOVER STREET NO 1 ARTUS UNIT TILE LONDON"/>
    <n v="0"/>
    <n v="1"/>
    <d v="2025-06-16T00:00:00"/>
    <x v="23"/>
  </r>
  <r>
    <s v="ORT-11563"/>
    <s v="C000419820"/>
    <s v="HARWELL SCIENCE PARK QUAD 3 OFFICES DIDCOT"/>
    <n v="1"/>
    <n v="1"/>
    <d v="2025-06-16T00:00:00"/>
    <x v="23"/>
  </r>
  <r>
    <s v="ORT-11564"/>
    <s v="C000419822"/>
    <s v="FORMER TYNECASTLE SCHOOL RESI BLOCK B PHASE 2 EDINBURGH"/>
    <n v="3"/>
    <n v="0"/>
    <d v="2025-06-16T00:00:00"/>
    <x v="23"/>
  </r>
  <r>
    <s v="ORT-11565"/>
    <s v="C000419824"/>
    <s v="RETAMA 7 MADRID"/>
    <n v="0"/>
    <n v="1"/>
    <d v="2025-06-16T00:00:00"/>
    <x v="23"/>
  </r>
  <r>
    <s v="ORT-11566"/>
    <s v="C000419825"/>
    <s v="ONE LUDLOW OFFICE SUITE 2 MAIDENHEAD LIGHTING"/>
    <n v="1"/>
    <n v="1"/>
    <d v="2025-06-16T00:00:00"/>
    <x v="23"/>
  </r>
  <r>
    <s v="ORT-11567"/>
    <s v="C000419828"/>
    <s v="CHELSEA WESTMINSTER HOSPITAL REFURB LONDON"/>
    <n v="0"/>
    <n v="1"/>
    <d v="2025-06-16T00:00:00"/>
    <x v="23"/>
  </r>
  <r>
    <s v="ORT-11568"/>
    <s v="CF00000538"/>
    <s v="BOULEVARD HAUSSMANN 14 PARIS"/>
    <n v="0"/>
    <n v="1"/>
    <d v="2025-06-16T00:00:00"/>
    <x v="23"/>
  </r>
  <r>
    <s v="ORT-11569"/>
    <s v="C000419834"/>
    <s v="DORKING OFFICE PARK NO 7 STONEBRIDGE HOUSE DORKING"/>
    <n v="3"/>
    <n v="0"/>
    <d v="2025-06-16T00:00:00"/>
    <x v="23"/>
  </r>
  <r>
    <s v="ORT-11570"/>
    <s v="C000419844"/>
    <s v="ARKWRIGHT HOUSE REFURB MANCHESTER"/>
    <n v="3"/>
    <n v="0"/>
    <d v="2025-06-16T00:00:00"/>
    <x v="23"/>
  </r>
  <r>
    <s v="ORT-11571"/>
    <s v="C000419845"/>
    <s v="BISHOPSGATE NO 199 CAT B FLR 9 CROWELL MORING LONDON"/>
    <n v="2"/>
    <n v="0"/>
    <d v="2025-06-16T00:00:00"/>
    <x v="23"/>
  </r>
  <r>
    <s v="ORT-11572"/>
    <s v="C000419847"/>
    <s v="ALDERMANBURY SQUARE NO 2 BASINGHALL STREET LONDON"/>
    <n v="0"/>
    <n v="1"/>
    <d v="2025-06-17T00:00:00"/>
    <x v="23"/>
  </r>
  <r>
    <s v="ORT-11573"/>
    <s v="C000419849"/>
    <s v="MARKS AND SPENCER KINGSTON"/>
    <n v="0"/>
    <n v="1"/>
    <d v="2025-06-17T00:00:00"/>
    <x v="23"/>
  </r>
  <r>
    <s v="ORT-11574"/>
    <s v="C000419850"/>
    <s v="ALDERMANBURY SQUARE NO 2 BASINGHALL STREET LONDON"/>
    <n v="0"/>
    <n v="1"/>
    <d v="2025-06-17T00:00:00"/>
    <x v="23"/>
  </r>
  <r>
    <s v="ORT-11575"/>
    <s v="C000419852"/>
    <s v="ALDERMANBURY SQUARE NO 2 BASINGHALL STREET LONDON"/>
    <n v="0"/>
    <n v="1"/>
    <d v="2025-06-17T00:00:00"/>
    <x v="23"/>
  </r>
  <r>
    <s v="ORT-11576"/>
    <s v="C000419856"/>
    <s v="DEWA HQ AL SHERAA BUILDING (B+G+4P+15) AL JADDAF"/>
    <n v="2"/>
    <n v="0"/>
    <d v="2025-06-17T00:00:00"/>
    <x v="23"/>
  </r>
  <r>
    <s v="ORT-11577"/>
    <s v="C000419867"/>
    <s v="UNI OF CAMBRIDGE HUTCHINSON BUILDING REFURB"/>
    <n v="2"/>
    <n v="0"/>
    <d v="2025-06-17T00:00:00"/>
    <x v="23"/>
  </r>
  <r>
    <s v="ORT-11578"/>
    <s v="C000419870"/>
    <s v="AWE THE HUB OFFICE AND TEACHING FACILITY MHS ALDERMASTON"/>
    <n v="2"/>
    <n v="0"/>
    <d v="2025-06-17T00:00:00"/>
    <x v="23"/>
  </r>
  <r>
    <s v="ORT-11579"/>
    <s v="C000419871"/>
    <s v="MANCHESTER AIRPORT NORTH FIRE STATION WC REFURB"/>
    <n v="6"/>
    <n v="0"/>
    <d v="2025-06-17T00:00:00"/>
    <x v="23"/>
  </r>
  <r>
    <s v="ORT-11581"/>
    <s v="C000419873"/>
    <s v="THE BARBER SHOP LONDON"/>
    <n v="2"/>
    <n v="0"/>
    <d v="2025-06-17T00:00:00"/>
    <x v="23"/>
  </r>
  <r>
    <s v="ORT-11582"/>
    <s v="C000419874"/>
    <s v="TRITON SQUARE NO 1 OFFICE / LABS CAT A LONDON"/>
    <n v="0"/>
    <n v="1"/>
    <d v="2025-06-17T00:00:00"/>
    <x v="23"/>
  </r>
  <r>
    <s v="ORT-11583"/>
    <s v="C000419875"/>
    <s v="WOOD STREET NO 125 FLOOR 4 &amp; 7 CAT A REFURB LONDON"/>
    <n v="3"/>
    <n v="0"/>
    <d v="2025-06-17T00:00:00"/>
    <x v="23"/>
  </r>
  <r>
    <s v="ORT-11585"/>
    <s v="C000419881"/>
    <s v="SUTHERLAND HOUSE ST VINCENT STREET NO 149 FLR 7 GLASGOW"/>
    <n v="2"/>
    <n v="0"/>
    <d v="2025-06-17T00:00:00"/>
    <x v="23"/>
  </r>
  <r>
    <s v="ORT-11586"/>
    <s v="C000419884"/>
    <s v="BASINGHALL AVENUE NO 1 STANDARD CHARTERED PH 2 LONDON"/>
    <n v="2"/>
    <n v="0"/>
    <d v="2025-06-17T00:00:00"/>
    <x v="23"/>
  </r>
  <r>
    <s v="ORT-11587"/>
    <s v="C000419886"/>
    <s v="ONE EASTSIDE TOWER A SKYLOUNGE BIRMINGHAM"/>
    <n v="2"/>
    <n v="0"/>
    <d v="2025-06-17T00:00:00"/>
    <x v="23"/>
  </r>
  <r>
    <s v="ORT-11588"/>
    <s v="C000419889"/>
    <s v="BASINGHALL AVENUE NO 1 STANDARD CHARTERED PH 2 LIGHTING"/>
    <n v="9"/>
    <n v="0"/>
    <d v="2025-06-17T00:00:00"/>
    <x v="23"/>
  </r>
  <r>
    <s v="ORT-11589"/>
    <s v="C000419891"/>
    <s v="JOB CENTRE MISC 2025"/>
    <n v="0"/>
    <n v="1"/>
    <d v="2025-06-17T00:00:00"/>
    <x v="23"/>
  </r>
  <r>
    <s v="ORT-11590"/>
    <s v="C000419893"/>
    <s v="AIRE PARK FORMER TETLEY BREWERY LEEDS MU4A"/>
    <n v="2"/>
    <n v="0"/>
    <d v="2025-06-17T00:00:00"/>
    <x v="23"/>
  </r>
  <r>
    <s v="ORT-11591"/>
    <s v="C000419894"/>
    <s v="LEADENHALL STREET NO 40 KIRKLAND &amp; ELLIS FLRS 15-34 LONDON"/>
    <n v="1"/>
    <n v="1"/>
    <d v="2025-06-17T00:00:00"/>
    <x v="23"/>
  </r>
  <r>
    <s v="ORT-11592"/>
    <s v="C000419895"/>
    <s v="OAKMOOR SCHOOL EXTENSION BORDON"/>
    <n v="2"/>
    <n v="0"/>
    <d v="2025-06-17T00:00:00"/>
    <x v="23"/>
  </r>
  <r>
    <s v="ORT-11593"/>
    <s v="C000419897"/>
    <s v="ARTUS MOCK UP PROJECT LONDON"/>
    <n v="0"/>
    <n v="1"/>
    <d v="2025-06-17T00:00:00"/>
    <x v="23"/>
  </r>
  <r>
    <s v="ORT-11594"/>
    <s v="C000419902"/>
    <s v="CANARY WHARF CANADA SQUARE NO 25 CITIBANK REFURB LONDON"/>
    <n v="6"/>
    <n v="0"/>
    <d v="2025-06-18T00:00:00"/>
    <x v="23"/>
  </r>
  <r>
    <s v="ORT-11595"/>
    <s v="C000419903"/>
    <s v="CANARY WHARF CANADA SQUARE NO 25 CITIBANK REFURB LONDON"/>
    <n v="24"/>
    <n v="0"/>
    <d v="2025-06-18T00:00:00"/>
    <x v="23"/>
  </r>
  <r>
    <s v="ORT-11596"/>
    <s v="C000419904"/>
    <s v="CANARY WHARF CANADA SQUARE NO 25 CITIBANK REFURB LONDON"/>
    <n v="24"/>
    <n v="0"/>
    <d v="2025-06-18T00:00:00"/>
    <x v="23"/>
  </r>
  <r>
    <s v="ORT-11597"/>
    <s v="C000419905"/>
    <s v="CANARY WHARF CANADA SQUARE NO 25 CITIBANK REFURB LONDON"/>
    <n v="26"/>
    <n v="0"/>
    <d v="2025-06-18T00:00:00"/>
    <x v="23"/>
  </r>
  <r>
    <s v="ORT-11598"/>
    <s v="C000419906"/>
    <s v="CANARY WHARF CANADA SQUARE NO 25 CITIBANK REFURB LONDON"/>
    <n v="9"/>
    <n v="0"/>
    <d v="2025-06-18T00:00:00"/>
    <x v="23"/>
  </r>
  <r>
    <s v="ORT-11599"/>
    <s v="C000419907"/>
    <s v="CANARY WHARF CANADA SQUARE NO 25 CITIBANK REFURB LONDON"/>
    <n v="15"/>
    <n v="0"/>
    <d v="2025-06-18T00:00:00"/>
    <x v="23"/>
  </r>
  <r>
    <s v="ORT-11600"/>
    <s v="C000419909"/>
    <s v="CANARY WHARF CANADA SQUARE NO 25 CITIBANK REFURB LONDON"/>
    <n v="19"/>
    <n v="0"/>
    <d v="2025-06-18T00:00:00"/>
    <x v="23"/>
  </r>
  <r>
    <s v="ORT-11601"/>
    <s v="C000419915"/>
    <s v="ST MICHAELS TOWER FLRS 7 &amp; 8 MANCHESTER"/>
    <n v="0"/>
    <n v="1"/>
    <d v="2025-06-18T00:00:00"/>
    <x v="23"/>
  </r>
  <r>
    <s v="ORT-11602"/>
    <s v="C000419927"/>
    <s v="MOH SUWAIQ HOSPITAL ADDTL MATERIALS OMAN"/>
    <n v="1"/>
    <n v="1"/>
    <d v="2025-06-18T00:00:00"/>
    <x v="23"/>
  </r>
  <r>
    <s v="ORT-11603"/>
    <s v="C000419928"/>
    <s v="MOH KHASAB HOSPITAL ADDTL MATERIALS OMAN"/>
    <n v="1"/>
    <n v="1"/>
    <d v="2025-06-18T00:00:00"/>
    <x v="23"/>
  </r>
  <r>
    <s v="ORT-11607"/>
    <s v="C000419935"/>
    <s v="BROADGATE NO 1-2 SHELL &amp; CORE LONDON"/>
    <n v="0"/>
    <n v="1"/>
    <d v="2025-06-19T00:00:00"/>
    <x v="23"/>
  </r>
  <r>
    <s v="ORT-11608"/>
    <s v="C000419944"/>
    <s v="CANARY WHARF DS7 CANADA SQUARE NO 1 UCL SOM PHASE 1 LONDON"/>
    <n v="0"/>
    <n v="1"/>
    <d v="2025-06-19T00:00:00"/>
    <x v="23"/>
  </r>
  <r>
    <s v="ORT-11609"/>
    <s v="C000419948"/>
    <s v="TRITON SQUARE NO 1 OFFICE / LABS CAT A LONDON"/>
    <n v="0"/>
    <n v="1"/>
    <d v="2025-06-19T00:00:00"/>
    <x v="23"/>
  </r>
  <r>
    <s v="ORT-11610"/>
    <s v="C000419952"/>
    <s v="LIVERPOOL JOHN LENNON AIRPORT ASPIRE LOUNGE"/>
    <n v="1"/>
    <n v="1"/>
    <d v="2025-06-19T00:00:00"/>
    <x v="23"/>
  </r>
  <r>
    <s v="ORT-11611"/>
    <m/>
    <s v="CENTRAL BANK OF IRAQ HEADQUARTERS BAGHDAD"/>
    <n v="0"/>
    <n v="1"/>
    <d v="2025-06-19T00:00:00"/>
    <x v="23"/>
  </r>
  <r>
    <s v="ORT-11612"/>
    <s v="C000419955"/>
    <s v="BASINGHALL STREET NO 25 WOOLGATE EXCHANGE L&amp;G FITOUT LONDON"/>
    <n v="2"/>
    <n v="0"/>
    <d v="2025-06-19T00:00:00"/>
    <x v="23"/>
  </r>
  <r>
    <s v="ORT-11613"/>
    <s v="C000419956"/>
    <s v="EMBERTON HOUSE OLYMPIA REDEVELOPMENT FIT-OUT LONDON"/>
    <n v="0"/>
    <n v="1"/>
    <d v="2025-06-19T00:00:00"/>
    <x v="23"/>
  </r>
  <r>
    <s v="ORT-11614"/>
    <m/>
    <s v="HOLDING SAINT MICHEL PARIS"/>
    <n v="0"/>
    <n v="1"/>
    <d v="2025-06-19T00:00:00"/>
    <x v="23"/>
  </r>
  <r>
    <s v="ORT-11615"/>
    <s v="CF00000539"/>
    <s v="CAMPUS ENGIE 2025"/>
    <n v="0"/>
    <n v="1"/>
    <d v="2025-06-19T00:00:00"/>
    <x v="23"/>
  </r>
  <r>
    <s v="ORT-11616"/>
    <s v="C000419967"/>
    <s v="BISHOPSGATE NO 8 FLOOR 33 STANHOPE FITOUT LONDON"/>
    <n v="0"/>
    <n v="1"/>
    <d v="2025-06-19T00:00:00"/>
    <x v="23"/>
  </r>
  <r>
    <s v="ORT-11617"/>
    <s v="C000419969"/>
    <s v="OPTIMA AMR DEVELOPMENT PROJECT"/>
    <n v="3"/>
    <n v="0"/>
    <d v="2025-06-19T00:00:00"/>
    <x v="23"/>
  </r>
  <r>
    <s v="ORT-11618"/>
    <s v="C000419972"/>
    <s v="JACK TURNBULL MISC TILE &amp; GRID 2025"/>
    <n v="4"/>
    <n v="0"/>
    <d v="2025-06-19T00:00:00"/>
    <x v="23"/>
  </r>
  <r>
    <s v="ORT-11619"/>
    <s v="C000419974"/>
    <s v="CANARY WHARF BANK STREET NO 12 LONDON"/>
    <n v="5"/>
    <n v="0"/>
    <d v="2025-06-19T00:00:00"/>
    <x v="23"/>
  </r>
  <r>
    <s v="ORT-11620"/>
    <s v="CF00000538"/>
    <s v="BOULEVARD HAUSSMANN 14 PARIS"/>
    <n v="0"/>
    <n v="1"/>
    <d v="2025-06-19T00:00:00"/>
    <x v="23"/>
  </r>
  <r>
    <s v="ORT-11621"/>
    <s v="CF00000540"/>
    <s v="BOULEVARD HAUSSMANN 14 PARIS"/>
    <n v="0"/>
    <n v="1"/>
    <d v="2025-06-19T00:00:00"/>
    <x v="23"/>
  </r>
  <r>
    <s v="ORT-11622"/>
    <s v="C000419978"/>
    <s v="KING STREET NO 55 6TH FLR CAT B MANCHESTER"/>
    <n v="0"/>
    <n v="1"/>
    <d v="2025-06-20T00:00:00"/>
    <x v="23"/>
  </r>
  <r>
    <s v="ORT-11623"/>
    <s v="C000419980"/>
    <s v="WORKPLACE INTERIORS MISC 2025"/>
    <n v="1"/>
    <n v="1"/>
    <d v="2025-06-20T00:00:00"/>
    <x v="23"/>
  </r>
  <r>
    <s v="ORT-11624"/>
    <s v="C000419981"/>
    <s v="EMBERTON HOUSE INSPIRED SCHOOLS CAT B OLYMPIA LONDON"/>
    <n v="6"/>
    <n v="0"/>
    <d v="2025-06-20T00:00:00"/>
    <x v="23"/>
  </r>
  <r>
    <s v="ORT-11625"/>
    <s v="C000419984"/>
    <s v="JACK TURNBULL MISC TILE &amp; GRID 2025"/>
    <n v="7"/>
    <n v="0"/>
    <d v="2025-06-20T00:00:00"/>
    <x v="23"/>
  </r>
  <r>
    <s v="ORT-11626"/>
    <s v="C000419985"/>
    <s v="UNKNOWN"/>
    <n v="0"/>
    <n v="1"/>
    <d v="2025-06-20T00:00:00"/>
    <x v="23"/>
  </r>
  <r>
    <s v="ORT-11628"/>
    <s v="C000419986"/>
    <s v="BASINGHALL AVENUE NO 1 STANDARD CHARTERED PH 2 LONDON"/>
    <n v="18"/>
    <n v="0"/>
    <d v="2025-06-21T00:00:00"/>
    <x v="24"/>
  </r>
  <r>
    <s v="ORT-11629"/>
    <s v="C000419987"/>
    <s v="ROPEMAKER STREET NO 20-22 LINKLATERS JOINERY FEATURE LONDON"/>
    <n v="1"/>
    <n v="1"/>
    <d v="2025-06-21T00:00:00"/>
    <x v="24"/>
  </r>
  <r>
    <s v="ORT-11630"/>
    <s v="C000419988"/>
    <s v="JACK TURNBULL MISC TILE &amp; GRID 2025"/>
    <n v="1"/>
    <n v="1"/>
    <d v="2025-06-21T00:00:00"/>
    <x v="24"/>
  </r>
  <r>
    <s v="ORT-11631"/>
    <s v="C000419989"/>
    <s v="WORKPLACE INTERIORS MISC 2025"/>
    <n v="1"/>
    <n v="1"/>
    <d v="2025-06-21T00:00:00"/>
    <x v="24"/>
  </r>
  <r>
    <s v="ORT-11632"/>
    <s v="C000419990"/>
    <s v="WESTFIELD AVENUE NO 1 NCA FIT OUT STRATFORD CITY"/>
    <n v="2"/>
    <n v="0"/>
    <d v="2025-06-21T00:00:00"/>
    <x v="24"/>
  </r>
  <r>
    <s v="ORT-11633"/>
    <s v="C000420001"/>
    <s v="PADDINGTON CENTRAL MICROSOFT FIT OUT FLOORS 5-6 LONDON"/>
    <n v="11"/>
    <n v="0"/>
    <d v="2025-06-23T00:00:00"/>
    <x v="24"/>
  </r>
  <r>
    <s v="ORT-11634"/>
    <s v="C000420002"/>
    <s v="THORN LIGHTING LTD 2025"/>
    <n v="1"/>
    <n v="1"/>
    <d v="2025-06-23T00:00:00"/>
    <x v="24"/>
  </r>
  <r>
    <s v="ORT-11635"/>
    <s v="C000420005"/>
    <s v="UNKNOWN"/>
    <n v="0"/>
    <n v="1"/>
    <d v="2025-06-23T00:00:00"/>
    <x v="24"/>
  </r>
  <r>
    <s v="ORT-11636"/>
    <s v="C000420007"/>
    <s v="HOLIDAY INN SOUTHAMPTON"/>
    <n v="1"/>
    <n v="1"/>
    <d v="2025-06-23T00:00:00"/>
    <x v="24"/>
  </r>
  <r>
    <s v="ORT-11637"/>
    <s v="C000420010"/>
    <s v="WORKPLACE INTERIORS MISC 2025"/>
    <n v="3"/>
    <n v="0"/>
    <d v="2025-06-23T00:00:00"/>
    <x v="24"/>
  </r>
  <r>
    <s v="ORT-11638"/>
    <s v="C000420012"/>
    <s v="MERCEDES LOOKERS SHOWROOM TONBRIDGE"/>
    <n v="3"/>
    <n v="0"/>
    <d v="2025-06-23T00:00:00"/>
    <x v="24"/>
  </r>
  <r>
    <s v="ORT-11639"/>
    <s v="C000420014"/>
    <s v="LAURISTON PLACE NO15 SKYSCANNER FITOUT EDINBURGH"/>
    <n v="4"/>
    <n v="0"/>
    <d v="2025-06-23T00:00:00"/>
    <x v="24"/>
  </r>
  <r>
    <s v="ORT-11640"/>
    <s v="C000420016"/>
    <s v="ARTHUR ROAD WINDSOR ONE IHG REFURB WINDSOR"/>
    <n v="2"/>
    <n v="0"/>
    <d v="2025-06-24T00:00:00"/>
    <x v="24"/>
  </r>
  <r>
    <s v="ORT-11641"/>
    <s v="C000420019"/>
    <s v="JOSE MALHOA 12 LISBON"/>
    <n v="0"/>
    <n v="1"/>
    <d v="2025-06-24T00:00:00"/>
    <x v="24"/>
  </r>
  <r>
    <s v="ORT-11642"/>
    <s v="C000420021"/>
    <s v="MANCHESTER SCIENCE PARK GREENHEYS PROJECT"/>
    <n v="0"/>
    <n v="1"/>
    <d v="2025-06-24T00:00:00"/>
    <x v="24"/>
  </r>
  <r>
    <s v="ORT-11643"/>
    <s v="CF00000541"/>
    <s v="COEUR AEROGARE MARSEILLE"/>
    <n v="0"/>
    <n v="1"/>
    <d v="2025-06-24T00:00:00"/>
    <x v="24"/>
  </r>
  <r>
    <s v="ORT-11644"/>
    <s v="C000420025"/>
    <s v="TURING COURT NO 1 CARECO HQ BRAINTREE"/>
    <n v="1"/>
    <n v="1"/>
    <d v="2025-06-24T00:00:00"/>
    <x v="24"/>
  </r>
  <r>
    <s v="ORT-11645"/>
    <s v="C000420027"/>
    <s v="VIRGIN MEDIA DATA CENTRE VM02 HARLOW ESSEX"/>
    <n v="1"/>
    <n v="1"/>
    <d v="2025-06-24T00:00:00"/>
    <x v="24"/>
  </r>
  <r>
    <s v="ORT-11646"/>
    <s v="C000420028"/>
    <s v="UNI OF CAMBRIDGE HUTCHINSON BUILDING REFURB"/>
    <n v="2"/>
    <n v="0"/>
    <d v="2025-06-24T00:00:00"/>
    <x v="24"/>
  </r>
  <r>
    <s v="ORT-11647"/>
    <s v="C000420031"/>
    <s v="WILTON ROAD NO 129 CAT A FLOORS 1-5 LONDON"/>
    <n v="1"/>
    <n v="1"/>
    <d v="2025-06-24T00:00:00"/>
    <x v="24"/>
  </r>
  <r>
    <s v="ORT-11648"/>
    <s v="C000417763"/>
    <m/>
    <n v="0"/>
    <n v="1"/>
    <d v="2025-06-24T00:00:00"/>
    <x v="24"/>
  </r>
  <r>
    <s v="ORT-11649"/>
    <s v="C000420035"/>
    <s v="CADWORKS FLOOR 5 FIT OUT GLASGOW"/>
    <n v="6"/>
    <n v="0"/>
    <d v="2025-06-24T00:00:00"/>
    <x v="24"/>
  </r>
  <r>
    <s v="ORT-11650"/>
    <s v="C000420042"/>
    <s v="LEADENHALL STREET NO 40 BROOKS MACDONALD FLR 8 LONDON"/>
    <n v="0"/>
    <n v="1"/>
    <d v="2025-06-24T00:00:00"/>
    <x v="24"/>
  </r>
  <r>
    <s v="ORT-11651"/>
    <s v="C000420051"/>
    <s v="CANADA LIFE FOURTH FLOOR FIT OUT BARBADOS"/>
    <n v="2"/>
    <n v="0"/>
    <d v="2025-06-24T00:00:00"/>
    <x v="24"/>
  </r>
  <r>
    <s v="ORT-11652"/>
    <s v="C000420053"/>
    <s v="NEW STREET SQUARE NO 5 TAYLOR WESSING REFURB LONDON"/>
    <n v="4"/>
    <n v="0"/>
    <d v="2025-06-24T00:00:00"/>
    <x v="24"/>
  </r>
  <r>
    <s v="ORT-11656"/>
    <s v="C000420058"/>
    <s v="ST GEORGE STREET NO 14 CAT A FLOOR 2 LIGHTING LONDON"/>
    <n v="0"/>
    <n v="1"/>
    <d v="2025-06-25T00:00:00"/>
    <x v="24"/>
  </r>
  <r>
    <s v="ORT-11657"/>
    <s v="C000420059"/>
    <s v="NEW BRIDGE STREET NO 100 CAT A+ LONDON"/>
    <n v="0"/>
    <n v="1"/>
    <d v="2025-06-25T00:00:00"/>
    <x v="24"/>
  </r>
  <r>
    <s v="ORT-11658"/>
    <s v="C000420061"/>
    <s v="ST MICHAELS TOWER FLRS 7 &amp; 8 MANCHESTER"/>
    <n v="5"/>
    <n v="0"/>
    <d v="2025-06-25T00:00:00"/>
    <x v="24"/>
  </r>
  <r>
    <s v="ORT-11659"/>
    <s v="C000420063"/>
    <s v="ARIMA OFFICES MADRID"/>
    <n v="0"/>
    <n v="1"/>
    <d v="2025-06-25T00:00:00"/>
    <x v="24"/>
  </r>
  <r>
    <s v="ORT-11660"/>
    <s v="C000420065"/>
    <s v="SALFORD CENTRAL PLOT C2 FOUR NEW BAILEY"/>
    <n v="2"/>
    <n v="0"/>
    <d v="2025-06-25T00:00:00"/>
    <x v="24"/>
  </r>
  <r>
    <s v="ORT-11661"/>
    <s v="C000420066"/>
    <s v="UNI OF SOUTHAMPTON B32 LABORATORY REFURB"/>
    <n v="2"/>
    <n v="0"/>
    <d v="2025-06-25T00:00:00"/>
    <x v="24"/>
  </r>
  <r>
    <s v="ORT-11662"/>
    <s v="C000420070"/>
    <s v="ELMFIELD ROAD NO 26 LOBBY AREA BROMLEY"/>
    <n v="0"/>
    <n v="1"/>
    <d v="2025-06-25T00:00:00"/>
    <x v="24"/>
  </r>
  <r>
    <s v="ORT-11663"/>
    <s v="C000420072"/>
    <s v="IMO BUILDING ALBERT EMBANKMENT NO 4 REFURB LONDON"/>
    <n v="3"/>
    <n v="0"/>
    <d v="2025-06-25T00:00:00"/>
    <x v="24"/>
  </r>
  <r>
    <s v="ORT-11664"/>
    <s v="C000420073"/>
    <s v="BRIXTON RECREATION CENTRE STATION ROAD NO 27 REFURB LONDON"/>
    <n v="4"/>
    <n v="0"/>
    <d v="2025-06-25T00:00:00"/>
    <x v="24"/>
  </r>
  <r>
    <s v="ORT-11665"/>
    <s v="C000420074"/>
    <s v="MANCHESTER AIRPORT PIER 2 PHASE 2 CELINGS"/>
    <n v="1"/>
    <n v="1"/>
    <d v="2025-06-25T00:00:00"/>
    <x v="24"/>
  </r>
  <r>
    <s v="ORT-11666"/>
    <s v="C000420075"/>
    <s v="BATTERSEA POWER STATION APPLE FITOUT FLRS 2 &amp; 3 LONDON"/>
    <n v="0"/>
    <n v="1"/>
    <d v="2025-06-25T00:00:00"/>
    <x v="24"/>
  </r>
  <r>
    <s v="ORT-11667"/>
    <s v="C000420077"/>
    <s v="IKEA MILTON KEYNES"/>
    <n v="1"/>
    <n v="1"/>
    <d v="2025-06-25T00:00:00"/>
    <x v="24"/>
  </r>
  <r>
    <s v="ORT-11668"/>
    <s v="C000420080"/>
    <s v="02034 CADDELL ADDITIONAL SCOPE"/>
    <n v="0"/>
    <n v="1"/>
    <d v="2025-06-25T00:00:00"/>
    <x v="24"/>
  </r>
  <r>
    <s v="ORT-11669"/>
    <s v="C000420081"/>
    <s v="THE POINT BUILDING MARKET STREET MAERSK CAT A MAIDENHEAD"/>
    <n v="1"/>
    <n v="1"/>
    <d v="2025-06-25T00:00:00"/>
    <x v="24"/>
  </r>
  <r>
    <s v="ORT-11670"/>
    <s v="C000420084"/>
    <s v="BISHOPSGATE NO 201 BROADGATE TOWER FLRS 12-13,17,19 &amp; 29-33"/>
    <n v="12"/>
    <n v="0"/>
    <d v="2025-06-25T00:00:00"/>
    <x v="24"/>
  </r>
  <r>
    <s v="ORT-11671"/>
    <s v="C000420087"/>
    <s v="ONE EASTSIDE TOWER A SKYLOUNGE BIRMINGHAM"/>
    <n v="0"/>
    <n v="1"/>
    <d v="2025-06-25T00:00:00"/>
    <x v="24"/>
  </r>
  <r>
    <s v="ORT-11673"/>
    <s v="C000420093"/>
    <s v="SAINSBURYS REFURBISHMENT TONBRIDGE"/>
    <n v="5"/>
    <n v="0"/>
    <d v="2025-06-26T00:00:00"/>
    <x v="24"/>
  </r>
  <r>
    <s v="ORT-11674"/>
    <s v="C000420094"/>
    <s v="BROOKFIELD SCHOOL HEREFORD"/>
    <n v="0"/>
    <n v="1"/>
    <d v="2025-06-26T00:00:00"/>
    <x v="24"/>
  </r>
  <r>
    <s v="ORT-11675"/>
    <s v="C000420098"/>
    <s v="ARIMA OFFICES MADRID"/>
    <n v="0"/>
    <n v="1"/>
    <d v="2025-06-26T00:00:00"/>
    <x v="24"/>
  </r>
  <r>
    <s v="ORT-11676"/>
    <s v="C000420100"/>
    <s v="SCOTLAND &amp; NORTH EAST MISC 2025"/>
    <n v="0"/>
    <n v="1"/>
    <d v="2025-06-26T00:00:00"/>
    <x v="24"/>
  </r>
  <r>
    <s v="ORT-11677"/>
    <s v="C000420107"/>
    <s v="PORSCHE SHOWROOM EXETER"/>
    <n v="0"/>
    <n v="1"/>
    <d v="2025-06-26T00:00:00"/>
    <x v="24"/>
  </r>
  <r>
    <s v="ORT-11678"/>
    <s v="C000420118"/>
    <s v="ST MICHAELS TOWER FLRS 7 &amp; 8 MANCHESTER"/>
    <n v="4"/>
    <n v="0"/>
    <d v="2025-06-26T00:00:00"/>
    <x v="24"/>
  </r>
  <r>
    <s v="ORT-11681"/>
    <s v="C000420129"/>
    <s v="PROJECT P MILLBANK LONDON"/>
    <n v="1"/>
    <n v="1"/>
    <d v="2025-06-27T00:00:00"/>
    <x v="24"/>
  </r>
  <r>
    <s v="ORT-11682"/>
    <s v="C000420122"/>
    <s v="GRESHAM STREET NO 30 INVESTEC LEVEL 6 LONDON"/>
    <n v="0"/>
    <n v="1"/>
    <d v="2025-06-27T00:00:00"/>
    <x v="24"/>
  </r>
  <r>
    <s v="ORT-11683"/>
    <s v="C000420123"/>
    <s v="CENTRAL BANK OF IRAQ HEADQUARTERS BAGHDAD"/>
    <n v="1"/>
    <n v="1"/>
    <d v="2025-06-27T00:00:00"/>
    <x v="24"/>
  </r>
  <r>
    <s v="ORT-11684"/>
    <s v="C000420125"/>
    <s v="WITAN GATE HOUSE REFURB PHASE 2 LIFT LOBBY MILTON KEYNES"/>
    <n v="0"/>
    <n v="1"/>
    <d v="2025-06-27T00:00:00"/>
    <x v="24"/>
  </r>
  <r>
    <s v="ORT-11685"/>
    <s v="C000420130"/>
    <s v="NDA - PWC LAYSEN VALLEY RIYADH OFFICE FIT OUT"/>
    <n v="0"/>
    <n v="1"/>
    <d v="2025-06-27T00:00:00"/>
    <x v="24"/>
  </r>
  <r>
    <s v="ORT-11686"/>
    <s v="C000420143"/>
    <s v="BASINGHALL AVENUE NO 1 GROUND &amp; 5-10 REFURB LONDON"/>
    <n v="0"/>
    <n v="1"/>
    <d v="2025-06-27T00:00:00"/>
    <x v="24"/>
  </r>
  <r>
    <s v="ORT-11687"/>
    <s v="C000420148"/>
    <s v="KING WILLIAM STREET NO 45 REGIS HOUSE FLRS 1 &amp; 5-7 LONDON"/>
    <n v="0"/>
    <n v="1"/>
    <d v="2025-06-27T00:00:00"/>
    <x v="24"/>
  </r>
  <r>
    <s v="ORT-11688"/>
    <s v="C000420150"/>
    <s v="NTT DATA CENTRE LON1-B DAGENHAM BOH"/>
    <n v="0"/>
    <n v="1"/>
    <d v="2025-06-27T00:00:00"/>
    <x v="24"/>
  </r>
  <r>
    <s v="ORT-11689"/>
    <s v="C000420149"/>
    <s v="WORKPLACE INTERIORS MISC 2025"/>
    <n v="0"/>
    <n v="1"/>
    <d v="2025-06-27T00:00:00"/>
    <x v="24"/>
  </r>
  <r>
    <s v="ORT-11690"/>
    <s v="C000420153"/>
    <s v="OLD BAILEY NO 10 CAT A REFURB FLOOR 1 LONDON"/>
    <n v="1"/>
    <n v="1"/>
    <d v="2025-06-27T00:00:00"/>
    <x v="24"/>
  </r>
  <r>
    <s v="ORT-11691"/>
    <s v="C000420155"/>
    <s v="ST MICHAELS TOWER FLRS 7 &amp; 8 MANCHESTER"/>
    <n v="0"/>
    <n v="1"/>
    <d v="2025-06-27T00:00:00"/>
    <x v="24"/>
  </r>
  <r>
    <s v="ORT-11692"/>
    <s v="C000420157"/>
    <s v="L.-ILLA BY RENTAMAR BARCELONA"/>
    <n v="0"/>
    <n v="1"/>
    <d v="2025-06-27T00:00:00"/>
    <x v="24"/>
  </r>
  <r>
    <s v="ORT-11693"/>
    <s v="C000420159"/>
    <s v="OXFORD SCIENCE PARK SCHRODINGER BUILDING"/>
    <n v="1"/>
    <n v="1"/>
    <d v="2025-06-27T00:00:00"/>
    <x v="24"/>
  </r>
  <r>
    <s v="ORT-11694"/>
    <s v="CF00000544"/>
    <s v="AVENUE RAYMOND POINCARE 34 PARIS"/>
    <n v="1"/>
    <n v="1"/>
    <d v="2025-06-27T00:00:00"/>
    <x v="24"/>
  </r>
  <r>
    <s v="ORT-11695"/>
    <s v="C000420154"/>
    <s v="SPTS CELTIC LAKES FIT OUT PHASE 2 NEWPORT WALES"/>
    <n v="0"/>
    <n v="1"/>
    <d v="2025-06-27T00:00:00"/>
    <x v="24"/>
  </r>
  <r>
    <s v="ORT-11696"/>
    <s v="C000420163"/>
    <s v="MOORFIELDS NO 21 THE GLACIER CAT B DEUTSCHE BANK LONDON"/>
    <n v="0"/>
    <n v="1"/>
    <d v="2025-06-27T00:00:00"/>
    <x v="24"/>
  </r>
  <r>
    <s v="ORT-11697"/>
    <s v="C000420164"/>
    <s v="WORKPLACE INTERIORS MISC 2025"/>
    <n v="0"/>
    <n v="1"/>
    <d v="2025-06-27T00:00:00"/>
    <x v="24"/>
  </r>
  <r>
    <s v="ORT-11698"/>
    <s v="C000420168"/>
    <s v="THE STAGE SHOREDITCH BARD &amp; HEWETT AMAZON FIT OUT LONDON"/>
    <n v="6"/>
    <n v="0"/>
    <d v="2025-06-30T00:00:00"/>
    <x v="25"/>
  </r>
  <r>
    <s v="ORT-11699"/>
    <s v="C000420170"/>
    <s v="THE STAGE SHOREDITCH BARD &amp; HEWETT AMAZON FIT OUT LONDON"/>
    <n v="0"/>
    <n v="1"/>
    <d v="2025-06-30T00:00:00"/>
    <x v="25"/>
  </r>
  <r>
    <s v="ORT-11700"/>
    <s v="C000420171"/>
    <s v="THE STAGE SHOREDITCH BARD &amp; HEWETT AMAZON FIT OUT LONDON"/>
    <n v="1"/>
    <n v="1"/>
    <d v="2025-06-30T00:00:00"/>
    <x v="25"/>
  </r>
  <r>
    <s v="ORT-11701"/>
    <s v="C000420172"/>
    <s v="NEWGATE STREET NO 7 CAT B MOJ REFURB LONDON"/>
    <n v="0"/>
    <n v="1"/>
    <d v="2025-06-30T00:00:00"/>
    <x v="25"/>
  </r>
  <r>
    <s v="ORT-11702"/>
    <s v="C000420174"/>
    <s v="CAPABILITY GREEN NO 400 FLOOR 2 REFURB PHASE 2 LUTON"/>
    <n v="0"/>
    <n v="1"/>
    <d v="2025-06-30T00:00:00"/>
    <x v="25"/>
  </r>
  <r>
    <s v="ORT-11703"/>
    <s v="C000420178"/>
    <s v="HIGH HOLBORN NO 90 FLR 3 QUINN EMANUEL LONDON"/>
    <n v="3"/>
    <n v="0"/>
    <d v="2025-06-30T00:00:00"/>
    <x v="25"/>
  </r>
  <r>
    <s v="ORT-11704"/>
    <s v="C000420190"/>
    <s v="PORTLAND HOUSE BRESSENDEN PLACE LONDON"/>
    <n v="0"/>
    <n v="1"/>
    <d v="2025-06-30T00:00:00"/>
    <x v="25"/>
  </r>
  <r>
    <s v="ORT-11705"/>
    <s v="C000420191"/>
    <s v="PORTLAND HOUSE BRESSENDEN PLACE LONDON"/>
    <n v="2"/>
    <n v="0"/>
    <d v="2025-06-30T00:00:00"/>
    <x v="25"/>
  </r>
  <r>
    <s v="ORT-11706"/>
    <s v="C000420192"/>
    <s v="PORTLAND HOUSE BRESSENDEN PLACE LONDON"/>
    <n v="2"/>
    <n v="0"/>
    <d v="2025-06-30T00:00:00"/>
    <x v="25"/>
  </r>
  <r>
    <s v="ORT-11707"/>
    <s v="C000420193"/>
    <s v="PORTLAND HOUSE BRESSENDEN PLACE LONDON"/>
    <n v="2"/>
    <n v="0"/>
    <d v="2025-06-30T00:00:00"/>
    <x v="25"/>
  </r>
  <r>
    <s v="ORT-11708"/>
    <s v="C000420194"/>
    <s v="PORTLAND HOUSE BRESSENDEN PLACE LONDON"/>
    <n v="2"/>
    <n v="0"/>
    <d v="2025-06-30T00:00:00"/>
    <x v="25"/>
  </r>
  <r>
    <s v="ORT-11709"/>
    <s v="C000420195"/>
    <s v="PORTLAND HOUSE BRESSENDEN PLACE LONDON"/>
    <n v="2"/>
    <n v="0"/>
    <d v="2025-06-30T00:00:00"/>
    <x v="25"/>
  </r>
  <r>
    <s v="ORT-11710"/>
    <s v="C000420196"/>
    <s v="PORTLAND HOUSE BRESSENDEN PLACE LONDON"/>
    <n v="2"/>
    <n v="0"/>
    <d v="2025-06-30T00:00:00"/>
    <x v="25"/>
  </r>
  <r>
    <s v="ORT-11711"/>
    <s v="CF00000545"/>
    <s v="GPE - SAINT MAUR CRETEIL STATION"/>
    <n v="3"/>
    <n v="0"/>
    <d v="2025-06-30T00:00:00"/>
    <x v="25"/>
  </r>
  <r>
    <s v="ORT-11712"/>
    <s v="C000420201"/>
    <s v="LEADENHALL STREET NO 40 KIRKLAND &amp; ELLIS FLRS 15-34 LONDON"/>
    <n v="2"/>
    <n v="0"/>
    <d v="2025-06-30T00:00:00"/>
    <x v="25"/>
  </r>
  <r>
    <s v="ORT-11713"/>
    <s v="C000420204"/>
    <s v="OXFORD STREET NO 334-348 S&amp;C / LOBBIES LONDON"/>
    <n v="1"/>
    <n v="1"/>
    <d v="2025-06-30T00:00:00"/>
    <x v="25"/>
  </r>
  <r>
    <s v="ORT-11714"/>
    <s v="C000420207"/>
    <s v="CITY POINT 2ND FLR HAYMARKET TERRACE NO 65 EDINBURGH"/>
    <n v="1"/>
    <n v="1"/>
    <d v="2025-06-30T00:00:00"/>
    <x v="25"/>
  </r>
  <r>
    <s v="ORT-11715"/>
    <s v="C000420208"/>
    <s v="MORE LONDON NO 6 CAT A LONDON"/>
    <n v="0"/>
    <n v="1"/>
    <d v="2025-07-01T00:00:00"/>
    <x v="25"/>
  </r>
  <r>
    <s v="ORT-11716"/>
    <s v="C000420209"/>
    <s v="STONECUTTER COURT CAT B TRAVERS SMITH LONDON"/>
    <n v="0"/>
    <n v="1"/>
    <d v="2025-07-01T00:00:00"/>
    <x v="25"/>
  </r>
  <r>
    <s v="ORT-11717"/>
    <s v="C000420210"/>
    <s v="THE OXFORD SCIENCE PARK PLOTS NO 23-26 OXFORD"/>
    <n v="0"/>
    <n v="1"/>
    <d v="2025-07-01T00:00:00"/>
    <x v="25"/>
  </r>
  <r>
    <s v="ORT-11718"/>
    <s v="C000420213"/>
    <s v="VICTORIA STREET NO 105 LIFT LOBBIES LONDON"/>
    <n v="0"/>
    <n v="1"/>
    <d v="2025-07-01T00:00:00"/>
    <x v="25"/>
  </r>
  <r>
    <s v="ORT-11719"/>
    <s v="C000420216"/>
    <s v="UNKNOWN"/>
    <n v="0"/>
    <n v="1"/>
    <d v="2025-07-01T00:00:00"/>
    <x v="25"/>
  </r>
  <r>
    <s v="ORT-11720"/>
    <s v="C000420217"/>
    <s v="OLD BROAD STREET NO 125 FLR 21 REFURB LONDON"/>
    <n v="0"/>
    <n v="1"/>
    <d v="2025-07-01T00:00:00"/>
    <x v="25"/>
  </r>
  <r>
    <s v="ORT-11721"/>
    <s v="C000420221"/>
    <s v="MANCHESTER SCIENCE PARK GREENHEYS PROJECT"/>
    <n v="0"/>
    <n v="1"/>
    <d v="2025-07-01T00:00:00"/>
    <x v="25"/>
  </r>
  <r>
    <s v="ORT-11722"/>
    <s v="C000420223"/>
    <s v="VICTORIA HOUSE BLOOMSBURY SQUARE LONDON"/>
    <n v="0"/>
    <n v="1"/>
    <d v="2025-07-01T00:00:00"/>
    <x v="25"/>
  </r>
  <r>
    <s v="ORT-11723"/>
    <s v="C000420225"/>
    <s v="WORKPLACE INTERIORS MISC 2025"/>
    <n v="0"/>
    <n v="1"/>
    <d v="2025-07-01T00:00:00"/>
    <x v="25"/>
  </r>
  <r>
    <s v="ORT-11725"/>
    <s v="C000420232"/>
    <s v="PORSCHE SHOWROOM EXETER"/>
    <n v="0"/>
    <n v="1"/>
    <d v="2025-07-01T00:00:00"/>
    <x v="25"/>
  </r>
  <r>
    <s v="ORT-11726"/>
    <s v="C000420236"/>
    <s v="QUEENSFERRY STREET NO 1-8 HOTEL EDINBURGH"/>
    <n v="1"/>
    <n v="1"/>
    <d v="2025-07-01T00:00:00"/>
    <x v="25"/>
  </r>
  <r>
    <s v="ORT-11727"/>
    <s v="C000420237"/>
    <s v="QUEEN VICTORIA STREET NO 160 FLR 2 LONDON"/>
    <n v="0"/>
    <n v="1"/>
    <d v="2025-07-01T00:00:00"/>
    <x v="25"/>
  </r>
  <r>
    <s v="ORT-11728"/>
    <s v="C000420242"/>
    <s v="MUSEO BELLAS ARTES BILBAO"/>
    <n v="2"/>
    <n v="0"/>
    <d v="2025-07-02T00:00:00"/>
    <x v="25"/>
  </r>
  <r>
    <s v="ORT-11729"/>
    <s v="C000420243"/>
    <s v="SAMPLE ROOM READING"/>
    <n v="0"/>
    <n v="1"/>
    <d v="2025-07-02T00:00:00"/>
    <x v="25"/>
  </r>
  <r>
    <s v="ORT-11730"/>
    <m/>
    <s v="WILLEN HOUSE BATH STREET NO 8-26 LONDON"/>
    <n v="0"/>
    <n v="1"/>
    <d v="2025-07-02T00:00:00"/>
    <x v="25"/>
  </r>
  <r>
    <s v="ORT-11731"/>
    <s v="C000420248"/>
    <s v="IPSWICH TOWN FOOTBALL CLUB LEVEL 2 LOUNGE"/>
    <n v="0"/>
    <n v="1"/>
    <d v="2025-07-02T00:00:00"/>
    <x v="25"/>
  </r>
  <r>
    <s v="ORT-11732"/>
    <s v="C000420249"/>
    <s v="BUCKINGHAM PALACE ROAD NO 123-151 SKYHUB HARTREE LONDON"/>
    <n v="0"/>
    <n v="1"/>
    <d v="2025-07-02T00:00:00"/>
    <x v="25"/>
  </r>
  <r>
    <s v="ORT-11733"/>
    <s v="C000420250"/>
    <s v="PORTMAN SQUARE NO 40 LEVEL 1-3 CPPIB FIT OUT LONDON"/>
    <n v="1"/>
    <n v="1"/>
    <d v="2025-07-02T00:00:00"/>
    <x v="25"/>
  </r>
  <r>
    <s v="ORT-11734"/>
    <s v="C000420256"/>
    <s v="MANSION HOUSE REFURB WALBROOK LONDON"/>
    <n v="0"/>
    <n v="1"/>
    <d v="2025-07-02T00:00:00"/>
    <x v="25"/>
  </r>
  <r>
    <s v="ORT-11735"/>
    <s v="C000420260"/>
    <s v="REPSOL 2026 PLAN MADRID"/>
    <n v="0"/>
    <n v="1"/>
    <d v="2025-07-02T00:00:00"/>
    <x v="25"/>
  </r>
  <r>
    <s v="ORT-11736"/>
    <s v="C000420262"/>
    <s v="UNI OF LIVERPOOL WATERHOUSE BUILDING"/>
    <n v="1"/>
    <n v="1"/>
    <d v="2025-07-02T00:00:00"/>
    <x v="25"/>
  </r>
  <r>
    <s v="ORT-11737"/>
    <s v="C000420279"/>
    <s v="GRESHAM STREET NO 20 CAT A REFURB LONDON"/>
    <n v="7"/>
    <n v="0"/>
    <d v="2025-07-03T00:00:00"/>
    <x v="25"/>
  </r>
  <r>
    <s v="ORT-11738"/>
    <s v="C000420282"/>
    <s v="WARNER MUSIC UK WRIGHTS LANE NO 27 LONDON"/>
    <n v="0"/>
    <n v="1"/>
    <d v="2025-07-03T00:00:00"/>
    <x v="25"/>
  </r>
  <r>
    <s v="ORT-11739"/>
    <s v="C000420283"/>
    <s v="EVERTON FC BRAMLEY MOORE DOCK STADIUM FEATURES LIVERPOOL"/>
    <n v="3"/>
    <n v="0"/>
    <d v="2025-07-03T00:00:00"/>
    <x v="25"/>
  </r>
  <r>
    <s v="ORT-11740"/>
    <s v="C000420301"/>
    <s v="KFC MISC 2025"/>
    <n v="2"/>
    <n v="0"/>
    <d v="2025-07-03T00:00:00"/>
    <x v="25"/>
  </r>
  <r>
    <s v="ORT-11741"/>
    <s v="C000420304"/>
    <s v="NDA - JP MORGAN AL FAISALIYAH TOWER RIYADH KSA"/>
    <n v="5"/>
    <n v="0"/>
    <d v="2025-07-03T00:00:00"/>
    <x v="25"/>
  </r>
  <r>
    <s v="ORT-11742"/>
    <s v="C000420308"/>
    <s v="DASHWOOD LANG ROAD GROUND FLOOR REFURB ADDLESTONE"/>
    <n v="12"/>
    <n v="0"/>
    <d v="2025-07-03T00:00:00"/>
    <x v="25"/>
  </r>
  <r>
    <s v="ORT-11743"/>
    <s v="C000420310"/>
    <s v="THE POINT BUILDING MARKET STREET MAERSK CAT A MAIDENHEAD"/>
    <n v="8"/>
    <n v="0"/>
    <d v="2025-07-03T00:00:00"/>
    <x v="25"/>
  </r>
  <r>
    <s v="ORT-11744"/>
    <s v="C000420312"/>
    <s v="THE POINT BUILDING MARKET STREET MAERSK CAT A MAIDENHEAD"/>
    <n v="8"/>
    <n v="0"/>
    <d v="2025-07-03T00:00:00"/>
    <x v="25"/>
  </r>
  <r>
    <s v="ORT-11745"/>
    <m/>
    <s v="IMMERSIVE TOWER DIFC COMMERCIAL OFFICE DEVT DUBAI"/>
    <n v="0"/>
    <n v="1"/>
    <d v="2025-07-03T00:00:00"/>
    <x v="25"/>
  </r>
  <r>
    <s v="ORT-11746"/>
    <s v="C000420314"/>
    <s v="LONDON WALL PLACE NO 2 LEVEL 4 LOGITECH FIT OUT LONDON"/>
    <n v="2"/>
    <n v="0"/>
    <d v="2025-07-04T00:00:00"/>
    <x v="25"/>
  </r>
  <r>
    <s v="ORT-11747"/>
    <s v="C000420321"/>
    <s v="EURSHELL MISC TILE &amp; GRID 2025"/>
    <n v="1"/>
    <n v="1"/>
    <d v="2025-07-04T00:00:00"/>
    <x v="25"/>
  </r>
  <r>
    <s v="ORT-11748"/>
    <s v="C000420323"/>
    <s v="PUBLIC WCS FIT OUT PARLIAMENT STREET WESTMINSTER LONDON"/>
    <n v="0"/>
    <n v="1"/>
    <d v="2025-07-04T00:00:00"/>
    <x v="25"/>
  </r>
  <r>
    <s v="ORT-11749"/>
    <s v="C000420325"/>
    <s v="CENTRAL SQUARE WELLING STREET NO 29 FREETHS PH2 LEEDS"/>
    <n v="0"/>
    <n v="1"/>
    <d v="2025-07-04T00:00:00"/>
    <x v="25"/>
  </r>
  <r>
    <s v="ORT-11750"/>
    <s v="C000420327"/>
    <s v="CITY OF LONDON SCHOOL FOR GIRLS SUMMER 2025 WORKS BARBICAN"/>
    <n v="2"/>
    <n v="0"/>
    <d v="2025-07-04T00:00:00"/>
    <x v="25"/>
  </r>
  <r>
    <s v="ORT-11751"/>
    <s v="C000420331"/>
    <s v="EURSHELL MISC TILE &amp; GRID 2025"/>
    <n v="0"/>
    <n v="1"/>
    <d v="2025-07-04T00:00:00"/>
    <x v="25"/>
  </r>
  <r>
    <s v="ORT-11752"/>
    <m/>
    <s v="WARNER MUSIC UK WRIGHTS LANE NO 27 LONDON"/>
    <n v="57"/>
    <n v="0"/>
    <d v="2025-07-04T00:00:00"/>
    <x v="25"/>
  </r>
  <r>
    <s v="ORT-11753"/>
    <s v="C000420340"/>
    <s v="WINCHESTER COLLEGE BOARDING AND SPORTS FACILITIES"/>
    <n v="0"/>
    <n v="1"/>
    <d v="2025-07-07T00:00:00"/>
    <x v="26"/>
  </r>
  <r>
    <s v="ORT-11754"/>
    <s v="C000420341"/>
    <s v="EDEN CAMPUS UNILEVER CAT B KINGSTON"/>
    <n v="4"/>
    <n v="0"/>
    <d v="2025-07-07T00:00:00"/>
    <x v="26"/>
  </r>
  <r>
    <s v="ORT-11755"/>
    <s v="C000420345"/>
    <s v="EVERTON FC BRAMLEY MOORE DOCK STADIUM FEATURES LIVERPOOL"/>
    <n v="6"/>
    <n v="0"/>
    <d v="2025-07-07T00:00:00"/>
    <x v="26"/>
  </r>
  <r>
    <s v="ORT-11756"/>
    <s v="C000420347"/>
    <s v="BERKHAMSTED GOLF CLUB FABRIC RAFTS"/>
    <n v="0"/>
    <n v="1"/>
    <d v="2025-07-07T00:00:00"/>
    <x v="26"/>
  </r>
  <r>
    <s v="ORT-11757"/>
    <s v="C000420339"/>
    <s v="BISHOPSGATE NO 199 CAT B FLR 9 CROWELL MORING LONDON"/>
    <n v="1"/>
    <n v="1"/>
    <d v="2025-07-07T00:00:00"/>
    <x v="26"/>
  </r>
  <r>
    <s v="ORT-11758"/>
    <s v="C000420348"/>
    <s v="GLOBE HOUSE TEMPLE PLACE NO 4 REFURB LONDON"/>
    <n v="1"/>
    <n v="1"/>
    <d v="2025-07-07T00:00:00"/>
    <x v="26"/>
  </r>
  <r>
    <s v="ORT-11759"/>
    <s v="C000420354"/>
    <s v="OSNEY POWER STATION SAID BUSINESS SCHOOL OXFORD"/>
    <n v="1"/>
    <n v="1"/>
    <d v="2025-07-07T00:00:00"/>
    <x v="26"/>
  </r>
  <r>
    <s v="ORT-11760"/>
    <s v="C000420355"/>
    <s v="CITY CENTER MIRDIF CCMI CITY KITCHEN WALL PANEL DUBAI"/>
    <n v="0"/>
    <n v="1"/>
    <d v="2025-07-07T00:00:00"/>
    <x v="26"/>
  </r>
  <r>
    <s v="ORT-11761"/>
    <s v="C000420359"/>
    <s v="ST GEORGES HOSPITAL REFURB LONDON"/>
    <n v="0"/>
    <n v="1"/>
    <d v="2025-07-08T00:00:00"/>
    <x v="26"/>
  </r>
  <r>
    <s v="ORT-11762"/>
    <s v="C000420363"/>
    <s v="GRESHAM STREET NO 10 REMEDIAL LONDON"/>
    <n v="0"/>
    <n v="1"/>
    <d v="2025-07-08T00:00:00"/>
    <x v="26"/>
  </r>
  <r>
    <s v="ORT-11763"/>
    <s v="C000420364"/>
    <s v="WILTON ROAD NO 129 CAT A FLOORS 1-5 LONDON"/>
    <n v="0"/>
    <n v="1"/>
    <d v="2025-07-08T00:00:00"/>
    <x v="26"/>
  </r>
  <r>
    <s v="ORT-11764"/>
    <s v="C000420365"/>
    <s v="LEADENHALL STREET NO 40 SOMPO FLRS 5-6 LONDON"/>
    <n v="0"/>
    <n v="1"/>
    <d v="2025-07-08T00:00:00"/>
    <x v="26"/>
  </r>
  <r>
    <s v="ORT-11765"/>
    <s v="C000420366"/>
    <s v="THE GRANGE BISHOPS CLEEVE CHELTENHAM"/>
    <n v="5"/>
    <n v="0"/>
    <d v="2025-07-08T00:00:00"/>
    <x v="26"/>
  </r>
  <r>
    <s v="ORT-11766"/>
    <s v="C000420369"/>
    <s v="MANCHESTER AIRPORT T1 STAFF CHANNEL"/>
    <n v="1"/>
    <n v="1"/>
    <d v="2025-07-08T00:00:00"/>
    <x v="26"/>
  </r>
  <r>
    <s v="ORT-11767"/>
    <s v="C000420374"/>
    <s v="UCB PHARMA COLLABORATION HUB WINDLESHAM CAMPUS SURREY"/>
    <n v="5"/>
    <n v="0"/>
    <d v="2025-07-08T00:00:00"/>
    <x v="26"/>
  </r>
  <r>
    <s v="ORT-11768"/>
    <s v="C000420375"/>
    <s v="BOWMER &amp; KIRKLAND HQ REFURB HEAGE BELPER"/>
    <n v="6"/>
    <n v="0"/>
    <d v="2025-07-08T00:00:00"/>
    <x v="26"/>
  </r>
  <r>
    <s v="ORT-11770"/>
    <s v="C000420383"/>
    <s v="MANCHESTER AIRPORT T2 EAST WING NEW DEVELOPMENT"/>
    <n v="0"/>
    <n v="1"/>
    <d v="2025-07-08T00:00:00"/>
    <x v="26"/>
  </r>
  <r>
    <s v="ORT-11771"/>
    <s v="C000420384"/>
    <s v="CENTRAL BANK OF IRAQ HEADQUARTERS BAGHDAD"/>
    <n v="7"/>
    <n v="0"/>
    <d v="2025-07-08T00:00:00"/>
    <x v="26"/>
  </r>
  <r>
    <s v="ORT-11772"/>
    <s v="C000420395"/>
    <s v="HERON TOWER BISHOPSGATE NO 110 FLR 3 &amp; 4 REFURB LONDON"/>
    <n v="8"/>
    <n v="0"/>
    <d v="2025-07-09T00:00:00"/>
    <x v="26"/>
  </r>
  <r>
    <s v="ORT-11773"/>
    <s v="C000420396"/>
    <s v="NEW STREET SQUARE NO 5 TAYLOR WESSING REFURB LONDON"/>
    <n v="8"/>
    <n v="0"/>
    <d v="2025-07-09T00:00:00"/>
    <x v="26"/>
  </r>
  <r>
    <s v="ORT-11774"/>
    <s v="C000420397"/>
    <s v="HERON TOWER NO 110 BISHOPSGATE TRADITION FLOORS 8-10 LONDON"/>
    <n v="0"/>
    <n v="1"/>
    <d v="2025-07-09T00:00:00"/>
    <x v="26"/>
  </r>
  <r>
    <s v="ORT-11775"/>
    <s v="C000420398"/>
    <s v="KHAZNA AUH4 DATA CENTER &amp; SERVICE BLDG AL MAFRAQ AUH"/>
    <n v="0"/>
    <n v="1"/>
    <d v="2025-07-09T00:00:00"/>
    <x v="26"/>
  </r>
  <r>
    <s v="ORT-11776"/>
    <s v="C000420400"/>
    <s v="DORKING OFFICE PARK NO 7 STONEBRIDGE HOUSE LIGHTING"/>
    <n v="4"/>
    <n v="0"/>
    <d v="2025-07-09T00:00:00"/>
    <x v="26"/>
  </r>
  <r>
    <s v="ORT-11777"/>
    <s v="C000420406"/>
    <s v="DIAMOND LIGHT SOURCE DEB EXTENSIONS DIDCOT"/>
    <n v="3"/>
    <n v="0"/>
    <d v="2025-07-09T00:00:00"/>
    <x v="26"/>
  </r>
  <r>
    <s v="ORT-11778"/>
    <s v="C000420407"/>
    <s v="PADDINGTON CENTRAL KINGDOM ST NO 1 FLRS 1,6,8 EQUINOR LONDON"/>
    <n v="4"/>
    <n v="0"/>
    <d v="2025-07-09T00:00:00"/>
    <x v="26"/>
  </r>
  <r>
    <s v="ORT-11779"/>
    <s v="C000420408"/>
    <s v="UCB FARCHIM"/>
    <n v="0"/>
    <n v="1"/>
    <d v="2025-07-09T00:00:00"/>
    <x v="26"/>
  </r>
  <r>
    <s v="ORT-11780"/>
    <s v="C000420414"/>
    <s v="LEADENHALL STREET NO 40 KIRKLAND &amp; ELLIS FLRS 15-34 LONDON"/>
    <n v="2"/>
    <n v="0"/>
    <d v="2025-07-09T00:00:00"/>
    <x v="26"/>
  </r>
  <r>
    <s v="ORT-11781"/>
    <s v="C000420416"/>
    <s v="LEADENHALL STREET NO 40 KIRKLAND &amp; ELLIS FLRS 15-34 LONDON"/>
    <n v="0"/>
    <n v="1"/>
    <d v="2025-07-09T00:00:00"/>
    <x v="26"/>
  </r>
  <r>
    <s v="ORT-11782"/>
    <s v="C000420417"/>
    <s v="CANARY WHARF WOOD WHARF B2 LIFT LOBBIES LONDON"/>
    <n v="0"/>
    <n v="1"/>
    <d v="2025-07-09T00:00:00"/>
    <x v="26"/>
  </r>
  <r>
    <s v="ORT-11785"/>
    <s v="C000420425"/>
    <s v="LIVERPOOL STREET NO 1 &amp; BLOMFIELD STREET S&amp;C LONDON"/>
    <n v="0"/>
    <n v="1"/>
    <d v="2025-07-10T00:00:00"/>
    <x v="26"/>
  </r>
  <r>
    <s v="ORT-11786"/>
    <s v="C000420430"/>
    <s v="OXFORD STREET NO 334-348 S&amp;C / LOBBIES LONDON"/>
    <n v="1"/>
    <n v="1"/>
    <d v="2025-07-10T00:00:00"/>
    <x v="26"/>
  </r>
  <r>
    <s v="ORT-11787"/>
    <s v="C000420434"/>
    <s v="DEWA HQ AL SHERAA BUILDING (B+G+4P+15) AL JADDAF"/>
    <n v="4"/>
    <n v="0"/>
    <d v="2025-07-10T00:00:00"/>
    <x v="26"/>
  </r>
  <r>
    <s v="ORT-11788"/>
    <s v="C000420435"/>
    <s v="SHELTON STREET NO 20-22 GROUND FLOOR COVENT GARDEN LONDON"/>
    <n v="1"/>
    <n v="1"/>
    <d v="2025-07-10T00:00:00"/>
    <x v="26"/>
  </r>
  <r>
    <s v="ORT-11789"/>
    <s v="C000420437"/>
    <s v="ALDERMANBURY SQUARE NO 2 BASINGHALL STREET LONDON"/>
    <n v="1"/>
    <n v="1"/>
    <d v="2025-07-10T00:00:00"/>
    <x v="26"/>
  </r>
  <r>
    <s v="ORT-11790"/>
    <s v="C000420439"/>
    <s v="ALDERSGATE ST NO 150 THE VERDANT TIKTOK JOINERY LONDON"/>
    <n v="0"/>
    <n v="1"/>
    <d v="2025-07-10T00:00:00"/>
    <x v="26"/>
  </r>
  <r>
    <s v="ORT-11791"/>
    <s v="C000420441"/>
    <s v="CADWORKS FLOOR 7 FIT OUT GLASGOW"/>
    <n v="3"/>
    <n v="0"/>
    <d v="2025-07-10T00:00:00"/>
    <x v="26"/>
  </r>
  <r>
    <s v="ORT-11792"/>
    <s v="C000420442"/>
    <s v="HOTEL ALBUFERA VALENCIA"/>
    <n v="0"/>
    <n v="1"/>
    <d v="2025-07-10T00:00:00"/>
    <x v="26"/>
  </r>
  <r>
    <s v="ORT-11793"/>
    <s v="C000420446"/>
    <s v="UBS INTEGRATION OFFICE FIT OUT MSHEREIB DOHA"/>
    <n v="0"/>
    <n v="1"/>
    <d v="2025-07-10T00:00:00"/>
    <x v="26"/>
  </r>
  <r>
    <s v="ORT-11794"/>
    <s v="C000420449"/>
    <s v="DUTY FREE PORTO"/>
    <n v="0"/>
    <n v="1"/>
    <d v="2025-07-10T00:00:00"/>
    <x v="26"/>
  </r>
  <r>
    <s v="ORT-11796"/>
    <s v="C000420457"/>
    <s v="CRAYFIELDS BUSINESS PARK UNIT 4.01 ORPINGTON"/>
    <n v="0"/>
    <n v="1"/>
    <d v="2025-07-11T00:00:00"/>
    <x v="26"/>
  </r>
  <r>
    <s v="ORT-11797"/>
    <s v="C000420462"/>
    <s v="CENTRAL BANK OF IRAQ HEADQUARTERS BAGHDAD"/>
    <n v="0"/>
    <n v="1"/>
    <d v="2025-07-11T00:00:00"/>
    <x v="26"/>
  </r>
  <r>
    <s v="ORT-11798"/>
    <s v="C000420466"/>
    <s v="ARLINGTON BUSINESS PARK NO 1330 THEALE READING"/>
    <n v="0"/>
    <n v="1"/>
    <d v="2025-07-11T00:00:00"/>
    <x v="26"/>
  </r>
  <r>
    <s v="ORT-11799"/>
    <s v="C000420474"/>
    <s v="MARKS AND SPENCER TEMPLE FORTUNE"/>
    <n v="6"/>
    <n v="0"/>
    <d v="2025-07-11T00:00:00"/>
    <x v="26"/>
  </r>
  <r>
    <s v="ORT-11800"/>
    <s v="C000420475"/>
    <s v="PILGRIM STREET NO 11 CAT A REFURB LONDON"/>
    <n v="0"/>
    <n v="1"/>
    <d v="2025-07-11T00:00:00"/>
    <x v="26"/>
  </r>
  <r>
    <s v="ORT-11801"/>
    <s v="C000420476"/>
    <s v="ST MICHAELS TOWER FLRS 7 &amp; 8 MANCHESTER"/>
    <n v="6"/>
    <n v="0"/>
    <d v="2025-07-11T00:00:00"/>
    <x v="26"/>
  </r>
  <r>
    <s v="ORT-11802"/>
    <s v="C000420478"/>
    <s v="SHAFTESBURY AVENUE NO 130 CAT B FLOORS 3-4 TALON LONDON"/>
    <n v="0"/>
    <n v="1"/>
    <d v="2025-07-11T00:00:00"/>
    <x v="26"/>
  </r>
  <r>
    <s v="ORT-11803"/>
    <s v="C000420480"/>
    <s v="ST GEORGE STREET NO 28 CAT A LONDON"/>
    <n v="0"/>
    <n v="1"/>
    <d v="2025-07-11T00:00:00"/>
    <x v="26"/>
  </r>
  <r>
    <s v="ORT-11804"/>
    <s v="C000420482"/>
    <s v="WHITFIELD STREET NO 90 FLOORS 4-5 LONDON"/>
    <n v="0"/>
    <n v="1"/>
    <d v="2025-07-11T00:00:00"/>
    <x v="26"/>
  </r>
  <r>
    <s v="ORT-11806"/>
    <s v="C000420484"/>
    <s v="SPINNINGFIELDS NO 1 9TH FLOOR REFURB MANCHESTER"/>
    <n v="1"/>
    <n v="1"/>
    <d v="2025-07-11T00:00:00"/>
    <x v="26"/>
  </r>
  <r>
    <s v="ORT-11808"/>
    <s v="C000420488"/>
    <s v="OXFORD SCIENCE PARK SCHRODINGER BUILDING"/>
    <n v="3"/>
    <n v="0"/>
    <d v="2025-07-14T00:00:00"/>
    <x v="27"/>
  </r>
  <r>
    <s v="ORT-11809"/>
    <s v="C000420489"/>
    <s v="OXFORD SCIENCE PARK SCHRODINGER BUILDING"/>
    <n v="3"/>
    <n v="0"/>
    <d v="2025-07-14T00:00:00"/>
    <x v="27"/>
  </r>
  <r>
    <s v="ORT-11810"/>
    <s v="C000420491"/>
    <s v="LEADENHALL STREET NO 1 CAT B LATHAM &amp; WATKINS FLRS 1-20"/>
    <n v="5"/>
    <n v="0"/>
    <d v="2025-07-14T00:00:00"/>
    <x v="27"/>
  </r>
  <r>
    <s v="ORT-11811"/>
    <s v="C000420492"/>
    <s v="CHEAPSIDE NO 100 CAT B CRAVAITH SWAINE &amp; MOORE LONDON"/>
    <n v="3"/>
    <n v="0"/>
    <d v="2025-07-14T00:00:00"/>
    <x v="27"/>
  </r>
  <r>
    <s v="ORT-11812"/>
    <s v="C000420497"/>
    <s v="ONE STATION HILL PWC CAT B FITOUT READING"/>
    <n v="0"/>
    <n v="1"/>
    <d v="2025-07-14T00:00:00"/>
    <x v="27"/>
  </r>
  <r>
    <s v="ORT-11815"/>
    <s v="C000420503"/>
    <s v="MANCHESTER SCIENCE PARK GREENHEYS PROJECT"/>
    <n v="3"/>
    <n v="0"/>
    <d v="2025-07-14T00:00:00"/>
    <x v="27"/>
  </r>
  <r>
    <s v="ORT-11816"/>
    <s v="C000420504"/>
    <s v="MANCHESTER SCIENCE PARK GREENHEYS PROJECT"/>
    <n v="3"/>
    <n v="0"/>
    <d v="2025-07-14T00:00:00"/>
    <x v="27"/>
  </r>
  <r>
    <s v="ORT-11817"/>
    <s v="C000420505"/>
    <s v="GRESHAM STREET NO 20 CAT A REFURB LONDON"/>
    <n v="3"/>
    <n v="0"/>
    <d v="2025-07-14T00:00:00"/>
    <x v="27"/>
  </r>
  <r>
    <s v="ORT-11819"/>
    <s v="C000420515"/>
    <s v="MID KENT COLLEGE GILLINGHAM CAMPUS REFURB GILLINGHAM"/>
    <n v="0"/>
    <n v="1"/>
    <d v="2025-07-15T00:00:00"/>
    <x v="27"/>
  </r>
  <r>
    <s v="ORT-11820"/>
    <s v="C000420520"/>
    <s v="FIVE GUYS HEATHROW TERMINAL 5 LONDON"/>
    <n v="0"/>
    <n v="1"/>
    <d v="2025-07-15T00:00:00"/>
    <x v="27"/>
  </r>
  <r>
    <s v="ORT-11821"/>
    <s v="C000420523"/>
    <s v="FIVE GUYS HEATHROW TERMINAL 5 LONDON LIGHTING"/>
    <n v="0"/>
    <n v="1"/>
    <d v="2025-07-15T00:00:00"/>
    <x v="27"/>
  </r>
  <r>
    <s v="ORT-11822"/>
    <s v="C000420524"/>
    <s v="EMBERTON HOUSE OLYMPIA REDEVELOPMENT FIT-OUT LONDON"/>
    <n v="2"/>
    <n v="0"/>
    <d v="2025-07-15T00:00:00"/>
    <x v="27"/>
  </r>
  <r>
    <s v="ORT-11823"/>
    <m/>
    <s v="HSBC PLATINUM MSHEIREB DOHA QATAR"/>
    <n v="1"/>
    <n v="1"/>
    <d v="2025-07-15T00:00:00"/>
    <x v="27"/>
  </r>
  <r>
    <s v="ORT-11824"/>
    <s v="C000420529"/>
    <s v="SALFORD CENTRAL PLOT C2 FOUR NEW BAILEY"/>
    <n v="0"/>
    <n v="1"/>
    <d v="2025-07-15T00:00:00"/>
    <x v="27"/>
  </r>
  <r>
    <s v="ORT-11825"/>
    <s v="C000420535"/>
    <s v="GRESHAM STREET NO 20 CAT A REFURB LONDON"/>
    <n v="17"/>
    <n v="0"/>
    <d v="2025-07-16T00:00:00"/>
    <x v="27"/>
  </r>
  <r>
    <s v="ORT-11826"/>
    <s v="C000420534"/>
    <s v="GRESHAM STREET NO 20 CAT A REFURB LONDON"/>
    <n v="14"/>
    <n v="0"/>
    <d v="2025-07-16T00:00:00"/>
    <x v="27"/>
  </r>
  <r>
    <s v="ORT-11827"/>
    <s v="C000420536"/>
    <s v="GRESHAM STREET NO 20 CAT A REFURB LONDON"/>
    <n v="4"/>
    <n v="0"/>
    <d v="2025-07-16T00:00:00"/>
    <x v="27"/>
  </r>
  <r>
    <s v="ORT-11828"/>
    <s v="C000420538"/>
    <s v="STATION STREET LOXLEY HOUSE AREA 3 NOTTINGHAM"/>
    <n v="0"/>
    <n v="1"/>
    <d v="2025-07-16T00:00:00"/>
    <x v="27"/>
  </r>
  <r>
    <s v="ORT-11829"/>
    <s v="C000420542"/>
    <s v="KINGS CROSS PANCRAS SQUARE NO 2 FLR 4 REFURB LONDON"/>
    <n v="0"/>
    <n v="1"/>
    <d v="2025-07-16T00:00:00"/>
    <x v="27"/>
  </r>
  <r>
    <s v="ORT-11830"/>
    <s v="C000420552"/>
    <s v="MANCHESTER AIRPORT T2 EAST WING NEW DEVELOPMENT"/>
    <n v="3"/>
    <n v="0"/>
    <d v="2025-07-16T00:00:00"/>
    <x v="27"/>
  </r>
  <r>
    <s v="ORT-11831"/>
    <s v="CF00000549"/>
    <s v="COEUR AEROGARE MARSEILLE"/>
    <n v="0"/>
    <n v="1"/>
    <d v="2025-07-16T00:00:00"/>
    <x v="27"/>
  </r>
  <r>
    <s v="ORT-11832"/>
    <s v="C000420556"/>
    <s v="BOWMER &amp; KIRKLAND HQ REFURB HEAGE BELPER"/>
    <n v="15"/>
    <n v="0"/>
    <d v="2025-07-16T00:00:00"/>
    <x v="27"/>
  </r>
  <r>
    <s v="ORT-11835"/>
    <s v="C000420559"/>
    <s v="SAMPLE ROOM READING"/>
    <n v="2"/>
    <n v="0"/>
    <d v="2025-07-17T00:00:00"/>
    <x v="27"/>
  </r>
  <r>
    <s v="ORT-11836"/>
    <s v="C000420561"/>
    <s v="PADDINGTON CENTRAL KINGDOM ST NO 1 FLRS 1,6,8 EQUINOR LONDON"/>
    <n v="0"/>
    <n v="1"/>
    <d v="2025-07-17T00:00:00"/>
    <x v="27"/>
  </r>
  <r>
    <s v="ORT-11837"/>
    <s v="C000420562"/>
    <s v="OXFORD SCIENCE PARK SCHRODINGER BUILDING"/>
    <n v="0"/>
    <n v="1"/>
    <d v="2025-07-17T00:00:00"/>
    <x v="27"/>
  </r>
  <r>
    <s v="ORT-11838"/>
    <s v="C000420563"/>
    <s v="THE CURSITOR CHANCERY LANE NO 38 CAT A REFURB LONDON"/>
    <n v="0"/>
    <n v="1"/>
    <d v="2025-07-17T00:00:00"/>
    <x v="27"/>
  </r>
  <r>
    <s v="ORT-11839"/>
    <s v="C000420564"/>
    <s v="ORANGEBOX POD CASSETTES"/>
    <n v="0"/>
    <n v="1"/>
    <d v="2025-07-17T00:00:00"/>
    <x v="27"/>
  </r>
  <r>
    <s v="ORT-11840"/>
    <s v="C000420566"/>
    <s v="PADDINGTON CENTRAL KINGDOM ST NO 1 FLRS 1,6,8 EQUINOR LONDON"/>
    <n v="23"/>
    <n v="0"/>
    <d v="2025-07-17T00:00:00"/>
    <x v="27"/>
  </r>
  <r>
    <s v="ORT-11841"/>
    <s v="C000420567"/>
    <s v="MORE LONDON RIVERSIDE NO 7 PWC REFRESH LONDON"/>
    <n v="22"/>
    <n v="0"/>
    <d v="2025-07-17T00:00:00"/>
    <x v="27"/>
  </r>
  <r>
    <s v="ORT-11842"/>
    <s v="C000420568"/>
    <s v="UNKNOWN"/>
    <n v="0"/>
    <n v="1"/>
    <d v="2025-07-17T00:00:00"/>
    <x v="27"/>
  </r>
  <r>
    <s v="ORT-11843"/>
    <m/>
    <s v="Active Stretch Fabric"/>
    <n v="1"/>
    <n v="1"/>
    <d v="2025-07-17T00:00:00"/>
    <x v="27"/>
  </r>
  <r>
    <s v="ORT-11844"/>
    <s v="C000420573"/>
    <s v="CENTRAL BANK OF IRAQ HEADQUARTERS BAGHDAD"/>
    <n v="5"/>
    <n v="0"/>
    <d v="2025-07-17T00:00:00"/>
    <x v="27"/>
  </r>
  <r>
    <s v="ORT-11845"/>
    <s v="C000420577"/>
    <s v="DOVER STREET NO 48 CAT B SIXTH STREET LONDON"/>
    <n v="1"/>
    <n v="1"/>
    <d v="2025-07-17T00:00:00"/>
    <x v="27"/>
  </r>
  <r>
    <s v="ORT-11848"/>
    <s v="C000420588"/>
    <s v="HOSPITAL EL CARMEN CIUDAD REAL"/>
    <n v="0"/>
    <n v="1"/>
    <d v="2025-07-18T00:00:00"/>
    <x v="27"/>
  </r>
  <r>
    <s v="ORT-11849"/>
    <m/>
    <s v="NOVARTIS PHASE 2 BARCELONA"/>
    <n v="47"/>
    <n v="0"/>
    <d v="2025-07-18T00:00:00"/>
    <x v="27"/>
  </r>
  <r>
    <s v="ORT-11850"/>
    <s v="C000420594"/>
    <s v="MOORFIELDS EYE HOSPITAL UCL INSTITUTE OF OPHTHALMOLOGY ORIEL"/>
    <n v="3"/>
    <n v="0"/>
    <d v="2025-07-18T00:00:00"/>
    <x v="27"/>
  </r>
  <r>
    <s v="ORT-11851"/>
    <s v="C000420599"/>
    <s v="MID KENT COLLEGE GILLINGHAM CAMPUS REFURB GILLINGHAM"/>
    <n v="3"/>
    <n v="0"/>
    <d v="2025-07-18T00:00:00"/>
    <x v="27"/>
  </r>
  <r>
    <s v="ORT-11852"/>
    <s v="C000420600"/>
    <s v="EURSHELL MISC TILE &amp; GRID 2025"/>
    <n v="2"/>
    <n v="0"/>
    <d v="2025-07-18T00:00:00"/>
    <x v="27"/>
  </r>
  <r>
    <s v="ORT-11853"/>
    <m/>
    <s v="LONDON SOUTH EAST COLLEGES FUTURE GREENWICH CAMPUS LONDON"/>
    <n v="47"/>
    <n v="0"/>
    <d v="2025-07-18T00:00:00"/>
    <x v="27"/>
  </r>
  <r>
    <s v="ORT-11854"/>
    <s v="C000420607"/>
    <s v="SNOW HILL BARCLAYS FIT OUT BIRMINGHAM"/>
    <n v="0"/>
    <n v="1"/>
    <d v="2025-07-21T00:00:00"/>
    <x v="28"/>
  </r>
  <r>
    <s v="ORT-11855"/>
    <s v="C000420608"/>
    <s v="WILLEN HOUSE BATH STREET NO 8-26 LONDON"/>
    <n v="1"/>
    <n v="1"/>
    <d v="2025-07-21T00:00:00"/>
    <x v="28"/>
  </r>
  <r>
    <s v="ORT-11856"/>
    <s v="C000420611"/>
    <s v="PADDINGTON CENTRAL KINGDOM ST NO 1 FLRS 1,6,8 EQUINOR LONDON"/>
    <n v="2"/>
    <n v="0"/>
    <d v="2025-07-21T00:00:00"/>
    <x v="28"/>
  </r>
  <r>
    <s v="ORT-11857"/>
    <s v="C000420613"/>
    <s v="DIAMOND LIGHT SOURCE DEB EXTENSIONS DIDCOT"/>
    <n v="0"/>
    <n v="1"/>
    <d v="2025-07-21T00:00:00"/>
    <x v="28"/>
  </r>
  <r>
    <s v="ORT-11858"/>
    <s v="C000420618"/>
    <s v="TRITON SQUARE NO 1 OFFICE / LABS CAT A LONDON"/>
    <n v="5"/>
    <n v="0"/>
    <d v="2025-07-21T00:00:00"/>
    <x v="28"/>
  </r>
  <r>
    <s v="ORT-11859"/>
    <s v="C000420620"/>
    <s v="HERON TOWER BISHOPSGATE NO 110 FLR 3 &amp; 4 REFURB LONDON"/>
    <n v="12"/>
    <n v="0"/>
    <d v="2025-07-21T00:00:00"/>
    <x v="28"/>
  </r>
  <r>
    <s v="ORT-11860"/>
    <s v="C000420625"/>
    <s v="AWE THE HUB OFFICE AND TEACHING FACILITY MHS ALDERMASTON"/>
    <n v="1"/>
    <n v="1"/>
    <d v="2025-07-21T00:00:00"/>
    <x v="28"/>
  </r>
  <r>
    <s v="ORT-11861"/>
    <s v="C000420627"/>
    <s v="PADDINGTON CENTRAL KINGDOM ST NO 1 FLRS 1,6,8 EQUINOR LONDON"/>
    <n v="3"/>
    <n v="0"/>
    <d v="2025-07-21T00:00:00"/>
    <x v="28"/>
  </r>
  <r>
    <s v="ORT-11862"/>
    <s v="C000420631"/>
    <s v="PORSCHE SHOWROOM BRISTOL"/>
    <n v="2"/>
    <n v="0"/>
    <d v="2025-07-21T00:00:00"/>
    <x v="28"/>
  </r>
  <r>
    <s v="ORT-11863"/>
    <s v="C000420632"/>
    <s v="REPSOL 2026 PLAN MADRID"/>
    <n v="1"/>
    <n v="1"/>
    <d v="2025-07-21T00:00:00"/>
    <x v="28"/>
  </r>
  <r>
    <s v="ORT-11864"/>
    <s v="C000420633"/>
    <s v="CANARY WHARF CANADA SQUARE NO 25 CITIBANK REFURB LONDON"/>
    <n v="0"/>
    <n v="1"/>
    <d v="2025-07-21T00:00:00"/>
    <x v="28"/>
  </r>
  <r>
    <s v="ORT-11865"/>
    <s v="C000420636"/>
    <s v="SAINSBURYS REFURBISHMENT TONBRIDGE"/>
    <n v="0"/>
    <n v="1"/>
    <d v="2025-07-22T00:00:00"/>
    <x v="28"/>
  </r>
  <r>
    <s v="ORT-11866"/>
    <s v="C000420639"/>
    <s v="TRITON SQUARE NO 1 OFFICE / LABS RECEPTION WALL PANELS"/>
    <n v="0"/>
    <n v="1"/>
    <d v="2025-07-22T00:00:00"/>
    <x v="28"/>
  </r>
  <r>
    <s v="ORT-11867"/>
    <s v="C000420640"/>
    <s v="ST GEORGE STREET NO 14 CAT A FLOOR 2 LIGHTING LONDON"/>
    <n v="0"/>
    <n v="1"/>
    <d v="2025-07-22T00:00:00"/>
    <x v="28"/>
  </r>
  <r>
    <s v="ORT-11868"/>
    <s v="C000420643"/>
    <s v="EURSHELL MISC TILE &amp; GRID 2025"/>
    <n v="1"/>
    <n v="1"/>
    <d v="2025-07-22T00:00:00"/>
    <x v="28"/>
  </r>
  <r>
    <s v="ORT-11869"/>
    <s v="C000420645"/>
    <s v="JACK TURNBULL MISC TILE &amp; GRID 2025"/>
    <n v="7"/>
    <n v="0"/>
    <d v="2025-07-22T00:00:00"/>
    <x v="28"/>
  </r>
  <r>
    <s v="ORT-11870"/>
    <s v="C000420648"/>
    <s v="UCB FARCHIM"/>
    <n v="1"/>
    <n v="1"/>
    <d v="2025-07-22T00:00:00"/>
    <x v="28"/>
  </r>
  <r>
    <s v="ORT-11871"/>
    <s v="C000420649"/>
    <s v="KUDU MARYLEBONE MOXON ST 6 LONDON"/>
    <n v="0"/>
    <n v="1"/>
    <d v="2025-07-22T00:00:00"/>
    <x v="28"/>
  </r>
  <r>
    <s v="ORT-11873"/>
    <s v="C000420654"/>
    <s v="QUEEN VICTORIA STREET NO 160 FLR 2 LONDON"/>
    <n v="1"/>
    <n v="1"/>
    <d v="2025-07-23T00:00:00"/>
    <x v="28"/>
  </r>
  <r>
    <s v="ORT-11874"/>
    <s v="C000420658"/>
    <s v="HEATHROW AIRPORT TERMINAL 3 CSA REFURBISHMENT"/>
    <n v="2"/>
    <n v="0"/>
    <d v="2025-07-23T00:00:00"/>
    <x v="28"/>
  </r>
  <r>
    <s v="ORT-11875"/>
    <s v="C000420683"/>
    <s v="DYSON NDA PROJECT APPLE BRISTOL"/>
    <n v="0"/>
    <n v="1"/>
    <d v="2025-07-23T00:00:00"/>
    <x v="28"/>
  </r>
  <r>
    <s v="ORT-11876"/>
    <s v="C000420661"/>
    <s v="CHRIS EDGE NORTH MISC PROJECTS 2025"/>
    <n v="3"/>
    <n v="0"/>
    <d v="2025-07-23T00:00:00"/>
    <x v="28"/>
  </r>
  <r>
    <s v="ORT-11877"/>
    <s v="C000420664"/>
    <s v="LONDON MISC 2025"/>
    <n v="0"/>
    <n v="1"/>
    <d v="2025-07-23T00:00:00"/>
    <x v="28"/>
  </r>
  <r>
    <s v="ORT-11878"/>
    <s v="C000420667"/>
    <s v="FCDO KING CHARLES STREET REFURB LONDON"/>
    <n v="2"/>
    <n v="0"/>
    <d v="2025-07-23T00:00:00"/>
    <x v="28"/>
  </r>
  <r>
    <s v="ORT-11879"/>
    <s v="C000420670"/>
    <s v="ROSARIO PINO 14 RENOVATION (20/F) MADRID"/>
    <n v="1"/>
    <n v="1"/>
    <d v="2025-07-23T00:00:00"/>
    <x v="28"/>
  </r>
  <r>
    <s v="ORT-11880"/>
    <s v="C000420672"/>
    <s v="JACK TURNBULL MISC TILE &amp; GRID 2025"/>
    <n v="2"/>
    <n v="0"/>
    <d v="2025-07-23T00:00:00"/>
    <x v="28"/>
  </r>
  <r>
    <s v="ORT-11882"/>
    <s v="C000420674"/>
    <s v="UNKNOWN"/>
    <n v="6"/>
    <n v="0"/>
    <d v="2025-07-23T00:00:00"/>
    <x v="28"/>
  </r>
  <r>
    <s v="ORT-11883"/>
    <m/>
    <s v="MORE LONDON RIVERSIDE NO 7 PWC REFRESH LONDON"/>
    <n v="0"/>
    <n v="1"/>
    <d v="2025-07-23T00:00:00"/>
    <x v="28"/>
  </r>
  <r>
    <s v="ORT-11884"/>
    <s v="C000420686"/>
    <s v="THE OXFORD SCIENCE PARK PLOTS NO 23-26 OXFORD"/>
    <n v="1"/>
    <n v="1"/>
    <d v="2025-07-23T00:00:00"/>
    <x v="28"/>
  </r>
  <r>
    <s v="ORT-11885"/>
    <s v="C000420692"/>
    <s v="LONDON SOUTH EAST COLLEGES FUTURE GREENWICH CAMPUS LONDON"/>
    <n v="0"/>
    <n v="1"/>
    <d v="2025-07-23T00:00:00"/>
    <x v="28"/>
  </r>
  <r>
    <s v="ORT-11886"/>
    <s v="C000420700"/>
    <s v="02034 CADDELL"/>
    <n v="0"/>
    <n v="1"/>
    <d v="2025-07-23T00:00:00"/>
    <x v="28"/>
  </r>
  <r>
    <s v="ORT-11887"/>
    <s v="C000420701"/>
    <s v="GATWICK AIRPORT MISC 2025"/>
    <n v="0"/>
    <n v="1"/>
    <d v="2025-07-23T00:00:00"/>
    <x v="28"/>
  </r>
  <r>
    <s v="ORT-11888"/>
    <s v="CF00000551"/>
    <s v="GPE - SAINT MAUR CRETEIL STATION"/>
    <n v="0"/>
    <n v="1"/>
    <d v="2025-07-23T00:00:00"/>
    <x v="28"/>
  </r>
  <r>
    <s v="ORT-11889"/>
    <s v="C000420708"/>
    <s v="NR EAST KILBRIDE &amp; HAIRMYRES STATIONS"/>
    <n v="3"/>
    <n v="0"/>
    <d v="2025-07-23T00:00:00"/>
    <x v="28"/>
  </r>
  <r>
    <s v="ORT-11890"/>
    <s v="C000420709"/>
    <s v="ONE LUDLOW OFFICE SUITE 2 MAIDENHEAD"/>
    <n v="0"/>
    <n v="1"/>
    <d v="2025-07-23T00:00:00"/>
    <x v="28"/>
  </r>
  <r>
    <s v="ORT-11891"/>
    <s v="C000420711"/>
    <s v="NEW BRIDGE STREET NO 100 CAT A+ LONDON"/>
    <n v="0"/>
    <n v="1"/>
    <d v="2025-07-23T00:00:00"/>
    <x v="28"/>
  </r>
  <r>
    <s v="ORT-11895"/>
    <s v="C000420718"/>
    <s v="VICTORIA STREET NO 105 LIFT LOBBIES LONDON"/>
    <n v="0"/>
    <n v="1"/>
    <d v="2025-07-24T00:00:00"/>
    <x v="28"/>
  </r>
  <r>
    <s v="ORT-11896"/>
    <s v="C000420723"/>
    <s v="CANNON STREET NO 111 &amp; ST SWITHIN LANE NO 17 LONDON"/>
    <n v="3"/>
    <n v="0"/>
    <d v="2025-07-24T00:00:00"/>
    <x v="28"/>
  </r>
  <r>
    <s v="ORT-11897"/>
    <s v="C000420731"/>
    <s v="OXFORD STREET NO 334-348 S&amp;C / LOBBIES LONDON"/>
    <n v="3"/>
    <n v="0"/>
    <d v="2025-07-24T00:00:00"/>
    <x v="28"/>
  </r>
  <r>
    <s v="ORT-11898"/>
    <s v="C000420738"/>
    <s v="BRINDLEY PLACE NO 10 FLR 6 BIRMINGHAM"/>
    <n v="4"/>
    <n v="0"/>
    <d v="2025-07-24T00:00:00"/>
    <x v="28"/>
  </r>
  <r>
    <s v="ORT-11899"/>
    <s v="C000420744"/>
    <s v="GROSVENOR PLACE NO 40 CAT A REFURB LONDON"/>
    <n v="1"/>
    <n v="1"/>
    <d v="2025-07-24T00:00:00"/>
    <x v="28"/>
  </r>
  <r>
    <s v="ORT-11900"/>
    <s v="C000420746"/>
    <s v="JACK TURNBULL MISC TILE &amp; GRID 2025"/>
    <n v="1"/>
    <n v="1"/>
    <d v="2025-07-24T00:00:00"/>
    <x v="28"/>
  </r>
  <r>
    <s v="ORT-11901"/>
    <s v="C000420752"/>
    <s v="NEKO HEALTH BIRMINGHAM"/>
    <n v="0"/>
    <n v="1"/>
    <d v="2025-07-24T00:00:00"/>
    <x v="28"/>
  </r>
  <r>
    <s v="ORT-11902"/>
    <s v="C000420756"/>
    <s v="LIVERPOOL JOHN LENNON AIRPORT ASPIRE LOUNGE"/>
    <n v="18"/>
    <n v="0"/>
    <d v="2025-07-24T00:00:00"/>
    <x v="28"/>
  </r>
  <r>
    <s v="ORT-11903"/>
    <s v="C000420758"/>
    <s v="EURSHELL MISC TILE &amp; GRID 2025"/>
    <n v="1"/>
    <n v="1"/>
    <d v="2025-07-24T00:00:00"/>
    <x v="28"/>
  </r>
  <r>
    <s v="ORT-11904"/>
    <s v="C000420759"/>
    <s v="ROPEMAKER STREET NO 20-22 LINKLATERS FIT-OUT LONDON"/>
    <n v="0"/>
    <n v="1"/>
    <d v="2025-07-24T00:00:00"/>
    <x v="28"/>
  </r>
  <r>
    <s v="ORT-11905"/>
    <s v="C000420761"/>
    <s v="LEADENHALL STREET NO 40 KIRKLAND &amp; ELLIS FLRS 15-34 LONDON"/>
    <n v="0"/>
    <n v="1"/>
    <d v="2025-07-24T00:00:00"/>
    <x v="28"/>
  </r>
  <r>
    <s v="ORT-11906"/>
    <s v="C000420762"/>
    <s v="MANCHESTER AIRPORT T2 EAST WING NEW DEVELOPMENT"/>
    <n v="0"/>
    <n v="1"/>
    <d v="2025-07-24T00:00:00"/>
    <x v="28"/>
  </r>
  <r>
    <s v="ORT-11907"/>
    <s v="C000420764"/>
    <s v="Active Stretch Fabric"/>
    <n v="3"/>
    <n v="0"/>
    <d v="2025-07-25T00:00:00"/>
    <x v="28"/>
  </r>
  <r>
    <s v="ORT-11908"/>
    <s v="C000420767"/>
    <s v="BUNHILL ROW NO 1 SLAUGHTER &amp; MAY CAT A REFURB LONDON"/>
    <n v="0"/>
    <n v="1"/>
    <d v="2025-07-25T00:00:00"/>
    <x v="28"/>
  </r>
  <r>
    <s v="ORT-11909"/>
    <s v="C000420768"/>
    <s v="OXFORD STREET NO 334-348 S&amp;C / LOBBIES LONDON"/>
    <n v="0"/>
    <n v="1"/>
    <d v="2025-07-25T00:00:00"/>
    <x v="28"/>
  </r>
  <r>
    <s v="ORT-11910"/>
    <s v="C000420769"/>
    <s v="OXFORD STREET NO 334-348 S&amp;C / LOBBIES LONDON"/>
    <n v="17"/>
    <n v="0"/>
    <d v="2025-07-25T00:00:00"/>
    <x v="28"/>
  </r>
  <r>
    <s v="ORT-11911"/>
    <s v="C000420770"/>
    <s v="HANOVER STREET NO 13-14 REFURB LONDON"/>
    <n v="0"/>
    <n v="1"/>
    <d v="2025-07-25T00:00:00"/>
    <x v="28"/>
  </r>
  <r>
    <s v="ORT-11912"/>
    <s v="C000420771"/>
    <s v="SOUTHBANK PLACE BUILDING 5 WATERLOO LONDON"/>
    <n v="2"/>
    <n v="0"/>
    <d v="2025-07-25T00:00:00"/>
    <x v="28"/>
  </r>
  <r>
    <s v="ORT-11913"/>
    <s v="C000420773"/>
    <s v="ROPEMAKER PLACE MUFG REFURB FLRS 1-2 &amp; 14-17 LONDON"/>
    <n v="26"/>
    <n v="0"/>
    <d v="2025-07-25T00:00:00"/>
    <x v="28"/>
  </r>
  <r>
    <s v="ORT-11914"/>
    <s v="C000420776"/>
    <s v="CATALENT PHARMA REFURB SWINDON"/>
    <n v="0"/>
    <n v="1"/>
    <d v="2025-07-25T00:00:00"/>
    <x v="28"/>
  </r>
  <r>
    <s v="ORT-11915"/>
    <s v="C000420778"/>
    <s v="WELLESLEY EAST PRIMARY SCHOOL ALDERSHOT HAMPSHIRE"/>
    <n v="1"/>
    <n v="1"/>
    <d v="2025-07-25T00:00:00"/>
    <x v="28"/>
  </r>
  <r>
    <s v="ORT-11918"/>
    <s v="C000420784"/>
    <s v="DUTY FREE PORTO"/>
    <n v="3"/>
    <n v="0"/>
    <d v="2025-07-28T00:00:00"/>
    <x v="29"/>
  </r>
  <r>
    <s v="ORT-11919"/>
    <s v="C000420788"/>
    <s v="ESTEL ANTIGUA TELEFONICA BARCELONA"/>
    <n v="0"/>
    <n v="1"/>
    <d v="2025-07-28T00:00:00"/>
    <x v="29"/>
  </r>
  <r>
    <s v="ORT-11920"/>
    <s v="C000420792"/>
    <s v="TURING COURT NO 1 CARECO HQ BRAINTREE"/>
    <n v="5"/>
    <n v="0"/>
    <d v="2025-07-28T00:00:00"/>
    <x v="29"/>
  </r>
  <r>
    <s v="ORT-11921"/>
    <s v="C000420793"/>
    <s v="KIRYAT MIGDAL RENOVATION"/>
    <n v="0"/>
    <n v="1"/>
    <d v="2025-07-28T00:00:00"/>
    <x v="29"/>
  </r>
  <r>
    <s v="ORT-11923"/>
    <s v="C000420795"/>
    <s v="LEADENHALL STREET NO 40 KIRKLAND &amp; ELLIS FLRS 15-34 LONDON"/>
    <n v="5"/>
    <n v="0"/>
    <d v="2025-07-28T00:00:00"/>
    <x v="29"/>
  </r>
  <r>
    <s v="ORT-11924"/>
    <s v="CF00000552"/>
    <s v="RUE SAINT LAZARE NO 74 PARIS"/>
    <n v="0"/>
    <n v="1"/>
    <d v="2025-07-28T00:00:00"/>
    <x v="29"/>
  </r>
  <r>
    <s v="ORT-11925"/>
    <s v="C000420802"/>
    <s v="EDF SIZEWELL POWER STATION B TRAINING BUILDING SUFFOLK"/>
    <n v="1"/>
    <n v="1"/>
    <d v="2025-07-28T00:00:00"/>
    <x v="29"/>
  </r>
  <r>
    <s v="ORT-11926"/>
    <s v="C000420805"/>
    <s v="OSNEY POWER STATION SAID BUSINESS SCHOOL OXFORD"/>
    <n v="0"/>
    <n v="1"/>
    <d v="2025-07-29T00:00:00"/>
    <x v="29"/>
  </r>
  <r>
    <s v="ORT-11927"/>
    <s v="C000420808"/>
    <s v="LONDON MISC 2025"/>
    <n v="9"/>
    <n v="0"/>
    <d v="2025-07-29T00:00:00"/>
    <x v="29"/>
  </r>
  <r>
    <s v="ORT-11928"/>
    <s v="C000420815"/>
    <s v="HERBAL HILL NO 3-7 FLOORS 1 &amp; 4 FIT"/>
    <n v="0"/>
    <n v="1"/>
    <d v="2025-07-29T00:00:00"/>
    <x v="29"/>
  </r>
  <r>
    <s v="ORT-11929"/>
    <s v="C000420817"/>
    <s v="DEGROOTE SCHOOL OF BUSINESS HAMILTON LEVELS 6 &amp; 9"/>
    <n v="0"/>
    <n v="1"/>
    <d v="2025-07-29T00:00:00"/>
    <x v="29"/>
  </r>
  <r>
    <s v="ORT-11930"/>
    <m/>
    <s v="BEORMA QUARTER PHASE 2 BUILDING TWO CAT A BIRMINGHAM"/>
    <n v="40"/>
    <n v="0"/>
    <d v="2025-07-29T00:00:00"/>
    <x v="29"/>
  </r>
  <r>
    <s v="ORT-11931"/>
    <s v="C000420821"/>
    <s v="OLD BROAD STREET NO 125 LVL 22 &amp; 23 CAT A LONDON"/>
    <n v="29"/>
    <n v="0"/>
    <d v="2025-07-29T00:00:00"/>
    <x v="29"/>
  </r>
  <r>
    <s v="ORT-11932"/>
    <s v="C000420825"/>
    <s v="BEORMA QUARTER PHASE 2 BUILDING TWO CAT A BIRMINGHAM"/>
    <n v="2"/>
    <n v="0"/>
    <d v="2025-07-29T00:00:00"/>
    <x v="29"/>
  </r>
  <r>
    <s v="ORT-11933"/>
    <s v="C000420835"/>
    <s v="GATWICK NORTH TERMINAL PIER 6 EXTENSION"/>
    <n v="0"/>
    <n v="1"/>
    <d v="2025-07-29T00:00:00"/>
    <x v="29"/>
  </r>
  <r>
    <s v="ORT-11934"/>
    <s v="C000420851"/>
    <s v="ST GEORGE STREET NO 14 CAT A FLOOR 2 LONDON"/>
    <n v="0"/>
    <n v="1"/>
    <d v="2025-07-30T00:00:00"/>
    <x v="29"/>
  </r>
  <r>
    <s v="ORT-11935"/>
    <s v="C000420854"/>
    <s v="CANARY WHARF BANK STREET NO 12 LONDON"/>
    <n v="9"/>
    <n v="0"/>
    <d v="2025-07-30T00:00:00"/>
    <x v="29"/>
  </r>
  <r>
    <s v="ORT-11936"/>
    <s v="C000420856"/>
    <s v="HIGH HOLBORN NO 90 FLR 3 QUINN EMANUEL LONDON"/>
    <n v="2"/>
    <n v="0"/>
    <d v="2025-07-30T00:00:00"/>
    <x v="29"/>
  </r>
  <r>
    <s v="ORT-11937"/>
    <s v="C000420858"/>
    <s v="HEATHROW TECHNICAL BLOCK C (TBC) TOILET REFURBISHMENT LONDON"/>
    <n v="5"/>
    <n v="0"/>
    <d v="2025-07-30T00:00:00"/>
    <x v="29"/>
  </r>
  <r>
    <s v="ORT-11938"/>
    <m/>
    <s v="SANCTUARY BUILDINGS GREAT SMITH ST PHASE 2 FLRS B-3 LONDON"/>
    <n v="5"/>
    <n v="0"/>
    <d v="2025-07-30T00:00:00"/>
    <x v="29"/>
  </r>
  <r>
    <s v="ORT-11939"/>
    <s v="C000420863"/>
    <s v="BISHOPSGATE NO 22 CAT B FIT OUT RIVERSTONE FLOOR 5 LONDON"/>
    <n v="0"/>
    <n v="1"/>
    <d v="2025-07-30T00:00:00"/>
    <x v="29"/>
  </r>
  <r>
    <s v="ORT-11940"/>
    <s v="C000420866"/>
    <s v="THAMES COURT QUEENHITHE NO 1 LONDON"/>
    <n v="3"/>
    <n v="0"/>
    <d v="2025-07-30T00:00:00"/>
    <x v="29"/>
  </r>
  <r>
    <s v="ORT-11941"/>
    <s v="C000420867"/>
    <s v="UPPER GROUND NO 20 SEACONTAINERS HOUSE REFURB PH2 LONDON"/>
    <n v="1"/>
    <n v="1"/>
    <d v="2025-07-30T00:00:00"/>
    <x v="29"/>
  </r>
  <r>
    <s v="ORT-11942"/>
    <s v="C000420868"/>
    <s v="VOYAGER PLACE REFURB MAIDENHEAD"/>
    <n v="6"/>
    <n v="0"/>
    <d v="2025-07-30T00:00:00"/>
    <x v="29"/>
  </r>
  <r>
    <s v="ORT-11943"/>
    <s v="C000420870"/>
    <s v="MERCEDES LOOKERS SHOWROOM TONBRIDGE"/>
    <n v="11"/>
    <n v="0"/>
    <d v="2025-07-30T00:00:00"/>
    <x v="29"/>
  </r>
  <r>
    <s v="ORT-11945"/>
    <s v="C000420871"/>
    <s v="UNKNOWN"/>
    <n v="1"/>
    <n v="1"/>
    <d v="2025-07-31T00:00:00"/>
    <x v="29"/>
  </r>
  <r>
    <s v="ORT-11946"/>
    <s v="C000420874"/>
    <s v="EDINBURGH AIRPORT ESCAPE LOUNGE"/>
    <n v="0"/>
    <n v="1"/>
    <d v="2025-07-31T00:00:00"/>
    <x v="29"/>
  </r>
  <r>
    <s v="ORT-11947"/>
    <s v="C000420876"/>
    <s v="EURSHELL MISC TILE &amp; GRID 2025"/>
    <n v="1"/>
    <n v="1"/>
    <d v="2025-07-31T00:00:00"/>
    <x v="29"/>
  </r>
  <r>
    <s v="ORT-11948"/>
    <s v="C000420877"/>
    <s v="BRISTOL ZOO PROJECT BLACKHORSE HILL BRISTOL"/>
    <n v="0"/>
    <n v="1"/>
    <d v="2025-07-31T00:00:00"/>
    <x v="29"/>
  </r>
  <r>
    <s v="ORT-11949"/>
    <s v="C000420883"/>
    <s v="GRACECHURCH STREET NO 85 DEVELOPMENT LONDON"/>
    <n v="0"/>
    <n v="1"/>
    <d v="2025-07-31T00:00:00"/>
    <x v="29"/>
  </r>
  <r>
    <s v="ORT-11951"/>
    <s v="C000420884"/>
    <s v="LUANDA MEMORIAL"/>
    <n v="0"/>
    <n v="1"/>
    <d v="2025-07-31T00:00:00"/>
    <x v="29"/>
  </r>
  <r>
    <s v="ORT-11952"/>
    <s v="C000420887"/>
    <s v="UCB PHARMA COLLABORATION HUB WINDLESHAM CAMPUS SURREY"/>
    <n v="0"/>
    <n v="1"/>
    <d v="2025-07-31T00:00:00"/>
    <x v="29"/>
  </r>
  <r>
    <s v="ORT-11953"/>
    <s v="C000420888"/>
    <s v="MOH SALALAH HOSPITAL OMAN ADDITIONAL MATERIALS"/>
    <n v="0"/>
    <n v="1"/>
    <d v="2025-07-31T00:00:00"/>
    <x v="29"/>
  </r>
  <r>
    <s v="ORT-11954"/>
    <s v="C000420891"/>
    <s v="CITY CENTER MIRDIF CCMI CITY KITCHEN WALL PANEL DUBAI"/>
    <n v="0"/>
    <n v="1"/>
    <d v="2025-07-31T00:00:00"/>
    <x v="29"/>
  </r>
  <r>
    <s v="ORT-11955"/>
    <s v="CF00000553"/>
    <s v="RATP GARE DE LYON"/>
    <n v="0"/>
    <n v="1"/>
    <d v="2025-07-31T00:00:00"/>
    <x v="29"/>
  </r>
  <r>
    <s v="ORT-11956"/>
    <s v="C000420892"/>
    <s v="KELVIN ENERGY RECOVERY FACILITY WEST BROMWICH"/>
    <n v="3"/>
    <n v="0"/>
    <d v="2025-07-31T00:00:00"/>
    <x v="29"/>
  </r>
  <r>
    <s v="ORT-11957"/>
    <s v="C000420894"/>
    <s v="HSBC PLATINUM MSHEIREB DOHA QATAR"/>
    <n v="0"/>
    <n v="1"/>
    <d v="2025-07-31T00:00:00"/>
    <x v="29"/>
  </r>
  <r>
    <s v="ORT-11958"/>
    <s v="C000420895"/>
    <s v="HSBC PLATINUM MSHEIREB DOHA QATAR"/>
    <n v="0"/>
    <n v="1"/>
    <d v="2025-07-31T00:00:00"/>
    <x v="29"/>
  </r>
  <r>
    <s v="ORT-11960"/>
    <s v="C000420897"/>
    <s v="OLD BROAD STREET NO 125 LVL 22 &amp; 23 CAT A LONDON"/>
    <n v="0"/>
    <n v="1"/>
    <d v="2025-07-31T00:00:00"/>
    <x v="29"/>
  </r>
  <r>
    <s v="ORT-11961"/>
    <s v="C000420910"/>
    <s v="PENTONVILLE ROAD NO 210 FLOORS 7-9 REFURB LONDON"/>
    <n v="4"/>
    <n v="0"/>
    <d v="2025-08-01T00:00:00"/>
    <x v="29"/>
  </r>
  <r>
    <s v="ORT-11963"/>
    <s v="C000420912"/>
    <s v="ADANAC PARK NORTH OPUS FIT OUT SOUTHAMPTON"/>
    <n v="3"/>
    <n v="0"/>
    <d v="2025-08-01T00:00:00"/>
    <x v="29"/>
  </r>
  <r>
    <s v="ORT-11964"/>
    <s v="C000420914"/>
    <s v="HOUNDSDITCH NO 133 FLOOR 3 REFURB LONDON"/>
    <n v="7"/>
    <n v="0"/>
    <d v="2025-08-01T00:00:00"/>
    <x v="29"/>
  </r>
  <r>
    <s v="ORT-11965"/>
    <s v="C000420916"/>
    <s v="CHURCHILL PL NO 5 FLRS 1 &amp; 12 REFURB CANARY WHARF LONDON"/>
    <n v="9"/>
    <n v="0"/>
    <d v="2025-08-01T00:00:00"/>
    <x v="29"/>
  </r>
  <r>
    <s v="ORT-11966"/>
    <s v="C000420917"/>
    <s v="VOYAGER PLACE REFURB MAIDENHEAD"/>
    <n v="1"/>
    <n v="1"/>
    <d v="2025-08-01T00:00:00"/>
    <x v="29"/>
  </r>
  <r>
    <s v="ORT-11967"/>
    <s v="C000420918"/>
    <s v="AMI TECHNOLOGIES HOD HASHARON"/>
    <n v="0"/>
    <n v="1"/>
    <d v="2025-08-01T00:00:00"/>
    <x v="29"/>
  </r>
  <r>
    <s v="ORT-11969"/>
    <s v="C000420920"/>
    <s v="CANARY WHARF CANADA SQUARE NO 25 CITIBANK REFURB LONDON"/>
    <n v="3"/>
    <n v="0"/>
    <d v="2025-08-01T00:00:00"/>
    <x v="29"/>
  </r>
  <r>
    <s v="ORT-11971"/>
    <s v="C000420923"/>
    <s v="CANARY WHARF CANADA SQUARE NO 25 CITIBANK REFURB LONDON"/>
    <n v="0"/>
    <n v="1"/>
    <d v="2025-08-04T00:00:00"/>
    <x v="30"/>
  </r>
  <r>
    <s v="ORT-11972"/>
    <s v="C000420927"/>
    <s v="CANARY WHARF CANADA SQUARE NO 25 CITIBANK REFURB LONDON"/>
    <n v="0"/>
    <n v="1"/>
    <d v="2025-08-04T00:00:00"/>
    <x v="30"/>
  </r>
  <r>
    <s v="ORT-11973"/>
    <s v="C000420930"/>
    <s v="PUBLIC WCS FIT OUT PICCADILLY CIRCUS WESTMINSTER LONDON"/>
    <n v="0"/>
    <n v="1"/>
    <d v="2025-08-04T00:00:00"/>
    <x v="30"/>
  </r>
  <r>
    <s v="ORT-11974"/>
    <s v="C000420942"/>
    <s v="SCOTLAND &amp; NORTH EAST MISC 2025"/>
    <n v="3"/>
    <n v="0"/>
    <d v="2025-08-04T00:00:00"/>
    <x v="30"/>
  </r>
  <r>
    <s v="ORT-11975"/>
    <s v="C000420944"/>
    <s v="AMAZON SWANSEA"/>
    <n v="1"/>
    <n v="1"/>
    <d v="2025-08-04T00:00:00"/>
    <x v="30"/>
  </r>
  <r>
    <s v="ORT-11976"/>
    <s v="C000420947"/>
    <s v="QUEEN VICTORIA STREET NO 160 BNY MELLON CAT B PHASE 3 LONDON"/>
    <n v="9"/>
    <n v="0"/>
    <d v="2025-08-05T00:00:00"/>
    <x v="30"/>
  </r>
  <r>
    <s v="ORT-11977"/>
    <s v="C000420951"/>
    <s v="OLD JEWRY NO 27 - 32 FLR 1 REFURB LONDON"/>
    <n v="2"/>
    <n v="0"/>
    <d v="2025-08-05T00:00:00"/>
    <x v="30"/>
  </r>
  <r>
    <s v="ORT-11978"/>
    <s v="C000420968"/>
    <s v="UNI OF OXFORD HENRY WELCOME BUILDING DILAPS"/>
    <n v="0"/>
    <n v="1"/>
    <d v="2025-08-05T00:00:00"/>
    <x v="30"/>
  </r>
  <r>
    <s v="ORT-11979"/>
    <s v="C000420970"/>
    <s v="HEATHROW T5 LEVEL 10 UK BORDER FORCE HOLDING ROOM"/>
    <n v="0"/>
    <n v="1"/>
    <d v="2025-08-05T00:00:00"/>
    <x v="30"/>
  </r>
  <r>
    <s v="ORT-11980"/>
    <s v="C000420974"/>
    <s v="MANCHESTER AIRPORT T2 EAST WING NEW DEVELOPMENT"/>
    <n v="0"/>
    <n v="1"/>
    <d v="2025-08-05T00:00:00"/>
    <x v="30"/>
  </r>
  <r>
    <s v="ORT-11981"/>
    <s v="C000420976"/>
    <s v="CITY POINT CAT B FIT OUT FLOOR 7 PHAIDON LONDON"/>
    <n v="1"/>
    <n v="1"/>
    <d v="2025-08-05T00:00:00"/>
    <x v="30"/>
  </r>
  <r>
    <s v="ORT-11982"/>
    <s v="C000420977"/>
    <s v="UNKNOWN"/>
    <n v="10"/>
    <n v="0"/>
    <d v="2025-08-05T00:00:00"/>
    <x v="30"/>
  </r>
  <r>
    <s v="ORT-11983"/>
    <s v="C000420978"/>
    <s v="BIRMINGHAM HEALTH INNOVATION CAMPUS"/>
    <n v="0"/>
    <n v="1"/>
    <d v="2025-08-05T00:00:00"/>
    <x v="30"/>
  </r>
  <r>
    <s v="ORT-11984"/>
    <s v="C000420979"/>
    <s v="WIGMORE STREET NO 42 REFURB LONDON"/>
    <n v="1"/>
    <n v="1"/>
    <d v="2025-08-05T00:00:00"/>
    <x v="30"/>
  </r>
  <r>
    <s v="ORT-11985"/>
    <s v="C000420982"/>
    <s v="UNI OF CAMBRIDGE CHEMISTRY LECTURE CEILINGS FLR 2&amp;3 LIGHTING"/>
    <n v="0"/>
    <n v="1"/>
    <d v="2025-08-05T00:00:00"/>
    <x v="30"/>
  </r>
  <r>
    <s v="ORT-11986"/>
    <s v="C000420983"/>
    <s v="DISHOOM CANARY WHARF"/>
    <n v="10"/>
    <n v="0"/>
    <d v="2025-08-05T00:00:00"/>
    <x v="30"/>
  </r>
  <r>
    <s v="ORT-11987"/>
    <s v="C000420984"/>
    <s v="SKY STUDIOS GRANT WAY ISLEWORTH PHASE 2 LONDON"/>
    <n v="0"/>
    <n v="1"/>
    <d v="2025-08-05T00:00:00"/>
    <x v="30"/>
  </r>
  <r>
    <s v="ORT-11988"/>
    <s v="C000420985"/>
    <s v="KINGS CROSS CENTRAL GOOGLE HQ KGX1 CAT B LONDON"/>
    <n v="6"/>
    <n v="0"/>
    <d v="2025-08-05T00:00:00"/>
    <x v="30"/>
  </r>
  <r>
    <s v="ORT-11989"/>
    <s v="C000420986"/>
    <s v="KINGS CROSS CENTRAL GOOGLE HQ KGX1 CAT B LONDON"/>
    <n v="6"/>
    <n v="0"/>
    <d v="2025-08-05T00:00:00"/>
    <x v="30"/>
  </r>
  <r>
    <s v="ORT-11990"/>
    <s v="C000420987"/>
    <s v="KINGS CROSS CENTRAL GOOGLE HQ KGX1 CAT B LONDON"/>
    <n v="6"/>
    <n v="0"/>
    <d v="2025-08-05T00:00:00"/>
    <x v="30"/>
  </r>
  <r>
    <s v="ORT-11991"/>
    <s v="CF00000557"/>
    <s v="ALPHA BANK VE ALTERNATIVES FABRIC ATHENS"/>
    <n v="0"/>
    <n v="1"/>
    <d v="2025-08-06T00:00:00"/>
    <x v="30"/>
  </r>
  <r>
    <s v="ORT-11992"/>
    <s v="C000420960"/>
    <s v="ALPHA BANK VE ALTERNATIVES FABRIC ATHENS"/>
    <n v="0"/>
    <n v="1"/>
    <d v="2025-08-06T00:00:00"/>
    <x v="30"/>
  </r>
  <r>
    <s v="ORT-11993"/>
    <s v="CF00000555"/>
    <s v="COEUR DE NANTERRE UNIVERSITE"/>
    <n v="0"/>
    <n v="1"/>
    <d v="2025-08-06T00:00:00"/>
    <x v="30"/>
  </r>
  <r>
    <s v="ORT-11994"/>
    <s v="C000421002"/>
    <s v="OPTIMA AMR DEVELOPMENT PROJECT"/>
    <n v="0"/>
    <n v="1"/>
    <d v="2025-08-06T00:00:00"/>
    <x v="30"/>
  </r>
  <r>
    <s v="ORT-11995"/>
    <s v="CF00000557"/>
    <s v="ALPHA BANK VE ALTERNATIVES FABRIC ATHENS"/>
    <n v="0"/>
    <n v="1"/>
    <d v="2025-08-06T00:00:00"/>
    <x v="30"/>
  </r>
  <r>
    <s v="ORT-11996"/>
    <s v="C000421008"/>
    <s v="SCOTLAND &amp; NORTH EAST MISC 2025"/>
    <n v="3"/>
    <n v="0"/>
    <d v="2025-08-06T00:00:00"/>
    <x v="30"/>
  </r>
  <r>
    <s v="ORT-11997"/>
    <s v="C000421015"/>
    <s v="THREE SNOWHILL NATIONAL HIGHWAYS OFFICE BIRMINGHAM"/>
    <n v="7"/>
    <n v="0"/>
    <d v="2025-08-06T00:00:00"/>
    <x v="30"/>
  </r>
  <r>
    <s v="ORT-11998"/>
    <s v="C000421020"/>
    <s v="AURIOL DRIVE UNIT 3 GREENFORD LONDON"/>
    <n v="7"/>
    <n v="0"/>
    <d v="2025-08-06T00:00:00"/>
    <x v="30"/>
  </r>
  <r>
    <s v="ORT-12000"/>
    <s v="C000421024"/>
    <s v="KINGS CROSS CENTRAL GOOGLE HQ KGX1 CAT B LONDON"/>
    <n v="5"/>
    <n v="0"/>
    <d v="2025-08-06T00:00:00"/>
    <x v="30"/>
  </r>
  <r>
    <s v="ORT-12001"/>
    <s v="C000421025"/>
    <s v="KINGS CROSS CENTRAL GOOGLE HQ KGX1 CAT B LONDON"/>
    <n v="5"/>
    <n v="0"/>
    <d v="2025-08-06T00:00:00"/>
    <x v="30"/>
  </r>
  <r>
    <s v="ORT-12002"/>
    <s v="C000421026"/>
    <s v="KINGS CROSS CENTRAL GOOGLE HQ KGX1 CAT B LONDON"/>
    <n v="5"/>
    <n v="0"/>
    <d v="2025-08-06T00:00:00"/>
    <x v="30"/>
  </r>
  <r>
    <s v="ORT-12003"/>
    <s v="C000421027"/>
    <s v="KINGS CROSS CENTRAL GOOGLE HQ KGX1 CAT B LONDON"/>
    <n v="5"/>
    <n v="0"/>
    <d v="2025-08-06T00:00:00"/>
    <x v="30"/>
  </r>
  <r>
    <s v="ORT-12004"/>
    <s v="C000421028"/>
    <s v="EDEN CAMPUS UNILEVER CAT B KINGSTON"/>
    <n v="9"/>
    <n v="0"/>
    <d v="2025-08-06T00:00:00"/>
    <x v="30"/>
  </r>
  <r>
    <s v="ORT-12006"/>
    <s v="C000421035"/>
    <s v="PALACE STREET NO 16 CAT A FLOORS 1-2 LONDON"/>
    <n v="8"/>
    <n v="0"/>
    <d v="2025-08-07T00:00:00"/>
    <x v="30"/>
  </r>
  <r>
    <s v="ORT-12007"/>
    <s v="C000421037"/>
    <s v="EURSHELL MISC TILE &amp; GRID 2025"/>
    <n v="10"/>
    <n v="0"/>
    <d v="2025-08-07T00:00:00"/>
    <x v="30"/>
  </r>
  <r>
    <s v="ORT-12008"/>
    <s v="C000421039"/>
    <s v="LONDON MISC 2025"/>
    <n v="2"/>
    <n v="0"/>
    <d v="2025-08-07T00:00:00"/>
    <x v="30"/>
  </r>
  <r>
    <s v="ORT-12009"/>
    <s v="C000421041"/>
    <s v="ONE STATION HILL PWC CAT B FITOUT READING"/>
    <n v="0"/>
    <n v="1"/>
    <d v="2025-08-07T00:00:00"/>
    <x v="30"/>
  </r>
  <r>
    <s v="ORT-12010"/>
    <s v="C000421043"/>
    <s v="HARWELL CAMPUS PROJECT DEXTER PHASE 2 DIDCOT"/>
    <n v="2"/>
    <n v="0"/>
    <d v="2025-08-07T00:00:00"/>
    <x v="30"/>
  </r>
  <r>
    <s v="ORT-12011"/>
    <s v="C000421053"/>
    <s v="BANK STREET NO 40 LVL 19 REFURB LONDON"/>
    <n v="4"/>
    <n v="0"/>
    <d v="2025-08-07T00:00:00"/>
    <x v="30"/>
  </r>
  <r>
    <s v="ORT-12012"/>
    <s v="C000421055"/>
    <s v="UPPER GROUND NO 76-78 CAT B PAYPAL LONDON"/>
    <n v="1"/>
    <n v="1"/>
    <d v="2025-08-07T00:00:00"/>
    <x v="30"/>
  </r>
  <r>
    <s v="ORT-12013"/>
    <s v="C000421056"/>
    <s v="JACK TURNBULL MISC TILE &amp; GRID 2025"/>
    <n v="2"/>
    <n v="0"/>
    <d v="2025-08-07T00:00:00"/>
    <x v="30"/>
  </r>
  <r>
    <s v="ORT-12014"/>
    <s v="C000421057"/>
    <s v="CENTRO DE DATOS (CPD) SEGURIDAD SOCIAL SORIA"/>
    <n v="3"/>
    <n v="0"/>
    <d v="2025-08-07T00:00:00"/>
    <x v="30"/>
  </r>
  <r>
    <s v="ORT-12015"/>
    <s v="C000421058"/>
    <s v="LEADENHALL STREET NO 40 KIRKLAND &amp; ELLIS FLRS 15-34 LONDON"/>
    <n v="1"/>
    <n v="1"/>
    <d v="2025-08-07T00:00:00"/>
    <x v="30"/>
  </r>
  <r>
    <s v="ORT-12017"/>
    <s v="C000421060"/>
    <s v="CANARY WHARF BANK STREET NO 12 LONDON"/>
    <n v="3"/>
    <n v="0"/>
    <d v="2025-08-07T00:00:00"/>
    <x v="30"/>
  </r>
  <r>
    <s v="ORT-12018"/>
    <s v="C000421061"/>
    <s v="CANARY WHARF BANK STREET NO 12 LONDON"/>
    <n v="3"/>
    <n v="0"/>
    <d v="2025-08-07T00:00:00"/>
    <x v="30"/>
  </r>
  <r>
    <s v="ORT-12019"/>
    <s v="C000421066"/>
    <s v="INTERNATIONAL HOUSE ST KATHARINES DOCK FLOOR 4 LONDON"/>
    <n v="1"/>
    <n v="1"/>
    <d v="2025-08-08T00:00:00"/>
    <x v="30"/>
  </r>
  <r>
    <s v="ORT-12020"/>
    <s v="C000421070"/>
    <s v="GRAFTON GATE NO 401 3RD FLOOR REFURB MILTON KEYNES"/>
    <n v="1"/>
    <n v="1"/>
    <d v="2025-08-08T00:00:00"/>
    <x v="30"/>
  </r>
  <r>
    <s v="ORT-12021"/>
    <s v="C000421074"/>
    <s v="MOORFIELDS EYE HOSPITAL UCL INSTITUTE OF OPHTHALMOLOGY ORIEL"/>
    <n v="7"/>
    <n v="0"/>
    <d v="2025-08-08T00:00:00"/>
    <x v="30"/>
  </r>
  <r>
    <s v="ORT-12022"/>
    <s v="C000421075"/>
    <s v="SOUTH MOLTON TRIANGLE DEVELOPMENT NORTH BLOCK LONDON"/>
    <n v="1"/>
    <n v="1"/>
    <d v="2025-08-08T00:00:00"/>
    <x v="30"/>
  </r>
  <r>
    <s v="ORT-12023"/>
    <s v="C000421088"/>
    <s v="MANCHESTER AIRPORT T2 EAST WING NEW DEVELOPMENT"/>
    <n v="1"/>
    <n v="1"/>
    <d v="2025-08-11T00:00:00"/>
    <x v="31"/>
  </r>
  <r>
    <s v="ORT-12024"/>
    <s v="C000421093"/>
    <s v="ROPEMAKER STREET NO 20-22 LINKLATERS FIT-OUT LONDON"/>
    <n v="3"/>
    <n v="0"/>
    <d v="2025-08-11T00:00:00"/>
    <x v="31"/>
  </r>
  <r>
    <s v="ORT-12025"/>
    <s v="C000421095"/>
    <s v="LONDON MISC 2025"/>
    <n v="4"/>
    <n v="0"/>
    <d v="2025-08-11T00:00:00"/>
    <x v="31"/>
  </r>
  <r>
    <s v="ORT-12026"/>
    <m/>
    <s v="UBS OFFICE MODIFICATION DIFC DUBAI"/>
    <n v="0"/>
    <n v="1"/>
    <d v="2025-08-11T00:00:00"/>
    <x v="31"/>
  </r>
  <r>
    <s v="ORT-12027"/>
    <s v="CF00000558"/>
    <s v="ARC DE SEINE"/>
    <n v="0"/>
    <n v="1"/>
    <d v="2025-08-11T00:00:00"/>
    <x v="31"/>
  </r>
  <r>
    <s v="ORT-12028"/>
    <s v="C000421099"/>
    <s v="ROPEMAKER STREET NO 20-22 LINKLATERS FIT-OUT LONDON"/>
    <n v="0"/>
    <n v="1"/>
    <d v="2025-08-11T00:00:00"/>
    <x v="31"/>
  </r>
  <r>
    <s v="ORT-12029"/>
    <s v="C000421101"/>
    <s v="MONKLANDS REPLACEMENT HOSPITAL AIRDRIE"/>
    <n v="4"/>
    <n v="0"/>
    <d v="2025-08-11T00:00:00"/>
    <x v="31"/>
  </r>
  <r>
    <s v="ORT-12030"/>
    <s v="C000421102"/>
    <s v="EMBERTON HOUSE OLYMPIA REDEVELOPMENT FIT-OUT LONDON"/>
    <n v="3"/>
    <n v="0"/>
    <d v="2025-08-11T00:00:00"/>
    <x v="31"/>
  </r>
  <r>
    <s v="ORT-12031"/>
    <s v="C000421104"/>
    <s v="PADDINGTON CENTRAL KINGDOM ST NO 1 FLRS 1,6,8 EQUINOR LONDON"/>
    <n v="0"/>
    <n v="1"/>
    <d v="2025-08-11T00:00:00"/>
    <x v="31"/>
  </r>
  <r>
    <s v="ORT-12036"/>
    <s v="C000421111"/>
    <s v="Elvis and Kresse"/>
    <n v="25"/>
    <n v="0"/>
    <d v="2025-08-12T00:00:00"/>
    <x v="31"/>
  </r>
  <r>
    <s v="ORT-12037"/>
    <s v="C000421116"/>
    <s v="EMBERTON HOUSE OLYMPIA REDEVELOPMENT FIT-OUT LONDON"/>
    <n v="0"/>
    <n v="1"/>
    <d v="2025-08-12T00:00:00"/>
    <x v="31"/>
  </r>
  <r>
    <s v="ORT-12038"/>
    <s v="C000421119"/>
    <s v="TYPHOO WHARF REDEVELOPMENT DIGBETH BIRMINGHAM CAT A"/>
    <n v="4"/>
    <n v="0"/>
    <d v="2025-08-12T00:00:00"/>
    <x v="31"/>
  </r>
  <r>
    <s v="ORT-12039"/>
    <s v="C000421120"/>
    <s v="SAVILE ROW NO 23 ROKOS FLR 1 PHASE 2 LONDON"/>
    <n v="3"/>
    <n v="0"/>
    <d v="2025-08-12T00:00:00"/>
    <x v="31"/>
  </r>
  <r>
    <s v="ORT-12040"/>
    <s v="C000421121"/>
    <s v="ALDERSGATE ST NO 150 THE VERDANT TIKTOK FIT OUT LONDON"/>
    <n v="1"/>
    <n v="1"/>
    <d v="2025-08-12T00:00:00"/>
    <x v="31"/>
  </r>
  <r>
    <s v="ORT-12041"/>
    <s v="C000421124"/>
    <s v="OVAL VILLAGE KENNINGTON LANE PLOT B LONDON"/>
    <n v="11"/>
    <n v="0"/>
    <d v="2025-08-12T00:00:00"/>
    <x v="31"/>
  </r>
  <r>
    <s v="ORT-12042"/>
    <s v="C000421125"/>
    <s v="CENTRAL SQUARE NO 1 CAPITAL QUARTER CARDIFF"/>
    <n v="0"/>
    <n v="1"/>
    <d v="2025-08-12T00:00:00"/>
    <x v="31"/>
  </r>
  <r>
    <s v="ORT-12043"/>
    <s v="C000421126"/>
    <s v="SOUTH MISC 2025"/>
    <n v="3"/>
    <n v="0"/>
    <d v="2025-08-12T00:00:00"/>
    <x v="31"/>
  </r>
  <r>
    <s v="ORT-12044"/>
    <s v="C000421127"/>
    <s v="CANARY WHARF BANK STREET NO 12 LONDON"/>
    <n v="4"/>
    <n v="0"/>
    <d v="2025-08-12T00:00:00"/>
    <x v="31"/>
  </r>
  <r>
    <s v="ORT-12045"/>
    <s v="C000421130"/>
    <s v="JACK TURNBULL MISC TILE &amp; GRID 2025"/>
    <n v="3"/>
    <n v="0"/>
    <d v="2025-08-12T00:00:00"/>
    <x v="31"/>
  </r>
  <r>
    <s v="ORT-12046"/>
    <s v="C000421137"/>
    <s v="PADDINGTON CENTRAL KINGDOM ST NO 1 FLRS 1,6,8 EQUINOR LONDON"/>
    <n v="4"/>
    <n v="0"/>
    <d v="2025-08-12T00:00:00"/>
    <x v="31"/>
  </r>
  <r>
    <s v="ORT-12047"/>
    <s v="C000421138"/>
    <s v="BROADGATE NO 1-2 CAT B A&amp;O SHEARMAN FLOORS 1-7"/>
    <n v="0"/>
    <n v="1"/>
    <d v="2025-08-12T00:00:00"/>
    <x v="31"/>
  </r>
  <r>
    <s v="ORT-12048"/>
    <s v="C000421139"/>
    <s v="NR EAST KILBRIDE &amp; HAIRMYRES STATIONS"/>
    <n v="2"/>
    <n v="0"/>
    <d v="2025-08-12T00:00:00"/>
    <x v="31"/>
  </r>
  <r>
    <s v="ORT-12049"/>
    <s v="C000421141"/>
    <s v="VINE STREET NO 1 FLOORS 3-4 CAT A+ LONDON"/>
    <n v="2"/>
    <n v="0"/>
    <d v="2025-08-12T00:00:00"/>
    <x v="31"/>
  </r>
  <r>
    <s v="ORT-12050"/>
    <s v="C000421146"/>
    <s v="MORE LONDON RIVERSIDE NO 7 PWC REFRESH LONDON"/>
    <n v="0"/>
    <n v="1"/>
    <d v="2025-08-13T00:00:00"/>
    <x v="31"/>
  </r>
  <r>
    <s v="ORT-12051"/>
    <s v="C000421150"/>
    <s v="CANARY WHARF WOOD WHARF WATER STREET NO 20 LONDON"/>
    <n v="0"/>
    <n v="1"/>
    <d v="2025-08-13T00:00:00"/>
    <x v="31"/>
  </r>
  <r>
    <s v="ORT-12052"/>
    <s v="C000421156"/>
    <s v="DIAMOND LIGHT SOURCE DEB EXTENSIONS DIDCOT"/>
    <n v="1"/>
    <n v="1"/>
    <d v="2025-08-13T00:00:00"/>
    <x v="31"/>
  </r>
  <r>
    <s v="ORT-12053"/>
    <s v="C000421157"/>
    <s v="ST PHILIPS PLACE NO 5 BIRMINGHAM"/>
    <n v="0"/>
    <n v="1"/>
    <d v="2025-08-13T00:00:00"/>
    <x v="31"/>
  </r>
  <r>
    <s v="ORT-12054"/>
    <s v="C000421158"/>
    <s v="CENTRAL SQUARE NO 1 CAPITAL QUARTER CARDIFF"/>
    <n v="0"/>
    <n v="1"/>
    <d v="2025-08-13T00:00:00"/>
    <x v="31"/>
  </r>
  <r>
    <s v="ORT-12055"/>
    <s v="C000421159"/>
    <s v="THE AVENUES MALL &amp; TOWER 2 AL KHOBAR KSA"/>
    <n v="1"/>
    <n v="1"/>
    <d v="2025-08-13T00:00:00"/>
    <x v="31"/>
  </r>
  <r>
    <s v="ORT-12056"/>
    <s v="C000421162"/>
    <s v="EURSHELL MISC TILE &amp; GRID 2025"/>
    <n v="5"/>
    <n v="0"/>
    <d v="2025-08-13T00:00:00"/>
    <x v="31"/>
  </r>
  <r>
    <s v="ORT-12057"/>
    <s v="C000421163"/>
    <s v="MOORFIELDS NO 21 THE GLACIER CAT B DEUTSCHE BANK LONDON"/>
    <n v="1"/>
    <n v="1"/>
    <d v="2025-08-13T00:00:00"/>
    <x v="31"/>
  </r>
  <r>
    <s v="ORT-12059"/>
    <s v="C000421165"/>
    <s v="EDEN CAMPUS UNILEVER CAT B KINGSTON"/>
    <n v="4"/>
    <n v="0"/>
    <d v="2025-08-13T00:00:00"/>
    <x v="31"/>
  </r>
  <r>
    <s v="ORT-12060"/>
    <s v="C000421166"/>
    <s v="EDEN CAMPUS UNILEVER CAT B KINGSTON"/>
    <n v="4"/>
    <n v="0"/>
    <d v="2025-08-13T00:00:00"/>
    <x v="31"/>
  </r>
  <r>
    <s v="ORT-12061"/>
    <s v="C000421167"/>
    <s v="EDEN CAMPUS UNILEVER CAT B KINGSTON"/>
    <n v="4"/>
    <n v="0"/>
    <d v="2025-08-13T00:00:00"/>
    <x v="31"/>
  </r>
  <r>
    <s v="ORT-12062"/>
    <s v="C000421168"/>
    <s v="EDEN CAMPUS UNILEVER CAT B KINGSTON"/>
    <n v="4"/>
    <n v="0"/>
    <d v="2025-08-13T00:00:00"/>
    <x v="31"/>
  </r>
  <r>
    <s v="ORT-12063"/>
    <s v="C000421169"/>
    <s v="STAR AKUSTIK ALTDORF"/>
    <n v="0"/>
    <n v="1"/>
    <d v="2025-08-14T00:00:00"/>
    <x v="31"/>
  </r>
  <r>
    <s v="ORT-12064"/>
    <s v="C000421178"/>
    <s v="NDA KIRKLEE MOD HEREFORD"/>
    <n v="0"/>
    <n v="1"/>
    <d v="2025-08-14T00:00:00"/>
    <x v="31"/>
  </r>
  <r>
    <s v="ORT-12065"/>
    <s v="C000421185"/>
    <s v="EDEN CAMPUS UNILEVER CAT B KINGSTON"/>
    <n v="1"/>
    <n v="1"/>
    <d v="2025-08-14T00:00:00"/>
    <x v="31"/>
  </r>
  <r>
    <s v="ORT-12066"/>
    <s v="C000421187"/>
    <s v="PALM BEACH TOWER PALM JUMEIRAH"/>
    <n v="0"/>
    <n v="1"/>
    <d v="2025-08-14T00:00:00"/>
    <x v="31"/>
  </r>
  <r>
    <s v="ORT-12067"/>
    <s v="C000421188"/>
    <s v="QIDDIYA MOTORSPORT PKG 2 &amp; 3 BOH RIYADH"/>
    <n v="0"/>
    <n v="1"/>
    <d v="2025-08-14T00:00:00"/>
    <x v="31"/>
  </r>
  <r>
    <s v="ORT-12068"/>
    <s v="C000421190"/>
    <s v="STRAND NO 111 CVC REFURB FLOORS 1-6 LONDON"/>
    <n v="2"/>
    <n v="0"/>
    <d v="2025-08-14T00:00:00"/>
    <x v="31"/>
  </r>
  <r>
    <s v="ORT-12072"/>
    <s v="C000421208"/>
    <s v="MARK LANE NO 70 LVL 11 CAT A LONDON"/>
    <n v="9"/>
    <n v="0"/>
    <d v="2025-08-15T00:00:00"/>
    <x v="31"/>
  </r>
  <r>
    <s v="ORT-12073"/>
    <s v="C000421209"/>
    <s v="LONDON MISC 2025"/>
    <n v="4"/>
    <n v="0"/>
    <d v="2025-08-15T00:00:00"/>
    <x v="31"/>
  </r>
  <r>
    <s v="ORT-12074"/>
    <s v="C000421214"/>
    <s v="NEW BRIDGE STREET NO 100 CAT A+ LONDON"/>
    <n v="0"/>
    <n v="1"/>
    <d v="2025-08-15T00:00:00"/>
    <x v="31"/>
  </r>
  <r>
    <s v="ORT-12075"/>
    <s v="C000421216"/>
    <s v="STEPHEN STREET NO 1-2 FLOOR 9 &amp; 10 ADDITIONALS LONDON"/>
    <n v="2"/>
    <n v="0"/>
    <d v="2025-08-15T00:00:00"/>
    <x v="31"/>
  </r>
  <r>
    <s v="ORT-12076"/>
    <s v="C000421225"/>
    <s v="MORE LONDON NO 6 CAT A LONDON"/>
    <n v="0"/>
    <n v="1"/>
    <d v="2025-08-18T00:00:00"/>
    <x v="32"/>
  </r>
  <r>
    <s v="ORT-12077"/>
    <s v="C000421230"/>
    <s v="QUEENSBERRY HOUSE OLD BURLINGTON STREET NO 3 MOCK UP LONDON"/>
    <n v="0"/>
    <n v="1"/>
    <d v="2025-08-18T00:00:00"/>
    <x v="32"/>
  </r>
  <r>
    <s v="ORT-12078"/>
    <s v="C000421232"/>
    <s v="LONDON MISC 2025"/>
    <n v="6"/>
    <n v="0"/>
    <d v="2025-08-18T00:00:00"/>
    <x v="32"/>
  </r>
  <r>
    <s v="ORT-12079"/>
    <s v="C000421238"/>
    <s v="OLD LIBRARY TRINITY STREET NO 18 CARDIFF"/>
    <n v="0"/>
    <n v="1"/>
    <d v="2025-08-18T00:00:00"/>
    <x v="32"/>
  </r>
  <r>
    <s v="ORT-12080"/>
    <m/>
    <s v="EURSHELL MISC TILE &amp; GRID 2025"/>
    <n v="26"/>
    <n v="0"/>
    <d v="2025-08-18T00:00:00"/>
    <x v="32"/>
  </r>
  <r>
    <s v="ORT-12081"/>
    <s v="C000421245"/>
    <s v="SAINSBURYS MISC 2025"/>
    <n v="2"/>
    <n v="0"/>
    <d v="2025-08-18T00:00:00"/>
    <x v="32"/>
  </r>
  <r>
    <s v="ORT-12082"/>
    <s v="C000421250"/>
    <s v="WORKPLACE INTERIORS MISC 2025"/>
    <n v="1"/>
    <n v="1"/>
    <d v="2025-08-18T00:00:00"/>
    <x v="32"/>
  </r>
  <r>
    <s v="ORT-12084"/>
    <s v="C000421255"/>
    <s v="WAVERLEY GATE FLR 2 REFURB EDINBURGH"/>
    <n v="1"/>
    <n v="1"/>
    <d v="2025-08-19T00:00:00"/>
    <x v="32"/>
  </r>
  <r>
    <s v="ORT-12085"/>
    <s v="C000421257"/>
    <s v="HUNDRED OF HOO ACADEMY MAIN ROAD ROCHESTER"/>
    <n v="0"/>
    <n v="1"/>
    <d v="2025-08-19T00:00:00"/>
    <x v="32"/>
  </r>
  <r>
    <s v="ORT-12086"/>
    <s v="C000421262"/>
    <s v="DAKOTA HOTEL MANCHESTER AIRPORT"/>
    <n v="2"/>
    <n v="0"/>
    <d v="2025-08-19T00:00:00"/>
    <x v="32"/>
  </r>
  <r>
    <s v="ORT-12087"/>
    <s v="C000421268"/>
    <s v="ABBEY LANE STUDENT ACCOMMODATION EDINBURGH"/>
    <n v="1"/>
    <n v="1"/>
    <d v="2025-08-19T00:00:00"/>
    <x v="32"/>
  </r>
  <r>
    <s v="ORT-12088"/>
    <m/>
    <s v="ABBEY LANE STUDENT ACCOMMODATION EDINBURGH"/>
    <n v="25"/>
    <n v="0"/>
    <d v="2025-08-19T00:00:00"/>
    <x v="32"/>
  </r>
  <r>
    <s v="ORT-12089"/>
    <s v="C000421270"/>
    <s v="MANCHESTER AIRPORT T2 EAST WING NEW DEVELOPMENT"/>
    <n v="0"/>
    <n v="1"/>
    <d v="2025-08-19T00:00:00"/>
    <x v="32"/>
  </r>
  <r>
    <s v="ORT-12090"/>
    <s v="C000421274"/>
    <s v="CITY POINT L1 AND LGF HAYMARKET TERRACE NO 65 EDINBURGH"/>
    <n v="14"/>
    <n v="0"/>
    <d v="2025-08-19T00:00:00"/>
    <x v="32"/>
  </r>
  <r>
    <s v="ORT-12091"/>
    <m/>
    <s v="MEC KSA BENOY PROJECT RIYADH"/>
    <n v="0"/>
    <n v="1"/>
    <d v="2025-08-19T00:00:00"/>
    <x v="32"/>
  </r>
  <r>
    <s v="ORT-12092"/>
    <s v="C000421277"/>
    <s v="AL NAMAA GENERAL HOSPITAL NORTH SHARQIYAH OMAN"/>
    <n v="25"/>
    <n v="0"/>
    <d v="2025-08-19T00:00:00"/>
    <x v="32"/>
  </r>
  <r>
    <s v="ORT-12093"/>
    <s v="C000421279"/>
    <s v="SANCTUARY BUILDINGS GREAT SMITH ST PHASE 2 FLRS B-3 LONDON"/>
    <n v="1"/>
    <n v="1"/>
    <d v="2025-08-19T00:00:00"/>
    <x v="32"/>
  </r>
  <r>
    <s v="ORT-12094"/>
    <s v="C000421281"/>
    <s v="WORKPLACE INTERIORS MISC 2025"/>
    <n v="3"/>
    <n v="0"/>
    <d v="2025-08-19T00:00:00"/>
    <x v="32"/>
  </r>
  <r>
    <s v="ORT-12095"/>
    <s v="C000421285"/>
    <s v="WAVERLEY GATE FLR 2 REFURB EDINBURGH"/>
    <n v="1"/>
    <n v="1"/>
    <d v="2025-08-19T00:00:00"/>
    <x v="32"/>
  </r>
  <r>
    <s v="ORT-12096"/>
    <s v="C000421289"/>
    <s v="KING WILLIAM STREET NO 45 REGIS HOUSE FLRS 1 &amp; 5-7 LONDON"/>
    <n v="0"/>
    <n v="1"/>
    <d v="2025-08-20T00:00:00"/>
    <x v="32"/>
  </r>
  <r>
    <s v="ORT-12097"/>
    <s v="C000421297"/>
    <s v="GILTSPUR STREET NO 20 PROJECT EDWARD LONDON"/>
    <n v="2"/>
    <n v="0"/>
    <d v="2025-08-20T00:00:00"/>
    <x v="32"/>
  </r>
  <r>
    <s v="ORT-12098"/>
    <s v="C000421298"/>
    <s v="SANCTUARY BUILDINGS GREAT SMITH ST PHASE 2 FLRS B-3 LONDON"/>
    <n v="1"/>
    <n v="1"/>
    <d v="2025-08-20T00:00:00"/>
    <x v="32"/>
  </r>
  <r>
    <s v="ORT-12099"/>
    <s v="C000421301"/>
    <s v="SANCTUARY BUILDINGS GREAT SMITH ST PHASE 2 FLRS B-3 LONDON"/>
    <n v="1"/>
    <n v="1"/>
    <d v="2025-08-20T00:00:00"/>
    <x v="32"/>
  </r>
  <r>
    <s v="ORT-12100"/>
    <s v="C000421302"/>
    <s v="SANCTUARY BUILDINGS GREAT SMITH ST PHASE 2 FLRS B-3 LONDON"/>
    <n v="1"/>
    <n v="1"/>
    <d v="2025-08-20T00:00:00"/>
    <x v="32"/>
  </r>
  <r>
    <s v="ORT-12101"/>
    <s v="C000421303"/>
    <s v="SANCTUARY BUILDINGS GREAT SMITH ST PHASE 2 FLRS B-3 LONDON"/>
    <n v="1"/>
    <n v="1"/>
    <d v="2025-08-20T00:00:00"/>
    <x v="32"/>
  </r>
  <r>
    <s v="ORT-12102"/>
    <s v="C000421306"/>
    <s v="NDA KIRKLEE MOD HEREFORD"/>
    <n v="8"/>
    <n v="0"/>
    <d v="2025-08-20T00:00:00"/>
    <x v="32"/>
  </r>
  <r>
    <s v="ORT-12103"/>
    <s v="C000421308"/>
    <s v="SAMPLE ROOM READING"/>
    <n v="0"/>
    <n v="1"/>
    <d v="2025-08-20T00:00:00"/>
    <x v="32"/>
  </r>
  <r>
    <s v="ORT-12104"/>
    <s v="C000421315"/>
    <s v="DUDLEY INTERCHANGE FISHER STREET"/>
    <n v="4"/>
    <n v="0"/>
    <d v="2025-08-20T00:00:00"/>
    <x v="32"/>
  </r>
  <r>
    <s v="ORT-12105"/>
    <s v="C000421316"/>
    <s v="JACK TURNBULL MISC TILE &amp; GRID 2025"/>
    <n v="1"/>
    <n v="1"/>
    <d v="2025-08-20T00:00:00"/>
    <x v="32"/>
  </r>
  <r>
    <s v="ORT-12106"/>
    <s v="C000421318"/>
    <s v="NEW BRIDGE STREET NO 100 CAT A+ LONDON"/>
    <n v="1"/>
    <n v="1"/>
    <d v="2025-08-20T00:00:00"/>
    <x v="32"/>
  </r>
  <r>
    <s v="ORT-12107"/>
    <s v="C000421323"/>
    <s v="ELEPHANT &amp; CASTLE TOWN CENTRE PLOT E2 &amp; E3 LONDON"/>
    <n v="3"/>
    <n v="0"/>
    <d v="2025-08-21T00:00:00"/>
    <x v="32"/>
  </r>
  <r>
    <s v="ORT-12108"/>
    <s v="C000421324"/>
    <s v="ARIMA OFFICES MADRID"/>
    <n v="0"/>
    <n v="1"/>
    <d v="2025-08-21T00:00:00"/>
    <x v="32"/>
  </r>
  <r>
    <s v="ORT-12109"/>
    <s v="C000421325"/>
    <s v="MISC TILE &amp; GRID PROJECTS"/>
    <n v="6"/>
    <n v="0"/>
    <d v="2025-08-21T00:00:00"/>
    <x v="32"/>
  </r>
  <r>
    <s v="ORT-12110"/>
    <s v="C000421326"/>
    <s v="NEW YORK STREET NO 1 CAT B REFURB MANCHESTER"/>
    <n v="0"/>
    <n v="1"/>
    <d v="2025-08-21T00:00:00"/>
    <x v="32"/>
  </r>
  <r>
    <s v="ORT-12111"/>
    <s v="C000421327"/>
    <s v="KIRYAT MIGDAL RENOVATION"/>
    <n v="7"/>
    <n v="0"/>
    <d v="2025-08-21T00:00:00"/>
    <x v="32"/>
  </r>
  <r>
    <s v="ORT-12112"/>
    <s v="C000421328"/>
    <s v="UNIVERSITY OF HERTFORDSHIRE TODD BUILDING"/>
    <n v="0"/>
    <n v="1"/>
    <d v="2025-08-21T00:00:00"/>
    <x v="32"/>
  </r>
  <r>
    <s v="ORT-12113"/>
    <s v="C000421338"/>
    <s v="SAMPLE ROOM READING"/>
    <n v="7"/>
    <n v="0"/>
    <d v="2025-08-21T00:00:00"/>
    <x v="32"/>
  </r>
  <r>
    <s v="ORT-12114"/>
    <s v="C000421347"/>
    <s v="MARKS &amp; SPENCER DOUGLAS"/>
    <n v="7"/>
    <n v="0"/>
    <d v="2025-08-21T00:00:00"/>
    <x v="32"/>
  </r>
  <r>
    <s v="ORT-12117"/>
    <s v="C000421363"/>
    <s v="LONDON MISC 2025"/>
    <n v="2"/>
    <n v="0"/>
    <d v="2025-08-22T00:00:00"/>
    <x v="32"/>
  </r>
  <r>
    <s v="ORT-12118"/>
    <s v="C000421364"/>
    <s v="STORE ROAD WOOLWICH LONDON"/>
    <n v="0"/>
    <n v="1"/>
    <d v="2025-08-22T00:00:00"/>
    <x v="32"/>
  </r>
  <r>
    <s v="ORT-12119"/>
    <s v="C000421368"/>
    <s v="WELLS STREET NO 80 WELLS HOUSE THE RIBBON LONDON"/>
    <n v="2"/>
    <n v="0"/>
    <d v="2025-08-22T00:00:00"/>
    <x v="32"/>
  </r>
  <r>
    <s v="ORT-12120"/>
    <s v="C000421369"/>
    <s v="VILLAGE HOTEL ASHTON MANCHESTER"/>
    <n v="0"/>
    <n v="1"/>
    <d v="2025-08-22T00:00:00"/>
    <x v="32"/>
  </r>
  <r>
    <s v="ORT-12121"/>
    <s v="C000421370"/>
    <s v="LEADENHALL STREET NO 40 KIRKLAND &amp; ELLIS FLRS 15-34 LONDON"/>
    <n v="0"/>
    <n v="1"/>
    <d v="2025-08-22T00:00:00"/>
    <x v="32"/>
  </r>
  <r>
    <s v="ORT-12122"/>
    <s v="C000421371"/>
    <s v="GROSVENOR STREET NO 77 FLOOR 4 PHASE 2 LONDON"/>
    <n v="2"/>
    <n v="0"/>
    <d v="2025-08-22T00:00:00"/>
    <x v="32"/>
  </r>
  <r>
    <s v="ORT-12123"/>
    <s v="C000421372"/>
    <s v="LEADENHALL STREET NO 40 KIRKLAND &amp; ELLIS FLRS 15-34 LONDON"/>
    <n v="4"/>
    <n v="0"/>
    <d v="2025-08-22T00:00:00"/>
    <x v="32"/>
  </r>
  <r>
    <s v="ORT-12124"/>
    <s v="C000421376"/>
    <s v="EXCHANGE SQUARE NO 1 CAT A REFURB LONDON"/>
    <n v="0"/>
    <n v="1"/>
    <d v="2025-08-22T00:00:00"/>
    <x v="32"/>
  </r>
  <r>
    <s v="ORT-12125"/>
    <s v="C000421377"/>
    <s v="LIVERPOOL STREET NO 100 CAT B MILBANK LLP LEVEL 7 LONDON"/>
    <n v="2"/>
    <n v="0"/>
    <d v="2025-08-22T00:00:00"/>
    <x v="32"/>
  </r>
  <r>
    <s v="ORT-12130"/>
    <s v="C000421382"/>
    <s v="HUMPHRYS ROAD UNIT 1 &amp; 1A WOODSIDE DUNSTABLE"/>
    <n v="4"/>
    <n v="0"/>
    <d v="2025-08-26T00:00:00"/>
    <x v="33"/>
  </r>
  <r>
    <s v="ORT-12131"/>
    <s v="C000421383"/>
    <s v="ACS HANGAR CAFE EWELL ROAD NO 171-185 SURBITON"/>
    <n v="0"/>
    <n v="1"/>
    <d v="2025-08-26T00:00:00"/>
    <x v="33"/>
  </r>
  <r>
    <s v="ORT-12132"/>
    <s v="C000421391"/>
    <s v="CIRCLE SQUARE NO 3 AUTOTRADER FITOUT MANCHESTER"/>
    <n v="4"/>
    <n v="0"/>
    <d v="2025-08-26T00:00:00"/>
    <x v="33"/>
  </r>
  <r>
    <s v="ORT-12133"/>
    <s v="C000421392"/>
    <s v="MARRIOTT HOTEL &amp; EXECUTIVE APARTMENTS KAMPALA"/>
    <n v="0"/>
    <n v="1"/>
    <d v="2025-08-26T00:00:00"/>
    <x v="33"/>
  </r>
  <r>
    <s v="ORT-12134"/>
    <s v="C000421393"/>
    <s v="HERBAL HILL NO 3-7 FLOORS 1 &amp; 4 FIT OUT LONDON"/>
    <n v="4"/>
    <n v="0"/>
    <d v="2025-08-26T00:00:00"/>
    <x v="33"/>
  </r>
  <r>
    <s v="ORT-12135"/>
    <s v="C000421399"/>
    <s v="MOH SUWAIQ HOSPITAL ADDTL MATERIALS OMAN"/>
    <n v="0"/>
    <n v="1"/>
    <d v="2025-08-26T00:00:00"/>
    <x v="33"/>
  </r>
  <r>
    <s v="ORT-12136"/>
    <s v="C000421400"/>
    <s v="MOH KHASAB HOSPITAL ADDTL MATERIALS OMAN"/>
    <n v="0"/>
    <n v="1"/>
    <d v="2025-08-26T00:00:00"/>
    <x v="33"/>
  </r>
  <r>
    <s v="ORT-12138"/>
    <s v="C000421401"/>
    <s v="STONECUTTER COURT CAT B TRAVERS SMITH LONDON"/>
    <n v="1"/>
    <n v="1"/>
    <d v="2025-08-26T00:00:00"/>
    <x v="33"/>
  </r>
  <r>
    <s v="ORT-12139"/>
    <s v="C000421403"/>
    <s v="MOH KHASAB HOSPITAL ADDTL MATERIALS OMAN"/>
    <n v="0"/>
    <n v="1"/>
    <d v="2025-08-26T00:00:00"/>
    <x v="33"/>
  </r>
  <r>
    <s v="ORT-12140"/>
    <s v="C000421404"/>
    <s v="WORKPLACE INTERIORS MISC 2025"/>
    <n v="2"/>
    <n v="0"/>
    <d v="2025-08-26T00:00:00"/>
    <x v="33"/>
  </r>
  <r>
    <s v="ORT-12141"/>
    <s v="C000421411"/>
    <s v="WEYBRIDGE INNOVATION FACILITY HALEON (GSK) THE HEIGHTS - NDA"/>
    <n v="0"/>
    <n v="1"/>
    <d v="2025-08-27T00:00:00"/>
    <x v="33"/>
  </r>
  <r>
    <s v="ORT-12142"/>
    <s v="C000421414"/>
    <s v="GSK OLIGO HUB BUILDING 6 STEVENAGE"/>
    <n v="0"/>
    <n v="1"/>
    <d v="2025-08-27T00:00:00"/>
    <x v="33"/>
  </r>
  <r>
    <s v="ORT-12143"/>
    <s v="C000421416"/>
    <s v="BRINDLEY PLACE NO 10 FLR 6 BIRMINGHAM"/>
    <n v="1"/>
    <n v="1"/>
    <d v="2025-08-27T00:00:00"/>
    <x v="33"/>
  </r>
  <r>
    <s v="ORT-12144"/>
    <s v="C000421417"/>
    <s v="THE OXFORD SCIENCE PARK PLOTS NO 23-26 OXFORD"/>
    <n v="3"/>
    <n v="0"/>
    <d v="2025-08-27T00:00:00"/>
    <x v="33"/>
  </r>
  <r>
    <s v="ORT-12145"/>
    <s v="C000421420"/>
    <s v="FINSBURY AVENUE NO 2 DEVELOPMENT LONDON"/>
    <n v="0"/>
    <n v="1"/>
    <d v="2025-08-27T00:00:00"/>
    <x v="33"/>
  </r>
  <r>
    <s v="ORT-12146"/>
    <s v="C000421423"/>
    <s v="GRESHAM STREET NO 20 DILAP LONDON"/>
    <n v="1"/>
    <n v="1"/>
    <d v="2025-08-27T00:00:00"/>
    <x v="33"/>
  </r>
  <r>
    <s v="ORT-12147"/>
    <m/>
    <s v="WORKPLACE INTERIORS MISC 2025"/>
    <n v="1"/>
    <n v="1"/>
    <d v="2025-08-27T00:00:00"/>
    <x v="33"/>
  </r>
  <r>
    <s v="ORT-12148"/>
    <s v="C000421451"/>
    <s v="RITZ HOTEL PICCADILLY NO 150 PROJECT PICNIC LONDON"/>
    <n v="2"/>
    <n v="0"/>
    <d v="2025-08-28T00:00:00"/>
    <x v="33"/>
  </r>
  <r>
    <s v="ORT-12149"/>
    <s v="C000421453"/>
    <s v="LONDON MISC 2025"/>
    <n v="0"/>
    <n v="1"/>
    <d v="2025-08-28T00:00:00"/>
    <x v="33"/>
  </r>
  <r>
    <s v="ORT-12150"/>
    <s v="C000421455"/>
    <s v="HEATHROW T5 WATCHES OF SWITZERLAND STORE"/>
    <n v="1"/>
    <n v="1"/>
    <d v="2025-08-28T00:00:00"/>
    <x v="33"/>
  </r>
  <r>
    <s v="ORT-12151"/>
    <s v="C000421459"/>
    <s v="BARCELONA AIRPORT T2 &amp; T1"/>
    <n v="0"/>
    <n v="1"/>
    <d v="2025-08-28T00:00:00"/>
    <x v="33"/>
  </r>
  <r>
    <s v="ORT-12152"/>
    <s v="C000421461"/>
    <s v="ALDERSGATE ST NO 150 THE VERDANT TIKTOK FIT OUT LONDON"/>
    <n v="2"/>
    <n v="0"/>
    <d v="2025-08-28T00:00:00"/>
    <x v="33"/>
  </r>
  <r>
    <s v="ORT-12153"/>
    <s v="C000421462"/>
    <s v="EDEN CAMPUS UNILEVER CAT B KINGSTON"/>
    <n v="0"/>
    <n v="1"/>
    <d v="2025-08-28T00:00:00"/>
    <x v="33"/>
  </r>
  <r>
    <s v="ORT-12154"/>
    <s v="C000421464"/>
    <s v="CENTRAL BANK OF IRAQ HEADQUARTERS BAGHDAD"/>
    <n v="0"/>
    <n v="1"/>
    <d v="2025-08-28T00:00:00"/>
    <x v="33"/>
  </r>
  <r>
    <s v="ORT-12155"/>
    <s v="C000421467"/>
    <s v="MIRA TECHNOLOGIES WORKSHOPS PHASE 3 NUNEATON"/>
    <n v="18"/>
    <n v="0"/>
    <d v="2025-08-28T00:00:00"/>
    <x v="33"/>
  </r>
  <r>
    <s v="ORT-12156"/>
    <s v="C000421470"/>
    <s v="HSBC PLATINUM MSHEIREB DOHA QATAR"/>
    <n v="0"/>
    <n v="1"/>
    <d v="2025-08-28T00:00:00"/>
    <x v="33"/>
  </r>
  <r>
    <s v="ORT-12157"/>
    <s v="C000421471"/>
    <s v="WOOLWICH LEISURE CENTRE PHASE 1 TRAMSHED THEATRE LONDON"/>
    <n v="0"/>
    <n v="1"/>
    <d v="2025-08-28T00:00:00"/>
    <x v="33"/>
  </r>
  <r>
    <s v="ORT-12158"/>
    <s v="C000421474"/>
    <s v="BISHOPSGATE NO 22 LEVEL 9 AMWINS REFURB LONDON"/>
    <n v="2"/>
    <n v="0"/>
    <d v="2025-08-28T00:00:00"/>
    <x v="33"/>
  </r>
  <r>
    <s v="ORT-12159"/>
    <s v="C000421475"/>
    <s v="GRUPO JORGE OFICINAS ZARAGOZA"/>
    <n v="18"/>
    <n v="0"/>
    <d v="2025-08-28T00:00:00"/>
    <x v="33"/>
  </r>
  <r>
    <s v="ORT-12160"/>
    <s v="C000421481"/>
    <s v="VINE STREET NO 1 FLOORS 3-4 CAT A+ LONDON"/>
    <n v="1"/>
    <n v="1"/>
    <d v="2025-08-29T00:00:00"/>
    <x v="33"/>
  </r>
  <r>
    <s v="ORT-12162"/>
    <s v="C000421486"/>
    <s v="SKY STUDIOS GRANT WAY ISLEWORTH PHASE 2 LONDON"/>
    <n v="7"/>
    <n v="0"/>
    <d v="2025-08-29T00:00:00"/>
    <x v="33"/>
  </r>
  <r>
    <s v="ORT-12163"/>
    <s v="C000421490"/>
    <s v="CHEAPSIDE NO 100 CAT B CRAVAITH SWAINE &amp; MOORE LONDON"/>
    <n v="0"/>
    <n v="1"/>
    <d v="2025-08-29T00:00:00"/>
    <x v="33"/>
  </r>
  <r>
    <s v="ORT-12164"/>
    <s v="C000421488"/>
    <s v="EURSHELL MISC TILE &amp; GRID 2025"/>
    <n v="1"/>
    <n v="1"/>
    <d v="2025-08-29T00:00:00"/>
    <x v="33"/>
  </r>
  <r>
    <s v="ORT-12165"/>
    <s v="C000421485"/>
    <s v="EURSHELL MISC TILE &amp; GRID 2025"/>
    <n v="1"/>
    <n v="1"/>
    <d v="2025-08-29T00:00:00"/>
    <x v="33"/>
  </r>
  <r>
    <s v="ORT-12166"/>
    <s v="C000421493"/>
    <s v="ALDERSGATE ST NO 150 THE VERDANT TIKTOK FIT OUT LONDON"/>
    <n v="1"/>
    <n v="1"/>
    <d v="2025-08-29T00:00:00"/>
    <x v="33"/>
  </r>
  <r>
    <s v="ORT-12167"/>
    <s v="C000421494"/>
    <s v="WINCHESTER COLLEGE BOARDING AND SPORTS FACILITIES"/>
    <n v="1"/>
    <n v="1"/>
    <d v="2025-08-29T00:00:00"/>
    <x v="33"/>
  </r>
  <r>
    <s v="ORT-12168"/>
    <s v="C000421510"/>
    <s v="RITZ HOTEL PICCADILLY NO 150 PROJECT PICNIC LONDON"/>
    <n v="0"/>
    <n v="1"/>
    <d v="2025-09-01T00:00:00"/>
    <x v="34"/>
  </r>
  <r>
    <s v="ORT-12169"/>
    <s v="C000421511"/>
    <s v="LONDON MISC 2025"/>
    <n v="0"/>
    <n v="1"/>
    <d v="2025-09-01T00:00:00"/>
    <x v="34"/>
  </r>
  <r>
    <s v="ORT-12170"/>
    <s v="C000421514"/>
    <s v="LEADENHALL STREET NO 40 KIRKLAND &amp; ELLIS FLRS 15-34 LONDON"/>
    <n v="0"/>
    <n v="1"/>
    <d v="2025-09-01T00:00:00"/>
    <x v="34"/>
  </r>
  <r>
    <s v="ORT-12171"/>
    <s v="C000421522"/>
    <s v="CITY POINT 2ND FLR HAYMARKET TERRACE NO 65 EDINBURGH"/>
    <n v="0"/>
    <n v="1"/>
    <d v="2025-09-01T00:00:00"/>
    <x v="34"/>
  </r>
  <r>
    <s v="ORT-12172"/>
    <s v="C000421525"/>
    <s v="LANCASTER WHARF GUN QUARTER BIRMINGHAM"/>
    <n v="0"/>
    <n v="1"/>
    <d v="2025-09-01T00:00:00"/>
    <x v="34"/>
  </r>
  <r>
    <s v="ORT-12173"/>
    <s v="C000421529"/>
    <s v="HEATHROW CP19 MAIN WORKS LEVEL 00 CAMPUS PRECINCTS"/>
    <n v="0"/>
    <n v="1"/>
    <d v="2025-09-01T00:00:00"/>
    <x v="34"/>
  </r>
  <r>
    <s v="ORT-12174"/>
    <s v="C000421546"/>
    <s v="TRINITY BY BREAKTHROUGH FLR 1 OXFORD BUSINESS PARK"/>
    <n v="0"/>
    <n v="1"/>
    <d v="2025-09-02T00:00:00"/>
    <x v="34"/>
  </r>
  <r>
    <s v="ORT-12175"/>
    <s v="C000421549"/>
    <s v="CANARY WHARF CANADA SQUARE NO 25 CITIBANK REFURB LONDON"/>
    <n v="0"/>
    <n v="1"/>
    <d v="2025-09-02T00:00:00"/>
    <x v="34"/>
  </r>
  <r>
    <s v="ORT-12176"/>
    <s v="C000421556"/>
    <s v="LONDON MISC 2025"/>
    <n v="0"/>
    <n v="1"/>
    <d v="2025-09-02T00:00:00"/>
    <x v="34"/>
  </r>
  <r>
    <s v="ORT-12177"/>
    <s v="C000421557"/>
    <s v="JACK TURNBULL MISC TILE &amp; GRID 2025"/>
    <n v="0"/>
    <n v="1"/>
    <d v="2025-09-02T00:00:00"/>
    <x v="34"/>
  </r>
  <r>
    <s v="ORT-12178"/>
    <s v="C000421558"/>
    <s v="LONDON MISC 2025"/>
    <n v="0"/>
    <n v="1"/>
    <d v="2025-09-02T00:00:00"/>
    <x v="34"/>
  </r>
  <r>
    <s v="ORT-12181"/>
    <m/>
    <s v="VERDE BY SOBHA MIXED DEVT PLOT 3935816 JLT DUBAI"/>
    <n v="0"/>
    <n v="1"/>
    <d v="2025-09-02T00:00:00"/>
    <x v="34"/>
  </r>
  <r>
    <s v="ORT-12182"/>
    <s v="C000421570"/>
    <s v="UNI OF OXFORD INSTITUTE FOR GLOBAL HEALTH BLDG"/>
    <n v="0"/>
    <n v="1"/>
    <d v="2025-09-03T00:00:00"/>
    <x v="34"/>
  </r>
  <r>
    <s v="ORT-12183"/>
    <s v="C000421577"/>
    <s v="UNKNOWN"/>
    <n v="0"/>
    <n v="1"/>
    <d v="2025-09-03T00:00:00"/>
    <x v="34"/>
  </r>
  <r>
    <s v="ORT-12184"/>
    <s v="C000421578"/>
    <s v="UNKNOWN"/>
    <n v="0"/>
    <n v="1"/>
    <d v="2025-09-03T00:00:00"/>
    <x v="34"/>
  </r>
  <r>
    <s v="ORT-12185"/>
    <s v="C000419293"/>
    <s v="TRINITY BY BREAKTHROUGH FLR 1 OXFORD BUSINESS PARK"/>
    <n v="0"/>
    <n v="1"/>
    <d v="2025-09-03T00:00:00"/>
    <x v="34"/>
  </r>
  <r>
    <s v="ORT-12186"/>
    <s v="C000421584"/>
    <s v="SALISBURY SQUARE DEVELOPMENT COURT BUILDING LONDON"/>
    <n v="16"/>
    <n v="0"/>
    <d v="2025-09-03T00:00:00"/>
    <x v="34"/>
  </r>
  <r>
    <s v="ORT-12187"/>
    <s v="C000421585"/>
    <s v="NEWATER HOUSE NEWHALL STREET FLOOR 2 BIRMINGHAM"/>
    <n v="0"/>
    <n v="1"/>
    <d v="2025-09-03T00:00:00"/>
    <x v="34"/>
  </r>
  <r>
    <s v="ORT-12188"/>
    <s v="C000421586"/>
    <s v="GRAFTON GATE NO 401 3RD FLOOR REFURB MILTON KEYNES"/>
    <n v="11"/>
    <n v="0"/>
    <d v="2025-09-03T00:00:00"/>
    <x v="34"/>
  </r>
  <r>
    <s v="ORT-12189"/>
    <s v="C000421588"/>
    <s v="LONDON MISC 2025"/>
    <n v="0"/>
    <n v="1"/>
    <d v="2025-09-03T00:00:00"/>
    <x v="34"/>
  </r>
  <r>
    <s v="ORT-12190"/>
    <s v="C000421589"/>
    <s v="BISHOPSGATE NO 199 CAT B FLOOR 10 DORSEY &amp; WHITNEY LONDON"/>
    <n v="6"/>
    <n v="0"/>
    <d v="2025-09-03T00:00:00"/>
    <x v="34"/>
  </r>
  <r>
    <s v="ORT-12191"/>
    <s v="C000421590"/>
    <s v="MOSELLE PROJECT BROADWATER FARM ESTATE HARINGEY"/>
    <n v="0"/>
    <n v="1"/>
    <d v="2025-09-03T00:00:00"/>
    <x v="34"/>
  </r>
  <r>
    <s v="ORT-12192"/>
    <s v="C000421591"/>
    <s v="CANARY WHARF CANADA SQUARE NO 25 CITIBANK REFURB LONDON"/>
    <n v="0"/>
    <n v="1"/>
    <d v="2025-09-03T00:00:00"/>
    <x v="34"/>
  </r>
  <r>
    <s v="ORT-12193"/>
    <s v="C000421592"/>
    <s v="UNI OF SOUTHAMPTON B1 LABORATORY"/>
    <n v="3"/>
    <n v="0"/>
    <d v="2025-09-03T00:00:00"/>
    <x v="34"/>
  </r>
  <r>
    <s v="ORT-12194"/>
    <s v="C000421593"/>
    <s v="BMW SHOWROOM FARNBOROUGH"/>
    <n v="0"/>
    <n v="1"/>
    <d v="2025-09-03T00:00:00"/>
    <x v="34"/>
  </r>
  <r>
    <s v="ORT-12195"/>
    <s v="C000421600"/>
    <s v="VICTORIA STREET NO 105 CORES &amp; BASEMENT LONDON"/>
    <n v="0"/>
    <n v="1"/>
    <d v="2025-09-03T00:00:00"/>
    <x v="34"/>
  </r>
  <r>
    <s v="ORT-12196"/>
    <s v="C000421603"/>
    <s v="MOH SALALAH HOSPITAL OMAN ADDITIONAL MATERIALS"/>
    <n v="16"/>
    <n v="0"/>
    <d v="2025-09-04T00:00:00"/>
    <x v="34"/>
  </r>
  <r>
    <s v="ORT-12197"/>
    <s v="C000421604"/>
    <s v="ASTON VILLA TRAINING GROUND REHAB CENTRE"/>
    <n v="0"/>
    <n v="1"/>
    <d v="2025-09-04T00:00:00"/>
    <x v="34"/>
  </r>
  <r>
    <s v="ORT-12198"/>
    <s v="C000421614"/>
    <s v="WAVERLEY GATE FLR 2 REFURB EDINBURGH"/>
    <n v="0"/>
    <n v="1"/>
    <d v="2025-09-04T00:00:00"/>
    <x v="34"/>
  </r>
  <r>
    <s v="ORT-12199"/>
    <s v="C000421616"/>
    <s v="IMO BUILDING ALBERT EMBANKMENT NO 4 REFURB LONDON"/>
    <n v="0"/>
    <n v="1"/>
    <d v="2025-09-04T00:00:00"/>
    <x v="34"/>
  </r>
  <r>
    <s v="ORT-12201"/>
    <s v="C000421624"/>
    <s v="BERKELEY SQUARE NO 36-38 CHANEL CAT B FIT OUT LONDON"/>
    <n v="0"/>
    <n v="1"/>
    <d v="2025-09-04T00:00:00"/>
    <x v="34"/>
  </r>
  <r>
    <s v="ORT-12202"/>
    <s v="C000421628"/>
    <s v="PILGRIM STREET PHASE 3 BUILDING 1 &amp; 2 NEWCASTLE"/>
    <n v="0"/>
    <n v="1"/>
    <d v="2025-09-04T00:00:00"/>
    <x v="34"/>
  </r>
  <r>
    <s v="ORT-12203"/>
    <s v="C000421630"/>
    <s v="QUEEN VICTORIA STREET NO 160 FLR 2 LONDON"/>
    <n v="0"/>
    <n v="1"/>
    <d v="2025-09-04T00:00:00"/>
    <x v="34"/>
  </r>
  <r>
    <s v="ORT-12204"/>
    <s v="C000421637"/>
    <s v="BISHOPSGATE NO 199 CAT B FLOOR 10 DORSEY &amp; WHITNEY LONDON"/>
    <n v="5"/>
    <n v="0"/>
    <d v="2025-09-05T00:00:00"/>
    <x v="34"/>
  </r>
  <r>
    <s v="ORT-12205"/>
    <s v="C000421641"/>
    <s v="MOORFIELDS NO 21 DEUTSCHE BANK REFURB LONDON"/>
    <n v="0"/>
    <n v="1"/>
    <d v="2025-09-05T00:00:00"/>
    <x v="34"/>
  </r>
  <r>
    <s v="ORT-12206"/>
    <s v="C000421645"/>
    <s v="BMW RENOVATION MISSISSAUGA ONTARIO"/>
    <n v="6"/>
    <n v="0"/>
    <d v="2025-09-05T00:00:00"/>
    <x v="34"/>
  </r>
  <r>
    <s v="ORT-12207"/>
    <s v="C000421654"/>
    <s v="FENCHURCH STREET NO 20 CAT A FLOOR 4 LONDON"/>
    <n v="3"/>
    <n v="0"/>
    <d v="2025-09-05T00:00:00"/>
    <x v="34"/>
  </r>
  <r>
    <s v="ORT-12208"/>
    <s v="C000421656"/>
    <s v="BANKSIDE YARDS PHASE 2 WESTERN YARDS BY2 OPUS LONDON"/>
    <n v="5"/>
    <n v="0"/>
    <d v="2025-09-05T00:00:00"/>
    <x v="34"/>
  </r>
  <r>
    <s v="ORT-12209"/>
    <s v="C000421658"/>
    <s v="OLYMPIA DEVELOPMENT G-GATE BUILDING SW LOBBY LONDON"/>
    <n v="0"/>
    <n v="1"/>
    <d v="2025-09-08T00:00:00"/>
    <x v="35"/>
  </r>
  <r>
    <s v="ORT-12210"/>
    <s v="C000421663"/>
    <s v="CITY POINT ROPEMAKER STREET FLR 16 REFURB LONDON"/>
    <n v="1"/>
    <n v="1"/>
    <d v="2025-09-08T00:00:00"/>
    <x v="35"/>
  </r>
  <r>
    <s v="ORT-12211"/>
    <s v="C000421666"/>
    <s v="ALDERWOOD SCHOOL EXPANSION TONGHAM ROAD ALDERSHOT"/>
    <n v="0"/>
    <n v="1"/>
    <d v="2025-09-08T00:00:00"/>
    <x v="35"/>
  </r>
  <r>
    <s v="ORT-12212"/>
    <s v="C000421670"/>
    <s v="ALDERLEY ROAD NO 52-56 HCA HEALTHCARE WILMSLOW"/>
    <n v="1"/>
    <n v="1"/>
    <d v="2025-09-08T00:00:00"/>
    <x v="35"/>
  </r>
  <r>
    <s v="ORT-12213"/>
    <s v="C000421671"/>
    <s v="CAMBRIDGE HOUSE HOTEL PICCADILLY NO 90-95 LONDON"/>
    <n v="5"/>
    <n v="0"/>
    <d v="2025-09-08T00:00:00"/>
    <x v="35"/>
  </r>
  <r>
    <s v="ORT-12214"/>
    <s v="C000421673"/>
    <s v="HAIMA HOSPITAL OMAN"/>
    <n v="0"/>
    <n v="1"/>
    <d v="2025-09-08T00:00:00"/>
    <x v="35"/>
  </r>
  <r>
    <s v="ORT-12215"/>
    <s v="C000421676"/>
    <s v="CHAMARTIN PHASE 2 MADRID"/>
    <n v="6"/>
    <n v="0"/>
    <d v="2025-09-08T00:00:00"/>
    <x v="35"/>
  </r>
  <r>
    <s v="ORT-12216"/>
    <s v="C000421678"/>
    <s v="SELVA DE MAR BARCELONA"/>
    <n v="16"/>
    <n v="0"/>
    <d v="2025-09-08T00:00:00"/>
    <x v="35"/>
  </r>
  <r>
    <s v="ORT-12217"/>
    <s v="C000421703"/>
    <s v="SOUTH MISC 2025"/>
    <n v="4"/>
    <n v="0"/>
    <d v="2025-09-09T00:00:00"/>
    <x v="35"/>
  </r>
  <r>
    <s v="ORT-12218"/>
    <s v="C000421706"/>
    <s v="ST MICHAELS TOWER FLRS 7 &amp; 8 MANCHESTER"/>
    <n v="4"/>
    <n v="0"/>
    <d v="2025-09-09T00:00:00"/>
    <x v="35"/>
  </r>
  <r>
    <s v="ORT-12219"/>
    <s v="C000421710"/>
    <s v="ST MICHAELS TOWER FLRS 7 &amp; 8 MANCHESTER"/>
    <n v="4"/>
    <n v="0"/>
    <d v="2025-09-09T00:00:00"/>
    <x v="35"/>
  </r>
  <r>
    <s v="ORT-12220"/>
    <s v="C000421715"/>
    <s v="EDMONDSON PARK TOWN CENTRE"/>
    <n v="0"/>
    <n v="1"/>
    <d v="2025-09-09T00:00:00"/>
    <x v="35"/>
  </r>
  <r>
    <s v="ORT-12221"/>
    <s v="C000421717"/>
    <s v="KIRYAT MIGDAL RENOVATION"/>
    <n v="2"/>
    <n v="0"/>
    <d v="2025-09-09T00:00:00"/>
    <x v="35"/>
  </r>
  <r>
    <s v="ORT-12222"/>
    <s v="C000421718"/>
    <s v="GOLDSWORTH PLACE FORGE END NO 1 WOKING"/>
    <n v="7"/>
    <n v="0"/>
    <d v="2025-09-09T00:00:00"/>
    <x v="35"/>
  </r>
  <r>
    <s v="ORT-12223"/>
    <s v="C000421495"/>
    <s v="CENTRAL SQUARE WELLING STREET NO 29 FREETHS PH2 LEEDS"/>
    <n v="1"/>
    <n v="1"/>
    <d v="2025-09-09T00:00:00"/>
    <x v="35"/>
  </r>
  <r>
    <s v="ORT-12224"/>
    <s v="C000421720"/>
    <s v="UCI 350 BEDS HOSPITAL UGANDA"/>
    <n v="0"/>
    <n v="1"/>
    <d v="2025-09-09T00:00:00"/>
    <x v="35"/>
  </r>
  <r>
    <s v="ORT-12225"/>
    <s v="C000421723"/>
    <s v="EURSHELL MISC TILE &amp; GRID 2025"/>
    <n v="3"/>
    <n v="0"/>
    <d v="2025-09-09T00:00:00"/>
    <x v="35"/>
  </r>
  <r>
    <s v="ORT-12227"/>
    <s v="C000421726"/>
    <s v="DRAPERS GARDENS NO 12 BLACKROCK FLR 3 REFURB LONDON"/>
    <n v="0"/>
    <n v="1"/>
    <d v="2025-09-10T00:00:00"/>
    <x v="35"/>
  </r>
  <r>
    <s v="ORT-12228"/>
    <s v="C000421728"/>
    <s v="NORTH MISC 2025 DAVID BAYLIS"/>
    <n v="0"/>
    <n v="1"/>
    <d v="2025-09-10T00:00:00"/>
    <x v="35"/>
  </r>
  <r>
    <s v="ORT-12229"/>
    <s v="C000421730"/>
    <s v="NORTH MISC 2025 DAVID BAYLIS"/>
    <n v="0"/>
    <n v="1"/>
    <d v="2025-09-10T00:00:00"/>
    <x v="35"/>
  </r>
  <r>
    <s v="ORT-12230"/>
    <s v="C000421733"/>
    <s v="WHITFIELD STREET NO 90 FLOORS 4-5 LONDON"/>
    <n v="1"/>
    <n v="1"/>
    <d v="2025-09-10T00:00:00"/>
    <x v="35"/>
  </r>
  <r>
    <s v="ORT-12231"/>
    <s v="C000421738"/>
    <s v="WELLS STREET NO 80 WELLS HOUSE THE RIBBON KITCHEN FLOOR 9"/>
    <n v="1"/>
    <n v="1"/>
    <d v="2025-09-10T00:00:00"/>
    <x v="35"/>
  </r>
  <r>
    <s v="ORT-12232"/>
    <s v="C000421743"/>
    <s v="FORMER TYNECASTLE SCHOOL STUDENT ACCOMODATION EDINBURGH"/>
    <n v="1"/>
    <n v="1"/>
    <d v="2025-09-10T00:00:00"/>
    <x v="35"/>
  </r>
  <r>
    <s v="ORT-12234"/>
    <s v="C000421749"/>
    <s v="BLOOMSBURY STREET NO 21 CAT A FITOUT LONDON"/>
    <n v="14"/>
    <n v="0"/>
    <d v="2025-09-10T00:00:00"/>
    <x v="35"/>
  </r>
  <r>
    <s v="ORT-12235"/>
    <s v="C000421750"/>
    <s v="MORE LONDON RIVERSIDE NO 7 PWC REFRESH LONDON"/>
    <n v="0"/>
    <n v="1"/>
    <d v="2025-09-11T00:00:00"/>
    <x v="35"/>
  </r>
  <r>
    <s v="ORT-12236"/>
    <s v="C000421751"/>
    <s v="SOUTH MISC 2025"/>
    <n v="0"/>
    <n v="1"/>
    <d v="2025-09-11T00:00:00"/>
    <x v="35"/>
  </r>
  <r>
    <s v="ORT-12237"/>
    <s v="C000421752"/>
    <s v="UNI OF SOUTHAMPTON NORTH EAST QUADRANT B142"/>
    <n v="0"/>
    <n v="1"/>
    <d v="2025-09-11T00:00:00"/>
    <x v="35"/>
  </r>
  <r>
    <s v="ORT-12238"/>
    <s v="C000421753"/>
    <s v="NEWGATE STREET NO 81 BT CENTRE HSBC FIT OUT LONDON"/>
    <n v="0"/>
    <n v="1"/>
    <d v="2025-09-11T00:00:00"/>
    <x v="35"/>
  </r>
  <r>
    <s v="ORT-12239"/>
    <s v="C000421759"/>
    <s v="COOPER HOUSE COVENTRY"/>
    <n v="5"/>
    <n v="0"/>
    <d v="2025-09-11T00:00:00"/>
    <x v="35"/>
  </r>
  <r>
    <s v="ORT-12240"/>
    <s v="C000421761"/>
    <s v="PRIMARK MISC 2025"/>
    <n v="0"/>
    <n v="1"/>
    <d v="2025-09-11T00:00:00"/>
    <x v="35"/>
  </r>
  <r>
    <s v="ORT-12241"/>
    <s v="C000421764"/>
    <s v="ONE EASTSIDE TOWER B SKYLOUNGE BIRMINGHAM"/>
    <n v="1"/>
    <n v="1"/>
    <d v="2025-09-11T00:00:00"/>
    <x v="35"/>
  </r>
  <r>
    <s v="ORT-12242"/>
    <s v="C000421767"/>
    <s v="BASINGHALL AVENUE NO 1 GROUND &amp; 5-10 REFURB LONDON"/>
    <n v="0"/>
    <n v="1"/>
    <d v="2025-09-11T00:00:00"/>
    <x v="35"/>
  </r>
  <r>
    <s v="ORT-12243"/>
    <s v="C000421768"/>
    <s v="LOCHSIDE AVENUE NO 3 EDINBURGH"/>
    <n v="3"/>
    <n v="0"/>
    <d v="2025-09-11T00:00:00"/>
    <x v="35"/>
  </r>
  <r>
    <s v="ORT-12244"/>
    <s v="C000421770"/>
    <s v="APPLE CAMPUS HERZLIYA DATA CENTRE"/>
    <n v="13"/>
    <n v="0"/>
    <d v="2025-09-11T00:00:00"/>
    <x v="35"/>
  </r>
  <r>
    <s v="ORT-12245"/>
    <s v="C000421778"/>
    <s v="EDEN CAMPUS BUILDING C UPLIFT UNILEVER KINGSTON"/>
    <n v="0"/>
    <n v="1"/>
    <d v="2025-09-11T00:00:00"/>
    <x v="35"/>
  </r>
  <r>
    <s v="ORT-12246"/>
    <s v="C000421783"/>
    <s v="AMAZON AMM15 CS BOULEVARD BLDG AMMAN JORDAN"/>
    <n v="0"/>
    <n v="1"/>
    <d v="2025-09-11T00:00:00"/>
    <x v="35"/>
  </r>
  <r>
    <s v="ORT-12247"/>
    <s v="C000421784"/>
    <s v="WILTON ROAD NO 129 CAT A FLOORS 1-5 LONDON"/>
    <n v="3"/>
    <n v="0"/>
    <d v="2025-09-11T00:00:00"/>
    <x v="35"/>
  </r>
  <r>
    <s v="ORT-12248"/>
    <s v="C000421789"/>
    <s v="BISHOPSGATE NO 201 BROADGATE TOWER FLRS 12-13,17,19 &amp; 29-33"/>
    <n v="0"/>
    <n v="1"/>
    <d v="2025-09-11T00:00:00"/>
    <x v="35"/>
  </r>
  <r>
    <s v="ORT-12249"/>
    <s v="C000421793"/>
    <s v="02034 CADDELL ADDITIONAL SCOPE"/>
    <n v="0"/>
    <n v="1"/>
    <d v="2025-09-11T00:00:00"/>
    <x v="35"/>
  </r>
  <r>
    <s v="ORT-12250"/>
    <s v="C000421799"/>
    <s v="SKILLS HUB &amp; STORAGE BUILDINGS CRADLEY HEATH"/>
    <n v="12"/>
    <n v="0"/>
    <d v="2025-09-12T00:00:00"/>
    <x v="35"/>
  </r>
  <r>
    <s v="ORT-12251"/>
    <s v="C000421801"/>
    <s v="SKILLS HUB &amp; STORAGE BUILDINGS CRADLEY HEATH"/>
    <n v="12"/>
    <n v="0"/>
    <d v="2025-09-12T00:00:00"/>
    <x v="35"/>
  </r>
  <r>
    <s v="ORT-12252"/>
    <s v="C000421802"/>
    <s v="PROJECT P MILLBANK LONDON"/>
    <n v="0"/>
    <n v="1"/>
    <d v="2025-09-12T00:00:00"/>
    <x v="35"/>
  </r>
  <r>
    <s v="ORT-12253"/>
    <s v="C000421812"/>
    <s v="BLUE FIN BUILDING SOUTHWARK STREET FLOORS 2, 7 &amp; 10 LONDON"/>
    <n v="1"/>
    <n v="1"/>
    <d v="2025-09-12T00:00:00"/>
    <x v="35"/>
  </r>
  <r>
    <s v="ORT-12254"/>
    <s v="C000421813"/>
    <s v="BLUE FIN BUILDING SOUTHWARK STREET FLOORS 2, 7 &amp; 10 LONDON"/>
    <n v="1"/>
    <n v="1"/>
    <d v="2025-09-12T00:00:00"/>
    <x v="35"/>
  </r>
  <r>
    <s v="ORT-12255"/>
    <s v="C000421814"/>
    <s v="BLUE FIN BUILDING SOUTHWARK STREET FLOORS 2, 7 &amp; 10 LONDON"/>
    <n v="1"/>
    <n v="1"/>
    <d v="2025-09-12T00:00:00"/>
    <x v="35"/>
  </r>
  <r>
    <s v="ORT-12256"/>
    <s v="C000421815"/>
    <s v="HEATHROW T4 CSA SECURITY PROGRAMME WORKS LONDON"/>
    <n v="0"/>
    <n v="1"/>
    <d v="2025-09-12T00:00:00"/>
    <x v="35"/>
  </r>
  <r>
    <s v="ORT-12257"/>
    <s v="C000421816"/>
    <s v="NEWGATE STREET NO 7 CAT B MOJ REFURB LONDON"/>
    <n v="1"/>
    <n v="1"/>
    <d v="2025-09-12T00:00:00"/>
    <x v="35"/>
  </r>
  <r>
    <s v="ORT-12258"/>
    <s v="C000421819"/>
    <s v="ST GEORGE STREET NO 14 CAT A FLOOR 2 LONDON"/>
    <n v="6"/>
    <n v="0"/>
    <d v="2025-09-15T00:00:00"/>
    <x v="36"/>
  </r>
  <r>
    <s v="ORT-12259"/>
    <s v="C000421821"/>
    <s v="SCIENTIFIC LAB SUPPLIES FAIRHAM NOTTINGHAM"/>
    <n v="1"/>
    <n v="1"/>
    <d v="2025-09-15T00:00:00"/>
    <x v="36"/>
  </r>
  <r>
    <s v="ORT-12260"/>
    <s v="C000421826"/>
    <s v="OPEL HOTEL EILAT"/>
    <n v="0"/>
    <n v="1"/>
    <d v="2025-09-15T00:00:00"/>
    <x v="36"/>
  </r>
  <r>
    <s v="ORT-12262"/>
    <s v="C000421837"/>
    <s v="MANCHESTER CITY FC HOTEL ETIHAD STADIUM MANCHESTER"/>
    <n v="0"/>
    <n v="1"/>
    <d v="2025-09-15T00:00:00"/>
    <x v="36"/>
  </r>
  <r>
    <s v="ORT-12263"/>
    <s v="C000421839"/>
    <s v="EURSHELL MISC TILE &amp; GRID 2025"/>
    <n v="2"/>
    <n v="0"/>
    <d v="2025-09-15T00:00:00"/>
    <x v="36"/>
  </r>
  <r>
    <s v="ORT-12264"/>
    <s v="C000421840"/>
    <s v="HOPTON STREET NO 71 THE GREEN WALK LONDON"/>
    <n v="2"/>
    <n v="0"/>
    <d v="2025-09-15T00:00:00"/>
    <x v="36"/>
  </r>
  <r>
    <s v="ORT-12265"/>
    <s v="C000421841"/>
    <s v="JACK TURNBULL MISC TILE &amp; GRID 2025"/>
    <n v="8"/>
    <n v="0"/>
    <d v="2025-09-15T00:00:00"/>
    <x v="36"/>
  </r>
  <r>
    <s v="ORT-12266"/>
    <s v="C000421846"/>
    <s v="BASINGHALL AVENUE NO 1 STANDARD CHARTERED PH 2 LONDON"/>
    <n v="2"/>
    <n v="0"/>
    <d v="2025-09-16T00:00:00"/>
    <x v="36"/>
  </r>
  <r>
    <s v="ORT-12267"/>
    <s v="C000421850"/>
    <s v="SOUTH MISC 2025"/>
    <n v="7"/>
    <n v="0"/>
    <d v="2025-09-16T00:00:00"/>
    <x v="36"/>
  </r>
  <r>
    <s v="ORT-12268"/>
    <s v="C000421857"/>
    <s v="MANCHESTER AIRPORT T2 EAST WING ENTRANCE LOBBY"/>
    <n v="0"/>
    <n v="1"/>
    <d v="2025-09-16T00:00:00"/>
    <x v="36"/>
  </r>
  <r>
    <s v="ORT-12269"/>
    <s v="CF00000560"/>
    <s v="ALPHA BANK VE ALTERNATIVES FABRIC ATHENS"/>
    <n v="10"/>
    <n v="0"/>
    <d v="2025-09-16T00:00:00"/>
    <x v="36"/>
  </r>
  <r>
    <s v="ORT-12270"/>
    <s v="C000421858"/>
    <s v="WIGMORE STREET NO 105 CAT B VITRUVIAN PARTNERS LONDON"/>
    <n v="2"/>
    <n v="0"/>
    <d v="2025-09-16T00:00:00"/>
    <x v="36"/>
  </r>
  <r>
    <s v="ORT-12271"/>
    <s v="C000421859"/>
    <s v="SPRING GARDENS NO 40 FLRS 5 AND 6 MANCHESTER"/>
    <n v="0"/>
    <n v="1"/>
    <d v="2025-09-16T00:00:00"/>
    <x v="36"/>
  </r>
  <r>
    <s v="ORT-12272"/>
    <s v="C000421860"/>
    <s v="SOUTH MISC 2025"/>
    <n v="1"/>
    <n v="1"/>
    <d v="2025-09-16T00:00:00"/>
    <x v="36"/>
  </r>
  <r>
    <s v="ORT-12273"/>
    <s v="C000421864"/>
    <s v="HISTORY AND EXHIBITION CENTRE REFURB SITE ONE CHESTER"/>
    <n v="5"/>
    <n v="0"/>
    <d v="2025-09-17T00:00:00"/>
    <x v="36"/>
  </r>
  <r>
    <s v="ORT-12274"/>
    <s v="C000421871"/>
    <s v="WORKPLACE INTERIORS MISC 2025"/>
    <n v="5"/>
    <n v="0"/>
    <d v="2025-09-17T00:00:00"/>
    <x v="36"/>
  </r>
  <r>
    <s v="ORT-12275"/>
    <s v="C000421879"/>
    <s v="LAVINGTON STREET NO 25 TIMBER SQUARE DEVELOPMENT WCS LONDON"/>
    <n v="0"/>
    <n v="1"/>
    <d v="2025-09-17T00:00:00"/>
    <x v="36"/>
  </r>
  <r>
    <s v="ORT-12276"/>
    <s v="C000421880"/>
    <s v="FINSBURY SQUARE NO 26 FRESHWATER REFURB LONDON"/>
    <n v="5"/>
    <n v="0"/>
    <d v="2025-09-17T00:00:00"/>
    <x v="36"/>
  </r>
  <r>
    <s v="ORT-12277"/>
    <s v="C000421881"/>
    <s v="NEW ZEALAND HOUSE HAYMARKET NO 80 REFURB LONDON"/>
    <n v="1"/>
    <n v="1"/>
    <d v="2025-09-17T00:00:00"/>
    <x v="36"/>
  </r>
  <r>
    <s v="ORT-12278"/>
    <s v="C000421884"/>
    <s v="ALDERMANBURY SQUARE NO 2 BASINGHALL STREET LONDON"/>
    <n v="6"/>
    <n v="0"/>
    <d v="2025-09-17T00:00:00"/>
    <x v="36"/>
  </r>
  <r>
    <s v="ORT-12279"/>
    <s v="C000421888"/>
    <s v="WAVERLEY GATE FLR 2 REFURB EDINBURGH"/>
    <n v="2"/>
    <n v="0"/>
    <d v="2025-09-17T00:00:00"/>
    <x v="36"/>
  </r>
  <r>
    <s v="ORT-12280"/>
    <s v="C000421889"/>
    <s v="AGAR STREET NO 6 CAT A REFURB FLOORS 2 &amp; 5 LONDON"/>
    <n v="0"/>
    <n v="1"/>
    <d v="2025-09-18T00:00:00"/>
    <x v="36"/>
  </r>
  <r>
    <s v="ORT-12281"/>
    <s v="C000421896"/>
    <s v="CANARY WHARF WOOD WHARF B2 APARTMENT FIT OUT LONDON"/>
    <n v="8"/>
    <n v="0"/>
    <d v="2025-09-18T00:00:00"/>
    <x v="36"/>
  </r>
  <r>
    <s v="ORT-12282"/>
    <s v="C000421898"/>
    <s v="PORTLAND HOUSE BRESSENDEN PLACE LONDON"/>
    <n v="0"/>
    <n v="1"/>
    <d v="2025-09-18T00:00:00"/>
    <x v="36"/>
  </r>
  <r>
    <s v="ORT-12283"/>
    <s v="C000421904"/>
    <s v="BASINGHALL AVENUE NO 1 STANDARD CHARTERED PH 2 LONDON"/>
    <n v="5"/>
    <n v="0"/>
    <d v="2025-09-18T00:00:00"/>
    <x v="36"/>
  </r>
  <r>
    <s v="ORT-12284"/>
    <s v="C000421906"/>
    <s v="HARWELL SCIENCE PARK QUAD 3 OFFICES DIDCOT"/>
    <n v="2"/>
    <n v="0"/>
    <d v="2025-09-18T00:00:00"/>
    <x v="36"/>
  </r>
  <r>
    <s v="ORT-12285"/>
    <s v="C000421915"/>
    <s v="DEGROOTE SCHOOL OF BUSINESS HAMILTON LEVELS 6 &amp; 9"/>
    <n v="8"/>
    <n v="0"/>
    <d v="2025-09-18T00:00:00"/>
    <x v="36"/>
  </r>
  <r>
    <s v="ORT-12287"/>
    <s v="C000421931"/>
    <s v="MORE LONDON RIVERSIDE NO 7 PWC REFRESH LONDON"/>
    <n v="0"/>
    <n v="1"/>
    <d v="2025-09-19T00:00:00"/>
    <x v="36"/>
  </r>
  <r>
    <s v="ORT-12288"/>
    <s v="C000421932"/>
    <s v="REPSOL 2026 PLAN MADRID"/>
    <n v="0"/>
    <n v="1"/>
    <d v="2025-09-19T00:00:00"/>
    <x v="36"/>
  </r>
  <r>
    <s v="ORT-12289"/>
    <s v="C000421938"/>
    <s v="ABBEY LANE STUDENT ACCOMMODATION EDINBURGH"/>
    <n v="4"/>
    <n v="0"/>
    <d v="2025-09-19T00:00:00"/>
    <x v="36"/>
  </r>
  <r>
    <s v="ORT-12290"/>
    <s v="C000421940"/>
    <s v="UNI OF LIVERPOOL SCHOOL OF ARCHITECTURE EXTENSION"/>
    <n v="2"/>
    <n v="0"/>
    <d v="2025-09-19T00:00:00"/>
    <x v="36"/>
  </r>
  <r>
    <s v="ORT-12292"/>
    <s v="C000421944"/>
    <s v="BROADGATE QUARTER CAT A REFURB APPOLD STREET LONDON"/>
    <n v="0"/>
    <n v="1"/>
    <d v="2025-09-22T00:00:00"/>
    <x v="37"/>
  </r>
  <r>
    <s v="ORT-12293"/>
    <s v="C000421951"/>
    <s v="WARNER MUSIC UK WRIGHTS LANE NO 27 LONDON"/>
    <n v="0"/>
    <n v="1"/>
    <d v="2025-09-22T00:00:00"/>
    <x v="37"/>
  </r>
  <r>
    <s v="ORT-12294"/>
    <s v="C000421953"/>
    <s v="MADDOX STREET NO 31 - 33 CAT A LONDON"/>
    <n v="0"/>
    <n v="1"/>
    <d v="2025-09-22T00:00:00"/>
    <x v="37"/>
  </r>
  <r>
    <s v="ORT-12295"/>
    <s v="C000421955"/>
    <s v="PEEL ESTATE &amp; NWCC EAST UNDERCROFT SOUTH KILBURN LONDON"/>
    <n v="1"/>
    <n v="1"/>
    <d v="2025-09-22T00:00:00"/>
    <x v="37"/>
  </r>
  <r>
    <s v="ORT-12296"/>
    <s v="C000421959"/>
    <s v="GRAFTON GATE NO 401 3RD FLOOR REFURB MILTON KEYNES"/>
    <n v="0"/>
    <n v="1"/>
    <d v="2025-09-22T00:00:00"/>
    <x v="37"/>
  </r>
  <r>
    <s v="ORT-12297"/>
    <s v="C000420861"/>
    <s v="SANCTUARY BUILDINGS GREAT SMITH ST PHASE 2 FLRS B-3 LONDON"/>
    <n v="3"/>
    <n v="0"/>
    <d v="2025-09-22T00:00:00"/>
    <x v="37"/>
  </r>
  <r>
    <s v="ORT-12298"/>
    <s v="C000421969"/>
    <s v="MANCHESTER SCIENCE PARK GREENHEYS PROJECT"/>
    <n v="0"/>
    <n v="1"/>
    <d v="2025-09-22T00:00:00"/>
    <x v="37"/>
  </r>
  <r>
    <s v="ORT-12299"/>
    <s v="C000421972"/>
    <s v="PALMA AIRPORT EXTENSION LIGHTING"/>
    <n v="0"/>
    <n v="1"/>
    <d v="2025-09-22T00:00:00"/>
    <x v="37"/>
  </r>
  <r>
    <s v="ORT-12300"/>
    <s v="C000421976"/>
    <s v="ONE STATION HILL PWC CAT B FITOUT READING"/>
    <n v="2"/>
    <n v="0"/>
    <d v="2025-09-22T00:00:00"/>
    <x v="37"/>
  </r>
  <r>
    <s v="ORT-12301"/>
    <s v="C000421975"/>
    <s v="MANCHESTER AIRPORT T2 EAST WING NEW DEVELOPMENT"/>
    <n v="0"/>
    <n v="1"/>
    <d v="2025-09-22T00:00:00"/>
    <x v="37"/>
  </r>
  <r>
    <s v="ORT-12302"/>
    <s v="C000421977"/>
    <s v="SCOTLAND &amp; NORTH EAST MISC 2025"/>
    <n v="2"/>
    <n v="0"/>
    <d v="2025-09-22T00:00:00"/>
    <x v="37"/>
  </r>
  <r>
    <s v="ORT-12303"/>
    <s v="C000421978"/>
    <s v="MANCHESTER AIRPORT T2 EAST CHECK IN AREAS"/>
    <n v="0"/>
    <n v="1"/>
    <d v="2025-09-22T00:00:00"/>
    <x v="37"/>
  </r>
  <r>
    <s v="ORT-12306"/>
    <s v="C000421987"/>
    <s v="THE INTERNATIONAL QUARTER PLOT S4 LIFT LOBBIES PHASE 2"/>
    <n v="0"/>
    <n v="1"/>
    <d v="2025-09-23T00:00:00"/>
    <x v="37"/>
  </r>
  <r>
    <s v="ORT-12307"/>
    <s v="C000421993"/>
    <s v="CANARY WHARF CANADA SQUARE NO 25 CITIBANK REFURB LONDON"/>
    <n v="0"/>
    <n v="1"/>
    <d v="2025-09-23T00:00:00"/>
    <x v="37"/>
  </r>
  <r>
    <s v="ORT-12308"/>
    <s v="C000421996"/>
    <s v="PUMA STORE OXFORD STREET LONDON"/>
    <n v="0"/>
    <n v="1"/>
    <d v="2025-09-23T00:00:00"/>
    <x v="37"/>
  </r>
  <r>
    <s v="ORT-12309"/>
    <s v="C000422001"/>
    <s v="EURSHELL MISC TILE &amp; GRID 2025"/>
    <n v="2"/>
    <n v="0"/>
    <d v="2025-09-23T00:00:00"/>
    <x v="37"/>
  </r>
  <r>
    <s v="ORT-12310"/>
    <s v="C000422002"/>
    <s v="SALISBURY SQUARE DEVELOPMENT COURT BUILDING LONDON"/>
    <n v="5"/>
    <n v="0"/>
    <d v="2025-09-23T00:00:00"/>
    <x v="37"/>
  </r>
  <r>
    <s v="ORT-12311"/>
    <s v="C000422003"/>
    <s v="NORTHERN ESTATES PROGRAMME NEP2 NORMAN SHAW NORTH LONDON"/>
    <n v="5"/>
    <n v="0"/>
    <d v="2025-09-23T00:00:00"/>
    <x v="37"/>
  </r>
  <r>
    <s v="ORT-12312"/>
    <s v="C000422006"/>
    <s v="NDA - DEWA HQ TROX TILES DUBAI"/>
    <n v="2"/>
    <n v="0"/>
    <d v="2025-09-23T00:00:00"/>
    <x v="37"/>
  </r>
  <r>
    <s v="ORT-12313"/>
    <s v="C000422007"/>
    <s v="MARK LANE NO 70 LVL 11 CAT A LONDON"/>
    <n v="0"/>
    <n v="1"/>
    <d v="2025-09-23T00:00:00"/>
    <x v="37"/>
  </r>
  <r>
    <s v="ORT-12314"/>
    <s v="C000422008"/>
    <s v="OXFORD SCIENCE PARK SCHRODINGER BUILDING REFURB"/>
    <n v="5"/>
    <n v="0"/>
    <d v="2025-09-23T00:00:00"/>
    <x v="37"/>
  </r>
  <r>
    <s v="ORT-12317"/>
    <s v="C000422013"/>
    <s v="BASINGHALL AVENUE NO 1 STANDARD CHARTERED PH 2 LONDON"/>
    <n v="0"/>
    <n v="1"/>
    <d v="2025-09-24T00:00:00"/>
    <x v="37"/>
  </r>
  <r>
    <s v="ORT-12318"/>
    <s v="C000422014"/>
    <s v="PRIMARK BRAEHEAD"/>
    <n v="3"/>
    <n v="0"/>
    <d v="2025-09-24T00:00:00"/>
    <x v="37"/>
  </r>
  <r>
    <s v="ORT-12319"/>
    <s v="C000422015"/>
    <s v="APPLE CAMPUS HERZLIYA DATA CENTRE"/>
    <n v="0"/>
    <n v="1"/>
    <d v="2025-09-24T00:00:00"/>
    <x v="37"/>
  </r>
  <r>
    <s v="ORT-12320"/>
    <s v="C000422016"/>
    <s v="OXFORD SCIENCE PARK PLOTS NO 23-25 OXFORD LIGHTING"/>
    <n v="0"/>
    <n v="1"/>
    <d v="2025-09-24T00:00:00"/>
    <x v="37"/>
  </r>
  <r>
    <s v="ORT-12321"/>
    <s v="C000422017"/>
    <s v="ONE STATION HILL PWC CAT B FITOUT READING"/>
    <n v="0"/>
    <n v="1"/>
    <d v="2025-09-24T00:00:00"/>
    <x v="37"/>
  </r>
  <r>
    <s v="ORT-12322"/>
    <s v="C000422018"/>
    <s v="UNI OF WARWICK CLAYCROFT HALLS OF RESIDENCE"/>
    <n v="0"/>
    <n v="1"/>
    <d v="2025-09-24T00:00:00"/>
    <x v="37"/>
  </r>
  <r>
    <s v="ORT-12323"/>
    <s v="C000422022"/>
    <s v="CANARY WHARF BANK STREET NO 25 JPMC FLOOR 7 REFURB LONDON"/>
    <n v="4"/>
    <n v="0"/>
    <d v="2025-09-24T00:00:00"/>
    <x v="37"/>
  </r>
  <r>
    <s v="ORT-12324"/>
    <s v="C000422023"/>
    <s v="ASSUTA ASHDOD HOSPITAL"/>
    <n v="4"/>
    <n v="0"/>
    <d v="2025-09-24T00:00:00"/>
    <x v="37"/>
  </r>
  <r>
    <s v="ORT-12325"/>
    <s v="C000422025"/>
    <s v="COLEMAN STREET NO 4 REFURB LONDON"/>
    <n v="0"/>
    <n v="1"/>
    <d v="2025-09-24T00:00:00"/>
    <x v="37"/>
  </r>
  <r>
    <s v="ORT-12328"/>
    <s v="C000422028"/>
    <s v="AUGUSTINE HOUSE AUSTIN FRIARS NO 6 A FLR 3 &amp; 4 FITOUT LONDON"/>
    <n v="1"/>
    <n v="1"/>
    <d v="2025-09-24T00:00:00"/>
    <x v="37"/>
  </r>
  <r>
    <s v="ORT-12329"/>
    <s v="C000422029"/>
    <s v="MOORFIELDS EYE HOSPITAL UCL INSTITUTE OF OPHTHALMOLOGY ORIEL"/>
    <n v="4"/>
    <n v="0"/>
    <d v="2025-09-24T00:00:00"/>
    <x v="37"/>
  </r>
  <r>
    <s v="ORT-12330"/>
    <s v="C000422031"/>
    <s v="WAKEFIELD COLLEGE CASTLEFORD CAMPUS"/>
    <n v="4"/>
    <n v="0"/>
    <d v="2025-09-24T00:00:00"/>
    <x v="37"/>
  </r>
  <r>
    <s v="ORT-12333"/>
    <s v="C000422039"/>
    <s v="SMITHFIELD MARKET POULTRY MARKET MUSEUM OF LONDON"/>
    <n v="2"/>
    <n v="0"/>
    <d v="2025-09-25T00:00:00"/>
    <x v="37"/>
  </r>
  <r>
    <s v="ORT-12334"/>
    <s v="C000422041"/>
    <s v="BISHOPSGATE NO 60 CAT A+ HASILWOOD HOUSE FLRS 1 &amp; 6 LONDON"/>
    <n v="2"/>
    <n v="0"/>
    <d v="2025-09-25T00:00:00"/>
    <x v="37"/>
  </r>
  <r>
    <s v="ORT-12335"/>
    <s v="C000422042"/>
    <s v="OXFORD STREET NO 334-348 BASEMENT LONDON"/>
    <n v="0"/>
    <n v="1"/>
    <d v="2025-09-25T00:00:00"/>
    <x v="37"/>
  </r>
  <r>
    <s v="ORT-12336"/>
    <s v="C000422044"/>
    <s v="HIGH HOLBORN NO 90 FLR 3 QUINN EMANUEL LONDON"/>
    <n v="0"/>
    <n v="1"/>
    <d v="2025-09-25T00:00:00"/>
    <x v="37"/>
  </r>
  <r>
    <s v="ORT-12337"/>
    <s v="C000422046"/>
    <s v="EDCITY PHASE 2 &amp; LIFT LOBBIES HAMMERSMITH LONDON"/>
    <n v="0"/>
    <n v="1"/>
    <d v="2025-09-25T00:00:00"/>
    <x v="37"/>
  </r>
  <r>
    <s v="ORT-12338"/>
    <s v="C000422049"/>
    <s v="CRITERION BUILDING PICCADILLY NO 225-229 LONDON"/>
    <n v="2"/>
    <n v="0"/>
    <d v="2025-09-25T00:00:00"/>
    <x v="37"/>
  </r>
  <r>
    <s v="ORT-12339"/>
    <s v="C000422050"/>
    <s v="BWM TORONTO"/>
    <n v="3"/>
    <n v="0"/>
    <d v="2025-09-25T00:00:00"/>
    <x v="37"/>
  </r>
  <r>
    <s v="ORT-12340"/>
    <s v="C000422051"/>
    <s v="DAVID FRY MISC 2025"/>
    <n v="0"/>
    <n v="1"/>
    <d v="2025-09-25T00:00:00"/>
    <x v="37"/>
  </r>
  <r>
    <s v="ORT-12341"/>
    <s v="C000422052"/>
    <s v="EURSHELL MISC TILE &amp; GRID 2025"/>
    <n v="3"/>
    <n v="0"/>
    <d v="2025-09-25T00:00:00"/>
    <x v="37"/>
  </r>
  <r>
    <s v="ORT-12342"/>
    <s v="C000422055"/>
    <s v="HARROW CROWN COURT MOJ ROOF REPLACEMENT LONDON"/>
    <n v="2"/>
    <n v="0"/>
    <d v="2025-09-25T00:00:00"/>
    <x v="37"/>
  </r>
  <r>
    <s v="ORT-12343"/>
    <s v="C000422062"/>
    <s v="ST GEORGE STREET NO 14 CAT A FLOOR 2 LONDON"/>
    <n v="0"/>
    <n v="1"/>
    <d v="2025-09-25T00:00:00"/>
    <x v="37"/>
  </r>
  <r>
    <s v="ORT-12344"/>
    <s v="C000422063"/>
    <s v="MERCHANT SQUARE NO 5 CAT A REFURB PADDINGTON LONDON"/>
    <n v="2"/>
    <n v="0"/>
    <d v="2025-09-25T00:00:00"/>
    <x v="37"/>
  </r>
  <r>
    <s v="ORT-12345"/>
    <s v="CF00000561"/>
    <s v="ALPHA BANK VE ALTERNATIVES FABRIC ATHENS"/>
    <n v="1"/>
    <n v="1"/>
    <d v="2025-09-25T00:00:00"/>
    <x v="37"/>
  </r>
  <r>
    <s v="ORT-12346"/>
    <s v="C000422075"/>
    <s v="LIVERPOOL JOHN LENNON AIRPORT ASPIRE LOUNGE"/>
    <n v="1"/>
    <n v="1"/>
    <d v="2025-09-26T00:00:00"/>
    <x v="37"/>
  </r>
  <r>
    <s v="ORT-12347"/>
    <s v="C000422076"/>
    <s v="UNI OF SOUTHAMPTON B32 LABORATORY REFURB"/>
    <n v="2"/>
    <n v="0"/>
    <d v="2025-09-26T00:00:00"/>
    <x v="37"/>
  </r>
  <r>
    <s v="ORT-12348"/>
    <s v="C000422093"/>
    <s v="NEW STREET SQUARE NO 5 TAYLOR WESSING REFURB LONDON"/>
    <n v="0"/>
    <n v="1"/>
    <d v="2025-09-26T00:00:00"/>
    <x v="37"/>
  </r>
  <r>
    <s v="ORT-12349"/>
    <s v="C000422094"/>
    <s v="NORTH MISC 2025 DAVID BAYLIS"/>
    <n v="0"/>
    <n v="1"/>
    <d v="2025-09-26T00:00:00"/>
    <x v="37"/>
  </r>
  <r>
    <s v="ORT-12350"/>
    <s v="C000422095"/>
    <s v="HEATHROW T4 CSA SECURITY PROGRAMME WORKS LONDON"/>
    <n v="2"/>
    <n v="0"/>
    <d v="2025-09-26T00:00:00"/>
    <x v="37"/>
  </r>
  <r>
    <s v="ORT-12351"/>
    <s v="C000422096"/>
    <s v="NEW HERTFORDSHIRE POLICE HQ WELWYN GARDEN CITY"/>
    <n v="1"/>
    <n v="1"/>
    <d v="2025-09-26T00:00:00"/>
    <x v="37"/>
  </r>
  <r>
    <s v="ORT-12355"/>
    <s v="C000422098"/>
    <s v="AMAZON SWANSEA"/>
    <n v="0"/>
    <n v="1"/>
    <d v="2025-09-29T00:00:00"/>
    <x v="38"/>
  </r>
  <r>
    <s v="ORT-12356"/>
    <s v="C000422101"/>
    <s v="MANCHESTER AIRPORT T2 EAST WING NEW DEVELOPMENT"/>
    <n v="1"/>
    <n v="1"/>
    <d v="2025-09-29T00:00:00"/>
    <x v="38"/>
  </r>
  <r>
    <s v="ORT-12357"/>
    <s v="C000422102"/>
    <s v="CENTRAL QUAY RESI PLOT 1 PHASE 2 CARDIFF"/>
    <n v="1"/>
    <n v="1"/>
    <d v="2025-09-29T00:00:00"/>
    <x v="38"/>
  </r>
  <r>
    <s v="ORT-12358"/>
    <s v="C000422105"/>
    <s v="HEATHROW T4 CROWN PLAZA GUEST CORRIDOR"/>
    <n v="1"/>
    <n v="1"/>
    <d v="2025-09-29T00:00:00"/>
    <x v="38"/>
  </r>
  <r>
    <s v="ORT-12359"/>
    <s v="C000422107"/>
    <s v="LEADENHALL STREET NO 40 BROOKS MACDONALD FLR 8 LONDON"/>
    <n v="0"/>
    <n v="1"/>
    <d v="2025-09-29T00:00:00"/>
    <x v="38"/>
  </r>
  <r>
    <s v="ORT-12360"/>
    <s v="C000422112"/>
    <s v="MANCHESTER SCIENCE PARK GREENHEYS PROJECT"/>
    <n v="1"/>
    <n v="1"/>
    <d v="2025-09-29T00:00:00"/>
    <x v="38"/>
  </r>
  <r>
    <s v="ORT-12361"/>
    <s v="C000422117"/>
    <s v="BRENT CROSS TOWN PLOT 1 COPPER SQUARE NO 3 LONDON"/>
    <n v="1"/>
    <n v="1"/>
    <d v="2025-09-29T00:00:00"/>
    <x v="38"/>
  </r>
  <r>
    <s v="ORT-12362"/>
    <s v="C000422119"/>
    <s v="HSBC PLATINUM MSHEIREB DOHA QATAR"/>
    <n v="1"/>
    <n v="1"/>
    <d v="2025-09-29T00:00:00"/>
    <x v="38"/>
  </r>
  <r>
    <s v="ORT-12363"/>
    <s v="C000422122"/>
    <s v="MANCHESTER SCIENCE PARK GREENHEYS PROJECT"/>
    <n v="0"/>
    <n v="1"/>
    <d v="2025-09-29T00:00:00"/>
    <x v="38"/>
  </r>
  <r>
    <s v="ORT-12364"/>
    <s v="C000422127"/>
    <s v="KIRION HAIFA"/>
    <n v="1"/>
    <n v="1"/>
    <d v="2025-09-29T00:00:00"/>
    <x v="38"/>
  </r>
  <r>
    <s v="ORT-12365"/>
    <s v="C000422134"/>
    <s v="CANARY WHARF CANADA SQUARE NO 25 CITIBANK REFURB LONDON"/>
    <n v="0"/>
    <n v="1"/>
    <d v="2025-09-30T00:00:00"/>
    <x v="38"/>
  </r>
  <r>
    <s v="ORT-12366"/>
    <s v="C000422135"/>
    <s v="NUFFIELD &amp; PEGASUS HOUSE DEVELOPMENT PICCADILLY LONDON"/>
    <n v="0"/>
    <n v="1"/>
    <d v="2025-09-30T00:00:00"/>
    <x v="38"/>
  </r>
  <r>
    <s v="ORT-12368"/>
    <s v="C000422143"/>
    <s v="MOORGATE NO 25 CAT B WATSON FARLEY LONDON"/>
    <n v="0"/>
    <n v="1"/>
    <d v="2025-09-30T00:00:00"/>
    <x v="38"/>
  </r>
  <r>
    <s v="ORT-12369"/>
    <s v="C000422144"/>
    <s v="MOORGATE NO 25 CAT B WATSON FARLEY LONDON"/>
    <n v="0"/>
    <n v="1"/>
    <d v="2025-09-30T00:00:00"/>
    <x v="38"/>
  </r>
  <r>
    <s v="ORT-12370"/>
    <s v="C000422146"/>
    <s v="MOORGATE NO 25 CAT B WATSON FARLEY LONDON"/>
    <n v="0"/>
    <n v="1"/>
    <d v="2025-09-30T00:00:00"/>
    <x v="38"/>
  </r>
  <r>
    <s v="ORT-12371"/>
    <s v="C000422153"/>
    <s v="ONE EASTSIDE TOWER A SKYLOUNGE BIRMINGHAM"/>
    <n v="0"/>
    <n v="1"/>
    <d v="2025-09-30T00:00:00"/>
    <x v="38"/>
  </r>
  <r>
    <s v="ORT-12372"/>
    <m/>
    <s v="02036 PROJECT CADDELL"/>
    <n v="0"/>
    <n v="1"/>
    <d v="2025-09-30T00:00:00"/>
    <x v="38"/>
  </r>
  <r>
    <s v="ORT-12373"/>
    <s v="C000422158"/>
    <s v="GSK B6 LABORATORY ANNEX STEVENAGE"/>
    <n v="0"/>
    <n v="1"/>
    <d v="2025-09-30T00:00:00"/>
    <x v="38"/>
  </r>
  <r>
    <s v="ORT-12374"/>
    <s v="C000421950"/>
    <s v="02036 PROJECT CADDELL"/>
    <n v="0"/>
    <n v="1"/>
    <d v="2025-09-30T00:00:00"/>
    <x v="38"/>
  </r>
  <r>
    <s v="ORT-12376"/>
    <s v="C000422160"/>
    <s v="THORN LIGHTING LTD 2025"/>
    <n v="0"/>
    <n v="1"/>
    <d v="2025-10-01T00:00:00"/>
    <x v="38"/>
  </r>
  <r>
    <s v="ORT-12377"/>
    <s v="C000422161"/>
    <s v="THORN LIGHTING LTD 2025"/>
    <n v="0"/>
    <n v="1"/>
    <d v="2025-10-01T00:00:00"/>
    <x v="38"/>
  </r>
  <r>
    <s v="ORT-12378"/>
    <s v="C000422164"/>
    <s v="GATWICK NORTH TERMINAL PIER 4 CEILING"/>
    <n v="0"/>
    <n v="1"/>
    <d v="2025-10-01T00:00:00"/>
    <x v="38"/>
  </r>
  <r>
    <s v="ORT-12379"/>
    <s v="C000422167"/>
    <s v="CHAPEL STREET NO 20 FLOOR 5 LIVERPOOL"/>
    <n v="0"/>
    <n v="1"/>
    <d v="2025-10-01T00:00:00"/>
    <x v="38"/>
  </r>
  <r>
    <s v="ORT-12380"/>
    <s v="C000422172"/>
    <s v="JAMES STREET NO 1 LONDON"/>
    <n v="0"/>
    <n v="1"/>
    <d v="2025-10-01T00:00:00"/>
    <x v="38"/>
  </r>
  <r>
    <s v="ORT-12381"/>
    <s v="C000422177"/>
    <s v="MERLIN PLACE CAMBRIDGE"/>
    <n v="0"/>
    <n v="1"/>
    <d v="2025-10-01T00:00:00"/>
    <x v="38"/>
  </r>
  <r>
    <s v="ORT-12382"/>
    <s v="C000422181"/>
    <s v="ONE STATION HILL PWC CAT B FITOUT READING"/>
    <n v="0"/>
    <n v="1"/>
    <d v="2025-10-01T00:00:00"/>
    <x v="38"/>
  </r>
  <r>
    <s v="ORT-12384"/>
    <s v="C000422183"/>
    <s v="KELVIN ENERGY RECOVERY FACILITY WEST BROMWICH"/>
    <n v="0"/>
    <n v="1"/>
    <d v="2025-10-01T00:00:00"/>
    <x v="38"/>
  </r>
  <r>
    <s v="ORT-12385"/>
    <s v="C000422184"/>
    <s v="LEADENHALL STREET NO 40 KIRKLAND &amp; ELLIS FLRS 15-34 LONDON"/>
    <n v="0"/>
    <n v="1"/>
    <d v="2025-10-01T00:00:00"/>
    <x v="38"/>
  </r>
  <r>
    <s v="ORT-12386"/>
    <s v="C000422185"/>
    <s v="MANCHESTER AIRPORT PIER 2 PHASE 2 CELINGS"/>
    <n v="0"/>
    <n v="1"/>
    <d v="2025-10-01T00:00:00"/>
    <x v="38"/>
  </r>
  <r>
    <s v="ORT-12387"/>
    <s v="C000422190"/>
    <s v="PRIME FOUR SHELL REMODEL ABERDEEN"/>
    <n v="0"/>
    <n v="1"/>
    <d v="2025-10-02T00:00:00"/>
    <x v="38"/>
  </r>
  <r>
    <s v="ORT-12388"/>
    <s v="C000422193"/>
    <s v="STATION ROAD NO 21 FLRS 4 &amp; 5 CAMBRIDGE"/>
    <n v="0"/>
    <n v="1"/>
    <d v="2025-10-02T00:00:00"/>
    <x v="38"/>
  </r>
  <r>
    <s v="ORT-12389"/>
    <s v="C000422196"/>
    <s v="WINCHESTER COLLEGE BOARDING AND SPORTS FACILITIES"/>
    <n v="0"/>
    <n v="1"/>
    <d v="2025-10-02T00:00:00"/>
    <x v="38"/>
  </r>
  <r>
    <s v="ORT-12391"/>
    <s v="C000422199"/>
    <s v="ACOUSTIC TREND PROJECT DUBAI"/>
    <n v="0"/>
    <n v="1"/>
    <d v="2025-10-02T00:00:00"/>
    <x v="38"/>
  </r>
  <r>
    <s v="ORT-12392"/>
    <s v="C000422201"/>
    <s v="02034 CADDELL"/>
    <n v="0"/>
    <n v="1"/>
    <d v="2025-10-02T00:00:00"/>
    <x v="38"/>
  </r>
  <r>
    <s v="ORT-12393"/>
    <s v="C000422208"/>
    <s v="BISHOPSGATE NO 155 FLRS 9-12 AKIN FIT OUT LONDON"/>
    <n v="0"/>
    <n v="1"/>
    <d v="2025-10-02T00:00:00"/>
    <x v="38"/>
  </r>
  <r>
    <s v="ORT-12394"/>
    <s v="C000422209"/>
    <s v="RESIDENTIAL PROJECT LAGOS"/>
    <n v="0"/>
    <n v="1"/>
    <d v="2025-10-02T00:00:00"/>
    <x v="38"/>
  </r>
  <r>
    <s v="ORT-12395"/>
    <s v="C000422211"/>
    <s v="GRESHAM STREET NO 20 CAT A REFURB LONDON"/>
    <n v="0"/>
    <n v="1"/>
    <d v="2025-10-02T00:00:00"/>
    <x v="38"/>
  </r>
  <r>
    <s v="ORT-12396"/>
    <s v="C000422213"/>
    <s v="UNI OF CAMBRIDGE HUTCHINSON BUILDING REFURB"/>
    <n v="0"/>
    <n v="1"/>
    <d v="2025-10-02T00:00:00"/>
    <x v="38"/>
  </r>
  <r>
    <s v="ORT-12397"/>
    <s v="C000422216"/>
    <s v="LEADENHALL STREET NO 40 SOMPO FLRS 5-6 LONDON"/>
    <n v="0"/>
    <n v="1"/>
    <d v="2025-10-02T00:00:00"/>
    <x v="38"/>
  </r>
  <r>
    <s v="ORT-12400"/>
    <s v="C000422227"/>
    <s v="SNOW HILL BLDG 1 QUEENSWAY FLR 10 REFURB BIRMINGHAM"/>
    <n v="0"/>
    <n v="1"/>
    <d v="2025-10-03T00:00:00"/>
    <x v="38"/>
  </r>
  <r>
    <s v="ORT-12401"/>
    <s v="C000422228"/>
    <s v="ELEPHANT &amp; CASTLE TOWN CENTRE PLOT E2 &amp; E3 LONDON"/>
    <n v="0"/>
    <n v="1"/>
    <d v="2025-10-03T00:00:00"/>
    <x v="38"/>
  </r>
  <r>
    <s v="ORT-12402"/>
    <s v="C000422229"/>
    <s v="ROPEMAKER STREET NO 20-22 LINKLATERS FIT-OUT LONDON"/>
    <n v="0"/>
    <n v="1"/>
    <d v="2025-10-03T00:00:00"/>
    <x v="38"/>
  </r>
  <r>
    <s v="ORT-12403"/>
    <s v="C000422230"/>
    <s v="VICTORIA HOUSE BLOOMSBURY SQUARE LONDON"/>
    <n v="0"/>
    <n v="1"/>
    <d v="2025-10-03T00:00:00"/>
    <x v="38"/>
  </r>
  <r>
    <s v="ORT-12404"/>
    <s v="C000422238"/>
    <s v="LIVERPOOL STREET NO 1 FLOOR 1 COFFEE BAR SPACE LONDON"/>
    <n v="0"/>
    <n v="1"/>
    <d v="2025-10-03T00:00:00"/>
    <x v="38"/>
  </r>
  <r>
    <s v="ORT-12405"/>
    <s v="C000422239"/>
    <s v="VICTORIA STREET NO 105 EVERCORE CAT B FIT OUT LONDON"/>
    <n v="0"/>
    <n v="1"/>
    <d v="2025-10-03T00:00:00"/>
    <x v="38"/>
  </r>
  <r>
    <s v="ORT-12406"/>
    <s v="C000422241"/>
    <s v="NEW STREET NO 135 KING EDWARD HOUSE BIRMINGHAM"/>
    <n v="0"/>
    <n v="1"/>
    <d v="2025-10-03T00:00:00"/>
    <x v="38"/>
  </r>
  <r>
    <s v="ORT-12407"/>
    <s v="C000422242"/>
    <s v="NEWGATE STREET NO 81 BT CENTRE HSBC JOINERY LONDON"/>
    <n v="0"/>
    <n v="1"/>
    <d v="2025-10-03T00:00:00"/>
    <x v="38"/>
  </r>
  <r>
    <s v="ORT-12408"/>
    <s v="C000422243"/>
    <s v="HIGH HOLBORN NO 90 FLR 3 QUINN EMANUEL LONDON"/>
    <n v="0"/>
    <n v="1"/>
    <d v="2025-10-03T00:00:00"/>
    <x v="38"/>
  </r>
  <r>
    <s v="ORT-12409"/>
    <s v="C000422247"/>
    <s v="BROADGATE NO 1-2 CAT B A&amp;O SHEARMAN FLOORS 1-7"/>
    <n v="0"/>
    <n v="1"/>
    <d v="2025-10-06T00:00:00"/>
    <x v="39"/>
  </r>
  <r>
    <s v="ORT-12410"/>
    <s v="C000422249"/>
    <s v="FINSBURY AVENUE NO 2 DEVELOPMENT LONDON"/>
    <n v="0"/>
    <n v="1"/>
    <d v="2025-10-06T00:00:00"/>
    <x v="39"/>
  </r>
  <r>
    <s v="ORT-12411"/>
    <s v="C000422251"/>
    <s v="WAKEFIELD COLLEGE CASTLEFORD CAMPUS"/>
    <n v="0"/>
    <n v="1"/>
    <d v="2025-10-06T00:00:00"/>
    <x v="39"/>
  </r>
  <r>
    <s v="ORT-12412"/>
    <s v="C000422253"/>
    <s v="SAMPLE ROOM READING"/>
    <n v="0"/>
    <n v="1"/>
    <d v="2025-10-06T00:00:00"/>
    <x v="39"/>
  </r>
  <r>
    <s v="ORT-12413"/>
    <s v="C000422257"/>
    <s v="02034 CADDELL"/>
    <n v="0"/>
    <n v="1"/>
    <d v="2025-10-06T00:00:00"/>
    <x v="39"/>
  </r>
  <r>
    <s v="ORT-12414"/>
    <s v="C000422258"/>
    <s v="ROKOS NO 23 SAVILLE ROW REFURB LONDON"/>
    <n v="0"/>
    <n v="1"/>
    <d v="2025-10-06T00:00:00"/>
    <x v="39"/>
  </r>
  <r>
    <s v="ORT-12415"/>
    <s v="C000422261"/>
    <s v="A&amp;O SHEARMAN EAST TOWER LAYSEN VALLEY RIYADH KSA"/>
    <n v="0"/>
    <n v="1"/>
    <d v="2025-10-06T00:00:00"/>
    <x v="39"/>
  </r>
  <r>
    <s v="ORT-12416"/>
    <s v="C000422148"/>
    <s v="THORN LIGHTING LTD 2025"/>
    <n v="0"/>
    <n v="1"/>
    <d v="2025-10-06T00:00:00"/>
    <x v="39"/>
  </r>
  <r>
    <s v="ORT-12417"/>
    <s v="C000422270"/>
    <s v="ARLA FOODS REFURB LOCKERBIE"/>
    <n v="0"/>
    <n v="1"/>
    <d v="2025-10-06T00:00:00"/>
    <x v="39"/>
  </r>
  <r>
    <s v="ORT-12418"/>
    <s v="C000422272"/>
    <s v="MORE LONDON RIVERSIDE NO 7 PWC REFRESH LONDON"/>
    <n v="0"/>
    <n v="1"/>
    <d v="2025-10-06T00:00:00"/>
    <x v="39"/>
  </r>
  <r>
    <s v="ORT-12419"/>
    <s v="C000422276"/>
    <s v="PORTMAN SQUARE NO 40 LEVEL 1-3 CPPIB FIT OUT LONDON"/>
    <n v="0"/>
    <n v="1"/>
    <d v="2025-10-07T00:00:00"/>
    <x v="39"/>
  </r>
  <r>
    <s v="ORT-12420"/>
    <s v="C000422277"/>
    <s v="UNKNOWN"/>
    <n v="0"/>
    <n v="1"/>
    <d v="2025-10-07T00:00:00"/>
    <x v="39"/>
  </r>
  <r>
    <s v="ORT-12421"/>
    <s v="C000422280"/>
    <s v="DUNFERMLINE LEARNING CAMPUS FIFE COLLEGE"/>
    <n v="0"/>
    <n v="1"/>
    <d v="2025-10-07T00:00:00"/>
    <x v="39"/>
  </r>
  <r>
    <s v="ORT-12422"/>
    <s v="C000422281"/>
    <s v="CANARY WHARF CANADA SQUARE NO 25 CITIBANK REFURB LONDON"/>
    <n v="0"/>
    <n v="1"/>
    <d v="2025-10-07T00:00:00"/>
    <x v="39"/>
  </r>
  <r>
    <s v="ORT-12423"/>
    <s v="C000422282"/>
    <s v="PORTMAN SQUARE NO 40 LEVEL 1-3 CPPIB FIT OUT LONDON"/>
    <n v="0"/>
    <n v="1"/>
    <d v="2025-10-07T00:00:00"/>
    <x v="39"/>
  </r>
  <r>
    <s v="ORT-12424"/>
    <s v="C000422283"/>
    <s v="NEW BRIDGE STREET NO 100 CAT A+ LONDON"/>
    <n v="0"/>
    <n v="1"/>
    <d v="2025-10-07T00:00:00"/>
    <x v="39"/>
  </r>
  <r>
    <s v="ORT-12425"/>
    <s v="C000422284"/>
    <s v="CHISWICK PARK BUILDING 6 LVL 7 &amp; 8 LONDON"/>
    <n v="0"/>
    <n v="1"/>
    <d v="2025-10-07T00:00:00"/>
    <x v="39"/>
  </r>
  <r>
    <s v="ORT-12426"/>
    <s v="C000422286"/>
    <s v="DRAPERS GARDENS NO 12 BLACKROCK FLR 3 REFURB LONDON"/>
    <n v="0"/>
    <n v="1"/>
    <d v="2025-10-07T00:00:00"/>
    <x v="39"/>
  </r>
  <r>
    <s v="ORT-12427"/>
    <s v="C000422294"/>
    <s v="PROJECT VITRUM LOBBY CAMBRIDGE"/>
    <n v="0"/>
    <n v="1"/>
    <d v="2025-10-07T00:00:00"/>
    <x v="39"/>
  </r>
  <r>
    <s v="ORT-12428"/>
    <s v="C000422145"/>
    <s v="GSK B6 LABORATORY ANNEX STEVENAGE"/>
    <n v="0"/>
    <n v="1"/>
    <d v="2025-10-07T00:00:00"/>
    <x v="39"/>
  </r>
  <r>
    <s v="ORT-12429"/>
    <s v="C000422298"/>
    <s v="DORKING OFFICE PARK NO 7 STONEBRIDGE HOUSE LIGHTING"/>
    <n v="0"/>
    <n v="1"/>
    <d v="2025-10-07T00:00:00"/>
    <x v="39"/>
  </r>
  <r>
    <s v="ORT-12430"/>
    <s v="C000422301"/>
    <s v="RESIDENTIAL PROJECT THAILAND"/>
    <n v="0"/>
    <n v="1"/>
    <d v="2025-10-07T00:00:00"/>
    <x v="39"/>
  </r>
  <r>
    <s v="ORT-12431"/>
    <s v="C000422304"/>
    <s v="BROADGATE NO 1-2 CAT B A&amp;O SHEARMAN FLOORS 1-7"/>
    <n v="0"/>
    <n v="1"/>
    <d v="2025-10-07T00:00:00"/>
    <x v="39"/>
  </r>
  <r>
    <s v="ORT-12432"/>
    <s v="C000422305"/>
    <s v="BROADGATE NO 1-2 CAT B A&amp;O SHEARMAN FLOORS 1-7"/>
    <n v="0"/>
    <n v="1"/>
    <d v="2025-10-07T00:00:00"/>
    <x v="39"/>
  </r>
  <r>
    <s v="ORT-12433"/>
    <s v="C000422306"/>
    <s v="ROSARIO PINO 14 RENOVATION (20/F) MADRID"/>
    <n v="0"/>
    <n v="1"/>
    <d v="2025-10-07T00:00:00"/>
    <x v="39"/>
  </r>
  <r>
    <s v="ORT-12434"/>
    <s v="C000422307"/>
    <s v="CAMBRIDGE BIOMEDICAL CAMPUS LABORATORY 2000 NEWBUILD"/>
    <n v="0"/>
    <n v="1"/>
    <d v="2025-10-07T00:00:00"/>
    <x v="39"/>
  </r>
  <r>
    <s v="ORT-12436"/>
    <s v="C000422311"/>
    <s v="CAPITAL PARK CAMBRIDGE ROAD NO 2 FULBOURN CAMBRIDGE"/>
    <n v="0"/>
    <n v="1"/>
    <d v="2025-10-07T00:00:00"/>
    <x v="39"/>
  </r>
  <r>
    <s v="ORT-12437"/>
    <s v="C000422320"/>
    <s v="GRIFFIN HOUSE 18-19 FLOOR 5 REFURB BIRMINGHAM"/>
    <n v="0"/>
    <n v="1"/>
    <d v="2025-10-08T00:00:00"/>
    <x v="39"/>
  </r>
  <r>
    <s v="ORT-12438"/>
    <s v="C000422325"/>
    <s v="THE REX CLARENCE STREET KINGSTON LONDON"/>
    <n v="0"/>
    <n v="1"/>
    <d v="2025-10-08T00:00:00"/>
    <x v="39"/>
  </r>
  <r>
    <s v="ORT-12439"/>
    <s v="C000422331"/>
    <s v="THORN LIGHTING LTD 2025"/>
    <n v="0"/>
    <n v="1"/>
    <d v="2025-10-08T00:00:00"/>
    <x v="39"/>
  </r>
  <r>
    <s v="ORT-12440"/>
    <s v="C000422332"/>
    <s v="THORN LIGHTING LTD 2025"/>
    <n v="0"/>
    <n v="1"/>
    <d v="2025-10-08T00:00:00"/>
    <x v="39"/>
  </r>
  <r>
    <s v="ORT-12441"/>
    <s v="C000422335"/>
    <s v="BEPO BUILDING HARWELL CAMPUS DIDCOT"/>
    <n v="0"/>
    <n v="1"/>
    <d v="2025-10-08T00:00:00"/>
    <x v="39"/>
  </r>
  <r>
    <s v="ORT-12442"/>
    <s v="C000422336"/>
    <s v="NEW BRIDGE STREET NO 100 CAT A+ LONDON"/>
    <n v="0"/>
    <n v="1"/>
    <d v="2025-10-08T00:00:00"/>
    <x v="39"/>
  </r>
  <r>
    <s v="ORT-12443"/>
    <s v="C000422337"/>
    <s v="LEADENHALL STREET NO 1 CAT B LATHAM &amp; WATKINS FLRS 1-20"/>
    <n v="0"/>
    <n v="1"/>
    <d v="2025-10-08T00:00:00"/>
    <x v="39"/>
  </r>
  <r>
    <s v="ORT-12444"/>
    <s v="C000422339"/>
    <s v="GROSVENOR PLACE NO 40 CAT A REFURB LONDON"/>
    <n v="0"/>
    <n v="1"/>
    <d v="2025-10-09T00:00:00"/>
    <x v="39"/>
  </r>
  <r>
    <s v="ORT-12445"/>
    <s v="C000422340"/>
    <s v="BISHOPSGATE NO 8 FLOOR 41 KING &amp; SPALDING LONDON"/>
    <n v="0"/>
    <n v="1"/>
    <d v="2025-10-09T00:00:00"/>
    <x v="39"/>
  </r>
  <r>
    <s v="ORT-12446"/>
    <s v="C000422341"/>
    <s v="JOHN TAYLOR SCHOOL RUGELEY STAFFORDSHIRE"/>
    <n v="0"/>
    <n v="1"/>
    <d v="2025-10-09T00:00:00"/>
    <x v="39"/>
  </r>
  <r>
    <s v="ORT-12447"/>
    <s v="C000422345"/>
    <s v="EURSHELL MISC TILE &amp; GRID 2025"/>
    <n v="0"/>
    <n v="1"/>
    <d v="2025-10-09T00:00:00"/>
    <x v="39"/>
  </r>
  <r>
    <s v="ORT-12448"/>
    <s v="C000422344"/>
    <s v="UNI OF OXFORD BEGBROKE FIT OUT"/>
    <n v="0"/>
    <n v="1"/>
    <d v="2025-10-09T00:00:00"/>
    <x v="39"/>
  </r>
  <r>
    <s v="ORT-12449"/>
    <s v="C000422348"/>
    <s v="NATIONAL GRID CASTLE DONNINGTON"/>
    <n v="0"/>
    <n v="1"/>
    <d v="2025-10-09T00:00:00"/>
    <x v="39"/>
  </r>
  <r>
    <s v="ORT-12450"/>
    <s v="C000422352"/>
    <s v="BRITISH AIRWAYS CUSTOMER SERVICES NEWCASTLE"/>
    <n v="0"/>
    <n v="1"/>
    <d v="2025-10-09T00:00:00"/>
    <x v="39"/>
  </r>
  <r>
    <s v="ORT-12451"/>
    <s v="C000422356"/>
    <s v="NUEVA SEDE SIEMENS MADRID"/>
    <n v="0"/>
    <n v="1"/>
    <d v="2025-10-09T00:00:00"/>
    <x v="39"/>
  </r>
  <r>
    <s v="ORT-12452"/>
    <s v="C000422357"/>
    <s v="MANCHESTER AIRPORT T2 EAST WING NEW DEVELOPMENT"/>
    <n v="0"/>
    <n v="1"/>
    <d v="2025-10-09T00:00:00"/>
    <x v="39"/>
  </r>
  <r>
    <s v="ORT-12453"/>
    <s v="C000422358"/>
    <s v="STRAND NO 40 REFURB BAIN &amp; CO LONDON"/>
    <n v="0"/>
    <n v="1"/>
    <d v="2025-10-09T00:00:00"/>
    <x v="39"/>
  </r>
  <r>
    <s v="ORT-12454"/>
    <s v="C000422362"/>
    <s v="CITY GATE 1 GROUND 4TH &amp; 5TH FLOORS NEWCASTLE"/>
    <n v="0"/>
    <n v="1"/>
    <d v="2025-10-09T00:00:00"/>
    <x v="39"/>
  </r>
  <r>
    <s v="ORT-12455"/>
    <s v="C000422368"/>
    <s v="PORTLAND HOUSE BRESSENDEN PLACE LONDON"/>
    <n v="0"/>
    <n v="1"/>
    <d v="2025-10-09T00:00:00"/>
    <x v="39"/>
  </r>
  <r>
    <s v="ORT-12456"/>
    <s v="C000422369"/>
    <s v="PORTLAND HOUSE BRESSENDEN PLACE LONDON"/>
    <n v="0"/>
    <n v="1"/>
    <d v="2025-10-09T00:00:00"/>
    <x v="39"/>
  </r>
  <r>
    <s v="ORT-12457"/>
    <s v="C000422370"/>
    <s v="PORTLAND HOUSE BRESSENDEN PLACE LONDON"/>
    <n v="0"/>
    <n v="1"/>
    <d v="2025-10-09T00:00:00"/>
    <x v="39"/>
  </r>
  <r>
    <s v="ORT-12462"/>
    <s v="C000422372"/>
    <s v="OSNEY POWER STATION SAID BUSINESS SCHOOL OXFORD"/>
    <n v="0"/>
    <n v="1"/>
    <d v="2025-10-10T00:00:00"/>
    <x v="39"/>
  </r>
  <r>
    <s v="ORT-12463"/>
    <s v="C000422374"/>
    <s v="HEATHROW T4 CSA SECURITY PROGRAMME WORKS LONDON"/>
    <n v="0"/>
    <n v="1"/>
    <d v="2025-10-10T00:00:00"/>
    <x v="39"/>
  </r>
  <r>
    <s v="ORT-12464"/>
    <s v="C000422382"/>
    <s v="BROADGATE QUARTER CAT A REFURB APPOLD STREET LONDON"/>
    <n v="0"/>
    <n v="1"/>
    <d v="2025-10-10T00:00:00"/>
    <x v="39"/>
  </r>
  <r>
    <s v="ORT-12465"/>
    <s v="C000422383"/>
    <s v="NEW BRIDGE STREET NO 100 CAT A+ LONDON"/>
    <n v="0"/>
    <n v="1"/>
    <d v="2025-10-10T00:00:00"/>
    <x v="39"/>
  </r>
  <r>
    <s v="ORT-12466"/>
    <s v="C000422385"/>
    <s v="CHANCERY LANE NO 5 REDEVELOPMENT LONDON"/>
    <n v="0"/>
    <n v="1"/>
    <d v="2025-10-10T00:00:00"/>
    <x v="39"/>
  </r>
  <r>
    <s v="ORT-12467"/>
    <s v="C000422386"/>
    <s v="BROADGATE QUARTER CAT A REFURB APPOLD STREET LONDON"/>
    <n v="0"/>
    <n v="1"/>
    <d v="2025-10-10T00:00:00"/>
    <x v="39"/>
  </r>
  <r>
    <s v="ORT-12468"/>
    <s v="C000422387"/>
    <s v="BROADGATE QUARTER CAT A REFURB APPOLD STREET LONDON"/>
    <n v="0"/>
    <n v="1"/>
    <d v="2025-10-10T00:00:00"/>
    <x v="39"/>
  </r>
  <r>
    <s v="ORT-12469"/>
    <s v="C000422388"/>
    <s v="BROADGATE QUARTER CAT A REFURB APPOLD STREET LONDON"/>
    <n v="0"/>
    <n v="1"/>
    <d v="2025-10-10T00:00:00"/>
    <x v="39"/>
  </r>
  <r>
    <s v="ORT-12470"/>
    <s v="C000422407"/>
    <s v="02034 CADDELL"/>
    <n v="0"/>
    <n v="1"/>
    <d v="2025-10-13T00:00:00"/>
    <x v="40"/>
  </r>
  <r>
    <s v="ORT-12471"/>
    <s v="C000422410"/>
    <s v="LANCELOT PLACE NO 8 CAT A REFURB LONDON"/>
    <n v="0"/>
    <n v="1"/>
    <d v="2025-10-13T00:00:00"/>
    <x v="40"/>
  </r>
  <r>
    <s v="ORT-12472"/>
    <s v="C000422412"/>
    <s v="JACK TURNBULL MISC TILE &amp; GRID 2025"/>
    <n v="0"/>
    <n v="1"/>
    <d v="2025-10-13T00:00:00"/>
    <x v="40"/>
  </r>
  <r>
    <s v="ORT-12473"/>
    <s v="C000422416"/>
    <s v="WARNER MUSIC UK WRIGHTS LANE NO 27 LONDON"/>
    <n v="0"/>
    <n v="1"/>
    <d v="2025-10-13T00:00:00"/>
    <x v="40"/>
  </r>
  <r>
    <s v="ORT-12474"/>
    <s v="C000422424"/>
    <s v="WEYBRIDGE INNOVATION FACILITY HALEON (GSK) THE HEIGHTS - NDA"/>
    <n v="0"/>
    <n v="1"/>
    <d v="2025-10-14T00:00:00"/>
    <x v="40"/>
  </r>
  <r>
    <s v="ORT-12475"/>
    <s v="C000422425"/>
    <s v="NATIONAL REHABILITATION CENTRE STANFORD HALL ESTATE"/>
    <n v="0"/>
    <n v="1"/>
    <d v="2025-10-14T00:00:00"/>
    <x v="40"/>
  </r>
  <r>
    <s v="ORT-12476"/>
    <s v="C000422427"/>
    <s v="VICTORIA STREET NO 105 LIFT LOBBIES LONDON"/>
    <n v="0"/>
    <n v="1"/>
    <d v="2025-10-14T00:00:00"/>
    <x v="40"/>
  </r>
  <r>
    <s v="ORT-12477"/>
    <s v="C000422428"/>
    <s v="THREADNEEDLE STREET NO 60 CAT A FLOOR 8 LONDON"/>
    <n v="0"/>
    <n v="1"/>
    <d v="2025-10-14T00:00:00"/>
    <x v="40"/>
  </r>
  <r>
    <s v="ORT-12478"/>
    <s v="C000422429"/>
    <s v="JSP PICCADILLY NO 180 DUKE STREET NO 30 WCS LONDON"/>
    <n v="0"/>
    <n v="1"/>
    <d v="2025-10-14T00:00:00"/>
    <x v="40"/>
  </r>
  <r>
    <s v="ORT-12479"/>
    <s v="C000422432"/>
    <s v="ONE COLMORE SQUARE FLR 8 BIRMINGHAM"/>
    <n v="0"/>
    <n v="1"/>
    <d v="2025-10-14T00:00:00"/>
    <x v="40"/>
  </r>
  <r>
    <s v="ORT-12480"/>
    <s v="C000422433"/>
    <s v="CANARY WHARF WOOD WHARF B2 APARTMENT FIT OUT LONDON"/>
    <n v="0"/>
    <n v="1"/>
    <d v="2025-10-14T00:00:00"/>
    <x v="40"/>
  </r>
  <r>
    <s v="ORT-12481"/>
    <s v="C000422435"/>
    <s v="LLOYDS MANCHESTER"/>
    <n v="0"/>
    <n v="1"/>
    <d v="2025-10-14T00:00:00"/>
    <x v="40"/>
  </r>
  <r>
    <s v="ORT-12482"/>
    <s v="C000422438"/>
    <s v="CANARY WHARF BANK STREET NO 25 JPMC FLOOR 7 RECEPTION LONDON"/>
    <n v="0"/>
    <n v="1"/>
    <d v="2025-10-14T00:00:00"/>
    <x v="40"/>
  </r>
  <r>
    <s v="ORT-12483"/>
    <s v="C000422439"/>
    <s v="SCOTLAND &amp; NORTH EAST MISC 2025"/>
    <n v="0"/>
    <n v="1"/>
    <d v="2025-10-14T00:00:00"/>
    <x v="40"/>
  </r>
  <r>
    <s v="ORT-12484"/>
    <s v="C000422445"/>
    <s v="PILGRIM STREET PHASE 3 BUILDING 1 &amp; 2 NEWCASTLE"/>
    <n v="0"/>
    <n v="1"/>
    <d v="2025-10-14T00:00:00"/>
    <x v="40"/>
  </r>
  <r>
    <s v="ORT-12485"/>
    <s v="C000422446"/>
    <s v="STANSTED AIRPORT TERMINAL CONCOURSE CENTRAL SEARCH AREA"/>
    <n v="0"/>
    <n v="1"/>
    <d v="2025-10-14T00:00:00"/>
    <x v="40"/>
  </r>
  <r>
    <s v="ORT-12486"/>
    <s v="C000422447"/>
    <s v="AWE HUB ALDERMASTON STREET"/>
    <n v="0"/>
    <n v="1"/>
    <d v="2025-10-14T00:00:00"/>
    <x v="40"/>
  </r>
  <r>
    <s v="ORT-12487"/>
    <s v="C000422448"/>
    <s v="02034 CADDELL"/>
    <n v="0"/>
    <n v="1"/>
    <d v="2025-10-14T00:00:00"/>
    <x v="40"/>
  </r>
  <r>
    <s v="ORT-12488"/>
    <s v="C000422451"/>
    <s v="NEW STREET SQUARE NO 5 TAYLOR WESSING REFURB LONDON"/>
    <n v="0"/>
    <n v="1"/>
    <d v="2025-10-14T00:00:00"/>
    <x v="40"/>
  </r>
  <r>
    <s v="ORT-12489"/>
    <s v="C000422460"/>
    <s v="ARGYLL STREET NO 40 REFURB LONDON"/>
    <n v="0"/>
    <n v="1"/>
    <d v="2025-10-15T00:00:00"/>
    <x v="40"/>
  </r>
  <r>
    <s v="ORT-12490"/>
    <s v="C000422465"/>
    <s v="LUMINOUS OAK SEMH SCHOOL SOUTHAMPTON"/>
    <n v="0"/>
    <n v="1"/>
    <d v="2025-10-15T00:00:00"/>
    <x v="40"/>
  </r>
  <r>
    <s v="ORT-12491"/>
    <s v="C000422468"/>
    <s v="ANGEL SQUARE NO 4 BNY FIT OUT MANCHESTER"/>
    <n v="0"/>
    <n v="1"/>
    <d v="2025-10-15T00:00:00"/>
    <x v="40"/>
  </r>
  <r>
    <s v="ORT-12492"/>
    <s v="C000422469"/>
    <s v="EURSHELL MISC TILE &amp; GRID 2025"/>
    <n v="0"/>
    <n v="1"/>
    <d v="2025-10-15T00:00:00"/>
    <x v="40"/>
  </r>
  <r>
    <s v="ORT-12493"/>
    <s v="C000422470"/>
    <s v="MOORFIELDS NO 21 DEUTSCHE BANK REFURB LONDON"/>
    <n v="0"/>
    <n v="1"/>
    <d v="2025-10-15T00:00:00"/>
    <x v="40"/>
  </r>
  <r>
    <s v="ORT-12494"/>
    <s v="C000422471"/>
    <s v="AWE HUB ALDERMASTON STREET"/>
    <n v="0"/>
    <n v="1"/>
    <d v="2025-10-15T00:00:00"/>
    <x v="40"/>
  </r>
  <r>
    <s v="ORT-12495"/>
    <s v="C000422476"/>
    <s v="LUDGATE HILL NO 60 REFURB LONDON"/>
    <n v="0"/>
    <n v="1"/>
    <d v="2025-10-15T00:00:00"/>
    <x v="40"/>
  </r>
  <r>
    <s v="ORT-12496"/>
    <s v="C000422482"/>
    <s v="JERSEY AIRPORT DEPARTURES REFURBISHMENT"/>
    <n v="0"/>
    <n v="1"/>
    <d v="2025-10-15T00:00:00"/>
    <x v="40"/>
  </r>
  <r>
    <s v="ORT-12497"/>
    <s v="C000422484"/>
    <s v="TEMPLE QUAY GLASS WHARF NO 1 GRD &amp; 1ST FLRS BRISTOL"/>
    <n v="0"/>
    <n v="1"/>
    <d v="2025-10-15T00:00:00"/>
    <x v="40"/>
  </r>
  <r>
    <s v="ORT-12498"/>
    <s v="C000422489"/>
    <s v="SQUIRE PATTON BOGGS"/>
    <n v="0"/>
    <n v="1"/>
    <d v="2025-10-15T00:00:00"/>
    <x v="40"/>
  </r>
  <r>
    <s v="ORT-12499"/>
    <s v="C000422490"/>
    <s v="HEATHROW AIRPORT T3 IMMIGRATION CORRIDOR REFURB"/>
    <n v="0"/>
    <n v="1"/>
    <d v="2025-10-15T00:00:00"/>
    <x v="40"/>
  </r>
  <r>
    <s v="ORT-12500"/>
    <s v="C000422492"/>
    <s v="DEVONSHIRE HOUSE MAYFAIR PLACE NO 1 LEVELS 3-4 TA LONDON"/>
    <n v="0"/>
    <n v="1"/>
    <d v="2025-10-15T00:00:00"/>
    <x v="40"/>
  </r>
  <r>
    <s v="ORT-12501"/>
    <s v="C000422496"/>
    <s v="CARLTON HOUSE TERRACE NO 20 REFURB PH2 LONDON"/>
    <n v="0"/>
    <n v="1"/>
    <d v="2025-10-15T00:00:00"/>
    <x v="40"/>
  </r>
  <r>
    <s v="ORT-12502"/>
    <s v="C000422510"/>
    <s v="QUEEN VICTORIA STREET NO 128 OLD CHANGE HOUSE FLR 3 LONDON"/>
    <n v="0"/>
    <n v="1"/>
    <d v="2025-10-16T00:00:00"/>
    <x v="40"/>
  </r>
  <r>
    <s v="ORT-12503"/>
    <s v="C000422511"/>
    <s v="IMPERIAL COLLEGE WHITE CITY IMPERIAL WEST BUILDING E LEVEL 1"/>
    <n v="0"/>
    <n v="1"/>
    <d v="2025-10-16T00:00:00"/>
    <x v="40"/>
  </r>
  <r>
    <s v="ORT-12504"/>
    <s v="C000422519"/>
    <s v="THE FAIRFAX PHASE 1 WALL PANELS MANCHESTER"/>
    <n v="0"/>
    <n v="1"/>
    <d v="2025-10-16T00:00:00"/>
    <x v="40"/>
  </r>
  <r>
    <s v="ORT-12505"/>
    <s v="C000422522"/>
    <s v="HOLBORN VIADUCT NO 14-21 WASHROOM FIT OUT LONDON"/>
    <n v="0"/>
    <n v="1"/>
    <d v="2025-10-16T00:00:00"/>
    <x v="40"/>
  </r>
  <r>
    <s v="ORT-12506"/>
    <s v="C000422523"/>
    <s v="UNKNOWN"/>
    <n v="0"/>
    <n v="1"/>
    <d v="2025-10-16T00:00:00"/>
    <x v="40"/>
  </r>
  <r>
    <s v="ORT-12507"/>
    <s v="C000422524"/>
    <s v="BRITISH AIRWAYS CUSTOMER SERVICES NEWCASTLE"/>
    <n v="0"/>
    <n v="1"/>
    <d v="2025-10-16T00:00:00"/>
    <x v="40"/>
  </r>
  <r>
    <s v="ORT-12508"/>
    <s v="C000422528"/>
    <s v="MANCHESTER AIRPORT T2 DUTY FREE"/>
    <n v="0"/>
    <n v="1"/>
    <d v="2025-10-16T00:00:00"/>
    <x v="40"/>
  </r>
  <r>
    <s v="ORT-12509"/>
    <s v="C000422529"/>
    <s v="PILGRIM STREET PHASE 2 NEWCASTLE FURTHER DEVELOPMENT"/>
    <n v="0"/>
    <n v="1"/>
    <d v="2025-10-16T00:00:00"/>
    <x v="40"/>
  </r>
  <r>
    <s v="ORT-12510"/>
    <s v="CF00000564"/>
    <s v="ATH11 AMAZON WORKSPACE ATHENS CEILINGS"/>
    <n v="0"/>
    <n v="1"/>
    <d v="2025-10-16T00:00:00"/>
    <x v="40"/>
  </r>
  <r>
    <s v="ORT-12511"/>
    <s v="CF00000565"/>
    <s v="ATH11 AMAZON WORKSPACE ATHENS LIGHTING"/>
    <n v="0"/>
    <n v="1"/>
    <d v="2025-10-16T00:00:00"/>
    <x v="40"/>
  </r>
  <r>
    <s v="ORT-12512"/>
    <m/>
    <s v="IMMERSIVE TOWER DIFC COMMERCIAL OFFICE DEVT DUBAI"/>
    <n v="0"/>
    <n v="1"/>
    <d v="2025-10-17T00:00:00"/>
    <x v="40"/>
  </r>
  <r>
    <s v="ORT-12513"/>
    <s v="C000422543"/>
    <s v="BROADGATE NO 1-2 CAT B A&amp;O SHEARMAN FLOORS 1-7"/>
    <n v="0"/>
    <n v="1"/>
    <d v="2025-10-17T00:00:00"/>
    <x v="40"/>
  </r>
  <r>
    <s v="ORT-12514"/>
    <s v="C000422544"/>
    <s v="DEVONSHIRE SQUARE NO 7 FLOOR 5 TWO SIGMA LONDON"/>
    <n v="0"/>
    <n v="1"/>
    <d v="2025-10-17T00:00:00"/>
    <x v="40"/>
  </r>
  <r>
    <s v="ORT-12515"/>
    <s v="CF00000566"/>
    <s v="NEW FIVE STOREY EDUCATIONAL CENTER ATHENS"/>
    <n v="0"/>
    <n v="1"/>
    <d v="2025-10-17T00:00:00"/>
    <x v="40"/>
  </r>
  <r>
    <s v="ORT-12516"/>
    <s v="C000422546"/>
    <s v="KINGS CROSS CENTRAL GOOGLE HQ KGX1 CAT B LONDON"/>
    <n v="0"/>
    <n v="1"/>
    <d v="2025-10-17T00:00:00"/>
    <x v="40"/>
  </r>
  <r>
    <s v="ORT-12517"/>
    <s v="C000422547"/>
    <s v="PETERBOROUGH COURT FLEET STREET NO 133 REFURB LONDON"/>
    <n v="0"/>
    <n v="1"/>
    <d v="2025-10-17T00:00:00"/>
    <x v="40"/>
  </r>
  <r>
    <s v="ORT-12518"/>
    <s v="C000422549"/>
    <s v="PETERBOROUGH COURT FLEET STREET NO 133 REFURB LONDON"/>
    <n v="0"/>
    <n v="1"/>
    <d v="2025-10-17T00:00:00"/>
    <x v="40"/>
  </r>
  <r>
    <s v="ORT-12519"/>
    <s v="C000422552"/>
    <s v="OXFORD STREET NO 334-348 S&amp;C / LOBBIES LONDON"/>
    <n v="0"/>
    <n v="1"/>
    <d v="2025-10-17T00:00:00"/>
    <x v="40"/>
  </r>
  <r>
    <s v="ORT-12520"/>
    <s v="C000422554"/>
    <s v="NEW BRIDGE STREET NO 100 CAT A+ LONDON"/>
    <n v="0"/>
    <n v="1"/>
    <d v="2025-10-17T00:00:00"/>
    <x v="40"/>
  </r>
  <r>
    <m/>
    <m/>
    <m/>
    <m/>
    <m/>
    <m/>
    <x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DE809-E145-43C4-A20D-B0A94BF85E7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AQ28" firstHeaderRow="1" firstDataRow="2" firstDataCol="1"/>
  <pivotFields count="11"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29">
        <item x="9"/>
        <item x="5"/>
        <item x="7"/>
        <item x="3"/>
        <item x="12"/>
        <item x="1"/>
        <item m="1" x="25"/>
        <item m="1" x="27"/>
        <item x="22"/>
        <item x="8"/>
        <item x="17"/>
        <item x="16"/>
        <item m="1" x="26"/>
        <item x="20"/>
        <item x="10"/>
        <item x="13"/>
        <item x="14"/>
        <item x="18"/>
        <item x="2"/>
        <item x="11"/>
        <item x="15"/>
        <item x="0"/>
        <item m="1" x="24"/>
        <item x="21"/>
        <item x="4"/>
        <item x="6"/>
        <item x="19"/>
        <item x="23"/>
        <item t="default"/>
      </items>
    </pivotField>
    <pivotField showAll="0"/>
    <pivotField axis="axisCol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39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</pivotFields>
  <rowFields count="1">
    <field x="8"/>
  </rowFields>
  <rowItems count="25">
    <i>
      <x/>
    </i>
    <i>
      <x v="1"/>
    </i>
    <i>
      <x v="2"/>
    </i>
    <i>
      <x v="3"/>
    </i>
    <i>
      <x v="4"/>
    </i>
    <i>
      <x v="5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 t="grand">
      <x/>
    </i>
  </rowItems>
  <colFields count="1">
    <field x="10"/>
  </colFields>
  <col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colItems>
  <dataFields count="1">
    <dataField name="Count of Customer Service Number" fld="3" subtotal="count" baseField="0" baseItem="0"/>
  </dataFields>
  <formats count="2">
    <format dxfId="10">
      <pivotArea outline="0" collapsedLevelsAreSubtotals="1" fieldPosition="0">
        <references count="1">
          <reference field="10" count="1" selected="0">
            <x v="3"/>
          </reference>
        </references>
      </pivotArea>
    </format>
    <format dxfId="9">
      <pivotArea dataOnly="0" labelOnly="1" fieldPosition="0">
        <references count="1">
          <reference field="10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794A8-142F-437C-BA4F-0D3F54CB46D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6" firstHeaderRow="0" firstDataRow="1" firstDataCol="1"/>
  <pivotFields count="7">
    <pivotField dataField="1" showAll="0"/>
    <pivotField showAll="0"/>
    <pivotField showAll="0"/>
    <pivotField showAll="0"/>
    <pivotField dataField="1" showAll="0"/>
    <pivotField showAll="0"/>
    <pivotField axis="axisRow" showAll="0">
      <items count="43">
        <item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 count="1">
    <field x="6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Tracking: Order Tracking No" fld="0" subtotal="count" baseField="0" baseItem="0"/>
    <dataField name="Sum of On Time" fld="4" baseField="0" baseItem="0"/>
  </dataFields>
  <formats count="5"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">
      <pivotArea field="6" type="button" dataOnly="0" labelOnly="1" outline="0" axis="axisRow" fieldPosition="0"/>
    </format>
    <format dxfId="5">
      <pivotArea field="6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F0CAD-804E-4BBC-8976-04315A66FFB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6" firstHeaderRow="0" firstDataRow="1" firstDataCol="1"/>
  <pivotFields count="7">
    <pivotField dataField="1" showAll="0"/>
    <pivotField showAll="0"/>
    <pivotField showAll="0"/>
    <pivotField showAll="0"/>
    <pivotField dataField="1" showAll="0"/>
    <pivotField showAll="0"/>
    <pivotField axis="axisRow" showAll="0">
      <items count="43">
        <item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 count="1">
    <field x="6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Tracking: Order Tracking No" fld="0" subtotal="count" baseField="0" baseItem="0"/>
    <dataField name="Sum of On Time" fld="4" baseField="0" baseItem="0"/>
  </dataFields>
  <formats count="4">
    <format dxfId="3">
      <pivotArea field="6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6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2EB0-28E3-4947-8C09-B6AC714B216D}">
  <dimension ref="B4:J16"/>
  <sheetViews>
    <sheetView workbookViewId="0">
      <selection activeCell="E27" sqref="E27"/>
    </sheetView>
  </sheetViews>
  <sheetFormatPr defaultRowHeight="14.4" x14ac:dyDescent="0.3"/>
  <cols>
    <col min="2" max="2" width="4.6640625" customWidth="1"/>
  </cols>
  <sheetData>
    <row r="4" spans="2:10" x14ac:dyDescent="0.3">
      <c r="B4" s="9" t="s">
        <v>756</v>
      </c>
      <c r="C4" s="9"/>
      <c r="D4" s="9"/>
      <c r="E4" s="9"/>
      <c r="F4" s="9"/>
      <c r="G4" s="9"/>
      <c r="H4" s="9"/>
      <c r="I4" s="9"/>
      <c r="J4" s="9"/>
    </row>
    <row r="5" spans="2:10" x14ac:dyDescent="0.3">
      <c r="C5" t="s">
        <v>757</v>
      </c>
    </row>
    <row r="6" spans="2:10" x14ac:dyDescent="0.3">
      <c r="C6" t="s">
        <v>758</v>
      </c>
    </row>
    <row r="8" spans="2:10" x14ac:dyDescent="0.3">
      <c r="C8" t="s">
        <v>759</v>
      </c>
    </row>
    <row r="9" spans="2:10" x14ac:dyDescent="0.3">
      <c r="C9" t="s">
        <v>776</v>
      </c>
    </row>
    <row r="10" spans="2:10" x14ac:dyDescent="0.3">
      <c r="C10" t="s">
        <v>778</v>
      </c>
    </row>
    <row r="11" spans="2:10" x14ac:dyDescent="0.3">
      <c r="C11" t="s">
        <v>777</v>
      </c>
    </row>
    <row r="12" spans="2:10" x14ac:dyDescent="0.3">
      <c r="C12" t="s">
        <v>779</v>
      </c>
    </row>
    <row r="13" spans="2:10" x14ac:dyDescent="0.3">
      <c r="C13" t="s">
        <v>780</v>
      </c>
    </row>
    <row r="14" spans="2:10" x14ac:dyDescent="0.3">
      <c r="C14" t="s">
        <v>781</v>
      </c>
    </row>
    <row r="16" spans="2:10" x14ac:dyDescent="0.3">
      <c r="C16" t="s">
        <v>782</v>
      </c>
    </row>
  </sheetData>
  <pageMargins left="0.7" right="0.7" top="0.75" bottom="0.75" header="0.3" footer="0.3"/>
  <headerFooter>
    <oddFooter>&amp;C_x000D_&amp;1#&amp;"Aptos"&amp;10&amp;K000000 Classification: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D0BBE-E791-4098-AE6B-632192940E86}">
  <dimension ref="A1:B26"/>
  <sheetViews>
    <sheetView workbookViewId="0"/>
  </sheetViews>
  <sheetFormatPr defaultRowHeight="14.4" x14ac:dyDescent="0.3"/>
  <cols>
    <col min="1" max="1" width="25.109375" bestFit="1" customWidth="1"/>
    <col min="2" max="2" width="16.33203125" bestFit="1" customWidth="1"/>
  </cols>
  <sheetData>
    <row r="1" spans="1:2" x14ac:dyDescent="0.3">
      <c r="A1" s="8" t="s">
        <v>742</v>
      </c>
      <c r="B1" s="8"/>
    </row>
    <row r="2" spans="1:2" x14ac:dyDescent="0.3">
      <c r="A2" t="s">
        <v>89</v>
      </c>
      <c r="B2" t="s">
        <v>89</v>
      </c>
    </row>
    <row r="3" spans="1:2" x14ac:dyDescent="0.3">
      <c r="A3" t="s">
        <v>51</v>
      </c>
      <c r="B3" t="s">
        <v>770</v>
      </c>
    </row>
    <row r="4" spans="1:2" x14ac:dyDescent="0.3">
      <c r="A4" t="s">
        <v>732</v>
      </c>
      <c r="B4" t="s">
        <v>732</v>
      </c>
    </row>
    <row r="5" spans="1:2" x14ac:dyDescent="0.3">
      <c r="A5" t="s">
        <v>46</v>
      </c>
      <c r="B5" t="s">
        <v>771</v>
      </c>
    </row>
    <row r="6" spans="1:2" x14ac:dyDescent="0.3">
      <c r="A6" t="s">
        <v>121</v>
      </c>
      <c r="B6" t="s">
        <v>121</v>
      </c>
    </row>
    <row r="7" spans="1:2" x14ac:dyDescent="0.3">
      <c r="A7" t="s">
        <v>73</v>
      </c>
      <c r="B7" t="s">
        <v>767</v>
      </c>
    </row>
    <row r="8" spans="1:2" x14ac:dyDescent="0.3">
      <c r="A8" t="s">
        <v>73</v>
      </c>
      <c r="B8" t="s">
        <v>767</v>
      </c>
    </row>
    <row r="9" spans="1:2" x14ac:dyDescent="0.3">
      <c r="A9" t="s">
        <v>219</v>
      </c>
      <c r="B9" t="s">
        <v>219</v>
      </c>
    </row>
    <row r="10" spans="1:2" x14ac:dyDescent="0.3">
      <c r="A10" t="s">
        <v>100</v>
      </c>
      <c r="B10" t="s">
        <v>768</v>
      </c>
    </row>
    <row r="11" spans="1:2" x14ac:dyDescent="0.3">
      <c r="A11" t="s">
        <v>62</v>
      </c>
      <c r="B11" t="s">
        <v>62</v>
      </c>
    </row>
    <row r="12" spans="1:2" x14ac:dyDescent="0.3">
      <c r="A12" t="s">
        <v>284</v>
      </c>
      <c r="B12" t="s">
        <v>772</v>
      </c>
    </row>
    <row r="13" spans="1:2" x14ac:dyDescent="0.3">
      <c r="A13" t="s">
        <v>177</v>
      </c>
      <c r="B13" t="s">
        <v>177</v>
      </c>
    </row>
    <row r="14" spans="1:2" x14ac:dyDescent="0.3">
      <c r="A14" t="s">
        <v>480</v>
      </c>
      <c r="B14" t="s">
        <v>480</v>
      </c>
    </row>
    <row r="15" spans="1:2" x14ac:dyDescent="0.3">
      <c r="A15" t="s">
        <v>396</v>
      </c>
      <c r="B15" t="s">
        <v>773</v>
      </c>
    </row>
    <row r="16" spans="1:2" x14ac:dyDescent="0.3">
      <c r="A16" t="s">
        <v>84</v>
      </c>
      <c r="B16" t="s">
        <v>84</v>
      </c>
    </row>
    <row r="17" spans="1:2" x14ac:dyDescent="0.3">
      <c r="A17" t="s">
        <v>103</v>
      </c>
      <c r="B17" t="s">
        <v>103</v>
      </c>
    </row>
    <row r="18" spans="1:2" x14ac:dyDescent="0.3">
      <c r="A18" t="s">
        <v>137</v>
      </c>
      <c r="B18" t="s">
        <v>137</v>
      </c>
    </row>
    <row r="19" spans="1:2" x14ac:dyDescent="0.3">
      <c r="A19" t="s">
        <v>470</v>
      </c>
      <c r="B19" t="s">
        <v>470</v>
      </c>
    </row>
    <row r="20" spans="1:2" x14ac:dyDescent="0.3">
      <c r="A20" t="s">
        <v>253</v>
      </c>
      <c r="B20" t="s">
        <v>253</v>
      </c>
    </row>
    <row r="21" spans="1:2" x14ac:dyDescent="0.3">
      <c r="A21" t="s">
        <v>584</v>
      </c>
      <c r="B21" t="s">
        <v>584</v>
      </c>
    </row>
    <row r="22" spans="1:2" x14ac:dyDescent="0.3">
      <c r="A22" t="s">
        <v>422</v>
      </c>
      <c r="B22" t="s">
        <v>422</v>
      </c>
    </row>
    <row r="23" spans="1:2" x14ac:dyDescent="0.3">
      <c r="A23" t="s">
        <v>56</v>
      </c>
      <c r="B23" t="s">
        <v>56</v>
      </c>
    </row>
    <row r="24" spans="1:2" x14ac:dyDescent="0.3">
      <c r="A24" t="s">
        <v>156</v>
      </c>
      <c r="B24" t="s">
        <v>768</v>
      </c>
    </row>
    <row r="25" spans="1:2" x14ac:dyDescent="0.3">
      <c r="A25" t="s">
        <v>264</v>
      </c>
      <c r="B25" t="s">
        <v>767</v>
      </c>
    </row>
    <row r="26" spans="1:2" x14ac:dyDescent="0.3">
      <c r="A26" t="s">
        <v>95</v>
      </c>
      <c r="B26" t="s">
        <v>95</v>
      </c>
    </row>
  </sheetData>
  <pageMargins left="0.7" right="0.7" top="0.75" bottom="0.75" header="0.3" footer="0.3"/>
  <headerFooter>
    <oddFooter>&amp;C_x000D_&amp;1#&amp;"Aptos"&amp;10&amp;K000000 Classification: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EC1E-95F1-4030-BB2B-82143B1973D6}">
  <dimension ref="B2:AQ55"/>
  <sheetViews>
    <sheetView topLeftCell="A42" workbookViewId="0">
      <selection activeCell="C9" sqref="C9"/>
    </sheetView>
  </sheetViews>
  <sheetFormatPr defaultRowHeight="14.4" x14ac:dyDescent="0.3"/>
  <cols>
    <col min="2" max="2" width="34" bestFit="1" customWidth="1"/>
    <col min="3" max="3" width="16.88671875" bestFit="1" customWidth="1"/>
    <col min="4" max="20" width="3" bestFit="1" customWidth="1"/>
    <col min="21" max="21" width="7.33203125" bestFit="1" customWidth="1"/>
    <col min="22" max="30" width="3" bestFit="1" customWidth="1"/>
    <col min="31" max="31" width="3" customWidth="1"/>
    <col min="32" max="42" width="3" bestFit="1" customWidth="1"/>
    <col min="43" max="43" width="11.33203125" bestFit="1" customWidth="1"/>
  </cols>
  <sheetData>
    <row r="2" spans="2:43" x14ac:dyDescent="0.3">
      <c r="B2" s="2" t="s">
        <v>755</v>
      </c>
      <c r="C2" s="2" t="s">
        <v>43</v>
      </c>
    </row>
    <row r="3" spans="2:43" x14ac:dyDescent="0.3">
      <c r="B3" s="2" t="s">
        <v>40</v>
      </c>
      <c r="C3">
        <v>2</v>
      </c>
      <c r="D3">
        <v>3</v>
      </c>
      <c r="E3">
        <v>4</v>
      </c>
      <c r="F3" s="14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 t="s">
        <v>41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  <c r="AL3">
        <v>36</v>
      </c>
      <c r="AM3">
        <v>37</v>
      </c>
      <c r="AN3">
        <v>38</v>
      </c>
      <c r="AO3">
        <v>39</v>
      </c>
      <c r="AP3">
        <v>40</v>
      </c>
      <c r="AQ3" t="s">
        <v>42</v>
      </c>
    </row>
    <row r="4" spans="2:43" x14ac:dyDescent="0.3">
      <c r="B4" s="3" t="s">
        <v>772</v>
      </c>
      <c r="C4">
        <v>1</v>
      </c>
      <c r="F4" s="14"/>
      <c r="I4">
        <v>1</v>
      </c>
      <c r="O4">
        <v>1</v>
      </c>
      <c r="W4">
        <v>1</v>
      </c>
      <c r="Z4">
        <v>1</v>
      </c>
      <c r="AQ4">
        <v>5</v>
      </c>
    </row>
    <row r="5" spans="2:43" x14ac:dyDescent="0.3">
      <c r="B5" s="3" t="s">
        <v>767</v>
      </c>
      <c r="C5">
        <v>2</v>
      </c>
      <c r="D5">
        <v>1</v>
      </c>
      <c r="E5">
        <v>4</v>
      </c>
      <c r="F5" s="14">
        <v>1</v>
      </c>
      <c r="G5">
        <v>5</v>
      </c>
      <c r="H5">
        <v>2</v>
      </c>
      <c r="J5">
        <v>2</v>
      </c>
      <c r="K5">
        <v>1</v>
      </c>
      <c r="L5">
        <v>4</v>
      </c>
      <c r="M5">
        <v>7</v>
      </c>
      <c r="N5">
        <v>4</v>
      </c>
      <c r="O5">
        <v>3</v>
      </c>
      <c r="P5">
        <v>1</v>
      </c>
      <c r="Q5">
        <v>1</v>
      </c>
      <c r="R5">
        <v>1</v>
      </c>
      <c r="S5">
        <v>1</v>
      </c>
      <c r="T5">
        <v>1</v>
      </c>
      <c r="V5">
        <v>5</v>
      </c>
      <c r="W5">
        <v>3</v>
      </c>
      <c r="X5">
        <v>2</v>
      </c>
      <c r="Y5">
        <v>1</v>
      </c>
      <c r="Z5">
        <v>3</v>
      </c>
      <c r="AA5">
        <v>1</v>
      </c>
      <c r="AB5">
        <v>1</v>
      </c>
      <c r="AC5">
        <v>2</v>
      </c>
      <c r="AD5">
        <v>1</v>
      </c>
      <c r="AE5">
        <v>1</v>
      </c>
      <c r="AF5">
        <v>3</v>
      </c>
      <c r="AH5">
        <v>1</v>
      </c>
      <c r="AI5">
        <v>1</v>
      </c>
      <c r="AJ5">
        <v>2</v>
      </c>
      <c r="AK5">
        <v>4</v>
      </c>
      <c r="AL5">
        <v>2</v>
      </c>
      <c r="AM5">
        <v>1</v>
      </c>
      <c r="AN5">
        <v>1</v>
      </c>
      <c r="AO5">
        <v>2</v>
      </c>
      <c r="AP5">
        <v>4</v>
      </c>
      <c r="AQ5">
        <v>82</v>
      </c>
    </row>
    <row r="6" spans="2:43" x14ac:dyDescent="0.3">
      <c r="B6" s="3" t="s">
        <v>768</v>
      </c>
      <c r="C6">
        <v>1</v>
      </c>
      <c r="F6" s="14">
        <v>1</v>
      </c>
      <c r="G6">
        <v>2</v>
      </c>
      <c r="H6">
        <v>1</v>
      </c>
      <c r="I6">
        <v>1</v>
      </c>
      <c r="J6">
        <v>1</v>
      </c>
      <c r="M6">
        <v>3</v>
      </c>
      <c r="O6">
        <v>1</v>
      </c>
      <c r="P6">
        <v>2</v>
      </c>
      <c r="Q6">
        <v>1</v>
      </c>
      <c r="S6">
        <v>3</v>
      </c>
      <c r="V6">
        <v>1</v>
      </c>
      <c r="Y6">
        <v>1</v>
      </c>
      <c r="Z6">
        <v>2</v>
      </c>
      <c r="AA6">
        <v>5</v>
      </c>
      <c r="AC6">
        <v>1</v>
      </c>
      <c r="AD6">
        <v>1</v>
      </c>
      <c r="AG6">
        <v>1</v>
      </c>
      <c r="AH6">
        <v>2</v>
      </c>
      <c r="AJ6">
        <v>1</v>
      </c>
      <c r="AM6">
        <v>1</v>
      </c>
      <c r="AN6">
        <v>1</v>
      </c>
      <c r="AO6">
        <v>2</v>
      </c>
      <c r="AP6">
        <v>3</v>
      </c>
      <c r="AQ6">
        <v>39</v>
      </c>
    </row>
    <row r="7" spans="2:43" x14ac:dyDescent="0.3">
      <c r="B7" s="3" t="s">
        <v>771</v>
      </c>
      <c r="C7">
        <v>1</v>
      </c>
      <c r="F7" s="14">
        <v>1</v>
      </c>
      <c r="H7">
        <v>1</v>
      </c>
      <c r="I7">
        <v>2</v>
      </c>
      <c r="J7">
        <v>2</v>
      </c>
      <c r="K7">
        <v>2</v>
      </c>
      <c r="L7">
        <v>1</v>
      </c>
      <c r="N7">
        <v>1</v>
      </c>
      <c r="O7">
        <v>1</v>
      </c>
      <c r="P7">
        <v>2</v>
      </c>
      <c r="Q7">
        <v>2</v>
      </c>
      <c r="S7">
        <v>3</v>
      </c>
      <c r="T7">
        <v>3</v>
      </c>
      <c r="V7">
        <v>2</v>
      </c>
      <c r="W7">
        <v>1</v>
      </c>
      <c r="X7">
        <v>1</v>
      </c>
      <c r="AA7">
        <v>2</v>
      </c>
      <c r="AB7">
        <v>3</v>
      </c>
      <c r="AC7">
        <v>2</v>
      </c>
      <c r="AE7">
        <v>3</v>
      </c>
      <c r="AF7">
        <v>1</v>
      </c>
      <c r="AH7">
        <v>1</v>
      </c>
      <c r="AO7">
        <v>1</v>
      </c>
      <c r="AP7">
        <v>1</v>
      </c>
      <c r="AQ7">
        <v>40</v>
      </c>
    </row>
    <row r="8" spans="2:43" x14ac:dyDescent="0.3">
      <c r="B8" s="3" t="s">
        <v>773</v>
      </c>
      <c r="D8">
        <v>4</v>
      </c>
      <c r="F8" s="14">
        <v>2</v>
      </c>
      <c r="J8">
        <v>2</v>
      </c>
      <c r="K8">
        <v>2</v>
      </c>
      <c r="L8">
        <v>2</v>
      </c>
      <c r="AB8">
        <v>1</v>
      </c>
      <c r="AN8">
        <v>1</v>
      </c>
      <c r="AQ8">
        <v>14</v>
      </c>
    </row>
    <row r="9" spans="2:43" x14ac:dyDescent="0.3">
      <c r="B9" s="3" t="s">
        <v>770</v>
      </c>
      <c r="C9">
        <v>1</v>
      </c>
      <c r="D9">
        <v>1</v>
      </c>
      <c r="E9">
        <v>1</v>
      </c>
      <c r="F9" s="14">
        <v>1</v>
      </c>
      <c r="I9">
        <v>2</v>
      </c>
      <c r="K9">
        <v>2</v>
      </c>
      <c r="L9">
        <v>3</v>
      </c>
      <c r="M9">
        <v>5</v>
      </c>
      <c r="N9">
        <v>1</v>
      </c>
      <c r="O9">
        <v>2</v>
      </c>
      <c r="S9">
        <v>1</v>
      </c>
      <c r="T9">
        <v>2</v>
      </c>
      <c r="V9">
        <v>2</v>
      </c>
      <c r="W9">
        <v>1</v>
      </c>
      <c r="Y9">
        <v>1</v>
      </c>
      <c r="AA9">
        <v>1</v>
      </c>
      <c r="AB9">
        <v>3</v>
      </c>
      <c r="AC9">
        <v>4</v>
      </c>
      <c r="AE9">
        <v>1</v>
      </c>
      <c r="AG9">
        <v>1</v>
      </c>
      <c r="AO9">
        <v>1</v>
      </c>
      <c r="AQ9">
        <v>37</v>
      </c>
    </row>
    <row r="10" spans="2:43" x14ac:dyDescent="0.3">
      <c r="B10" s="3" t="s">
        <v>95</v>
      </c>
      <c r="F10" s="14"/>
      <c r="T10">
        <v>1</v>
      </c>
      <c r="AQ10">
        <v>1</v>
      </c>
    </row>
    <row r="11" spans="2:43" x14ac:dyDescent="0.3">
      <c r="B11" s="3" t="s">
        <v>62</v>
      </c>
      <c r="C11">
        <v>2</v>
      </c>
      <c r="D11">
        <v>1</v>
      </c>
      <c r="E11">
        <v>6</v>
      </c>
      <c r="F11" s="14">
        <v>4</v>
      </c>
      <c r="H11">
        <v>1</v>
      </c>
      <c r="I11">
        <v>2</v>
      </c>
      <c r="J11">
        <v>1</v>
      </c>
      <c r="K11">
        <v>2</v>
      </c>
      <c r="L11">
        <v>3</v>
      </c>
      <c r="N11">
        <v>2</v>
      </c>
      <c r="O11">
        <v>1</v>
      </c>
      <c r="P11">
        <v>2</v>
      </c>
      <c r="Q11">
        <v>4</v>
      </c>
      <c r="S11">
        <v>2</v>
      </c>
      <c r="T11">
        <v>2</v>
      </c>
      <c r="V11">
        <v>1</v>
      </c>
      <c r="W11">
        <v>2</v>
      </c>
      <c r="X11">
        <v>3</v>
      </c>
      <c r="Y11">
        <v>1</v>
      </c>
      <c r="Z11">
        <v>2</v>
      </c>
      <c r="AA11">
        <v>2</v>
      </c>
      <c r="AB11">
        <v>2</v>
      </c>
      <c r="AC11">
        <v>1</v>
      </c>
      <c r="AD11">
        <v>2</v>
      </c>
      <c r="AE11">
        <v>1</v>
      </c>
      <c r="AF11">
        <v>5</v>
      </c>
      <c r="AG11">
        <v>1</v>
      </c>
      <c r="AH11">
        <v>2</v>
      </c>
      <c r="AI11">
        <v>1</v>
      </c>
      <c r="AJ11">
        <v>1</v>
      </c>
      <c r="AK11">
        <v>1</v>
      </c>
      <c r="AL11">
        <v>2</v>
      </c>
      <c r="AM11">
        <v>4</v>
      </c>
      <c r="AN11">
        <v>1</v>
      </c>
      <c r="AO11">
        <v>2</v>
      </c>
      <c r="AP11">
        <v>2</v>
      </c>
      <c r="AQ11">
        <v>74</v>
      </c>
    </row>
    <row r="12" spans="2:43" x14ac:dyDescent="0.3">
      <c r="B12" s="3" t="s">
        <v>584</v>
      </c>
      <c r="D12">
        <v>1</v>
      </c>
      <c r="E12">
        <v>2</v>
      </c>
      <c r="F12" s="14">
        <v>1</v>
      </c>
      <c r="AQ12">
        <v>4</v>
      </c>
    </row>
    <row r="13" spans="2:43" x14ac:dyDescent="0.3">
      <c r="B13" s="3" t="s">
        <v>253</v>
      </c>
      <c r="D13">
        <v>1</v>
      </c>
      <c r="E13">
        <v>2</v>
      </c>
      <c r="F13" s="14">
        <v>1</v>
      </c>
      <c r="H13">
        <v>1</v>
      </c>
      <c r="K13">
        <v>3</v>
      </c>
      <c r="N13">
        <v>1</v>
      </c>
      <c r="O13">
        <v>1</v>
      </c>
      <c r="P13">
        <v>1</v>
      </c>
      <c r="W13">
        <v>1</v>
      </c>
      <c r="X13">
        <v>1</v>
      </c>
      <c r="AA13">
        <v>1</v>
      </c>
      <c r="AD13">
        <v>1</v>
      </c>
      <c r="AF13">
        <v>1</v>
      </c>
      <c r="AM13">
        <v>1</v>
      </c>
      <c r="AN13">
        <v>1</v>
      </c>
      <c r="AO13">
        <v>1</v>
      </c>
      <c r="AQ13">
        <v>19</v>
      </c>
    </row>
    <row r="14" spans="2:43" x14ac:dyDescent="0.3">
      <c r="B14" s="3" t="s">
        <v>422</v>
      </c>
      <c r="F14" s="14"/>
      <c r="L14">
        <v>1</v>
      </c>
      <c r="AQ14">
        <v>1</v>
      </c>
    </row>
    <row r="15" spans="2:43" x14ac:dyDescent="0.3">
      <c r="B15" s="3" t="s">
        <v>177</v>
      </c>
      <c r="D15">
        <v>1</v>
      </c>
      <c r="E15">
        <v>1</v>
      </c>
      <c r="F15" s="14"/>
      <c r="H15">
        <v>1</v>
      </c>
      <c r="I15">
        <v>1</v>
      </c>
      <c r="J15">
        <v>1</v>
      </c>
      <c r="K15">
        <v>1</v>
      </c>
      <c r="M15">
        <v>1</v>
      </c>
      <c r="N15">
        <v>1</v>
      </c>
      <c r="Q15">
        <v>1</v>
      </c>
      <c r="W15">
        <v>1</v>
      </c>
      <c r="X15">
        <v>1</v>
      </c>
      <c r="AB15">
        <v>1</v>
      </c>
      <c r="AH15">
        <v>1</v>
      </c>
      <c r="AM15">
        <v>1</v>
      </c>
      <c r="AO15">
        <v>1</v>
      </c>
      <c r="AQ15">
        <v>15</v>
      </c>
    </row>
    <row r="16" spans="2:43" x14ac:dyDescent="0.3">
      <c r="B16" s="3" t="s">
        <v>84</v>
      </c>
      <c r="D16">
        <v>1</v>
      </c>
      <c r="E16">
        <v>1</v>
      </c>
      <c r="F16" s="14">
        <v>3</v>
      </c>
      <c r="I16">
        <v>1</v>
      </c>
      <c r="K16">
        <v>1</v>
      </c>
      <c r="N16">
        <v>1</v>
      </c>
      <c r="S16">
        <v>1</v>
      </c>
      <c r="T16">
        <v>1</v>
      </c>
      <c r="V16">
        <v>1</v>
      </c>
      <c r="Z16">
        <v>1</v>
      </c>
      <c r="AO16">
        <v>1</v>
      </c>
      <c r="AQ16">
        <v>13</v>
      </c>
    </row>
    <row r="17" spans="2:43" x14ac:dyDescent="0.3">
      <c r="B17" s="3" t="s">
        <v>103</v>
      </c>
      <c r="D17">
        <v>3</v>
      </c>
      <c r="F17" s="14"/>
      <c r="P17">
        <v>1</v>
      </c>
      <c r="S17">
        <v>1</v>
      </c>
      <c r="X17">
        <v>1</v>
      </c>
      <c r="AQ17">
        <v>6</v>
      </c>
    </row>
    <row r="18" spans="2:43" x14ac:dyDescent="0.3">
      <c r="B18" s="3" t="s">
        <v>56</v>
      </c>
      <c r="E18">
        <v>2</v>
      </c>
      <c r="F18" s="14"/>
      <c r="G18">
        <v>1</v>
      </c>
      <c r="H18">
        <v>1</v>
      </c>
      <c r="T18">
        <v>1</v>
      </c>
      <c r="X18">
        <v>1</v>
      </c>
      <c r="Y18">
        <v>1</v>
      </c>
      <c r="AQ18">
        <v>7</v>
      </c>
    </row>
    <row r="19" spans="2:43" x14ac:dyDescent="0.3">
      <c r="B19" s="3" t="s">
        <v>732</v>
      </c>
      <c r="C19">
        <v>1</v>
      </c>
      <c r="F19" s="14"/>
      <c r="AQ19">
        <v>1</v>
      </c>
    </row>
    <row r="20" spans="2:43" x14ac:dyDescent="0.3">
      <c r="B20" s="3" t="s">
        <v>480</v>
      </c>
      <c r="D20">
        <v>1</v>
      </c>
      <c r="E20">
        <v>1</v>
      </c>
      <c r="F20" s="14"/>
      <c r="J20">
        <v>2</v>
      </c>
      <c r="O20">
        <v>1</v>
      </c>
      <c r="Y20">
        <v>1</v>
      </c>
      <c r="AB20">
        <v>2</v>
      </c>
      <c r="AC20">
        <v>1</v>
      </c>
      <c r="AJ20">
        <v>1</v>
      </c>
      <c r="AQ20">
        <v>10</v>
      </c>
    </row>
    <row r="21" spans="2:43" x14ac:dyDescent="0.3">
      <c r="B21" s="3" t="s">
        <v>470</v>
      </c>
      <c r="D21">
        <v>1</v>
      </c>
      <c r="F21" s="14"/>
      <c r="G21">
        <v>1</v>
      </c>
      <c r="J21">
        <v>1</v>
      </c>
      <c r="K21">
        <v>1</v>
      </c>
      <c r="X21">
        <v>1</v>
      </c>
      <c r="AQ21">
        <v>5</v>
      </c>
    </row>
    <row r="22" spans="2:43" x14ac:dyDescent="0.3">
      <c r="B22" s="3" t="s">
        <v>89</v>
      </c>
      <c r="C22">
        <v>1</v>
      </c>
      <c r="D22">
        <v>2</v>
      </c>
      <c r="E22">
        <v>2</v>
      </c>
      <c r="F22" s="14">
        <v>1</v>
      </c>
      <c r="G22">
        <v>1</v>
      </c>
      <c r="I22">
        <v>1</v>
      </c>
      <c r="J22">
        <v>1</v>
      </c>
      <c r="K22">
        <v>1</v>
      </c>
      <c r="L22">
        <v>1</v>
      </c>
      <c r="M22">
        <v>1</v>
      </c>
      <c r="P22">
        <v>1</v>
      </c>
      <c r="S22">
        <v>1</v>
      </c>
      <c r="T22">
        <v>1</v>
      </c>
      <c r="V22">
        <v>2</v>
      </c>
      <c r="Y22">
        <v>1</v>
      </c>
      <c r="Z22">
        <v>1</v>
      </c>
      <c r="AC22">
        <v>2</v>
      </c>
      <c r="AH22">
        <v>3</v>
      </c>
      <c r="AI22">
        <v>3</v>
      </c>
      <c r="AK22">
        <v>1</v>
      </c>
      <c r="AM22">
        <v>1</v>
      </c>
      <c r="AO22">
        <v>2</v>
      </c>
      <c r="AP22">
        <v>1</v>
      </c>
      <c r="AQ22">
        <v>32</v>
      </c>
    </row>
    <row r="23" spans="2:43" x14ac:dyDescent="0.3">
      <c r="B23" s="3" t="s">
        <v>137</v>
      </c>
      <c r="F23" s="14"/>
      <c r="L23">
        <v>1</v>
      </c>
      <c r="P23">
        <v>1</v>
      </c>
      <c r="Q23">
        <v>1</v>
      </c>
      <c r="S23">
        <v>1</v>
      </c>
      <c r="Y23">
        <v>1</v>
      </c>
      <c r="AA23">
        <v>1</v>
      </c>
      <c r="AC23">
        <v>1</v>
      </c>
      <c r="AE23">
        <v>1</v>
      </c>
      <c r="AF23">
        <v>1</v>
      </c>
      <c r="AH23">
        <v>2</v>
      </c>
      <c r="AI23">
        <v>1</v>
      </c>
      <c r="AN23">
        <v>1</v>
      </c>
      <c r="AO23">
        <v>2</v>
      </c>
      <c r="AQ23">
        <v>15</v>
      </c>
    </row>
    <row r="24" spans="2:43" x14ac:dyDescent="0.3">
      <c r="B24" s="3" t="s">
        <v>121</v>
      </c>
      <c r="C24">
        <v>2</v>
      </c>
      <c r="D24">
        <v>1</v>
      </c>
      <c r="E24">
        <v>2</v>
      </c>
      <c r="F24" s="14"/>
      <c r="G24">
        <v>1</v>
      </c>
      <c r="H24">
        <v>2</v>
      </c>
      <c r="I24">
        <v>1</v>
      </c>
      <c r="M24">
        <v>1</v>
      </c>
      <c r="N24">
        <v>1</v>
      </c>
      <c r="O24">
        <v>1</v>
      </c>
      <c r="P24">
        <v>2</v>
      </c>
      <c r="Q24">
        <v>1</v>
      </c>
      <c r="S24">
        <v>2</v>
      </c>
      <c r="X24">
        <v>1</v>
      </c>
      <c r="Y24">
        <v>1</v>
      </c>
      <c r="Z24">
        <v>3</v>
      </c>
      <c r="AC24">
        <v>2</v>
      </c>
      <c r="AF24">
        <v>1</v>
      </c>
      <c r="AG24">
        <v>2</v>
      </c>
      <c r="AH24">
        <v>2</v>
      </c>
      <c r="AI24">
        <v>1</v>
      </c>
      <c r="AK24">
        <v>1</v>
      </c>
      <c r="AL24">
        <v>1</v>
      </c>
      <c r="AN24">
        <v>1</v>
      </c>
      <c r="AP24">
        <v>1</v>
      </c>
      <c r="AQ24">
        <v>34</v>
      </c>
    </row>
    <row r="25" spans="2:43" x14ac:dyDescent="0.3">
      <c r="B25" s="3" t="s">
        <v>219</v>
      </c>
      <c r="C25">
        <v>1</v>
      </c>
      <c r="F25" s="14">
        <v>1</v>
      </c>
      <c r="G25">
        <v>1</v>
      </c>
      <c r="K25">
        <v>1</v>
      </c>
      <c r="L25">
        <v>1</v>
      </c>
      <c r="M25">
        <v>1</v>
      </c>
      <c r="N25">
        <v>2</v>
      </c>
      <c r="X25">
        <v>3</v>
      </c>
      <c r="AB25">
        <v>1</v>
      </c>
      <c r="AC25">
        <v>3</v>
      </c>
      <c r="AD25">
        <v>1</v>
      </c>
      <c r="AE25">
        <v>1</v>
      </c>
      <c r="AF25">
        <v>1</v>
      </c>
      <c r="AG25">
        <v>1</v>
      </c>
      <c r="AI25">
        <v>1</v>
      </c>
      <c r="AL25">
        <v>1</v>
      </c>
      <c r="AQ25">
        <v>21</v>
      </c>
    </row>
    <row r="26" spans="2:43" x14ac:dyDescent="0.3">
      <c r="B26" s="3" t="s">
        <v>813</v>
      </c>
      <c r="E26">
        <v>1</v>
      </c>
      <c r="F26" s="14"/>
      <c r="W26">
        <v>1</v>
      </c>
      <c r="X26">
        <v>2</v>
      </c>
      <c r="Y26">
        <v>1</v>
      </c>
      <c r="Z26">
        <v>1</v>
      </c>
      <c r="AA26">
        <v>2</v>
      </c>
      <c r="AB26">
        <v>1</v>
      </c>
      <c r="AC26">
        <v>4</v>
      </c>
      <c r="AD26">
        <v>2</v>
      </c>
      <c r="AE26">
        <v>8</v>
      </c>
      <c r="AF26">
        <v>2</v>
      </c>
      <c r="AG26">
        <v>3</v>
      </c>
      <c r="AH26">
        <v>1</v>
      </c>
      <c r="AI26">
        <v>2</v>
      </c>
      <c r="AJ26">
        <v>1</v>
      </c>
      <c r="AK26">
        <v>2</v>
      </c>
      <c r="AL26">
        <v>5</v>
      </c>
      <c r="AM26">
        <v>1</v>
      </c>
      <c r="AN26">
        <v>3</v>
      </c>
      <c r="AO26">
        <v>4</v>
      </c>
      <c r="AP26">
        <v>6</v>
      </c>
      <c r="AQ26">
        <v>53</v>
      </c>
    </row>
    <row r="27" spans="2:43" x14ac:dyDescent="0.3">
      <c r="B27" s="3" t="s">
        <v>41</v>
      </c>
      <c r="F27" s="14"/>
    </row>
    <row r="28" spans="2:43" x14ac:dyDescent="0.3">
      <c r="B28" s="3" t="s">
        <v>42</v>
      </c>
      <c r="C28">
        <v>13</v>
      </c>
      <c r="D28">
        <v>19</v>
      </c>
      <c r="E28">
        <v>25</v>
      </c>
      <c r="F28" s="14">
        <v>17</v>
      </c>
      <c r="G28">
        <v>12</v>
      </c>
      <c r="H28">
        <v>10</v>
      </c>
      <c r="I28">
        <v>12</v>
      </c>
      <c r="J28">
        <v>13</v>
      </c>
      <c r="K28">
        <v>17</v>
      </c>
      <c r="L28">
        <v>17</v>
      </c>
      <c r="M28">
        <v>19</v>
      </c>
      <c r="N28">
        <v>14</v>
      </c>
      <c r="O28">
        <v>12</v>
      </c>
      <c r="P28">
        <v>13</v>
      </c>
      <c r="Q28">
        <v>11</v>
      </c>
      <c r="R28">
        <v>1</v>
      </c>
      <c r="S28">
        <v>16</v>
      </c>
      <c r="T28">
        <v>12</v>
      </c>
      <c r="V28">
        <v>14</v>
      </c>
      <c r="W28">
        <v>11</v>
      </c>
      <c r="X28">
        <v>17</v>
      </c>
      <c r="Y28">
        <v>10</v>
      </c>
      <c r="Z28">
        <v>14</v>
      </c>
      <c r="AA28">
        <v>15</v>
      </c>
      <c r="AB28">
        <v>15</v>
      </c>
      <c r="AC28">
        <v>23</v>
      </c>
      <c r="AD28">
        <v>8</v>
      </c>
      <c r="AE28">
        <v>16</v>
      </c>
      <c r="AF28">
        <v>15</v>
      </c>
      <c r="AG28">
        <v>9</v>
      </c>
      <c r="AH28">
        <v>15</v>
      </c>
      <c r="AI28">
        <v>10</v>
      </c>
      <c r="AJ28">
        <v>6</v>
      </c>
      <c r="AK28">
        <v>9</v>
      </c>
      <c r="AL28">
        <v>11</v>
      </c>
      <c r="AM28">
        <v>10</v>
      </c>
      <c r="AN28">
        <v>10</v>
      </c>
      <c r="AO28">
        <v>19</v>
      </c>
      <c r="AP28">
        <v>18</v>
      </c>
      <c r="AQ28">
        <v>528</v>
      </c>
    </row>
    <row r="33" spans="2:21" x14ac:dyDescent="0.3">
      <c r="C33" s="5">
        <v>1</v>
      </c>
      <c r="D33" s="6">
        <f t="shared" ref="D33:U33" si="0">C33+1</f>
        <v>2</v>
      </c>
      <c r="E33" s="6">
        <f t="shared" si="0"/>
        <v>3</v>
      </c>
      <c r="F33" s="6">
        <f t="shared" si="0"/>
        <v>4</v>
      </c>
      <c r="G33" s="6">
        <f t="shared" si="0"/>
        <v>5</v>
      </c>
      <c r="H33" s="6">
        <f t="shared" si="0"/>
        <v>6</v>
      </c>
      <c r="I33" s="6">
        <f t="shared" si="0"/>
        <v>7</v>
      </c>
      <c r="J33" s="6">
        <f t="shared" si="0"/>
        <v>8</v>
      </c>
      <c r="K33" s="6">
        <f t="shared" si="0"/>
        <v>9</v>
      </c>
      <c r="L33" s="6">
        <f t="shared" si="0"/>
        <v>10</v>
      </c>
      <c r="M33" s="6">
        <f t="shared" si="0"/>
        <v>11</v>
      </c>
      <c r="N33" s="6">
        <f t="shared" si="0"/>
        <v>12</v>
      </c>
      <c r="O33" s="6">
        <f t="shared" si="0"/>
        <v>13</v>
      </c>
      <c r="P33" s="6">
        <f t="shared" si="0"/>
        <v>14</v>
      </c>
      <c r="Q33" s="6">
        <f t="shared" si="0"/>
        <v>15</v>
      </c>
      <c r="R33" s="6">
        <f t="shared" si="0"/>
        <v>16</v>
      </c>
      <c r="S33" s="6">
        <f t="shared" si="0"/>
        <v>17</v>
      </c>
      <c r="T33" s="6">
        <f t="shared" si="0"/>
        <v>18</v>
      </c>
      <c r="U33" s="6">
        <f t="shared" si="0"/>
        <v>19</v>
      </c>
    </row>
    <row r="34" spans="2:21" ht="27" x14ac:dyDescent="0.3">
      <c r="C34" s="12">
        <v>45660</v>
      </c>
      <c r="D34" s="13">
        <f t="shared" ref="D34:U34" si="1">C34+7</f>
        <v>45667</v>
      </c>
      <c r="E34" s="13">
        <f t="shared" si="1"/>
        <v>45674</v>
      </c>
      <c r="F34" s="13">
        <f t="shared" si="1"/>
        <v>45681</v>
      </c>
      <c r="G34" s="13">
        <f t="shared" si="1"/>
        <v>45688</v>
      </c>
      <c r="H34" s="13">
        <f t="shared" si="1"/>
        <v>45695</v>
      </c>
      <c r="I34" s="13">
        <f t="shared" si="1"/>
        <v>45702</v>
      </c>
      <c r="J34" s="13">
        <f t="shared" si="1"/>
        <v>45709</v>
      </c>
      <c r="K34" s="13">
        <f t="shared" si="1"/>
        <v>45716</v>
      </c>
      <c r="L34" s="13">
        <f t="shared" si="1"/>
        <v>45723</v>
      </c>
      <c r="M34" s="13">
        <f t="shared" si="1"/>
        <v>45730</v>
      </c>
      <c r="N34" s="13">
        <f t="shared" si="1"/>
        <v>45737</v>
      </c>
      <c r="O34" s="13">
        <f t="shared" si="1"/>
        <v>45744</v>
      </c>
      <c r="P34" s="13">
        <f t="shared" si="1"/>
        <v>45751</v>
      </c>
      <c r="Q34" s="13">
        <f t="shared" si="1"/>
        <v>45758</v>
      </c>
      <c r="R34" s="13">
        <f t="shared" si="1"/>
        <v>45765</v>
      </c>
      <c r="S34" s="13">
        <f t="shared" si="1"/>
        <v>45772</v>
      </c>
      <c r="T34" s="13">
        <f t="shared" si="1"/>
        <v>45779</v>
      </c>
      <c r="U34" s="13">
        <f t="shared" si="1"/>
        <v>45786</v>
      </c>
    </row>
    <row r="35" spans="2:21" x14ac:dyDescent="0.3">
      <c r="B35" t="s">
        <v>774</v>
      </c>
      <c r="C35" t="s">
        <v>760</v>
      </c>
      <c r="D35" t="s">
        <v>761</v>
      </c>
      <c r="E35" t="s">
        <v>761</v>
      </c>
      <c r="F35" t="s">
        <v>761</v>
      </c>
      <c r="G35">
        <v>3</v>
      </c>
      <c r="H35">
        <v>0</v>
      </c>
      <c r="I35">
        <v>1</v>
      </c>
      <c r="J35">
        <v>3</v>
      </c>
      <c r="K35">
        <v>2</v>
      </c>
      <c r="L35">
        <v>1</v>
      </c>
      <c r="M35">
        <v>1</v>
      </c>
      <c r="N35">
        <v>3</v>
      </c>
      <c r="O35">
        <v>4</v>
      </c>
      <c r="P35">
        <v>0</v>
      </c>
      <c r="Q35">
        <v>1</v>
      </c>
      <c r="R35">
        <v>2</v>
      </c>
      <c r="S35">
        <v>1</v>
      </c>
      <c r="T35">
        <v>1</v>
      </c>
      <c r="U35">
        <v>3</v>
      </c>
    </row>
    <row r="36" spans="2:21" x14ac:dyDescent="0.3">
      <c r="B36" t="s">
        <v>769</v>
      </c>
      <c r="D36">
        <f t="shared" ref="D36:U36" si="2">+GETPIVOTDATA("Customer Service Number",$B$2,"Department2","01 SOP","week No",D$33)</f>
        <v>2</v>
      </c>
      <c r="E36">
        <f t="shared" si="2"/>
        <v>1</v>
      </c>
      <c r="F36">
        <f t="shared" si="2"/>
        <v>4</v>
      </c>
      <c r="G36">
        <f t="shared" si="2"/>
        <v>1</v>
      </c>
      <c r="H36">
        <f t="shared" si="2"/>
        <v>5</v>
      </c>
      <c r="I36">
        <f t="shared" si="2"/>
        <v>2</v>
      </c>
      <c r="J36">
        <f t="shared" si="2"/>
        <v>0</v>
      </c>
      <c r="K36">
        <f t="shared" si="2"/>
        <v>2</v>
      </c>
      <c r="L36">
        <f t="shared" si="2"/>
        <v>1</v>
      </c>
      <c r="M36">
        <f t="shared" si="2"/>
        <v>4</v>
      </c>
      <c r="N36">
        <f t="shared" si="2"/>
        <v>7</v>
      </c>
      <c r="O36">
        <f t="shared" si="2"/>
        <v>4</v>
      </c>
      <c r="P36">
        <f t="shared" si="2"/>
        <v>3</v>
      </c>
      <c r="Q36">
        <f t="shared" si="2"/>
        <v>1</v>
      </c>
      <c r="R36">
        <f t="shared" si="2"/>
        <v>1</v>
      </c>
      <c r="S36">
        <f t="shared" si="2"/>
        <v>1</v>
      </c>
      <c r="T36">
        <f t="shared" si="2"/>
        <v>1</v>
      </c>
      <c r="U36">
        <f t="shared" si="2"/>
        <v>1</v>
      </c>
    </row>
    <row r="37" spans="2:21" x14ac:dyDescent="0.3">
      <c r="B37" s="7" t="s">
        <v>775</v>
      </c>
      <c r="G37">
        <f t="shared" ref="G37:U37" si="3">+G35-G36</f>
        <v>2</v>
      </c>
      <c r="H37">
        <f t="shared" si="3"/>
        <v>-5</v>
      </c>
      <c r="I37">
        <f t="shared" si="3"/>
        <v>-1</v>
      </c>
      <c r="J37">
        <f t="shared" si="3"/>
        <v>3</v>
      </c>
      <c r="K37">
        <f t="shared" si="3"/>
        <v>0</v>
      </c>
      <c r="L37">
        <f t="shared" si="3"/>
        <v>0</v>
      </c>
      <c r="M37">
        <f t="shared" si="3"/>
        <v>-3</v>
      </c>
      <c r="N37">
        <f t="shared" si="3"/>
        <v>-4</v>
      </c>
      <c r="O37">
        <f t="shared" si="3"/>
        <v>0</v>
      </c>
      <c r="P37">
        <f t="shared" si="3"/>
        <v>-3</v>
      </c>
      <c r="Q37">
        <f t="shared" si="3"/>
        <v>0</v>
      </c>
      <c r="R37">
        <f t="shared" si="3"/>
        <v>1</v>
      </c>
      <c r="S37">
        <f t="shared" si="3"/>
        <v>0</v>
      </c>
      <c r="T37">
        <f t="shared" si="3"/>
        <v>0</v>
      </c>
      <c r="U37">
        <f t="shared" si="3"/>
        <v>2</v>
      </c>
    </row>
    <row r="39" spans="2:21" x14ac:dyDescent="0.3">
      <c r="B39" t="s">
        <v>762</v>
      </c>
      <c r="C39" t="s">
        <v>760</v>
      </c>
      <c r="D39">
        <v>0</v>
      </c>
      <c r="E39">
        <v>0</v>
      </c>
      <c r="F39">
        <v>0</v>
      </c>
      <c r="G39">
        <v>1</v>
      </c>
      <c r="H39">
        <v>2</v>
      </c>
      <c r="I39">
        <v>0.94</v>
      </c>
      <c r="J39">
        <v>0</v>
      </c>
      <c r="K39">
        <v>0</v>
      </c>
      <c r="L39">
        <v>0</v>
      </c>
      <c r="M39">
        <v>0</v>
      </c>
      <c r="N39">
        <v>3</v>
      </c>
      <c r="O39">
        <v>0</v>
      </c>
      <c r="P39">
        <v>0</v>
      </c>
      <c r="Q39">
        <v>3</v>
      </c>
      <c r="R39">
        <v>0</v>
      </c>
      <c r="S39">
        <v>0</v>
      </c>
      <c r="T39">
        <v>2</v>
      </c>
      <c r="U39">
        <v>0</v>
      </c>
    </row>
    <row r="40" spans="2:21" x14ac:dyDescent="0.3">
      <c r="B40" t="s">
        <v>769</v>
      </c>
      <c r="D40">
        <f t="shared" ref="D40:U40" si="4">+GETPIVOTDATA("Customer Service Number",$B$2,"Department2","02 Product Design","week No",D33)</f>
        <v>1</v>
      </c>
      <c r="E40">
        <f t="shared" si="4"/>
        <v>0</v>
      </c>
      <c r="F40">
        <f t="shared" si="4"/>
        <v>0</v>
      </c>
      <c r="G40">
        <f t="shared" si="4"/>
        <v>1</v>
      </c>
      <c r="H40">
        <f t="shared" si="4"/>
        <v>2</v>
      </c>
      <c r="I40">
        <f t="shared" si="4"/>
        <v>1</v>
      </c>
      <c r="J40">
        <f t="shared" si="4"/>
        <v>1</v>
      </c>
      <c r="K40">
        <f t="shared" si="4"/>
        <v>1</v>
      </c>
      <c r="L40">
        <f t="shared" si="4"/>
        <v>0</v>
      </c>
      <c r="M40">
        <f t="shared" si="4"/>
        <v>0</v>
      </c>
      <c r="N40">
        <f t="shared" si="4"/>
        <v>3</v>
      </c>
      <c r="O40">
        <f t="shared" si="4"/>
        <v>0</v>
      </c>
      <c r="P40">
        <f t="shared" si="4"/>
        <v>1</v>
      </c>
      <c r="Q40">
        <f t="shared" si="4"/>
        <v>2</v>
      </c>
      <c r="R40">
        <f t="shared" si="4"/>
        <v>1</v>
      </c>
      <c r="S40">
        <f t="shared" si="4"/>
        <v>0</v>
      </c>
      <c r="T40">
        <f t="shared" si="4"/>
        <v>3</v>
      </c>
      <c r="U40">
        <f t="shared" si="4"/>
        <v>0</v>
      </c>
    </row>
    <row r="41" spans="2:21" x14ac:dyDescent="0.3">
      <c r="B41" s="7" t="s">
        <v>775</v>
      </c>
      <c r="G41">
        <f>+G39-G40</f>
        <v>0</v>
      </c>
      <c r="H41">
        <f t="shared" ref="H41" si="5">+H39-H40</f>
        <v>0</v>
      </c>
      <c r="I41">
        <f t="shared" ref="I41" si="6">+I39-I40</f>
        <v>-6.0000000000000053E-2</v>
      </c>
      <c r="J41">
        <f t="shared" ref="J41" si="7">+J39-J40</f>
        <v>-1</v>
      </c>
      <c r="K41">
        <f t="shared" ref="K41" si="8">+K39-K40</f>
        <v>-1</v>
      </c>
      <c r="L41">
        <f t="shared" ref="L41" si="9">+L39-L40</f>
        <v>0</v>
      </c>
      <c r="M41">
        <f t="shared" ref="M41" si="10">+M39-M40</f>
        <v>0</v>
      </c>
      <c r="N41">
        <f t="shared" ref="N41" si="11">+N39-N40</f>
        <v>0</v>
      </c>
      <c r="O41">
        <f t="shared" ref="O41" si="12">+O39-O40</f>
        <v>0</v>
      </c>
      <c r="P41">
        <f t="shared" ref="P41" si="13">+P39-P40</f>
        <v>-1</v>
      </c>
      <c r="Q41">
        <f t="shared" ref="Q41" si="14">+Q39-Q40</f>
        <v>1</v>
      </c>
      <c r="R41">
        <f t="shared" ref="R41" si="15">+R39-R40</f>
        <v>-1</v>
      </c>
      <c r="S41">
        <f t="shared" ref="S41" si="16">+S39-S40</f>
        <v>0</v>
      </c>
      <c r="T41">
        <f t="shared" ref="T41" si="17">+T39-T40</f>
        <v>-1</v>
      </c>
      <c r="U41">
        <f t="shared" ref="U41" si="18">+U39-U40</f>
        <v>0</v>
      </c>
    </row>
    <row r="44" spans="2:21" x14ac:dyDescent="0.3">
      <c r="B44" t="s">
        <v>763</v>
      </c>
      <c r="C44" t="s">
        <v>760</v>
      </c>
      <c r="D44">
        <v>1</v>
      </c>
      <c r="E44">
        <v>6</v>
      </c>
      <c r="F44">
        <v>2</v>
      </c>
      <c r="G44">
        <v>5</v>
      </c>
      <c r="H44">
        <v>1</v>
      </c>
      <c r="I44">
        <v>1</v>
      </c>
      <c r="J44">
        <v>2</v>
      </c>
      <c r="K44">
        <v>4</v>
      </c>
      <c r="L44">
        <v>4</v>
      </c>
      <c r="M44">
        <v>2</v>
      </c>
      <c r="N44">
        <v>0</v>
      </c>
      <c r="O44">
        <v>0</v>
      </c>
      <c r="P44">
        <v>0</v>
      </c>
      <c r="Q44">
        <v>2</v>
      </c>
      <c r="R44">
        <v>3</v>
      </c>
      <c r="S44">
        <v>0</v>
      </c>
    </row>
    <row r="45" spans="2:21" x14ac:dyDescent="0.3">
      <c r="B45" t="s">
        <v>769</v>
      </c>
    </row>
    <row r="49" spans="2:21" x14ac:dyDescent="0.3">
      <c r="B49" t="s">
        <v>764</v>
      </c>
      <c r="C49" t="s">
        <v>760</v>
      </c>
      <c r="D49" t="s">
        <v>761</v>
      </c>
      <c r="E49" t="s">
        <v>761</v>
      </c>
      <c r="F49" t="s">
        <v>761</v>
      </c>
      <c r="G49" t="s">
        <v>761</v>
      </c>
      <c r="H49" t="s">
        <v>761</v>
      </c>
      <c r="I49" t="s">
        <v>761</v>
      </c>
      <c r="J49" t="s">
        <v>761</v>
      </c>
      <c r="K49" t="s">
        <v>761</v>
      </c>
      <c r="L49" t="s">
        <v>761</v>
      </c>
      <c r="M49" t="s">
        <v>761</v>
      </c>
      <c r="N49" t="s">
        <v>761</v>
      </c>
      <c r="O49" t="s">
        <v>761</v>
      </c>
      <c r="P49">
        <v>2</v>
      </c>
      <c r="Q49">
        <v>0</v>
      </c>
      <c r="R49">
        <v>1</v>
      </c>
      <c r="S49">
        <v>0</v>
      </c>
      <c r="T49">
        <v>0</v>
      </c>
      <c r="U49">
        <v>0</v>
      </c>
    </row>
    <row r="50" spans="2:21" x14ac:dyDescent="0.3">
      <c r="B50" t="s">
        <v>769</v>
      </c>
    </row>
    <row r="54" spans="2:21" x14ac:dyDescent="0.3">
      <c r="B54" t="s">
        <v>765</v>
      </c>
      <c r="C54" t="s">
        <v>760</v>
      </c>
      <c r="D54" t="s">
        <v>761</v>
      </c>
      <c r="E54" t="s">
        <v>761</v>
      </c>
      <c r="F54" t="s">
        <v>761</v>
      </c>
      <c r="G54" t="s">
        <v>761</v>
      </c>
      <c r="H54" t="s">
        <v>761</v>
      </c>
      <c r="I54" t="s">
        <v>761</v>
      </c>
      <c r="J54" t="s">
        <v>761</v>
      </c>
      <c r="K54" t="s">
        <v>761</v>
      </c>
      <c r="L54" t="s">
        <v>761</v>
      </c>
      <c r="M54" t="s">
        <v>761</v>
      </c>
      <c r="N54" t="s">
        <v>761</v>
      </c>
      <c r="O54" t="s">
        <v>761</v>
      </c>
      <c r="P54">
        <v>3</v>
      </c>
      <c r="Q54">
        <v>3</v>
      </c>
      <c r="R54">
        <v>1</v>
      </c>
      <c r="S54">
        <v>0</v>
      </c>
      <c r="T54">
        <v>0</v>
      </c>
      <c r="U54">
        <v>0</v>
      </c>
    </row>
    <row r="55" spans="2:21" x14ac:dyDescent="0.3">
      <c r="B55" t="s">
        <v>769</v>
      </c>
    </row>
  </sheetData>
  <pageMargins left="0.7" right="0.7" top="0.75" bottom="0.75" header="0.3" footer="0.3"/>
  <headerFooter>
    <oddFooter>&amp;C_x000D_&amp;1#&amp;"Aptos"&amp;10&amp;K000000 Classification: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3554-35A3-4C7A-8E4E-83C4CCDA81B8}">
  <dimension ref="B2:BA20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21" sqref="J21"/>
    </sheetView>
  </sheetViews>
  <sheetFormatPr defaultRowHeight="14.4" x14ac:dyDescent="0.3"/>
  <cols>
    <col min="1" max="1" width="3.5546875" customWidth="1"/>
    <col min="2" max="2" width="10.6640625" bestFit="1" customWidth="1"/>
    <col min="3" max="3" width="10.109375" bestFit="1" customWidth="1"/>
  </cols>
  <sheetData>
    <row r="2" spans="2:53" x14ac:dyDescent="0.3">
      <c r="B2" t="s">
        <v>4888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</row>
    <row r="3" spans="2:53" x14ac:dyDescent="0.3">
      <c r="B3" s="9" t="s">
        <v>4886</v>
      </c>
    </row>
    <row r="4" spans="2:53" x14ac:dyDescent="0.3">
      <c r="C4" s="15">
        <f>+GETPIVOTDATA("Sum of On Time",'Pivot Cleansing'!$A$3,"Week No",C$2)/GETPIVOTDATA("Count of Order Tracking: Order Tracking No",'Pivot Cleansing'!$A$3,"Week No",C$2)</f>
        <v>0.92156862745098034</v>
      </c>
      <c r="D4" s="15">
        <f>+GETPIVOTDATA("Sum of On Time",'Pivot Cleansing'!$A$3,"Week No",D$2)/GETPIVOTDATA("Count of Order Tracking: Order Tracking No",'Pivot Cleansing'!$A$3,"Week No",D$2)</f>
        <v>0.95145631067961167</v>
      </c>
      <c r="E4" s="15">
        <f>+GETPIVOTDATA("Sum of On Time",'Pivot Cleansing'!$A$3,"Week No",E$2)/GETPIVOTDATA("Count of Order Tracking: Order Tracking No",'Pivot Cleansing'!$A$3,"Week No",E$2)</f>
        <v>0.6875</v>
      </c>
      <c r="F4" s="15">
        <f>+GETPIVOTDATA("Sum of On Time",'Pivot Cleansing'!$A$3,"Week No",F$2)/GETPIVOTDATA("Count of Order Tracking: Order Tracking No",'Pivot Cleansing'!$A$3,"Week No",F$2)</f>
        <v>0.32608695652173914</v>
      </c>
      <c r="G4" s="15">
        <f>+GETPIVOTDATA("Sum of On Time",'Pivot Cleansing'!$A$3,"Week No",G$2)/GETPIVOTDATA("Count of Order Tracking: Order Tracking No",'Pivot Cleansing'!$A$3,"Week No",G$2)</f>
        <v>0.56140350877192979</v>
      </c>
      <c r="H4" s="15">
        <f>+GETPIVOTDATA("Sum of On Time",'Pivot Cleansing'!$A$3,"Week No",H$2)/GETPIVOTDATA("Count of Order Tracking: Order Tracking No",'Pivot Cleansing'!$A$3,"Week No",H$2)</f>
        <v>0.58823529411764708</v>
      </c>
      <c r="I4" s="15">
        <f>+GETPIVOTDATA("Sum of On Time",'Pivot Cleansing'!$A$3,"Week No",I$2)/GETPIVOTDATA("Count of Order Tracking: Order Tracking No",'Pivot Cleansing'!$A$3,"Week No",I$2)</f>
        <v>0.62222222222222223</v>
      </c>
      <c r="J4" s="15">
        <f>+GETPIVOTDATA("Sum of On Time",'Pivot Cleansing'!$A$3,"Week No",J$2)/GETPIVOTDATA("Count of Order Tracking: Order Tracking No",'Pivot Cleansing'!$A$3,"Week No",J$2)</f>
        <v>0.65384615384615385</v>
      </c>
      <c r="K4" s="15">
        <f>+GETPIVOTDATA("Sum of On Time",'Pivot Cleansing'!$A$3,"Week No",K$2)/GETPIVOTDATA("Count of Order Tracking: Order Tracking No",'Pivot Cleansing'!$A$3,"Week No",K$2)</f>
        <v>0.41176470588235292</v>
      </c>
      <c r="L4" s="15">
        <f>+GETPIVOTDATA("Sum of On Time",'Pivot Cleansing'!$A$3,"Week No",L$2)/GETPIVOTDATA("Count of Order Tracking: Order Tracking No",'Pivot Cleansing'!$A$3,"Week No",L$2)</f>
        <v>0.5625</v>
      </c>
      <c r="M4" s="15">
        <f>+GETPIVOTDATA("Sum of On Time",'Pivot Cleansing'!$A$3,"Week No",M$2)/GETPIVOTDATA("Count of Order Tracking: Order Tracking No",'Pivot Cleansing'!$A$3,"Week No",M$2)</f>
        <v>0.5</v>
      </c>
      <c r="N4" s="15">
        <f>+GETPIVOTDATA("Sum of On Time",'Pivot Cleansing'!$A$3,"Week No",N$2)/GETPIVOTDATA("Count of Order Tracking: Order Tracking No",'Pivot Cleansing'!$A$3,"Week No",N$2)</f>
        <v>0.61904761904761907</v>
      </c>
      <c r="O4" s="15">
        <f>+GETPIVOTDATA("Sum of On Time",'Pivot Cleansing'!$A$3,"Week No",O$2)/GETPIVOTDATA("Count of Order Tracking: Order Tracking No",'Pivot Cleansing'!$A$3,"Week No",O$2)</f>
        <v>0.63636363636363635</v>
      </c>
      <c r="P4" s="15">
        <f>+GETPIVOTDATA("Sum of On Time",'Pivot Cleansing'!$A$3,"Week No",P$2)/GETPIVOTDATA("Count of Order Tracking: Order Tracking No",'Pivot Cleansing'!$A$3,"Week No",P$2)</f>
        <v>0.82</v>
      </c>
      <c r="Q4" s="15">
        <f>+GETPIVOTDATA("Sum of On Time",'Pivot Cleansing'!$A$3,"Week No",Q$2)/GETPIVOTDATA("Count of Order Tracking: Order Tracking No",'Pivot Cleansing'!$A$3,"Week No",Q$2)</f>
        <v>0.6</v>
      </c>
      <c r="R4" s="15">
        <f>+GETPIVOTDATA("Sum of On Time",'Pivot Cleansing'!$A$3,"Week No",R$2)/GETPIVOTDATA("Count of Order Tracking: Order Tracking No",'Pivot Cleansing'!$A$3,"Week No",R$2)</f>
        <v>0.42307692307692307</v>
      </c>
      <c r="S4" s="15">
        <f>+GETPIVOTDATA("Sum of On Time",'Pivot Cleansing'!$A$3,"Week No",S$2)/GETPIVOTDATA("Count of Order Tracking: Order Tracking No",'Pivot Cleansing'!$A$3,"Week No",S$2)</f>
        <v>0.40845070422535212</v>
      </c>
      <c r="T4" s="15">
        <f>+GETPIVOTDATA("Sum of On Time",'Pivot Cleansing'!$A$3,"Week No",T$2)/GETPIVOTDATA("Count of Order Tracking: Order Tracking No",'Pivot Cleansing'!$A$3,"Week No",T$2)</f>
        <v>0.8666666666666667</v>
      </c>
      <c r="U4" s="15">
        <f>+GETPIVOTDATA("Sum of On Time",'Pivot Cleansing'!$A$3,"Week No",U$2)/GETPIVOTDATA("Count of Order Tracking: Order Tracking No",'Pivot Cleansing'!$A$3,"Week No",U$2)</f>
        <v>0.9285714285714286</v>
      </c>
      <c r="V4" s="15">
        <f>+GETPIVOTDATA("Sum of On Time",'Pivot Cleansing'!$A$3,"Week No",V$2)/GETPIVOTDATA("Count of Order Tracking: Order Tracking No",'Pivot Cleansing'!$A$3,"Week No",V$2)</f>
        <v>0.83673469387755106</v>
      </c>
      <c r="W4" s="15">
        <f>+GETPIVOTDATA("Sum of On Time",'Pivot Cleansing'!$A$3,"Week No",W$2)/GETPIVOTDATA("Count of Order Tracking: Order Tracking No",'Pivot Cleansing'!$A$3,"Week No",W$2)</f>
        <v>0.68085106382978722</v>
      </c>
      <c r="X4" s="15">
        <f>+GETPIVOTDATA("Sum of On Time",'Pivot Cleansing'!$A$3,"Week No",X$2)/GETPIVOTDATA("Count of Order Tracking: Order Tracking No",'Pivot Cleansing'!$A$3,"Week No",X$2)</f>
        <v>0.5</v>
      </c>
      <c r="Y4" s="15">
        <f>+GETPIVOTDATA("Sum of On Time",'Pivot Cleansing'!$A$3,"Week No",Y$2)/GETPIVOTDATA("Count of Order Tracking: Order Tracking No",'Pivot Cleansing'!$A$3,"Week No",Y$2)</f>
        <v>0.50909090909090904</v>
      </c>
      <c r="Z4" s="15">
        <f>+GETPIVOTDATA("Sum of On Time",'Pivot Cleansing'!$A$3,"Week No",Z$2)/GETPIVOTDATA("Count of Order Tracking: Order Tracking No",'Pivot Cleansing'!$A$3,"Week No",Z$2)</f>
        <v>0.54545454545454541</v>
      </c>
      <c r="AA4" s="15">
        <f>+GETPIVOTDATA("Sum of On Time",'Pivot Cleansing'!$A$3,"Week No",AA$2)/GETPIVOTDATA("Count of Order Tracking: Order Tracking No",'Pivot Cleansing'!$A$3,"Week No",AA$2)</f>
        <v>0.703125</v>
      </c>
      <c r="AB4" s="15">
        <f>+GETPIVOTDATA("Sum of On Time",'Pivot Cleansing'!$A$3,"Week No",AB$2)/GETPIVOTDATA("Count of Order Tracking: Order Tracking No",'Pivot Cleansing'!$A$3,"Week No",AB$2)</f>
        <v>0.61111111111111116</v>
      </c>
      <c r="AC4" s="15">
        <f>+GETPIVOTDATA("Sum of On Time",'Pivot Cleansing'!$A$3,"Week No",AC$2)/GETPIVOTDATA("Count of Order Tracking: Order Tracking No",'Pivot Cleansing'!$A$3,"Week No",AC$2)</f>
        <v>0.67346938775510201</v>
      </c>
      <c r="AD4" s="15">
        <f>+GETPIVOTDATA("Sum of On Time",'Pivot Cleansing'!$A$3,"Week No",AD$2)/GETPIVOTDATA("Count of Order Tracking: Order Tracking No",'Pivot Cleansing'!$A$3,"Week No",AD$2)</f>
        <v>0.4358974358974359</v>
      </c>
      <c r="AE4" s="15">
        <f>+GETPIVOTDATA("Sum of On Time",'Pivot Cleansing'!$A$3,"Week No",AE$2)/GETPIVOTDATA("Count of Order Tracking: Order Tracking No",'Pivot Cleansing'!$A$3,"Week No",AE$2)</f>
        <v>0.64912280701754388</v>
      </c>
      <c r="AF4" s="15">
        <f>+GETPIVOTDATA("Sum of On Time",'Pivot Cleansing'!$A$3,"Week No",AF$2)/GETPIVOTDATA("Count of Order Tracking: Order Tracking No",'Pivot Cleansing'!$A$3,"Week No",AF$2)</f>
        <v>0.56521739130434778</v>
      </c>
      <c r="AG4" s="15">
        <f>+GETPIVOTDATA("Sum of On Time",'Pivot Cleansing'!$A$3,"Week No",AG$2)/GETPIVOTDATA("Count of Order Tracking: Order Tracking No",'Pivot Cleansing'!$A$3,"Week No",AG$2)</f>
        <v>0.46938775510204084</v>
      </c>
      <c r="AH4" s="15">
        <f>+GETPIVOTDATA("Sum of On Time",'Pivot Cleansing'!$A$3,"Week No",AH$2)/GETPIVOTDATA("Count of Order Tracking: Order Tracking No",'Pivot Cleansing'!$A$3,"Week No",AH$2)</f>
        <v>0.48888888888888887</v>
      </c>
      <c r="AI4" s="15">
        <f>+GETPIVOTDATA("Sum of On Time",'Pivot Cleansing'!$A$3,"Week No",AI$2)/GETPIVOTDATA("Count of Order Tracking: Order Tracking No",'Pivot Cleansing'!$A$3,"Week No",AI$2)</f>
        <v>0.55319148936170215</v>
      </c>
      <c r="AJ4" s="15">
        <f>+GETPIVOTDATA("Sum of On Time",'Pivot Cleansing'!$A$3,"Week No",AJ$2)/GETPIVOTDATA("Count of Order Tracking: Order Tracking No",'Pivot Cleansing'!$A$3,"Week No",AJ$2)</f>
        <v>0.69444444444444442</v>
      </c>
      <c r="AK4" s="15">
        <f>+GETPIVOTDATA("Sum of On Time",'Pivot Cleansing'!$A$3,"Week No",AK$2)/GETPIVOTDATA("Count of Order Tracking: Order Tracking No",'Pivot Cleansing'!$A$3,"Week No",AK$2)</f>
        <v>0.76315789473684215</v>
      </c>
      <c r="AL4" s="15">
        <f>+GETPIVOTDATA("Sum of On Time",'Pivot Cleansing'!$A$3,"Week No",AL$2)/GETPIVOTDATA("Count of Order Tracking: Order Tracking No",'Pivot Cleansing'!$A$3,"Week No",AL$2)</f>
        <v>0.65957446808510634</v>
      </c>
      <c r="AM4" s="15">
        <f>+GETPIVOTDATA("Sum of On Time",'Pivot Cleansing'!$A$3,"Week No",AM$2)/GETPIVOTDATA("Count of Order Tracking: Order Tracking No",'Pivot Cleansing'!$A$3,"Week No",AM$2)</f>
        <v>0.38709677419354838</v>
      </c>
      <c r="AN4" s="15">
        <f>+GETPIVOTDATA("Sum of On Time",'Pivot Cleansing'!$A$3,"Week No",AN$2)/GETPIVOTDATA("Count of Order Tracking: Order Tracking No",'Pivot Cleansing'!$A$3,"Week No",AN$2)</f>
        <v>0.57692307692307687</v>
      </c>
      <c r="AO4" s="15">
        <f>+GETPIVOTDATA("Sum of On Time",'Pivot Cleansing'!$A$3,"Week No",AO$2)/GETPIVOTDATA("Count of Order Tracking: Order Tracking No",'Pivot Cleansing'!$A$3,"Week No",AO$2)</f>
        <v>1</v>
      </c>
      <c r="AP4" s="15">
        <f>+GETPIVOTDATA("Sum of On Time",'Pivot Cleansing'!$A$3,"Week No",AP$2)/GETPIVOTDATA("Count of Order Tracking: Order Tracking No",'Pivot Cleansing'!$A$3,"Week No",AP$2)</f>
        <v>1</v>
      </c>
      <c r="AQ4" s="15">
        <f>+GETPIVOTDATA("Sum of On Time",'Pivot Cleansing'!$A$3,"Week No",AQ$2)/GETPIVOTDATA("Count of Order Tracking: Order Tracking No",'Pivot Cleansing'!$A$3,"Week No",AQ$2)</f>
        <v>1</v>
      </c>
    </row>
    <row r="5" spans="2:53" x14ac:dyDescent="0.3">
      <c r="B5" t="s">
        <v>1184</v>
      </c>
      <c r="C5" s="17">
        <f>+GETPIVOTDATA("Sum of On Time",'Pivot Cleansing'!$A$3,"Week No",C$2)</f>
        <v>141</v>
      </c>
      <c r="D5" s="17">
        <f>+GETPIVOTDATA("Sum of On Time",'Pivot Cleansing'!$A$3,"Week No",D$2)</f>
        <v>98</v>
      </c>
      <c r="E5" s="17">
        <f>+GETPIVOTDATA("Sum of On Time",'Pivot Cleansing'!$A$3,"Week No",E$2)</f>
        <v>55</v>
      </c>
      <c r="F5" s="17">
        <f>+GETPIVOTDATA("Sum of On Time",'Pivot Cleansing'!$A$3,"Week No",F$2)</f>
        <v>15</v>
      </c>
      <c r="G5" s="17">
        <f>+GETPIVOTDATA("Sum of On Time",'Pivot Cleansing'!$A$3,"Week No",G$2)</f>
        <v>32</v>
      </c>
      <c r="H5" s="17">
        <f>+GETPIVOTDATA("Sum of On Time",'Pivot Cleansing'!$A$3,"Week No",H$2)</f>
        <v>30</v>
      </c>
      <c r="I5" s="17">
        <f>+GETPIVOTDATA("Sum of On Time",'Pivot Cleansing'!$A$3,"Week No",I$2)</f>
        <v>28</v>
      </c>
      <c r="J5" s="17">
        <f>+GETPIVOTDATA("Sum of On Time",'Pivot Cleansing'!$A$3,"Week No",J$2)</f>
        <v>34</v>
      </c>
      <c r="K5" s="17">
        <f>+GETPIVOTDATA("Sum of On Time",'Pivot Cleansing'!$A$3,"Week No",K$2)</f>
        <v>21</v>
      </c>
      <c r="L5" s="17">
        <f>+GETPIVOTDATA("Sum of On Time",'Pivot Cleansing'!$A$3,"Week No",L$2)</f>
        <v>27</v>
      </c>
      <c r="M5" s="17">
        <f>+GETPIVOTDATA("Sum of On Time",'Pivot Cleansing'!$A$3,"Week No",M$2)</f>
        <v>22</v>
      </c>
      <c r="N5" s="17">
        <f>+GETPIVOTDATA("Sum of On Time",'Pivot Cleansing'!$A$3,"Week No",N$2)</f>
        <v>26</v>
      </c>
      <c r="O5" s="17">
        <f>+GETPIVOTDATA("Sum of On Time",'Pivot Cleansing'!$A$3,"Week No",O$2)</f>
        <v>28</v>
      </c>
      <c r="P5" s="17">
        <f>+GETPIVOTDATA("Sum of On Time",'Pivot Cleansing'!$A$3,"Week No",P$2)</f>
        <v>41</v>
      </c>
      <c r="Q5" s="17">
        <f>+GETPIVOTDATA("Sum of On Time",'Pivot Cleansing'!$A$3,"Week No",Q$2)</f>
        <v>21</v>
      </c>
      <c r="R5" s="17">
        <f>+GETPIVOTDATA("Sum of On Time",'Pivot Cleansing'!$A$3,"Week No",R$2)</f>
        <v>11</v>
      </c>
      <c r="S5" s="17">
        <f>+GETPIVOTDATA("Sum of On Time",'Pivot Cleansing'!$A$3,"Week No",S$2)</f>
        <v>29</v>
      </c>
      <c r="T5" s="17">
        <f>+GETPIVOTDATA("Sum of On Time",'Pivot Cleansing'!$A$3,"Week No",T$2)</f>
        <v>39</v>
      </c>
      <c r="U5" s="17">
        <f>+GETPIVOTDATA("Sum of On Time",'Pivot Cleansing'!$A$3,"Week No",U$2)</f>
        <v>39</v>
      </c>
      <c r="V5" s="17">
        <f>+GETPIVOTDATA("Sum of On Time",'Pivot Cleansing'!$A$3,"Week No",V$2)</f>
        <v>41</v>
      </c>
      <c r="W5" s="17">
        <f>+GETPIVOTDATA("Sum of On Time",'Pivot Cleansing'!$A$3,"Week No",W$2)</f>
        <v>32</v>
      </c>
      <c r="X5" s="17">
        <f>+GETPIVOTDATA("Sum of On Time",'Pivot Cleansing'!$A$3,"Week No",X$2)</f>
        <v>15</v>
      </c>
      <c r="Y5" s="17">
        <f>+GETPIVOTDATA("Sum of On Time",'Pivot Cleansing'!$A$3,"Week No",Y$2)</f>
        <v>28</v>
      </c>
      <c r="Z5" s="17">
        <f>+GETPIVOTDATA("Sum of On Time",'Pivot Cleansing'!$A$3,"Week No",Z$2)</f>
        <v>36</v>
      </c>
      <c r="AA5" s="17">
        <f>+GETPIVOTDATA("Sum of On Time",'Pivot Cleansing'!$A$3,"Week No",AA$2)</f>
        <v>45</v>
      </c>
      <c r="AB5" s="17">
        <f>+GETPIVOTDATA("Sum of On Time",'Pivot Cleansing'!$A$3,"Week No",AB$2)</f>
        <v>33</v>
      </c>
      <c r="AC5" s="17">
        <f>+GETPIVOTDATA("Sum of On Time",'Pivot Cleansing'!$A$3,"Week No",AC$2)</f>
        <v>33</v>
      </c>
      <c r="AD5" s="17">
        <f>+GETPIVOTDATA("Sum of On Time",'Pivot Cleansing'!$A$3,"Week No",AD$2)</f>
        <v>17</v>
      </c>
      <c r="AE5" s="17">
        <f>+GETPIVOTDATA("Sum of On Time",'Pivot Cleansing'!$A$3,"Week No",AE$2)</f>
        <v>37</v>
      </c>
      <c r="AF5" s="17">
        <f>+GETPIVOTDATA("Sum of On Time",'Pivot Cleansing'!$A$3,"Week No",AF$2)</f>
        <v>26</v>
      </c>
      <c r="AG5" s="17">
        <f>+GETPIVOTDATA("Sum of On Time",'Pivot Cleansing'!$A$3,"Week No",AG$2)</f>
        <v>23</v>
      </c>
      <c r="AH5" s="17">
        <f>+GETPIVOTDATA("Sum of On Time",'Pivot Cleansing'!$A$3,"Week No",AH$2)</f>
        <v>22</v>
      </c>
      <c r="AI5" s="17">
        <f>+GETPIVOTDATA("Sum of On Time",'Pivot Cleansing'!$A$3,"Week No",AI$2)</f>
        <v>26</v>
      </c>
      <c r="AJ5" s="17">
        <f>+GETPIVOTDATA("Sum of On Time",'Pivot Cleansing'!$A$3,"Week No",AJ$2)</f>
        <v>25</v>
      </c>
      <c r="AK5" s="17">
        <f>+GETPIVOTDATA("Sum of On Time",'Pivot Cleansing'!$A$3,"Week No",AK$2)</f>
        <v>29</v>
      </c>
      <c r="AL5" s="17">
        <f>+GETPIVOTDATA("Sum of On Time",'Pivot Cleansing'!$A$3,"Week No",AL$2)</f>
        <v>31</v>
      </c>
      <c r="AM5" s="17">
        <f>+GETPIVOTDATA("Sum of On Time",'Pivot Cleansing'!$A$3,"Week No",AM$2)</f>
        <v>12</v>
      </c>
      <c r="AN5" s="17">
        <f>+GETPIVOTDATA("Sum of On Time",'Pivot Cleansing'!$A$3,"Week No",AN$2)</f>
        <v>30</v>
      </c>
      <c r="AO5" s="17">
        <f>+GETPIVOTDATA("Sum of On Time",'Pivot Cleansing'!$A$3,"Week No",AO$2)</f>
        <v>48</v>
      </c>
      <c r="AP5" s="17">
        <f>+GETPIVOTDATA("Sum of On Time",'Pivot Cleansing'!$A$3,"Week No",AP$2)</f>
        <v>56</v>
      </c>
      <c r="AQ5" s="17">
        <f>+GETPIVOTDATA("Sum of On Time",'Pivot Cleansing'!$A$3,"Week No",AQ$2)</f>
        <v>51</v>
      </c>
    </row>
    <row r="6" spans="2:53" x14ac:dyDescent="0.3">
      <c r="B6" t="s">
        <v>4885</v>
      </c>
      <c r="C6" s="17">
        <f>GETPIVOTDATA("Count of Order Tracking: Order Tracking No",'Pivot Cleansing'!$A$3,"Week No",C$2)</f>
        <v>153</v>
      </c>
      <c r="D6" s="17">
        <f>GETPIVOTDATA("Count of Order Tracking: Order Tracking No",'Pivot Cleansing'!$A$3,"Week No",D$2)</f>
        <v>103</v>
      </c>
      <c r="E6" s="17">
        <f>GETPIVOTDATA("Count of Order Tracking: Order Tracking No",'Pivot Cleansing'!$A$3,"Week No",E$2)</f>
        <v>80</v>
      </c>
      <c r="F6" s="17">
        <f>GETPIVOTDATA("Count of Order Tracking: Order Tracking No",'Pivot Cleansing'!$A$3,"Week No",F$2)</f>
        <v>46</v>
      </c>
      <c r="G6" s="17">
        <f>GETPIVOTDATA("Count of Order Tracking: Order Tracking No",'Pivot Cleansing'!$A$3,"Week No",G$2)</f>
        <v>57</v>
      </c>
      <c r="H6" s="17">
        <f>GETPIVOTDATA("Count of Order Tracking: Order Tracking No",'Pivot Cleansing'!$A$3,"Week No",H$2)</f>
        <v>51</v>
      </c>
      <c r="I6" s="17">
        <f>GETPIVOTDATA("Count of Order Tracking: Order Tracking No",'Pivot Cleansing'!$A$3,"Week No",I$2)</f>
        <v>45</v>
      </c>
      <c r="J6" s="17">
        <f>GETPIVOTDATA("Count of Order Tracking: Order Tracking No",'Pivot Cleansing'!$A$3,"Week No",J$2)</f>
        <v>52</v>
      </c>
      <c r="K6" s="17">
        <f>GETPIVOTDATA("Count of Order Tracking: Order Tracking No",'Pivot Cleansing'!$A$3,"Week No",K$2)</f>
        <v>51</v>
      </c>
      <c r="L6" s="17">
        <f>GETPIVOTDATA("Count of Order Tracking: Order Tracking No",'Pivot Cleansing'!$A$3,"Week No",L$2)</f>
        <v>48</v>
      </c>
      <c r="M6" s="17">
        <f>GETPIVOTDATA("Count of Order Tracking: Order Tracking No",'Pivot Cleansing'!$A$3,"Week No",M$2)</f>
        <v>44</v>
      </c>
      <c r="N6" s="17">
        <f>GETPIVOTDATA("Count of Order Tracking: Order Tracking No",'Pivot Cleansing'!$A$3,"Week No",N$2)</f>
        <v>42</v>
      </c>
      <c r="O6" s="17">
        <f>GETPIVOTDATA("Count of Order Tracking: Order Tracking No",'Pivot Cleansing'!$A$3,"Week No",O$2)</f>
        <v>44</v>
      </c>
      <c r="P6" s="17">
        <f>GETPIVOTDATA("Count of Order Tracking: Order Tracking No",'Pivot Cleansing'!$A$3,"Week No",P$2)</f>
        <v>50</v>
      </c>
      <c r="Q6" s="17">
        <f>GETPIVOTDATA("Count of Order Tracking: Order Tracking No",'Pivot Cleansing'!$A$3,"Week No",Q$2)</f>
        <v>35</v>
      </c>
      <c r="R6" s="17">
        <f>GETPIVOTDATA("Count of Order Tracking: Order Tracking No",'Pivot Cleansing'!$A$3,"Week No",R$2)</f>
        <v>26</v>
      </c>
      <c r="S6" s="17">
        <f>GETPIVOTDATA("Count of Order Tracking: Order Tracking No",'Pivot Cleansing'!$A$3,"Week No",S$2)</f>
        <v>71</v>
      </c>
      <c r="T6" s="17">
        <f>GETPIVOTDATA("Count of Order Tracking: Order Tracking No",'Pivot Cleansing'!$A$3,"Week No",T$2)</f>
        <v>45</v>
      </c>
      <c r="U6" s="17">
        <f>GETPIVOTDATA("Count of Order Tracking: Order Tracking No",'Pivot Cleansing'!$A$3,"Week No",U$2)</f>
        <v>42</v>
      </c>
      <c r="V6" s="17">
        <f>GETPIVOTDATA("Count of Order Tracking: Order Tracking No",'Pivot Cleansing'!$A$3,"Week No",V$2)</f>
        <v>49</v>
      </c>
      <c r="W6" s="17">
        <f>GETPIVOTDATA("Count of Order Tracking: Order Tracking No",'Pivot Cleansing'!$A$3,"Week No",W$2)</f>
        <v>47</v>
      </c>
      <c r="X6" s="17">
        <f>GETPIVOTDATA("Count of Order Tracking: Order Tracking No",'Pivot Cleansing'!$A$3,"Week No",X$2)</f>
        <v>30</v>
      </c>
      <c r="Y6" s="17">
        <f>GETPIVOTDATA("Count of Order Tracking: Order Tracking No",'Pivot Cleansing'!$A$3,"Week No",Y$2)</f>
        <v>55</v>
      </c>
      <c r="Z6" s="17">
        <f>GETPIVOTDATA("Count of Order Tracking: Order Tracking No",'Pivot Cleansing'!$A$3,"Week No",Z$2)</f>
        <v>66</v>
      </c>
      <c r="AA6" s="17">
        <f>GETPIVOTDATA("Count of Order Tracking: Order Tracking No",'Pivot Cleansing'!$A$3,"Week No",AA$2)</f>
        <v>64</v>
      </c>
      <c r="AB6" s="17">
        <f>GETPIVOTDATA("Count of Order Tracking: Order Tracking No",'Pivot Cleansing'!$A$3,"Week No",AB$2)</f>
        <v>54</v>
      </c>
      <c r="AC6" s="17">
        <f>GETPIVOTDATA("Count of Order Tracking: Order Tracking No",'Pivot Cleansing'!$A$3,"Week No",AC$2)</f>
        <v>49</v>
      </c>
      <c r="AD6" s="17">
        <f>GETPIVOTDATA("Count of Order Tracking: Order Tracking No",'Pivot Cleansing'!$A$3,"Week No",AD$2)</f>
        <v>39</v>
      </c>
      <c r="AE6" s="17">
        <f>GETPIVOTDATA("Count of Order Tracking: Order Tracking No",'Pivot Cleansing'!$A$3,"Week No",AE$2)</f>
        <v>57</v>
      </c>
      <c r="AF6" s="17">
        <f>GETPIVOTDATA("Count of Order Tracking: Order Tracking No",'Pivot Cleansing'!$A$3,"Week No",AF$2)</f>
        <v>46</v>
      </c>
      <c r="AG6" s="17">
        <f>GETPIVOTDATA("Count of Order Tracking: Order Tracking No",'Pivot Cleansing'!$A$3,"Week No",AG$2)</f>
        <v>49</v>
      </c>
      <c r="AH6" s="17">
        <f>GETPIVOTDATA("Count of Order Tracking: Order Tracking No",'Pivot Cleansing'!$A$3,"Week No",AH$2)</f>
        <v>45</v>
      </c>
      <c r="AI6" s="17">
        <f>GETPIVOTDATA("Count of Order Tracking: Order Tracking No",'Pivot Cleansing'!$A$3,"Week No",AI$2)</f>
        <v>47</v>
      </c>
      <c r="AJ6" s="17">
        <f>GETPIVOTDATA("Count of Order Tracking: Order Tracking No",'Pivot Cleansing'!$A$3,"Week No",AJ$2)</f>
        <v>36</v>
      </c>
      <c r="AK6" s="17">
        <f>GETPIVOTDATA("Count of Order Tracking: Order Tracking No",'Pivot Cleansing'!$A$3,"Week No",AK$2)</f>
        <v>38</v>
      </c>
      <c r="AL6" s="17">
        <f>GETPIVOTDATA("Count of Order Tracking: Order Tracking No",'Pivot Cleansing'!$A$3,"Week No",AL$2)</f>
        <v>47</v>
      </c>
      <c r="AM6" s="17">
        <f>GETPIVOTDATA("Count of Order Tracking: Order Tracking No",'Pivot Cleansing'!$A$3,"Week No",AM$2)</f>
        <v>31</v>
      </c>
      <c r="AN6" s="17">
        <f>GETPIVOTDATA("Count of Order Tracking: Order Tracking No",'Pivot Cleansing'!$A$3,"Week No",AN$2)</f>
        <v>52</v>
      </c>
      <c r="AO6" s="17">
        <f>GETPIVOTDATA("Count of Order Tracking: Order Tracking No",'Pivot Cleansing'!$A$3,"Week No",AO$2)</f>
        <v>48</v>
      </c>
      <c r="AP6" s="17">
        <f>GETPIVOTDATA("Count of Order Tracking: Order Tracking No",'Pivot Cleansing'!$A$3,"Week No",AP$2)</f>
        <v>56</v>
      </c>
      <c r="AQ6" s="17">
        <f>GETPIVOTDATA("Count of Order Tracking: Order Tracking No",'Pivot Cleansing'!$A$3,"Week No",AQ$2)</f>
        <v>51</v>
      </c>
    </row>
    <row r="7" spans="2:53" x14ac:dyDescent="0.3">
      <c r="C7" s="15">
        <f>+C5/C6</f>
        <v>0.92156862745098034</v>
      </c>
      <c r="D7" s="15">
        <f t="shared" ref="D7:AB7" si="0">+D5/D6</f>
        <v>0.95145631067961167</v>
      </c>
      <c r="E7" s="15">
        <f t="shared" si="0"/>
        <v>0.6875</v>
      </c>
      <c r="F7" s="15">
        <f t="shared" si="0"/>
        <v>0.32608695652173914</v>
      </c>
      <c r="G7" s="15">
        <f>+G5/G6</f>
        <v>0.56140350877192979</v>
      </c>
      <c r="H7" s="15">
        <f t="shared" si="0"/>
        <v>0.58823529411764708</v>
      </c>
      <c r="I7" s="15">
        <f t="shared" si="0"/>
        <v>0.62222222222222223</v>
      </c>
      <c r="J7" s="15">
        <f t="shared" si="0"/>
        <v>0.65384615384615385</v>
      </c>
      <c r="K7" s="15">
        <f t="shared" si="0"/>
        <v>0.41176470588235292</v>
      </c>
      <c r="L7" s="15">
        <f t="shared" si="0"/>
        <v>0.5625</v>
      </c>
      <c r="M7" s="15">
        <f t="shared" si="0"/>
        <v>0.5</v>
      </c>
      <c r="N7" s="15">
        <f t="shared" si="0"/>
        <v>0.61904761904761907</v>
      </c>
      <c r="O7" s="15">
        <f t="shared" si="0"/>
        <v>0.63636363636363635</v>
      </c>
      <c r="P7" s="15">
        <f t="shared" si="0"/>
        <v>0.82</v>
      </c>
      <c r="Q7" s="15">
        <f t="shared" si="0"/>
        <v>0.6</v>
      </c>
      <c r="R7" s="15">
        <f t="shared" si="0"/>
        <v>0.42307692307692307</v>
      </c>
      <c r="S7" s="15">
        <f t="shared" si="0"/>
        <v>0.40845070422535212</v>
      </c>
      <c r="T7" s="15">
        <f t="shared" si="0"/>
        <v>0.8666666666666667</v>
      </c>
      <c r="U7" s="15">
        <f t="shared" si="0"/>
        <v>0.9285714285714286</v>
      </c>
      <c r="V7" s="15">
        <f t="shared" si="0"/>
        <v>0.83673469387755106</v>
      </c>
      <c r="W7" s="15">
        <f t="shared" si="0"/>
        <v>0.68085106382978722</v>
      </c>
      <c r="X7" s="15">
        <f t="shared" si="0"/>
        <v>0.5</v>
      </c>
      <c r="Y7" s="15">
        <f t="shared" si="0"/>
        <v>0.50909090909090904</v>
      </c>
      <c r="Z7" s="15">
        <f t="shared" si="0"/>
        <v>0.54545454545454541</v>
      </c>
      <c r="AA7" s="15">
        <f t="shared" si="0"/>
        <v>0.703125</v>
      </c>
      <c r="AB7" s="15">
        <f t="shared" si="0"/>
        <v>0.61111111111111116</v>
      </c>
      <c r="AC7" s="15">
        <f t="shared" ref="AC7:AD7" si="1">+AC5/AC6</f>
        <v>0.67346938775510201</v>
      </c>
      <c r="AD7" s="15">
        <f t="shared" si="1"/>
        <v>0.4358974358974359</v>
      </c>
      <c r="AE7" s="15">
        <f t="shared" ref="AE7:AF7" si="2">+AE5/AE6</f>
        <v>0.64912280701754388</v>
      </c>
      <c r="AF7" s="15">
        <f t="shared" si="2"/>
        <v>0.56521739130434778</v>
      </c>
      <c r="AG7" s="15">
        <f t="shared" ref="AG7:AH7" si="3">+AG5/AG6</f>
        <v>0.46938775510204084</v>
      </c>
      <c r="AH7" s="15">
        <f t="shared" si="3"/>
        <v>0.48888888888888887</v>
      </c>
      <c r="AI7" s="15">
        <f t="shared" ref="AI7:AJ7" si="4">+AI5/AI6</f>
        <v>0.55319148936170215</v>
      </c>
      <c r="AJ7" s="15">
        <f t="shared" si="4"/>
        <v>0.69444444444444442</v>
      </c>
      <c r="AK7" s="15">
        <f t="shared" ref="AK7:AL7" si="5">+AK5/AK6</f>
        <v>0.76315789473684215</v>
      </c>
      <c r="AL7" s="15">
        <f t="shared" si="5"/>
        <v>0.65957446808510634</v>
      </c>
      <c r="AM7" s="15">
        <f t="shared" ref="AM7:AN7" si="6">+AM5/AM6</f>
        <v>0.38709677419354838</v>
      </c>
      <c r="AN7" s="15">
        <f t="shared" si="6"/>
        <v>0.57692307692307687</v>
      </c>
      <c r="AO7" s="15">
        <f t="shared" ref="AO7:AP7" si="7">+AO5/AO6</f>
        <v>1</v>
      </c>
      <c r="AP7" s="15">
        <f t="shared" si="7"/>
        <v>1</v>
      </c>
      <c r="AQ7" s="15">
        <f t="shared" ref="AQ7" si="8">+AQ5/AQ6</f>
        <v>1</v>
      </c>
    </row>
    <row r="8" spans="2:53" x14ac:dyDescent="0.3">
      <c r="C8" s="15"/>
    </row>
    <row r="9" spans="2:53" x14ac:dyDescent="0.3">
      <c r="B9" s="9" t="s">
        <v>4887</v>
      </c>
    </row>
    <row r="10" spans="2:53" x14ac:dyDescent="0.3">
      <c r="C10" s="15">
        <f>+GETPIVOTDATA("Sum of On Time",'Pivot Sign Off'!$A$3,"Week No",C$2)/GETPIVOTDATA("Count of Order Tracking: Order Tracking No",'Pivot Sign Off'!$A$3,"Week No",C$2)</f>
        <v>0.86928104575163401</v>
      </c>
      <c r="D10" s="15">
        <f>+GETPIVOTDATA("Sum of On Time",'Pivot Sign Off'!$A$3,"Week No",D$2)/GETPIVOTDATA("Count of Order Tracking: Order Tracking No",'Pivot Sign Off'!$A$3,"Week No",D$2)</f>
        <v>0.88349514563106801</v>
      </c>
      <c r="E10" s="15">
        <f>+GETPIVOTDATA("Sum of On Time",'Pivot Sign Off'!$A$3,"Week No",E$2)/GETPIVOTDATA("Count of Order Tracking: Order Tracking No",'Pivot Sign Off'!$A$3,"Week No",E$2)</f>
        <v>0.83750000000000002</v>
      </c>
      <c r="F10" s="15">
        <f>+GETPIVOTDATA("Sum of On Time",'Pivot Sign Off'!$A$3,"Week No",F$2)/GETPIVOTDATA("Count of Order Tracking: Order Tracking No",'Pivot Sign Off'!$A$3,"Week No",F$2)</f>
        <v>0.91304347826086951</v>
      </c>
      <c r="G10" s="15">
        <f>+GETPIVOTDATA("Sum of On Time",'Pivot Sign Off'!$A$3,"Week No",G$2)/GETPIVOTDATA("Count of Order Tracking: Order Tracking No",'Pivot Sign Off'!$A$3,"Week No",G$2)</f>
        <v>0.80701754385964908</v>
      </c>
      <c r="H10" s="15">
        <f>+GETPIVOTDATA("Sum of On Time",'Pivot Sign Off'!$A$3,"Week No",H$2)/GETPIVOTDATA("Count of Order Tracking: Order Tracking No",'Pivot Sign Off'!$A$3,"Week No",H$2)</f>
        <v>0.82352941176470584</v>
      </c>
      <c r="I10" s="15">
        <f>+GETPIVOTDATA("Sum of On Time",'Pivot Sign Off'!$A$3,"Week No",I$2)/GETPIVOTDATA("Count of Order Tracking: Order Tracking No",'Pivot Sign Off'!$A$3,"Week No",I$2)</f>
        <v>0.75555555555555554</v>
      </c>
      <c r="J10" s="15">
        <f>+GETPIVOTDATA("Sum of On Time",'Pivot Sign Off'!$A$3,"Week No",J$2)/GETPIVOTDATA("Count of Order Tracking: Order Tracking No",'Pivot Sign Off'!$A$3,"Week No",J$2)</f>
        <v>0.69230769230769229</v>
      </c>
      <c r="K10" s="15">
        <f>+GETPIVOTDATA("Sum of On Time",'Pivot Sign Off'!$A$3,"Week No",K$2)/GETPIVOTDATA("Count of Order Tracking: Order Tracking No",'Pivot Sign Off'!$A$3,"Week No",K$2)</f>
        <v>0.72549019607843135</v>
      </c>
      <c r="L10" s="15">
        <f>+GETPIVOTDATA("Sum of On Time",'Pivot Sign Off'!$A$3,"Week No",L$2)/GETPIVOTDATA("Count of Order Tracking: Order Tracking No",'Pivot Sign Off'!$A$3,"Week No",L$2)</f>
        <v>0.70833333333333337</v>
      </c>
      <c r="M10" s="15">
        <f>+GETPIVOTDATA("Sum of On Time",'Pivot Sign Off'!$A$3,"Week No",M$2)/GETPIVOTDATA("Count of Order Tracking: Order Tracking No",'Pivot Sign Off'!$A$3,"Week No",M$2)</f>
        <v>0.77272727272727271</v>
      </c>
      <c r="N10" s="15">
        <f>+GETPIVOTDATA("Sum of On Time",'Pivot Sign Off'!$A$3,"Week No",N$2)/GETPIVOTDATA("Count of Order Tracking: Order Tracking No",'Pivot Sign Off'!$A$3,"Week No",N$2)</f>
        <v>0.69047619047619047</v>
      </c>
      <c r="O10" s="15">
        <f>+GETPIVOTDATA("Sum of On Time",'Pivot Sign Off'!$A$3,"Week No",O$2)/GETPIVOTDATA("Count of Order Tracking: Order Tracking No",'Pivot Sign Off'!$A$3,"Week No",O$2)</f>
        <v>0.72727272727272729</v>
      </c>
      <c r="P10" s="15">
        <f>+GETPIVOTDATA("Sum of On Time",'Pivot Sign Off'!$A$3,"Week No",P$2)/GETPIVOTDATA("Count of Order Tracking: Order Tracking No",'Pivot Sign Off'!$A$3,"Week No",P$2)</f>
        <v>0.78</v>
      </c>
      <c r="Q10" s="15">
        <f>+GETPIVOTDATA("Sum of On Time",'Pivot Sign Off'!$A$3,"Week No",Q$2)/GETPIVOTDATA("Count of Order Tracking: Order Tracking No",'Pivot Sign Off'!$A$3,"Week No",Q$2)</f>
        <v>0.62857142857142856</v>
      </c>
      <c r="R10" s="15">
        <f>+GETPIVOTDATA("Sum of On Time",'Pivot Sign Off'!$A$3,"Week No",R$2)/GETPIVOTDATA("Count of Order Tracking: Order Tracking No",'Pivot Sign Off'!$A$3,"Week No",R$2)</f>
        <v>0.73076923076923073</v>
      </c>
      <c r="S10" s="15">
        <f>+GETPIVOTDATA("Sum of On Time",'Pivot Sign Off'!$A$3,"Week No",S$2)/GETPIVOTDATA("Count of Order Tracking: Order Tracking No",'Pivot Sign Off'!$A$3,"Week No",S$2)</f>
        <v>0.6901408450704225</v>
      </c>
      <c r="T10" s="15">
        <f>+GETPIVOTDATA("Sum of On Time",'Pivot Sign Off'!$A$3,"Week No",T$2)/GETPIVOTDATA("Count of Order Tracking: Order Tracking No",'Pivot Sign Off'!$A$3,"Week No",T$2)</f>
        <v>0.71111111111111114</v>
      </c>
      <c r="U10" s="15">
        <f>+GETPIVOTDATA("Sum of On Time",'Pivot Sign Off'!$A$3,"Week No",U$2)/GETPIVOTDATA("Count of Order Tracking: Order Tracking No",'Pivot Sign Off'!$A$3,"Week No",U$2)</f>
        <v>0.80952380952380953</v>
      </c>
      <c r="V10" s="15">
        <f>+GETPIVOTDATA("Sum of On Time",'Pivot Sign Off'!$A$3,"Week No",V$2)/GETPIVOTDATA("Count of Order Tracking: Order Tracking No",'Pivot Sign Off'!$A$3,"Week No",V$2)</f>
        <v>0.87755102040816324</v>
      </c>
      <c r="W10" s="15">
        <f>+GETPIVOTDATA("Sum of On Time",'Pivot Sign Off'!$A$3,"Week No",W$2)/GETPIVOTDATA("Count of Order Tracking: Order Tracking No",'Pivot Sign Off'!$A$3,"Week No",W$2)</f>
        <v>0.68085106382978722</v>
      </c>
      <c r="X10" s="15">
        <f>+GETPIVOTDATA("Sum of On Time",'Pivot Sign Off'!$A$3,"Week No",X$2)/GETPIVOTDATA("Count of Order Tracking: Order Tracking No",'Pivot Sign Off'!$A$3,"Week No",X$2)</f>
        <v>0.7</v>
      </c>
      <c r="Y10" s="15">
        <f>+GETPIVOTDATA("Sum of On Time",'Pivot Sign Off'!$A$3,"Week No",Y$2)/GETPIVOTDATA("Count of Order Tracking: Order Tracking No",'Pivot Sign Off'!$A$3,"Week No",Y$2)</f>
        <v>0.76363636363636367</v>
      </c>
      <c r="Z10" s="15">
        <f>+GETPIVOTDATA("Sum of On Time",'Pivot Sign Off'!$A$3,"Week No",Z$2)/GETPIVOTDATA("Count of Order Tracking: Order Tracking No",'Pivot Sign Off'!$A$3,"Week No",Z$2)</f>
        <v>0.68181818181818177</v>
      </c>
      <c r="AA10" s="15">
        <f>+GETPIVOTDATA("Sum of On Time",'Pivot Sign Off'!$A$3,"Week No",AA$2)/GETPIVOTDATA("Count of Order Tracking: Order Tracking No",'Pivot Sign Off'!$A$3,"Week No",AA$2)</f>
        <v>0.703125</v>
      </c>
      <c r="AB10" s="15">
        <f>+GETPIVOTDATA("Sum of On Time",'Pivot Sign Off'!$A$3,"Week No",AB$2)/GETPIVOTDATA("Count of Order Tracking: Order Tracking No",'Pivot Sign Off'!$A$3,"Week No",AB$2)</f>
        <v>0.64814814814814814</v>
      </c>
      <c r="AC10" s="15">
        <f>+GETPIVOTDATA("Sum of On Time",'Pivot Sign Off'!$A$3,"Week No",AC$2)/GETPIVOTDATA("Count of Order Tracking: Order Tracking No",'Pivot Sign Off'!$A$3,"Week No",AC$2)</f>
        <v>0.63265306122448983</v>
      </c>
      <c r="AD10" s="15">
        <f>+GETPIVOTDATA("Sum of On Time",'Pivot Sign Off'!$A$3,"Week No",AD$2)/GETPIVOTDATA("Count of Order Tracking: Order Tracking No",'Pivot Sign Off'!$A$3,"Week No",AD$2)</f>
        <v>0.58974358974358976</v>
      </c>
      <c r="AE10" s="15">
        <f>+GETPIVOTDATA("Sum of On Time",'Pivot Sign Off'!$A$3,"Week No",AE$2)/GETPIVOTDATA("Count of Order Tracking: Order Tracking No",'Pivot Sign Off'!$A$3,"Week No",AE$2)</f>
        <v>0.64912280701754388</v>
      </c>
      <c r="AF10" s="15">
        <f>+GETPIVOTDATA("Sum of On Time",'Pivot Sign Off'!$A$3,"Week No",AF$2)/GETPIVOTDATA("Count of Order Tracking: Order Tracking No",'Pivot Sign Off'!$A$3,"Week No",AF$2)</f>
        <v>0.52173913043478259</v>
      </c>
      <c r="AG10" s="15">
        <f>+GETPIVOTDATA("Sum of On Time",'Pivot Sign Off'!$A$3,"Week No",AG$2)/GETPIVOTDATA("Count of Order Tracking: Order Tracking No",'Pivot Sign Off'!$A$3,"Week No",AG$2)</f>
        <v>0.75510204081632648</v>
      </c>
      <c r="AH10" s="15">
        <f>+GETPIVOTDATA("Sum of On Time",'Pivot Sign Off'!$A$3,"Week No",AH$2)/GETPIVOTDATA("Count of Order Tracking: Order Tracking No",'Pivot Sign Off'!$A$3,"Week No",AH$2)</f>
        <v>0.77777777777777779</v>
      </c>
      <c r="AI10" s="15">
        <f>+GETPIVOTDATA("Sum of On Time",'Pivot Sign Off'!$A$3,"Week No",AI$2)/GETPIVOTDATA("Count of Order Tracking: Order Tracking No",'Pivot Sign Off'!$A$3,"Week No",AI$2)</f>
        <v>0.85106382978723405</v>
      </c>
      <c r="AJ10" s="15">
        <f>+GETPIVOTDATA("Sum of On Time",'Pivot Sign Off'!$A$3,"Week No",AJ$2)/GETPIVOTDATA("Count of Order Tracking: Order Tracking No",'Pivot Sign Off'!$A$3,"Week No",AJ$2)</f>
        <v>0.80555555555555558</v>
      </c>
      <c r="AK10" s="15">
        <f>+GETPIVOTDATA("Sum of On Time",'Pivot Sign Off'!$A$3,"Week No",AK$2)/GETPIVOTDATA("Count of Order Tracking: Order Tracking No",'Pivot Sign Off'!$A$3,"Week No",AK$2)</f>
        <v>0.78947368421052633</v>
      </c>
      <c r="AL10" s="15">
        <f>+GETPIVOTDATA("Sum of On Time",'Pivot Sign Off'!$A$3,"Week No",AL$2)/GETPIVOTDATA("Count of Order Tracking: Order Tracking No",'Pivot Sign Off'!$A$3,"Week No",AL$2)</f>
        <v>0.55319148936170215</v>
      </c>
      <c r="AM10" s="15">
        <f>+GETPIVOTDATA("Sum of On Time",'Pivot Sign Off'!$A$3,"Week No",AM$2)/GETPIVOTDATA("Count of Order Tracking: Order Tracking No",'Pivot Sign Off'!$A$3,"Week No",AM$2)</f>
        <v>0.80645161290322576</v>
      </c>
      <c r="AN10" s="15">
        <f>+GETPIVOTDATA("Sum of On Time",'Pivot Sign Off'!$A$3,"Week No",AN$2)/GETPIVOTDATA("Count of Order Tracking: Order Tracking No",'Pivot Sign Off'!$A$3,"Week No",AN$2)</f>
        <v>0.75</v>
      </c>
      <c r="AO10" s="15">
        <f>+GETPIVOTDATA("Sum of On Time",'Pivot Sign Off'!$A$3,"Week No",AO$2)/GETPIVOTDATA("Count of Order Tracking: Order Tracking No",'Pivot Sign Off'!$A$3,"Week No",AO$2)</f>
        <v>0.91666666666666663</v>
      </c>
      <c r="AP10" s="15">
        <f>+GETPIVOTDATA("Sum of On Time",'Pivot Sign Off'!$A$3,"Week No",AP$2)/GETPIVOTDATA("Count of Order Tracking: Order Tracking No",'Pivot Sign Off'!$A$3,"Week No",AP$2)</f>
        <v>0.875</v>
      </c>
      <c r="AQ10" s="15">
        <f>+GETPIVOTDATA("Sum of On Time",'Pivot Sign Off'!$A$3,"Week No",AQ$2)/GETPIVOTDATA("Count of Order Tracking: Order Tracking No",'Pivot Sign Off'!$A$3,"Week No",AQ$2)</f>
        <v>1</v>
      </c>
    </row>
    <row r="11" spans="2:53" x14ac:dyDescent="0.3">
      <c r="B11" t="s">
        <v>1184</v>
      </c>
      <c r="C11" s="17">
        <f>+GETPIVOTDATA("Sum of On Time",'Pivot Sign Off'!$A$3,"Week No",C$2)</f>
        <v>133</v>
      </c>
      <c r="D11" s="17">
        <f>+GETPIVOTDATA("Sum of On Time",'Pivot Sign Off'!$A$3,"Week No",D$2)</f>
        <v>91</v>
      </c>
      <c r="E11" s="17">
        <f>+GETPIVOTDATA("Sum of On Time",'Pivot Sign Off'!$A$3,"Week No",E$2)</f>
        <v>67</v>
      </c>
      <c r="F11" s="17">
        <f>+GETPIVOTDATA("Sum of On Time",'Pivot Sign Off'!$A$3,"Week No",F$2)</f>
        <v>42</v>
      </c>
      <c r="G11" s="17">
        <f>+GETPIVOTDATA("Sum of On Time",'Pivot Sign Off'!$A$3,"Week No",G$2)</f>
        <v>46</v>
      </c>
      <c r="H11" s="17">
        <f>+GETPIVOTDATA("Sum of On Time",'Pivot Sign Off'!$A$3,"Week No",H$2)</f>
        <v>42</v>
      </c>
      <c r="I11" s="17">
        <f>+GETPIVOTDATA("Sum of On Time",'Pivot Sign Off'!$A$3,"Week No",I$2)</f>
        <v>34</v>
      </c>
      <c r="J11" s="17">
        <f>+GETPIVOTDATA("Sum of On Time",'Pivot Sign Off'!$A$3,"Week No",J$2)</f>
        <v>36</v>
      </c>
      <c r="K11" s="17">
        <f>+GETPIVOTDATA("Sum of On Time",'Pivot Sign Off'!$A$3,"Week No",K$2)</f>
        <v>37</v>
      </c>
      <c r="L11" s="17">
        <f>+GETPIVOTDATA("Sum of On Time",'Pivot Sign Off'!$A$3,"Week No",L$2)</f>
        <v>34</v>
      </c>
      <c r="M11" s="17">
        <f>+GETPIVOTDATA("Sum of On Time",'Pivot Sign Off'!$A$3,"Week No",M$2)</f>
        <v>34</v>
      </c>
      <c r="N11" s="17">
        <f>+GETPIVOTDATA("Sum of On Time",'Pivot Sign Off'!$A$3,"Week No",N$2)</f>
        <v>29</v>
      </c>
      <c r="O11" s="17">
        <f>+GETPIVOTDATA("Sum of On Time",'Pivot Sign Off'!$A$3,"Week No",O$2)</f>
        <v>32</v>
      </c>
      <c r="P11" s="17">
        <f>+GETPIVOTDATA("Sum of On Time",'Pivot Sign Off'!$A$3,"Week No",P$2)</f>
        <v>39</v>
      </c>
      <c r="Q11" s="17">
        <f>+GETPIVOTDATA("Sum of On Time",'Pivot Sign Off'!$A$3,"Week No",Q$2)</f>
        <v>22</v>
      </c>
      <c r="R11" s="17">
        <f>+GETPIVOTDATA("Sum of On Time",'Pivot Sign Off'!$A$3,"Week No",R$2)</f>
        <v>19</v>
      </c>
      <c r="S11" s="17">
        <f>+GETPIVOTDATA("Sum of On Time",'Pivot Sign Off'!$A$3,"Week No",S$2)</f>
        <v>49</v>
      </c>
      <c r="T11" s="17">
        <f>+GETPIVOTDATA("Sum of On Time",'Pivot Sign Off'!$A$3,"Week No",T$2)</f>
        <v>32</v>
      </c>
      <c r="U11" s="17">
        <f>+GETPIVOTDATA("Sum of On Time",'Pivot Sign Off'!$A$3,"Week No",U$2)</f>
        <v>34</v>
      </c>
      <c r="V11" s="17">
        <f>+GETPIVOTDATA("Sum of On Time",'Pivot Sign Off'!$A$3,"Week No",V$2)</f>
        <v>43</v>
      </c>
      <c r="W11" s="17">
        <f>+GETPIVOTDATA("Sum of On Time",'Pivot Sign Off'!$A$3,"Week No",W$2)</f>
        <v>32</v>
      </c>
      <c r="X11" s="17">
        <f>+GETPIVOTDATA("Sum of On Time",'Pivot Sign Off'!$A$3,"Week No",X$2)</f>
        <v>21</v>
      </c>
      <c r="Y11" s="17">
        <f>+GETPIVOTDATA("Sum of On Time",'Pivot Sign Off'!$A$3,"Week No",Y$2)</f>
        <v>42</v>
      </c>
      <c r="Z11" s="17">
        <f>+GETPIVOTDATA("Sum of On Time",'Pivot Sign Off'!$A$3,"Week No",Z$2)</f>
        <v>45</v>
      </c>
      <c r="AA11" s="17">
        <f>+GETPIVOTDATA("Sum of On Time",'Pivot Sign Off'!$A$3,"Week No",AA$2)</f>
        <v>45</v>
      </c>
      <c r="AB11" s="17">
        <f>+GETPIVOTDATA("Sum of On Time",'Pivot Sign Off'!$A$3,"Week No",AB$2)</f>
        <v>35</v>
      </c>
      <c r="AC11" s="17">
        <f>+GETPIVOTDATA("Sum of On Time",'Pivot Sign Off'!$A$3,"Week No",AC$2)</f>
        <v>31</v>
      </c>
      <c r="AD11" s="17">
        <f>+GETPIVOTDATA("Sum of On Time",'Pivot Sign Off'!$A$3,"Week No",AD$2)</f>
        <v>23</v>
      </c>
      <c r="AE11" s="17">
        <f>+GETPIVOTDATA("Sum of On Time",'Pivot Sign Off'!$A$3,"Week No",AE$2)</f>
        <v>37</v>
      </c>
      <c r="AF11" s="17">
        <f>+GETPIVOTDATA("Sum of On Time",'Pivot Sign Off'!$A$3,"Week No",AF$2)</f>
        <v>24</v>
      </c>
      <c r="AG11" s="17">
        <f>+GETPIVOTDATA("Sum of On Time",'Pivot Sign Off'!$A$3,"Week No",AG$2)</f>
        <v>37</v>
      </c>
      <c r="AH11" s="17">
        <f>+GETPIVOTDATA("Sum of On Time",'Pivot Sign Off'!$A$3,"Week No",AH$2)</f>
        <v>35</v>
      </c>
      <c r="AI11" s="17">
        <f>+GETPIVOTDATA("Sum of On Time",'Pivot Sign Off'!$A$3,"Week No",AI$2)</f>
        <v>40</v>
      </c>
      <c r="AJ11" s="17">
        <f>+GETPIVOTDATA("Sum of On Time",'Pivot Sign Off'!$A$3,"Week No",AJ$2)</f>
        <v>29</v>
      </c>
      <c r="AK11" s="17">
        <f>+GETPIVOTDATA("Sum of On Time",'Pivot Sign Off'!$A$3,"Week No",AK$2)</f>
        <v>30</v>
      </c>
      <c r="AL11" s="17">
        <f>+GETPIVOTDATA("Sum of On Time",'Pivot Sign Off'!$A$3,"Week No",AL$2)</f>
        <v>26</v>
      </c>
      <c r="AM11" s="17">
        <f>+GETPIVOTDATA("Sum of On Time",'Pivot Sign Off'!$A$3,"Week No",AM$2)</f>
        <v>25</v>
      </c>
      <c r="AN11" s="17">
        <f>+GETPIVOTDATA("Sum of On Time",'Pivot Sign Off'!$A$3,"Week No",AN$2)</f>
        <v>39</v>
      </c>
      <c r="AO11" s="17">
        <f>+GETPIVOTDATA("Sum of On Time",'Pivot Sign Off'!$A$3,"Week No",AO$2)</f>
        <v>44</v>
      </c>
      <c r="AP11" s="17">
        <f>+GETPIVOTDATA("Sum of On Time",'Pivot Sign Off'!$A$3,"Week No",AP$2)</f>
        <v>49</v>
      </c>
      <c r="AQ11" s="17">
        <f>+GETPIVOTDATA("Sum of On Time",'Pivot Sign Off'!$A$3,"Week No",AQ$2)</f>
        <v>51</v>
      </c>
    </row>
    <row r="12" spans="2:53" x14ac:dyDescent="0.3">
      <c r="B12" t="s">
        <v>4885</v>
      </c>
      <c r="C12" s="17">
        <f>GETPIVOTDATA("Count of Order Tracking: Order Tracking No",'Pivot Sign Off'!$A$3,"Week No",C$2)</f>
        <v>153</v>
      </c>
      <c r="D12" s="17">
        <f>GETPIVOTDATA("Count of Order Tracking: Order Tracking No",'Pivot Sign Off'!$A$3,"Week No",D$2)</f>
        <v>103</v>
      </c>
      <c r="E12" s="17">
        <f>GETPIVOTDATA("Count of Order Tracking: Order Tracking No",'Pivot Sign Off'!$A$3,"Week No",E$2)</f>
        <v>80</v>
      </c>
      <c r="F12" s="17">
        <f>GETPIVOTDATA("Count of Order Tracking: Order Tracking No",'Pivot Sign Off'!$A$3,"Week No",F$2)</f>
        <v>46</v>
      </c>
      <c r="G12" s="17">
        <f>GETPIVOTDATA("Count of Order Tracking: Order Tracking No",'Pivot Sign Off'!$A$3,"Week No",G$2)</f>
        <v>57</v>
      </c>
      <c r="H12" s="17">
        <f>GETPIVOTDATA("Count of Order Tracking: Order Tracking No",'Pivot Sign Off'!$A$3,"Week No",H$2)</f>
        <v>51</v>
      </c>
      <c r="I12" s="17">
        <f>GETPIVOTDATA("Count of Order Tracking: Order Tracking No",'Pivot Sign Off'!$A$3,"Week No",I$2)</f>
        <v>45</v>
      </c>
      <c r="J12" s="17">
        <f>GETPIVOTDATA("Count of Order Tracking: Order Tracking No",'Pivot Sign Off'!$A$3,"Week No",J$2)</f>
        <v>52</v>
      </c>
      <c r="K12" s="17">
        <f>GETPIVOTDATA("Count of Order Tracking: Order Tracking No",'Pivot Sign Off'!$A$3,"Week No",K$2)</f>
        <v>51</v>
      </c>
      <c r="L12" s="17">
        <f>GETPIVOTDATA("Count of Order Tracking: Order Tracking No",'Pivot Sign Off'!$A$3,"Week No",L$2)</f>
        <v>48</v>
      </c>
      <c r="M12" s="17">
        <f>GETPIVOTDATA("Count of Order Tracking: Order Tracking No",'Pivot Sign Off'!$A$3,"Week No",M$2)</f>
        <v>44</v>
      </c>
      <c r="N12" s="17">
        <f>GETPIVOTDATA("Count of Order Tracking: Order Tracking No",'Pivot Sign Off'!$A$3,"Week No",N$2)</f>
        <v>42</v>
      </c>
      <c r="O12" s="17">
        <f>GETPIVOTDATA("Count of Order Tracking: Order Tracking No",'Pivot Sign Off'!$A$3,"Week No",O$2)</f>
        <v>44</v>
      </c>
      <c r="P12" s="17">
        <f>GETPIVOTDATA("Count of Order Tracking: Order Tracking No",'Pivot Sign Off'!$A$3,"Week No",P$2)</f>
        <v>50</v>
      </c>
      <c r="Q12" s="17">
        <f>GETPIVOTDATA("Count of Order Tracking: Order Tracking No",'Pivot Sign Off'!$A$3,"Week No",Q$2)</f>
        <v>35</v>
      </c>
      <c r="R12" s="17">
        <f>GETPIVOTDATA("Count of Order Tracking: Order Tracking No",'Pivot Sign Off'!$A$3,"Week No",R$2)</f>
        <v>26</v>
      </c>
      <c r="S12" s="17">
        <f>GETPIVOTDATA("Count of Order Tracking: Order Tracking No",'Pivot Sign Off'!$A$3,"Week No",S$2)</f>
        <v>71</v>
      </c>
      <c r="T12" s="17">
        <f>GETPIVOTDATA("Count of Order Tracking: Order Tracking No",'Pivot Sign Off'!$A$3,"Week No",T$2)</f>
        <v>45</v>
      </c>
      <c r="U12" s="17">
        <f>GETPIVOTDATA("Count of Order Tracking: Order Tracking No",'Pivot Sign Off'!$A$3,"Week No",U$2)</f>
        <v>42</v>
      </c>
      <c r="V12" s="17">
        <f>GETPIVOTDATA("Count of Order Tracking: Order Tracking No",'Pivot Sign Off'!$A$3,"Week No",V$2)</f>
        <v>49</v>
      </c>
      <c r="W12" s="17">
        <f>GETPIVOTDATA("Count of Order Tracking: Order Tracking No",'Pivot Sign Off'!$A$3,"Week No",W$2)</f>
        <v>47</v>
      </c>
      <c r="X12" s="17">
        <f>GETPIVOTDATA("Count of Order Tracking: Order Tracking No",'Pivot Sign Off'!$A$3,"Week No",X$2)</f>
        <v>30</v>
      </c>
      <c r="Y12" s="17">
        <f>GETPIVOTDATA("Count of Order Tracking: Order Tracking No",'Pivot Sign Off'!$A$3,"Week No",Y$2)</f>
        <v>55</v>
      </c>
      <c r="Z12" s="17">
        <f>GETPIVOTDATA("Count of Order Tracking: Order Tracking No",'Pivot Sign Off'!$A$3,"Week No",Z$2)</f>
        <v>66</v>
      </c>
      <c r="AA12" s="17">
        <f>GETPIVOTDATA("Count of Order Tracking: Order Tracking No",'Pivot Sign Off'!$A$3,"Week No",AA$2)</f>
        <v>64</v>
      </c>
      <c r="AB12" s="17">
        <f>GETPIVOTDATA("Count of Order Tracking: Order Tracking No",'Pivot Sign Off'!$A$3,"Week No",AB$2)</f>
        <v>54</v>
      </c>
      <c r="AC12" s="17">
        <f>GETPIVOTDATA("Count of Order Tracking: Order Tracking No",'Pivot Sign Off'!$A$3,"Week No",AC$2)</f>
        <v>49</v>
      </c>
      <c r="AD12" s="17">
        <f>GETPIVOTDATA("Count of Order Tracking: Order Tracking No",'Pivot Sign Off'!$A$3,"Week No",AD$2)</f>
        <v>39</v>
      </c>
      <c r="AE12" s="17">
        <f>GETPIVOTDATA("Count of Order Tracking: Order Tracking No",'Pivot Sign Off'!$A$3,"Week No",AE$2)</f>
        <v>57</v>
      </c>
      <c r="AF12" s="17">
        <f>GETPIVOTDATA("Count of Order Tracking: Order Tracking No",'Pivot Sign Off'!$A$3,"Week No",AF$2)</f>
        <v>46</v>
      </c>
      <c r="AG12" s="17">
        <f>GETPIVOTDATA("Count of Order Tracking: Order Tracking No",'Pivot Sign Off'!$A$3,"Week No",AG$2)</f>
        <v>49</v>
      </c>
      <c r="AH12" s="17">
        <f>GETPIVOTDATA("Count of Order Tracking: Order Tracking No",'Pivot Sign Off'!$A$3,"Week No",AH$2)</f>
        <v>45</v>
      </c>
      <c r="AI12" s="17">
        <f>GETPIVOTDATA("Count of Order Tracking: Order Tracking No",'Pivot Sign Off'!$A$3,"Week No",AI$2)</f>
        <v>47</v>
      </c>
      <c r="AJ12" s="17">
        <f>GETPIVOTDATA("Count of Order Tracking: Order Tracking No",'Pivot Sign Off'!$A$3,"Week No",AJ$2)</f>
        <v>36</v>
      </c>
      <c r="AK12" s="17">
        <f>GETPIVOTDATA("Count of Order Tracking: Order Tracking No",'Pivot Sign Off'!$A$3,"Week No",AK$2)</f>
        <v>38</v>
      </c>
      <c r="AL12" s="17">
        <f>GETPIVOTDATA("Count of Order Tracking: Order Tracking No",'Pivot Sign Off'!$A$3,"Week No",AL$2)</f>
        <v>47</v>
      </c>
      <c r="AM12" s="17">
        <f>GETPIVOTDATA("Count of Order Tracking: Order Tracking No",'Pivot Sign Off'!$A$3,"Week No",AM$2)</f>
        <v>31</v>
      </c>
      <c r="AN12" s="17">
        <f>GETPIVOTDATA("Count of Order Tracking: Order Tracking No",'Pivot Sign Off'!$A$3,"Week No",AN$2)</f>
        <v>52</v>
      </c>
      <c r="AO12" s="17">
        <f>GETPIVOTDATA("Count of Order Tracking: Order Tracking No",'Pivot Sign Off'!$A$3,"Week No",AO$2)</f>
        <v>48</v>
      </c>
      <c r="AP12" s="17">
        <f>GETPIVOTDATA("Count of Order Tracking: Order Tracking No",'Pivot Sign Off'!$A$3,"Week No",AP$2)</f>
        <v>56</v>
      </c>
      <c r="AQ12" s="17">
        <f>GETPIVOTDATA("Count of Order Tracking: Order Tracking No",'Pivot Sign Off'!$A$3,"Week No",AQ$2)</f>
        <v>51</v>
      </c>
    </row>
    <row r="13" spans="2:53" x14ac:dyDescent="0.3">
      <c r="C13" s="15">
        <f>+C11/C12</f>
        <v>0.86928104575163401</v>
      </c>
      <c r="D13" s="15">
        <f t="shared" ref="D13:AB13" si="9">+D11/D12</f>
        <v>0.88349514563106801</v>
      </c>
      <c r="E13" s="15">
        <f t="shared" si="9"/>
        <v>0.83750000000000002</v>
      </c>
      <c r="F13" s="15">
        <f t="shared" si="9"/>
        <v>0.91304347826086951</v>
      </c>
      <c r="G13" s="15">
        <f t="shared" si="9"/>
        <v>0.80701754385964908</v>
      </c>
      <c r="H13" s="15">
        <f t="shared" si="9"/>
        <v>0.82352941176470584</v>
      </c>
      <c r="I13" s="15">
        <f t="shared" si="9"/>
        <v>0.75555555555555554</v>
      </c>
      <c r="J13" s="15">
        <f t="shared" si="9"/>
        <v>0.69230769230769229</v>
      </c>
      <c r="K13" s="15">
        <f t="shared" si="9"/>
        <v>0.72549019607843135</v>
      </c>
      <c r="L13" s="15">
        <f t="shared" si="9"/>
        <v>0.70833333333333337</v>
      </c>
      <c r="M13" s="15">
        <f t="shared" si="9"/>
        <v>0.77272727272727271</v>
      </c>
      <c r="N13" s="15">
        <f t="shared" si="9"/>
        <v>0.69047619047619047</v>
      </c>
      <c r="O13" s="15">
        <f t="shared" si="9"/>
        <v>0.72727272727272729</v>
      </c>
      <c r="P13" s="15">
        <f t="shared" si="9"/>
        <v>0.78</v>
      </c>
      <c r="Q13" s="15">
        <f t="shared" si="9"/>
        <v>0.62857142857142856</v>
      </c>
      <c r="R13" s="15">
        <f t="shared" si="9"/>
        <v>0.73076923076923073</v>
      </c>
      <c r="S13" s="15">
        <f t="shared" si="9"/>
        <v>0.6901408450704225</v>
      </c>
      <c r="T13" s="15">
        <f t="shared" si="9"/>
        <v>0.71111111111111114</v>
      </c>
      <c r="U13" s="15">
        <f t="shared" si="9"/>
        <v>0.80952380952380953</v>
      </c>
      <c r="V13" s="15">
        <f t="shared" si="9"/>
        <v>0.87755102040816324</v>
      </c>
      <c r="W13" s="15">
        <f t="shared" si="9"/>
        <v>0.68085106382978722</v>
      </c>
      <c r="X13" s="15">
        <f t="shared" si="9"/>
        <v>0.7</v>
      </c>
      <c r="Y13" s="15">
        <f t="shared" si="9"/>
        <v>0.76363636363636367</v>
      </c>
      <c r="Z13" s="15">
        <f t="shared" si="9"/>
        <v>0.68181818181818177</v>
      </c>
      <c r="AA13" s="15">
        <f t="shared" si="9"/>
        <v>0.703125</v>
      </c>
      <c r="AB13" s="15">
        <f t="shared" si="9"/>
        <v>0.64814814814814814</v>
      </c>
      <c r="AC13" s="15">
        <f t="shared" ref="AC13:AD13" si="10">+AC11/AC12</f>
        <v>0.63265306122448983</v>
      </c>
      <c r="AD13" s="15">
        <f t="shared" si="10"/>
        <v>0.58974358974358976</v>
      </c>
      <c r="AE13" s="15">
        <f t="shared" ref="AE13:AF13" si="11">+AE11/AE12</f>
        <v>0.64912280701754388</v>
      </c>
      <c r="AF13" s="15">
        <f t="shared" si="11"/>
        <v>0.52173913043478259</v>
      </c>
      <c r="AG13" s="15">
        <f t="shared" ref="AG13:AH13" si="12">+AG11/AG12</f>
        <v>0.75510204081632648</v>
      </c>
      <c r="AH13" s="15">
        <f t="shared" si="12"/>
        <v>0.77777777777777779</v>
      </c>
      <c r="AI13" s="15">
        <f t="shared" ref="AI13:AJ13" si="13">+AI11/AI12</f>
        <v>0.85106382978723405</v>
      </c>
      <c r="AJ13" s="15">
        <f t="shared" si="13"/>
        <v>0.80555555555555558</v>
      </c>
      <c r="AK13" s="15">
        <f t="shared" ref="AK13:AL13" si="14">+AK11/AK12</f>
        <v>0.78947368421052633</v>
      </c>
      <c r="AL13" s="15">
        <f t="shared" si="14"/>
        <v>0.55319148936170215</v>
      </c>
      <c r="AM13" s="15">
        <f t="shared" ref="AM13:AN13" si="15">+AM11/AM12</f>
        <v>0.80645161290322576</v>
      </c>
      <c r="AN13" s="15">
        <f t="shared" si="15"/>
        <v>0.75</v>
      </c>
      <c r="AO13" s="15">
        <f t="shared" ref="AO13:AP13" si="16">+AO11/AO12</f>
        <v>0.91666666666666663</v>
      </c>
      <c r="AP13" s="15">
        <f t="shared" si="16"/>
        <v>0.875</v>
      </c>
      <c r="AQ13" s="15">
        <f t="shared" ref="AQ13" si="17">+AQ11/AQ12</f>
        <v>1</v>
      </c>
    </row>
    <row r="16" spans="2:53" x14ac:dyDescent="0.3">
      <c r="B16" t="s">
        <v>4889</v>
      </c>
    </row>
    <row r="17" spans="2:18" x14ac:dyDescent="0.3">
      <c r="B17" t="s">
        <v>4890</v>
      </c>
    </row>
    <row r="18" spans="2:18" x14ac:dyDescent="0.3">
      <c r="B18" t="s">
        <v>4891</v>
      </c>
      <c r="R18">
        <v>24</v>
      </c>
    </row>
    <row r="19" spans="2:18" x14ac:dyDescent="0.3">
      <c r="B19" t="s">
        <v>4892</v>
      </c>
      <c r="R19">
        <v>25</v>
      </c>
    </row>
    <row r="20" spans="2:18" x14ac:dyDescent="0.3">
      <c r="B20" t="s">
        <v>4893</v>
      </c>
      <c r="R20">
        <f>+R18/R19</f>
        <v>0.96</v>
      </c>
    </row>
  </sheetData>
  <pageMargins left="0.7" right="0.7" top="0.75" bottom="0.75" header="0.3" footer="0.3"/>
  <headerFooter>
    <oddFooter>&amp;C_x000D_&amp;1#&amp;"Aptos"&amp;10&amp;K000000 Classification: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ECB0-1ED7-45B1-969B-A595AA37EBF3}">
  <dimension ref="A2:D46"/>
  <sheetViews>
    <sheetView workbookViewId="0">
      <selection activeCell="B7" sqref="B7"/>
    </sheetView>
  </sheetViews>
  <sheetFormatPr defaultRowHeight="14.4" x14ac:dyDescent="0.3"/>
  <cols>
    <col min="1" max="1" width="13" bestFit="1" customWidth="1"/>
    <col min="2" max="2" width="28.33203125" bestFit="1" customWidth="1"/>
    <col min="3" max="3" width="10" bestFit="1" customWidth="1"/>
    <col min="4" max="68" width="39.109375" bestFit="1" customWidth="1"/>
    <col min="69" max="69" width="44" bestFit="1" customWidth="1"/>
    <col min="70" max="70" width="19.6640625" bestFit="1" customWidth="1"/>
  </cols>
  <sheetData>
    <row r="2" spans="1:4" x14ac:dyDescent="0.3">
      <c r="D2" t="s">
        <v>4025</v>
      </c>
    </row>
    <row r="3" spans="1:4" ht="75.599999999999994" customHeight="1" x14ac:dyDescent="0.3">
      <c r="A3" s="16" t="s">
        <v>40</v>
      </c>
      <c r="B3" s="18" t="s">
        <v>4022</v>
      </c>
      <c r="C3" s="18" t="s">
        <v>4023</v>
      </c>
    </row>
    <row r="4" spans="1:4" x14ac:dyDescent="0.3">
      <c r="A4" s="3" t="s">
        <v>41</v>
      </c>
    </row>
    <row r="5" spans="1:4" x14ac:dyDescent="0.3">
      <c r="A5" s="3">
        <v>2</v>
      </c>
      <c r="B5">
        <v>153</v>
      </c>
      <c r="C5">
        <v>141</v>
      </c>
    </row>
    <row r="6" spans="1:4" x14ac:dyDescent="0.3">
      <c r="A6" s="3">
        <v>3</v>
      </c>
      <c r="B6">
        <v>103</v>
      </c>
      <c r="C6">
        <v>98</v>
      </c>
    </row>
    <row r="7" spans="1:4" x14ac:dyDescent="0.3">
      <c r="A7" s="3">
        <v>4</v>
      </c>
      <c r="B7">
        <v>80</v>
      </c>
      <c r="C7">
        <v>55</v>
      </c>
    </row>
    <row r="8" spans="1:4" x14ac:dyDescent="0.3">
      <c r="A8" s="3">
        <v>5</v>
      </c>
      <c r="B8">
        <v>46</v>
      </c>
      <c r="C8">
        <v>15</v>
      </c>
    </row>
    <row r="9" spans="1:4" x14ac:dyDescent="0.3">
      <c r="A9" s="3">
        <v>6</v>
      </c>
      <c r="B9">
        <v>57</v>
      </c>
      <c r="C9">
        <v>32</v>
      </c>
    </row>
    <row r="10" spans="1:4" x14ac:dyDescent="0.3">
      <c r="A10" s="3">
        <v>7</v>
      </c>
      <c r="B10">
        <v>51</v>
      </c>
      <c r="C10">
        <v>30</v>
      </c>
    </row>
    <row r="11" spans="1:4" x14ac:dyDescent="0.3">
      <c r="A11" s="3">
        <v>8</v>
      </c>
      <c r="B11">
        <v>45</v>
      </c>
      <c r="C11">
        <v>28</v>
      </c>
    </row>
    <row r="12" spans="1:4" x14ac:dyDescent="0.3">
      <c r="A12" s="3">
        <v>9</v>
      </c>
      <c r="B12">
        <v>52</v>
      </c>
      <c r="C12">
        <v>34</v>
      </c>
    </row>
    <row r="13" spans="1:4" x14ac:dyDescent="0.3">
      <c r="A13" s="3">
        <v>10</v>
      </c>
      <c r="B13">
        <v>51</v>
      </c>
      <c r="C13">
        <v>21</v>
      </c>
    </row>
    <row r="14" spans="1:4" x14ac:dyDescent="0.3">
      <c r="A14" s="3">
        <v>11</v>
      </c>
      <c r="B14">
        <v>48</v>
      </c>
      <c r="C14">
        <v>27</v>
      </c>
    </row>
    <row r="15" spans="1:4" x14ac:dyDescent="0.3">
      <c r="A15" s="3">
        <v>12</v>
      </c>
      <c r="B15">
        <v>44</v>
      </c>
      <c r="C15">
        <v>22</v>
      </c>
    </row>
    <row r="16" spans="1:4" x14ac:dyDescent="0.3">
      <c r="A16" s="3">
        <v>13</v>
      </c>
      <c r="B16">
        <v>42</v>
      </c>
      <c r="C16">
        <v>26</v>
      </c>
    </row>
    <row r="17" spans="1:3" x14ac:dyDescent="0.3">
      <c r="A17" s="3">
        <v>14</v>
      </c>
      <c r="B17">
        <v>44</v>
      </c>
      <c r="C17">
        <v>28</v>
      </c>
    </row>
    <row r="18" spans="1:3" x14ac:dyDescent="0.3">
      <c r="A18" s="3">
        <v>15</v>
      </c>
      <c r="B18">
        <v>50</v>
      </c>
      <c r="C18">
        <v>41</v>
      </c>
    </row>
    <row r="19" spans="1:3" x14ac:dyDescent="0.3">
      <c r="A19" s="3">
        <v>16</v>
      </c>
      <c r="B19">
        <v>35</v>
      </c>
      <c r="C19">
        <v>21</v>
      </c>
    </row>
    <row r="20" spans="1:3" x14ac:dyDescent="0.3">
      <c r="A20" s="3">
        <v>17</v>
      </c>
      <c r="B20">
        <v>26</v>
      </c>
      <c r="C20">
        <v>11</v>
      </c>
    </row>
    <row r="21" spans="1:3" x14ac:dyDescent="0.3">
      <c r="A21" s="3">
        <v>18</v>
      </c>
      <c r="B21">
        <v>71</v>
      </c>
      <c r="C21">
        <v>29</v>
      </c>
    </row>
    <row r="22" spans="1:3" x14ac:dyDescent="0.3">
      <c r="A22" s="3">
        <v>19</v>
      </c>
      <c r="B22">
        <v>45</v>
      </c>
      <c r="C22">
        <v>39</v>
      </c>
    </row>
    <row r="23" spans="1:3" x14ac:dyDescent="0.3">
      <c r="A23" s="3">
        <v>20</v>
      </c>
      <c r="B23">
        <v>42</v>
      </c>
      <c r="C23">
        <v>39</v>
      </c>
    </row>
    <row r="24" spans="1:3" x14ac:dyDescent="0.3">
      <c r="A24" s="3">
        <v>21</v>
      </c>
      <c r="B24">
        <v>49</v>
      </c>
      <c r="C24">
        <v>41</v>
      </c>
    </row>
    <row r="25" spans="1:3" x14ac:dyDescent="0.3">
      <c r="A25" s="3">
        <v>22</v>
      </c>
      <c r="B25">
        <v>47</v>
      </c>
      <c r="C25">
        <v>32</v>
      </c>
    </row>
    <row r="26" spans="1:3" x14ac:dyDescent="0.3">
      <c r="A26" s="3">
        <v>23</v>
      </c>
      <c r="B26">
        <v>30</v>
      </c>
      <c r="C26">
        <v>15</v>
      </c>
    </row>
    <row r="27" spans="1:3" x14ac:dyDescent="0.3">
      <c r="A27" s="3">
        <v>24</v>
      </c>
      <c r="B27">
        <v>55</v>
      </c>
      <c r="C27">
        <v>28</v>
      </c>
    </row>
    <row r="28" spans="1:3" x14ac:dyDescent="0.3">
      <c r="A28" s="3">
        <v>25</v>
      </c>
      <c r="B28">
        <v>66</v>
      </c>
      <c r="C28">
        <v>36</v>
      </c>
    </row>
    <row r="29" spans="1:3" x14ac:dyDescent="0.3">
      <c r="A29" s="3">
        <v>26</v>
      </c>
      <c r="B29">
        <v>64</v>
      </c>
      <c r="C29">
        <v>45</v>
      </c>
    </row>
    <row r="30" spans="1:3" x14ac:dyDescent="0.3">
      <c r="A30" s="3">
        <v>27</v>
      </c>
      <c r="B30">
        <v>54</v>
      </c>
      <c r="C30">
        <v>33</v>
      </c>
    </row>
    <row r="31" spans="1:3" x14ac:dyDescent="0.3">
      <c r="A31" s="3">
        <v>28</v>
      </c>
      <c r="B31">
        <v>49</v>
      </c>
      <c r="C31">
        <v>33</v>
      </c>
    </row>
    <row r="32" spans="1:3" x14ac:dyDescent="0.3">
      <c r="A32" s="3">
        <v>29</v>
      </c>
      <c r="B32">
        <v>39</v>
      </c>
      <c r="C32">
        <v>17</v>
      </c>
    </row>
    <row r="33" spans="1:3" x14ac:dyDescent="0.3">
      <c r="A33" s="3">
        <v>30</v>
      </c>
      <c r="B33">
        <v>57</v>
      </c>
      <c r="C33">
        <v>37</v>
      </c>
    </row>
    <row r="34" spans="1:3" x14ac:dyDescent="0.3">
      <c r="A34" s="3">
        <v>31</v>
      </c>
      <c r="B34">
        <v>46</v>
      </c>
      <c r="C34">
        <v>26</v>
      </c>
    </row>
    <row r="35" spans="1:3" x14ac:dyDescent="0.3">
      <c r="A35" s="3">
        <v>32</v>
      </c>
      <c r="B35">
        <v>49</v>
      </c>
      <c r="C35">
        <v>23</v>
      </c>
    </row>
    <row r="36" spans="1:3" x14ac:dyDescent="0.3">
      <c r="A36" s="3">
        <v>33</v>
      </c>
      <c r="B36">
        <v>45</v>
      </c>
      <c r="C36">
        <v>22</v>
      </c>
    </row>
    <row r="37" spans="1:3" x14ac:dyDescent="0.3">
      <c r="A37" s="3">
        <v>34</v>
      </c>
      <c r="B37">
        <v>47</v>
      </c>
      <c r="C37">
        <v>26</v>
      </c>
    </row>
    <row r="38" spans="1:3" x14ac:dyDescent="0.3">
      <c r="A38" s="3">
        <v>35</v>
      </c>
      <c r="B38">
        <v>36</v>
      </c>
      <c r="C38">
        <v>25</v>
      </c>
    </row>
    <row r="39" spans="1:3" x14ac:dyDescent="0.3">
      <c r="A39" s="3">
        <v>36</v>
      </c>
      <c r="B39">
        <v>38</v>
      </c>
      <c r="C39">
        <v>29</v>
      </c>
    </row>
    <row r="40" spans="1:3" x14ac:dyDescent="0.3">
      <c r="A40" s="3">
        <v>37</v>
      </c>
      <c r="B40">
        <v>47</v>
      </c>
      <c r="C40">
        <v>31</v>
      </c>
    </row>
    <row r="41" spans="1:3" x14ac:dyDescent="0.3">
      <c r="A41" s="3">
        <v>38</v>
      </c>
      <c r="B41">
        <v>31</v>
      </c>
      <c r="C41">
        <v>12</v>
      </c>
    </row>
    <row r="42" spans="1:3" x14ac:dyDescent="0.3">
      <c r="A42" s="3">
        <v>39</v>
      </c>
      <c r="B42">
        <v>52</v>
      </c>
      <c r="C42">
        <v>30</v>
      </c>
    </row>
    <row r="43" spans="1:3" x14ac:dyDescent="0.3">
      <c r="A43" s="3">
        <v>40</v>
      </c>
      <c r="B43">
        <v>48</v>
      </c>
      <c r="C43">
        <v>48</v>
      </c>
    </row>
    <row r="44" spans="1:3" x14ac:dyDescent="0.3">
      <c r="A44" s="3">
        <v>41</v>
      </c>
      <c r="B44">
        <v>56</v>
      </c>
      <c r="C44">
        <v>56</v>
      </c>
    </row>
    <row r="45" spans="1:3" x14ac:dyDescent="0.3">
      <c r="A45" s="3">
        <v>42</v>
      </c>
      <c r="B45">
        <v>51</v>
      </c>
      <c r="C45">
        <v>51</v>
      </c>
    </row>
    <row r="46" spans="1:3" x14ac:dyDescent="0.3">
      <c r="A46" s="3" t="s">
        <v>42</v>
      </c>
      <c r="B46">
        <v>2141</v>
      </c>
      <c r="C46">
        <v>1433</v>
      </c>
    </row>
  </sheetData>
  <pageMargins left="0.7" right="0.7" top="0.75" bottom="0.75" header="0.3" footer="0.3"/>
  <headerFooter>
    <oddFooter>&amp;C_x000D_&amp;1#&amp;"Aptos"&amp;10&amp;K000000 Classification: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E0F3E-97AD-4B52-A5E2-98568A5458B6}">
  <dimension ref="A2:D46"/>
  <sheetViews>
    <sheetView workbookViewId="0">
      <selection activeCell="B26" sqref="B26"/>
    </sheetView>
  </sheetViews>
  <sheetFormatPr defaultRowHeight="14.4" x14ac:dyDescent="0.3"/>
  <cols>
    <col min="1" max="1" width="13" bestFit="1" customWidth="1"/>
    <col min="2" max="2" width="28.33203125" bestFit="1" customWidth="1"/>
    <col min="3" max="3" width="10" bestFit="1" customWidth="1"/>
    <col min="4" max="70" width="39.109375" bestFit="1" customWidth="1"/>
    <col min="71" max="71" width="44" bestFit="1" customWidth="1"/>
    <col min="72" max="72" width="19.6640625" bestFit="1" customWidth="1"/>
  </cols>
  <sheetData>
    <row r="2" spans="1:4" x14ac:dyDescent="0.3">
      <c r="D2" t="s">
        <v>4024</v>
      </c>
    </row>
    <row r="3" spans="1:4" ht="52.2" customHeight="1" x14ac:dyDescent="0.3">
      <c r="A3" s="16" t="s">
        <v>40</v>
      </c>
      <c r="B3" s="18" t="s">
        <v>4022</v>
      </c>
      <c r="C3" s="18" t="s">
        <v>4023</v>
      </c>
    </row>
    <row r="4" spans="1:4" x14ac:dyDescent="0.3">
      <c r="A4" s="3" t="s">
        <v>41</v>
      </c>
    </row>
    <row r="5" spans="1:4" x14ac:dyDescent="0.3">
      <c r="A5" s="3">
        <v>2</v>
      </c>
      <c r="B5">
        <v>153</v>
      </c>
      <c r="C5">
        <v>133</v>
      </c>
    </row>
    <row r="6" spans="1:4" x14ac:dyDescent="0.3">
      <c r="A6" s="3">
        <v>3</v>
      </c>
      <c r="B6">
        <v>103</v>
      </c>
      <c r="C6">
        <v>91</v>
      </c>
    </row>
    <row r="7" spans="1:4" x14ac:dyDescent="0.3">
      <c r="A7" s="3">
        <v>4</v>
      </c>
      <c r="B7">
        <v>80</v>
      </c>
      <c r="C7">
        <v>67</v>
      </c>
    </row>
    <row r="8" spans="1:4" x14ac:dyDescent="0.3">
      <c r="A8" s="3">
        <v>5</v>
      </c>
      <c r="B8">
        <v>46</v>
      </c>
      <c r="C8">
        <v>42</v>
      </c>
    </row>
    <row r="9" spans="1:4" x14ac:dyDescent="0.3">
      <c r="A9" s="3">
        <v>6</v>
      </c>
      <c r="B9">
        <v>57</v>
      </c>
      <c r="C9">
        <v>46</v>
      </c>
    </row>
    <row r="10" spans="1:4" x14ac:dyDescent="0.3">
      <c r="A10" s="3">
        <v>7</v>
      </c>
      <c r="B10">
        <v>51</v>
      </c>
      <c r="C10">
        <v>42</v>
      </c>
    </row>
    <row r="11" spans="1:4" x14ac:dyDescent="0.3">
      <c r="A11" s="3">
        <v>8</v>
      </c>
      <c r="B11">
        <v>45</v>
      </c>
      <c r="C11">
        <v>34</v>
      </c>
    </row>
    <row r="12" spans="1:4" x14ac:dyDescent="0.3">
      <c r="A12" s="3">
        <v>9</v>
      </c>
      <c r="B12">
        <v>52</v>
      </c>
      <c r="C12">
        <v>36</v>
      </c>
    </row>
    <row r="13" spans="1:4" x14ac:dyDescent="0.3">
      <c r="A13" s="3">
        <v>10</v>
      </c>
      <c r="B13">
        <v>51</v>
      </c>
      <c r="C13">
        <v>37</v>
      </c>
    </row>
    <row r="14" spans="1:4" x14ac:dyDescent="0.3">
      <c r="A14" s="3">
        <v>11</v>
      </c>
      <c r="B14">
        <v>48</v>
      </c>
      <c r="C14">
        <v>34</v>
      </c>
    </row>
    <row r="15" spans="1:4" x14ac:dyDescent="0.3">
      <c r="A15" s="3">
        <v>12</v>
      </c>
      <c r="B15">
        <v>44</v>
      </c>
      <c r="C15">
        <v>34</v>
      </c>
    </row>
    <row r="16" spans="1:4" x14ac:dyDescent="0.3">
      <c r="A16" s="3">
        <v>13</v>
      </c>
      <c r="B16">
        <v>42</v>
      </c>
      <c r="C16">
        <v>29</v>
      </c>
    </row>
    <row r="17" spans="1:3" x14ac:dyDescent="0.3">
      <c r="A17" s="3">
        <v>14</v>
      </c>
      <c r="B17">
        <v>44</v>
      </c>
      <c r="C17">
        <v>32</v>
      </c>
    </row>
    <row r="18" spans="1:3" x14ac:dyDescent="0.3">
      <c r="A18" s="3">
        <v>15</v>
      </c>
      <c r="B18">
        <v>50</v>
      </c>
      <c r="C18">
        <v>39</v>
      </c>
    </row>
    <row r="19" spans="1:3" x14ac:dyDescent="0.3">
      <c r="A19" s="3">
        <v>16</v>
      </c>
      <c r="B19">
        <v>35</v>
      </c>
      <c r="C19">
        <v>22</v>
      </c>
    </row>
    <row r="20" spans="1:3" x14ac:dyDescent="0.3">
      <c r="A20" s="3">
        <v>17</v>
      </c>
      <c r="B20">
        <v>26</v>
      </c>
      <c r="C20">
        <v>19</v>
      </c>
    </row>
    <row r="21" spans="1:3" x14ac:dyDescent="0.3">
      <c r="A21" s="3">
        <v>18</v>
      </c>
      <c r="B21">
        <v>71</v>
      </c>
      <c r="C21">
        <v>49</v>
      </c>
    </row>
    <row r="22" spans="1:3" x14ac:dyDescent="0.3">
      <c r="A22" s="3">
        <v>19</v>
      </c>
      <c r="B22">
        <v>45</v>
      </c>
      <c r="C22">
        <v>32</v>
      </c>
    </row>
    <row r="23" spans="1:3" x14ac:dyDescent="0.3">
      <c r="A23" s="3">
        <v>20</v>
      </c>
      <c r="B23">
        <v>42</v>
      </c>
      <c r="C23">
        <v>34</v>
      </c>
    </row>
    <row r="24" spans="1:3" x14ac:dyDescent="0.3">
      <c r="A24" s="3">
        <v>21</v>
      </c>
      <c r="B24">
        <v>49</v>
      </c>
      <c r="C24">
        <v>43</v>
      </c>
    </row>
    <row r="25" spans="1:3" x14ac:dyDescent="0.3">
      <c r="A25" s="3">
        <v>22</v>
      </c>
      <c r="B25">
        <v>47</v>
      </c>
      <c r="C25">
        <v>32</v>
      </c>
    </row>
    <row r="26" spans="1:3" x14ac:dyDescent="0.3">
      <c r="A26" s="3">
        <v>23</v>
      </c>
      <c r="B26">
        <v>30</v>
      </c>
      <c r="C26">
        <v>21</v>
      </c>
    </row>
    <row r="27" spans="1:3" x14ac:dyDescent="0.3">
      <c r="A27" s="3">
        <v>24</v>
      </c>
      <c r="B27">
        <v>55</v>
      </c>
      <c r="C27">
        <v>42</v>
      </c>
    </row>
    <row r="28" spans="1:3" x14ac:dyDescent="0.3">
      <c r="A28" s="3">
        <v>25</v>
      </c>
      <c r="B28">
        <v>66</v>
      </c>
      <c r="C28">
        <v>45</v>
      </c>
    </row>
    <row r="29" spans="1:3" x14ac:dyDescent="0.3">
      <c r="A29" s="3">
        <v>26</v>
      </c>
      <c r="B29">
        <v>64</v>
      </c>
      <c r="C29">
        <v>45</v>
      </c>
    </row>
    <row r="30" spans="1:3" x14ac:dyDescent="0.3">
      <c r="A30" s="3">
        <v>27</v>
      </c>
      <c r="B30">
        <v>54</v>
      </c>
      <c r="C30">
        <v>35</v>
      </c>
    </row>
    <row r="31" spans="1:3" x14ac:dyDescent="0.3">
      <c r="A31" s="3">
        <v>28</v>
      </c>
      <c r="B31">
        <v>49</v>
      </c>
      <c r="C31">
        <v>31</v>
      </c>
    </row>
    <row r="32" spans="1:3" x14ac:dyDescent="0.3">
      <c r="A32" s="3">
        <v>29</v>
      </c>
      <c r="B32">
        <v>39</v>
      </c>
      <c r="C32">
        <v>23</v>
      </c>
    </row>
    <row r="33" spans="1:3" x14ac:dyDescent="0.3">
      <c r="A33" s="3">
        <v>30</v>
      </c>
      <c r="B33">
        <v>57</v>
      </c>
      <c r="C33">
        <v>37</v>
      </c>
    </row>
    <row r="34" spans="1:3" x14ac:dyDescent="0.3">
      <c r="A34" s="3">
        <v>31</v>
      </c>
      <c r="B34">
        <v>46</v>
      </c>
      <c r="C34">
        <v>24</v>
      </c>
    </row>
    <row r="35" spans="1:3" x14ac:dyDescent="0.3">
      <c r="A35" s="3">
        <v>32</v>
      </c>
      <c r="B35">
        <v>49</v>
      </c>
      <c r="C35">
        <v>37</v>
      </c>
    </row>
    <row r="36" spans="1:3" x14ac:dyDescent="0.3">
      <c r="A36" s="3">
        <v>33</v>
      </c>
      <c r="B36">
        <v>45</v>
      </c>
      <c r="C36">
        <v>35</v>
      </c>
    </row>
    <row r="37" spans="1:3" x14ac:dyDescent="0.3">
      <c r="A37" s="3">
        <v>34</v>
      </c>
      <c r="B37">
        <v>47</v>
      </c>
      <c r="C37">
        <v>40</v>
      </c>
    </row>
    <row r="38" spans="1:3" x14ac:dyDescent="0.3">
      <c r="A38" s="3">
        <v>35</v>
      </c>
      <c r="B38">
        <v>36</v>
      </c>
      <c r="C38">
        <v>29</v>
      </c>
    </row>
    <row r="39" spans="1:3" x14ac:dyDescent="0.3">
      <c r="A39" s="3">
        <v>36</v>
      </c>
      <c r="B39">
        <v>38</v>
      </c>
      <c r="C39">
        <v>30</v>
      </c>
    </row>
    <row r="40" spans="1:3" x14ac:dyDescent="0.3">
      <c r="A40" s="3">
        <v>37</v>
      </c>
      <c r="B40">
        <v>47</v>
      </c>
      <c r="C40">
        <v>26</v>
      </c>
    </row>
    <row r="41" spans="1:3" x14ac:dyDescent="0.3">
      <c r="A41" s="3">
        <v>38</v>
      </c>
      <c r="B41">
        <v>31</v>
      </c>
      <c r="C41">
        <v>25</v>
      </c>
    </row>
    <row r="42" spans="1:3" x14ac:dyDescent="0.3">
      <c r="A42" s="3">
        <v>39</v>
      </c>
      <c r="B42">
        <v>52</v>
      </c>
      <c r="C42">
        <v>39</v>
      </c>
    </row>
    <row r="43" spans="1:3" x14ac:dyDescent="0.3">
      <c r="A43" s="3">
        <v>40</v>
      </c>
      <c r="B43">
        <v>48</v>
      </c>
      <c r="C43">
        <v>44</v>
      </c>
    </row>
    <row r="44" spans="1:3" x14ac:dyDescent="0.3">
      <c r="A44" s="3">
        <v>41</v>
      </c>
      <c r="B44">
        <v>56</v>
      </c>
      <c r="C44">
        <v>49</v>
      </c>
    </row>
    <row r="45" spans="1:3" x14ac:dyDescent="0.3">
      <c r="A45" s="3">
        <v>42</v>
      </c>
      <c r="B45">
        <v>51</v>
      </c>
      <c r="C45">
        <v>51</v>
      </c>
    </row>
    <row r="46" spans="1:3" x14ac:dyDescent="0.3">
      <c r="A46" s="3" t="s">
        <v>42</v>
      </c>
      <c r="B46">
        <v>2141</v>
      </c>
      <c r="C46">
        <v>1635</v>
      </c>
    </row>
  </sheetData>
  <pageMargins left="0.7" right="0.7" top="0.75" bottom="0.75" header="0.3" footer="0.3"/>
  <headerFooter>
    <oddFooter>&amp;C_x000D_&amp;1#&amp;"Aptos"&amp;10&amp;K000000 Classification: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DD60-3425-419E-B36E-764FC9522E50}">
  <sheetPr>
    <tabColor rgb="FFFFFF00"/>
  </sheetPr>
  <dimension ref="A1:K559"/>
  <sheetViews>
    <sheetView topLeftCell="C1" workbookViewId="0">
      <selection activeCell="G30" sqref="G30"/>
    </sheetView>
  </sheetViews>
  <sheetFormatPr defaultRowHeight="14.4" x14ac:dyDescent="0.3"/>
  <cols>
    <col min="1" max="1" width="47.33203125" bestFit="1" customWidth="1"/>
    <col min="2" max="2" width="22.5546875" bestFit="1" customWidth="1"/>
    <col min="3" max="3" width="68.6640625" bestFit="1" customWidth="1"/>
    <col min="4" max="4" width="26.33203125" bestFit="1" customWidth="1"/>
    <col min="5" max="5" width="36.44140625" bestFit="1" customWidth="1"/>
    <col min="6" max="6" width="27" bestFit="1" customWidth="1"/>
    <col min="7" max="7" width="19.88671875" bestFit="1" customWidth="1"/>
    <col min="8" max="8" width="15.88671875" bestFit="1" customWidth="1"/>
    <col min="9" max="9" width="18.88671875" bestFit="1" customWidth="1"/>
    <col min="10" max="10" width="13.5546875" bestFit="1" customWidth="1"/>
    <col min="11" max="11" width="10.6640625" bestFit="1" customWidth="1"/>
  </cols>
  <sheetData>
    <row r="1" spans="1:11" x14ac:dyDescent="0.3">
      <c r="A1" t="s">
        <v>747</v>
      </c>
      <c r="B1" t="s">
        <v>746</v>
      </c>
      <c r="C1" t="s">
        <v>745</v>
      </c>
      <c r="D1" t="s">
        <v>744</v>
      </c>
      <c r="E1" t="s">
        <v>743</v>
      </c>
      <c r="F1" t="s">
        <v>742</v>
      </c>
      <c r="G1" t="s">
        <v>741</v>
      </c>
      <c r="H1" t="s">
        <v>740</v>
      </c>
      <c r="I1" s="4" t="s">
        <v>766</v>
      </c>
      <c r="J1" s="4" t="s">
        <v>751</v>
      </c>
      <c r="K1" s="4" t="s">
        <v>44</v>
      </c>
    </row>
    <row r="2" spans="1:11" x14ac:dyDescent="0.3">
      <c r="A2" t="s">
        <v>4308</v>
      </c>
      <c r="B2" t="s">
        <v>739</v>
      </c>
      <c r="C2" t="s">
        <v>738</v>
      </c>
      <c r="D2" s="7" t="s">
        <v>814</v>
      </c>
      <c r="E2" t="s">
        <v>248</v>
      </c>
      <c r="F2" t="s">
        <v>89</v>
      </c>
      <c r="G2" t="s">
        <v>737</v>
      </c>
      <c r="H2" t="s">
        <v>1</v>
      </c>
      <c r="I2" t="str">
        <f>_xlfn.XLOOKUP(F2,'Lookup List'!A:A,'Lookup List'!B:B,FALSE)</f>
        <v>Salesforce</v>
      </c>
      <c r="J2" s="10" t="str">
        <f>LEFT(G2,10)</f>
        <v>07/01/2025</v>
      </c>
      <c r="K2">
        <f>_xlfn.XLOOKUP(J2,'Wk no''s'!D:D,'Wk no''s'!C:C,FALSE)</f>
        <v>2</v>
      </c>
    </row>
    <row r="3" spans="1:11" x14ac:dyDescent="0.3">
      <c r="A3" t="s">
        <v>736</v>
      </c>
      <c r="B3" t="s">
        <v>735</v>
      </c>
      <c r="C3" t="s">
        <v>35</v>
      </c>
      <c r="D3" s="7" t="s">
        <v>815</v>
      </c>
      <c r="E3" t="s">
        <v>138</v>
      </c>
      <c r="F3" t="s">
        <v>51</v>
      </c>
      <c r="G3" t="s">
        <v>734</v>
      </c>
      <c r="H3" t="s">
        <v>1</v>
      </c>
      <c r="I3" t="str">
        <f>_xlfn.XLOOKUP(F3,'Lookup List'!A:A,'Lookup List'!B:B,FALSE)</f>
        <v>03 Shop Floor</v>
      </c>
      <c r="J3" s="10" t="str">
        <f t="shared" ref="J3:J66" si="0">LEFT(G3,10)</f>
        <v>07/01/2025</v>
      </c>
      <c r="K3">
        <f>_xlfn.XLOOKUP(J3,'Wk no''s'!D:D,'Wk no''s'!C:C,FALSE)</f>
        <v>2</v>
      </c>
    </row>
    <row r="4" spans="1:11" x14ac:dyDescent="0.3">
      <c r="A4" t="s">
        <v>222</v>
      </c>
      <c r="B4" t="s">
        <v>221</v>
      </c>
      <c r="C4" t="s">
        <v>576</v>
      </c>
      <c r="D4" s="7" t="s">
        <v>816</v>
      </c>
      <c r="E4" t="s">
        <v>733</v>
      </c>
      <c r="F4" t="s">
        <v>732</v>
      </c>
      <c r="G4" t="s">
        <v>731</v>
      </c>
      <c r="H4" t="s">
        <v>1</v>
      </c>
      <c r="I4" t="str">
        <f>_xlfn.XLOOKUP(F4,'Lookup List'!A:A,'Lookup List'!B:B,FALSE)</f>
        <v>N/A</v>
      </c>
      <c r="J4" s="10" t="str">
        <f t="shared" si="0"/>
        <v>08/01/2025</v>
      </c>
      <c r="K4">
        <f>_xlfn.XLOOKUP(J4,'Wk no''s'!D:D,'Wk no''s'!C:C,FALSE)</f>
        <v>2</v>
      </c>
    </row>
    <row r="5" spans="1:11" x14ac:dyDescent="0.3">
      <c r="A5" t="s">
        <v>222</v>
      </c>
      <c r="B5" t="s">
        <v>221</v>
      </c>
      <c r="C5" t="s">
        <v>576</v>
      </c>
      <c r="D5" s="7" t="s">
        <v>817</v>
      </c>
      <c r="E5" t="s">
        <v>79</v>
      </c>
      <c r="F5" t="s">
        <v>46</v>
      </c>
      <c r="G5" t="s">
        <v>730</v>
      </c>
      <c r="H5" t="s">
        <v>1</v>
      </c>
      <c r="I5" t="str">
        <f>_xlfn.XLOOKUP(F5,'Lookup List'!A:A,'Lookup List'!B:B,FALSE)</f>
        <v>03 Assembly</v>
      </c>
      <c r="J5" s="10" t="str">
        <f t="shared" si="0"/>
        <v>08/01/2025</v>
      </c>
      <c r="K5">
        <f>_xlfn.XLOOKUP(J5,'Wk no''s'!D:D,'Wk no''s'!C:C,FALSE)</f>
        <v>2</v>
      </c>
    </row>
    <row r="6" spans="1:11" x14ac:dyDescent="0.3">
      <c r="A6" t="s">
        <v>729</v>
      </c>
      <c r="B6" t="s">
        <v>728</v>
      </c>
      <c r="C6" t="s">
        <v>727</v>
      </c>
      <c r="D6" s="7" t="s">
        <v>818</v>
      </c>
      <c r="E6" t="s">
        <v>138</v>
      </c>
      <c r="F6" t="s">
        <v>121</v>
      </c>
      <c r="G6" t="s">
        <v>726</v>
      </c>
      <c r="H6" t="s">
        <v>1</v>
      </c>
      <c r="I6" t="str">
        <f>_xlfn.XLOOKUP(F6,'Lookup List'!A:A,'Lookup List'!B:B,FALSE)</f>
        <v>Transport</v>
      </c>
      <c r="J6" s="10" t="str">
        <f t="shared" si="0"/>
        <v>08/01/2025</v>
      </c>
      <c r="K6">
        <f>_xlfn.XLOOKUP(J6,'Wk no''s'!D:D,'Wk no''s'!C:C,FALSE)</f>
        <v>2</v>
      </c>
    </row>
    <row r="7" spans="1:11" x14ac:dyDescent="0.3">
      <c r="A7" t="s">
        <v>71</v>
      </c>
      <c r="B7" t="s">
        <v>124</v>
      </c>
      <c r="C7" t="s">
        <v>725</v>
      </c>
      <c r="D7" s="7" t="s">
        <v>819</v>
      </c>
      <c r="E7" t="s">
        <v>266</v>
      </c>
      <c r="F7" t="s">
        <v>73</v>
      </c>
      <c r="G7" t="s">
        <v>724</v>
      </c>
      <c r="H7" t="s">
        <v>1</v>
      </c>
      <c r="I7" t="str">
        <f>_xlfn.XLOOKUP(F7,'Lookup List'!A:A,'Lookup List'!B:B,FALSE)</f>
        <v>01 SOP</v>
      </c>
      <c r="J7" s="10" t="str">
        <f t="shared" si="0"/>
        <v>09/01/2025</v>
      </c>
      <c r="K7">
        <f>_xlfn.XLOOKUP(J7,'Wk no''s'!D:D,'Wk no''s'!C:C,FALSE)</f>
        <v>2</v>
      </c>
    </row>
    <row r="8" spans="1:11" x14ac:dyDescent="0.3">
      <c r="A8" t="s">
        <v>368</v>
      </c>
      <c r="B8" t="s">
        <v>367</v>
      </c>
      <c r="C8" t="s">
        <v>684</v>
      </c>
      <c r="D8" s="7" t="s">
        <v>820</v>
      </c>
      <c r="E8" t="s">
        <v>74</v>
      </c>
      <c r="F8" t="s">
        <v>73</v>
      </c>
      <c r="G8" t="s">
        <v>723</v>
      </c>
      <c r="H8" t="s">
        <v>1</v>
      </c>
      <c r="I8" t="str">
        <f>_xlfn.XLOOKUP(F8,'Lookup List'!A:A,'Lookup List'!B:B,FALSE)</f>
        <v>01 SOP</v>
      </c>
      <c r="J8" s="10" t="str">
        <f t="shared" si="0"/>
        <v>09/01/2025</v>
      </c>
      <c r="K8">
        <f>_xlfn.XLOOKUP(J8,'Wk no''s'!D:D,'Wk no''s'!C:C,FALSE)</f>
        <v>2</v>
      </c>
    </row>
    <row r="9" spans="1:11" x14ac:dyDescent="0.3">
      <c r="A9" t="s">
        <v>705</v>
      </c>
      <c r="B9" t="s">
        <v>704</v>
      </c>
      <c r="C9" t="s">
        <v>703</v>
      </c>
      <c r="D9" s="7" t="s">
        <v>821</v>
      </c>
      <c r="E9" t="s">
        <v>545</v>
      </c>
      <c r="F9" t="s">
        <v>121</v>
      </c>
      <c r="G9" t="s">
        <v>722</v>
      </c>
      <c r="H9" t="s">
        <v>1</v>
      </c>
      <c r="I9" t="str">
        <f>_xlfn.XLOOKUP(F9,'Lookup List'!A:A,'Lookup List'!B:B,FALSE)</f>
        <v>Transport</v>
      </c>
      <c r="J9" s="10" t="str">
        <f t="shared" si="0"/>
        <v>09/01/2025</v>
      </c>
      <c r="K9">
        <f>_xlfn.XLOOKUP(J9,'Wk no''s'!D:D,'Wk no''s'!C:C,FALSE)</f>
        <v>2</v>
      </c>
    </row>
    <row r="10" spans="1:11" x14ac:dyDescent="0.3">
      <c r="A10" t="s">
        <v>77</v>
      </c>
      <c r="B10" t="s">
        <v>76</v>
      </c>
      <c r="C10" t="s">
        <v>75</v>
      </c>
      <c r="D10" s="7" t="s">
        <v>822</v>
      </c>
      <c r="E10" t="s">
        <v>79</v>
      </c>
      <c r="F10" t="s">
        <v>219</v>
      </c>
      <c r="G10" t="s">
        <v>721</v>
      </c>
      <c r="H10" t="s">
        <v>1</v>
      </c>
      <c r="I10" t="str">
        <f>_xlfn.XLOOKUP(F10,'Lookup List'!A:A,'Lookup List'!B:B,FALSE)</f>
        <v>Warehouse</v>
      </c>
      <c r="J10" s="10" t="str">
        <f t="shared" si="0"/>
        <v>09/01/2025</v>
      </c>
      <c r="K10">
        <f>_xlfn.XLOOKUP(J10,'Wk no''s'!D:D,'Wk no''s'!C:C,FALSE)</f>
        <v>2</v>
      </c>
    </row>
    <row r="11" spans="1:11" x14ac:dyDescent="0.3">
      <c r="A11" t="s">
        <v>49</v>
      </c>
      <c r="B11" t="s">
        <v>48</v>
      </c>
      <c r="C11" t="s">
        <v>22</v>
      </c>
      <c r="D11" s="7" t="s">
        <v>823</v>
      </c>
      <c r="E11" t="s">
        <v>47</v>
      </c>
      <c r="F11" t="s">
        <v>100</v>
      </c>
      <c r="G11" t="s">
        <v>720</v>
      </c>
      <c r="H11" t="s">
        <v>4</v>
      </c>
      <c r="I11" t="str">
        <f>_xlfn.XLOOKUP(F11,'Lookup List'!A:A,'Lookup List'!B:B,FALSE)</f>
        <v>02 Product Design</v>
      </c>
      <c r="J11" s="10" t="str">
        <f t="shared" si="0"/>
        <v>09/01/2025</v>
      </c>
      <c r="K11">
        <f>_xlfn.XLOOKUP(J11,'Wk no''s'!D:D,'Wk no''s'!C:C,FALSE)</f>
        <v>2</v>
      </c>
    </row>
    <row r="12" spans="1:11" x14ac:dyDescent="0.3">
      <c r="A12" t="s">
        <v>49</v>
      </c>
      <c r="B12" t="s">
        <v>48</v>
      </c>
      <c r="C12" t="s">
        <v>21</v>
      </c>
      <c r="D12" s="7" t="s">
        <v>824</v>
      </c>
      <c r="E12" t="s">
        <v>63</v>
      </c>
      <c r="F12" t="s">
        <v>62</v>
      </c>
      <c r="G12" t="s">
        <v>719</v>
      </c>
      <c r="H12" t="s">
        <v>4</v>
      </c>
      <c r="I12" t="str">
        <f>_xlfn.XLOOKUP(F12,'Lookup List'!A:A,'Lookup List'!B:B,FALSE)</f>
        <v>Customer</v>
      </c>
      <c r="J12" s="10" t="str">
        <f t="shared" si="0"/>
        <v>09/01/2025</v>
      </c>
      <c r="K12">
        <f>_xlfn.XLOOKUP(J12,'Wk no''s'!D:D,'Wk no''s'!C:C,FALSE)</f>
        <v>2</v>
      </c>
    </row>
    <row r="13" spans="1:11" x14ac:dyDescent="0.3">
      <c r="A13" t="s">
        <v>49</v>
      </c>
      <c r="B13" t="s">
        <v>287</v>
      </c>
      <c r="C13" t="s">
        <v>19</v>
      </c>
      <c r="D13" s="7" t="s">
        <v>825</v>
      </c>
      <c r="E13" t="s">
        <v>63</v>
      </c>
      <c r="F13" t="s">
        <v>62</v>
      </c>
      <c r="G13" t="s">
        <v>718</v>
      </c>
      <c r="H13" t="s">
        <v>4</v>
      </c>
      <c r="I13" t="str">
        <f>_xlfn.XLOOKUP(F13,'Lookup List'!A:A,'Lookup List'!B:B,FALSE)</f>
        <v>Customer</v>
      </c>
      <c r="J13" s="10" t="str">
        <f t="shared" si="0"/>
        <v>09/01/2025</v>
      </c>
      <c r="K13">
        <f>_xlfn.XLOOKUP(J13,'Wk no''s'!D:D,'Wk no''s'!C:C,FALSE)</f>
        <v>2</v>
      </c>
    </row>
    <row r="14" spans="1:11" x14ac:dyDescent="0.3">
      <c r="A14" t="s">
        <v>49</v>
      </c>
      <c r="B14" t="s">
        <v>287</v>
      </c>
      <c r="C14" t="s">
        <v>19</v>
      </c>
      <c r="D14" s="7" t="s">
        <v>826</v>
      </c>
      <c r="E14" t="s">
        <v>266</v>
      </c>
      <c r="F14" t="s">
        <v>284</v>
      </c>
      <c r="G14" t="s">
        <v>717</v>
      </c>
      <c r="H14" t="s">
        <v>4</v>
      </c>
      <c r="I14" t="str">
        <f>_xlfn.XLOOKUP(F14,'Lookup List'!A:A,'Lookup List'!B:B,FALSE)</f>
        <v>01 Export SOP</v>
      </c>
      <c r="J14" s="10" t="str">
        <f t="shared" si="0"/>
        <v>09/01/2025</v>
      </c>
      <c r="K14">
        <f>_xlfn.XLOOKUP(J14,'Wk no''s'!D:D,'Wk no''s'!C:C,FALSE)</f>
        <v>2</v>
      </c>
    </row>
    <row r="15" spans="1:11" x14ac:dyDescent="0.3">
      <c r="A15" t="s">
        <v>716</v>
      </c>
      <c r="B15" t="s">
        <v>715</v>
      </c>
      <c r="C15" t="s">
        <v>714</v>
      </c>
      <c r="D15" s="7" t="s">
        <v>827</v>
      </c>
      <c r="E15" t="s">
        <v>122</v>
      </c>
      <c r="F15" t="s">
        <v>177</v>
      </c>
      <c r="G15" t="s">
        <v>713</v>
      </c>
      <c r="H15" t="s">
        <v>93</v>
      </c>
      <c r="I15" t="str">
        <f>_xlfn.XLOOKUP(F15,'Lookup List'!A:A,'Lookup List'!B:B,FALSE)</f>
        <v>External Courier</v>
      </c>
      <c r="J15" s="10" t="str">
        <f t="shared" si="0"/>
        <v>15/01/2025</v>
      </c>
      <c r="K15">
        <f>_xlfn.XLOOKUP(J15,'Wk no''s'!D:D,'Wk no''s'!C:C,FALSE)</f>
        <v>3</v>
      </c>
    </row>
    <row r="16" spans="1:11" x14ac:dyDescent="0.3">
      <c r="A16" t="s">
        <v>207</v>
      </c>
      <c r="B16" t="s">
        <v>462</v>
      </c>
      <c r="C16" t="s">
        <v>205</v>
      </c>
      <c r="D16" s="7" t="s">
        <v>828</v>
      </c>
      <c r="E16" t="s">
        <v>175</v>
      </c>
      <c r="F16" t="s">
        <v>480</v>
      </c>
      <c r="G16" t="s">
        <v>712</v>
      </c>
      <c r="H16" t="s">
        <v>37</v>
      </c>
      <c r="I16" t="str">
        <f>_xlfn.XLOOKUP(F16,'Lookup List'!A:A,'Lookup List'!B:B,FALSE)</f>
        <v>Paintline</v>
      </c>
      <c r="J16" s="10" t="str">
        <f t="shared" si="0"/>
        <v>13/01/2025</v>
      </c>
      <c r="K16">
        <f>_xlfn.XLOOKUP(J16,'Wk no''s'!D:D,'Wk no''s'!C:C,FALSE)</f>
        <v>3</v>
      </c>
    </row>
    <row r="17" spans="1:11" x14ac:dyDescent="0.3">
      <c r="A17" t="s">
        <v>207</v>
      </c>
      <c r="B17" t="s">
        <v>206</v>
      </c>
      <c r="C17" t="s">
        <v>205</v>
      </c>
      <c r="D17" s="7" t="s">
        <v>829</v>
      </c>
      <c r="E17" t="s">
        <v>52</v>
      </c>
      <c r="F17" t="s">
        <v>396</v>
      </c>
      <c r="G17" t="s">
        <v>711</v>
      </c>
      <c r="H17" t="s">
        <v>37</v>
      </c>
      <c r="I17" t="str">
        <f>_xlfn.XLOOKUP(F17,'Lookup List'!A:A,'Lookup List'!B:B,FALSE)</f>
        <v>03 Assembly Block 2</v>
      </c>
      <c r="J17" s="10" t="str">
        <f t="shared" si="0"/>
        <v>13/01/2025</v>
      </c>
      <c r="K17">
        <f>_xlfn.XLOOKUP(J17,'Wk no''s'!D:D,'Wk no''s'!C:C,FALSE)</f>
        <v>3</v>
      </c>
    </row>
    <row r="18" spans="1:11" x14ac:dyDescent="0.3">
      <c r="A18" t="s">
        <v>207</v>
      </c>
      <c r="B18" t="s">
        <v>206</v>
      </c>
      <c r="C18" t="s">
        <v>205</v>
      </c>
      <c r="D18" s="7" t="s">
        <v>830</v>
      </c>
      <c r="E18" t="s">
        <v>47</v>
      </c>
      <c r="F18" t="s">
        <v>396</v>
      </c>
      <c r="G18" t="s">
        <v>710</v>
      </c>
      <c r="H18" t="s">
        <v>37</v>
      </c>
      <c r="I18" t="str">
        <f>_xlfn.XLOOKUP(F18,'Lookup List'!A:A,'Lookup List'!B:B,FALSE)</f>
        <v>03 Assembly Block 2</v>
      </c>
      <c r="J18" s="10" t="str">
        <f t="shared" si="0"/>
        <v>14/01/2025</v>
      </c>
      <c r="K18">
        <f>_xlfn.XLOOKUP(J18,'Wk no''s'!D:D,'Wk no''s'!C:C,FALSE)</f>
        <v>3</v>
      </c>
    </row>
    <row r="19" spans="1:11" x14ac:dyDescent="0.3">
      <c r="A19" t="s">
        <v>207</v>
      </c>
      <c r="B19" t="s">
        <v>206</v>
      </c>
      <c r="C19" t="s">
        <v>620</v>
      </c>
      <c r="D19" s="7" t="s">
        <v>831</v>
      </c>
      <c r="E19" t="s">
        <v>370</v>
      </c>
      <c r="F19" t="s">
        <v>84</v>
      </c>
      <c r="G19" t="s">
        <v>709</v>
      </c>
      <c r="H19" t="s">
        <v>37</v>
      </c>
      <c r="I19" t="str">
        <f>_xlfn.XLOOKUP(F19,'Lookup List'!A:A,'Lookup List'!B:B,FALSE)</f>
        <v>Fast Track</v>
      </c>
      <c r="J19" s="10" t="str">
        <f t="shared" si="0"/>
        <v>15/01/2025</v>
      </c>
      <c r="K19">
        <f>_xlfn.XLOOKUP(J19,'Wk no''s'!D:D,'Wk no''s'!C:C,FALSE)</f>
        <v>3</v>
      </c>
    </row>
    <row r="20" spans="1:11" x14ac:dyDescent="0.3">
      <c r="A20" t="s">
        <v>207</v>
      </c>
      <c r="B20" t="s">
        <v>206</v>
      </c>
      <c r="C20" t="s">
        <v>205</v>
      </c>
      <c r="D20" s="7" t="s">
        <v>832</v>
      </c>
      <c r="E20" t="s">
        <v>47</v>
      </c>
      <c r="F20" t="s">
        <v>396</v>
      </c>
      <c r="G20" t="s">
        <v>708</v>
      </c>
      <c r="H20" t="s">
        <v>37</v>
      </c>
      <c r="I20" t="str">
        <f>_xlfn.XLOOKUP(F20,'Lookup List'!A:A,'Lookup List'!B:B,FALSE)</f>
        <v>03 Assembly Block 2</v>
      </c>
      <c r="J20" s="10" t="str">
        <f t="shared" si="0"/>
        <v>15/01/2025</v>
      </c>
      <c r="K20">
        <f>_xlfn.XLOOKUP(J20,'Wk no''s'!D:D,'Wk no''s'!C:C,FALSE)</f>
        <v>3</v>
      </c>
    </row>
    <row r="21" spans="1:11" x14ac:dyDescent="0.3">
      <c r="A21" t="s">
        <v>207</v>
      </c>
      <c r="B21" t="s">
        <v>707</v>
      </c>
      <c r="C21" t="s">
        <v>205</v>
      </c>
      <c r="D21" s="7" t="s">
        <v>833</v>
      </c>
      <c r="E21" t="s">
        <v>47</v>
      </c>
      <c r="F21" t="s">
        <v>396</v>
      </c>
      <c r="G21" t="s">
        <v>706</v>
      </c>
      <c r="H21" t="s">
        <v>37</v>
      </c>
      <c r="I21" t="str">
        <f>_xlfn.XLOOKUP(F21,'Lookup List'!A:A,'Lookup List'!B:B,FALSE)</f>
        <v>03 Assembly Block 2</v>
      </c>
      <c r="J21" s="10" t="str">
        <f t="shared" si="0"/>
        <v>16/01/2025</v>
      </c>
      <c r="K21">
        <f>_xlfn.XLOOKUP(J21,'Wk no''s'!D:D,'Wk no''s'!C:C,FALSE)</f>
        <v>3</v>
      </c>
    </row>
    <row r="22" spans="1:11" x14ac:dyDescent="0.3">
      <c r="A22" t="s">
        <v>705</v>
      </c>
      <c r="B22" t="s">
        <v>704</v>
      </c>
      <c r="C22" t="s">
        <v>703</v>
      </c>
      <c r="D22" s="7" t="s">
        <v>834</v>
      </c>
      <c r="E22" t="s">
        <v>1081</v>
      </c>
      <c r="F22" t="s">
        <v>89</v>
      </c>
      <c r="G22" t="s">
        <v>702</v>
      </c>
      <c r="H22" t="s">
        <v>1</v>
      </c>
      <c r="I22" t="str">
        <f>_xlfn.XLOOKUP(F22,'Lookup List'!A:A,'Lookup List'!B:B,FALSE)</f>
        <v>Salesforce</v>
      </c>
      <c r="J22" s="10" t="str">
        <f t="shared" si="0"/>
        <v>13/01/2025</v>
      </c>
      <c r="K22">
        <f>_xlfn.XLOOKUP(J22,'Wk no''s'!D:D,'Wk no''s'!C:C,FALSE)</f>
        <v>3</v>
      </c>
    </row>
    <row r="23" spans="1:11" x14ac:dyDescent="0.3">
      <c r="A23" t="s">
        <v>701</v>
      </c>
      <c r="B23" t="s">
        <v>700</v>
      </c>
      <c r="C23" t="s">
        <v>699</v>
      </c>
      <c r="D23" s="7" t="s">
        <v>835</v>
      </c>
      <c r="E23" t="s">
        <v>698</v>
      </c>
      <c r="F23" t="s">
        <v>51</v>
      </c>
      <c r="G23" t="s">
        <v>697</v>
      </c>
      <c r="H23" t="s">
        <v>1</v>
      </c>
      <c r="I23" t="str">
        <f>_xlfn.XLOOKUP(F23,'Lookup List'!A:A,'Lookup List'!B:B,FALSE)</f>
        <v>03 Shop Floor</v>
      </c>
      <c r="J23" s="10" t="str">
        <f t="shared" si="0"/>
        <v>13/01/2025</v>
      </c>
      <c r="K23">
        <f>_xlfn.XLOOKUP(J23,'Wk no''s'!D:D,'Wk no''s'!C:C,FALSE)</f>
        <v>3</v>
      </c>
    </row>
    <row r="24" spans="1:11" x14ac:dyDescent="0.3">
      <c r="A24" t="s">
        <v>77</v>
      </c>
      <c r="B24" t="s">
        <v>76</v>
      </c>
      <c r="C24" t="s">
        <v>696</v>
      </c>
      <c r="D24" s="7" t="s">
        <v>836</v>
      </c>
      <c r="E24" t="s">
        <v>248</v>
      </c>
      <c r="F24" t="s">
        <v>103</v>
      </c>
      <c r="G24" t="s">
        <v>695</v>
      </c>
      <c r="H24" t="s">
        <v>1</v>
      </c>
      <c r="I24" t="str">
        <f>_xlfn.XLOOKUP(F24,'Lookup List'!A:A,'Lookup List'!B:B,FALSE)</f>
        <v>Finance</v>
      </c>
      <c r="J24" s="10" t="str">
        <f t="shared" si="0"/>
        <v>13/01/2025</v>
      </c>
      <c r="K24">
        <f>_xlfn.XLOOKUP(J24,'Wk no''s'!D:D,'Wk no''s'!C:C,FALSE)</f>
        <v>3</v>
      </c>
    </row>
    <row r="25" spans="1:11" x14ac:dyDescent="0.3">
      <c r="A25" t="s">
        <v>660</v>
      </c>
      <c r="B25" t="s">
        <v>659</v>
      </c>
      <c r="C25" t="s">
        <v>694</v>
      </c>
      <c r="D25" s="7" t="s">
        <v>837</v>
      </c>
      <c r="E25" t="s">
        <v>68</v>
      </c>
      <c r="F25" t="s">
        <v>62</v>
      </c>
      <c r="G25" t="s">
        <v>693</v>
      </c>
      <c r="H25" t="s">
        <v>1</v>
      </c>
      <c r="I25" t="str">
        <f>_xlfn.XLOOKUP(F25,'Lookup List'!A:A,'Lookup List'!B:B,FALSE)</f>
        <v>Customer</v>
      </c>
      <c r="J25" s="10" t="str">
        <f t="shared" si="0"/>
        <v>14/01/2025</v>
      </c>
      <c r="K25">
        <f>_xlfn.XLOOKUP(J25,'Wk no''s'!D:D,'Wk no''s'!C:C,FALSE)</f>
        <v>3</v>
      </c>
    </row>
    <row r="26" spans="1:11" x14ac:dyDescent="0.3">
      <c r="A26" t="s">
        <v>71</v>
      </c>
      <c r="B26" t="s">
        <v>613</v>
      </c>
      <c r="C26" t="s">
        <v>692</v>
      </c>
      <c r="D26" s="7" t="s">
        <v>838</v>
      </c>
      <c r="E26" t="s">
        <v>47</v>
      </c>
      <c r="F26" t="s">
        <v>470</v>
      </c>
      <c r="G26" t="s">
        <v>691</v>
      </c>
      <c r="H26" t="s">
        <v>1</v>
      </c>
      <c r="I26" t="str">
        <f>_xlfn.XLOOKUP(F26,'Lookup List'!A:A,'Lookup List'!B:B,FALSE)</f>
        <v>Press</v>
      </c>
      <c r="J26" s="10" t="str">
        <f t="shared" si="0"/>
        <v>14/01/2025</v>
      </c>
      <c r="K26">
        <f>_xlfn.XLOOKUP(J26,'Wk no''s'!D:D,'Wk no''s'!C:C,FALSE)</f>
        <v>3</v>
      </c>
    </row>
    <row r="27" spans="1:11" x14ac:dyDescent="0.3">
      <c r="A27" t="s">
        <v>77</v>
      </c>
      <c r="B27" t="s">
        <v>76</v>
      </c>
      <c r="C27" t="s">
        <v>75</v>
      </c>
      <c r="D27" s="7" t="s">
        <v>839</v>
      </c>
      <c r="E27" t="s">
        <v>266</v>
      </c>
      <c r="F27" t="s">
        <v>121</v>
      </c>
      <c r="G27" t="s">
        <v>690</v>
      </c>
      <c r="H27" t="s">
        <v>1</v>
      </c>
      <c r="I27" t="str">
        <f>_xlfn.XLOOKUP(F27,'Lookup List'!A:A,'Lookup List'!B:B,FALSE)</f>
        <v>Transport</v>
      </c>
      <c r="J27" s="10" t="str">
        <f t="shared" si="0"/>
        <v>15/01/2025</v>
      </c>
      <c r="K27">
        <f>_xlfn.XLOOKUP(J27,'Wk no''s'!D:D,'Wk no''s'!C:C,FALSE)</f>
        <v>3</v>
      </c>
    </row>
    <row r="28" spans="1:11" x14ac:dyDescent="0.3">
      <c r="A28" t="s">
        <v>77</v>
      </c>
      <c r="B28" t="s">
        <v>76</v>
      </c>
      <c r="C28" t="s">
        <v>75</v>
      </c>
      <c r="D28" s="7" t="s">
        <v>840</v>
      </c>
      <c r="E28" t="s">
        <v>74</v>
      </c>
      <c r="F28" t="s">
        <v>73</v>
      </c>
      <c r="G28" t="s">
        <v>689</v>
      </c>
      <c r="H28" t="s">
        <v>1</v>
      </c>
      <c r="I28" t="str">
        <f>_xlfn.XLOOKUP(F28,'Lookup List'!A:A,'Lookup List'!B:B,FALSE)</f>
        <v>01 SOP</v>
      </c>
      <c r="J28" s="10" t="str">
        <f t="shared" si="0"/>
        <v>16/01/2025</v>
      </c>
      <c r="K28">
        <f>_xlfn.XLOOKUP(J28,'Wk no''s'!D:D,'Wk no''s'!C:C,FALSE)</f>
        <v>3</v>
      </c>
    </row>
    <row r="29" spans="1:11" x14ac:dyDescent="0.3">
      <c r="A29" t="s">
        <v>688</v>
      </c>
      <c r="B29" t="s">
        <v>687</v>
      </c>
      <c r="C29" t="s">
        <v>686</v>
      </c>
      <c r="D29" s="7" t="s">
        <v>841</v>
      </c>
      <c r="E29" t="s">
        <v>248</v>
      </c>
      <c r="F29" t="s">
        <v>103</v>
      </c>
      <c r="G29" t="s">
        <v>685</v>
      </c>
      <c r="H29" t="s">
        <v>1</v>
      </c>
      <c r="I29" t="str">
        <f>_xlfn.XLOOKUP(F29,'Lookup List'!A:A,'Lookup List'!B:B,FALSE)</f>
        <v>Finance</v>
      </c>
      <c r="J29" s="10" t="str">
        <f t="shared" si="0"/>
        <v>16/01/2025</v>
      </c>
      <c r="K29">
        <f>_xlfn.XLOOKUP(J29,'Wk no''s'!D:D,'Wk no''s'!C:C,FALSE)</f>
        <v>3</v>
      </c>
    </row>
    <row r="30" spans="1:11" x14ac:dyDescent="0.3">
      <c r="A30" t="s">
        <v>368</v>
      </c>
      <c r="B30" t="s">
        <v>367</v>
      </c>
      <c r="C30" t="s">
        <v>684</v>
      </c>
      <c r="D30" s="7" t="s">
        <v>842</v>
      </c>
      <c r="E30" t="s">
        <v>248</v>
      </c>
      <c r="F30" t="s">
        <v>103</v>
      </c>
      <c r="G30" t="s">
        <v>683</v>
      </c>
      <c r="H30" t="s">
        <v>1</v>
      </c>
      <c r="I30" t="str">
        <f>_xlfn.XLOOKUP(F30,'Lookup List'!A:A,'Lookup List'!B:B,FALSE)</f>
        <v>Finance</v>
      </c>
      <c r="J30" s="10" t="str">
        <f t="shared" si="0"/>
        <v>16/01/2025</v>
      </c>
      <c r="K30">
        <f>_xlfn.XLOOKUP(J30,'Wk no''s'!D:D,'Wk no''s'!C:C,FALSE)</f>
        <v>3</v>
      </c>
    </row>
    <row r="31" spans="1:11" x14ac:dyDescent="0.3">
      <c r="A31" t="s">
        <v>275</v>
      </c>
      <c r="B31" t="s">
        <v>278</v>
      </c>
      <c r="C31" t="s">
        <v>682</v>
      </c>
      <c r="D31" s="7" t="s">
        <v>843</v>
      </c>
      <c r="E31" t="s">
        <v>90</v>
      </c>
      <c r="F31" t="s">
        <v>253</v>
      </c>
      <c r="G31" t="s">
        <v>681</v>
      </c>
      <c r="H31" t="s">
        <v>1</v>
      </c>
      <c r="I31" t="str">
        <f>_xlfn.XLOOKUP(F31,'Lookup List'!A:A,'Lookup List'!B:B,FALSE)</f>
        <v>Estimating</v>
      </c>
      <c r="J31" s="10" t="str">
        <f t="shared" si="0"/>
        <v>17/01/2025</v>
      </c>
      <c r="K31">
        <f>_xlfn.XLOOKUP(J31,'Wk no''s'!D:D,'Wk no''s'!C:C,FALSE)</f>
        <v>3</v>
      </c>
    </row>
    <row r="32" spans="1:11" x14ac:dyDescent="0.3">
      <c r="A32" t="s">
        <v>49</v>
      </c>
      <c r="B32" t="s">
        <v>48</v>
      </c>
      <c r="C32" t="s">
        <v>24</v>
      </c>
      <c r="D32" s="7" t="s">
        <v>844</v>
      </c>
      <c r="E32" t="s">
        <v>90</v>
      </c>
      <c r="F32" t="s">
        <v>89</v>
      </c>
      <c r="G32" t="s">
        <v>680</v>
      </c>
      <c r="H32" t="s">
        <v>4</v>
      </c>
      <c r="I32" t="str">
        <f>_xlfn.XLOOKUP(F32,'Lookup List'!A:A,'Lookup List'!B:B,FALSE)</f>
        <v>Salesforce</v>
      </c>
      <c r="J32" s="10" t="str">
        <f t="shared" si="0"/>
        <v>14/01/2025</v>
      </c>
      <c r="K32">
        <f>_xlfn.XLOOKUP(J32,'Wk no''s'!D:D,'Wk no''s'!C:C,FALSE)</f>
        <v>3</v>
      </c>
    </row>
    <row r="33" spans="1:11" x14ac:dyDescent="0.3">
      <c r="A33" t="s">
        <v>49</v>
      </c>
      <c r="B33" t="s">
        <v>48</v>
      </c>
      <c r="C33" t="s">
        <v>21</v>
      </c>
      <c r="D33" s="7" t="s">
        <v>845</v>
      </c>
      <c r="E33" t="s">
        <v>90</v>
      </c>
      <c r="F33" t="s">
        <v>584</v>
      </c>
      <c r="G33" t="s">
        <v>679</v>
      </c>
      <c r="H33" t="s">
        <v>4</v>
      </c>
      <c r="I33" t="str">
        <f>_xlfn.XLOOKUP(F33,'Lookup List'!A:A,'Lookup List'!B:B,FALSE)</f>
        <v>Design</v>
      </c>
      <c r="J33" s="10" t="str">
        <f t="shared" si="0"/>
        <v>17/01/2025</v>
      </c>
      <c r="K33">
        <f>_xlfn.XLOOKUP(J33,'Wk no''s'!D:D,'Wk no''s'!C:C,FALSE)</f>
        <v>3</v>
      </c>
    </row>
    <row r="34" spans="1:11" x14ac:dyDescent="0.3">
      <c r="A34" t="s">
        <v>678</v>
      </c>
      <c r="B34" t="s">
        <v>153</v>
      </c>
      <c r="C34" t="s">
        <v>677</v>
      </c>
      <c r="D34" s="7" t="s">
        <v>846</v>
      </c>
      <c r="E34" t="s">
        <v>57</v>
      </c>
      <c r="F34" t="s">
        <v>56</v>
      </c>
      <c r="G34" t="s">
        <v>676</v>
      </c>
      <c r="H34" t="s">
        <v>150</v>
      </c>
      <c r="I34" t="str">
        <f>_xlfn.XLOOKUP(F34,'Lookup List'!A:A,'Lookup List'!B:B,FALSE)</f>
        <v>Lighting Supplier</v>
      </c>
      <c r="J34" s="10" t="str">
        <f t="shared" si="0"/>
        <v>22/01/2025</v>
      </c>
      <c r="K34">
        <f>_xlfn.XLOOKUP(J34,'Wk no''s'!D:D,'Wk no''s'!C:C,FALSE)</f>
        <v>4</v>
      </c>
    </row>
    <row r="35" spans="1:11" x14ac:dyDescent="0.3">
      <c r="A35" t="s">
        <v>523</v>
      </c>
      <c r="B35" t="s">
        <v>522</v>
      </c>
      <c r="C35" t="s">
        <v>675</v>
      </c>
      <c r="D35" s="7" t="s">
        <v>847</v>
      </c>
      <c r="E35" t="s">
        <v>122</v>
      </c>
      <c r="F35" t="s">
        <v>121</v>
      </c>
      <c r="G35" t="s">
        <v>674</v>
      </c>
      <c r="H35" t="s">
        <v>93</v>
      </c>
      <c r="I35" t="str">
        <f>_xlfn.XLOOKUP(F35,'Lookup List'!A:A,'Lookup List'!B:B,FALSE)</f>
        <v>Transport</v>
      </c>
      <c r="J35" s="10" t="str">
        <f t="shared" si="0"/>
        <v>20/01/2025</v>
      </c>
      <c r="K35">
        <f>_xlfn.XLOOKUP(J35,'Wk no''s'!D:D,'Wk no''s'!C:C,FALSE)</f>
        <v>4</v>
      </c>
    </row>
    <row r="36" spans="1:11" x14ac:dyDescent="0.3">
      <c r="A36" t="s">
        <v>673</v>
      </c>
      <c r="B36" t="s">
        <v>672</v>
      </c>
      <c r="C36" t="s">
        <v>671</v>
      </c>
      <c r="D36" s="7" t="s">
        <v>848</v>
      </c>
      <c r="E36" t="s">
        <v>138</v>
      </c>
      <c r="F36" t="s">
        <v>62</v>
      </c>
      <c r="G36" t="s">
        <v>670</v>
      </c>
      <c r="H36" t="s">
        <v>93</v>
      </c>
      <c r="I36" t="str">
        <f>_xlfn.XLOOKUP(F36,'Lookup List'!A:A,'Lookup List'!B:B,FALSE)</f>
        <v>Customer</v>
      </c>
      <c r="J36" s="10" t="str">
        <f t="shared" si="0"/>
        <v>21/01/2025</v>
      </c>
      <c r="K36">
        <f>_xlfn.XLOOKUP(J36,'Wk no''s'!D:D,'Wk no''s'!C:C,FALSE)</f>
        <v>4</v>
      </c>
    </row>
    <row r="37" spans="1:11" x14ac:dyDescent="0.3">
      <c r="A37" t="s">
        <v>207</v>
      </c>
      <c r="B37" t="s">
        <v>206</v>
      </c>
      <c r="C37" t="s">
        <v>205</v>
      </c>
      <c r="D37" s="7" t="s">
        <v>849</v>
      </c>
      <c r="E37" t="s">
        <v>175</v>
      </c>
      <c r="F37" t="s">
        <v>480</v>
      </c>
      <c r="G37" t="s">
        <v>669</v>
      </c>
      <c r="H37" t="s">
        <v>37</v>
      </c>
      <c r="I37" t="str">
        <f>_xlfn.XLOOKUP(F37,'Lookup List'!A:A,'Lookup List'!B:B,FALSE)</f>
        <v>Paintline</v>
      </c>
      <c r="J37" s="10" t="str">
        <f t="shared" si="0"/>
        <v>21/01/2025</v>
      </c>
      <c r="K37">
        <f>_xlfn.XLOOKUP(J37,'Wk no''s'!D:D,'Wk no''s'!C:C,FALSE)</f>
        <v>4</v>
      </c>
    </row>
    <row r="38" spans="1:11" x14ac:dyDescent="0.3">
      <c r="A38" t="s">
        <v>207</v>
      </c>
      <c r="B38" t="s">
        <v>668</v>
      </c>
      <c r="C38" t="s">
        <v>258</v>
      </c>
      <c r="D38" s="7" t="s">
        <v>850</v>
      </c>
      <c r="E38" t="s">
        <v>47</v>
      </c>
      <c r="F38" t="s">
        <v>51</v>
      </c>
      <c r="G38" t="s">
        <v>667</v>
      </c>
      <c r="H38" t="s">
        <v>37</v>
      </c>
      <c r="I38" t="str">
        <f>_xlfn.XLOOKUP(F38,'Lookup List'!A:A,'Lookup List'!B:B,FALSE)</f>
        <v>03 Shop Floor</v>
      </c>
      <c r="J38" s="10" t="str">
        <f t="shared" si="0"/>
        <v>23/01/2025</v>
      </c>
      <c r="K38">
        <f>_xlfn.XLOOKUP(J38,'Wk no''s'!D:D,'Wk no''s'!C:C,FALSE)</f>
        <v>4</v>
      </c>
    </row>
    <row r="39" spans="1:11" x14ac:dyDescent="0.3">
      <c r="A39" t="s">
        <v>145</v>
      </c>
      <c r="B39" t="s">
        <v>303</v>
      </c>
      <c r="C39" t="s">
        <v>666</v>
      </c>
      <c r="D39" s="7" t="s">
        <v>851</v>
      </c>
      <c r="E39" t="s">
        <v>47</v>
      </c>
      <c r="F39" t="s">
        <v>584</v>
      </c>
      <c r="G39" t="s">
        <v>665</v>
      </c>
      <c r="H39" t="s">
        <v>1</v>
      </c>
      <c r="I39" t="str">
        <f>_xlfn.XLOOKUP(F39,'Lookup List'!A:A,'Lookup List'!B:B,FALSE)</f>
        <v>Design</v>
      </c>
      <c r="J39" s="10" t="str">
        <f t="shared" si="0"/>
        <v>20/01/2025</v>
      </c>
      <c r="K39">
        <f>_xlfn.XLOOKUP(J39,'Wk no''s'!D:D,'Wk no''s'!C:C,FALSE)</f>
        <v>4</v>
      </c>
    </row>
    <row r="40" spans="1:11" x14ac:dyDescent="0.3">
      <c r="A40" t="s">
        <v>440</v>
      </c>
      <c r="B40" t="s">
        <v>513</v>
      </c>
      <c r="C40" t="s">
        <v>438</v>
      </c>
      <c r="D40" s="7" t="s">
        <v>852</v>
      </c>
      <c r="E40" t="s">
        <v>90</v>
      </c>
      <c r="F40" t="s">
        <v>253</v>
      </c>
      <c r="G40" t="s">
        <v>664</v>
      </c>
      <c r="H40" t="s">
        <v>1</v>
      </c>
      <c r="I40" t="str">
        <f>_xlfn.XLOOKUP(F40,'Lookup List'!A:A,'Lookup List'!B:B,FALSE)</f>
        <v>Estimating</v>
      </c>
      <c r="J40" s="10" t="str">
        <f t="shared" si="0"/>
        <v>20/01/2025</v>
      </c>
      <c r="K40">
        <f>_xlfn.XLOOKUP(J40,'Wk no''s'!D:D,'Wk no''s'!C:C,FALSE)</f>
        <v>4</v>
      </c>
    </row>
    <row r="41" spans="1:11" x14ac:dyDescent="0.3">
      <c r="A41" t="s">
        <v>145</v>
      </c>
      <c r="B41" t="s">
        <v>303</v>
      </c>
      <c r="C41" t="s">
        <v>302</v>
      </c>
      <c r="D41" s="7" t="s">
        <v>853</v>
      </c>
      <c r="E41" t="s">
        <v>90</v>
      </c>
      <c r="F41" t="s">
        <v>73</v>
      </c>
      <c r="G41" t="s">
        <v>663</v>
      </c>
      <c r="H41" t="s">
        <v>1</v>
      </c>
      <c r="I41" t="str">
        <f>_xlfn.XLOOKUP(F41,'Lookup List'!A:A,'Lookup List'!B:B,FALSE)</f>
        <v>01 SOP</v>
      </c>
      <c r="J41" s="10" t="str">
        <f t="shared" si="0"/>
        <v>20/01/2025</v>
      </c>
      <c r="K41">
        <f>_xlfn.XLOOKUP(J41,'Wk no''s'!D:D,'Wk no''s'!C:C,FALSE)</f>
        <v>4</v>
      </c>
    </row>
    <row r="42" spans="1:11" x14ac:dyDescent="0.3">
      <c r="A42" t="s">
        <v>507</v>
      </c>
      <c r="B42" t="s">
        <v>506</v>
      </c>
      <c r="C42" t="s">
        <v>505</v>
      </c>
      <c r="D42" s="7" t="s">
        <v>854</v>
      </c>
      <c r="E42" t="s">
        <v>545</v>
      </c>
      <c r="F42" t="s">
        <v>121</v>
      </c>
      <c r="G42" t="s">
        <v>662</v>
      </c>
      <c r="H42" t="s">
        <v>1</v>
      </c>
      <c r="I42" t="str">
        <f>_xlfn.XLOOKUP(F42,'Lookup List'!A:A,'Lookup List'!B:B,FALSE)</f>
        <v>Transport</v>
      </c>
      <c r="J42" s="10" t="str">
        <f t="shared" si="0"/>
        <v>21/01/2025</v>
      </c>
      <c r="K42">
        <f>_xlfn.XLOOKUP(J42,'Wk no''s'!D:D,'Wk no''s'!C:C,FALSE)</f>
        <v>4</v>
      </c>
    </row>
    <row r="43" spans="1:11" x14ac:dyDescent="0.3">
      <c r="A43" t="s">
        <v>317</v>
      </c>
      <c r="B43" t="s">
        <v>316</v>
      </c>
      <c r="C43" t="s">
        <v>566</v>
      </c>
      <c r="D43" s="7" t="s">
        <v>855</v>
      </c>
      <c r="E43" t="s">
        <v>122</v>
      </c>
      <c r="F43" t="s">
        <v>177</v>
      </c>
      <c r="G43" t="s">
        <v>661</v>
      </c>
      <c r="H43" t="s">
        <v>1</v>
      </c>
      <c r="I43" t="str">
        <f>_xlfn.XLOOKUP(F43,'Lookup List'!A:A,'Lookup List'!B:B,FALSE)</f>
        <v>External Courier</v>
      </c>
      <c r="J43" s="10" t="str">
        <f t="shared" si="0"/>
        <v>21/01/2025</v>
      </c>
      <c r="K43">
        <f>_xlfn.XLOOKUP(J43,'Wk no''s'!D:D,'Wk no''s'!C:C,FALSE)</f>
        <v>4</v>
      </c>
    </row>
    <row r="44" spans="1:11" x14ac:dyDescent="0.3">
      <c r="A44" t="s">
        <v>660</v>
      </c>
      <c r="B44" t="s">
        <v>659</v>
      </c>
      <c r="C44" t="s">
        <v>658</v>
      </c>
      <c r="D44" s="7" t="s">
        <v>856</v>
      </c>
      <c r="E44" t="s">
        <v>68</v>
      </c>
      <c r="F44" t="s">
        <v>62</v>
      </c>
      <c r="G44" t="s">
        <v>657</v>
      </c>
      <c r="H44" t="s">
        <v>1</v>
      </c>
      <c r="I44" t="str">
        <f>_xlfn.XLOOKUP(F44,'Lookup List'!A:A,'Lookup List'!B:B,FALSE)</f>
        <v>Customer</v>
      </c>
      <c r="J44" s="10" t="str">
        <f t="shared" si="0"/>
        <v>21/01/2025</v>
      </c>
      <c r="K44">
        <f>_xlfn.XLOOKUP(J44,'Wk no''s'!D:D,'Wk no''s'!C:C,FALSE)</f>
        <v>4</v>
      </c>
    </row>
    <row r="45" spans="1:11" x14ac:dyDescent="0.3">
      <c r="A45" t="s">
        <v>71</v>
      </c>
      <c r="B45" t="s">
        <v>656</v>
      </c>
      <c r="C45" t="s">
        <v>6908</v>
      </c>
      <c r="D45" s="7" t="s">
        <v>857</v>
      </c>
      <c r="E45" t="s">
        <v>63</v>
      </c>
      <c r="F45" t="s">
        <v>62</v>
      </c>
      <c r="G45" t="s">
        <v>655</v>
      </c>
      <c r="H45" t="s">
        <v>1</v>
      </c>
      <c r="I45" t="str">
        <f>_xlfn.XLOOKUP(F45,'Lookup List'!A:A,'Lookup List'!B:B,FALSE)</f>
        <v>Customer</v>
      </c>
      <c r="J45" s="10" t="str">
        <f t="shared" si="0"/>
        <v>21/01/2025</v>
      </c>
      <c r="K45">
        <f>_xlfn.XLOOKUP(J45,'Wk no''s'!D:D,'Wk no''s'!C:C,FALSE)</f>
        <v>4</v>
      </c>
    </row>
    <row r="46" spans="1:11" x14ac:dyDescent="0.3">
      <c r="A46" t="s">
        <v>409</v>
      </c>
      <c r="B46" t="s">
        <v>654</v>
      </c>
      <c r="C46" t="s">
        <v>407</v>
      </c>
      <c r="D46" s="7" t="s">
        <v>858</v>
      </c>
      <c r="E46" t="s">
        <v>90</v>
      </c>
      <c r="F46" t="s">
        <v>73</v>
      </c>
      <c r="G46" t="s">
        <v>653</v>
      </c>
      <c r="H46" t="s">
        <v>1</v>
      </c>
      <c r="I46" t="str">
        <f>_xlfn.XLOOKUP(F46,'Lookup List'!A:A,'Lookup List'!B:B,FALSE)</f>
        <v>01 SOP</v>
      </c>
      <c r="J46" s="10" t="str">
        <f t="shared" si="0"/>
        <v>21/01/2025</v>
      </c>
      <c r="K46">
        <f>_xlfn.XLOOKUP(J46,'Wk no''s'!D:D,'Wk no''s'!C:C,FALSE)</f>
        <v>4</v>
      </c>
    </row>
    <row r="47" spans="1:11" x14ac:dyDescent="0.3">
      <c r="A47" t="s">
        <v>601</v>
      </c>
      <c r="B47" t="s">
        <v>600</v>
      </c>
      <c r="C47" t="s">
        <v>599</v>
      </c>
      <c r="D47" s="7" t="s">
        <v>859</v>
      </c>
      <c r="E47" t="s">
        <v>68</v>
      </c>
      <c r="F47" t="s">
        <v>62</v>
      </c>
      <c r="G47" t="s">
        <v>652</v>
      </c>
      <c r="H47" t="s">
        <v>1</v>
      </c>
      <c r="I47" t="str">
        <f>_xlfn.XLOOKUP(F47,'Lookup List'!A:A,'Lookup List'!B:B,FALSE)</f>
        <v>Customer</v>
      </c>
      <c r="J47" s="10" t="str">
        <f t="shared" si="0"/>
        <v>21/01/2025</v>
      </c>
      <c r="K47">
        <f>_xlfn.XLOOKUP(J47,'Wk no''s'!D:D,'Wk no''s'!C:C,FALSE)</f>
        <v>4</v>
      </c>
    </row>
    <row r="48" spans="1:11" x14ac:dyDescent="0.3">
      <c r="A48" t="s">
        <v>507</v>
      </c>
      <c r="B48" t="s">
        <v>650</v>
      </c>
      <c r="C48" t="s">
        <v>505</v>
      </c>
      <c r="D48" s="7" t="s">
        <v>860</v>
      </c>
      <c r="E48" t="s">
        <v>90</v>
      </c>
      <c r="F48" t="s">
        <v>253</v>
      </c>
      <c r="G48" t="s">
        <v>651</v>
      </c>
      <c r="H48" t="s">
        <v>1</v>
      </c>
      <c r="I48" t="str">
        <f>_xlfn.XLOOKUP(F48,'Lookup List'!A:A,'Lookup List'!B:B,FALSE)</f>
        <v>Estimating</v>
      </c>
      <c r="J48" s="10" t="str">
        <f t="shared" si="0"/>
        <v>22/01/2025</v>
      </c>
      <c r="K48">
        <f>_xlfn.XLOOKUP(J48,'Wk no''s'!D:D,'Wk no''s'!C:C,FALSE)</f>
        <v>4</v>
      </c>
    </row>
    <row r="49" spans="1:11" x14ac:dyDescent="0.3">
      <c r="A49" t="s">
        <v>507</v>
      </c>
      <c r="B49" t="s">
        <v>650</v>
      </c>
      <c r="C49" t="s">
        <v>505</v>
      </c>
      <c r="D49" s="7" t="s">
        <v>861</v>
      </c>
      <c r="E49" t="s">
        <v>63</v>
      </c>
      <c r="F49" t="s">
        <v>62</v>
      </c>
      <c r="G49" t="s">
        <v>649</v>
      </c>
      <c r="H49" t="s">
        <v>1</v>
      </c>
      <c r="I49" t="str">
        <f>_xlfn.XLOOKUP(F49,'Lookup List'!A:A,'Lookup List'!B:B,FALSE)</f>
        <v>Customer</v>
      </c>
      <c r="J49" s="10" t="str">
        <f t="shared" si="0"/>
        <v>22/01/2025</v>
      </c>
      <c r="K49">
        <f>_xlfn.XLOOKUP(J49,'Wk no''s'!D:D,'Wk no''s'!C:C,FALSE)</f>
        <v>4</v>
      </c>
    </row>
    <row r="50" spans="1:11" x14ac:dyDescent="0.3">
      <c r="A50" t="s">
        <v>648</v>
      </c>
      <c r="B50" t="s">
        <v>537</v>
      </c>
      <c r="C50" t="s">
        <v>109</v>
      </c>
      <c r="D50" s="7" t="s">
        <v>862</v>
      </c>
      <c r="E50" t="s">
        <v>57</v>
      </c>
      <c r="F50" t="s">
        <v>56</v>
      </c>
      <c r="G50" t="s">
        <v>647</v>
      </c>
      <c r="H50" t="s">
        <v>1</v>
      </c>
      <c r="I50" t="str">
        <f>_xlfn.XLOOKUP(F50,'Lookup List'!A:A,'Lookup List'!B:B,FALSE)</f>
        <v>Lighting Supplier</v>
      </c>
      <c r="J50" s="10" t="str">
        <f t="shared" si="0"/>
        <v>23/01/2025</v>
      </c>
      <c r="K50">
        <f>_xlfn.XLOOKUP(J50,'Wk no''s'!D:D,'Wk no''s'!C:C,FALSE)</f>
        <v>4</v>
      </c>
    </row>
    <row r="51" spans="1:11" x14ac:dyDescent="0.3">
      <c r="A51" t="s">
        <v>646</v>
      </c>
      <c r="B51" t="s">
        <v>645</v>
      </c>
      <c r="C51" t="s">
        <v>644</v>
      </c>
      <c r="D51" s="7" t="s">
        <v>863</v>
      </c>
      <c r="E51" t="s">
        <v>68</v>
      </c>
      <c r="F51" t="s">
        <v>73</v>
      </c>
      <c r="G51" t="s">
        <v>643</v>
      </c>
      <c r="H51" t="s">
        <v>1</v>
      </c>
      <c r="I51" t="str">
        <f>_xlfn.XLOOKUP(F51,'Lookup List'!A:A,'Lookup List'!B:B,FALSE)</f>
        <v>01 SOP</v>
      </c>
      <c r="J51" s="10" t="str">
        <f t="shared" si="0"/>
        <v>23/01/2025</v>
      </c>
      <c r="K51">
        <f>_xlfn.XLOOKUP(J51,'Wk no''s'!D:D,'Wk no''s'!C:C,FALSE)</f>
        <v>4</v>
      </c>
    </row>
    <row r="52" spans="1:11" x14ac:dyDescent="0.3">
      <c r="A52" t="s">
        <v>642</v>
      </c>
      <c r="B52" t="s">
        <v>641</v>
      </c>
      <c r="C52" t="s">
        <v>640</v>
      </c>
      <c r="D52" s="7" t="s">
        <v>864</v>
      </c>
      <c r="E52" t="s">
        <v>90</v>
      </c>
      <c r="F52" t="s">
        <v>89</v>
      </c>
      <c r="G52" t="s">
        <v>639</v>
      </c>
      <c r="H52" t="s">
        <v>1</v>
      </c>
      <c r="I52" t="str">
        <f>_xlfn.XLOOKUP(F52,'Lookup List'!A:A,'Lookup List'!B:B,FALSE)</f>
        <v>Salesforce</v>
      </c>
      <c r="J52" s="10" t="str">
        <f t="shared" si="0"/>
        <v>23/01/2025</v>
      </c>
      <c r="K52">
        <f>_xlfn.XLOOKUP(J52,'Wk no''s'!D:D,'Wk no''s'!C:C,FALSE)</f>
        <v>4</v>
      </c>
    </row>
    <row r="53" spans="1:11" x14ac:dyDescent="0.3">
      <c r="A53" t="s">
        <v>638</v>
      </c>
      <c r="B53" t="s">
        <v>637</v>
      </c>
      <c r="C53" t="s">
        <v>636</v>
      </c>
      <c r="D53" s="7" t="s">
        <v>865</v>
      </c>
      <c r="E53" t="s">
        <v>63</v>
      </c>
      <c r="F53" t="s">
        <v>62</v>
      </c>
      <c r="G53" t="s">
        <v>635</v>
      </c>
      <c r="H53" t="s">
        <v>1</v>
      </c>
      <c r="I53" t="str">
        <f>_xlfn.XLOOKUP(F53,'Lookup List'!A:A,'Lookup List'!B:B,FALSE)</f>
        <v>Customer</v>
      </c>
      <c r="J53" s="10" t="str">
        <f t="shared" si="0"/>
        <v>23/01/2025</v>
      </c>
      <c r="K53">
        <f>_xlfn.XLOOKUP(J53,'Wk no''s'!D:D,'Wk no''s'!C:C,FALSE)</f>
        <v>4</v>
      </c>
    </row>
    <row r="54" spans="1:11" x14ac:dyDescent="0.3">
      <c r="A54" t="s">
        <v>634</v>
      </c>
      <c r="B54" t="s">
        <v>633</v>
      </c>
      <c r="C54" t="s">
        <v>632</v>
      </c>
      <c r="D54" s="7" t="s">
        <v>866</v>
      </c>
      <c r="E54" t="s">
        <v>159</v>
      </c>
      <c r="F54" t="s">
        <v>89</v>
      </c>
      <c r="G54" t="s">
        <v>631</v>
      </c>
      <c r="H54" t="s">
        <v>1</v>
      </c>
      <c r="I54" t="str">
        <f>_xlfn.XLOOKUP(F54,'Lookup List'!A:A,'Lookup List'!B:B,FALSE)</f>
        <v>Salesforce</v>
      </c>
      <c r="J54" s="10" t="str">
        <f t="shared" si="0"/>
        <v>23/01/2025</v>
      </c>
      <c r="K54">
        <f>_xlfn.XLOOKUP(J54,'Wk no''s'!D:D,'Wk no''s'!C:C,FALSE)</f>
        <v>4</v>
      </c>
    </row>
    <row r="55" spans="1:11" x14ac:dyDescent="0.3">
      <c r="A55" t="s">
        <v>453</v>
      </c>
      <c r="B55" t="s">
        <v>452</v>
      </c>
      <c r="C55" t="s">
        <v>451</v>
      </c>
      <c r="D55" s="7" t="s">
        <v>867</v>
      </c>
      <c r="E55" t="s">
        <v>90</v>
      </c>
      <c r="F55" t="s">
        <v>73</v>
      </c>
      <c r="G55" t="s">
        <v>630</v>
      </c>
      <c r="H55" t="s">
        <v>1</v>
      </c>
      <c r="I55" t="str">
        <f>_xlfn.XLOOKUP(F55,'Lookup List'!A:A,'Lookup List'!B:B,FALSE)</f>
        <v>01 SOP</v>
      </c>
      <c r="J55" s="10" t="str">
        <f t="shared" si="0"/>
        <v>24/01/2025</v>
      </c>
      <c r="K55">
        <f>_xlfn.XLOOKUP(J55,'Wk no''s'!D:D,'Wk no''s'!C:C,FALSE)</f>
        <v>4</v>
      </c>
    </row>
    <row r="56" spans="1:11" x14ac:dyDescent="0.3">
      <c r="A56" t="s">
        <v>628</v>
      </c>
      <c r="B56" t="s">
        <v>627</v>
      </c>
      <c r="C56" t="s">
        <v>626</v>
      </c>
      <c r="D56" s="7" t="s">
        <v>868</v>
      </c>
      <c r="E56" t="s">
        <v>47</v>
      </c>
      <c r="F56" t="s">
        <v>5759</v>
      </c>
      <c r="G56" t="s">
        <v>629</v>
      </c>
      <c r="H56" t="s">
        <v>1</v>
      </c>
      <c r="I56" t="b">
        <f>_xlfn.XLOOKUP(F56,'Lookup List'!A:A,'Lookup List'!B:B,FALSE)</f>
        <v>0</v>
      </c>
      <c r="J56" s="10" t="str">
        <f t="shared" si="0"/>
        <v>24/01/2025</v>
      </c>
      <c r="K56">
        <f>_xlfn.XLOOKUP(J56,'Wk no''s'!D:D,'Wk no''s'!C:C,FALSE)</f>
        <v>4</v>
      </c>
    </row>
    <row r="57" spans="1:11" x14ac:dyDescent="0.3">
      <c r="A57" t="s">
        <v>628</v>
      </c>
      <c r="B57" t="s">
        <v>627</v>
      </c>
      <c r="C57" t="s">
        <v>626</v>
      </c>
      <c r="D57" s="7" t="s">
        <v>869</v>
      </c>
      <c r="E57" t="s">
        <v>370</v>
      </c>
      <c r="F57" t="s">
        <v>84</v>
      </c>
      <c r="G57" t="s">
        <v>625</v>
      </c>
      <c r="H57" t="s">
        <v>1</v>
      </c>
      <c r="I57" t="str">
        <f>_xlfn.XLOOKUP(F57,'Lookup List'!A:A,'Lookup List'!B:B,FALSE)</f>
        <v>Fast Track</v>
      </c>
      <c r="J57" s="10" t="str">
        <f t="shared" si="0"/>
        <v>24/01/2025</v>
      </c>
      <c r="K57">
        <f>_xlfn.XLOOKUP(J57,'Wk no''s'!D:D,'Wk no''s'!C:C,FALSE)</f>
        <v>4</v>
      </c>
    </row>
    <row r="58" spans="1:11" x14ac:dyDescent="0.3">
      <c r="A58" t="s">
        <v>49</v>
      </c>
      <c r="B58" t="s">
        <v>48</v>
      </c>
      <c r="C58" t="s">
        <v>22</v>
      </c>
      <c r="D58" s="7" t="s">
        <v>870</v>
      </c>
      <c r="E58" t="s">
        <v>90</v>
      </c>
      <c r="F58" t="s">
        <v>584</v>
      </c>
      <c r="G58" t="s">
        <v>624</v>
      </c>
      <c r="H58" t="s">
        <v>4</v>
      </c>
      <c r="I58" t="str">
        <f>_xlfn.XLOOKUP(F58,'Lookup List'!A:A,'Lookup List'!B:B,FALSE)</f>
        <v>Design</v>
      </c>
      <c r="J58" s="10" t="str">
        <f t="shared" si="0"/>
        <v>23/01/2025</v>
      </c>
      <c r="K58">
        <f>_xlfn.XLOOKUP(J58,'Wk no''s'!D:D,'Wk no''s'!C:C,FALSE)</f>
        <v>4</v>
      </c>
    </row>
    <row r="59" spans="1:11" x14ac:dyDescent="0.3">
      <c r="A59" t="s">
        <v>430</v>
      </c>
      <c r="B59" t="s">
        <v>623</v>
      </c>
      <c r="C59" t="s">
        <v>622</v>
      </c>
      <c r="D59" s="7" t="s">
        <v>871</v>
      </c>
      <c r="E59" t="s">
        <v>126</v>
      </c>
      <c r="F59" t="s">
        <v>46</v>
      </c>
      <c r="G59" t="s">
        <v>621</v>
      </c>
      <c r="H59" t="s">
        <v>0</v>
      </c>
      <c r="I59" t="str">
        <f>_xlfn.XLOOKUP(F59,'Lookup List'!A:A,'Lookup List'!B:B,FALSE)</f>
        <v>03 Assembly</v>
      </c>
      <c r="J59" s="10" t="str">
        <f t="shared" si="0"/>
        <v>30/01/2025</v>
      </c>
      <c r="K59">
        <f>_xlfn.XLOOKUP(J59,'Wk no''s'!D:D,'Wk no''s'!C:C,FALSE)</f>
        <v>5</v>
      </c>
    </row>
    <row r="60" spans="1:11" x14ac:dyDescent="0.3">
      <c r="A60" t="s">
        <v>207</v>
      </c>
      <c r="B60" t="s">
        <v>206</v>
      </c>
      <c r="C60" t="s">
        <v>620</v>
      </c>
      <c r="D60" s="7" t="s">
        <v>872</v>
      </c>
      <c r="E60" t="s">
        <v>74</v>
      </c>
      <c r="F60" t="s">
        <v>84</v>
      </c>
      <c r="G60" t="s">
        <v>619</v>
      </c>
      <c r="H60" t="s">
        <v>37</v>
      </c>
      <c r="I60" t="str">
        <f>_xlfn.XLOOKUP(F60,'Lookup List'!A:A,'Lookup List'!B:B,FALSE)</f>
        <v>Fast Track</v>
      </c>
      <c r="J60" s="10" t="str">
        <f t="shared" si="0"/>
        <v>27/01/2025</v>
      </c>
      <c r="K60">
        <f>_xlfn.XLOOKUP(J60,'Wk no''s'!D:D,'Wk no''s'!C:C,FALSE)</f>
        <v>5</v>
      </c>
    </row>
    <row r="61" spans="1:11" x14ac:dyDescent="0.3">
      <c r="A61" t="s">
        <v>300</v>
      </c>
      <c r="B61" t="s">
        <v>618</v>
      </c>
      <c r="C61" t="s">
        <v>258</v>
      </c>
      <c r="D61" s="7" t="s">
        <v>873</v>
      </c>
      <c r="E61" t="s">
        <v>90</v>
      </c>
      <c r="F61" t="s">
        <v>253</v>
      </c>
      <c r="G61" t="s">
        <v>617</v>
      </c>
      <c r="H61" t="s">
        <v>37</v>
      </c>
      <c r="I61" t="str">
        <f>_xlfn.XLOOKUP(F61,'Lookup List'!A:A,'Lookup List'!B:B,FALSE)</f>
        <v>Estimating</v>
      </c>
      <c r="J61" s="10" t="str">
        <f t="shared" si="0"/>
        <v>29/01/2025</v>
      </c>
      <c r="K61">
        <f>_xlfn.XLOOKUP(J61,'Wk no''s'!D:D,'Wk no''s'!C:C,FALSE)</f>
        <v>5</v>
      </c>
    </row>
    <row r="62" spans="1:11" x14ac:dyDescent="0.3">
      <c r="A62" t="s">
        <v>207</v>
      </c>
      <c r="B62" t="s">
        <v>206</v>
      </c>
      <c r="C62" t="s">
        <v>205</v>
      </c>
      <c r="D62" s="7" t="s">
        <v>874</v>
      </c>
      <c r="E62" t="s">
        <v>47</v>
      </c>
      <c r="F62" t="s">
        <v>396</v>
      </c>
      <c r="G62" t="s">
        <v>616</v>
      </c>
      <c r="H62" t="s">
        <v>37</v>
      </c>
      <c r="I62" t="str">
        <f>_xlfn.XLOOKUP(F62,'Lookup List'!A:A,'Lookup List'!B:B,FALSE)</f>
        <v>03 Assembly Block 2</v>
      </c>
      <c r="J62" s="10" t="str">
        <f t="shared" si="0"/>
        <v>29/01/2025</v>
      </c>
      <c r="K62">
        <f>_xlfn.XLOOKUP(J62,'Wk no''s'!D:D,'Wk no''s'!C:C,FALSE)</f>
        <v>5</v>
      </c>
    </row>
    <row r="63" spans="1:11" x14ac:dyDescent="0.3">
      <c r="A63" t="s">
        <v>207</v>
      </c>
      <c r="B63" t="s">
        <v>206</v>
      </c>
      <c r="C63" t="s">
        <v>258</v>
      </c>
      <c r="D63" s="7" t="s">
        <v>875</v>
      </c>
      <c r="E63" t="s">
        <v>63</v>
      </c>
      <c r="F63" t="s">
        <v>62</v>
      </c>
      <c r="G63" t="s">
        <v>615</v>
      </c>
      <c r="H63" t="s">
        <v>37</v>
      </c>
      <c r="I63" t="str">
        <f>_xlfn.XLOOKUP(F63,'Lookup List'!A:A,'Lookup List'!B:B,FALSE)</f>
        <v>Customer</v>
      </c>
      <c r="J63" s="10" t="str">
        <f t="shared" si="0"/>
        <v>30/01/2025</v>
      </c>
      <c r="K63">
        <f>_xlfn.XLOOKUP(J63,'Wk no''s'!D:D,'Wk no''s'!C:C,FALSE)</f>
        <v>5</v>
      </c>
    </row>
    <row r="64" spans="1:11" x14ac:dyDescent="0.3">
      <c r="A64" t="s">
        <v>207</v>
      </c>
      <c r="B64" t="s">
        <v>206</v>
      </c>
      <c r="C64" t="s">
        <v>205</v>
      </c>
      <c r="D64" s="7" t="s">
        <v>876</v>
      </c>
      <c r="E64" t="s">
        <v>47</v>
      </c>
      <c r="F64" t="s">
        <v>396</v>
      </c>
      <c r="G64" t="s">
        <v>614</v>
      </c>
      <c r="H64" t="s">
        <v>37</v>
      </c>
      <c r="I64" t="str">
        <f>_xlfn.XLOOKUP(F64,'Lookup List'!A:A,'Lookup List'!B:B,FALSE)</f>
        <v>03 Assembly Block 2</v>
      </c>
      <c r="J64" s="10" t="str">
        <f t="shared" si="0"/>
        <v>31/01/2025</v>
      </c>
      <c r="K64">
        <f>_xlfn.XLOOKUP(J64,'Wk no''s'!D:D,'Wk no''s'!C:C,FALSE)</f>
        <v>5</v>
      </c>
    </row>
    <row r="65" spans="1:11" x14ac:dyDescent="0.3">
      <c r="A65" t="s">
        <v>71</v>
      </c>
      <c r="B65" t="s">
        <v>613</v>
      </c>
      <c r="C65" t="s">
        <v>39</v>
      </c>
      <c r="D65" s="7" t="s">
        <v>877</v>
      </c>
      <c r="E65" t="s">
        <v>74</v>
      </c>
      <c r="F65" t="s">
        <v>73</v>
      </c>
      <c r="G65" t="s">
        <v>612</v>
      </c>
      <c r="H65" t="s">
        <v>1</v>
      </c>
      <c r="I65" t="str">
        <f>_xlfn.XLOOKUP(F65,'Lookup List'!A:A,'Lookup List'!B:B,FALSE)</f>
        <v>01 SOP</v>
      </c>
      <c r="J65" s="10" t="str">
        <f t="shared" si="0"/>
        <v>27/01/2025</v>
      </c>
      <c r="K65">
        <f>_xlfn.XLOOKUP(J65,'Wk no''s'!D:D,'Wk no''s'!C:C,FALSE)</f>
        <v>5</v>
      </c>
    </row>
    <row r="66" spans="1:11" x14ac:dyDescent="0.3">
      <c r="A66" t="s">
        <v>611</v>
      </c>
      <c r="B66" t="s">
        <v>610</v>
      </c>
      <c r="C66" t="s">
        <v>609</v>
      </c>
      <c r="D66" s="7" t="s">
        <v>878</v>
      </c>
      <c r="E66" t="s">
        <v>68</v>
      </c>
      <c r="F66" t="s">
        <v>62</v>
      </c>
      <c r="G66" t="s">
        <v>608</v>
      </c>
      <c r="H66" t="s">
        <v>1</v>
      </c>
      <c r="I66" t="str">
        <f>_xlfn.XLOOKUP(F66,'Lookup List'!A:A,'Lookup List'!B:B,FALSE)</f>
        <v>Customer</v>
      </c>
      <c r="J66" s="10" t="str">
        <f t="shared" si="0"/>
        <v>27/01/2025</v>
      </c>
      <c r="K66">
        <f>_xlfn.XLOOKUP(J66,'Wk no''s'!D:D,'Wk no''s'!C:C,FALSE)</f>
        <v>5</v>
      </c>
    </row>
    <row r="67" spans="1:11" x14ac:dyDescent="0.3">
      <c r="A67" t="s">
        <v>77</v>
      </c>
      <c r="B67" t="s">
        <v>76</v>
      </c>
      <c r="C67" t="s">
        <v>75</v>
      </c>
      <c r="D67" s="7" t="s">
        <v>879</v>
      </c>
      <c r="E67" t="s">
        <v>52</v>
      </c>
      <c r="F67" t="s">
        <v>219</v>
      </c>
      <c r="G67" t="s">
        <v>607</v>
      </c>
      <c r="H67" t="s">
        <v>1</v>
      </c>
      <c r="I67" t="str">
        <f>_xlfn.XLOOKUP(F67,'Lookup List'!A:A,'Lookup List'!B:B,FALSE)</f>
        <v>Warehouse</v>
      </c>
      <c r="J67" s="10" t="str">
        <f t="shared" ref="J67:J130" si="1">LEFT(G67,10)</f>
        <v>28/01/2025</v>
      </c>
      <c r="K67">
        <f>_xlfn.XLOOKUP(J67,'Wk no''s'!D:D,'Wk no''s'!C:C,FALSE)</f>
        <v>5</v>
      </c>
    </row>
    <row r="68" spans="1:11" x14ac:dyDescent="0.3">
      <c r="A68" t="s">
        <v>222</v>
      </c>
      <c r="B68" t="s">
        <v>221</v>
      </c>
      <c r="C68" t="s">
        <v>576</v>
      </c>
      <c r="D68" s="7" t="s">
        <v>880</v>
      </c>
      <c r="E68" t="s">
        <v>63</v>
      </c>
      <c r="F68" t="s">
        <v>62</v>
      </c>
      <c r="G68" t="s">
        <v>606</v>
      </c>
      <c r="H68" t="s">
        <v>1</v>
      </c>
      <c r="I68" t="str">
        <f>_xlfn.XLOOKUP(F68,'Lookup List'!A:A,'Lookup List'!B:B,FALSE)</f>
        <v>Customer</v>
      </c>
      <c r="J68" s="10" t="str">
        <f t="shared" si="1"/>
        <v>29/01/2025</v>
      </c>
      <c r="K68">
        <f>_xlfn.XLOOKUP(J68,'Wk no''s'!D:D,'Wk no''s'!C:C,FALSE)</f>
        <v>5</v>
      </c>
    </row>
    <row r="69" spans="1:11" x14ac:dyDescent="0.3">
      <c r="A69" t="s">
        <v>605</v>
      </c>
      <c r="B69" t="s">
        <v>604</v>
      </c>
      <c r="C69" t="s">
        <v>603</v>
      </c>
      <c r="D69" s="7" t="s">
        <v>881</v>
      </c>
      <c r="E69" t="s">
        <v>370</v>
      </c>
      <c r="F69" t="s">
        <v>156</v>
      </c>
      <c r="G69" t="s">
        <v>602</v>
      </c>
      <c r="H69" t="s">
        <v>1</v>
      </c>
      <c r="I69" t="str">
        <f>_xlfn.XLOOKUP(F69,'Lookup List'!A:A,'Lookup List'!B:B,FALSE)</f>
        <v>02 Product Design</v>
      </c>
      <c r="J69" s="10" t="str">
        <f t="shared" si="1"/>
        <v>29/01/2025</v>
      </c>
      <c r="K69">
        <f>_xlfn.XLOOKUP(J69,'Wk no''s'!D:D,'Wk no''s'!C:C,FALSE)</f>
        <v>5</v>
      </c>
    </row>
    <row r="70" spans="1:11" x14ac:dyDescent="0.3">
      <c r="A70" t="s">
        <v>601</v>
      </c>
      <c r="B70" t="s">
        <v>600</v>
      </c>
      <c r="C70" t="s">
        <v>599</v>
      </c>
      <c r="D70" s="7" t="s">
        <v>882</v>
      </c>
      <c r="E70" t="s">
        <v>553</v>
      </c>
      <c r="F70" t="s">
        <v>89</v>
      </c>
      <c r="G70" t="s">
        <v>598</v>
      </c>
      <c r="H70" t="s">
        <v>1</v>
      </c>
      <c r="I70" t="str">
        <f>_xlfn.XLOOKUP(F70,'Lookup List'!A:A,'Lookup List'!B:B,FALSE)</f>
        <v>Salesforce</v>
      </c>
      <c r="J70" s="10" t="str">
        <f t="shared" si="1"/>
        <v>30/01/2025</v>
      </c>
      <c r="K70">
        <f>_xlfn.XLOOKUP(J70,'Wk no''s'!D:D,'Wk no''s'!C:C,FALSE)</f>
        <v>5</v>
      </c>
    </row>
    <row r="71" spans="1:11" x14ac:dyDescent="0.3">
      <c r="A71" t="s">
        <v>597</v>
      </c>
      <c r="B71" t="s">
        <v>596</v>
      </c>
      <c r="C71" t="s">
        <v>595</v>
      </c>
      <c r="D71" s="7" t="s">
        <v>883</v>
      </c>
      <c r="E71" t="s">
        <v>74</v>
      </c>
      <c r="F71" t="s">
        <v>84</v>
      </c>
      <c r="G71" t="s">
        <v>594</v>
      </c>
      <c r="H71" t="s">
        <v>1</v>
      </c>
      <c r="I71" t="str">
        <f>_xlfn.XLOOKUP(F71,'Lookup List'!A:A,'Lookup List'!B:B,FALSE)</f>
        <v>Fast Track</v>
      </c>
      <c r="J71" s="10" t="str">
        <f t="shared" si="1"/>
        <v>30/01/2025</v>
      </c>
      <c r="K71">
        <f>_xlfn.XLOOKUP(J71,'Wk no''s'!D:D,'Wk no''s'!C:C,FALSE)</f>
        <v>5</v>
      </c>
    </row>
    <row r="72" spans="1:11" x14ac:dyDescent="0.3">
      <c r="A72" t="s">
        <v>296</v>
      </c>
      <c r="B72" t="s">
        <v>295</v>
      </c>
      <c r="C72" t="s">
        <v>593</v>
      </c>
      <c r="D72" s="7" t="s">
        <v>884</v>
      </c>
      <c r="E72" t="s">
        <v>370</v>
      </c>
      <c r="F72" t="s">
        <v>84</v>
      </c>
      <c r="G72" t="s">
        <v>592</v>
      </c>
      <c r="H72" t="s">
        <v>1</v>
      </c>
      <c r="I72" t="str">
        <f>_xlfn.XLOOKUP(F72,'Lookup List'!A:A,'Lookup List'!B:B,FALSE)</f>
        <v>Fast Track</v>
      </c>
      <c r="J72" s="10" t="str">
        <f t="shared" si="1"/>
        <v>30/01/2025</v>
      </c>
      <c r="K72">
        <f>_xlfn.XLOOKUP(J72,'Wk no''s'!D:D,'Wk no''s'!C:C,FALSE)</f>
        <v>5</v>
      </c>
    </row>
    <row r="73" spans="1:11" x14ac:dyDescent="0.3">
      <c r="A73" t="s">
        <v>222</v>
      </c>
      <c r="B73" t="s">
        <v>221</v>
      </c>
      <c r="C73" t="s">
        <v>591</v>
      </c>
      <c r="D73" s="7" t="s">
        <v>885</v>
      </c>
      <c r="E73" t="s">
        <v>239</v>
      </c>
      <c r="F73" t="s">
        <v>51</v>
      </c>
      <c r="G73" t="s">
        <v>590</v>
      </c>
      <c r="H73" t="s">
        <v>1</v>
      </c>
      <c r="I73" t="str">
        <f>_xlfn.XLOOKUP(F73,'Lookup List'!A:A,'Lookup List'!B:B,FALSE)</f>
        <v>03 Shop Floor</v>
      </c>
      <c r="J73" s="10" t="str">
        <f t="shared" si="1"/>
        <v>31/01/2025</v>
      </c>
      <c r="K73">
        <f>_xlfn.XLOOKUP(J73,'Wk no''s'!D:D,'Wk no''s'!C:C,FALSE)</f>
        <v>5</v>
      </c>
    </row>
    <row r="74" spans="1:11" x14ac:dyDescent="0.3">
      <c r="A74" t="s">
        <v>589</v>
      </c>
      <c r="B74" t="s">
        <v>588</v>
      </c>
      <c r="C74" t="s">
        <v>587</v>
      </c>
      <c r="D74" s="7" t="s">
        <v>886</v>
      </c>
      <c r="E74" t="s">
        <v>586</v>
      </c>
      <c r="F74" t="s">
        <v>62</v>
      </c>
      <c r="G74" t="s">
        <v>585</v>
      </c>
      <c r="H74" t="s">
        <v>1</v>
      </c>
      <c r="I74" t="str">
        <f>_xlfn.XLOOKUP(F74,'Lookup List'!A:A,'Lookup List'!B:B,FALSE)</f>
        <v>Customer</v>
      </c>
      <c r="J74" s="10" t="str">
        <f t="shared" si="1"/>
        <v>31/01/2025</v>
      </c>
      <c r="K74">
        <f>_xlfn.XLOOKUP(J74,'Wk no''s'!D:D,'Wk no''s'!C:C,FALSE)</f>
        <v>5</v>
      </c>
    </row>
    <row r="75" spans="1:11" x14ac:dyDescent="0.3">
      <c r="A75" t="s">
        <v>49</v>
      </c>
      <c r="B75" t="s">
        <v>48</v>
      </c>
      <c r="C75" t="s">
        <v>24</v>
      </c>
      <c r="D75" s="7" t="s">
        <v>887</v>
      </c>
      <c r="E75" t="s">
        <v>47</v>
      </c>
      <c r="F75" t="s">
        <v>584</v>
      </c>
      <c r="G75" t="s">
        <v>583</v>
      </c>
      <c r="H75" t="s">
        <v>4</v>
      </c>
      <c r="I75" t="str">
        <f>_xlfn.XLOOKUP(F75,'Lookup List'!A:A,'Lookup List'!B:B,FALSE)</f>
        <v>Design</v>
      </c>
      <c r="J75" s="10" t="str">
        <f t="shared" si="1"/>
        <v>31/01/2025</v>
      </c>
      <c r="K75">
        <f>_xlfn.XLOOKUP(J75,'Wk no''s'!D:D,'Wk no''s'!C:C,FALSE)</f>
        <v>5</v>
      </c>
    </row>
    <row r="76" spans="1:11" x14ac:dyDescent="0.3">
      <c r="A76" t="s">
        <v>582</v>
      </c>
      <c r="B76" t="s">
        <v>581</v>
      </c>
      <c r="C76" t="s">
        <v>580</v>
      </c>
      <c r="D76" s="7" t="s">
        <v>888</v>
      </c>
      <c r="E76" t="s">
        <v>90</v>
      </c>
      <c r="F76" t="s">
        <v>73</v>
      </c>
      <c r="G76" t="s">
        <v>579</v>
      </c>
      <c r="H76" t="s">
        <v>1</v>
      </c>
      <c r="I76" t="str">
        <f>_xlfn.XLOOKUP(F76,'Lookup List'!A:A,'Lookup List'!B:B,FALSE)</f>
        <v>01 SOP</v>
      </c>
      <c r="J76" s="10" t="str">
        <f t="shared" si="1"/>
        <v>03/02/2025</v>
      </c>
      <c r="K76">
        <f>_xlfn.XLOOKUP(J76,'Wk no''s'!D:D,'Wk no''s'!C:C,FALSE)</f>
        <v>6</v>
      </c>
    </row>
    <row r="77" spans="1:11" x14ac:dyDescent="0.3">
      <c r="A77" t="s">
        <v>222</v>
      </c>
      <c r="B77" t="s">
        <v>221</v>
      </c>
      <c r="C77" t="s">
        <v>576</v>
      </c>
      <c r="D77" s="7" t="s">
        <v>889</v>
      </c>
      <c r="E77" t="s">
        <v>370</v>
      </c>
      <c r="F77" t="s">
        <v>156</v>
      </c>
      <c r="G77" t="s">
        <v>578</v>
      </c>
      <c r="H77" t="s">
        <v>1</v>
      </c>
      <c r="I77" t="str">
        <f>_xlfn.XLOOKUP(F77,'Lookup List'!A:A,'Lookup List'!B:B,FALSE)</f>
        <v>02 Product Design</v>
      </c>
      <c r="J77" s="10" t="str">
        <f t="shared" si="1"/>
        <v>04/02/2025</v>
      </c>
      <c r="K77">
        <f>_xlfn.XLOOKUP(J77,'Wk no''s'!D:D,'Wk no''s'!C:C,FALSE)</f>
        <v>6</v>
      </c>
    </row>
    <row r="78" spans="1:11" x14ac:dyDescent="0.3">
      <c r="A78" t="s">
        <v>222</v>
      </c>
      <c r="B78" t="s">
        <v>221</v>
      </c>
      <c r="C78" t="s">
        <v>576</v>
      </c>
      <c r="D78" s="7" t="s">
        <v>890</v>
      </c>
      <c r="E78" t="s">
        <v>74</v>
      </c>
      <c r="F78" t="s">
        <v>73</v>
      </c>
      <c r="G78" t="s">
        <v>577</v>
      </c>
      <c r="H78" t="s">
        <v>1</v>
      </c>
      <c r="I78" t="str">
        <f>_xlfn.XLOOKUP(F78,'Lookup List'!A:A,'Lookup List'!B:B,FALSE)</f>
        <v>01 SOP</v>
      </c>
      <c r="J78" s="10" t="str">
        <f t="shared" si="1"/>
        <v>05/02/2025</v>
      </c>
      <c r="K78">
        <f>_xlfn.XLOOKUP(J78,'Wk no''s'!D:D,'Wk no''s'!C:C,FALSE)</f>
        <v>6</v>
      </c>
    </row>
    <row r="79" spans="1:11" x14ac:dyDescent="0.3">
      <c r="A79" t="s">
        <v>222</v>
      </c>
      <c r="B79" t="s">
        <v>221</v>
      </c>
      <c r="C79" t="s">
        <v>576</v>
      </c>
      <c r="D79" s="7" t="s">
        <v>891</v>
      </c>
      <c r="E79" t="s">
        <v>74</v>
      </c>
      <c r="F79" t="s">
        <v>73</v>
      </c>
      <c r="G79" t="s">
        <v>575</v>
      </c>
      <c r="H79" t="s">
        <v>1</v>
      </c>
      <c r="I79" t="str">
        <f>_xlfn.XLOOKUP(F79,'Lookup List'!A:A,'Lookup List'!B:B,FALSE)</f>
        <v>01 SOP</v>
      </c>
      <c r="J79" s="10" t="str">
        <f t="shared" si="1"/>
        <v>05/02/2025</v>
      </c>
      <c r="K79">
        <f>_xlfn.XLOOKUP(J79,'Wk no''s'!D:D,'Wk no''s'!C:C,FALSE)</f>
        <v>6</v>
      </c>
    </row>
    <row r="80" spans="1:11" x14ac:dyDescent="0.3">
      <c r="A80" t="s">
        <v>71</v>
      </c>
      <c r="B80" t="s">
        <v>124</v>
      </c>
      <c r="C80" t="s">
        <v>38</v>
      </c>
      <c r="D80" s="7" t="s">
        <v>892</v>
      </c>
      <c r="E80" t="s">
        <v>370</v>
      </c>
      <c r="F80" t="s">
        <v>100</v>
      </c>
      <c r="G80" t="s">
        <v>574</v>
      </c>
      <c r="H80" t="s">
        <v>1</v>
      </c>
      <c r="I80" t="str">
        <f>_xlfn.XLOOKUP(F80,'Lookup List'!A:A,'Lookup List'!B:B,FALSE)</f>
        <v>02 Product Design</v>
      </c>
      <c r="J80" s="10" t="str">
        <f t="shared" si="1"/>
        <v>05/02/2025</v>
      </c>
      <c r="K80">
        <f>_xlfn.XLOOKUP(J80,'Wk no''s'!D:D,'Wk no''s'!C:C,FALSE)</f>
        <v>6</v>
      </c>
    </row>
    <row r="81" spans="1:11" x14ac:dyDescent="0.3">
      <c r="A81" t="s">
        <v>484</v>
      </c>
      <c r="B81" t="s">
        <v>483</v>
      </c>
      <c r="C81" t="s">
        <v>573</v>
      </c>
      <c r="D81" s="7" t="s">
        <v>893</v>
      </c>
      <c r="E81" t="s">
        <v>90</v>
      </c>
      <c r="F81" t="s">
        <v>73</v>
      </c>
      <c r="G81" t="s">
        <v>572</v>
      </c>
      <c r="H81" t="s">
        <v>1</v>
      </c>
      <c r="I81" t="str">
        <f>_xlfn.XLOOKUP(F81,'Lookup List'!A:A,'Lookup List'!B:B,FALSE)</f>
        <v>01 SOP</v>
      </c>
      <c r="J81" s="10" t="str">
        <f t="shared" si="1"/>
        <v>05/02/2025</v>
      </c>
      <c r="K81">
        <f>_xlfn.XLOOKUP(J81,'Wk no''s'!D:D,'Wk no''s'!C:C,FALSE)</f>
        <v>6</v>
      </c>
    </row>
    <row r="82" spans="1:11" x14ac:dyDescent="0.3">
      <c r="A82" t="s">
        <v>71</v>
      </c>
      <c r="B82" t="s">
        <v>571</v>
      </c>
      <c r="C82" t="s">
        <v>271</v>
      </c>
      <c r="D82" s="7" t="s">
        <v>894</v>
      </c>
      <c r="E82" t="s">
        <v>570</v>
      </c>
      <c r="F82" t="s">
        <v>56</v>
      </c>
      <c r="G82" t="s">
        <v>569</v>
      </c>
      <c r="H82" t="s">
        <v>1</v>
      </c>
      <c r="I82" t="str">
        <f>_xlfn.XLOOKUP(F82,'Lookup List'!A:A,'Lookup List'!B:B,FALSE)</f>
        <v>Lighting Supplier</v>
      </c>
      <c r="J82" s="10" t="str">
        <f t="shared" si="1"/>
        <v>06/02/2025</v>
      </c>
      <c r="K82">
        <f>_xlfn.XLOOKUP(J82,'Wk no''s'!D:D,'Wk no''s'!C:C,FALSE)</f>
        <v>6</v>
      </c>
    </row>
    <row r="83" spans="1:11" x14ac:dyDescent="0.3">
      <c r="A83" t="s">
        <v>568</v>
      </c>
      <c r="B83" t="s">
        <v>567</v>
      </c>
      <c r="C83" t="s">
        <v>566</v>
      </c>
      <c r="D83" s="7" t="s">
        <v>895</v>
      </c>
      <c r="E83" t="s">
        <v>74</v>
      </c>
      <c r="F83" t="s">
        <v>73</v>
      </c>
      <c r="G83" t="s">
        <v>565</v>
      </c>
      <c r="H83" t="s">
        <v>1</v>
      </c>
      <c r="I83" t="str">
        <f>_xlfn.XLOOKUP(F83,'Lookup List'!A:A,'Lookup List'!B:B,FALSE)</f>
        <v>01 SOP</v>
      </c>
      <c r="J83" s="10" t="str">
        <f t="shared" si="1"/>
        <v>07/02/2025</v>
      </c>
      <c r="K83">
        <f>_xlfn.XLOOKUP(J83,'Wk no''s'!D:D,'Wk no''s'!C:C,FALSE)</f>
        <v>6</v>
      </c>
    </row>
    <row r="84" spans="1:11" x14ac:dyDescent="0.3">
      <c r="A84" t="s">
        <v>275</v>
      </c>
      <c r="B84" t="s">
        <v>563</v>
      </c>
      <c r="C84" t="s">
        <v>562</v>
      </c>
      <c r="D84" s="7" t="s">
        <v>896</v>
      </c>
      <c r="E84" t="s">
        <v>52</v>
      </c>
      <c r="F84" t="s">
        <v>219</v>
      </c>
      <c r="G84" t="s">
        <v>564</v>
      </c>
      <c r="H84" t="s">
        <v>1</v>
      </c>
      <c r="I84" t="str">
        <f>_xlfn.XLOOKUP(F84,'Lookup List'!A:A,'Lookup List'!B:B,FALSE)</f>
        <v>Warehouse</v>
      </c>
      <c r="J84" s="10" t="str">
        <f t="shared" si="1"/>
        <v>07/02/2025</v>
      </c>
      <c r="K84">
        <f>_xlfn.XLOOKUP(J84,'Wk no''s'!D:D,'Wk no''s'!C:C,FALSE)</f>
        <v>6</v>
      </c>
    </row>
    <row r="85" spans="1:11" x14ac:dyDescent="0.3">
      <c r="A85" t="s">
        <v>275</v>
      </c>
      <c r="B85" t="s">
        <v>563</v>
      </c>
      <c r="C85" t="s">
        <v>562</v>
      </c>
      <c r="D85" s="7" t="s">
        <v>897</v>
      </c>
      <c r="E85" t="s">
        <v>90</v>
      </c>
      <c r="F85" t="s">
        <v>89</v>
      </c>
      <c r="G85" t="s">
        <v>561</v>
      </c>
      <c r="H85" t="s">
        <v>1</v>
      </c>
      <c r="I85" t="str">
        <f>_xlfn.XLOOKUP(F85,'Lookup List'!A:A,'Lookup List'!B:B,FALSE)</f>
        <v>Salesforce</v>
      </c>
      <c r="J85" s="10" t="str">
        <f t="shared" si="1"/>
        <v>07/02/2025</v>
      </c>
      <c r="K85">
        <f>_xlfn.XLOOKUP(J85,'Wk no''s'!D:D,'Wk no''s'!C:C,FALSE)</f>
        <v>6</v>
      </c>
    </row>
    <row r="86" spans="1:11" x14ac:dyDescent="0.3">
      <c r="A86" t="s">
        <v>49</v>
      </c>
      <c r="B86" t="s">
        <v>560</v>
      </c>
      <c r="C86" t="s">
        <v>559</v>
      </c>
      <c r="D86" s="7" t="s">
        <v>898</v>
      </c>
      <c r="E86" t="s">
        <v>122</v>
      </c>
      <c r="F86" t="s">
        <v>121</v>
      </c>
      <c r="G86" t="s">
        <v>558</v>
      </c>
      <c r="H86" t="s">
        <v>4</v>
      </c>
      <c r="I86" t="str">
        <f>_xlfn.XLOOKUP(F86,'Lookup List'!A:A,'Lookup List'!B:B,FALSE)</f>
        <v>Transport</v>
      </c>
      <c r="J86" s="10" t="str">
        <f t="shared" si="1"/>
        <v>04/02/2025</v>
      </c>
      <c r="K86">
        <f>_xlfn.XLOOKUP(J86,'Wk no''s'!D:D,'Wk no''s'!C:C,FALSE)</f>
        <v>6</v>
      </c>
    </row>
    <row r="87" spans="1:11" x14ac:dyDescent="0.3">
      <c r="A87" t="s">
        <v>49</v>
      </c>
      <c r="B87" t="s">
        <v>287</v>
      </c>
      <c r="C87" t="s">
        <v>19</v>
      </c>
      <c r="D87" s="7" t="s">
        <v>899</v>
      </c>
      <c r="E87" t="s">
        <v>47</v>
      </c>
      <c r="F87" t="s">
        <v>470</v>
      </c>
      <c r="G87" t="s">
        <v>557</v>
      </c>
      <c r="H87" t="s">
        <v>4</v>
      </c>
      <c r="I87" t="str">
        <f>_xlfn.XLOOKUP(F87,'Lookup List'!A:A,'Lookup List'!B:B,FALSE)</f>
        <v>Press</v>
      </c>
      <c r="J87" s="10" t="str">
        <f t="shared" si="1"/>
        <v>07/02/2025</v>
      </c>
      <c r="K87">
        <f>_xlfn.XLOOKUP(J87,'Wk no''s'!D:D,'Wk no''s'!C:C,FALSE)</f>
        <v>6</v>
      </c>
    </row>
    <row r="88" spans="1:11" x14ac:dyDescent="0.3">
      <c r="A88" t="s">
        <v>207</v>
      </c>
      <c r="B88" t="s">
        <v>462</v>
      </c>
      <c r="C88" t="s">
        <v>205</v>
      </c>
      <c r="D88" s="7" t="s">
        <v>900</v>
      </c>
      <c r="E88" t="s">
        <v>122</v>
      </c>
      <c r="F88" t="s">
        <v>121</v>
      </c>
      <c r="G88" t="s">
        <v>556</v>
      </c>
      <c r="H88" t="s">
        <v>37</v>
      </c>
      <c r="I88" t="str">
        <f>_xlfn.XLOOKUP(F88,'Lookup List'!A:A,'Lookup List'!B:B,FALSE)</f>
        <v>Transport</v>
      </c>
      <c r="J88" s="10" t="str">
        <f t="shared" si="1"/>
        <v>11/02/2025</v>
      </c>
      <c r="K88">
        <f>_xlfn.XLOOKUP(J88,'Wk no''s'!D:D,'Wk no''s'!C:C,FALSE)</f>
        <v>7</v>
      </c>
    </row>
    <row r="89" spans="1:11" x14ac:dyDescent="0.3">
      <c r="A89" t="s">
        <v>555</v>
      </c>
      <c r="B89" t="s">
        <v>554</v>
      </c>
      <c r="C89" t="s">
        <v>2</v>
      </c>
      <c r="D89" s="7" t="s">
        <v>901</v>
      </c>
      <c r="E89" t="s">
        <v>553</v>
      </c>
      <c r="F89" t="s">
        <v>253</v>
      </c>
      <c r="G89" t="s">
        <v>552</v>
      </c>
      <c r="H89" t="s">
        <v>1</v>
      </c>
      <c r="I89" t="str">
        <f>_xlfn.XLOOKUP(F89,'Lookup List'!A:A,'Lookup List'!B:B,FALSE)</f>
        <v>Estimating</v>
      </c>
      <c r="J89" s="10" t="str">
        <f t="shared" si="1"/>
        <v>11/02/2025</v>
      </c>
      <c r="K89">
        <f>_xlfn.XLOOKUP(J89,'Wk no''s'!D:D,'Wk no''s'!C:C,FALSE)</f>
        <v>7</v>
      </c>
    </row>
    <row r="90" spans="1:11" x14ac:dyDescent="0.3">
      <c r="A90" t="s">
        <v>296</v>
      </c>
      <c r="B90" t="s">
        <v>551</v>
      </c>
      <c r="C90" t="s">
        <v>550</v>
      </c>
      <c r="D90" s="7" t="s">
        <v>902</v>
      </c>
      <c r="E90" t="s">
        <v>122</v>
      </c>
      <c r="F90" t="s">
        <v>177</v>
      </c>
      <c r="G90" t="s">
        <v>549</v>
      </c>
      <c r="H90" t="s">
        <v>1</v>
      </c>
      <c r="I90" t="str">
        <f>_xlfn.XLOOKUP(F90,'Lookup List'!A:A,'Lookup List'!B:B,FALSE)</f>
        <v>External Courier</v>
      </c>
      <c r="J90" s="10" t="str">
        <f t="shared" si="1"/>
        <v>11/02/2025</v>
      </c>
      <c r="K90">
        <f>_xlfn.XLOOKUP(J90,'Wk no''s'!D:D,'Wk no''s'!C:C,FALSE)</f>
        <v>7</v>
      </c>
    </row>
    <row r="91" spans="1:11" x14ac:dyDescent="0.3">
      <c r="A91" t="s">
        <v>548</v>
      </c>
      <c r="B91" t="s">
        <v>547</v>
      </c>
      <c r="C91" t="s">
        <v>546</v>
      </c>
      <c r="D91" s="7" t="s">
        <v>903</v>
      </c>
      <c r="E91" t="s">
        <v>545</v>
      </c>
      <c r="F91" t="s">
        <v>121</v>
      </c>
      <c r="G91" t="s">
        <v>544</v>
      </c>
      <c r="H91" t="s">
        <v>1</v>
      </c>
      <c r="I91" t="str">
        <f>_xlfn.XLOOKUP(F91,'Lookup List'!A:A,'Lookup List'!B:B,FALSE)</f>
        <v>Transport</v>
      </c>
      <c r="J91" s="10" t="str">
        <f t="shared" si="1"/>
        <v>11/02/2025</v>
      </c>
      <c r="K91">
        <f>_xlfn.XLOOKUP(J91,'Wk no''s'!D:D,'Wk no''s'!C:C,FALSE)</f>
        <v>7</v>
      </c>
    </row>
    <row r="92" spans="1:11" x14ac:dyDescent="0.3">
      <c r="A92" t="s">
        <v>342</v>
      </c>
      <c r="B92" t="s">
        <v>341</v>
      </c>
      <c r="C92" t="s">
        <v>31</v>
      </c>
      <c r="D92" s="7" t="s">
        <v>904</v>
      </c>
      <c r="E92" t="s">
        <v>47</v>
      </c>
      <c r="F92" t="s">
        <v>46</v>
      </c>
      <c r="G92" t="s">
        <v>543</v>
      </c>
      <c r="H92" t="s">
        <v>1</v>
      </c>
      <c r="I92" t="str">
        <f>_xlfn.XLOOKUP(F92,'Lookup List'!A:A,'Lookup List'!B:B,FALSE)</f>
        <v>03 Assembly</v>
      </c>
      <c r="J92" s="10" t="str">
        <f t="shared" si="1"/>
        <v>11/02/2025</v>
      </c>
      <c r="K92">
        <f>_xlfn.XLOOKUP(J92,'Wk no''s'!D:D,'Wk no''s'!C:C,FALSE)</f>
        <v>7</v>
      </c>
    </row>
    <row r="93" spans="1:11" x14ac:dyDescent="0.3">
      <c r="A93" t="s">
        <v>542</v>
      </c>
      <c r="B93" t="s">
        <v>541</v>
      </c>
      <c r="C93" t="s">
        <v>540</v>
      </c>
      <c r="D93" s="7" t="s">
        <v>905</v>
      </c>
      <c r="E93" t="s">
        <v>90</v>
      </c>
      <c r="F93" t="s">
        <v>73</v>
      </c>
      <c r="G93" t="s">
        <v>539</v>
      </c>
      <c r="H93" t="s">
        <v>1</v>
      </c>
      <c r="I93" t="str">
        <f>_xlfn.XLOOKUP(F93,'Lookup List'!A:A,'Lookup List'!B:B,FALSE)</f>
        <v>01 SOP</v>
      </c>
      <c r="J93" s="10" t="str">
        <f t="shared" si="1"/>
        <v>12/02/2025</v>
      </c>
      <c r="K93">
        <f>_xlfn.XLOOKUP(J93,'Wk no''s'!D:D,'Wk no''s'!C:C,FALSE)</f>
        <v>7</v>
      </c>
    </row>
    <row r="94" spans="1:11" x14ac:dyDescent="0.3">
      <c r="A94" t="s">
        <v>538</v>
      </c>
      <c r="B94" t="s">
        <v>537</v>
      </c>
      <c r="C94" t="s">
        <v>109</v>
      </c>
      <c r="D94" s="7" t="s">
        <v>906</v>
      </c>
      <c r="E94" t="s">
        <v>57</v>
      </c>
      <c r="F94" t="s">
        <v>56</v>
      </c>
      <c r="G94" t="s">
        <v>536</v>
      </c>
      <c r="H94" t="s">
        <v>1</v>
      </c>
      <c r="I94" t="str">
        <f>_xlfn.XLOOKUP(F94,'Lookup List'!A:A,'Lookup List'!B:B,FALSE)</f>
        <v>Lighting Supplier</v>
      </c>
      <c r="J94" s="10" t="str">
        <f t="shared" si="1"/>
        <v>14/02/2025</v>
      </c>
      <c r="K94">
        <f>_xlfn.XLOOKUP(J94,'Wk no''s'!D:D,'Wk no''s'!C:C,FALSE)</f>
        <v>7</v>
      </c>
    </row>
    <row r="95" spans="1:11" x14ac:dyDescent="0.3">
      <c r="A95" t="s">
        <v>535</v>
      </c>
      <c r="B95" t="s">
        <v>534</v>
      </c>
      <c r="C95" t="s">
        <v>197</v>
      </c>
      <c r="D95" s="7" t="s">
        <v>907</v>
      </c>
      <c r="E95" t="s">
        <v>68</v>
      </c>
      <c r="F95" t="s">
        <v>62</v>
      </c>
      <c r="G95" t="s">
        <v>533</v>
      </c>
      <c r="H95" t="s">
        <v>1</v>
      </c>
      <c r="I95" t="str">
        <f>_xlfn.XLOOKUP(F95,'Lookup List'!A:A,'Lookup List'!B:B,FALSE)</f>
        <v>Customer</v>
      </c>
      <c r="J95" s="10" t="str">
        <f t="shared" si="1"/>
        <v>14/02/2025</v>
      </c>
      <c r="K95">
        <f>_xlfn.XLOOKUP(J95,'Wk no''s'!D:D,'Wk no''s'!C:C,FALSE)</f>
        <v>7</v>
      </c>
    </row>
    <row r="96" spans="1:11" x14ac:dyDescent="0.3">
      <c r="A96" t="s">
        <v>532</v>
      </c>
      <c r="B96" t="s">
        <v>531</v>
      </c>
      <c r="C96" t="s">
        <v>530</v>
      </c>
      <c r="D96" s="7" t="s">
        <v>908</v>
      </c>
      <c r="E96" t="s">
        <v>74</v>
      </c>
      <c r="F96" t="s">
        <v>73</v>
      </c>
      <c r="G96" t="s">
        <v>529</v>
      </c>
      <c r="H96" t="s">
        <v>1</v>
      </c>
      <c r="I96" t="str">
        <f>_xlfn.XLOOKUP(F96,'Lookup List'!A:A,'Lookup List'!B:B,FALSE)</f>
        <v>01 SOP</v>
      </c>
      <c r="J96" s="10" t="str">
        <f t="shared" si="1"/>
        <v>14/02/2025</v>
      </c>
      <c r="K96">
        <f>_xlfn.XLOOKUP(J96,'Wk no''s'!D:D,'Wk no''s'!C:C,FALSE)</f>
        <v>7</v>
      </c>
    </row>
    <row r="97" spans="1:11" x14ac:dyDescent="0.3">
      <c r="A97" t="s">
        <v>49</v>
      </c>
      <c r="B97" t="s">
        <v>48</v>
      </c>
      <c r="C97" t="s">
        <v>24</v>
      </c>
      <c r="D97" s="7" t="s">
        <v>909</v>
      </c>
      <c r="E97" t="s">
        <v>370</v>
      </c>
      <c r="F97" t="s">
        <v>100</v>
      </c>
      <c r="G97" t="s">
        <v>528</v>
      </c>
      <c r="H97" t="s">
        <v>4</v>
      </c>
      <c r="I97" t="str">
        <f>_xlfn.XLOOKUP(F97,'Lookup List'!A:A,'Lookup List'!B:B,FALSE)</f>
        <v>02 Product Design</v>
      </c>
      <c r="J97" s="10" t="str">
        <f t="shared" si="1"/>
        <v>11/02/2025</v>
      </c>
      <c r="K97">
        <f>_xlfn.XLOOKUP(J97,'Wk no''s'!D:D,'Wk no''s'!C:C,FALSE)</f>
        <v>7</v>
      </c>
    </row>
    <row r="98" spans="1:11" x14ac:dyDescent="0.3">
      <c r="A98" t="s">
        <v>430</v>
      </c>
      <c r="B98" t="s">
        <v>429</v>
      </c>
      <c r="C98" t="s">
        <v>527</v>
      </c>
      <c r="D98" s="7" t="s">
        <v>910</v>
      </c>
      <c r="E98" t="s">
        <v>248</v>
      </c>
      <c r="F98" t="s">
        <v>284</v>
      </c>
      <c r="G98" t="s">
        <v>526</v>
      </c>
      <c r="H98" t="s">
        <v>0</v>
      </c>
      <c r="I98" t="str">
        <f>_xlfn.XLOOKUP(F98,'Lookup List'!A:A,'Lookup List'!B:B,FALSE)</f>
        <v>01 Export SOP</v>
      </c>
      <c r="J98" s="10" t="str">
        <f t="shared" si="1"/>
        <v>21/02/2025</v>
      </c>
      <c r="K98">
        <f>_xlfn.XLOOKUP(J98,'Wk no''s'!D:D,'Wk no''s'!C:C,FALSE)</f>
        <v>8</v>
      </c>
    </row>
    <row r="99" spans="1:11" x14ac:dyDescent="0.3">
      <c r="A99" t="s">
        <v>162</v>
      </c>
      <c r="B99" t="s">
        <v>161</v>
      </c>
      <c r="C99" t="s">
        <v>525</v>
      </c>
      <c r="D99" s="7" t="s">
        <v>911</v>
      </c>
      <c r="E99" t="s">
        <v>47</v>
      </c>
      <c r="F99" t="s">
        <v>46</v>
      </c>
      <c r="G99" t="s">
        <v>524</v>
      </c>
      <c r="H99" t="s">
        <v>3</v>
      </c>
      <c r="I99" t="str">
        <f>_xlfn.XLOOKUP(F99,'Lookup List'!A:A,'Lookup List'!B:B,FALSE)</f>
        <v>03 Assembly</v>
      </c>
      <c r="J99" s="10" t="str">
        <f t="shared" si="1"/>
        <v>20/02/2025</v>
      </c>
      <c r="K99">
        <f>_xlfn.XLOOKUP(J99,'Wk no''s'!D:D,'Wk no''s'!C:C,FALSE)</f>
        <v>8</v>
      </c>
    </row>
    <row r="100" spans="1:11" x14ac:dyDescent="0.3">
      <c r="A100" t="s">
        <v>523</v>
      </c>
      <c r="B100" t="s">
        <v>522</v>
      </c>
      <c r="C100" t="s">
        <v>521</v>
      </c>
      <c r="D100" s="7" t="s">
        <v>912</v>
      </c>
      <c r="E100" t="s">
        <v>122</v>
      </c>
      <c r="F100" t="s">
        <v>121</v>
      </c>
      <c r="G100" t="s">
        <v>520</v>
      </c>
      <c r="H100" t="s">
        <v>93</v>
      </c>
      <c r="I100" t="str">
        <f>_xlfn.XLOOKUP(F100,'Lookup List'!A:A,'Lookup List'!B:B,FALSE)</f>
        <v>Transport</v>
      </c>
      <c r="J100" s="10" t="str">
        <f t="shared" si="1"/>
        <v>17/02/2025</v>
      </c>
      <c r="K100">
        <f>_xlfn.XLOOKUP(J100,'Wk no''s'!D:D,'Wk no''s'!C:C,FALSE)</f>
        <v>8</v>
      </c>
    </row>
    <row r="101" spans="1:11" x14ac:dyDescent="0.3">
      <c r="A101" t="s">
        <v>145</v>
      </c>
      <c r="B101" t="s">
        <v>303</v>
      </c>
      <c r="C101" t="s">
        <v>519</v>
      </c>
      <c r="D101" s="7" t="s">
        <v>913</v>
      </c>
      <c r="E101" t="s">
        <v>90</v>
      </c>
      <c r="F101" t="s">
        <v>89</v>
      </c>
      <c r="G101" t="s">
        <v>518</v>
      </c>
      <c r="H101" t="s">
        <v>1</v>
      </c>
      <c r="I101" t="str">
        <f>_xlfn.XLOOKUP(F101,'Lookup List'!A:A,'Lookup List'!B:B,FALSE)</f>
        <v>Salesforce</v>
      </c>
      <c r="J101" s="10" t="str">
        <f t="shared" si="1"/>
        <v>17/02/2025</v>
      </c>
      <c r="K101">
        <f>_xlfn.XLOOKUP(J101,'Wk no''s'!D:D,'Wk no''s'!C:C,FALSE)</f>
        <v>8</v>
      </c>
    </row>
    <row r="102" spans="1:11" x14ac:dyDescent="0.3">
      <c r="A102" t="s">
        <v>517</v>
      </c>
      <c r="B102" t="s">
        <v>516</v>
      </c>
      <c r="C102" t="s">
        <v>515</v>
      </c>
      <c r="D102" s="7" t="s">
        <v>914</v>
      </c>
      <c r="E102" t="s">
        <v>68</v>
      </c>
      <c r="F102" t="s">
        <v>62</v>
      </c>
      <c r="G102" t="s">
        <v>514</v>
      </c>
      <c r="H102" t="s">
        <v>1</v>
      </c>
      <c r="I102" t="str">
        <f>_xlfn.XLOOKUP(F102,'Lookup List'!A:A,'Lookup List'!B:B,FALSE)</f>
        <v>Customer</v>
      </c>
      <c r="J102" s="10" t="str">
        <f t="shared" si="1"/>
        <v>17/02/2025</v>
      </c>
      <c r="K102">
        <f>_xlfn.XLOOKUP(J102,'Wk no''s'!D:D,'Wk no''s'!C:C,FALSE)</f>
        <v>8</v>
      </c>
    </row>
    <row r="103" spans="1:11" x14ac:dyDescent="0.3">
      <c r="A103" t="s">
        <v>440</v>
      </c>
      <c r="B103" t="s">
        <v>513</v>
      </c>
      <c r="C103" t="s">
        <v>438</v>
      </c>
      <c r="D103" s="7" t="s">
        <v>915</v>
      </c>
      <c r="E103" t="s">
        <v>370</v>
      </c>
      <c r="F103" t="s">
        <v>156</v>
      </c>
      <c r="G103" t="s">
        <v>512</v>
      </c>
      <c r="H103" t="s">
        <v>1</v>
      </c>
      <c r="I103" t="str">
        <f>_xlfn.XLOOKUP(F103,'Lookup List'!A:A,'Lookup List'!B:B,FALSE)</f>
        <v>02 Product Design</v>
      </c>
      <c r="J103" s="10" t="str">
        <f t="shared" si="1"/>
        <v>17/02/2025</v>
      </c>
      <c r="K103">
        <f>_xlfn.XLOOKUP(J103,'Wk no''s'!D:D,'Wk no''s'!C:C,FALSE)</f>
        <v>8</v>
      </c>
    </row>
    <row r="104" spans="1:11" x14ac:dyDescent="0.3">
      <c r="A104" t="s">
        <v>511</v>
      </c>
      <c r="B104" t="s">
        <v>510</v>
      </c>
      <c r="C104" t="s">
        <v>509</v>
      </c>
      <c r="D104" s="7" t="s">
        <v>916</v>
      </c>
      <c r="E104" t="s">
        <v>370</v>
      </c>
      <c r="F104" t="s">
        <v>84</v>
      </c>
      <c r="G104" t="s">
        <v>508</v>
      </c>
      <c r="H104" t="s">
        <v>1</v>
      </c>
      <c r="I104" t="str">
        <f>_xlfn.XLOOKUP(F104,'Lookup List'!A:A,'Lookup List'!B:B,FALSE)</f>
        <v>Fast Track</v>
      </c>
      <c r="J104" s="10" t="str">
        <f t="shared" si="1"/>
        <v>19/02/2025</v>
      </c>
      <c r="K104">
        <f>_xlfn.XLOOKUP(J104,'Wk no''s'!D:D,'Wk no''s'!C:C,FALSE)</f>
        <v>8</v>
      </c>
    </row>
    <row r="105" spans="1:11" x14ac:dyDescent="0.3">
      <c r="A105" t="s">
        <v>507</v>
      </c>
      <c r="B105" t="s">
        <v>506</v>
      </c>
      <c r="C105" t="s">
        <v>505</v>
      </c>
      <c r="D105" s="7" t="s">
        <v>917</v>
      </c>
      <c r="E105" t="s">
        <v>122</v>
      </c>
      <c r="F105" t="s">
        <v>177</v>
      </c>
      <c r="G105" t="s">
        <v>504</v>
      </c>
      <c r="H105" t="s">
        <v>1</v>
      </c>
      <c r="I105" t="str">
        <f>_xlfn.XLOOKUP(F105,'Lookup List'!A:A,'Lookup List'!B:B,FALSE)</f>
        <v>External Courier</v>
      </c>
      <c r="J105" s="10" t="str">
        <f t="shared" si="1"/>
        <v>19/02/2025</v>
      </c>
      <c r="K105">
        <f>_xlfn.XLOOKUP(J105,'Wk no''s'!D:D,'Wk no''s'!C:C,FALSE)</f>
        <v>8</v>
      </c>
    </row>
    <row r="106" spans="1:11" x14ac:dyDescent="0.3">
      <c r="A106" t="s">
        <v>503</v>
      </c>
      <c r="B106" t="s">
        <v>502</v>
      </c>
      <c r="C106" t="s">
        <v>501</v>
      </c>
      <c r="D106" s="7" t="s">
        <v>918</v>
      </c>
      <c r="E106" t="s">
        <v>63</v>
      </c>
      <c r="F106" t="s">
        <v>62</v>
      </c>
      <c r="G106" t="s">
        <v>500</v>
      </c>
      <c r="H106" t="s">
        <v>1</v>
      </c>
      <c r="I106" t="str">
        <f>_xlfn.XLOOKUP(F106,'Lookup List'!A:A,'Lookup List'!B:B,FALSE)</f>
        <v>Customer</v>
      </c>
      <c r="J106" s="10" t="str">
        <f t="shared" si="1"/>
        <v>19/02/2025</v>
      </c>
      <c r="K106">
        <f>_xlfn.XLOOKUP(J106,'Wk no''s'!D:D,'Wk no''s'!C:C,FALSE)</f>
        <v>8</v>
      </c>
    </row>
    <row r="107" spans="1:11" x14ac:dyDescent="0.3">
      <c r="A107" t="s">
        <v>107</v>
      </c>
      <c r="B107" t="s">
        <v>106</v>
      </c>
      <c r="C107" t="s">
        <v>105</v>
      </c>
      <c r="D107" s="7" t="s">
        <v>919</v>
      </c>
      <c r="E107" t="s">
        <v>138</v>
      </c>
      <c r="F107" t="s">
        <v>51</v>
      </c>
      <c r="G107" t="s">
        <v>499</v>
      </c>
      <c r="H107" t="s">
        <v>1</v>
      </c>
      <c r="I107" t="str">
        <f>_xlfn.XLOOKUP(F107,'Lookup List'!A:A,'Lookup List'!B:B,FALSE)</f>
        <v>03 Shop Floor</v>
      </c>
      <c r="J107" s="10" t="str">
        <f t="shared" si="1"/>
        <v>20/02/2025</v>
      </c>
      <c r="K107">
        <f>_xlfn.XLOOKUP(J107,'Wk no''s'!D:D,'Wk no''s'!C:C,FALSE)</f>
        <v>8</v>
      </c>
    </row>
    <row r="108" spans="1:11" x14ac:dyDescent="0.3">
      <c r="A108" t="s">
        <v>107</v>
      </c>
      <c r="B108" t="s">
        <v>106</v>
      </c>
      <c r="C108" t="s">
        <v>105</v>
      </c>
      <c r="D108" s="7" t="s">
        <v>920</v>
      </c>
      <c r="E108" t="s">
        <v>52</v>
      </c>
      <c r="F108" t="s">
        <v>46</v>
      </c>
      <c r="G108" t="s">
        <v>498</v>
      </c>
      <c r="H108" t="s">
        <v>1</v>
      </c>
      <c r="I108" t="str">
        <f>_xlfn.XLOOKUP(F108,'Lookup List'!A:A,'Lookup List'!B:B,FALSE)</f>
        <v>03 Assembly</v>
      </c>
      <c r="J108" s="10" t="str">
        <f t="shared" si="1"/>
        <v>21/02/2025</v>
      </c>
      <c r="K108">
        <f>_xlfn.XLOOKUP(J108,'Wk no''s'!D:D,'Wk no''s'!C:C,FALSE)</f>
        <v>8</v>
      </c>
    </row>
    <row r="109" spans="1:11" x14ac:dyDescent="0.3">
      <c r="A109" t="s">
        <v>49</v>
      </c>
      <c r="B109" t="s">
        <v>48</v>
      </c>
      <c r="C109" t="s">
        <v>21</v>
      </c>
      <c r="D109" s="7" t="s">
        <v>921</v>
      </c>
      <c r="E109" t="s">
        <v>47</v>
      </c>
      <c r="F109" t="s">
        <v>51</v>
      </c>
      <c r="G109" t="s">
        <v>497</v>
      </c>
      <c r="H109" t="s">
        <v>4</v>
      </c>
      <c r="I109" t="str">
        <f>_xlfn.XLOOKUP(F109,'Lookup List'!A:A,'Lookup List'!B:B,FALSE)</f>
        <v>03 Shop Floor</v>
      </c>
      <c r="J109" s="10" t="str">
        <f t="shared" si="1"/>
        <v>17/02/2025</v>
      </c>
      <c r="K109">
        <f>_xlfn.XLOOKUP(J109,'Wk no''s'!D:D,'Wk no''s'!C:C,FALSE)</f>
        <v>8</v>
      </c>
    </row>
    <row r="110" spans="1:11" x14ac:dyDescent="0.3">
      <c r="A110" t="s">
        <v>207</v>
      </c>
      <c r="B110" t="s">
        <v>494</v>
      </c>
      <c r="C110" t="s">
        <v>493</v>
      </c>
      <c r="D110" s="7" t="s">
        <v>922</v>
      </c>
      <c r="E110" t="s">
        <v>385</v>
      </c>
      <c r="F110" t="s">
        <v>396</v>
      </c>
      <c r="G110" t="s">
        <v>496</v>
      </c>
      <c r="H110" t="s">
        <v>37</v>
      </c>
      <c r="I110" t="str">
        <f>_xlfn.XLOOKUP(F110,'Lookup List'!A:A,'Lookup List'!B:B,FALSE)</f>
        <v>03 Assembly Block 2</v>
      </c>
      <c r="J110" s="10" t="str">
        <f t="shared" si="1"/>
        <v>25/02/2025</v>
      </c>
      <c r="K110">
        <f>_xlfn.XLOOKUP(J110,'Wk no''s'!D:D,'Wk no''s'!C:C,FALSE)</f>
        <v>9</v>
      </c>
    </row>
    <row r="111" spans="1:11" x14ac:dyDescent="0.3">
      <c r="A111" t="s">
        <v>207</v>
      </c>
      <c r="B111" t="s">
        <v>494</v>
      </c>
      <c r="C111" t="s">
        <v>493</v>
      </c>
      <c r="D111" s="7" t="s">
        <v>923</v>
      </c>
      <c r="E111" t="s">
        <v>138</v>
      </c>
      <c r="F111" t="s">
        <v>396</v>
      </c>
      <c r="G111" t="s">
        <v>495</v>
      </c>
      <c r="H111" t="s">
        <v>37</v>
      </c>
      <c r="I111" t="str">
        <f>_xlfn.XLOOKUP(F111,'Lookup List'!A:A,'Lookup List'!B:B,FALSE)</f>
        <v>03 Assembly Block 2</v>
      </c>
      <c r="J111" s="10" t="str">
        <f t="shared" si="1"/>
        <v>25/02/2025</v>
      </c>
      <c r="K111">
        <f>_xlfn.XLOOKUP(J111,'Wk no''s'!D:D,'Wk no''s'!C:C,FALSE)</f>
        <v>9</v>
      </c>
    </row>
    <row r="112" spans="1:11" x14ac:dyDescent="0.3">
      <c r="A112" t="s">
        <v>207</v>
      </c>
      <c r="B112" t="s">
        <v>494</v>
      </c>
      <c r="C112" t="s">
        <v>493</v>
      </c>
      <c r="D112" s="7" t="s">
        <v>924</v>
      </c>
      <c r="E112" t="s">
        <v>47</v>
      </c>
      <c r="F112" t="s">
        <v>470</v>
      </c>
      <c r="G112" t="s">
        <v>492</v>
      </c>
      <c r="H112" t="s">
        <v>37</v>
      </c>
      <c r="I112" t="str">
        <f>_xlfn.XLOOKUP(F112,'Lookup List'!A:A,'Lookup List'!B:B,FALSE)</f>
        <v>Press</v>
      </c>
      <c r="J112" s="10" t="str">
        <f t="shared" si="1"/>
        <v>25/02/2025</v>
      </c>
      <c r="K112">
        <f>_xlfn.XLOOKUP(J112,'Wk no''s'!D:D,'Wk no''s'!C:C,FALSE)</f>
        <v>9</v>
      </c>
    </row>
    <row r="113" spans="1:11" x14ac:dyDescent="0.3">
      <c r="A113" t="s">
        <v>207</v>
      </c>
      <c r="B113" t="s">
        <v>206</v>
      </c>
      <c r="C113" t="s">
        <v>205</v>
      </c>
      <c r="D113" s="7" t="s">
        <v>925</v>
      </c>
      <c r="E113" t="s">
        <v>175</v>
      </c>
      <c r="F113" t="s">
        <v>480</v>
      </c>
      <c r="G113" t="s">
        <v>491</v>
      </c>
      <c r="H113" t="s">
        <v>37</v>
      </c>
      <c r="I113" t="str">
        <f>_xlfn.XLOOKUP(F113,'Lookup List'!A:A,'Lookup List'!B:B,FALSE)</f>
        <v>Paintline</v>
      </c>
      <c r="J113" s="10" t="str">
        <f t="shared" si="1"/>
        <v>26/02/2025</v>
      </c>
      <c r="K113">
        <f>_xlfn.XLOOKUP(J113,'Wk no''s'!D:D,'Wk no''s'!C:C,FALSE)</f>
        <v>9</v>
      </c>
    </row>
    <row r="114" spans="1:11" x14ac:dyDescent="0.3">
      <c r="A114" t="s">
        <v>207</v>
      </c>
      <c r="B114" t="s">
        <v>206</v>
      </c>
      <c r="C114" t="s">
        <v>205</v>
      </c>
      <c r="D114" s="7" t="s">
        <v>926</v>
      </c>
      <c r="E114" t="s">
        <v>370</v>
      </c>
      <c r="F114" t="s">
        <v>156</v>
      </c>
      <c r="G114" t="s">
        <v>490</v>
      </c>
      <c r="H114" t="s">
        <v>37</v>
      </c>
      <c r="I114" t="str">
        <f>_xlfn.XLOOKUP(F114,'Lookup List'!A:A,'Lookup List'!B:B,FALSE)</f>
        <v>02 Product Design</v>
      </c>
      <c r="J114" s="10" t="str">
        <f t="shared" si="1"/>
        <v>28/02/2025</v>
      </c>
      <c r="K114">
        <f>_xlfn.XLOOKUP(J114,'Wk no''s'!D:D,'Wk no''s'!C:C,FALSE)</f>
        <v>9</v>
      </c>
    </row>
    <row r="115" spans="1:11" x14ac:dyDescent="0.3">
      <c r="A115" t="s">
        <v>489</v>
      </c>
      <c r="B115" t="s">
        <v>488</v>
      </c>
      <c r="C115" t="s">
        <v>487</v>
      </c>
      <c r="D115" s="7" t="s">
        <v>927</v>
      </c>
      <c r="E115" t="s">
        <v>266</v>
      </c>
      <c r="F115" t="s">
        <v>177</v>
      </c>
      <c r="G115" t="s">
        <v>486</v>
      </c>
      <c r="H115" t="s">
        <v>1</v>
      </c>
      <c r="I115" t="str">
        <f>_xlfn.XLOOKUP(F115,'Lookup List'!A:A,'Lookup List'!B:B,FALSE)</f>
        <v>External Courier</v>
      </c>
      <c r="J115" s="10" t="str">
        <f t="shared" si="1"/>
        <v>24/02/2025</v>
      </c>
      <c r="K115">
        <f>_xlfn.XLOOKUP(J115,'Wk no''s'!D:D,'Wk no''s'!C:C,FALSE)</f>
        <v>9</v>
      </c>
    </row>
    <row r="116" spans="1:11" x14ac:dyDescent="0.3">
      <c r="A116" t="s">
        <v>71</v>
      </c>
      <c r="B116" t="s">
        <v>70</v>
      </c>
      <c r="C116" t="s">
        <v>69</v>
      </c>
      <c r="D116" s="7" t="s">
        <v>928</v>
      </c>
      <c r="E116" t="s">
        <v>74</v>
      </c>
      <c r="F116" t="s">
        <v>73</v>
      </c>
      <c r="G116" t="s">
        <v>485</v>
      </c>
      <c r="H116" t="s">
        <v>1</v>
      </c>
      <c r="I116" t="str">
        <f>_xlfn.XLOOKUP(F116,'Lookup List'!A:A,'Lookup List'!B:B,FALSE)</f>
        <v>01 SOP</v>
      </c>
      <c r="J116" s="10" t="str">
        <f t="shared" si="1"/>
        <v>25/02/2025</v>
      </c>
      <c r="K116">
        <f>_xlfn.XLOOKUP(J116,'Wk no''s'!D:D,'Wk no''s'!C:C,FALSE)</f>
        <v>9</v>
      </c>
    </row>
    <row r="117" spans="1:11" x14ac:dyDescent="0.3">
      <c r="A117" t="s">
        <v>484</v>
      </c>
      <c r="B117" t="s">
        <v>483</v>
      </c>
      <c r="C117" t="s">
        <v>13</v>
      </c>
      <c r="D117" s="7" t="s">
        <v>929</v>
      </c>
      <c r="E117" t="s">
        <v>74</v>
      </c>
      <c r="F117" t="s">
        <v>73</v>
      </c>
      <c r="G117" t="s">
        <v>482</v>
      </c>
      <c r="H117" t="s">
        <v>1</v>
      </c>
      <c r="I117" t="str">
        <f>_xlfn.XLOOKUP(F117,'Lookup List'!A:A,'Lookup List'!B:B,FALSE)</f>
        <v>01 SOP</v>
      </c>
      <c r="J117" s="10" t="str">
        <f t="shared" si="1"/>
        <v>26/02/2025</v>
      </c>
      <c r="K117">
        <f>_xlfn.XLOOKUP(J117,'Wk no''s'!D:D,'Wk no''s'!C:C,FALSE)</f>
        <v>9</v>
      </c>
    </row>
    <row r="118" spans="1:11" x14ac:dyDescent="0.3">
      <c r="A118" t="s">
        <v>300</v>
      </c>
      <c r="B118" t="s">
        <v>373</v>
      </c>
      <c r="C118" t="s">
        <v>481</v>
      </c>
      <c r="D118" s="7" t="s">
        <v>930</v>
      </c>
      <c r="E118" t="s">
        <v>239</v>
      </c>
      <c r="F118" t="s">
        <v>480</v>
      </c>
      <c r="G118" t="s">
        <v>479</v>
      </c>
      <c r="H118" t="s">
        <v>1</v>
      </c>
      <c r="I118" t="str">
        <f>_xlfn.XLOOKUP(F118,'Lookup List'!A:A,'Lookup List'!B:B,FALSE)</f>
        <v>Paintline</v>
      </c>
      <c r="J118" s="10" t="str">
        <f t="shared" si="1"/>
        <v>27/02/2025</v>
      </c>
      <c r="K118">
        <f>_xlfn.XLOOKUP(J118,'Wk no''s'!D:D,'Wk no''s'!C:C,FALSE)</f>
        <v>9</v>
      </c>
    </row>
    <row r="119" spans="1:11" x14ac:dyDescent="0.3">
      <c r="A119" t="s">
        <v>77</v>
      </c>
      <c r="B119" t="s">
        <v>478</v>
      </c>
      <c r="C119" t="s">
        <v>75</v>
      </c>
      <c r="D119" s="7" t="s">
        <v>931</v>
      </c>
      <c r="E119" t="s">
        <v>63</v>
      </c>
      <c r="F119" t="s">
        <v>62</v>
      </c>
      <c r="G119" t="s">
        <v>477</v>
      </c>
      <c r="H119" t="s">
        <v>1</v>
      </c>
      <c r="I119" t="str">
        <f>_xlfn.XLOOKUP(F119,'Lookup List'!A:A,'Lookup List'!B:B,FALSE)</f>
        <v>Customer</v>
      </c>
      <c r="J119" s="10" t="str">
        <f t="shared" si="1"/>
        <v>27/02/2025</v>
      </c>
      <c r="K119">
        <f>_xlfn.XLOOKUP(J119,'Wk no''s'!D:D,'Wk no''s'!C:C,FALSE)</f>
        <v>9</v>
      </c>
    </row>
    <row r="120" spans="1:11" x14ac:dyDescent="0.3">
      <c r="A120" t="s">
        <v>475</v>
      </c>
      <c r="B120" t="s">
        <v>474</v>
      </c>
      <c r="C120" t="s">
        <v>473</v>
      </c>
      <c r="D120" s="7" t="s">
        <v>932</v>
      </c>
      <c r="E120" t="s">
        <v>52</v>
      </c>
      <c r="F120" t="s">
        <v>46</v>
      </c>
      <c r="G120" t="s">
        <v>476</v>
      </c>
      <c r="H120" t="s">
        <v>1</v>
      </c>
      <c r="I120" t="str">
        <f>_xlfn.XLOOKUP(F120,'Lookup List'!A:A,'Lookup List'!B:B,FALSE)</f>
        <v>03 Assembly</v>
      </c>
      <c r="J120" s="10" t="str">
        <f t="shared" si="1"/>
        <v>28/02/2025</v>
      </c>
      <c r="K120">
        <f>_xlfn.XLOOKUP(J120,'Wk no''s'!D:D,'Wk no''s'!C:C,FALSE)</f>
        <v>9</v>
      </c>
    </row>
    <row r="121" spans="1:11" x14ac:dyDescent="0.3">
      <c r="A121" t="s">
        <v>475</v>
      </c>
      <c r="B121" t="s">
        <v>474</v>
      </c>
      <c r="C121" t="s">
        <v>473</v>
      </c>
      <c r="D121" s="7" t="s">
        <v>933</v>
      </c>
      <c r="E121" t="s">
        <v>1081</v>
      </c>
      <c r="F121" t="s">
        <v>46</v>
      </c>
      <c r="G121" t="s">
        <v>472</v>
      </c>
      <c r="H121" t="s">
        <v>1</v>
      </c>
      <c r="I121" t="str">
        <f>_xlfn.XLOOKUP(F121,'Lookup List'!A:A,'Lookup List'!B:B,FALSE)</f>
        <v>03 Assembly</v>
      </c>
      <c r="J121" s="10" t="str">
        <f t="shared" si="1"/>
        <v>28/02/2025</v>
      </c>
      <c r="K121">
        <f>_xlfn.XLOOKUP(J121,'Wk no''s'!D:D,'Wk no''s'!C:C,FALSE)</f>
        <v>9</v>
      </c>
    </row>
    <row r="122" spans="1:11" x14ac:dyDescent="0.3">
      <c r="A122" t="s">
        <v>275</v>
      </c>
      <c r="B122" t="s">
        <v>274</v>
      </c>
      <c r="C122" t="s">
        <v>273</v>
      </c>
      <c r="D122" s="7" t="s">
        <v>934</v>
      </c>
      <c r="E122" t="s">
        <v>90</v>
      </c>
      <c r="F122" t="s">
        <v>89</v>
      </c>
      <c r="G122" t="s">
        <v>471</v>
      </c>
      <c r="H122" t="s">
        <v>1</v>
      </c>
      <c r="I122" t="str">
        <f>_xlfn.XLOOKUP(F122,'Lookup List'!A:A,'Lookup List'!B:B,FALSE)</f>
        <v>Salesforce</v>
      </c>
      <c r="J122" s="10" t="str">
        <f t="shared" si="1"/>
        <v>28/02/2025</v>
      </c>
      <c r="K122">
        <f>_xlfn.XLOOKUP(J122,'Wk no''s'!D:D,'Wk no''s'!C:C,FALSE)</f>
        <v>9</v>
      </c>
    </row>
    <row r="123" spans="1:11" x14ac:dyDescent="0.3">
      <c r="A123" t="s">
        <v>430</v>
      </c>
      <c r="B123" t="s">
        <v>429</v>
      </c>
      <c r="C123" t="s">
        <v>25</v>
      </c>
      <c r="D123" s="7" t="s">
        <v>935</v>
      </c>
      <c r="E123" t="s">
        <v>47</v>
      </c>
      <c r="F123" t="s">
        <v>470</v>
      </c>
      <c r="G123" t="s">
        <v>469</v>
      </c>
      <c r="H123" t="s">
        <v>0</v>
      </c>
      <c r="I123" t="str">
        <f>_xlfn.XLOOKUP(F123,'Lookup List'!A:A,'Lookup List'!B:B,FALSE)</f>
        <v>Press</v>
      </c>
      <c r="J123" s="10" t="str">
        <f t="shared" si="1"/>
        <v>04/03/2025</v>
      </c>
      <c r="K123">
        <f>_xlfn.XLOOKUP(J123,'Wk no''s'!D:D,'Wk no''s'!C:C,FALSE)</f>
        <v>10</v>
      </c>
    </row>
    <row r="124" spans="1:11" x14ac:dyDescent="0.3">
      <c r="A124" t="s">
        <v>98</v>
      </c>
      <c r="B124" t="s">
        <v>97</v>
      </c>
      <c r="C124" t="s">
        <v>96</v>
      </c>
      <c r="D124" s="7" t="s">
        <v>936</v>
      </c>
      <c r="E124" t="s">
        <v>79</v>
      </c>
      <c r="F124" t="s">
        <v>396</v>
      </c>
      <c r="G124" t="s">
        <v>468</v>
      </c>
      <c r="H124" t="s">
        <v>93</v>
      </c>
      <c r="I124" t="str">
        <f>_xlfn.XLOOKUP(F124,'Lookup List'!A:A,'Lookup List'!B:B,FALSE)</f>
        <v>03 Assembly Block 2</v>
      </c>
      <c r="J124" s="10" t="str">
        <f t="shared" si="1"/>
        <v>07/03/2025</v>
      </c>
      <c r="K124">
        <f>_xlfn.XLOOKUP(J124,'Wk no''s'!D:D,'Wk no''s'!C:C,FALSE)</f>
        <v>10</v>
      </c>
    </row>
    <row r="125" spans="1:11" x14ac:dyDescent="0.3">
      <c r="A125" t="s">
        <v>467</v>
      </c>
      <c r="B125" t="s">
        <v>466</v>
      </c>
      <c r="C125" t="s">
        <v>32</v>
      </c>
      <c r="D125" s="7" t="s">
        <v>937</v>
      </c>
      <c r="E125" t="s">
        <v>90</v>
      </c>
      <c r="F125" t="s">
        <v>253</v>
      </c>
      <c r="G125" t="s">
        <v>465</v>
      </c>
      <c r="H125" t="s">
        <v>9</v>
      </c>
      <c r="I125" t="str">
        <f>_xlfn.XLOOKUP(F125,'Lookup List'!A:A,'Lookup List'!B:B,FALSE)</f>
        <v>Estimating</v>
      </c>
      <c r="J125" s="10" t="str">
        <f t="shared" si="1"/>
        <v>06/03/2025</v>
      </c>
      <c r="K125">
        <f>_xlfn.XLOOKUP(J125,'Wk no''s'!D:D,'Wk no''s'!C:C,FALSE)</f>
        <v>10</v>
      </c>
    </row>
    <row r="126" spans="1:11" x14ac:dyDescent="0.3">
      <c r="A126" t="s">
        <v>207</v>
      </c>
      <c r="B126" t="s">
        <v>462</v>
      </c>
      <c r="C126" t="s">
        <v>205</v>
      </c>
      <c r="D126" s="7" t="s">
        <v>938</v>
      </c>
      <c r="E126" t="s">
        <v>79</v>
      </c>
      <c r="F126" t="s">
        <v>46</v>
      </c>
      <c r="G126" t="s">
        <v>464</v>
      </c>
      <c r="H126" t="s">
        <v>37</v>
      </c>
      <c r="I126" t="str">
        <f>_xlfn.XLOOKUP(F126,'Lookup List'!A:A,'Lookup List'!B:B,FALSE)</f>
        <v>03 Assembly</v>
      </c>
      <c r="J126" s="10" t="str">
        <f t="shared" si="1"/>
        <v>04/03/2025</v>
      </c>
      <c r="K126">
        <f>_xlfn.XLOOKUP(J126,'Wk no''s'!D:D,'Wk no''s'!C:C,FALSE)</f>
        <v>10</v>
      </c>
    </row>
    <row r="127" spans="1:11" x14ac:dyDescent="0.3">
      <c r="A127" t="s">
        <v>207</v>
      </c>
      <c r="B127" t="s">
        <v>462</v>
      </c>
      <c r="C127" t="s">
        <v>205</v>
      </c>
      <c r="D127" s="7" t="s">
        <v>939</v>
      </c>
      <c r="E127" t="s">
        <v>47</v>
      </c>
      <c r="F127" t="s">
        <v>51</v>
      </c>
      <c r="G127" t="s">
        <v>463</v>
      </c>
      <c r="H127" t="s">
        <v>37</v>
      </c>
      <c r="I127" t="str">
        <f>_xlfn.XLOOKUP(F127,'Lookup List'!A:A,'Lookup List'!B:B,FALSE)</f>
        <v>03 Shop Floor</v>
      </c>
      <c r="J127" s="10" t="str">
        <f t="shared" si="1"/>
        <v>05/03/2025</v>
      </c>
      <c r="K127">
        <f>_xlfn.XLOOKUP(J127,'Wk no''s'!D:D,'Wk no''s'!C:C,FALSE)</f>
        <v>10</v>
      </c>
    </row>
    <row r="128" spans="1:11" x14ac:dyDescent="0.3">
      <c r="A128" t="s">
        <v>207</v>
      </c>
      <c r="B128" t="s">
        <v>462</v>
      </c>
      <c r="C128" t="s">
        <v>205</v>
      </c>
      <c r="D128" s="7" t="s">
        <v>940</v>
      </c>
      <c r="E128" t="s">
        <v>79</v>
      </c>
      <c r="F128" t="s">
        <v>396</v>
      </c>
      <c r="G128" t="s">
        <v>461</v>
      </c>
      <c r="H128" t="s">
        <v>37</v>
      </c>
      <c r="I128" t="str">
        <f>_xlfn.XLOOKUP(F128,'Lookup List'!A:A,'Lookup List'!B:B,FALSE)</f>
        <v>03 Assembly Block 2</v>
      </c>
      <c r="J128" s="10" t="str">
        <f t="shared" si="1"/>
        <v>05/03/2025</v>
      </c>
      <c r="K128">
        <f>_xlfn.XLOOKUP(J128,'Wk no''s'!D:D,'Wk no''s'!C:C,FALSE)</f>
        <v>10</v>
      </c>
    </row>
    <row r="129" spans="1:11" x14ac:dyDescent="0.3">
      <c r="A129" t="s">
        <v>5996</v>
      </c>
      <c r="B129" t="s">
        <v>460</v>
      </c>
      <c r="C129" t="s">
        <v>5130</v>
      </c>
      <c r="D129" s="7" t="s">
        <v>941</v>
      </c>
      <c r="E129" t="s">
        <v>90</v>
      </c>
      <c r="F129" t="s">
        <v>89</v>
      </c>
      <c r="G129" t="s">
        <v>459</v>
      </c>
      <c r="H129" t="s">
        <v>1</v>
      </c>
      <c r="I129" t="str">
        <f>_xlfn.XLOOKUP(F129,'Lookup List'!A:A,'Lookup List'!B:B,FALSE)</f>
        <v>Salesforce</v>
      </c>
      <c r="J129" s="10" t="str">
        <f t="shared" si="1"/>
        <v>03/03/2025</v>
      </c>
      <c r="K129">
        <f>_xlfn.XLOOKUP(J129,'Wk no''s'!D:D,'Wk no''s'!C:C,FALSE)</f>
        <v>10</v>
      </c>
    </row>
    <row r="130" spans="1:11" x14ac:dyDescent="0.3">
      <c r="A130" t="s">
        <v>458</v>
      </c>
      <c r="B130" t="s">
        <v>457</v>
      </c>
      <c r="C130" t="s">
        <v>456</v>
      </c>
      <c r="D130" s="7" t="s">
        <v>942</v>
      </c>
      <c r="E130" t="s">
        <v>266</v>
      </c>
      <c r="F130" t="s">
        <v>177</v>
      </c>
      <c r="G130" t="s">
        <v>455</v>
      </c>
      <c r="H130" t="s">
        <v>1</v>
      </c>
      <c r="I130" t="str">
        <f>_xlfn.XLOOKUP(F130,'Lookup List'!A:A,'Lookup List'!B:B,FALSE)</f>
        <v>External Courier</v>
      </c>
      <c r="J130" s="10" t="str">
        <f t="shared" si="1"/>
        <v>04/03/2025</v>
      </c>
      <c r="K130">
        <f>_xlfn.XLOOKUP(J130,'Wk no''s'!D:D,'Wk no''s'!C:C,FALSE)</f>
        <v>10</v>
      </c>
    </row>
    <row r="131" spans="1:11" x14ac:dyDescent="0.3">
      <c r="A131" t="s">
        <v>77</v>
      </c>
      <c r="B131" t="s">
        <v>76</v>
      </c>
      <c r="C131" t="s">
        <v>197</v>
      </c>
      <c r="D131" s="7" t="s">
        <v>943</v>
      </c>
      <c r="E131" t="s">
        <v>74</v>
      </c>
      <c r="F131" t="s">
        <v>73</v>
      </c>
      <c r="G131" t="s">
        <v>454</v>
      </c>
      <c r="H131" t="s">
        <v>1</v>
      </c>
      <c r="I131" t="str">
        <f>_xlfn.XLOOKUP(F131,'Lookup List'!A:A,'Lookup List'!B:B,FALSE)</f>
        <v>01 SOP</v>
      </c>
      <c r="J131" s="10" t="str">
        <f t="shared" ref="J131:J194" si="2">LEFT(G131,10)</f>
        <v>04/03/2025</v>
      </c>
      <c r="K131">
        <f>_xlfn.XLOOKUP(J131,'Wk no''s'!D:D,'Wk no''s'!C:C,FALSE)</f>
        <v>10</v>
      </c>
    </row>
    <row r="132" spans="1:11" x14ac:dyDescent="0.3">
      <c r="A132" t="s">
        <v>453</v>
      </c>
      <c r="B132" t="s">
        <v>452</v>
      </c>
      <c r="C132" t="s">
        <v>451</v>
      </c>
      <c r="D132" s="7" t="s">
        <v>944</v>
      </c>
      <c r="E132" t="s">
        <v>138</v>
      </c>
      <c r="F132" t="s">
        <v>51</v>
      </c>
      <c r="G132" t="s">
        <v>450</v>
      </c>
      <c r="H132" t="s">
        <v>1</v>
      </c>
      <c r="I132" t="str">
        <f>_xlfn.XLOOKUP(F132,'Lookup List'!A:A,'Lookup List'!B:B,FALSE)</f>
        <v>03 Shop Floor</v>
      </c>
      <c r="J132" s="10" t="str">
        <f t="shared" si="2"/>
        <v>04/03/2025</v>
      </c>
      <c r="K132">
        <f>_xlfn.XLOOKUP(J132,'Wk no''s'!D:D,'Wk no''s'!C:C,FALSE)</f>
        <v>10</v>
      </c>
    </row>
    <row r="133" spans="1:11" x14ac:dyDescent="0.3">
      <c r="A133" t="s">
        <v>449</v>
      </c>
      <c r="B133" t="s">
        <v>448</v>
      </c>
      <c r="C133" t="s">
        <v>447</v>
      </c>
      <c r="D133" s="7" t="s">
        <v>945</v>
      </c>
      <c r="E133" t="s">
        <v>63</v>
      </c>
      <c r="F133" t="s">
        <v>62</v>
      </c>
      <c r="G133" t="s">
        <v>446</v>
      </c>
      <c r="H133" t="s">
        <v>1</v>
      </c>
      <c r="I133" t="str">
        <f>_xlfn.XLOOKUP(F133,'Lookup List'!A:A,'Lookup List'!B:B,FALSE)</f>
        <v>Customer</v>
      </c>
      <c r="J133" s="10" t="str">
        <f t="shared" si="2"/>
        <v>05/03/2025</v>
      </c>
      <c r="K133">
        <f>_xlfn.XLOOKUP(J133,'Wk no''s'!D:D,'Wk no''s'!C:C,FALSE)</f>
        <v>10</v>
      </c>
    </row>
    <row r="134" spans="1:11" x14ac:dyDescent="0.3">
      <c r="A134" t="s">
        <v>445</v>
      </c>
      <c r="B134" t="s">
        <v>444</v>
      </c>
      <c r="C134" t="s">
        <v>443</v>
      </c>
      <c r="D134" s="7" t="s">
        <v>946</v>
      </c>
      <c r="E134" t="s">
        <v>90</v>
      </c>
      <c r="F134" t="s">
        <v>253</v>
      </c>
      <c r="G134" t="s">
        <v>442</v>
      </c>
      <c r="H134" t="s">
        <v>1</v>
      </c>
      <c r="I134" t="str">
        <f>_xlfn.XLOOKUP(F134,'Lookup List'!A:A,'Lookup List'!B:B,FALSE)</f>
        <v>Estimating</v>
      </c>
      <c r="J134" s="10" t="str">
        <f t="shared" si="2"/>
        <v>05/03/2025</v>
      </c>
      <c r="K134">
        <f>_xlfn.XLOOKUP(J134,'Wk no''s'!D:D,'Wk no''s'!C:C,FALSE)</f>
        <v>10</v>
      </c>
    </row>
    <row r="135" spans="1:11" x14ac:dyDescent="0.3">
      <c r="A135" t="s">
        <v>77</v>
      </c>
      <c r="B135" t="s">
        <v>76</v>
      </c>
      <c r="C135" t="s">
        <v>75</v>
      </c>
      <c r="D135" s="7" t="s">
        <v>947</v>
      </c>
      <c r="E135" t="s">
        <v>52</v>
      </c>
      <c r="F135" t="s">
        <v>219</v>
      </c>
      <c r="G135" t="s">
        <v>441</v>
      </c>
      <c r="H135" t="s">
        <v>1</v>
      </c>
      <c r="I135" t="str">
        <f>_xlfn.XLOOKUP(F135,'Lookup List'!A:A,'Lookup List'!B:B,FALSE)</f>
        <v>Warehouse</v>
      </c>
      <c r="J135" s="10" t="str">
        <f t="shared" si="2"/>
        <v>06/03/2025</v>
      </c>
      <c r="K135">
        <f>_xlfn.XLOOKUP(J135,'Wk no''s'!D:D,'Wk no''s'!C:C,FALSE)</f>
        <v>10</v>
      </c>
    </row>
    <row r="136" spans="1:11" x14ac:dyDescent="0.3">
      <c r="A136" t="s">
        <v>440</v>
      </c>
      <c r="B136" t="s">
        <v>439</v>
      </c>
      <c r="C136" t="s">
        <v>438</v>
      </c>
      <c r="D136" s="7" t="s">
        <v>948</v>
      </c>
      <c r="E136" t="s">
        <v>90</v>
      </c>
      <c r="F136" t="s">
        <v>84</v>
      </c>
      <c r="G136" t="s">
        <v>437</v>
      </c>
      <c r="H136" t="s">
        <v>1</v>
      </c>
      <c r="I136" t="str">
        <f>_xlfn.XLOOKUP(F136,'Lookup List'!A:A,'Lookup List'!B:B,FALSE)</f>
        <v>Fast Track</v>
      </c>
      <c r="J136" s="10" t="str">
        <f t="shared" si="2"/>
        <v>06/03/2025</v>
      </c>
      <c r="K136">
        <f>_xlfn.XLOOKUP(J136,'Wk no''s'!D:D,'Wk no''s'!C:C,FALSE)</f>
        <v>10</v>
      </c>
    </row>
    <row r="137" spans="1:11" x14ac:dyDescent="0.3">
      <c r="A137" t="s">
        <v>296</v>
      </c>
      <c r="B137" t="s">
        <v>295</v>
      </c>
      <c r="C137" t="s">
        <v>783</v>
      </c>
      <c r="D137" s="7" t="s">
        <v>949</v>
      </c>
      <c r="E137" t="s">
        <v>47</v>
      </c>
      <c r="F137" t="s">
        <v>46</v>
      </c>
      <c r="G137" t="s">
        <v>436</v>
      </c>
      <c r="H137" t="s">
        <v>1</v>
      </c>
      <c r="I137" t="str">
        <f>_xlfn.XLOOKUP(F137,'Lookup List'!A:A,'Lookup List'!B:B,FALSE)</f>
        <v>03 Assembly</v>
      </c>
      <c r="J137" s="10" t="str">
        <f t="shared" si="2"/>
        <v>07/03/2025</v>
      </c>
      <c r="K137">
        <f>_xlfn.XLOOKUP(J137,'Wk no''s'!D:D,'Wk no''s'!C:C,FALSE)</f>
        <v>10</v>
      </c>
    </row>
    <row r="138" spans="1:11" x14ac:dyDescent="0.3">
      <c r="A138" t="s">
        <v>435</v>
      </c>
      <c r="B138" t="s">
        <v>434</v>
      </c>
      <c r="C138" t="s">
        <v>16</v>
      </c>
      <c r="D138" s="7" t="s">
        <v>950</v>
      </c>
      <c r="E138" t="s">
        <v>90</v>
      </c>
      <c r="F138" t="s">
        <v>253</v>
      </c>
      <c r="G138" t="s">
        <v>433</v>
      </c>
      <c r="H138" t="s">
        <v>1</v>
      </c>
      <c r="I138" t="str">
        <f>_xlfn.XLOOKUP(F138,'Lookup List'!A:A,'Lookup List'!B:B,FALSE)</f>
        <v>Estimating</v>
      </c>
      <c r="J138" s="10" t="str">
        <f t="shared" si="2"/>
        <v>07/03/2025</v>
      </c>
      <c r="K138">
        <f>_xlfn.XLOOKUP(J138,'Wk no''s'!D:D,'Wk no''s'!C:C,FALSE)</f>
        <v>10</v>
      </c>
    </row>
    <row r="139" spans="1:11" x14ac:dyDescent="0.3">
      <c r="A139" t="s">
        <v>145</v>
      </c>
      <c r="B139" t="s">
        <v>303</v>
      </c>
      <c r="C139" t="s">
        <v>432</v>
      </c>
      <c r="D139" s="7" t="s">
        <v>951</v>
      </c>
      <c r="E139" t="s">
        <v>63</v>
      </c>
      <c r="F139" t="s">
        <v>62</v>
      </c>
      <c r="G139" t="s">
        <v>431</v>
      </c>
      <c r="H139" t="s">
        <v>1</v>
      </c>
      <c r="I139" t="str">
        <f>_xlfn.XLOOKUP(F139,'Lookup List'!A:A,'Lookup List'!B:B,FALSE)</f>
        <v>Customer</v>
      </c>
      <c r="J139" s="10" t="str">
        <f t="shared" si="2"/>
        <v>07/03/2025</v>
      </c>
      <c r="K139">
        <f>_xlfn.XLOOKUP(J139,'Wk no''s'!D:D,'Wk no''s'!C:C,FALSE)</f>
        <v>10</v>
      </c>
    </row>
    <row r="140" spans="1:11" x14ac:dyDescent="0.3">
      <c r="A140" t="s">
        <v>430</v>
      </c>
      <c r="B140" t="s">
        <v>429</v>
      </c>
      <c r="C140" t="s">
        <v>428</v>
      </c>
      <c r="D140" s="7" t="s">
        <v>952</v>
      </c>
      <c r="E140" t="s">
        <v>63</v>
      </c>
      <c r="F140" t="s">
        <v>62</v>
      </c>
      <c r="G140" t="s">
        <v>427</v>
      </c>
      <c r="H140" t="s">
        <v>0</v>
      </c>
      <c r="I140" t="str">
        <f>_xlfn.XLOOKUP(F140,'Lookup List'!A:A,'Lookup List'!B:B,FALSE)</f>
        <v>Customer</v>
      </c>
      <c r="J140" s="10" t="str">
        <f t="shared" si="2"/>
        <v>13/03/2025</v>
      </c>
      <c r="K140">
        <f>_xlfn.XLOOKUP(J140,'Wk no''s'!D:D,'Wk no''s'!C:C,FALSE)</f>
        <v>11</v>
      </c>
    </row>
    <row r="141" spans="1:11" x14ac:dyDescent="0.3">
      <c r="A141" t="s">
        <v>207</v>
      </c>
      <c r="B141" t="s">
        <v>206</v>
      </c>
      <c r="C141" t="s">
        <v>205</v>
      </c>
      <c r="D141" s="7" t="s">
        <v>953</v>
      </c>
      <c r="E141" t="s">
        <v>47</v>
      </c>
      <c r="F141" t="s">
        <v>396</v>
      </c>
      <c r="G141" t="s">
        <v>426</v>
      </c>
      <c r="H141" t="s">
        <v>37</v>
      </c>
      <c r="I141" t="str">
        <f>_xlfn.XLOOKUP(F141,'Lookup List'!A:A,'Lookup List'!B:B,FALSE)</f>
        <v>03 Assembly Block 2</v>
      </c>
      <c r="J141" s="10" t="str">
        <f t="shared" si="2"/>
        <v>13/03/2025</v>
      </c>
      <c r="K141">
        <f>_xlfn.XLOOKUP(J141,'Wk no''s'!D:D,'Wk no''s'!C:C,FALSE)</f>
        <v>11</v>
      </c>
    </row>
    <row r="142" spans="1:11" x14ac:dyDescent="0.3">
      <c r="A142" t="s">
        <v>425</v>
      </c>
      <c r="B142" t="s">
        <v>424</v>
      </c>
      <c r="C142" t="s">
        <v>411</v>
      </c>
      <c r="D142" s="7" t="s">
        <v>954</v>
      </c>
      <c r="E142" t="s">
        <v>47</v>
      </c>
      <c r="F142" t="s">
        <v>51</v>
      </c>
      <c r="G142" t="s">
        <v>423</v>
      </c>
      <c r="H142" t="s">
        <v>1</v>
      </c>
      <c r="I142" t="str">
        <f>_xlfn.XLOOKUP(F142,'Lookup List'!A:A,'Lookup List'!B:B,FALSE)</f>
        <v>03 Shop Floor</v>
      </c>
      <c r="J142" s="10" t="str">
        <f t="shared" si="2"/>
        <v>10/03/2025</v>
      </c>
      <c r="K142">
        <f>_xlfn.XLOOKUP(J142,'Wk no''s'!D:D,'Wk no''s'!C:C,FALSE)</f>
        <v>11</v>
      </c>
    </row>
    <row r="143" spans="1:11" x14ac:dyDescent="0.3">
      <c r="A143" t="s">
        <v>413</v>
      </c>
      <c r="B143" t="s">
        <v>412</v>
      </c>
      <c r="C143" t="s">
        <v>411</v>
      </c>
      <c r="D143" s="7" t="s">
        <v>955</v>
      </c>
      <c r="E143" t="s">
        <v>47</v>
      </c>
      <c r="F143" t="s">
        <v>422</v>
      </c>
      <c r="G143" t="s">
        <v>421</v>
      </c>
      <c r="H143" t="s">
        <v>1</v>
      </c>
      <c r="I143" t="str">
        <f>_xlfn.XLOOKUP(F143,'Lookup List'!A:A,'Lookup List'!B:B,FALSE)</f>
        <v>Ext â€“ External</v>
      </c>
      <c r="J143" s="10" t="str">
        <f t="shared" si="2"/>
        <v>10/03/2025</v>
      </c>
      <c r="K143">
        <f>_xlfn.XLOOKUP(J143,'Wk no''s'!D:D,'Wk no''s'!C:C,FALSE)</f>
        <v>11</v>
      </c>
    </row>
    <row r="144" spans="1:11" x14ac:dyDescent="0.3">
      <c r="A144" t="s">
        <v>296</v>
      </c>
      <c r="B144" t="s">
        <v>295</v>
      </c>
      <c r="C144" t="s">
        <v>294</v>
      </c>
      <c r="D144" s="7" t="s">
        <v>956</v>
      </c>
      <c r="E144" t="s">
        <v>74</v>
      </c>
      <c r="F144" t="s">
        <v>73</v>
      </c>
      <c r="G144" t="s">
        <v>420</v>
      </c>
      <c r="H144" t="s">
        <v>1</v>
      </c>
      <c r="I144" t="str">
        <f>_xlfn.XLOOKUP(F144,'Lookup List'!A:A,'Lookup List'!B:B,FALSE)</f>
        <v>01 SOP</v>
      </c>
      <c r="J144" s="10" t="str">
        <f t="shared" si="2"/>
        <v>10/03/2025</v>
      </c>
      <c r="K144">
        <f>_xlfn.XLOOKUP(J144,'Wk no''s'!D:D,'Wk no''s'!C:C,FALSE)</f>
        <v>11</v>
      </c>
    </row>
    <row r="145" spans="1:11" x14ac:dyDescent="0.3">
      <c r="A145" t="s">
        <v>237</v>
      </c>
      <c r="B145" t="s">
        <v>236</v>
      </c>
      <c r="C145" t="s">
        <v>357</v>
      </c>
      <c r="D145" s="7" t="s">
        <v>957</v>
      </c>
      <c r="E145" t="s">
        <v>63</v>
      </c>
      <c r="F145" t="s">
        <v>62</v>
      </c>
      <c r="G145" t="s">
        <v>419</v>
      </c>
      <c r="H145" t="s">
        <v>1</v>
      </c>
      <c r="I145" t="str">
        <f>_xlfn.XLOOKUP(F145,'Lookup List'!A:A,'Lookup List'!B:B,FALSE)</f>
        <v>Customer</v>
      </c>
      <c r="J145" s="10" t="str">
        <f t="shared" si="2"/>
        <v>10/03/2025</v>
      </c>
      <c r="K145">
        <f>_xlfn.XLOOKUP(J145,'Wk no''s'!D:D,'Wk no''s'!C:C,FALSE)</f>
        <v>11</v>
      </c>
    </row>
    <row r="146" spans="1:11" x14ac:dyDescent="0.3">
      <c r="A146" t="s">
        <v>222</v>
      </c>
      <c r="B146" t="s">
        <v>221</v>
      </c>
      <c r="C146" t="s">
        <v>36</v>
      </c>
      <c r="D146" s="7" t="s">
        <v>958</v>
      </c>
      <c r="E146" t="s">
        <v>126</v>
      </c>
      <c r="F146" t="s">
        <v>51</v>
      </c>
      <c r="G146" t="s">
        <v>418</v>
      </c>
      <c r="H146" t="s">
        <v>1</v>
      </c>
      <c r="I146" t="str">
        <f>_xlfn.XLOOKUP(F146,'Lookup List'!A:A,'Lookup List'!B:B,FALSE)</f>
        <v>03 Shop Floor</v>
      </c>
      <c r="J146" s="10" t="str">
        <f t="shared" si="2"/>
        <v>10/03/2025</v>
      </c>
      <c r="K146">
        <f>_xlfn.XLOOKUP(J146,'Wk no''s'!D:D,'Wk no''s'!C:C,FALSE)</f>
        <v>11</v>
      </c>
    </row>
    <row r="147" spans="1:11" x14ac:dyDescent="0.3">
      <c r="A147" t="s">
        <v>417</v>
      </c>
      <c r="B147" t="s">
        <v>416</v>
      </c>
      <c r="C147" t="s">
        <v>415</v>
      </c>
      <c r="D147" s="7" t="s">
        <v>959</v>
      </c>
      <c r="E147" t="s">
        <v>79</v>
      </c>
      <c r="F147" t="s">
        <v>219</v>
      </c>
      <c r="G147" t="s">
        <v>414</v>
      </c>
      <c r="H147" t="s">
        <v>1</v>
      </c>
      <c r="I147" t="str">
        <f>_xlfn.XLOOKUP(F147,'Lookup List'!A:A,'Lookup List'!B:B,FALSE)</f>
        <v>Warehouse</v>
      </c>
      <c r="J147" s="10" t="str">
        <f t="shared" si="2"/>
        <v>11/03/2025</v>
      </c>
      <c r="K147">
        <f>_xlfn.XLOOKUP(J147,'Wk no''s'!D:D,'Wk no''s'!C:C,FALSE)</f>
        <v>11</v>
      </c>
    </row>
    <row r="148" spans="1:11" x14ac:dyDescent="0.3">
      <c r="A148" t="s">
        <v>413</v>
      </c>
      <c r="B148" t="s">
        <v>412</v>
      </c>
      <c r="C148" t="s">
        <v>411</v>
      </c>
      <c r="D148" s="7" t="s">
        <v>960</v>
      </c>
      <c r="E148" t="s">
        <v>47</v>
      </c>
      <c r="F148" t="s">
        <v>51</v>
      </c>
      <c r="G148" t="s">
        <v>410</v>
      </c>
      <c r="H148" t="s">
        <v>1</v>
      </c>
      <c r="I148" t="str">
        <f>_xlfn.XLOOKUP(F148,'Lookup List'!A:A,'Lookup List'!B:B,FALSE)</f>
        <v>03 Shop Floor</v>
      </c>
      <c r="J148" s="10" t="str">
        <f t="shared" si="2"/>
        <v>11/03/2025</v>
      </c>
      <c r="K148">
        <f>_xlfn.XLOOKUP(J148,'Wk no''s'!D:D,'Wk no''s'!C:C,FALSE)</f>
        <v>11</v>
      </c>
    </row>
    <row r="149" spans="1:11" x14ac:dyDescent="0.3">
      <c r="A149" t="s">
        <v>409</v>
      </c>
      <c r="B149" t="s">
        <v>408</v>
      </c>
      <c r="C149" t="s">
        <v>407</v>
      </c>
      <c r="D149" s="7" t="s">
        <v>961</v>
      </c>
      <c r="E149" t="s">
        <v>63</v>
      </c>
      <c r="F149" t="s">
        <v>62</v>
      </c>
      <c r="G149" t="s">
        <v>406</v>
      </c>
      <c r="H149" t="s">
        <v>1</v>
      </c>
      <c r="I149" t="str">
        <f>_xlfn.XLOOKUP(F149,'Lookup List'!A:A,'Lookup List'!B:B,FALSE)</f>
        <v>Customer</v>
      </c>
      <c r="J149" s="10" t="str">
        <f t="shared" si="2"/>
        <v>12/03/2025</v>
      </c>
      <c r="K149">
        <f>_xlfn.XLOOKUP(J149,'Wk no''s'!D:D,'Wk no''s'!C:C,FALSE)</f>
        <v>11</v>
      </c>
    </row>
    <row r="150" spans="1:11" x14ac:dyDescent="0.3">
      <c r="A150" t="s">
        <v>405</v>
      </c>
      <c r="B150" t="s">
        <v>404</v>
      </c>
      <c r="C150" t="s">
        <v>403</v>
      </c>
      <c r="D150" s="7" t="s">
        <v>962</v>
      </c>
      <c r="E150" t="s">
        <v>239</v>
      </c>
      <c r="F150" t="s">
        <v>137</v>
      </c>
      <c r="G150" t="s">
        <v>402</v>
      </c>
      <c r="H150" t="s">
        <v>1</v>
      </c>
      <c r="I150" t="str">
        <f>_xlfn.XLOOKUP(F150,'Lookup List'!A:A,'Lookup List'!B:B,FALSE)</f>
        <v>Supplier</v>
      </c>
      <c r="J150" s="10" t="str">
        <f t="shared" si="2"/>
        <v>12/03/2025</v>
      </c>
      <c r="K150">
        <f>_xlfn.XLOOKUP(J150,'Wk no''s'!D:D,'Wk no''s'!C:C,FALSE)</f>
        <v>11</v>
      </c>
    </row>
    <row r="151" spans="1:11" x14ac:dyDescent="0.3">
      <c r="A151" t="s">
        <v>71</v>
      </c>
      <c r="B151" t="s">
        <v>124</v>
      </c>
      <c r="C151" t="s">
        <v>401</v>
      </c>
      <c r="D151" s="7" t="s">
        <v>963</v>
      </c>
      <c r="E151" t="s">
        <v>74</v>
      </c>
      <c r="F151" t="s">
        <v>73</v>
      </c>
      <c r="G151" t="s">
        <v>400</v>
      </c>
      <c r="H151" t="s">
        <v>1</v>
      </c>
      <c r="I151" t="str">
        <f>_xlfn.XLOOKUP(F151,'Lookup List'!A:A,'Lookup List'!B:B,FALSE)</f>
        <v>01 SOP</v>
      </c>
      <c r="J151" s="10" t="str">
        <f t="shared" si="2"/>
        <v>12/03/2025</v>
      </c>
      <c r="K151">
        <f>_xlfn.XLOOKUP(J151,'Wk no''s'!D:D,'Wk no''s'!C:C,FALSE)</f>
        <v>11</v>
      </c>
    </row>
    <row r="152" spans="1:11" x14ac:dyDescent="0.3">
      <c r="A152" t="s">
        <v>275</v>
      </c>
      <c r="B152" t="s">
        <v>274</v>
      </c>
      <c r="C152" t="s">
        <v>273</v>
      </c>
      <c r="D152" s="7" t="s">
        <v>964</v>
      </c>
      <c r="E152" t="s">
        <v>74</v>
      </c>
      <c r="F152" t="s">
        <v>73</v>
      </c>
      <c r="G152" t="s">
        <v>399</v>
      </c>
      <c r="H152" t="s">
        <v>1</v>
      </c>
      <c r="I152" t="str">
        <f>_xlfn.XLOOKUP(F152,'Lookup List'!A:A,'Lookup List'!B:B,FALSE)</f>
        <v>01 SOP</v>
      </c>
      <c r="J152" s="10" t="str">
        <f t="shared" si="2"/>
        <v>13/03/2025</v>
      </c>
      <c r="K152">
        <f>_xlfn.XLOOKUP(J152,'Wk no''s'!D:D,'Wk no''s'!C:C,FALSE)</f>
        <v>11</v>
      </c>
    </row>
    <row r="153" spans="1:11" x14ac:dyDescent="0.3">
      <c r="A153" t="s">
        <v>275</v>
      </c>
      <c r="B153" t="s">
        <v>274</v>
      </c>
      <c r="C153" t="s">
        <v>273</v>
      </c>
      <c r="D153" s="7" t="s">
        <v>965</v>
      </c>
      <c r="E153" t="s">
        <v>90</v>
      </c>
      <c r="F153" t="s">
        <v>89</v>
      </c>
      <c r="G153" t="s">
        <v>398</v>
      </c>
      <c r="H153" t="s">
        <v>1</v>
      </c>
      <c r="I153" t="str">
        <f>_xlfn.XLOOKUP(F153,'Lookup List'!A:A,'Lookup List'!B:B,FALSE)</f>
        <v>Salesforce</v>
      </c>
      <c r="J153" s="10" t="str">
        <f t="shared" si="2"/>
        <v>13/03/2025</v>
      </c>
      <c r="K153">
        <f>_xlfn.XLOOKUP(J153,'Wk no''s'!D:D,'Wk no''s'!C:C,FALSE)</f>
        <v>11</v>
      </c>
    </row>
    <row r="154" spans="1:11" x14ac:dyDescent="0.3">
      <c r="A154" t="s">
        <v>184</v>
      </c>
      <c r="B154" t="s">
        <v>183</v>
      </c>
      <c r="C154" t="s">
        <v>397</v>
      </c>
      <c r="D154" s="7" t="s">
        <v>966</v>
      </c>
      <c r="E154" t="s">
        <v>385</v>
      </c>
      <c r="F154" t="s">
        <v>396</v>
      </c>
      <c r="G154" t="s">
        <v>395</v>
      </c>
      <c r="H154" t="s">
        <v>1</v>
      </c>
      <c r="I154" t="str">
        <f>_xlfn.XLOOKUP(F154,'Lookup List'!A:A,'Lookup List'!B:B,FALSE)</f>
        <v>03 Assembly Block 2</v>
      </c>
      <c r="J154" s="10" t="str">
        <f t="shared" si="2"/>
        <v>13/03/2025</v>
      </c>
      <c r="K154">
        <f>_xlfn.XLOOKUP(J154,'Wk no''s'!D:D,'Wk no''s'!C:C,FALSE)</f>
        <v>11</v>
      </c>
    </row>
    <row r="155" spans="1:11" x14ac:dyDescent="0.3">
      <c r="A155" t="s">
        <v>296</v>
      </c>
      <c r="B155" t="s">
        <v>295</v>
      </c>
      <c r="C155" t="s">
        <v>394</v>
      </c>
      <c r="D155" s="7" t="s">
        <v>967</v>
      </c>
      <c r="E155" t="s">
        <v>74</v>
      </c>
      <c r="F155" t="s">
        <v>73</v>
      </c>
      <c r="G155" t="s">
        <v>393</v>
      </c>
      <c r="H155" t="s">
        <v>1</v>
      </c>
      <c r="I155" t="str">
        <f>_xlfn.XLOOKUP(F155,'Lookup List'!A:A,'Lookup List'!B:B,FALSE)</f>
        <v>01 SOP</v>
      </c>
      <c r="J155" s="10" t="str">
        <f t="shared" si="2"/>
        <v>13/03/2025</v>
      </c>
      <c r="K155">
        <f>_xlfn.XLOOKUP(J155,'Wk no''s'!D:D,'Wk no''s'!C:C,FALSE)</f>
        <v>11</v>
      </c>
    </row>
    <row r="156" spans="1:11" x14ac:dyDescent="0.3">
      <c r="A156" t="s">
        <v>392</v>
      </c>
      <c r="B156" t="s">
        <v>391</v>
      </c>
      <c r="C156" t="s">
        <v>390</v>
      </c>
      <c r="D156" s="7" t="s">
        <v>968</v>
      </c>
      <c r="E156" t="s">
        <v>138</v>
      </c>
      <c r="F156" t="s">
        <v>46</v>
      </c>
      <c r="G156" t="s">
        <v>389</v>
      </c>
      <c r="H156" t="s">
        <v>1</v>
      </c>
      <c r="I156" t="str">
        <f>_xlfn.XLOOKUP(F156,'Lookup List'!A:A,'Lookup List'!B:B,FALSE)</f>
        <v>03 Assembly</v>
      </c>
      <c r="J156" s="10" t="str">
        <f t="shared" si="2"/>
        <v>13/03/2025</v>
      </c>
      <c r="K156">
        <f>_xlfn.XLOOKUP(J156,'Wk no''s'!D:D,'Wk no''s'!C:C,FALSE)</f>
        <v>11</v>
      </c>
    </row>
    <row r="157" spans="1:11" x14ac:dyDescent="0.3">
      <c r="A157" t="s">
        <v>388</v>
      </c>
      <c r="B157" t="s">
        <v>387</v>
      </c>
      <c r="C157" t="s">
        <v>386</v>
      </c>
      <c r="D157" s="7" t="s">
        <v>969</v>
      </c>
      <c r="E157" t="s">
        <v>385</v>
      </c>
      <c r="F157" t="s">
        <v>156</v>
      </c>
      <c r="G157" t="s">
        <v>384</v>
      </c>
      <c r="H157" t="s">
        <v>93</v>
      </c>
      <c r="I157" t="str">
        <f>_xlfn.XLOOKUP(F157,'Lookup List'!A:A,'Lookup List'!B:B,FALSE)</f>
        <v>02 Product Design</v>
      </c>
      <c r="J157" s="10" t="str">
        <f t="shared" si="2"/>
        <v>18/03/2025</v>
      </c>
      <c r="K157">
        <f>_xlfn.XLOOKUP(J157,'Wk no''s'!D:D,'Wk no''s'!C:C,FALSE)</f>
        <v>12</v>
      </c>
    </row>
    <row r="158" spans="1:11" x14ac:dyDescent="0.3">
      <c r="A158" t="s">
        <v>383</v>
      </c>
      <c r="B158" t="s">
        <v>382</v>
      </c>
      <c r="C158" t="s">
        <v>381</v>
      </c>
      <c r="D158" s="7" t="s">
        <v>970</v>
      </c>
      <c r="E158" t="s">
        <v>47</v>
      </c>
      <c r="F158" t="s">
        <v>156</v>
      </c>
      <c r="G158" t="s">
        <v>380</v>
      </c>
      <c r="H158" t="s">
        <v>93</v>
      </c>
      <c r="I158" t="str">
        <f>_xlfn.XLOOKUP(F158,'Lookup List'!A:A,'Lookup List'!B:B,FALSE)</f>
        <v>02 Product Design</v>
      </c>
      <c r="J158" s="10" t="str">
        <f t="shared" si="2"/>
        <v>20/03/2025</v>
      </c>
      <c r="K158">
        <f>_xlfn.XLOOKUP(J158,'Wk no''s'!D:D,'Wk no''s'!C:C,FALSE)</f>
        <v>12</v>
      </c>
    </row>
    <row r="159" spans="1:11" x14ac:dyDescent="0.3">
      <c r="A159" t="s">
        <v>207</v>
      </c>
      <c r="B159" t="s">
        <v>206</v>
      </c>
      <c r="C159" t="s">
        <v>258</v>
      </c>
      <c r="D159" s="7" t="s">
        <v>971</v>
      </c>
      <c r="E159" t="s">
        <v>47</v>
      </c>
      <c r="F159" t="s">
        <v>51</v>
      </c>
      <c r="G159" t="s">
        <v>379</v>
      </c>
      <c r="H159" t="s">
        <v>37</v>
      </c>
      <c r="I159" t="str">
        <f>_xlfn.XLOOKUP(F159,'Lookup List'!A:A,'Lookup List'!B:B,FALSE)</f>
        <v>03 Shop Floor</v>
      </c>
      <c r="J159" s="10" t="str">
        <f t="shared" si="2"/>
        <v>17/03/2025</v>
      </c>
      <c r="K159">
        <f>_xlfn.XLOOKUP(J159,'Wk no''s'!D:D,'Wk no''s'!C:C,FALSE)</f>
        <v>12</v>
      </c>
    </row>
    <row r="160" spans="1:11" x14ac:dyDescent="0.3">
      <c r="A160" t="s">
        <v>230</v>
      </c>
      <c r="B160" t="s">
        <v>229</v>
      </c>
      <c r="C160" t="s">
        <v>228</v>
      </c>
      <c r="D160" s="7" t="s">
        <v>972</v>
      </c>
      <c r="E160" t="s">
        <v>74</v>
      </c>
      <c r="F160" t="s">
        <v>73</v>
      </c>
      <c r="G160" t="s">
        <v>378</v>
      </c>
      <c r="H160" t="s">
        <v>1</v>
      </c>
      <c r="I160" t="str">
        <f>_xlfn.XLOOKUP(F160,'Lookup List'!A:A,'Lookup List'!B:B,FALSE)</f>
        <v>01 SOP</v>
      </c>
      <c r="J160" s="10" t="str">
        <f t="shared" si="2"/>
        <v>17/03/2025</v>
      </c>
      <c r="K160">
        <f>_xlfn.XLOOKUP(J160,'Wk no''s'!D:D,'Wk no''s'!C:C,FALSE)</f>
        <v>12</v>
      </c>
    </row>
    <row r="161" spans="1:11" x14ac:dyDescent="0.3">
      <c r="A161" t="s">
        <v>377</v>
      </c>
      <c r="B161" t="s">
        <v>376</v>
      </c>
      <c r="C161" t="s">
        <v>375</v>
      </c>
      <c r="D161" s="7" t="s">
        <v>973</v>
      </c>
      <c r="E161" t="s">
        <v>52</v>
      </c>
      <c r="F161" t="s">
        <v>121</v>
      </c>
      <c r="G161" t="s">
        <v>374</v>
      </c>
      <c r="H161" t="s">
        <v>1</v>
      </c>
      <c r="I161" t="str">
        <f>_xlfn.XLOOKUP(F161,'Lookup List'!A:A,'Lookup List'!B:B,FALSE)</f>
        <v>Transport</v>
      </c>
      <c r="J161" s="10" t="str">
        <f t="shared" si="2"/>
        <v>17/03/2025</v>
      </c>
      <c r="K161">
        <f>_xlfn.XLOOKUP(J161,'Wk no''s'!D:D,'Wk no''s'!C:C,FALSE)</f>
        <v>12</v>
      </c>
    </row>
    <row r="162" spans="1:11" x14ac:dyDescent="0.3">
      <c r="A162" t="s">
        <v>300</v>
      </c>
      <c r="B162" t="s">
        <v>373</v>
      </c>
      <c r="C162" t="s">
        <v>372</v>
      </c>
      <c r="D162" s="7" t="s">
        <v>974</v>
      </c>
      <c r="E162" t="s">
        <v>74</v>
      </c>
      <c r="F162" t="s">
        <v>73</v>
      </c>
      <c r="G162" t="s">
        <v>371</v>
      </c>
      <c r="H162" t="s">
        <v>1</v>
      </c>
      <c r="I162" t="str">
        <f>_xlfn.XLOOKUP(F162,'Lookup List'!A:A,'Lookup List'!B:B,FALSE)</f>
        <v>01 SOP</v>
      </c>
      <c r="J162" s="10" t="str">
        <f t="shared" si="2"/>
        <v>18/03/2025</v>
      </c>
      <c r="K162">
        <f>_xlfn.XLOOKUP(J162,'Wk no''s'!D:D,'Wk no''s'!C:C,FALSE)</f>
        <v>12</v>
      </c>
    </row>
    <row r="163" spans="1:11" x14ac:dyDescent="0.3">
      <c r="A163" t="s">
        <v>360</v>
      </c>
      <c r="B163" t="s">
        <v>359</v>
      </c>
      <c r="C163" t="s">
        <v>33</v>
      </c>
      <c r="D163" s="7" t="s">
        <v>975</v>
      </c>
      <c r="E163" t="s">
        <v>370</v>
      </c>
      <c r="F163" t="s">
        <v>100</v>
      </c>
      <c r="G163" t="s">
        <v>369</v>
      </c>
      <c r="H163" t="s">
        <v>1</v>
      </c>
      <c r="I163" t="str">
        <f>_xlfn.XLOOKUP(F163,'Lookup List'!A:A,'Lookup List'!B:B,FALSE)</f>
        <v>02 Product Design</v>
      </c>
      <c r="J163" s="10" t="str">
        <f t="shared" si="2"/>
        <v>18/03/2025</v>
      </c>
      <c r="K163">
        <f>_xlfn.XLOOKUP(J163,'Wk no''s'!D:D,'Wk no''s'!C:C,FALSE)</f>
        <v>12</v>
      </c>
    </row>
    <row r="164" spans="1:11" x14ac:dyDescent="0.3">
      <c r="A164" t="s">
        <v>368</v>
      </c>
      <c r="B164" t="s">
        <v>367</v>
      </c>
      <c r="C164" t="s">
        <v>366</v>
      </c>
      <c r="D164" s="7" t="s">
        <v>976</v>
      </c>
      <c r="E164" t="s">
        <v>74</v>
      </c>
      <c r="F164" t="s">
        <v>73</v>
      </c>
      <c r="G164" t="s">
        <v>365</v>
      </c>
      <c r="H164" t="s">
        <v>1</v>
      </c>
      <c r="I164" t="str">
        <f>_xlfn.XLOOKUP(F164,'Lookup List'!A:A,'Lookup List'!B:B,FALSE)</f>
        <v>01 SOP</v>
      </c>
      <c r="J164" s="10" t="str">
        <f t="shared" si="2"/>
        <v>19/03/2025</v>
      </c>
      <c r="K164">
        <f>_xlfn.XLOOKUP(J164,'Wk no''s'!D:D,'Wk no''s'!C:C,FALSE)</f>
        <v>12</v>
      </c>
    </row>
    <row r="165" spans="1:11" x14ac:dyDescent="0.3">
      <c r="A165" t="s">
        <v>364</v>
      </c>
      <c r="B165" t="s">
        <v>363</v>
      </c>
      <c r="C165" t="s">
        <v>362</v>
      </c>
      <c r="D165" s="7" t="s">
        <v>977</v>
      </c>
      <c r="E165" t="s">
        <v>239</v>
      </c>
      <c r="F165" t="s">
        <v>51</v>
      </c>
      <c r="G165" t="s">
        <v>361</v>
      </c>
      <c r="H165" t="s">
        <v>1</v>
      </c>
      <c r="I165" t="str">
        <f>_xlfn.XLOOKUP(F165,'Lookup List'!A:A,'Lookup List'!B:B,FALSE)</f>
        <v>03 Shop Floor</v>
      </c>
      <c r="J165" s="10" t="str">
        <f t="shared" si="2"/>
        <v>19/03/2025</v>
      </c>
      <c r="K165">
        <f>_xlfn.XLOOKUP(J165,'Wk no''s'!D:D,'Wk no''s'!C:C,FALSE)</f>
        <v>12</v>
      </c>
    </row>
    <row r="166" spans="1:11" x14ac:dyDescent="0.3">
      <c r="A166" t="s">
        <v>360</v>
      </c>
      <c r="B166" t="s">
        <v>359</v>
      </c>
      <c r="C166" t="s">
        <v>33</v>
      </c>
      <c r="D166" s="7" t="s">
        <v>978</v>
      </c>
      <c r="E166" t="s">
        <v>74</v>
      </c>
      <c r="F166" t="s">
        <v>73</v>
      </c>
      <c r="G166" t="s">
        <v>358</v>
      </c>
      <c r="H166" t="s">
        <v>1</v>
      </c>
      <c r="I166" t="str">
        <f>_xlfn.XLOOKUP(F166,'Lookup List'!A:A,'Lookup List'!B:B,FALSE)</f>
        <v>01 SOP</v>
      </c>
      <c r="J166" s="10" t="str">
        <f t="shared" si="2"/>
        <v>19/03/2025</v>
      </c>
      <c r="K166">
        <f>_xlfn.XLOOKUP(J166,'Wk no''s'!D:D,'Wk no''s'!C:C,FALSE)</f>
        <v>12</v>
      </c>
    </row>
    <row r="167" spans="1:11" x14ac:dyDescent="0.3">
      <c r="A167" t="s">
        <v>237</v>
      </c>
      <c r="B167" t="s">
        <v>236</v>
      </c>
      <c r="C167" t="s">
        <v>357</v>
      </c>
      <c r="D167" s="7" t="s">
        <v>979</v>
      </c>
      <c r="E167" t="s">
        <v>74</v>
      </c>
      <c r="F167" t="s">
        <v>73</v>
      </c>
      <c r="G167" t="s">
        <v>356</v>
      </c>
      <c r="H167" t="s">
        <v>1</v>
      </c>
      <c r="I167" t="str">
        <f>_xlfn.XLOOKUP(F167,'Lookup List'!A:A,'Lookup List'!B:B,FALSE)</f>
        <v>01 SOP</v>
      </c>
      <c r="J167" s="10" t="str">
        <f t="shared" si="2"/>
        <v>19/03/2025</v>
      </c>
      <c r="K167">
        <f>_xlfn.XLOOKUP(J167,'Wk no''s'!D:D,'Wk no''s'!C:C,FALSE)</f>
        <v>12</v>
      </c>
    </row>
    <row r="168" spans="1:11" x14ac:dyDescent="0.3">
      <c r="A168" t="s">
        <v>355</v>
      </c>
      <c r="B168" t="s">
        <v>354</v>
      </c>
      <c r="C168" t="s">
        <v>353</v>
      </c>
      <c r="D168" s="7" t="s">
        <v>980</v>
      </c>
      <c r="E168" t="s">
        <v>239</v>
      </c>
      <c r="F168" t="s">
        <v>51</v>
      </c>
      <c r="G168" t="s">
        <v>352</v>
      </c>
      <c r="H168" t="s">
        <v>1</v>
      </c>
      <c r="I168" t="str">
        <f>_xlfn.XLOOKUP(F168,'Lookup List'!A:A,'Lookup List'!B:B,FALSE)</f>
        <v>03 Shop Floor</v>
      </c>
      <c r="J168" s="10" t="str">
        <f t="shared" si="2"/>
        <v>19/03/2025</v>
      </c>
      <c r="K168">
        <f>_xlfn.XLOOKUP(J168,'Wk no''s'!D:D,'Wk no''s'!C:C,FALSE)</f>
        <v>12</v>
      </c>
    </row>
    <row r="169" spans="1:11" x14ac:dyDescent="0.3">
      <c r="A169" t="s">
        <v>351</v>
      </c>
      <c r="B169" t="s">
        <v>350</v>
      </c>
      <c r="C169" t="s">
        <v>349</v>
      </c>
      <c r="D169" s="7" t="s">
        <v>981</v>
      </c>
      <c r="E169" t="s">
        <v>239</v>
      </c>
      <c r="F169" t="s">
        <v>51</v>
      </c>
      <c r="G169" t="s">
        <v>348</v>
      </c>
      <c r="H169" t="s">
        <v>1</v>
      </c>
      <c r="I169" t="str">
        <f>_xlfn.XLOOKUP(F169,'Lookup List'!A:A,'Lookup List'!B:B,FALSE)</f>
        <v>03 Shop Floor</v>
      </c>
      <c r="J169" s="10" t="str">
        <f t="shared" si="2"/>
        <v>19/03/2025</v>
      </c>
      <c r="K169">
        <f>_xlfn.XLOOKUP(J169,'Wk no''s'!D:D,'Wk no''s'!C:C,FALSE)</f>
        <v>12</v>
      </c>
    </row>
    <row r="170" spans="1:11" x14ac:dyDescent="0.3">
      <c r="A170" t="s">
        <v>275</v>
      </c>
      <c r="B170" t="s">
        <v>278</v>
      </c>
      <c r="C170" t="s">
        <v>273</v>
      </c>
      <c r="D170" s="7" t="s">
        <v>982</v>
      </c>
      <c r="E170" t="s">
        <v>74</v>
      </c>
      <c r="F170" t="s">
        <v>73</v>
      </c>
      <c r="G170" t="s">
        <v>347</v>
      </c>
      <c r="H170" t="s">
        <v>1</v>
      </c>
      <c r="I170" t="str">
        <f>_xlfn.XLOOKUP(F170,'Lookup List'!A:A,'Lookup List'!B:B,FALSE)</f>
        <v>01 SOP</v>
      </c>
      <c r="J170" s="10" t="str">
        <f t="shared" si="2"/>
        <v>20/03/2025</v>
      </c>
      <c r="K170">
        <f>_xlfn.XLOOKUP(J170,'Wk no''s'!D:D,'Wk no''s'!C:C,FALSE)</f>
        <v>12</v>
      </c>
    </row>
    <row r="171" spans="1:11" x14ac:dyDescent="0.3">
      <c r="A171" t="s">
        <v>346</v>
      </c>
      <c r="B171" t="s">
        <v>345</v>
      </c>
      <c r="C171" t="s">
        <v>344</v>
      </c>
      <c r="D171" s="7" t="s">
        <v>983</v>
      </c>
      <c r="E171" t="s">
        <v>47</v>
      </c>
      <c r="F171" t="s">
        <v>51</v>
      </c>
      <c r="G171" t="s">
        <v>343</v>
      </c>
      <c r="H171" t="s">
        <v>1</v>
      </c>
      <c r="I171" t="str">
        <f>_xlfn.XLOOKUP(F171,'Lookup List'!A:A,'Lookup List'!B:B,FALSE)</f>
        <v>03 Shop Floor</v>
      </c>
      <c r="J171" s="10" t="str">
        <f t="shared" si="2"/>
        <v>20/03/2025</v>
      </c>
      <c r="K171">
        <f>_xlfn.XLOOKUP(J171,'Wk no''s'!D:D,'Wk no''s'!C:C,FALSE)</f>
        <v>12</v>
      </c>
    </row>
    <row r="172" spans="1:11" x14ac:dyDescent="0.3">
      <c r="A172" t="s">
        <v>342</v>
      </c>
      <c r="B172" t="s">
        <v>341</v>
      </c>
      <c r="C172" t="s">
        <v>31</v>
      </c>
      <c r="D172" s="7" t="s">
        <v>984</v>
      </c>
      <c r="E172" t="s">
        <v>90</v>
      </c>
      <c r="F172" t="s">
        <v>89</v>
      </c>
      <c r="G172" t="s">
        <v>340</v>
      </c>
      <c r="H172" t="s">
        <v>1</v>
      </c>
      <c r="I172" t="str">
        <f>_xlfn.XLOOKUP(F172,'Lookup List'!A:A,'Lookup List'!B:B,FALSE)</f>
        <v>Salesforce</v>
      </c>
      <c r="J172" s="10" t="str">
        <f t="shared" si="2"/>
        <v>20/03/2025</v>
      </c>
      <c r="K172">
        <f>_xlfn.XLOOKUP(J172,'Wk no''s'!D:D,'Wk no''s'!C:C,FALSE)</f>
        <v>12</v>
      </c>
    </row>
    <row r="173" spans="1:11" x14ac:dyDescent="0.3">
      <c r="A173" t="s">
        <v>145</v>
      </c>
      <c r="B173" t="s">
        <v>303</v>
      </c>
      <c r="C173" t="s">
        <v>339</v>
      </c>
      <c r="D173" s="7" t="s">
        <v>985</v>
      </c>
      <c r="E173" t="s">
        <v>52</v>
      </c>
      <c r="F173" t="s">
        <v>219</v>
      </c>
      <c r="G173" t="s">
        <v>338</v>
      </c>
      <c r="H173" t="s">
        <v>1</v>
      </c>
      <c r="I173" t="str">
        <f>_xlfn.XLOOKUP(F173,'Lookup List'!A:A,'Lookup List'!B:B,FALSE)</f>
        <v>Warehouse</v>
      </c>
      <c r="J173" s="10" t="str">
        <f t="shared" si="2"/>
        <v>21/03/2025</v>
      </c>
      <c r="K173">
        <f>_xlfn.XLOOKUP(J173,'Wk no''s'!D:D,'Wk no''s'!C:C,FALSE)</f>
        <v>12</v>
      </c>
    </row>
    <row r="174" spans="1:11" x14ac:dyDescent="0.3">
      <c r="A174" t="s">
        <v>337</v>
      </c>
      <c r="B174" t="s">
        <v>336</v>
      </c>
      <c r="C174" t="s">
        <v>197</v>
      </c>
      <c r="D174" s="7" t="s">
        <v>986</v>
      </c>
      <c r="E174" t="s">
        <v>122</v>
      </c>
      <c r="F174" t="s">
        <v>177</v>
      </c>
      <c r="G174" t="s">
        <v>335</v>
      </c>
      <c r="H174" t="s">
        <v>1</v>
      </c>
      <c r="I174" t="str">
        <f>_xlfn.XLOOKUP(F174,'Lookup List'!A:A,'Lookup List'!B:B,FALSE)</f>
        <v>External Courier</v>
      </c>
      <c r="J174" s="10" t="str">
        <f t="shared" si="2"/>
        <v>21/03/2025</v>
      </c>
      <c r="K174">
        <f>_xlfn.XLOOKUP(J174,'Wk no''s'!D:D,'Wk no''s'!C:C,FALSE)</f>
        <v>12</v>
      </c>
    </row>
    <row r="175" spans="1:11" x14ac:dyDescent="0.3">
      <c r="A175" t="s">
        <v>334</v>
      </c>
      <c r="B175" t="s">
        <v>333</v>
      </c>
      <c r="C175" t="s">
        <v>311</v>
      </c>
      <c r="D175" s="7" t="s">
        <v>987</v>
      </c>
      <c r="E175" t="s">
        <v>74</v>
      </c>
      <c r="F175" t="s">
        <v>73</v>
      </c>
      <c r="G175" t="s">
        <v>332</v>
      </c>
      <c r="H175" t="s">
        <v>1</v>
      </c>
      <c r="I175" t="str">
        <f>_xlfn.XLOOKUP(F175,'Lookup List'!A:A,'Lookup List'!B:B,FALSE)</f>
        <v>01 SOP</v>
      </c>
      <c r="J175" s="10" t="str">
        <f t="shared" si="2"/>
        <v>21/03/2025</v>
      </c>
      <c r="K175">
        <f>_xlfn.XLOOKUP(J175,'Wk no''s'!D:D,'Wk no''s'!C:C,FALSE)</f>
        <v>12</v>
      </c>
    </row>
    <row r="176" spans="1:11" x14ac:dyDescent="0.3">
      <c r="A176" t="s">
        <v>154</v>
      </c>
      <c r="B176" t="s">
        <v>153</v>
      </c>
      <c r="C176" t="s">
        <v>331</v>
      </c>
      <c r="D176" s="7" t="s">
        <v>988</v>
      </c>
      <c r="E176" t="s">
        <v>47</v>
      </c>
      <c r="F176" t="s">
        <v>46</v>
      </c>
      <c r="G176" t="s">
        <v>330</v>
      </c>
      <c r="H176" t="s">
        <v>150</v>
      </c>
      <c r="I176" t="str">
        <f>_xlfn.XLOOKUP(F176,'Lookup List'!A:A,'Lookup List'!B:B,FALSE)</f>
        <v>03 Assembly</v>
      </c>
      <c r="J176" s="10" t="str">
        <f t="shared" si="2"/>
        <v>24/03/2025</v>
      </c>
      <c r="K176">
        <f>_xlfn.XLOOKUP(J176,'Wk no''s'!D:D,'Wk no''s'!C:C,FALSE)</f>
        <v>13</v>
      </c>
    </row>
    <row r="177" spans="1:11" x14ac:dyDescent="0.3">
      <c r="A177" t="s">
        <v>329</v>
      </c>
      <c r="B177" t="s">
        <v>328</v>
      </c>
      <c r="C177" t="s">
        <v>327</v>
      </c>
      <c r="D177" s="7" t="s">
        <v>989</v>
      </c>
      <c r="E177" t="s">
        <v>239</v>
      </c>
      <c r="F177" t="s">
        <v>51</v>
      </c>
      <c r="G177" t="s">
        <v>326</v>
      </c>
      <c r="H177" t="s">
        <v>1</v>
      </c>
      <c r="I177" t="str">
        <f>_xlfn.XLOOKUP(F177,'Lookup List'!A:A,'Lookup List'!B:B,FALSE)</f>
        <v>03 Shop Floor</v>
      </c>
      <c r="J177" s="10" t="str">
        <f t="shared" si="2"/>
        <v>24/03/2025</v>
      </c>
      <c r="K177">
        <f>_xlfn.XLOOKUP(J177,'Wk no''s'!D:D,'Wk no''s'!C:C,FALSE)</f>
        <v>13</v>
      </c>
    </row>
    <row r="178" spans="1:11" x14ac:dyDescent="0.3">
      <c r="A178" t="s">
        <v>325</v>
      </c>
      <c r="B178" t="s">
        <v>324</v>
      </c>
      <c r="C178" t="s">
        <v>323</v>
      </c>
      <c r="D178" s="7" t="s">
        <v>990</v>
      </c>
      <c r="E178" t="s">
        <v>122</v>
      </c>
      <c r="F178" t="s">
        <v>121</v>
      </c>
      <c r="G178" t="s">
        <v>322</v>
      </c>
      <c r="H178" t="s">
        <v>1</v>
      </c>
      <c r="I178" t="str">
        <f>_xlfn.XLOOKUP(F178,'Lookup List'!A:A,'Lookup List'!B:B,FALSE)</f>
        <v>Transport</v>
      </c>
      <c r="J178" s="10" t="str">
        <f t="shared" si="2"/>
        <v>24/03/2025</v>
      </c>
      <c r="K178">
        <f>_xlfn.XLOOKUP(J178,'Wk no''s'!D:D,'Wk no''s'!C:C,FALSE)</f>
        <v>13</v>
      </c>
    </row>
    <row r="179" spans="1:11" x14ac:dyDescent="0.3">
      <c r="A179" t="s">
        <v>321</v>
      </c>
      <c r="B179" t="s">
        <v>320</v>
      </c>
      <c r="C179" t="s">
        <v>319</v>
      </c>
      <c r="D179" s="7" t="s">
        <v>991</v>
      </c>
      <c r="E179" t="s">
        <v>74</v>
      </c>
      <c r="F179" t="s">
        <v>73</v>
      </c>
      <c r="G179" t="s">
        <v>318</v>
      </c>
      <c r="H179" t="s">
        <v>1</v>
      </c>
      <c r="I179" t="str">
        <f>_xlfn.XLOOKUP(F179,'Lookup List'!A:A,'Lookup List'!B:B,FALSE)</f>
        <v>01 SOP</v>
      </c>
      <c r="J179" s="10" t="str">
        <f t="shared" si="2"/>
        <v>25/03/2025</v>
      </c>
      <c r="K179">
        <f>_xlfn.XLOOKUP(J179,'Wk no''s'!D:D,'Wk no''s'!C:C,FALSE)</f>
        <v>13</v>
      </c>
    </row>
    <row r="180" spans="1:11" x14ac:dyDescent="0.3">
      <c r="A180" t="s">
        <v>317</v>
      </c>
      <c r="B180" t="s">
        <v>316</v>
      </c>
      <c r="C180" t="s">
        <v>315</v>
      </c>
      <c r="D180" s="7" t="s">
        <v>992</v>
      </c>
      <c r="E180" t="s">
        <v>266</v>
      </c>
      <c r="F180" t="s">
        <v>219</v>
      </c>
      <c r="G180" t="s">
        <v>314</v>
      </c>
      <c r="H180" t="s">
        <v>1</v>
      </c>
      <c r="I180" t="str">
        <f>_xlfn.XLOOKUP(F180,'Lookup List'!A:A,'Lookup List'!B:B,FALSE)</f>
        <v>Warehouse</v>
      </c>
      <c r="J180" s="10" t="str">
        <f t="shared" si="2"/>
        <v>25/03/2025</v>
      </c>
      <c r="K180">
        <f>_xlfn.XLOOKUP(J180,'Wk no''s'!D:D,'Wk no''s'!C:C,FALSE)</f>
        <v>13</v>
      </c>
    </row>
    <row r="181" spans="1:11" x14ac:dyDescent="0.3">
      <c r="A181" t="s">
        <v>313</v>
      </c>
      <c r="B181" t="s">
        <v>312</v>
      </c>
      <c r="C181" t="s">
        <v>311</v>
      </c>
      <c r="D181" s="7" t="s">
        <v>993</v>
      </c>
      <c r="E181" t="s">
        <v>68</v>
      </c>
      <c r="F181" t="s">
        <v>62</v>
      </c>
      <c r="G181" t="s">
        <v>310</v>
      </c>
      <c r="H181" t="s">
        <v>1</v>
      </c>
      <c r="I181" t="str">
        <f>_xlfn.XLOOKUP(F181,'Lookup List'!A:A,'Lookup List'!B:B,FALSE)</f>
        <v>Customer</v>
      </c>
      <c r="J181" s="10" t="str">
        <f t="shared" si="2"/>
        <v>25/03/2025</v>
      </c>
      <c r="K181">
        <f>_xlfn.XLOOKUP(J181,'Wk no''s'!D:D,'Wk no''s'!C:C,FALSE)</f>
        <v>13</v>
      </c>
    </row>
    <row r="182" spans="1:11" x14ac:dyDescent="0.3">
      <c r="A182" t="s">
        <v>203</v>
      </c>
      <c r="B182" t="s">
        <v>309</v>
      </c>
      <c r="C182" t="s">
        <v>308</v>
      </c>
      <c r="D182" s="7" t="s">
        <v>994</v>
      </c>
      <c r="E182" t="s">
        <v>63</v>
      </c>
      <c r="F182" t="s">
        <v>62</v>
      </c>
      <c r="G182" t="s">
        <v>307</v>
      </c>
      <c r="H182" t="s">
        <v>1</v>
      </c>
      <c r="I182" t="str">
        <f>_xlfn.XLOOKUP(F182,'Lookup List'!A:A,'Lookup List'!B:B,FALSE)</f>
        <v>Customer</v>
      </c>
      <c r="J182" s="10" t="str">
        <f t="shared" si="2"/>
        <v>25/03/2025</v>
      </c>
      <c r="K182">
        <f>_xlfn.XLOOKUP(J182,'Wk no''s'!D:D,'Wk no''s'!C:C,FALSE)</f>
        <v>13</v>
      </c>
    </row>
    <row r="183" spans="1:11" x14ac:dyDescent="0.3">
      <c r="A183" t="s">
        <v>306</v>
      </c>
      <c r="B183" t="s">
        <v>305</v>
      </c>
      <c r="C183" t="s">
        <v>4894</v>
      </c>
      <c r="D183" s="7" t="s">
        <v>995</v>
      </c>
      <c r="E183" t="s">
        <v>122</v>
      </c>
      <c r="F183" t="s">
        <v>177</v>
      </c>
      <c r="G183" t="s">
        <v>304</v>
      </c>
      <c r="H183" t="s">
        <v>1</v>
      </c>
      <c r="I183" t="str">
        <f>_xlfn.XLOOKUP(F183,'Lookup List'!A:A,'Lookup List'!B:B,FALSE)</f>
        <v>External Courier</v>
      </c>
      <c r="J183" s="10" t="str">
        <f t="shared" si="2"/>
        <v>26/03/2025</v>
      </c>
      <c r="K183">
        <f>_xlfn.XLOOKUP(J183,'Wk no''s'!D:D,'Wk no''s'!C:C,FALSE)</f>
        <v>13</v>
      </c>
    </row>
    <row r="184" spans="1:11" x14ac:dyDescent="0.3">
      <c r="A184" t="s">
        <v>145</v>
      </c>
      <c r="B184" t="s">
        <v>303</v>
      </c>
      <c r="C184" t="s">
        <v>302</v>
      </c>
      <c r="D184" s="7" t="s">
        <v>996</v>
      </c>
      <c r="E184" t="s">
        <v>52</v>
      </c>
      <c r="F184" t="s">
        <v>219</v>
      </c>
      <c r="G184" t="s">
        <v>301</v>
      </c>
      <c r="H184" t="s">
        <v>1</v>
      </c>
      <c r="I184" t="str">
        <f>_xlfn.XLOOKUP(F184,'Lookup List'!A:A,'Lookup List'!B:B,FALSE)</f>
        <v>Warehouse</v>
      </c>
      <c r="J184" s="10" t="str">
        <f t="shared" si="2"/>
        <v>26/03/2025</v>
      </c>
      <c r="K184">
        <f>_xlfn.XLOOKUP(J184,'Wk no''s'!D:D,'Wk no''s'!C:C,FALSE)</f>
        <v>13</v>
      </c>
    </row>
    <row r="185" spans="1:11" x14ac:dyDescent="0.3">
      <c r="A185" t="s">
        <v>300</v>
      </c>
      <c r="B185" t="s">
        <v>299</v>
      </c>
      <c r="C185" t="s">
        <v>298</v>
      </c>
      <c r="D185" s="7" t="s">
        <v>997</v>
      </c>
      <c r="E185" t="s">
        <v>90</v>
      </c>
      <c r="F185" t="s">
        <v>253</v>
      </c>
      <c r="G185" t="s">
        <v>297</v>
      </c>
      <c r="H185" t="s">
        <v>1</v>
      </c>
      <c r="I185" t="str">
        <f>_xlfn.XLOOKUP(F185,'Lookup List'!A:A,'Lookup List'!B:B,FALSE)</f>
        <v>Estimating</v>
      </c>
      <c r="J185" s="10" t="str">
        <f t="shared" si="2"/>
        <v>26/03/2025</v>
      </c>
      <c r="K185">
        <f>_xlfn.XLOOKUP(J185,'Wk no''s'!D:D,'Wk no''s'!C:C,FALSE)</f>
        <v>13</v>
      </c>
    </row>
    <row r="186" spans="1:11" x14ac:dyDescent="0.3">
      <c r="A186" t="s">
        <v>296</v>
      </c>
      <c r="B186" t="s">
        <v>295</v>
      </c>
      <c r="C186" t="s">
        <v>294</v>
      </c>
      <c r="D186" s="7" t="s">
        <v>998</v>
      </c>
      <c r="E186" t="s">
        <v>74</v>
      </c>
      <c r="F186" t="s">
        <v>73</v>
      </c>
      <c r="G186" t="s">
        <v>293</v>
      </c>
      <c r="H186" t="s">
        <v>1</v>
      </c>
      <c r="I186" t="str">
        <f>_xlfn.XLOOKUP(F186,'Lookup List'!A:A,'Lookup List'!B:B,FALSE)</f>
        <v>01 SOP</v>
      </c>
      <c r="J186" s="10" t="str">
        <f t="shared" si="2"/>
        <v>27/03/2025</v>
      </c>
      <c r="K186">
        <f>_xlfn.XLOOKUP(J186,'Wk no''s'!D:D,'Wk no''s'!C:C,FALSE)</f>
        <v>13</v>
      </c>
    </row>
    <row r="187" spans="1:11" x14ac:dyDescent="0.3">
      <c r="A187" t="s">
        <v>292</v>
      </c>
      <c r="B187" t="s">
        <v>291</v>
      </c>
      <c r="C187" t="s">
        <v>290</v>
      </c>
      <c r="D187" s="7" t="s">
        <v>999</v>
      </c>
      <c r="E187" t="s">
        <v>90</v>
      </c>
      <c r="F187" t="s">
        <v>84</v>
      </c>
      <c r="G187" t="s">
        <v>289</v>
      </c>
      <c r="H187" t="s">
        <v>1</v>
      </c>
      <c r="I187" t="str">
        <f>_xlfn.XLOOKUP(F187,'Lookup List'!A:A,'Lookup List'!B:B,FALSE)</f>
        <v>Fast Track</v>
      </c>
      <c r="J187" s="10" t="str">
        <f t="shared" si="2"/>
        <v>28/03/2025</v>
      </c>
      <c r="K187">
        <f>_xlfn.XLOOKUP(J187,'Wk no''s'!D:D,'Wk no''s'!C:C,FALSE)</f>
        <v>13</v>
      </c>
    </row>
    <row r="188" spans="1:11" x14ac:dyDescent="0.3">
      <c r="A188" t="s">
        <v>115</v>
      </c>
      <c r="B188" t="s">
        <v>114</v>
      </c>
      <c r="C188" t="s">
        <v>113</v>
      </c>
      <c r="D188" s="7" t="s">
        <v>1000</v>
      </c>
      <c r="E188" t="s">
        <v>74</v>
      </c>
      <c r="F188" t="s">
        <v>73</v>
      </c>
      <c r="G188" t="s">
        <v>288</v>
      </c>
      <c r="H188" t="s">
        <v>1</v>
      </c>
      <c r="I188" t="str">
        <f>_xlfn.XLOOKUP(F188,'Lookup List'!A:A,'Lookup List'!B:B,FALSE)</f>
        <v>01 SOP</v>
      </c>
      <c r="J188" s="10" t="str">
        <f t="shared" si="2"/>
        <v>28/03/2025</v>
      </c>
      <c r="K188">
        <f>_xlfn.XLOOKUP(J188,'Wk no''s'!D:D,'Wk no''s'!C:C,FALSE)</f>
        <v>13</v>
      </c>
    </row>
    <row r="189" spans="1:11" x14ac:dyDescent="0.3">
      <c r="A189" t="s">
        <v>49</v>
      </c>
      <c r="B189" t="s">
        <v>287</v>
      </c>
      <c r="C189" t="s">
        <v>14</v>
      </c>
      <c r="D189" s="7" t="s">
        <v>1001</v>
      </c>
      <c r="E189" t="s">
        <v>90</v>
      </c>
      <c r="F189" t="s">
        <v>264</v>
      </c>
      <c r="G189" t="s">
        <v>286</v>
      </c>
      <c r="H189" t="s">
        <v>4</v>
      </c>
      <c r="I189" t="str">
        <f>_xlfn.XLOOKUP(F189,'Lookup List'!A:A,'Lookup List'!B:B,FALSE)</f>
        <v>01 SOP</v>
      </c>
      <c r="J189" s="10" t="str">
        <f t="shared" si="2"/>
        <v>27/03/2025</v>
      </c>
      <c r="K189">
        <f>_xlfn.XLOOKUP(J189,'Wk no''s'!D:D,'Wk no''s'!C:C,FALSE)</f>
        <v>13</v>
      </c>
    </row>
    <row r="190" spans="1:11" x14ac:dyDescent="0.3">
      <c r="A190" t="s">
        <v>162</v>
      </c>
      <c r="B190" t="s">
        <v>161</v>
      </c>
      <c r="C190" t="s">
        <v>285</v>
      </c>
      <c r="D190" s="7" t="s">
        <v>1002</v>
      </c>
      <c r="E190" t="s">
        <v>74</v>
      </c>
      <c r="F190" t="s">
        <v>284</v>
      </c>
      <c r="G190" t="s">
        <v>283</v>
      </c>
      <c r="H190" t="s">
        <v>3</v>
      </c>
      <c r="I190" t="str">
        <f>_xlfn.XLOOKUP(F190,'Lookup List'!A:A,'Lookup List'!B:B,FALSE)</f>
        <v>01 Export SOP</v>
      </c>
      <c r="J190" s="10" t="str">
        <f t="shared" si="2"/>
        <v>03/04/2025</v>
      </c>
      <c r="K190">
        <f>_xlfn.XLOOKUP(J190,'Wk no''s'!D:D,'Wk no''s'!C:C,FALSE)</f>
        <v>14</v>
      </c>
    </row>
    <row r="191" spans="1:11" x14ac:dyDescent="0.3">
      <c r="A191" t="s">
        <v>154</v>
      </c>
      <c r="B191" t="s">
        <v>153</v>
      </c>
      <c r="C191" t="s">
        <v>282</v>
      </c>
      <c r="D191" s="7" t="s">
        <v>1003</v>
      </c>
      <c r="E191" t="s">
        <v>47</v>
      </c>
      <c r="F191" t="s">
        <v>51</v>
      </c>
      <c r="G191" t="s">
        <v>281</v>
      </c>
      <c r="H191" t="s">
        <v>150</v>
      </c>
      <c r="I191" t="str">
        <f>_xlfn.XLOOKUP(F191,'Lookup List'!A:A,'Lookup List'!B:B,FALSE)</f>
        <v>03 Shop Floor</v>
      </c>
      <c r="J191" s="10" t="str">
        <f t="shared" si="2"/>
        <v>03/04/2025</v>
      </c>
      <c r="K191">
        <f>_xlfn.XLOOKUP(J191,'Wk no''s'!D:D,'Wk no''s'!C:C,FALSE)</f>
        <v>14</v>
      </c>
    </row>
    <row r="192" spans="1:11" x14ac:dyDescent="0.3">
      <c r="A192" t="s">
        <v>207</v>
      </c>
      <c r="B192" t="s">
        <v>206</v>
      </c>
      <c r="C192" t="s">
        <v>205</v>
      </c>
      <c r="D192" s="7" t="s">
        <v>1004</v>
      </c>
      <c r="E192" t="s">
        <v>138</v>
      </c>
      <c r="F192" t="s">
        <v>46</v>
      </c>
      <c r="G192" t="s">
        <v>280</v>
      </c>
      <c r="H192" t="s">
        <v>37</v>
      </c>
      <c r="I192" t="str">
        <f>_xlfn.XLOOKUP(F192,'Lookup List'!A:A,'Lookup List'!B:B,FALSE)</f>
        <v>03 Assembly</v>
      </c>
      <c r="J192" s="10" t="str">
        <f t="shared" si="2"/>
        <v>04/04/2025</v>
      </c>
      <c r="K192">
        <f>_xlfn.XLOOKUP(J192,'Wk no''s'!D:D,'Wk no''s'!C:C,FALSE)</f>
        <v>14</v>
      </c>
    </row>
    <row r="193" spans="1:11" x14ac:dyDescent="0.3">
      <c r="A193" t="s">
        <v>207</v>
      </c>
      <c r="B193" t="s">
        <v>206</v>
      </c>
      <c r="C193" t="s">
        <v>205</v>
      </c>
      <c r="D193" s="7" t="s">
        <v>1005</v>
      </c>
      <c r="E193" t="s">
        <v>175</v>
      </c>
      <c r="F193" t="s">
        <v>100</v>
      </c>
      <c r="G193" t="s">
        <v>279</v>
      </c>
      <c r="H193" t="s">
        <v>37</v>
      </c>
      <c r="I193" t="str">
        <f>_xlfn.XLOOKUP(F193,'Lookup List'!A:A,'Lookup List'!B:B,FALSE)</f>
        <v>02 Product Design</v>
      </c>
      <c r="J193" s="10" t="str">
        <f t="shared" si="2"/>
        <v>04/04/2025</v>
      </c>
      <c r="K193">
        <f>_xlfn.XLOOKUP(J193,'Wk no''s'!D:D,'Wk no''s'!C:C,FALSE)</f>
        <v>14</v>
      </c>
    </row>
    <row r="194" spans="1:11" x14ac:dyDescent="0.3">
      <c r="A194" t="s">
        <v>275</v>
      </c>
      <c r="B194" t="s">
        <v>278</v>
      </c>
      <c r="C194" t="s">
        <v>273</v>
      </c>
      <c r="D194" s="7" t="s">
        <v>1006</v>
      </c>
      <c r="E194" t="s">
        <v>63</v>
      </c>
      <c r="F194" t="s">
        <v>62</v>
      </c>
      <c r="G194" t="s">
        <v>277</v>
      </c>
      <c r="H194" t="s">
        <v>1</v>
      </c>
      <c r="I194" t="str">
        <f>_xlfn.XLOOKUP(F194,'Lookup List'!A:A,'Lookup List'!B:B,FALSE)</f>
        <v>Customer</v>
      </c>
      <c r="J194" s="10" t="str">
        <f t="shared" si="2"/>
        <v>31/03/2025</v>
      </c>
      <c r="K194">
        <f>_xlfn.XLOOKUP(J194,'Wk no''s'!D:D,'Wk no''s'!C:C,FALSE)</f>
        <v>14</v>
      </c>
    </row>
    <row r="195" spans="1:11" x14ac:dyDescent="0.3">
      <c r="A195" t="s">
        <v>60</v>
      </c>
      <c r="B195" t="s">
        <v>59</v>
      </c>
      <c r="C195" t="s">
        <v>58</v>
      </c>
      <c r="D195" s="7" t="s">
        <v>1007</v>
      </c>
      <c r="E195" t="s">
        <v>74</v>
      </c>
      <c r="F195" t="s">
        <v>73</v>
      </c>
      <c r="G195" t="s">
        <v>276</v>
      </c>
      <c r="H195" t="s">
        <v>1</v>
      </c>
      <c r="I195" t="str">
        <f>_xlfn.XLOOKUP(F195,'Lookup List'!A:A,'Lookup List'!B:B,FALSE)</f>
        <v>01 SOP</v>
      </c>
      <c r="J195" s="10" t="str">
        <f t="shared" ref="J195:J253" si="3">LEFT(G195,10)</f>
        <v>31/03/2025</v>
      </c>
      <c r="K195">
        <f>_xlfn.XLOOKUP(J195,'Wk no''s'!D:D,'Wk no''s'!C:C,FALSE)</f>
        <v>14</v>
      </c>
    </row>
    <row r="196" spans="1:11" x14ac:dyDescent="0.3">
      <c r="A196" t="s">
        <v>275</v>
      </c>
      <c r="B196" t="s">
        <v>274</v>
      </c>
      <c r="C196" t="s">
        <v>273</v>
      </c>
      <c r="D196" s="7" t="s">
        <v>1008</v>
      </c>
      <c r="E196" t="s">
        <v>68</v>
      </c>
      <c r="F196" t="s">
        <v>73</v>
      </c>
      <c r="G196" t="s">
        <v>272</v>
      </c>
      <c r="H196" t="s">
        <v>1</v>
      </c>
      <c r="I196" t="str">
        <f>_xlfn.XLOOKUP(F196,'Lookup List'!A:A,'Lookup List'!B:B,FALSE)</f>
        <v>01 SOP</v>
      </c>
      <c r="J196" s="10" t="str">
        <f t="shared" si="3"/>
        <v>01/04/2025</v>
      </c>
      <c r="K196">
        <f>_xlfn.XLOOKUP(J196,'Wk no''s'!D:D,'Wk no''s'!C:C,FALSE)</f>
        <v>14</v>
      </c>
    </row>
    <row r="197" spans="1:11" x14ac:dyDescent="0.3">
      <c r="A197" t="s">
        <v>71</v>
      </c>
      <c r="B197" t="s">
        <v>70</v>
      </c>
      <c r="C197" t="s">
        <v>271</v>
      </c>
      <c r="D197" s="7" t="s">
        <v>1009</v>
      </c>
      <c r="E197" t="s">
        <v>175</v>
      </c>
      <c r="F197" t="s">
        <v>480</v>
      </c>
      <c r="G197" t="s">
        <v>270</v>
      </c>
      <c r="H197" t="s">
        <v>1</v>
      </c>
      <c r="I197" t="str">
        <f>_xlfn.XLOOKUP(F197,'Lookup List'!A:A,'Lookup List'!B:B,FALSE)</f>
        <v>Paintline</v>
      </c>
      <c r="J197" s="10" t="str">
        <f t="shared" si="3"/>
        <v>01/04/2025</v>
      </c>
      <c r="K197">
        <f>_xlfn.XLOOKUP(J197,'Wk no''s'!D:D,'Wk no''s'!C:C,FALSE)</f>
        <v>14</v>
      </c>
    </row>
    <row r="198" spans="1:11" x14ac:dyDescent="0.3">
      <c r="A198" t="s">
        <v>269</v>
      </c>
      <c r="B198" t="s">
        <v>268</v>
      </c>
      <c r="C198" t="s">
        <v>17</v>
      </c>
      <c r="D198" s="7" t="s">
        <v>1010</v>
      </c>
      <c r="E198" t="s">
        <v>74</v>
      </c>
      <c r="F198" t="s">
        <v>253</v>
      </c>
      <c r="G198" t="s">
        <v>267</v>
      </c>
      <c r="H198" t="s">
        <v>1</v>
      </c>
      <c r="I198" t="str">
        <f>_xlfn.XLOOKUP(F198,'Lookup List'!A:A,'Lookup List'!B:B,FALSE)</f>
        <v>Estimating</v>
      </c>
      <c r="J198" s="10" t="str">
        <f t="shared" si="3"/>
        <v>03/04/2025</v>
      </c>
      <c r="K198">
        <f>_xlfn.XLOOKUP(J198,'Wk no''s'!D:D,'Wk no''s'!C:C,FALSE)</f>
        <v>14</v>
      </c>
    </row>
    <row r="199" spans="1:11" x14ac:dyDescent="0.3">
      <c r="A199" t="s">
        <v>49</v>
      </c>
      <c r="B199" t="s">
        <v>48</v>
      </c>
      <c r="C199" t="s">
        <v>5</v>
      </c>
      <c r="D199" s="7" t="s">
        <v>1011</v>
      </c>
      <c r="E199" t="s">
        <v>266</v>
      </c>
      <c r="F199" t="s">
        <v>121</v>
      </c>
      <c r="G199" t="s">
        <v>265</v>
      </c>
      <c r="H199" t="s">
        <v>4</v>
      </c>
      <c r="I199" t="str">
        <f>_xlfn.XLOOKUP(F199,'Lookup List'!A:A,'Lookup List'!B:B,FALSE)</f>
        <v>Transport</v>
      </c>
      <c r="J199" s="10" t="str">
        <f t="shared" si="3"/>
        <v>01/04/2025</v>
      </c>
      <c r="K199">
        <f>_xlfn.XLOOKUP(J199,'Wk no''s'!D:D,'Wk no''s'!C:C,FALSE)</f>
        <v>14</v>
      </c>
    </row>
    <row r="200" spans="1:11" x14ac:dyDescent="0.3">
      <c r="A200" t="s">
        <v>262</v>
      </c>
      <c r="B200" t="s">
        <v>261</v>
      </c>
      <c r="C200" t="s">
        <v>260</v>
      </c>
      <c r="D200" s="7" t="s">
        <v>1012</v>
      </c>
      <c r="E200" t="s">
        <v>74</v>
      </c>
      <c r="F200" t="s">
        <v>264</v>
      </c>
      <c r="G200" t="s">
        <v>263</v>
      </c>
      <c r="H200" t="s">
        <v>4</v>
      </c>
      <c r="I200" t="str">
        <f>_xlfn.XLOOKUP(F200,'Lookup List'!A:A,'Lookup List'!B:B,FALSE)</f>
        <v>01 SOP</v>
      </c>
      <c r="J200" s="10" t="str">
        <f t="shared" si="3"/>
        <v>01/04/2025</v>
      </c>
      <c r="K200">
        <f>_xlfn.XLOOKUP(J200,'Wk no''s'!D:D,'Wk no''s'!C:C,FALSE)</f>
        <v>14</v>
      </c>
    </row>
    <row r="201" spans="1:11" x14ac:dyDescent="0.3">
      <c r="A201" t="s">
        <v>262</v>
      </c>
      <c r="B201" t="s">
        <v>261</v>
      </c>
      <c r="C201" t="s">
        <v>260</v>
      </c>
      <c r="D201" s="7" t="s">
        <v>1013</v>
      </c>
      <c r="E201" t="s">
        <v>47</v>
      </c>
      <c r="F201" t="s">
        <v>51</v>
      </c>
      <c r="G201" t="s">
        <v>259</v>
      </c>
      <c r="H201" t="s">
        <v>4</v>
      </c>
      <c r="I201" t="str">
        <f>_xlfn.XLOOKUP(F201,'Lookup List'!A:A,'Lookup List'!B:B,FALSE)</f>
        <v>03 Shop Floor</v>
      </c>
      <c r="J201" s="10" t="str">
        <f t="shared" si="3"/>
        <v>04/04/2025</v>
      </c>
      <c r="K201">
        <f>_xlfn.XLOOKUP(J201,'Wk no''s'!D:D,'Wk no''s'!C:C,FALSE)</f>
        <v>14</v>
      </c>
    </row>
    <row r="202" spans="1:11" x14ac:dyDescent="0.3">
      <c r="A202" t="s">
        <v>207</v>
      </c>
      <c r="B202" t="s">
        <v>206</v>
      </c>
      <c r="C202" t="s">
        <v>258</v>
      </c>
      <c r="D202" s="7" t="s">
        <v>1014</v>
      </c>
      <c r="E202" t="s">
        <v>47</v>
      </c>
      <c r="F202" t="s">
        <v>46</v>
      </c>
      <c r="G202" t="s">
        <v>257</v>
      </c>
      <c r="H202" t="s">
        <v>37</v>
      </c>
      <c r="I202" t="str">
        <f>_xlfn.XLOOKUP(F202,'Lookup List'!A:A,'Lookup List'!B:B,FALSE)</f>
        <v>03 Assembly</v>
      </c>
      <c r="J202" s="10" t="str">
        <f t="shared" si="3"/>
        <v>11/04/2025</v>
      </c>
      <c r="K202">
        <f>_xlfn.XLOOKUP(J202,'Wk no''s'!D:D,'Wk no''s'!C:C,FALSE)</f>
        <v>15</v>
      </c>
    </row>
    <row r="203" spans="1:11" x14ac:dyDescent="0.3">
      <c r="A203" t="s">
        <v>256</v>
      </c>
      <c r="B203" t="s">
        <v>255</v>
      </c>
      <c r="C203" t="s">
        <v>254</v>
      </c>
      <c r="D203" s="7" t="s">
        <v>1015</v>
      </c>
      <c r="E203" t="s">
        <v>47</v>
      </c>
      <c r="F203" t="s">
        <v>253</v>
      </c>
      <c r="G203" t="s">
        <v>252</v>
      </c>
      <c r="H203" t="s">
        <v>1</v>
      </c>
      <c r="I203" t="str">
        <f>_xlfn.XLOOKUP(F203,'Lookup List'!A:A,'Lookup List'!B:B,FALSE)</f>
        <v>Estimating</v>
      </c>
      <c r="J203" s="10" t="str">
        <f t="shared" si="3"/>
        <v>07/04/2025</v>
      </c>
      <c r="K203">
        <f>_xlfn.XLOOKUP(J203,'Wk no''s'!D:D,'Wk no''s'!C:C,FALSE)</f>
        <v>15</v>
      </c>
    </row>
    <row r="204" spans="1:11" x14ac:dyDescent="0.3">
      <c r="A204" t="s">
        <v>251</v>
      </c>
      <c r="B204" t="s">
        <v>250</v>
      </c>
      <c r="C204" t="s">
        <v>249</v>
      </c>
      <c r="D204" s="7" t="s">
        <v>1016</v>
      </c>
      <c r="E204" t="s">
        <v>248</v>
      </c>
      <c r="F204" t="s">
        <v>103</v>
      </c>
      <c r="G204" t="s">
        <v>247</v>
      </c>
      <c r="H204" t="s">
        <v>1</v>
      </c>
      <c r="I204" t="str">
        <f>_xlfn.XLOOKUP(F204,'Lookup List'!A:A,'Lookup List'!B:B,FALSE)</f>
        <v>Finance</v>
      </c>
      <c r="J204" s="10" t="str">
        <f t="shared" si="3"/>
        <v>07/04/2025</v>
      </c>
      <c r="K204">
        <f>_xlfn.XLOOKUP(J204,'Wk no''s'!D:D,'Wk no''s'!C:C,FALSE)</f>
        <v>15</v>
      </c>
    </row>
    <row r="205" spans="1:11" x14ac:dyDescent="0.3">
      <c r="A205" t="s">
        <v>246</v>
      </c>
      <c r="B205" t="s">
        <v>245</v>
      </c>
      <c r="C205" t="s">
        <v>244</v>
      </c>
      <c r="D205" s="7" t="s">
        <v>1017</v>
      </c>
      <c r="E205" t="s">
        <v>175</v>
      </c>
      <c r="F205" t="s">
        <v>100</v>
      </c>
      <c r="G205" t="s">
        <v>243</v>
      </c>
      <c r="H205" t="s">
        <v>1</v>
      </c>
      <c r="I205" t="str">
        <f>_xlfn.XLOOKUP(F205,'Lookup List'!A:A,'Lookup List'!B:B,FALSE)</f>
        <v>02 Product Design</v>
      </c>
      <c r="J205" s="10" t="str">
        <f t="shared" si="3"/>
        <v>07/04/2025</v>
      </c>
      <c r="K205">
        <f>_xlfn.XLOOKUP(J205,'Wk no''s'!D:D,'Wk no''s'!C:C,FALSE)</f>
        <v>15</v>
      </c>
    </row>
    <row r="206" spans="1:11" x14ac:dyDescent="0.3">
      <c r="A206" t="s">
        <v>242</v>
      </c>
      <c r="B206" t="s">
        <v>241</v>
      </c>
      <c r="C206" t="s">
        <v>240</v>
      </c>
      <c r="D206" s="7" t="s">
        <v>1018</v>
      </c>
      <c r="E206" t="s">
        <v>239</v>
      </c>
      <c r="F206" t="s">
        <v>121</v>
      </c>
      <c r="G206" t="s">
        <v>238</v>
      </c>
      <c r="H206" t="s">
        <v>1</v>
      </c>
      <c r="I206" t="str">
        <f>_xlfn.XLOOKUP(F206,'Lookup List'!A:A,'Lookup List'!B:B,FALSE)</f>
        <v>Transport</v>
      </c>
      <c r="J206" s="10" t="str">
        <f t="shared" si="3"/>
        <v>07/04/2025</v>
      </c>
      <c r="K206">
        <f>_xlfn.XLOOKUP(J206,'Wk no''s'!D:D,'Wk no''s'!C:C,FALSE)</f>
        <v>15</v>
      </c>
    </row>
    <row r="207" spans="1:11" x14ac:dyDescent="0.3">
      <c r="A207" t="s">
        <v>237</v>
      </c>
      <c r="B207" t="s">
        <v>236</v>
      </c>
      <c r="C207" t="s">
        <v>29</v>
      </c>
      <c r="D207" s="7" t="s">
        <v>1019</v>
      </c>
      <c r="E207" t="s">
        <v>74</v>
      </c>
      <c r="F207" t="s">
        <v>73</v>
      </c>
      <c r="G207" t="s">
        <v>235</v>
      </c>
      <c r="H207" t="s">
        <v>1</v>
      </c>
      <c r="I207" t="str">
        <f>_xlfn.XLOOKUP(F207,'Lookup List'!A:A,'Lookup List'!B:B,FALSE)</f>
        <v>01 SOP</v>
      </c>
      <c r="J207" s="10" t="str">
        <f t="shared" si="3"/>
        <v>08/04/2025</v>
      </c>
      <c r="K207">
        <f>_xlfn.XLOOKUP(J207,'Wk no''s'!D:D,'Wk no''s'!C:C,FALSE)</f>
        <v>15</v>
      </c>
    </row>
    <row r="208" spans="1:11" x14ac:dyDescent="0.3">
      <c r="A208" t="s">
        <v>234</v>
      </c>
      <c r="B208" t="s">
        <v>233</v>
      </c>
      <c r="C208" t="s">
        <v>232</v>
      </c>
      <c r="D208" s="7" t="s">
        <v>1020</v>
      </c>
      <c r="E208" t="s">
        <v>68</v>
      </c>
      <c r="F208" t="s">
        <v>62</v>
      </c>
      <c r="G208" t="s">
        <v>231</v>
      </c>
      <c r="H208" t="s">
        <v>1</v>
      </c>
      <c r="I208" t="str">
        <f>_xlfn.XLOOKUP(F208,'Lookup List'!A:A,'Lookup List'!B:B,FALSE)</f>
        <v>Customer</v>
      </c>
      <c r="J208" s="10" t="str">
        <f t="shared" si="3"/>
        <v>08/04/2025</v>
      </c>
      <c r="K208">
        <f>_xlfn.XLOOKUP(J208,'Wk no''s'!D:D,'Wk no''s'!C:C,FALSE)</f>
        <v>15</v>
      </c>
    </row>
    <row r="209" spans="1:11" x14ac:dyDescent="0.3">
      <c r="A209" t="s">
        <v>230</v>
      </c>
      <c r="B209" t="s">
        <v>229</v>
      </c>
      <c r="C209" t="s">
        <v>228</v>
      </c>
      <c r="D209" s="7" t="s">
        <v>1021</v>
      </c>
      <c r="E209" t="s">
        <v>79</v>
      </c>
      <c r="F209" t="s">
        <v>46</v>
      </c>
      <c r="G209" t="s">
        <v>227</v>
      </c>
      <c r="H209" t="s">
        <v>1</v>
      </c>
      <c r="I209" t="str">
        <f>_xlfn.XLOOKUP(F209,'Lookup List'!A:A,'Lookup List'!B:B,FALSE)</f>
        <v>03 Assembly</v>
      </c>
      <c r="J209" s="10" t="str">
        <f t="shared" si="3"/>
        <v>08/04/2025</v>
      </c>
      <c r="K209">
        <f>_xlfn.XLOOKUP(J209,'Wk no''s'!D:D,'Wk no''s'!C:C,FALSE)</f>
        <v>15</v>
      </c>
    </row>
    <row r="210" spans="1:11" x14ac:dyDescent="0.3">
      <c r="A210" t="s">
        <v>226</v>
      </c>
      <c r="B210" t="s">
        <v>225</v>
      </c>
      <c r="C210" t="s">
        <v>224</v>
      </c>
      <c r="D210" s="7" t="s">
        <v>1022</v>
      </c>
      <c r="E210" t="s">
        <v>63</v>
      </c>
      <c r="F210" t="s">
        <v>62</v>
      </c>
      <c r="G210" t="s">
        <v>223</v>
      </c>
      <c r="H210" t="s">
        <v>1</v>
      </c>
      <c r="I210" t="str">
        <f>_xlfn.XLOOKUP(F210,'Lookup List'!A:A,'Lookup List'!B:B,FALSE)</f>
        <v>Customer</v>
      </c>
      <c r="J210" s="10" t="str">
        <f t="shared" si="3"/>
        <v>08/04/2025</v>
      </c>
      <c r="K210">
        <f>_xlfn.XLOOKUP(J210,'Wk no''s'!D:D,'Wk no''s'!C:C,FALSE)</f>
        <v>15</v>
      </c>
    </row>
    <row r="211" spans="1:11" x14ac:dyDescent="0.3">
      <c r="A211" t="s">
        <v>222</v>
      </c>
      <c r="B211" t="s">
        <v>221</v>
      </c>
      <c r="C211" t="s">
        <v>220</v>
      </c>
      <c r="D211" s="7" t="s">
        <v>1023</v>
      </c>
      <c r="E211" t="s">
        <v>175</v>
      </c>
      <c r="F211" t="s">
        <v>137</v>
      </c>
      <c r="G211" t="s">
        <v>218</v>
      </c>
      <c r="H211" t="s">
        <v>1</v>
      </c>
      <c r="I211" t="str">
        <f>_xlfn.XLOOKUP(F211,'Lookup List'!A:A,'Lookup List'!B:B,FALSE)</f>
        <v>Supplier</v>
      </c>
      <c r="J211" s="10" t="str">
        <f t="shared" si="3"/>
        <v>09/04/2025</v>
      </c>
      <c r="K211">
        <f>_xlfn.XLOOKUP(J211,'Wk no''s'!D:D,'Wk no''s'!C:C,FALSE)</f>
        <v>15</v>
      </c>
    </row>
    <row r="212" spans="1:11" x14ac:dyDescent="0.3">
      <c r="A212" t="s">
        <v>217</v>
      </c>
      <c r="B212" t="s">
        <v>216</v>
      </c>
      <c r="C212" t="s">
        <v>215</v>
      </c>
      <c r="D212" s="7" t="s">
        <v>1024</v>
      </c>
      <c r="E212" t="s">
        <v>79</v>
      </c>
      <c r="F212" t="s">
        <v>121</v>
      </c>
      <c r="G212" t="s">
        <v>214</v>
      </c>
      <c r="H212" t="s">
        <v>1</v>
      </c>
      <c r="I212" t="str">
        <f>_xlfn.XLOOKUP(F212,'Lookup List'!A:A,'Lookup List'!B:B,FALSE)</f>
        <v>Transport</v>
      </c>
      <c r="J212" s="10" t="str">
        <f t="shared" si="3"/>
        <v>10/04/2025</v>
      </c>
      <c r="K212">
        <f>_xlfn.XLOOKUP(J212,'Wk no''s'!D:D,'Wk no''s'!C:C,FALSE)</f>
        <v>15</v>
      </c>
    </row>
    <row r="213" spans="1:11" x14ac:dyDescent="0.3">
      <c r="A213" t="s">
        <v>195</v>
      </c>
      <c r="B213" t="s">
        <v>194</v>
      </c>
      <c r="C213" t="s">
        <v>11</v>
      </c>
      <c r="D213" s="7" t="s">
        <v>1025</v>
      </c>
      <c r="E213" t="s">
        <v>90</v>
      </c>
      <c r="F213" t="s">
        <v>89</v>
      </c>
      <c r="G213" t="s">
        <v>213</v>
      </c>
      <c r="H213" t="s">
        <v>1</v>
      </c>
      <c r="I213" t="str">
        <f>_xlfn.XLOOKUP(F213,'Lookup List'!A:A,'Lookup List'!B:B,FALSE)</f>
        <v>Salesforce</v>
      </c>
      <c r="J213" s="10" t="str">
        <f t="shared" si="3"/>
        <v>11/04/2025</v>
      </c>
      <c r="K213">
        <f>_xlfn.XLOOKUP(J213,'Wk no''s'!D:D,'Wk no''s'!C:C,FALSE)</f>
        <v>15</v>
      </c>
    </row>
    <row r="214" spans="1:11" x14ac:dyDescent="0.3">
      <c r="A214" t="s">
        <v>212</v>
      </c>
      <c r="B214" t="s">
        <v>211</v>
      </c>
      <c r="C214" t="s">
        <v>210</v>
      </c>
      <c r="D214" s="7" t="s">
        <v>1026</v>
      </c>
      <c r="E214" t="s">
        <v>47</v>
      </c>
      <c r="F214" t="s">
        <v>156</v>
      </c>
      <c r="G214" t="s">
        <v>209</v>
      </c>
      <c r="H214" t="s">
        <v>1</v>
      </c>
      <c r="I214" t="str">
        <f>_xlfn.XLOOKUP(F214,'Lookup List'!A:A,'Lookup List'!B:B,FALSE)</f>
        <v>02 Product Design</v>
      </c>
      <c r="J214" s="10" t="str">
        <f t="shared" si="3"/>
        <v>11/04/2025</v>
      </c>
      <c r="K214">
        <f>_xlfn.XLOOKUP(J214,'Wk no''s'!D:D,'Wk no''s'!C:C,FALSE)</f>
        <v>15</v>
      </c>
    </row>
    <row r="215" spans="1:11" x14ac:dyDescent="0.3">
      <c r="A215" t="s">
        <v>162</v>
      </c>
      <c r="B215" t="s">
        <v>161</v>
      </c>
      <c r="C215" t="s">
        <v>34</v>
      </c>
      <c r="D215" s="7" t="s">
        <v>1027</v>
      </c>
      <c r="E215" t="s">
        <v>63</v>
      </c>
      <c r="F215" t="s">
        <v>62</v>
      </c>
      <c r="G215" t="s">
        <v>208</v>
      </c>
      <c r="H215" t="s">
        <v>3</v>
      </c>
      <c r="I215" t="str">
        <f>_xlfn.XLOOKUP(F215,'Lookup List'!A:A,'Lookup List'!B:B,FALSE)</f>
        <v>Customer</v>
      </c>
      <c r="J215" s="10" t="str">
        <f t="shared" si="3"/>
        <v>14/04/2025</v>
      </c>
      <c r="K215">
        <f>_xlfn.XLOOKUP(J215,'Wk no''s'!D:D,'Wk no''s'!C:C,FALSE)</f>
        <v>16</v>
      </c>
    </row>
    <row r="216" spans="1:11" x14ac:dyDescent="0.3">
      <c r="A216" t="s">
        <v>207</v>
      </c>
      <c r="B216" t="s">
        <v>206</v>
      </c>
      <c r="C216" t="s">
        <v>205</v>
      </c>
      <c r="D216" s="7" t="s">
        <v>1028</v>
      </c>
      <c r="E216" t="s">
        <v>175</v>
      </c>
      <c r="F216" t="s">
        <v>100</v>
      </c>
      <c r="G216" t="s">
        <v>204</v>
      </c>
      <c r="H216" t="s">
        <v>37</v>
      </c>
      <c r="I216" t="str">
        <f>_xlfn.XLOOKUP(F216,'Lookup List'!A:A,'Lookup List'!B:B,FALSE)</f>
        <v>02 Product Design</v>
      </c>
      <c r="J216" s="10" t="str">
        <f t="shared" si="3"/>
        <v>16/04/2025</v>
      </c>
      <c r="K216">
        <f>_xlfn.XLOOKUP(J216,'Wk no''s'!D:D,'Wk no''s'!C:C,FALSE)</f>
        <v>16</v>
      </c>
    </row>
    <row r="217" spans="1:11" x14ac:dyDescent="0.3">
      <c r="A217" t="s">
        <v>203</v>
      </c>
      <c r="B217" t="s">
        <v>202</v>
      </c>
      <c r="C217" t="s">
        <v>201</v>
      </c>
      <c r="D217" s="7" t="s">
        <v>1029</v>
      </c>
      <c r="E217" t="s">
        <v>138</v>
      </c>
      <c r="F217" t="s">
        <v>62</v>
      </c>
      <c r="G217" t="s">
        <v>200</v>
      </c>
      <c r="H217" t="s">
        <v>1</v>
      </c>
      <c r="I217" t="str">
        <f>_xlfn.XLOOKUP(F217,'Lookup List'!A:A,'Lookup List'!B:B,FALSE)</f>
        <v>Customer</v>
      </c>
      <c r="J217" s="10" t="str">
        <f t="shared" si="3"/>
        <v>14/04/2025</v>
      </c>
      <c r="K217">
        <f>_xlfn.XLOOKUP(J217,'Wk no''s'!D:D,'Wk no''s'!C:C,FALSE)</f>
        <v>16</v>
      </c>
    </row>
    <row r="218" spans="1:11" x14ac:dyDescent="0.3">
      <c r="A218" t="s">
        <v>199</v>
      </c>
      <c r="B218" t="s">
        <v>198</v>
      </c>
      <c r="C218" t="s">
        <v>197</v>
      </c>
      <c r="D218" s="7" t="s">
        <v>1030</v>
      </c>
      <c r="E218" t="s">
        <v>90</v>
      </c>
      <c r="F218" t="s">
        <v>73</v>
      </c>
      <c r="G218" t="s">
        <v>196</v>
      </c>
      <c r="H218" t="s">
        <v>1</v>
      </c>
      <c r="I218" t="str">
        <f>_xlfn.XLOOKUP(F218,'Lookup List'!A:A,'Lookup List'!B:B,FALSE)</f>
        <v>01 SOP</v>
      </c>
      <c r="J218" s="10" t="str">
        <f t="shared" si="3"/>
        <v>14/04/2025</v>
      </c>
      <c r="K218">
        <f>_xlfn.XLOOKUP(J218,'Wk no''s'!D:D,'Wk no''s'!C:C,FALSE)</f>
        <v>16</v>
      </c>
    </row>
    <row r="219" spans="1:11" x14ac:dyDescent="0.3">
      <c r="A219" t="s">
        <v>195</v>
      </c>
      <c r="B219" t="s">
        <v>194</v>
      </c>
      <c r="C219" t="s">
        <v>11</v>
      </c>
      <c r="D219" s="7" t="s">
        <v>1031</v>
      </c>
      <c r="E219" t="s">
        <v>68</v>
      </c>
      <c r="F219" t="s">
        <v>62</v>
      </c>
      <c r="G219" t="s">
        <v>193</v>
      </c>
      <c r="H219" t="s">
        <v>1</v>
      </c>
      <c r="I219" t="str">
        <f>_xlfn.XLOOKUP(F219,'Lookup List'!A:A,'Lookup List'!B:B,FALSE)</f>
        <v>Customer</v>
      </c>
      <c r="J219" s="10" t="str">
        <f t="shared" si="3"/>
        <v>14/04/2025</v>
      </c>
      <c r="K219">
        <f>_xlfn.XLOOKUP(J219,'Wk no''s'!D:D,'Wk no''s'!C:C,FALSE)</f>
        <v>16</v>
      </c>
    </row>
    <row r="220" spans="1:11" x14ac:dyDescent="0.3">
      <c r="A220" t="s">
        <v>192</v>
      </c>
      <c r="B220" t="s">
        <v>191</v>
      </c>
      <c r="C220" t="s">
        <v>190</v>
      </c>
      <c r="D220" s="7" t="s">
        <v>1032</v>
      </c>
      <c r="E220" t="s">
        <v>68</v>
      </c>
      <c r="F220" t="s">
        <v>62</v>
      </c>
      <c r="G220" t="s">
        <v>189</v>
      </c>
      <c r="H220" t="s">
        <v>1</v>
      </c>
      <c r="I220" t="str">
        <f>_xlfn.XLOOKUP(F220,'Lookup List'!A:A,'Lookup List'!B:B,FALSE)</f>
        <v>Customer</v>
      </c>
      <c r="J220" s="10" t="str">
        <f t="shared" si="3"/>
        <v>15/04/2025</v>
      </c>
      <c r="K220">
        <f>_xlfn.XLOOKUP(J220,'Wk no''s'!D:D,'Wk no''s'!C:C,FALSE)</f>
        <v>16</v>
      </c>
    </row>
    <row r="221" spans="1:11" x14ac:dyDescent="0.3">
      <c r="A221" t="s">
        <v>188</v>
      </c>
      <c r="B221" t="s">
        <v>187</v>
      </c>
      <c r="C221" t="s">
        <v>186</v>
      </c>
      <c r="D221" s="7" t="s">
        <v>1033</v>
      </c>
      <c r="E221" t="s">
        <v>122</v>
      </c>
      <c r="F221" t="s">
        <v>121</v>
      </c>
      <c r="G221" t="s">
        <v>185</v>
      </c>
      <c r="H221" t="s">
        <v>1</v>
      </c>
      <c r="I221" t="str">
        <f>_xlfn.XLOOKUP(F221,'Lookup List'!A:A,'Lookup List'!B:B,FALSE)</f>
        <v>Transport</v>
      </c>
      <c r="J221" s="10" t="str">
        <f t="shared" si="3"/>
        <v>15/04/2025</v>
      </c>
      <c r="K221">
        <f>_xlfn.XLOOKUP(J221,'Wk no''s'!D:D,'Wk no''s'!C:C,FALSE)</f>
        <v>16</v>
      </c>
    </row>
    <row r="222" spans="1:11" x14ac:dyDescent="0.3">
      <c r="A222" t="s">
        <v>184</v>
      </c>
      <c r="B222" t="s">
        <v>183</v>
      </c>
      <c r="C222" t="s">
        <v>182</v>
      </c>
      <c r="D222" s="7" t="s">
        <v>1034</v>
      </c>
      <c r="E222" t="s">
        <v>175</v>
      </c>
      <c r="F222" t="s">
        <v>137</v>
      </c>
      <c r="G222" t="s">
        <v>181</v>
      </c>
      <c r="H222" t="s">
        <v>1</v>
      </c>
      <c r="I222" t="str">
        <f>_xlfn.XLOOKUP(F222,'Lookup List'!A:A,'Lookup List'!B:B,FALSE)</f>
        <v>Supplier</v>
      </c>
      <c r="J222" s="10" t="str">
        <f t="shared" si="3"/>
        <v>16/04/2025</v>
      </c>
      <c r="K222">
        <f>_xlfn.XLOOKUP(J222,'Wk no''s'!D:D,'Wk no''s'!C:C,FALSE)</f>
        <v>16</v>
      </c>
    </row>
    <row r="223" spans="1:11" x14ac:dyDescent="0.3">
      <c r="A223" t="s">
        <v>180</v>
      </c>
      <c r="B223" t="s">
        <v>179</v>
      </c>
      <c r="C223" t="s">
        <v>178</v>
      </c>
      <c r="D223" s="7" t="s">
        <v>1035</v>
      </c>
      <c r="E223" t="s">
        <v>122</v>
      </c>
      <c r="F223" t="s">
        <v>177</v>
      </c>
      <c r="G223" t="s">
        <v>176</v>
      </c>
      <c r="H223" t="s">
        <v>1</v>
      </c>
      <c r="I223" t="str">
        <f>_xlfn.XLOOKUP(F223,'Lookup List'!A:A,'Lookup List'!B:B,FALSE)</f>
        <v>External Courier</v>
      </c>
      <c r="J223" s="10" t="str">
        <f t="shared" si="3"/>
        <v>17/04/2025</v>
      </c>
      <c r="K223">
        <f>_xlfn.XLOOKUP(J223,'Wk no''s'!D:D,'Wk no''s'!C:C,FALSE)</f>
        <v>16</v>
      </c>
    </row>
    <row r="224" spans="1:11" x14ac:dyDescent="0.3">
      <c r="A224" t="s">
        <v>132</v>
      </c>
      <c r="B224" t="s">
        <v>131</v>
      </c>
      <c r="C224" t="s">
        <v>27</v>
      </c>
      <c r="D224" s="7" t="s">
        <v>1036</v>
      </c>
      <c r="E224" t="s">
        <v>175</v>
      </c>
      <c r="F224" t="s">
        <v>46</v>
      </c>
      <c r="G224" t="s">
        <v>174</v>
      </c>
      <c r="H224" t="s">
        <v>1</v>
      </c>
      <c r="I224" t="str">
        <f>_xlfn.XLOOKUP(F224,'Lookup List'!A:A,'Lookup List'!B:B,FALSE)</f>
        <v>03 Assembly</v>
      </c>
      <c r="J224" s="10" t="str">
        <f t="shared" si="3"/>
        <v>17/04/2025</v>
      </c>
      <c r="K224">
        <f>_xlfn.XLOOKUP(J224,'Wk no''s'!D:D,'Wk no''s'!C:C,FALSE)</f>
        <v>16</v>
      </c>
    </row>
    <row r="225" spans="1:11" x14ac:dyDescent="0.3">
      <c r="A225" t="s">
        <v>173</v>
      </c>
      <c r="B225" t="s">
        <v>172</v>
      </c>
      <c r="C225" t="s">
        <v>2</v>
      </c>
      <c r="D225" s="7" t="s">
        <v>1037</v>
      </c>
      <c r="E225" t="s">
        <v>47</v>
      </c>
      <c r="F225" t="s">
        <v>46</v>
      </c>
      <c r="G225" t="s">
        <v>171</v>
      </c>
      <c r="H225" t="s">
        <v>1</v>
      </c>
      <c r="I225" t="str">
        <f>_xlfn.XLOOKUP(F225,'Lookup List'!A:A,'Lookup List'!B:B,FALSE)</f>
        <v>03 Assembly</v>
      </c>
      <c r="J225" s="10" t="str">
        <f t="shared" si="3"/>
        <v>17/04/2025</v>
      </c>
      <c r="K225">
        <f>_xlfn.XLOOKUP(J225,'Wk no''s'!D:D,'Wk no''s'!C:C,FALSE)</f>
        <v>16</v>
      </c>
    </row>
    <row r="226" spans="1:11" x14ac:dyDescent="0.3">
      <c r="A226" t="s">
        <v>170</v>
      </c>
      <c r="B226" t="s">
        <v>169</v>
      </c>
      <c r="C226" t="s">
        <v>168</v>
      </c>
      <c r="D226" s="7" t="s">
        <v>1038</v>
      </c>
      <c r="E226" t="s">
        <v>74</v>
      </c>
      <c r="F226" t="s">
        <v>73</v>
      </c>
      <c r="G226" t="s">
        <v>167</v>
      </c>
      <c r="H226" t="s">
        <v>1</v>
      </c>
      <c r="I226" t="str">
        <f>_xlfn.XLOOKUP(F226,'Lookup List'!A:A,'Lookup List'!B:B,FALSE)</f>
        <v>01 SOP</v>
      </c>
      <c r="J226" s="10" t="str">
        <f t="shared" si="3"/>
        <v>24/04/2025</v>
      </c>
      <c r="K226">
        <f>_xlfn.XLOOKUP(J226,'Wk no''s'!D:D,'Wk no''s'!C:C,FALSE)</f>
        <v>17</v>
      </c>
    </row>
    <row r="227" spans="1:11" x14ac:dyDescent="0.3">
      <c r="A227" t="s">
        <v>166</v>
      </c>
      <c r="B227" t="s">
        <v>165</v>
      </c>
      <c r="C227" t="s">
        <v>164</v>
      </c>
      <c r="D227" s="7" t="s">
        <v>1039</v>
      </c>
      <c r="E227" t="s">
        <v>47</v>
      </c>
      <c r="F227" t="s">
        <v>156</v>
      </c>
      <c r="G227" t="s">
        <v>163</v>
      </c>
      <c r="I227" t="str">
        <f>_xlfn.XLOOKUP(F227,'Lookup List'!A:A,'Lookup List'!B:B,FALSE)</f>
        <v>02 Product Design</v>
      </c>
      <c r="J227" s="10" t="str">
        <f t="shared" si="3"/>
        <v>01/05/2025</v>
      </c>
      <c r="K227">
        <f>_xlfn.XLOOKUP(J227,'Wk no''s'!D:D,'Wk no''s'!C:C,FALSE)</f>
        <v>18</v>
      </c>
    </row>
    <row r="228" spans="1:11" x14ac:dyDescent="0.3">
      <c r="A228" t="s">
        <v>162</v>
      </c>
      <c r="B228" t="s">
        <v>161</v>
      </c>
      <c r="C228" t="s">
        <v>160</v>
      </c>
      <c r="D228" s="7" t="s">
        <v>1040</v>
      </c>
      <c r="E228" t="s">
        <v>175</v>
      </c>
      <c r="F228" t="s">
        <v>46</v>
      </c>
      <c r="G228" t="s">
        <v>158</v>
      </c>
      <c r="H228" t="s">
        <v>3</v>
      </c>
      <c r="I228" t="str">
        <f>_xlfn.XLOOKUP(F228,'Lookup List'!A:A,'Lookup List'!B:B,FALSE)</f>
        <v>03 Assembly</v>
      </c>
      <c r="J228" s="10" t="str">
        <f t="shared" si="3"/>
        <v>01/05/2025</v>
      </c>
      <c r="K228">
        <f>_xlfn.XLOOKUP(J228,'Wk no''s'!D:D,'Wk no''s'!C:C,FALSE)</f>
        <v>18</v>
      </c>
    </row>
    <row r="229" spans="1:11" x14ac:dyDescent="0.3">
      <c r="A229" t="s">
        <v>154</v>
      </c>
      <c r="B229" t="s">
        <v>153</v>
      </c>
      <c r="C229" t="s">
        <v>157</v>
      </c>
      <c r="D229" s="7" t="s">
        <v>1041</v>
      </c>
      <c r="E229" t="s">
        <v>47</v>
      </c>
      <c r="F229" t="s">
        <v>156</v>
      </c>
      <c r="G229" t="s">
        <v>155</v>
      </c>
      <c r="H229" t="s">
        <v>150</v>
      </c>
      <c r="I229" t="str">
        <f>_xlfn.XLOOKUP(F229,'Lookup List'!A:A,'Lookup List'!B:B,FALSE)</f>
        <v>02 Product Design</v>
      </c>
      <c r="J229" s="10" t="str">
        <f t="shared" si="3"/>
        <v>01/05/2025</v>
      </c>
      <c r="K229">
        <f>_xlfn.XLOOKUP(J229,'Wk no''s'!D:D,'Wk no''s'!C:C,FALSE)</f>
        <v>18</v>
      </c>
    </row>
    <row r="230" spans="1:11" x14ac:dyDescent="0.3">
      <c r="A230" t="s">
        <v>154</v>
      </c>
      <c r="B230" t="s">
        <v>153</v>
      </c>
      <c r="C230" t="s">
        <v>152</v>
      </c>
      <c r="D230" s="7" t="s">
        <v>1042</v>
      </c>
      <c r="E230" t="s">
        <v>47</v>
      </c>
      <c r="F230" t="s">
        <v>51</v>
      </c>
      <c r="G230" t="s">
        <v>151</v>
      </c>
      <c r="H230" t="s">
        <v>150</v>
      </c>
      <c r="I230" t="str">
        <f>_xlfn.XLOOKUP(F230,'Lookup List'!A:A,'Lookup List'!B:B,FALSE)</f>
        <v>03 Shop Floor</v>
      </c>
      <c r="J230" s="10" t="str">
        <f t="shared" si="3"/>
        <v>01/05/2025</v>
      </c>
      <c r="K230">
        <f>_xlfn.XLOOKUP(J230,'Wk no''s'!D:D,'Wk no''s'!C:C,FALSE)</f>
        <v>18</v>
      </c>
    </row>
    <row r="231" spans="1:11" x14ac:dyDescent="0.3">
      <c r="A231" t="s">
        <v>149</v>
      </c>
      <c r="B231" t="s">
        <v>148</v>
      </c>
      <c r="C231" t="s">
        <v>147</v>
      </c>
      <c r="D231" s="7" t="s">
        <v>1043</v>
      </c>
      <c r="E231" t="s">
        <v>52</v>
      </c>
      <c r="F231" t="s">
        <v>46</v>
      </c>
      <c r="G231" t="s">
        <v>146</v>
      </c>
      <c r="H231" t="s">
        <v>93</v>
      </c>
      <c r="I231" t="str">
        <f>_xlfn.XLOOKUP(F231,'Lookup List'!A:A,'Lookup List'!B:B,FALSE)</f>
        <v>03 Assembly</v>
      </c>
      <c r="J231" s="10" t="str">
        <f t="shared" si="3"/>
        <v>28/04/2025</v>
      </c>
      <c r="K231">
        <f>_xlfn.XLOOKUP(J231,'Wk no''s'!D:D,'Wk no''s'!C:C,FALSE)</f>
        <v>18</v>
      </c>
    </row>
    <row r="232" spans="1:11" x14ac:dyDescent="0.3">
      <c r="A232" t="s">
        <v>145</v>
      </c>
      <c r="B232" t="s">
        <v>144</v>
      </c>
      <c r="C232" t="s">
        <v>143</v>
      </c>
      <c r="D232" s="7" t="s">
        <v>1044</v>
      </c>
      <c r="E232" t="s">
        <v>52</v>
      </c>
      <c r="F232" t="s">
        <v>84</v>
      </c>
      <c r="G232" t="s">
        <v>142</v>
      </c>
      <c r="H232" t="s">
        <v>1</v>
      </c>
      <c r="I232" t="str">
        <f>_xlfn.XLOOKUP(F232,'Lookup List'!A:A,'Lookup List'!B:B,FALSE)</f>
        <v>Fast Track</v>
      </c>
      <c r="J232" s="10" t="str">
        <f t="shared" si="3"/>
        <v>28/04/2025</v>
      </c>
      <c r="K232">
        <f>_xlfn.XLOOKUP(J232,'Wk no''s'!D:D,'Wk no''s'!C:C,FALSE)</f>
        <v>18</v>
      </c>
    </row>
    <row r="233" spans="1:11" x14ac:dyDescent="0.3">
      <c r="A233" t="s">
        <v>141</v>
      </c>
      <c r="B233" t="s">
        <v>140</v>
      </c>
      <c r="C233" t="s">
        <v>139</v>
      </c>
      <c r="D233" s="7" t="s">
        <v>1045</v>
      </c>
      <c r="E233" t="s">
        <v>138</v>
      </c>
      <c r="F233" t="s">
        <v>137</v>
      </c>
      <c r="G233" t="s">
        <v>136</v>
      </c>
      <c r="H233" t="s">
        <v>1</v>
      </c>
      <c r="I233" t="str">
        <f>_xlfn.XLOOKUP(F233,'Lookup List'!A:A,'Lookup List'!B:B,FALSE)</f>
        <v>Supplier</v>
      </c>
      <c r="J233" s="10" t="str">
        <f t="shared" si="3"/>
        <v>28/04/2025</v>
      </c>
      <c r="K233">
        <f>_xlfn.XLOOKUP(J233,'Wk no''s'!D:D,'Wk no''s'!C:C,FALSE)</f>
        <v>18</v>
      </c>
    </row>
    <row r="234" spans="1:11" x14ac:dyDescent="0.3">
      <c r="A234" t="s">
        <v>4308</v>
      </c>
      <c r="B234" t="s">
        <v>135</v>
      </c>
      <c r="C234" t="s">
        <v>134</v>
      </c>
      <c r="D234" s="7" t="s">
        <v>1046</v>
      </c>
      <c r="E234" t="s">
        <v>122</v>
      </c>
      <c r="F234" t="s">
        <v>121</v>
      </c>
      <c r="G234" t="s">
        <v>133</v>
      </c>
      <c r="H234" t="s">
        <v>1</v>
      </c>
      <c r="I234" t="str">
        <f>_xlfn.XLOOKUP(F234,'Lookup List'!A:A,'Lookup List'!B:B,FALSE)</f>
        <v>Transport</v>
      </c>
      <c r="J234" s="10" t="str">
        <f t="shared" si="3"/>
        <v>28/04/2025</v>
      </c>
      <c r="K234">
        <f>_xlfn.XLOOKUP(J234,'Wk no''s'!D:D,'Wk no''s'!C:C,FALSE)</f>
        <v>18</v>
      </c>
    </row>
    <row r="235" spans="1:11" x14ac:dyDescent="0.3">
      <c r="A235" t="s">
        <v>132</v>
      </c>
      <c r="B235" t="s">
        <v>131</v>
      </c>
      <c r="C235" t="s">
        <v>27</v>
      </c>
      <c r="D235" s="7" t="s">
        <v>1047</v>
      </c>
      <c r="E235" t="s">
        <v>63</v>
      </c>
      <c r="F235" t="s">
        <v>62</v>
      </c>
      <c r="G235" t="s">
        <v>130</v>
      </c>
      <c r="H235" t="s">
        <v>1</v>
      </c>
      <c r="I235" t="str">
        <f>_xlfn.XLOOKUP(F235,'Lookup List'!A:A,'Lookup List'!B:B,FALSE)</f>
        <v>Customer</v>
      </c>
      <c r="J235" s="10" t="str">
        <f t="shared" si="3"/>
        <v>28/04/2025</v>
      </c>
      <c r="K235">
        <f>_xlfn.XLOOKUP(J235,'Wk no''s'!D:D,'Wk no''s'!C:C,FALSE)</f>
        <v>18</v>
      </c>
    </row>
    <row r="236" spans="1:11" x14ac:dyDescent="0.3">
      <c r="A236" t="s">
        <v>129</v>
      </c>
      <c r="B236" t="s">
        <v>128</v>
      </c>
      <c r="C236" t="s">
        <v>127</v>
      </c>
      <c r="D236" s="7" t="s">
        <v>1048</v>
      </c>
      <c r="E236" t="s">
        <v>126</v>
      </c>
      <c r="F236" t="s">
        <v>46</v>
      </c>
      <c r="G236" t="s">
        <v>125</v>
      </c>
      <c r="H236" t="s">
        <v>1</v>
      </c>
      <c r="I236" t="str">
        <f>_xlfn.XLOOKUP(F236,'Lookup List'!A:A,'Lookup List'!B:B,FALSE)</f>
        <v>03 Assembly</v>
      </c>
      <c r="J236" s="10" t="str">
        <f t="shared" si="3"/>
        <v>29/04/2025</v>
      </c>
      <c r="K236">
        <f>_xlfn.XLOOKUP(J236,'Wk no''s'!D:D,'Wk no''s'!C:C,FALSE)</f>
        <v>18</v>
      </c>
    </row>
    <row r="237" spans="1:11" x14ac:dyDescent="0.3">
      <c r="A237" t="s">
        <v>71</v>
      </c>
      <c r="B237" t="s">
        <v>124</v>
      </c>
      <c r="C237" t="s">
        <v>123</v>
      </c>
      <c r="D237" s="7" t="s">
        <v>1049</v>
      </c>
      <c r="E237" t="s">
        <v>122</v>
      </c>
      <c r="F237" t="s">
        <v>121</v>
      </c>
      <c r="G237" t="s">
        <v>120</v>
      </c>
      <c r="H237" t="s">
        <v>1</v>
      </c>
      <c r="I237" t="str">
        <f>_xlfn.XLOOKUP(F237,'Lookup List'!A:A,'Lookup List'!B:B,FALSE)</f>
        <v>Transport</v>
      </c>
      <c r="J237" s="10" t="str">
        <f t="shared" si="3"/>
        <v>29/04/2025</v>
      </c>
      <c r="K237">
        <f>_xlfn.XLOOKUP(J237,'Wk no''s'!D:D,'Wk no''s'!C:C,FALSE)</f>
        <v>18</v>
      </c>
    </row>
    <row r="238" spans="1:11" x14ac:dyDescent="0.3">
      <c r="A238" t="s">
        <v>119</v>
      </c>
      <c r="B238" t="s">
        <v>118</v>
      </c>
      <c r="C238" t="s">
        <v>117</v>
      </c>
      <c r="D238" s="7" t="s">
        <v>1050</v>
      </c>
      <c r="E238" t="s">
        <v>47</v>
      </c>
      <c r="F238" t="s">
        <v>89</v>
      </c>
      <c r="G238" t="s">
        <v>116</v>
      </c>
      <c r="H238" t="s">
        <v>1</v>
      </c>
      <c r="I238" t="str">
        <f>_xlfn.XLOOKUP(F238,'Lookup List'!A:A,'Lookup List'!B:B,FALSE)</f>
        <v>Salesforce</v>
      </c>
      <c r="J238" s="10" t="str">
        <f t="shared" si="3"/>
        <v>30/04/2025</v>
      </c>
      <c r="K238">
        <f>_xlfn.XLOOKUP(J238,'Wk no''s'!D:D,'Wk no''s'!C:C,FALSE)</f>
        <v>18</v>
      </c>
    </row>
    <row r="239" spans="1:11" x14ac:dyDescent="0.3">
      <c r="A239" t="s">
        <v>115</v>
      </c>
      <c r="B239" t="s">
        <v>114</v>
      </c>
      <c r="C239" t="s">
        <v>113</v>
      </c>
      <c r="D239" s="7" t="s">
        <v>1051</v>
      </c>
      <c r="E239" t="s">
        <v>74</v>
      </c>
      <c r="F239" t="s">
        <v>73</v>
      </c>
      <c r="G239" t="s">
        <v>112</v>
      </c>
      <c r="H239" t="s">
        <v>1</v>
      </c>
      <c r="I239" t="str">
        <f>_xlfn.XLOOKUP(F239,'Lookup List'!A:A,'Lookup List'!B:B,FALSE)</f>
        <v>01 SOP</v>
      </c>
      <c r="J239" s="10" t="str">
        <f t="shared" si="3"/>
        <v>30/04/2025</v>
      </c>
      <c r="K239">
        <f>_xlfn.XLOOKUP(J239,'Wk no''s'!D:D,'Wk no''s'!C:C,FALSE)</f>
        <v>18</v>
      </c>
    </row>
    <row r="240" spans="1:11" x14ac:dyDescent="0.3">
      <c r="A240" t="s">
        <v>111</v>
      </c>
      <c r="B240" t="s">
        <v>110</v>
      </c>
      <c r="C240" t="s">
        <v>109</v>
      </c>
      <c r="D240" s="7" t="s">
        <v>1052</v>
      </c>
      <c r="E240" t="s">
        <v>63</v>
      </c>
      <c r="F240" t="s">
        <v>62</v>
      </c>
      <c r="G240" t="s">
        <v>108</v>
      </c>
      <c r="H240" t="s">
        <v>1</v>
      </c>
      <c r="I240" t="str">
        <f>_xlfn.XLOOKUP(F240,'Lookup List'!A:A,'Lookup List'!B:B,FALSE)</f>
        <v>Customer</v>
      </c>
      <c r="J240" s="10" t="str">
        <f t="shared" si="3"/>
        <v>01/05/2025</v>
      </c>
      <c r="K240">
        <f>_xlfn.XLOOKUP(J240,'Wk no''s'!D:D,'Wk no''s'!C:C,FALSE)</f>
        <v>18</v>
      </c>
    </row>
    <row r="241" spans="1:11" x14ac:dyDescent="0.3">
      <c r="A241" t="s">
        <v>107</v>
      </c>
      <c r="B241" t="s">
        <v>106</v>
      </c>
      <c r="C241" t="s">
        <v>105</v>
      </c>
      <c r="D241" s="7" t="s">
        <v>1053</v>
      </c>
      <c r="E241" t="s">
        <v>63</v>
      </c>
      <c r="F241" t="s">
        <v>103</v>
      </c>
      <c r="G241" t="s">
        <v>102</v>
      </c>
      <c r="H241" t="s">
        <v>1</v>
      </c>
      <c r="I241" t="str">
        <f>_xlfn.XLOOKUP(F241,'Lookup List'!A:A,'Lookup List'!B:B,FALSE)</f>
        <v>Finance</v>
      </c>
      <c r="J241" s="10" t="str">
        <f t="shared" si="3"/>
        <v>01/05/2025</v>
      </c>
      <c r="K241">
        <f>_xlfn.XLOOKUP(J241,'Wk no''s'!D:D,'Wk no''s'!C:C,FALSE)</f>
        <v>18</v>
      </c>
    </row>
    <row r="242" spans="1:11" x14ac:dyDescent="0.3">
      <c r="A242" t="s">
        <v>49</v>
      </c>
      <c r="B242" t="s">
        <v>101</v>
      </c>
      <c r="C242" t="s">
        <v>18</v>
      </c>
      <c r="D242" s="7" t="s">
        <v>1054</v>
      </c>
      <c r="E242" t="s">
        <v>47</v>
      </c>
      <c r="F242" t="s">
        <v>100</v>
      </c>
      <c r="G242" t="s">
        <v>99</v>
      </c>
      <c r="H242" t="s">
        <v>4</v>
      </c>
      <c r="I242" t="str">
        <f>_xlfn.XLOOKUP(F242,'Lookup List'!A:A,'Lookup List'!B:B,FALSE)</f>
        <v>02 Product Design</v>
      </c>
      <c r="J242" s="10" t="str">
        <f t="shared" si="3"/>
        <v>28/04/2025</v>
      </c>
      <c r="K242">
        <f>_xlfn.XLOOKUP(J242,'Wk no''s'!D:D,'Wk no''s'!C:C,FALSE)</f>
        <v>18</v>
      </c>
    </row>
    <row r="243" spans="1:11" x14ac:dyDescent="0.3">
      <c r="A243" t="s">
        <v>98</v>
      </c>
      <c r="B243" t="s">
        <v>97</v>
      </c>
      <c r="C243" t="s">
        <v>96</v>
      </c>
      <c r="D243" s="7" t="s">
        <v>1055</v>
      </c>
      <c r="E243" t="s">
        <v>47</v>
      </c>
      <c r="F243" t="s">
        <v>95</v>
      </c>
      <c r="G243" t="s">
        <v>94</v>
      </c>
      <c r="H243" t="s">
        <v>93</v>
      </c>
      <c r="I243" t="str">
        <f>_xlfn.XLOOKUP(F243,'Lookup List'!A:A,'Lookup List'!B:B,FALSE)</f>
        <v>Block 2</v>
      </c>
      <c r="J243" s="10" t="str">
        <f t="shared" si="3"/>
        <v>06/05/2025</v>
      </c>
      <c r="K243">
        <f>_xlfn.XLOOKUP(J243,'Wk no''s'!D:D,'Wk no''s'!C:C,FALSE)</f>
        <v>19</v>
      </c>
    </row>
    <row r="244" spans="1:11" x14ac:dyDescent="0.3">
      <c r="A244" t="s">
        <v>92</v>
      </c>
      <c r="B244" t="s">
        <v>91</v>
      </c>
      <c r="C244" t="s">
        <v>15</v>
      </c>
      <c r="D244" s="7" t="s">
        <v>1056</v>
      </c>
      <c r="E244" t="s">
        <v>90</v>
      </c>
      <c r="F244" t="s">
        <v>89</v>
      </c>
      <c r="G244" t="s">
        <v>88</v>
      </c>
      <c r="H244" t="s">
        <v>9</v>
      </c>
      <c r="I244" t="str">
        <f>_xlfn.XLOOKUP(F244,'Lookup List'!A:A,'Lookup List'!B:B,FALSE)</f>
        <v>Salesforce</v>
      </c>
      <c r="J244" s="10" t="str">
        <f t="shared" si="3"/>
        <v>07/05/2025</v>
      </c>
      <c r="K244">
        <f>_xlfn.XLOOKUP(J244,'Wk no''s'!D:D,'Wk no''s'!C:C,FALSE)</f>
        <v>19</v>
      </c>
    </row>
    <row r="245" spans="1:11" x14ac:dyDescent="0.3">
      <c r="A245" t="s">
        <v>87</v>
      </c>
      <c r="B245" t="s">
        <v>86</v>
      </c>
      <c r="C245" t="s">
        <v>85</v>
      </c>
      <c r="D245" s="7" t="s">
        <v>1057</v>
      </c>
      <c r="E245" t="s">
        <v>47</v>
      </c>
      <c r="F245" t="s">
        <v>84</v>
      </c>
      <c r="G245" t="s">
        <v>83</v>
      </c>
      <c r="H245" t="s">
        <v>1</v>
      </c>
      <c r="I245" t="str">
        <f>_xlfn.XLOOKUP(F245,'Lookup List'!A:A,'Lookup List'!B:B,FALSE)</f>
        <v>Fast Track</v>
      </c>
      <c r="J245" s="10" t="str">
        <f t="shared" si="3"/>
        <v>06/05/2025</v>
      </c>
      <c r="K245">
        <f>_xlfn.XLOOKUP(J245,'Wk no''s'!D:D,'Wk no''s'!C:C,FALSE)</f>
        <v>19</v>
      </c>
    </row>
    <row r="246" spans="1:11" x14ac:dyDescent="0.3">
      <c r="A246" t="s">
        <v>81</v>
      </c>
      <c r="B246" t="s">
        <v>80</v>
      </c>
      <c r="C246" t="s">
        <v>28</v>
      </c>
      <c r="D246" s="7" t="s">
        <v>1058</v>
      </c>
      <c r="E246" t="s">
        <v>63</v>
      </c>
      <c r="F246" t="s">
        <v>62</v>
      </c>
      <c r="G246" t="s">
        <v>82</v>
      </c>
      <c r="H246" t="s">
        <v>1</v>
      </c>
      <c r="I246" t="str">
        <f>_xlfn.XLOOKUP(F246,'Lookup List'!A:A,'Lookup List'!B:B,FALSE)</f>
        <v>Customer</v>
      </c>
      <c r="J246" s="10" t="str">
        <f t="shared" si="3"/>
        <v>06/05/2025</v>
      </c>
      <c r="K246">
        <f>_xlfn.XLOOKUP(J246,'Wk no''s'!D:D,'Wk no''s'!C:C,FALSE)</f>
        <v>19</v>
      </c>
    </row>
    <row r="247" spans="1:11" x14ac:dyDescent="0.3">
      <c r="A247" t="s">
        <v>81</v>
      </c>
      <c r="B247" t="s">
        <v>80</v>
      </c>
      <c r="C247" t="s">
        <v>28</v>
      </c>
      <c r="D247" s="7" t="s">
        <v>1059</v>
      </c>
      <c r="E247" t="s">
        <v>79</v>
      </c>
      <c r="F247" t="s">
        <v>46</v>
      </c>
      <c r="G247" t="s">
        <v>78</v>
      </c>
      <c r="H247" t="s">
        <v>1</v>
      </c>
      <c r="I247" t="str">
        <f>_xlfn.XLOOKUP(F247,'Lookup List'!A:A,'Lookup List'!B:B,FALSE)</f>
        <v>03 Assembly</v>
      </c>
      <c r="J247" s="10" t="str">
        <f t="shared" si="3"/>
        <v>06/05/2025</v>
      </c>
      <c r="K247">
        <f>_xlfn.XLOOKUP(J247,'Wk no''s'!D:D,'Wk no''s'!C:C,FALSE)</f>
        <v>19</v>
      </c>
    </row>
    <row r="248" spans="1:11" x14ac:dyDescent="0.3">
      <c r="A248" t="s">
        <v>77</v>
      </c>
      <c r="B248" t="s">
        <v>76</v>
      </c>
      <c r="C248" t="s">
        <v>75</v>
      </c>
      <c r="D248" s="7" t="s">
        <v>1060</v>
      </c>
      <c r="E248" t="s">
        <v>74</v>
      </c>
      <c r="F248" t="s">
        <v>73</v>
      </c>
      <c r="G248" t="s">
        <v>72</v>
      </c>
      <c r="H248" t="s">
        <v>1</v>
      </c>
      <c r="I248" t="str">
        <f>_xlfn.XLOOKUP(F248,'Lookup List'!A:A,'Lookup List'!B:B,FALSE)</f>
        <v>01 SOP</v>
      </c>
      <c r="J248" s="10" t="str">
        <f t="shared" si="3"/>
        <v>07/05/2025</v>
      </c>
      <c r="K248">
        <f>_xlfn.XLOOKUP(J248,'Wk no''s'!D:D,'Wk no''s'!C:C,FALSE)</f>
        <v>19</v>
      </c>
    </row>
    <row r="249" spans="1:11" x14ac:dyDescent="0.3">
      <c r="A249" t="s">
        <v>71</v>
      </c>
      <c r="B249" t="s">
        <v>70</v>
      </c>
      <c r="C249" t="s">
        <v>69</v>
      </c>
      <c r="D249" s="7" t="s">
        <v>1061</v>
      </c>
      <c r="E249" t="s">
        <v>68</v>
      </c>
      <c r="F249" t="s">
        <v>62</v>
      </c>
      <c r="G249" t="s">
        <v>67</v>
      </c>
      <c r="H249" t="s">
        <v>1</v>
      </c>
      <c r="I249" t="str">
        <f>_xlfn.XLOOKUP(F249,'Lookup List'!A:A,'Lookup List'!B:B,FALSE)</f>
        <v>Customer</v>
      </c>
      <c r="J249" s="10" t="str">
        <f t="shared" si="3"/>
        <v>07/05/2025</v>
      </c>
      <c r="K249">
        <f>_xlfn.XLOOKUP(J249,'Wk no''s'!D:D,'Wk no''s'!C:C,FALSE)</f>
        <v>19</v>
      </c>
    </row>
    <row r="250" spans="1:11" x14ac:dyDescent="0.3">
      <c r="A250" t="s">
        <v>66</v>
      </c>
      <c r="B250" t="s">
        <v>65</v>
      </c>
      <c r="C250" t="s">
        <v>64</v>
      </c>
      <c r="D250" s="7" t="s">
        <v>1062</v>
      </c>
      <c r="E250" t="s">
        <v>47</v>
      </c>
      <c r="F250" t="s">
        <v>51</v>
      </c>
      <c r="G250" t="s">
        <v>61</v>
      </c>
      <c r="H250" t="s">
        <v>1</v>
      </c>
      <c r="I250" t="str">
        <f>_xlfn.XLOOKUP(F250,'Lookup List'!A:A,'Lookup List'!B:B,FALSE)</f>
        <v>03 Shop Floor</v>
      </c>
      <c r="J250" s="10" t="str">
        <f t="shared" si="3"/>
        <v>09/05/2025</v>
      </c>
      <c r="K250">
        <f>_xlfn.XLOOKUP(J250,'Wk no''s'!D:D,'Wk no''s'!C:C,FALSE)</f>
        <v>19</v>
      </c>
    </row>
    <row r="251" spans="1:11" x14ac:dyDescent="0.3">
      <c r="A251" t="s">
        <v>60</v>
      </c>
      <c r="B251" t="s">
        <v>59</v>
      </c>
      <c r="C251" t="s">
        <v>58</v>
      </c>
      <c r="D251" s="7" t="s">
        <v>1063</v>
      </c>
      <c r="E251" t="s">
        <v>57</v>
      </c>
      <c r="F251" t="s">
        <v>56</v>
      </c>
      <c r="G251" t="s">
        <v>55</v>
      </c>
      <c r="H251" t="s">
        <v>1</v>
      </c>
      <c r="I251" t="str">
        <f>_xlfn.XLOOKUP(F251,'Lookup List'!A:A,'Lookup List'!B:B,FALSE)</f>
        <v>Lighting Supplier</v>
      </c>
      <c r="J251" s="10" t="str">
        <f t="shared" si="3"/>
        <v>09/05/2025</v>
      </c>
      <c r="K251">
        <f>_xlfn.XLOOKUP(J251,'Wk no''s'!D:D,'Wk no''s'!C:C,FALSE)</f>
        <v>19</v>
      </c>
    </row>
    <row r="252" spans="1:11" x14ac:dyDescent="0.3">
      <c r="A252" t="s">
        <v>54</v>
      </c>
      <c r="B252" t="s">
        <v>53</v>
      </c>
      <c r="C252" t="s">
        <v>30</v>
      </c>
      <c r="D252" s="7" t="s">
        <v>1064</v>
      </c>
      <c r="E252" t="s">
        <v>52</v>
      </c>
      <c r="F252" t="s">
        <v>46</v>
      </c>
      <c r="G252" t="s">
        <v>50</v>
      </c>
      <c r="H252" t="s">
        <v>1</v>
      </c>
      <c r="I252" t="str">
        <f>_xlfn.XLOOKUP(F252,'Lookup List'!A:A,'Lookup List'!B:B,FALSE)</f>
        <v>03 Assembly</v>
      </c>
      <c r="J252" s="10" t="str">
        <f t="shared" si="3"/>
        <v>09/05/2025</v>
      </c>
      <c r="K252">
        <f>_xlfn.XLOOKUP(J252,'Wk no''s'!D:D,'Wk no''s'!C:C,FALSE)</f>
        <v>19</v>
      </c>
    </row>
    <row r="253" spans="1:11" x14ac:dyDescent="0.3">
      <c r="A253" t="s">
        <v>49</v>
      </c>
      <c r="B253" t="s">
        <v>48</v>
      </c>
      <c r="C253" t="s">
        <v>6</v>
      </c>
      <c r="D253" s="7" t="s">
        <v>1065</v>
      </c>
      <c r="E253" t="s">
        <v>47</v>
      </c>
      <c r="F253" t="s">
        <v>46</v>
      </c>
      <c r="G253" t="s">
        <v>45</v>
      </c>
      <c r="H253" t="s">
        <v>4</v>
      </c>
      <c r="I253" t="str">
        <f>_xlfn.XLOOKUP(F253,'Lookup List'!A:A,'Lookup List'!B:B,FALSE)</f>
        <v>03 Assembly</v>
      </c>
      <c r="J253" s="10" t="str">
        <f t="shared" si="3"/>
        <v>07/05/2025</v>
      </c>
      <c r="K253">
        <f>_xlfn.XLOOKUP(J253,'Wk no''s'!D:D,'Wk no''s'!C:C,FALSE)</f>
        <v>19</v>
      </c>
    </row>
    <row r="254" spans="1:11" x14ac:dyDescent="0.3">
      <c r="A254" t="s">
        <v>49</v>
      </c>
      <c r="B254" t="s">
        <v>101</v>
      </c>
      <c r="C254" t="s">
        <v>20</v>
      </c>
      <c r="D254" s="7" t="s">
        <v>1066</v>
      </c>
      <c r="E254" t="s">
        <v>239</v>
      </c>
      <c r="F254" t="s">
        <v>51</v>
      </c>
      <c r="G254" t="s">
        <v>784</v>
      </c>
      <c r="H254" t="s">
        <v>4</v>
      </c>
      <c r="I254" t="str">
        <f>_xlfn.XLOOKUP(F254,'Lookup List'!A:A,'Lookup List'!B:B,FALSE)</f>
        <v>03 Shop Floor</v>
      </c>
      <c r="J254" s="10" t="str">
        <f t="shared" ref="J254:J268" si="4">LEFT(G254,10)</f>
        <v>09/05/2025</v>
      </c>
      <c r="K254">
        <f>_xlfn.XLOOKUP(J254,'Wk no''s'!D:D,'Wk no''s'!C:C,FALSE)</f>
        <v>19</v>
      </c>
    </row>
    <row r="255" spans="1:11" x14ac:dyDescent="0.3">
      <c r="A255" t="s">
        <v>430</v>
      </c>
      <c r="B255" t="s">
        <v>623</v>
      </c>
      <c r="C255" t="s">
        <v>8</v>
      </c>
      <c r="D255" s="7" t="s">
        <v>1067</v>
      </c>
      <c r="E255" t="s">
        <v>104</v>
      </c>
      <c r="F255" t="s">
        <v>264</v>
      </c>
      <c r="G255" t="s">
        <v>785</v>
      </c>
      <c r="H255" t="s">
        <v>0</v>
      </c>
      <c r="I255" t="str">
        <f>_xlfn.XLOOKUP(F255,'Lookup List'!A:A,'Lookup List'!B:B,FALSE)</f>
        <v>01 SOP</v>
      </c>
      <c r="J255" s="10" t="str">
        <f t="shared" si="4"/>
        <v>12/05/2025</v>
      </c>
      <c r="K255">
        <f>_xlfn.XLOOKUP(J255,'Wk no''s'!D:D,'Wk no''s'!C:C,FALSE)</f>
        <v>20</v>
      </c>
    </row>
    <row r="256" spans="1:11" x14ac:dyDescent="0.3">
      <c r="A256" t="s">
        <v>430</v>
      </c>
      <c r="B256" t="s">
        <v>429</v>
      </c>
      <c r="C256" t="s">
        <v>7</v>
      </c>
      <c r="D256" s="7" t="s">
        <v>1068</v>
      </c>
      <c r="E256" t="s">
        <v>1081</v>
      </c>
      <c r="F256" t="s">
        <v>46</v>
      </c>
      <c r="G256" t="s">
        <v>786</v>
      </c>
      <c r="H256" t="s">
        <v>0</v>
      </c>
      <c r="I256" t="str">
        <f>_xlfn.XLOOKUP(F256,'Lookup List'!A:A,'Lookup List'!B:B,FALSE)</f>
        <v>03 Assembly</v>
      </c>
      <c r="J256" s="10" t="str">
        <f t="shared" si="4"/>
        <v>14/05/2025</v>
      </c>
      <c r="K256">
        <f>_xlfn.XLOOKUP(J256,'Wk no''s'!D:D,'Wk no''s'!C:C,FALSE)</f>
        <v>20</v>
      </c>
    </row>
    <row r="257" spans="1:11" x14ac:dyDescent="0.3">
      <c r="A257" t="s">
        <v>162</v>
      </c>
      <c r="B257" t="s">
        <v>161</v>
      </c>
      <c r="C257" t="s">
        <v>23</v>
      </c>
      <c r="D257" s="7" t="s">
        <v>1069</v>
      </c>
      <c r="E257" t="s">
        <v>47</v>
      </c>
      <c r="F257" t="s">
        <v>84</v>
      </c>
      <c r="G257" t="s">
        <v>787</v>
      </c>
      <c r="H257" t="s">
        <v>3</v>
      </c>
      <c r="I257" t="str">
        <f>_xlfn.XLOOKUP(F257,'Lookup List'!A:A,'Lookup List'!B:B,FALSE)</f>
        <v>Fast Track</v>
      </c>
      <c r="J257" s="10" t="str">
        <f t="shared" si="4"/>
        <v>15/05/2025</v>
      </c>
      <c r="K257">
        <f>_xlfn.XLOOKUP(J257,'Wk no''s'!D:D,'Wk no''s'!C:C,FALSE)</f>
        <v>20</v>
      </c>
    </row>
    <row r="258" spans="1:11" x14ac:dyDescent="0.3">
      <c r="A258" t="s">
        <v>788</v>
      </c>
      <c r="B258" t="s">
        <v>789</v>
      </c>
      <c r="C258" t="s">
        <v>10</v>
      </c>
      <c r="D258" s="7" t="s">
        <v>1070</v>
      </c>
      <c r="E258" t="s">
        <v>47</v>
      </c>
      <c r="F258" t="s">
        <v>51</v>
      </c>
      <c r="G258" t="s">
        <v>790</v>
      </c>
      <c r="H258" t="s">
        <v>9</v>
      </c>
      <c r="I258" t="str">
        <f>_xlfn.XLOOKUP(F258,'Lookup List'!A:A,'Lookup List'!B:B,FALSE)</f>
        <v>03 Shop Floor</v>
      </c>
      <c r="J258" s="10" t="str">
        <f t="shared" si="4"/>
        <v>15/05/2025</v>
      </c>
      <c r="K258">
        <f>_xlfn.XLOOKUP(J258,'Wk no''s'!D:D,'Wk no''s'!C:C,FALSE)</f>
        <v>20</v>
      </c>
    </row>
    <row r="259" spans="1:11" x14ac:dyDescent="0.3">
      <c r="A259" t="s">
        <v>242</v>
      </c>
      <c r="B259" t="s">
        <v>241</v>
      </c>
      <c r="C259" t="s">
        <v>791</v>
      </c>
      <c r="D259" s="7" t="s">
        <v>1071</v>
      </c>
      <c r="E259" t="s">
        <v>74</v>
      </c>
      <c r="F259" t="s">
        <v>73</v>
      </c>
      <c r="G259" t="s">
        <v>792</v>
      </c>
      <c r="H259" t="s">
        <v>1</v>
      </c>
      <c r="I259" t="str">
        <f>_xlfn.XLOOKUP(F259,'Lookup List'!A:A,'Lookup List'!B:B,FALSE)</f>
        <v>01 SOP</v>
      </c>
      <c r="J259" s="10" t="str">
        <f t="shared" si="4"/>
        <v>12/05/2025</v>
      </c>
      <c r="K259">
        <f>_xlfn.XLOOKUP(J259,'Wk no''s'!D:D,'Wk no''s'!C:C,FALSE)</f>
        <v>20</v>
      </c>
    </row>
    <row r="260" spans="1:11" x14ac:dyDescent="0.3">
      <c r="A260" t="s">
        <v>793</v>
      </c>
      <c r="B260" t="s">
        <v>794</v>
      </c>
      <c r="C260" t="s">
        <v>315</v>
      </c>
      <c r="D260" s="7" t="s">
        <v>1072</v>
      </c>
      <c r="E260" t="s">
        <v>74</v>
      </c>
      <c r="F260" t="s">
        <v>73</v>
      </c>
      <c r="G260" t="s">
        <v>795</v>
      </c>
      <c r="H260" t="s">
        <v>1</v>
      </c>
      <c r="I260" t="str">
        <f>_xlfn.XLOOKUP(F260,'Lookup List'!A:A,'Lookup List'!B:B,FALSE)</f>
        <v>01 SOP</v>
      </c>
      <c r="J260" s="10" t="str">
        <f t="shared" si="4"/>
        <v>12/05/2025</v>
      </c>
      <c r="K260">
        <f>_xlfn.XLOOKUP(J260,'Wk no''s'!D:D,'Wk no''s'!C:C,FALSE)</f>
        <v>20</v>
      </c>
    </row>
    <row r="261" spans="1:11" x14ac:dyDescent="0.3">
      <c r="A261" t="s">
        <v>796</v>
      </c>
      <c r="B261" t="s">
        <v>797</v>
      </c>
      <c r="C261" t="s">
        <v>748</v>
      </c>
      <c r="D261" s="7" t="s">
        <v>1073</v>
      </c>
      <c r="E261" t="s">
        <v>74</v>
      </c>
      <c r="F261" t="s">
        <v>73</v>
      </c>
      <c r="G261" t="s">
        <v>798</v>
      </c>
      <c r="H261" t="s">
        <v>1</v>
      </c>
      <c r="I261" t="str">
        <f>_xlfn.XLOOKUP(F261,'Lookup List'!A:A,'Lookup List'!B:B,FALSE)</f>
        <v>01 SOP</v>
      </c>
      <c r="J261" s="10" t="str">
        <f t="shared" si="4"/>
        <v>12/05/2025</v>
      </c>
      <c r="K261">
        <f>_xlfn.XLOOKUP(J261,'Wk no''s'!D:D,'Wk no''s'!C:C,FALSE)</f>
        <v>20</v>
      </c>
    </row>
    <row r="262" spans="1:11" x14ac:dyDescent="0.3">
      <c r="A262" t="s">
        <v>799</v>
      </c>
      <c r="B262" t="s">
        <v>800</v>
      </c>
      <c r="C262" t="s">
        <v>749</v>
      </c>
      <c r="D262" s="7" t="s">
        <v>1074</v>
      </c>
      <c r="E262" t="s">
        <v>90</v>
      </c>
      <c r="F262" t="s">
        <v>89</v>
      </c>
      <c r="G262" t="s">
        <v>801</v>
      </c>
      <c r="H262" t="s">
        <v>1</v>
      </c>
      <c r="I262" t="str">
        <f>_xlfn.XLOOKUP(F262,'Lookup List'!A:A,'Lookup List'!B:B,FALSE)</f>
        <v>Salesforce</v>
      </c>
      <c r="J262" s="10" t="str">
        <f t="shared" si="4"/>
        <v>13/05/2025</v>
      </c>
      <c r="K262">
        <f>_xlfn.XLOOKUP(J262,'Wk no''s'!D:D,'Wk no''s'!C:C,FALSE)</f>
        <v>20</v>
      </c>
    </row>
    <row r="263" spans="1:11" x14ac:dyDescent="0.3">
      <c r="A263" t="s">
        <v>802</v>
      </c>
      <c r="B263" t="s">
        <v>803</v>
      </c>
      <c r="C263" t="s">
        <v>12</v>
      </c>
      <c r="D263" s="7" t="s">
        <v>1075</v>
      </c>
      <c r="E263" t="s">
        <v>1081</v>
      </c>
      <c r="F263" t="s">
        <v>46</v>
      </c>
      <c r="G263" t="s">
        <v>804</v>
      </c>
      <c r="H263" t="s">
        <v>1</v>
      </c>
      <c r="I263" t="str">
        <f>_xlfn.XLOOKUP(F263,'Lookup List'!A:A,'Lookup List'!B:B,FALSE)</f>
        <v>03 Assembly</v>
      </c>
      <c r="J263" s="10" t="str">
        <f t="shared" si="4"/>
        <v>13/05/2025</v>
      </c>
      <c r="K263">
        <f>_xlfn.XLOOKUP(J263,'Wk no''s'!D:D,'Wk no''s'!C:C,FALSE)</f>
        <v>20</v>
      </c>
    </row>
    <row r="264" spans="1:11" x14ac:dyDescent="0.3">
      <c r="A264" t="s">
        <v>805</v>
      </c>
      <c r="B264" t="s">
        <v>806</v>
      </c>
      <c r="C264" t="s">
        <v>750</v>
      </c>
      <c r="D264" s="7" t="s">
        <v>1076</v>
      </c>
      <c r="E264" t="s">
        <v>47</v>
      </c>
      <c r="F264" t="s">
        <v>156</v>
      </c>
      <c r="G264" t="s">
        <v>807</v>
      </c>
      <c r="H264" t="s">
        <v>1</v>
      </c>
      <c r="I264" t="str">
        <f>_xlfn.XLOOKUP(F264,'Lookup List'!A:A,'Lookup List'!B:B,FALSE)</f>
        <v>02 Product Design</v>
      </c>
      <c r="J264" s="10" t="str">
        <f t="shared" si="4"/>
        <v>14/05/2025</v>
      </c>
      <c r="K264">
        <f>_xlfn.XLOOKUP(J264,'Wk no''s'!D:D,'Wk no''s'!C:C,FALSE)</f>
        <v>20</v>
      </c>
    </row>
    <row r="265" spans="1:11" x14ac:dyDescent="0.3">
      <c r="A265" t="s">
        <v>212</v>
      </c>
      <c r="B265" t="s">
        <v>211</v>
      </c>
      <c r="C265" t="s">
        <v>210</v>
      </c>
      <c r="D265" s="7" t="s">
        <v>1077</v>
      </c>
      <c r="E265" t="s">
        <v>47</v>
      </c>
      <c r="F265" t="s">
        <v>51</v>
      </c>
      <c r="G265" t="s">
        <v>808</v>
      </c>
      <c r="H265" t="s">
        <v>1</v>
      </c>
      <c r="I265" t="str">
        <f>_xlfn.XLOOKUP(F265,'Lookup List'!A:A,'Lookup List'!B:B,FALSE)</f>
        <v>03 Shop Floor</v>
      </c>
      <c r="J265" s="10" t="str">
        <f t="shared" si="4"/>
        <v>15/05/2025</v>
      </c>
      <c r="K265">
        <f>_xlfn.XLOOKUP(J265,'Wk no''s'!D:D,'Wk no''s'!C:C,FALSE)</f>
        <v>20</v>
      </c>
    </row>
    <row r="266" spans="1:11" x14ac:dyDescent="0.3">
      <c r="A266" t="s">
        <v>145</v>
      </c>
      <c r="B266" t="s">
        <v>303</v>
      </c>
      <c r="C266" t="s">
        <v>809</v>
      </c>
      <c r="D266" s="7" t="s">
        <v>1078</v>
      </c>
      <c r="E266" t="s">
        <v>68</v>
      </c>
      <c r="F266" t="s">
        <v>62</v>
      </c>
      <c r="G266" t="s">
        <v>810</v>
      </c>
      <c r="H266" t="s">
        <v>1</v>
      </c>
      <c r="I266" t="str">
        <f>_xlfn.XLOOKUP(F266,'Lookup List'!A:A,'Lookup List'!B:B,FALSE)</f>
        <v>Customer</v>
      </c>
      <c r="J266" s="10" t="str">
        <f t="shared" si="4"/>
        <v>16/05/2025</v>
      </c>
      <c r="K266">
        <f>_xlfn.XLOOKUP(J266,'Wk no''s'!D:D,'Wk no''s'!C:C,FALSE)</f>
        <v>20</v>
      </c>
    </row>
    <row r="267" spans="1:11" x14ac:dyDescent="0.3">
      <c r="A267" t="s">
        <v>212</v>
      </c>
      <c r="B267" t="s">
        <v>211</v>
      </c>
      <c r="C267" t="s">
        <v>210</v>
      </c>
      <c r="D267" s="7" t="s">
        <v>1079</v>
      </c>
      <c r="E267" t="s">
        <v>90</v>
      </c>
      <c r="F267" t="s">
        <v>89</v>
      </c>
      <c r="G267" t="s">
        <v>811</v>
      </c>
      <c r="H267" t="s">
        <v>1</v>
      </c>
      <c r="I267" t="str">
        <f>_xlfn.XLOOKUP(F267,'Lookup List'!A:A,'Lookup List'!B:B,FALSE)</f>
        <v>Salesforce</v>
      </c>
      <c r="J267" s="10" t="str">
        <f t="shared" si="4"/>
        <v>16/05/2025</v>
      </c>
      <c r="K267">
        <f>_xlfn.XLOOKUP(J267,'Wk no''s'!D:D,'Wk no''s'!C:C,FALSE)</f>
        <v>20</v>
      </c>
    </row>
    <row r="268" spans="1:11" x14ac:dyDescent="0.3">
      <c r="A268" t="s">
        <v>49</v>
      </c>
      <c r="B268" t="s">
        <v>48</v>
      </c>
      <c r="C268" t="s">
        <v>26</v>
      </c>
      <c r="D268" s="7" t="s">
        <v>1080</v>
      </c>
      <c r="E268" t="s">
        <v>74</v>
      </c>
      <c r="F268" t="s">
        <v>264</v>
      </c>
      <c r="G268" t="s">
        <v>812</v>
      </c>
      <c r="H268" t="s">
        <v>4</v>
      </c>
      <c r="I268" t="str">
        <f>_xlfn.XLOOKUP(F268,'Lookup List'!A:A,'Lookup List'!B:B,FALSE)</f>
        <v>01 SOP</v>
      </c>
      <c r="J268" s="10" t="str">
        <f t="shared" si="4"/>
        <v>16/05/2025</v>
      </c>
      <c r="K268">
        <f>_xlfn.XLOOKUP(J268,'Wk no''s'!D:D,'Wk no''s'!C:C,FALSE)</f>
        <v>20</v>
      </c>
    </row>
    <row r="269" spans="1:11" x14ac:dyDescent="0.3">
      <c r="A269" t="s">
        <v>430</v>
      </c>
      <c r="B269" t="s">
        <v>429</v>
      </c>
      <c r="C269" t="s">
        <v>527</v>
      </c>
      <c r="D269" s="7" t="s">
        <v>1082</v>
      </c>
      <c r="E269" t="s">
        <v>74</v>
      </c>
      <c r="F269" t="s">
        <v>284</v>
      </c>
      <c r="G269" t="s">
        <v>1083</v>
      </c>
      <c r="H269" t="s">
        <v>0</v>
      </c>
      <c r="I269" t="str">
        <f>_xlfn.XLOOKUP(F269,'Lookup List'!A:A,'Lookup List'!B:B,FALSE)</f>
        <v>01 Export SOP</v>
      </c>
      <c r="J269" s="10" t="str">
        <f t="shared" ref="J269:J279" si="5">LEFT(G269,10)</f>
        <v>23/05/2025</v>
      </c>
      <c r="K269">
        <f>_xlfn.XLOOKUP(J269,'Wk no''s'!D:D,'Wk no''s'!C:C,FALSE)</f>
        <v>21</v>
      </c>
    </row>
    <row r="270" spans="1:11" x14ac:dyDescent="0.3">
      <c r="A270" t="s">
        <v>162</v>
      </c>
      <c r="B270" t="s">
        <v>161</v>
      </c>
      <c r="C270" t="s">
        <v>1084</v>
      </c>
      <c r="D270" s="7" t="s">
        <v>1085</v>
      </c>
      <c r="E270" t="s">
        <v>90</v>
      </c>
      <c r="F270" t="s">
        <v>253</v>
      </c>
      <c r="G270" t="s">
        <v>1086</v>
      </c>
      <c r="H270" t="s">
        <v>3</v>
      </c>
      <c r="I270" t="str">
        <f>_xlfn.XLOOKUP(F270,'Lookup List'!A:A,'Lookup List'!B:B,FALSE)</f>
        <v>Estimating</v>
      </c>
      <c r="J270" s="10" t="str">
        <f t="shared" si="5"/>
        <v>20/05/2025</v>
      </c>
      <c r="K270">
        <f>_xlfn.XLOOKUP(J270,'Wk no''s'!D:D,'Wk no''s'!C:C,FALSE)</f>
        <v>21</v>
      </c>
    </row>
    <row r="271" spans="1:11" x14ac:dyDescent="0.3">
      <c r="A271" t="s">
        <v>154</v>
      </c>
      <c r="B271" t="s">
        <v>153</v>
      </c>
      <c r="C271" t="s">
        <v>1087</v>
      </c>
      <c r="D271" s="7" t="s">
        <v>1088</v>
      </c>
      <c r="E271" t="s">
        <v>52</v>
      </c>
      <c r="F271" t="s">
        <v>46</v>
      </c>
      <c r="G271" t="s">
        <v>1089</v>
      </c>
      <c r="H271" t="s">
        <v>150</v>
      </c>
      <c r="I271" t="str">
        <f>_xlfn.XLOOKUP(F271,'Lookup List'!A:A,'Lookup List'!B:B,FALSE)</f>
        <v>03 Assembly</v>
      </c>
      <c r="J271" s="10" t="str">
        <f t="shared" si="5"/>
        <v>20/05/2025</v>
      </c>
      <c r="K271">
        <f>_xlfn.XLOOKUP(J271,'Wk no''s'!D:D,'Wk no''s'!C:C,FALSE)</f>
        <v>21</v>
      </c>
    </row>
    <row r="272" spans="1:11" x14ac:dyDescent="0.3">
      <c r="A272" t="s">
        <v>802</v>
      </c>
      <c r="B272" t="s">
        <v>803</v>
      </c>
      <c r="C272" t="s">
        <v>12</v>
      </c>
      <c r="D272" s="7" t="s">
        <v>1090</v>
      </c>
      <c r="E272" t="s">
        <v>47</v>
      </c>
      <c r="F272" t="s">
        <v>73</v>
      </c>
      <c r="G272" t="s">
        <v>1091</v>
      </c>
      <c r="H272" t="s">
        <v>1</v>
      </c>
      <c r="I272" t="str">
        <f>_xlfn.XLOOKUP(F272,'Lookup List'!A:A,'Lookup List'!B:B,FALSE)</f>
        <v>01 SOP</v>
      </c>
      <c r="J272" s="10" t="str">
        <f t="shared" si="5"/>
        <v>19/05/2025</v>
      </c>
      <c r="K272">
        <f>_xlfn.XLOOKUP(J272,'Wk no''s'!D:D,'Wk no''s'!C:C,FALSE)</f>
        <v>21</v>
      </c>
    </row>
    <row r="273" spans="1:11" x14ac:dyDescent="0.3">
      <c r="A273" t="s">
        <v>237</v>
      </c>
      <c r="B273" t="s">
        <v>1092</v>
      </c>
      <c r="C273" t="s">
        <v>29</v>
      </c>
      <c r="D273" s="7" t="s">
        <v>1093</v>
      </c>
      <c r="E273" t="s">
        <v>63</v>
      </c>
      <c r="F273" t="s">
        <v>62</v>
      </c>
      <c r="G273" t="s">
        <v>1094</v>
      </c>
      <c r="H273" t="s">
        <v>1</v>
      </c>
      <c r="I273" t="str">
        <f>_xlfn.XLOOKUP(F273,'Lookup List'!A:A,'Lookup List'!B:B,FALSE)</f>
        <v>Customer</v>
      </c>
      <c r="J273" s="10" t="str">
        <f t="shared" si="5"/>
        <v>19/05/2025</v>
      </c>
      <c r="K273">
        <f>_xlfn.XLOOKUP(J273,'Wk no''s'!D:D,'Wk no''s'!C:C,FALSE)</f>
        <v>21</v>
      </c>
    </row>
    <row r="274" spans="1:11" x14ac:dyDescent="0.3">
      <c r="A274" t="s">
        <v>1095</v>
      </c>
      <c r="B274" t="s">
        <v>1096</v>
      </c>
      <c r="C274" t="s">
        <v>1097</v>
      </c>
      <c r="D274" s="7" t="s">
        <v>1098</v>
      </c>
      <c r="E274" t="s">
        <v>74</v>
      </c>
      <c r="F274" t="s">
        <v>73</v>
      </c>
      <c r="G274" t="s">
        <v>1099</v>
      </c>
      <c r="H274" t="s">
        <v>1</v>
      </c>
      <c r="I274" t="str">
        <f>_xlfn.XLOOKUP(F274,'Lookup List'!A:A,'Lookup List'!B:B,FALSE)</f>
        <v>01 SOP</v>
      </c>
      <c r="J274" s="10" t="str">
        <f t="shared" si="5"/>
        <v>20/05/2025</v>
      </c>
      <c r="K274">
        <f>_xlfn.XLOOKUP(J274,'Wk no''s'!D:D,'Wk no''s'!C:C,FALSE)</f>
        <v>21</v>
      </c>
    </row>
    <row r="275" spans="1:11" x14ac:dyDescent="0.3">
      <c r="A275" t="s">
        <v>71</v>
      </c>
      <c r="B275" t="s">
        <v>124</v>
      </c>
      <c r="C275" t="s">
        <v>1100</v>
      </c>
      <c r="D275" s="7" t="s">
        <v>1101</v>
      </c>
      <c r="E275" t="s">
        <v>1102</v>
      </c>
      <c r="F275" t="s">
        <v>177</v>
      </c>
      <c r="G275" t="s">
        <v>1103</v>
      </c>
      <c r="H275" t="s">
        <v>1</v>
      </c>
      <c r="I275" t="str">
        <f>_xlfn.XLOOKUP(F275,'Lookup List'!A:A,'Lookup List'!B:B,FALSE)</f>
        <v>External Courier</v>
      </c>
      <c r="J275" s="10" t="str">
        <f t="shared" si="5"/>
        <v>20/05/2025</v>
      </c>
      <c r="K275">
        <f>_xlfn.XLOOKUP(J275,'Wk no''s'!D:D,'Wk no''s'!C:C,FALSE)</f>
        <v>21</v>
      </c>
    </row>
    <row r="276" spans="1:11" x14ac:dyDescent="0.3">
      <c r="A276" t="s">
        <v>1104</v>
      </c>
      <c r="B276" t="s">
        <v>1105</v>
      </c>
      <c r="C276" t="s">
        <v>1106</v>
      </c>
      <c r="D276" s="7" t="s">
        <v>1107</v>
      </c>
      <c r="E276" t="s">
        <v>47</v>
      </c>
      <c r="F276" t="s">
        <v>51</v>
      </c>
      <c r="G276" t="s">
        <v>1108</v>
      </c>
      <c r="H276" t="s">
        <v>1</v>
      </c>
      <c r="I276" t="str">
        <f>_xlfn.XLOOKUP(F276,'Lookup List'!A:A,'Lookup List'!B:B,FALSE)</f>
        <v>03 Shop Floor</v>
      </c>
      <c r="J276" s="10" t="str">
        <f t="shared" si="5"/>
        <v>20/05/2025</v>
      </c>
      <c r="K276">
        <f>_xlfn.XLOOKUP(J276,'Wk no''s'!D:D,'Wk no''s'!C:C,FALSE)</f>
        <v>21</v>
      </c>
    </row>
    <row r="277" spans="1:11" x14ac:dyDescent="0.3">
      <c r="A277" t="s">
        <v>342</v>
      </c>
      <c r="B277" t="s">
        <v>1109</v>
      </c>
      <c r="C277" t="s">
        <v>31</v>
      </c>
      <c r="D277" s="7" t="s">
        <v>1110</v>
      </c>
      <c r="E277" t="s">
        <v>370</v>
      </c>
      <c r="F277" t="s">
        <v>5131</v>
      </c>
      <c r="G277" t="s">
        <v>1111</v>
      </c>
      <c r="H277" t="s">
        <v>1</v>
      </c>
      <c r="I277" t="b">
        <f>_xlfn.XLOOKUP(F277,'Lookup List'!A:A,'Lookup List'!B:B,FALSE)</f>
        <v>0</v>
      </c>
      <c r="J277" s="10" t="str">
        <f t="shared" si="5"/>
        <v>21/05/2025</v>
      </c>
      <c r="K277">
        <f>_xlfn.XLOOKUP(J277,'Wk no''s'!D:D,'Wk no''s'!C:C,FALSE)</f>
        <v>21</v>
      </c>
    </row>
    <row r="278" spans="1:11" x14ac:dyDescent="0.3">
      <c r="A278" t="s">
        <v>511</v>
      </c>
      <c r="B278" t="s">
        <v>510</v>
      </c>
      <c r="C278" t="s">
        <v>1112</v>
      </c>
      <c r="D278" s="7" t="s">
        <v>1113</v>
      </c>
      <c r="E278" t="s">
        <v>74</v>
      </c>
      <c r="F278" t="s">
        <v>73</v>
      </c>
      <c r="G278" t="s">
        <v>1114</v>
      </c>
      <c r="H278" t="s">
        <v>1</v>
      </c>
      <c r="I278" t="str">
        <f>_xlfn.XLOOKUP(F278,'Lookup List'!A:A,'Lookup List'!B:B,FALSE)</f>
        <v>01 SOP</v>
      </c>
      <c r="J278" s="10" t="str">
        <f t="shared" si="5"/>
        <v>21/05/2025</v>
      </c>
      <c r="K278">
        <f>_xlfn.XLOOKUP(J278,'Wk no''s'!D:D,'Wk no''s'!C:C,FALSE)</f>
        <v>21</v>
      </c>
    </row>
    <row r="279" spans="1:11" x14ac:dyDescent="0.3">
      <c r="A279" t="s">
        <v>1115</v>
      </c>
      <c r="B279" t="s">
        <v>1116</v>
      </c>
      <c r="C279" t="s">
        <v>1117</v>
      </c>
      <c r="D279" s="7" t="s">
        <v>1118</v>
      </c>
      <c r="E279" t="s">
        <v>63</v>
      </c>
      <c r="F279" t="s">
        <v>62</v>
      </c>
      <c r="G279" t="s">
        <v>1119</v>
      </c>
      <c r="H279" t="s">
        <v>1</v>
      </c>
      <c r="I279" t="str">
        <f>_xlfn.XLOOKUP(F279,'Lookup List'!A:A,'Lookup List'!B:B,FALSE)</f>
        <v>Customer</v>
      </c>
      <c r="J279" s="10" t="str">
        <f t="shared" si="5"/>
        <v>23/05/2025</v>
      </c>
      <c r="K279">
        <f>_xlfn.XLOOKUP(J279,'Wk no''s'!D:D,'Wk no''s'!C:C,FALSE)</f>
        <v>21</v>
      </c>
    </row>
    <row r="280" spans="1:11" x14ac:dyDescent="0.3">
      <c r="A280" t="s">
        <v>430</v>
      </c>
      <c r="B280" t="s">
        <v>623</v>
      </c>
      <c r="C280" t="s">
        <v>7</v>
      </c>
      <c r="D280" s="7" t="s">
        <v>1120</v>
      </c>
      <c r="E280" t="s">
        <v>248</v>
      </c>
      <c r="F280" t="s">
        <v>103</v>
      </c>
      <c r="G280" t="s">
        <v>1121</v>
      </c>
      <c r="H280" t="s">
        <v>0</v>
      </c>
      <c r="I280" t="str">
        <f>_xlfn.XLOOKUP(F280,'Lookup List'!A:A,'Lookup List'!B:B,FALSE)</f>
        <v>Finance</v>
      </c>
      <c r="J280" s="10" t="str">
        <f t="shared" ref="J280:J296" si="6">LEFT(G280,10)</f>
        <v>28/05/2025</v>
      </c>
      <c r="K280">
        <f>_xlfn.XLOOKUP(J280,'Wk no''s'!D:D,'Wk no''s'!C:C,FALSE)</f>
        <v>22</v>
      </c>
    </row>
    <row r="281" spans="1:11" x14ac:dyDescent="0.3">
      <c r="A281" t="s">
        <v>162</v>
      </c>
      <c r="B281" t="s">
        <v>161</v>
      </c>
      <c r="C281" t="s">
        <v>525</v>
      </c>
      <c r="D281" s="7" t="s">
        <v>1122</v>
      </c>
      <c r="E281" t="s">
        <v>47</v>
      </c>
      <c r="F281" t="s">
        <v>470</v>
      </c>
      <c r="G281" t="s">
        <v>1123</v>
      </c>
      <c r="H281" t="s">
        <v>3</v>
      </c>
      <c r="I281" t="str">
        <f>_xlfn.XLOOKUP(F281,'Lookup List'!A:A,'Lookup List'!B:B,FALSE)</f>
        <v>Press</v>
      </c>
      <c r="J281" s="10" t="str">
        <f t="shared" si="6"/>
        <v>29/05/2025</v>
      </c>
      <c r="K281">
        <f>_xlfn.XLOOKUP(J281,'Wk no''s'!D:D,'Wk no''s'!C:C,FALSE)</f>
        <v>22</v>
      </c>
    </row>
    <row r="282" spans="1:11" x14ac:dyDescent="0.3">
      <c r="A282" t="s">
        <v>716</v>
      </c>
      <c r="B282" t="s">
        <v>715</v>
      </c>
      <c r="C282" t="s">
        <v>714</v>
      </c>
      <c r="D282" s="7" t="s">
        <v>1124</v>
      </c>
      <c r="E282" t="s">
        <v>63</v>
      </c>
      <c r="F282" t="s">
        <v>62</v>
      </c>
      <c r="G282" t="s">
        <v>1125</v>
      </c>
      <c r="H282" t="s">
        <v>93</v>
      </c>
      <c r="I282" t="str">
        <f>_xlfn.XLOOKUP(F282,'Lookup List'!A:A,'Lookup List'!B:B,FALSE)</f>
        <v>Customer</v>
      </c>
      <c r="J282" s="10" t="str">
        <f t="shared" si="6"/>
        <v>27/05/2025</v>
      </c>
      <c r="K282">
        <f>_xlfn.XLOOKUP(J282,'Wk no''s'!D:D,'Wk no''s'!C:C,FALSE)</f>
        <v>22</v>
      </c>
    </row>
    <row r="283" spans="1:11" x14ac:dyDescent="0.3">
      <c r="A283" t="s">
        <v>1126</v>
      </c>
      <c r="B283" t="s">
        <v>1127</v>
      </c>
      <c r="C283" t="s">
        <v>1128</v>
      </c>
      <c r="D283" s="7" t="s">
        <v>1129</v>
      </c>
      <c r="E283" t="s">
        <v>79</v>
      </c>
      <c r="F283" t="s">
        <v>46</v>
      </c>
      <c r="G283" t="s">
        <v>1130</v>
      </c>
      <c r="H283" t="s">
        <v>93</v>
      </c>
      <c r="I283" t="str">
        <f>_xlfn.XLOOKUP(F283,'Lookup List'!A:A,'Lookup List'!B:B,FALSE)</f>
        <v>03 Assembly</v>
      </c>
      <c r="J283" s="10" t="str">
        <f t="shared" si="6"/>
        <v>29/05/2025</v>
      </c>
      <c r="K283">
        <f>_xlfn.XLOOKUP(J283,'Wk no''s'!D:D,'Wk no''s'!C:C,FALSE)</f>
        <v>22</v>
      </c>
    </row>
    <row r="284" spans="1:11" x14ac:dyDescent="0.3">
      <c r="A284" t="s">
        <v>207</v>
      </c>
      <c r="B284" t="s">
        <v>206</v>
      </c>
      <c r="C284" t="s">
        <v>258</v>
      </c>
      <c r="D284" s="7" t="s">
        <v>1131</v>
      </c>
      <c r="E284" t="s">
        <v>370</v>
      </c>
      <c r="F284" t="s">
        <v>1132</v>
      </c>
      <c r="G284" t="s">
        <v>1133</v>
      </c>
      <c r="H284" t="s">
        <v>37</v>
      </c>
      <c r="I284" t="b">
        <f>_xlfn.XLOOKUP(F284,'Lookup List'!A:A,'Lookup List'!B:B,FALSE)</f>
        <v>0</v>
      </c>
      <c r="J284" s="10" t="str">
        <f t="shared" si="6"/>
        <v>28/05/2025</v>
      </c>
      <c r="K284">
        <f>_xlfn.XLOOKUP(J284,'Wk no''s'!D:D,'Wk no''s'!C:C,FALSE)</f>
        <v>22</v>
      </c>
    </row>
    <row r="285" spans="1:11" x14ac:dyDescent="0.3">
      <c r="A285" t="s">
        <v>207</v>
      </c>
      <c r="B285" t="s">
        <v>206</v>
      </c>
      <c r="C285" t="s">
        <v>205</v>
      </c>
      <c r="D285" s="7" t="s">
        <v>1134</v>
      </c>
      <c r="E285" t="s">
        <v>63</v>
      </c>
      <c r="F285" t="s">
        <v>219</v>
      </c>
      <c r="G285" t="s">
        <v>1135</v>
      </c>
      <c r="H285" t="s">
        <v>37</v>
      </c>
      <c r="I285" t="str">
        <f>_xlfn.XLOOKUP(F285,'Lookup List'!A:A,'Lookup List'!B:B,FALSE)</f>
        <v>Warehouse</v>
      </c>
      <c r="J285" s="10" t="str">
        <f t="shared" si="6"/>
        <v>30/05/2025</v>
      </c>
      <c r="K285">
        <f>_xlfn.XLOOKUP(J285,'Wk no''s'!D:D,'Wk no''s'!C:C,FALSE)</f>
        <v>22</v>
      </c>
    </row>
    <row r="286" spans="1:11" x14ac:dyDescent="0.3">
      <c r="A286" t="s">
        <v>1136</v>
      </c>
      <c r="B286" t="s">
        <v>1137</v>
      </c>
      <c r="C286" t="s">
        <v>1138</v>
      </c>
      <c r="D286" s="7" t="s">
        <v>1139</v>
      </c>
      <c r="E286" t="s">
        <v>1102</v>
      </c>
      <c r="F286" t="s">
        <v>177</v>
      </c>
      <c r="G286" t="s">
        <v>1140</v>
      </c>
      <c r="H286" t="s">
        <v>1</v>
      </c>
      <c r="I286" t="str">
        <f>_xlfn.XLOOKUP(F286,'Lookup List'!A:A,'Lookup List'!B:B,FALSE)</f>
        <v>External Courier</v>
      </c>
      <c r="J286" s="10" t="str">
        <f t="shared" si="6"/>
        <v>27/05/2025</v>
      </c>
      <c r="K286">
        <f>_xlfn.XLOOKUP(J286,'Wk no''s'!D:D,'Wk no''s'!C:C,FALSE)</f>
        <v>22</v>
      </c>
    </row>
    <row r="287" spans="1:11" x14ac:dyDescent="0.3">
      <c r="A287" t="s">
        <v>1141</v>
      </c>
      <c r="B287" t="s">
        <v>1142</v>
      </c>
      <c r="C287" t="s">
        <v>1143</v>
      </c>
      <c r="D287" s="7" t="s">
        <v>1144</v>
      </c>
      <c r="E287" t="s">
        <v>90</v>
      </c>
      <c r="F287" t="s">
        <v>253</v>
      </c>
      <c r="G287" t="s">
        <v>1145</v>
      </c>
      <c r="H287" t="s">
        <v>1</v>
      </c>
      <c r="I287" t="str">
        <f>_xlfn.XLOOKUP(F287,'Lookup List'!A:A,'Lookup List'!B:B,FALSE)</f>
        <v>Estimating</v>
      </c>
      <c r="J287" s="10" t="str">
        <f t="shared" si="6"/>
        <v>28/05/2025</v>
      </c>
      <c r="K287">
        <f>_xlfn.XLOOKUP(J287,'Wk no''s'!D:D,'Wk no''s'!C:C,FALSE)</f>
        <v>22</v>
      </c>
    </row>
    <row r="288" spans="1:11" x14ac:dyDescent="0.3">
      <c r="A288" t="s">
        <v>1146</v>
      </c>
      <c r="B288" t="s">
        <v>1147</v>
      </c>
      <c r="C288" t="s">
        <v>1148</v>
      </c>
      <c r="D288" s="7" t="s">
        <v>1149</v>
      </c>
      <c r="E288" t="s">
        <v>57</v>
      </c>
      <c r="F288" t="s">
        <v>1150</v>
      </c>
      <c r="G288" t="s">
        <v>1151</v>
      </c>
      <c r="H288" t="s">
        <v>1</v>
      </c>
      <c r="I288" t="b">
        <f>_xlfn.XLOOKUP(F288,'Lookup List'!A:A,'Lookup List'!B:B,FALSE)</f>
        <v>0</v>
      </c>
      <c r="J288" s="10" t="str">
        <f t="shared" si="6"/>
        <v>28/05/2025</v>
      </c>
      <c r="K288">
        <f>_xlfn.XLOOKUP(J288,'Wk no''s'!D:D,'Wk no''s'!C:C,FALSE)</f>
        <v>22</v>
      </c>
    </row>
    <row r="289" spans="1:11" x14ac:dyDescent="0.3">
      <c r="A289" t="s">
        <v>115</v>
      </c>
      <c r="B289" t="s">
        <v>114</v>
      </c>
      <c r="C289" t="s">
        <v>113</v>
      </c>
      <c r="D289" s="7" t="s">
        <v>1152</v>
      </c>
      <c r="E289" t="s">
        <v>553</v>
      </c>
      <c r="F289" t="s">
        <v>219</v>
      </c>
      <c r="G289" t="s">
        <v>1153</v>
      </c>
      <c r="H289" t="s">
        <v>1</v>
      </c>
      <c r="I289" t="str">
        <f>_xlfn.XLOOKUP(F289,'Lookup List'!A:A,'Lookup List'!B:B,FALSE)</f>
        <v>Warehouse</v>
      </c>
      <c r="J289" s="10" t="str">
        <f t="shared" si="6"/>
        <v>28/05/2025</v>
      </c>
      <c r="K289">
        <f>_xlfn.XLOOKUP(J289,'Wk no''s'!D:D,'Wk no''s'!C:C,FALSE)</f>
        <v>22</v>
      </c>
    </row>
    <row r="290" spans="1:11" x14ac:dyDescent="0.3">
      <c r="A290" t="s">
        <v>796</v>
      </c>
      <c r="B290" t="s">
        <v>797</v>
      </c>
      <c r="C290" t="s">
        <v>1154</v>
      </c>
      <c r="D290" s="7" t="s">
        <v>1155</v>
      </c>
      <c r="E290" t="s">
        <v>553</v>
      </c>
      <c r="F290" t="s">
        <v>219</v>
      </c>
      <c r="G290" t="s">
        <v>1156</v>
      </c>
      <c r="H290" t="s">
        <v>1</v>
      </c>
      <c r="I290" t="str">
        <f>_xlfn.XLOOKUP(F290,'Lookup List'!A:A,'Lookup List'!B:B,FALSE)</f>
        <v>Warehouse</v>
      </c>
      <c r="J290" s="10" t="str">
        <f t="shared" si="6"/>
        <v>28/05/2025</v>
      </c>
      <c r="K290">
        <f>_xlfn.XLOOKUP(J290,'Wk no''s'!D:D,'Wk no''s'!C:C,FALSE)</f>
        <v>22</v>
      </c>
    </row>
    <row r="291" spans="1:11" x14ac:dyDescent="0.3">
      <c r="A291" t="s">
        <v>1157</v>
      </c>
      <c r="B291" t="s">
        <v>1158</v>
      </c>
      <c r="C291" t="s">
        <v>1159</v>
      </c>
      <c r="D291" s="7" t="s">
        <v>1160</v>
      </c>
      <c r="E291" t="s">
        <v>74</v>
      </c>
      <c r="F291" t="s">
        <v>73</v>
      </c>
      <c r="G291" t="s">
        <v>1161</v>
      </c>
      <c r="H291" t="s">
        <v>1</v>
      </c>
      <c r="I291" t="str">
        <f>_xlfn.XLOOKUP(F291,'Lookup List'!A:A,'Lookup List'!B:B,FALSE)</f>
        <v>01 SOP</v>
      </c>
      <c r="J291" s="10" t="str">
        <f t="shared" si="6"/>
        <v>29/05/2025</v>
      </c>
      <c r="K291">
        <f>_xlfn.XLOOKUP(J291,'Wk no''s'!D:D,'Wk no''s'!C:C,FALSE)</f>
        <v>22</v>
      </c>
    </row>
    <row r="292" spans="1:11" x14ac:dyDescent="0.3">
      <c r="A292" t="s">
        <v>226</v>
      </c>
      <c r="B292" t="s">
        <v>225</v>
      </c>
      <c r="C292" t="s">
        <v>224</v>
      </c>
      <c r="D292" s="7" t="s">
        <v>1162</v>
      </c>
      <c r="E292" t="s">
        <v>57</v>
      </c>
      <c r="F292" t="s">
        <v>56</v>
      </c>
      <c r="G292" t="s">
        <v>1163</v>
      </c>
      <c r="H292" t="s">
        <v>1</v>
      </c>
      <c r="I292" t="str">
        <f>_xlfn.XLOOKUP(F292,'Lookup List'!A:A,'Lookup List'!B:B,FALSE)</f>
        <v>Lighting Supplier</v>
      </c>
      <c r="J292" s="10" t="str">
        <f t="shared" si="6"/>
        <v>30/05/2025</v>
      </c>
      <c r="K292">
        <f>_xlfn.XLOOKUP(J292,'Wk no''s'!D:D,'Wk no''s'!C:C,FALSE)</f>
        <v>22</v>
      </c>
    </row>
    <row r="293" spans="1:11" x14ac:dyDescent="0.3">
      <c r="A293" t="s">
        <v>1164</v>
      </c>
      <c r="B293" t="s">
        <v>1165</v>
      </c>
      <c r="C293" t="s">
        <v>1166</v>
      </c>
      <c r="D293" s="7" t="s">
        <v>1167</v>
      </c>
      <c r="E293" t="s">
        <v>63</v>
      </c>
      <c r="F293" t="s">
        <v>62</v>
      </c>
      <c r="G293" t="s">
        <v>1168</v>
      </c>
      <c r="H293" t="s">
        <v>1</v>
      </c>
      <c r="I293" t="str">
        <f>_xlfn.XLOOKUP(F293,'Lookup List'!A:A,'Lookup List'!B:B,FALSE)</f>
        <v>Customer</v>
      </c>
      <c r="J293" s="10" t="str">
        <f t="shared" si="6"/>
        <v>30/05/2025</v>
      </c>
      <c r="K293">
        <f>_xlfn.XLOOKUP(J293,'Wk no''s'!D:D,'Wk no''s'!C:C,FALSE)</f>
        <v>22</v>
      </c>
    </row>
    <row r="294" spans="1:11" x14ac:dyDescent="0.3">
      <c r="A294" t="s">
        <v>296</v>
      </c>
      <c r="B294" t="s">
        <v>295</v>
      </c>
      <c r="C294" t="s">
        <v>1169</v>
      </c>
      <c r="D294" s="7" t="s">
        <v>1170</v>
      </c>
      <c r="E294" t="s">
        <v>47</v>
      </c>
      <c r="F294" t="s">
        <v>73</v>
      </c>
      <c r="G294" t="s">
        <v>1171</v>
      </c>
      <c r="H294" t="s">
        <v>1</v>
      </c>
      <c r="I294" t="str">
        <f>_xlfn.XLOOKUP(F294,'Lookup List'!A:A,'Lookup List'!B:B,FALSE)</f>
        <v>01 SOP</v>
      </c>
      <c r="J294" s="10" t="str">
        <f t="shared" si="6"/>
        <v>30/05/2025</v>
      </c>
      <c r="K294">
        <f>_xlfn.XLOOKUP(J294,'Wk no''s'!D:D,'Wk no''s'!C:C,FALSE)</f>
        <v>22</v>
      </c>
    </row>
    <row r="295" spans="1:11" x14ac:dyDescent="0.3">
      <c r="A295" t="s">
        <v>1172</v>
      </c>
      <c r="B295" t="s">
        <v>1173</v>
      </c>
      <c r="C295" t="s">
        <v>4894</v>
      </c>
      <c r="D295" s="7" t="s">
        <v>1174</v>
      </c>
      <c r="E295" t="s">
        <v>63</v>
      </c>
      <c r="F295" t="s">
        <v>62</v>
      </c>
      <c r="G295" t="s">
        <v>1175</v>
      </c>
      <c r="H295" t="s">
        <v>1</v>
      </c>
      <c r="I295" t="str">
        <f>_xlfn.XLOOKUP(F295,'Lookup List'!A:A,'Lookup List'!B:B,FALSE)</f>
        <v>Customer</v>
      </c>
      <c r="J295" s="10" t="str">
        <f t="shared" si="6"/>
        <v>30/05/2025</v>
      </c>
      <c r="K295">
        <f>_xlfn.XLOOKUP(J295,'Wk no''s'!D:D,'Wk no''s'!C:C,FALSE)</f>
        <v>22</v>
      </c>
    </row>
    <row r="296" spans="1:11" x14ac:dyDescent="0.3">
      <c r="A296" t="s">
        <v>1176</v>
      </c>
      <c r="B296" t="s">
        <v>1177</v>
      </c>
      <c r="C296" t="s">
        <v>1178</v>
      </c>
      <c r="D296" s="7" t="s">
        <v>1179</v>
      </c>
      <c r="E296" t="s">
        <v>545</v>
      </c>
      <c r="F296" t="s">
        <v>121</v>
      </c>
      <c r="G296" t="s">
        <v>1180</v>
      </c>
      <c r="H296" t="s">
        <v>1</v>
      </c>
      <c r="I296" t="str">
        <f>_xlfn.XLOOKUP(F296,'Lookup List'!A:A,'Lookup List'!B:B,FALSE)</f>
        <v>Transport</v>
      </c>
      <c r="J296" s="10" t="str">
        <f t="shared" si="6"/>
        <v>30/05/2025</v>
      </c>
      <c r="K296">
        <f>_xlfn.XLOOKUP(J296,'Wk no''s'!D:D,'Wk no''s'!C:C,FALSE)</f>
        <v>22</v>
      </c>
    </row>
    <row r="297" spans="1:11" x14ac:dyDescent="0.3">
      <c r="A297" t="s">
        <v>207</v>
      </c>
      <c r="B297" t="s">
        <v>206</v>
      </c>
      <c r="C297" t="s">
        <v>205</v>
      </c>
      <c r="D297" s="7" t="s">
        <v>4026</v>
      </c>
      <c r="E297" t="s">
        <v>553</v>
      </c>
      <c r="F297" t="s">
        <v>137</v>
      </c>
      <c r="G297" t="s">
        <v>4027</v>
      </c>
      <c r="H297" t="s">
        <v>37</v>
      </c>
      <c r="I297" t="str">
        <f>_xlfn.XLOOKUP(F297,'Lookup List'!A:A,'Lookup List'!B:B,FALSE)</f>
        <v>Supplier</v>
      </c>
      <c r="J297" s="10" t="str">
        <f t="shared" ref="J297:J306" si="7">LEFT(G297,10)</f>
        <v>03/06/2025</v>
      </c>
      <c r="K297">
        <f>_xlfn.XLOOKUP(J297,'Wk no''s'!D:D,'Wk no''s'!C:C,FALSE)</f>
        <v>23</v>
      </c>
    </row>
    <row r="298" spans="1:11" x14ac:dyDescent="0.3">
      <c r="A298" t="s">
        <v>54</v>
      </c>
      <c r="B298" t="s">
        <v>53</v>
      </c>
      <c r="C298" t="s">
        <v>30</v>
      </c>
      <c r="D298" s="7" t="s">
        <v>4028</v>
      </c>
      <c r="E298" t="s">
        <v>57</v>
      </c>
      <c r="F298" t="s">
        <v>56</v>
      </c>
      <c r="G298" t="s">
        <v>4029</v>
      </c>
      <c r="H298" t="s">
        <v>1</v>
      </c>
      <c r="I298" t="str">
        <f>_xlfn.XLOOKUP(F298,'Lookup List'!A:A,'Lookup List'!B:B,FALSE)</f>
        <v>Lighting Supplier</v>
      </c>
      <c r="J298" s="10" t="str">
        <f t="shared" si="7"/>
        <v>02/06/2025</v>
      </c>
      <c r="K298">
        <f>_xlfn.XLOOKUP(J298,'Wk no''s'!D:D,'Wk no''s'!C:C,FALSE)</f>
        <v>23</v>
      </c>
    </row>
    <row r="299" spans="1:11" x14ac:dyDescent="0.3">
      <c r="A299" t="s">
        <v>4030</v>
      </c>
      <c r="B299" t="s">
        <v>4031</v>
      </c>
      <c r="C299" t="s">
        <v>4032</v>
      </c>
      <c r="D299" s="7" t="s">
        <v>4033</v>
      </c>
      <c r="E299" t="s">
        <v>175</v>
      </c>
      <c r="F299" t="s">
        <v>480</v>
      </c>
      <c r="G299" t="s">
        <v>4034</v>
      </c>
      <c r="H299" t="s">
        <v>1</v>
      </c>
      <c r="I299" t="str">
        <f>_xlfn.XLOOKUP(F299,'Lookup List'!A:A,'Lookup List'!B:B,FALSE)</f>
        <v>Paintline</v>
      </c>
      <c r="J299" s="10" t="str">
        <f t="shared" si="7"/>
        <v>02/06/2025</v>
      </c>
      <c r="K299">
        <f>_xlfn.XLOOKUP(J299,'Wk no''s'!D:D,'Wk no''s'!C:C,FALSE)</f>
        <v>23</v>
      </c>
    </row>
    <row r="300" spans="1:11" x14ac:dyDescent="0.3">
      <c r="A300" t="s">
        <v>81</v>
      </c>
      <c r="B300" t="s">
        <v>4035</v>
      </c>
      <c r="C300" t="s">
        <v>3341</v>
      </c>
      <c r="D300" s="7" t="s">
        <v>4036</v>
      </c>
      <c r="E300" t="s">
        <v>63</v>
      </c>
      <c r="F300" t="s">
        <v>62</v>
      </c>
      <c r="G300" t="s">
        <v>4037</v>
      </c>
      <c r="H300" t="s">
        <v>1</v>
      </c>
      <c r="I300" t="str">
        <f>_xlfn.XLOOKUP(F300,'Lookup List'!A:A,'Lookup List'!B:B,FALSE)</f>
        <v>Customer</v>
      </c>
      <c r="J300" s="10" t="str">
        <f t="shared" si="7"/>
        <v>02/06/2025</v>
      </c>
      <c r="K300">
        <f>_xlfn.XLOOKUP(J300,'Wk no''s'!D:D,'Wk no''s'!C:C,FALSE)</f>
        <v>23</v>
      </c>
    </row>
    <row r="301" spans="1:11" x14ac:dyDescent="0.3">
      <c r="A301" t="s">
        <v>77</v>
      </c>
      <c r="B301" t="s">
        <v>76</v>
      </c>
      <c r="C301" t="s">
        <v>75</v>
      </c>
      <c r="D301" s="7" t="s">
        <v>4038</v>
      </c>
      <c r="E301" t="s">
        <v>104</v>
      </c>
      <c r="F301" t="s">
        <v>73</v>
      </c>
      <c r="G301" t="s">
        <v>4039</v>
      </c>
      <c r="H301" t="s">
        <v>1</v>
      </c>
      <c r="I301" t="str">
        <f>_xlfn.XLOOKUP(F301,'Lookup List'!A:A,'Lookup List'!B:B,FALSE)</f>
        <v>01 SOP</v>
      </c>
      <c r="J301" s="10" t="str">
        <f t="shared" si="7"/>
        <v>03/06/2025</v>
      </c>
      <c r="K301">
        <f>_xlfn.XLOOKUP(J301,'Wk no''s'!D:D,'Wk no''s'!C:C,FALSE)</f>
        <v>23</v>
      </c>
    </row>
    <row r="302" spans="1:11" x14ac:dyDescent="0.3">
      <c r="A302" t="s">
        <v>555</v>
      </c>
      <c r="B302" t="s">
        <v>554</v>
      </c>
      <c r="C302" t="s">
        <v>2</v>
      </c>
      <c r="D302" s="7" t="s">
        <v>4040</v>
      </c>
      <c r="E302" t="s">
        <v>698</v>
      </c>
      <c r="F302" t="s">
        <v>51</v>
      </c>
      <c r="G302" t="s">
        <v>4041</v>
      </c>
      <c r="H302" t="s">
        <v>1</v>
      </c>
      <c r="I302" t="str">
        <f>_xlfn.XLOOKUP(F302,'Lookup List'!A:A,'Lookup List'!B:B,FALSE)</f>
        <v>03 Shop Floor</v>
      </c>
      <c r="J302" s="10" t="str">
        <f t="shared" si="7"/>
        <v>03/06/2025</v>
      </c>
      <c r="K302">
        <f>_xlfn.XLOOKUP(J302,'Wk no''s'!D:D,'Wk no''s'!C:C,FALSE)</f>
        <v>23</v>
      </c>
    </row>
    <row r="303" spans="1:11" x14ac:dyDescent="0.3">
      <c r="A303" t="s">
        <v>234</v>
      </c>
      <c r="B303" t="s">
        <v>4042</v>
      </c>
      <c r="C303" t="s">
        <v>197</v>
      </c>
      <c r="D303" s="7" t="s">
        <v>4043</v>
      </c>
      <c r="E303" t="s">
        <v>553</v>
      </c>
      <c r="F303" t="s">
        <v>89</v>
      </c>
      <c r="G303" t="s">
        <v>4044</v>
      </c>
      <c r="H303" t="s">
        <v>1</v>
      </c>
      <c r="I303" t="str">
        <f>_xlfn.XLOOKUP(F303,'Lookup List'!A:A,'Lookup List'!B:B,FALSE)</f>
        <v>Salesforce</v>
      </c>
      <c r="J303" s="10" t="str">
        <f t="shared" si="7"/>
        <v>06/06/2025</v>
      </c>
      <c r="K303">
        <f>_xlfn.XLOOKUP(J303,'Wk no''s'!D:D,'Wk no''s'!C:C,FALSE)</f>
        <v>23</v>
      </c>
    </row>
    <row r="304" spans="1:11" x14ac:dyDescent="0.3">
      <c r="A304" t="s">
        <v>49</v>
      </c>
      <c r="B304" t="s">
        <v>48</v>
      </c>
      <c r="C304" t="s">
        <v>4045</v>
      </c>
      <c r="D304" s="7" t="s">
        <v>4046</v>
      </c>
      <c r="E304" t="s">
        <v>47</v>
      </c>
      <c r="F304" t="s">
        <v>100</v>
      </c>
      <c r="G304" t="s">
        <v>4047</v>
      </c>
      <c r="H304" t="s">
        <v>4</v>
      </c>
      <c r="I304" t="str">
        <f>_xlfn.XLOOKUP(F304,'Lookup List'!A:A,'Lookup List'!B:B,FALSE)</f>
        <v>02 Product Design</v>
      </c>
      <c r="J304" s="10" t="str">
        <f t="shared" si="7"/>
        <v>03/06/2025</v>
      </c>
      <c r="K304">
        <f>_xlfn.XLOOKUP(J304,'Wk no''s'!D:D,'Wk no''s'!C:C,FALSE)</f>
        <v>23</v>
      </c>
    </row>
    <row r="305" spans="1:11" x14ac:dyDescent="0.3">
      <c r="A305" t="s">
        <v>49</v>
      </c>
      <c r="B305" t="s">
        <v>48</v>
      </c>
      <c r="C305" t="s">
        <v>24</v>
      </c>
      <c r="D305" s="7" t="s">
        <v>4048</v>
      </c>
      <c r="E305" t="s">
        <v>370</v>
      </c>
      <c r="F305" t="s">
        <v>4049</v>
      </c>
      <c r="G305" t="s">
        <v>4050</v>
      </c>
      <c r="H305" t="s">
        <v>4</v>
      </c>
      <c r="I305" t="b">
        <f>_xlfn.XLOOKUP(F305,'Lookup List'!A:A,'Lookup List'!B:B,FALSE)</f>
        <v>0</v>
      </c>
      <c r="J305" s="10" t="str">
        <f t="shared" si="7"/>
        <v>04/06/2025</v>
      </c>
      <c r="K305">
        <f>_xlfn.XLOOKUP(J305,'Wk no''s'!D:D,'Wk no''s'!C:C,FALSE)</f>
        <v>23</v>
      </c>
    </row>
    <row r="306" spans="1:11" x14ac:dyDescent="0.3">
      <c r="A306" t="s">
        <v>49</v>
      </c>
      <c r="B306" t="s">
        <v>101</v>
      </c>
      <c r="C306" t="s">
        <v>4051</v>
      </c>
      <c r="D306" s="7" t="s">
        <v>4052</v>
      </c>
      <c r="E306" t="s">
        <v>104</v>
      </c>
      <c r="F306" t="s">
        <v>121</v>
      </c>
      <c r="G306" t="s">
        <v>4053</v>
      </c>
      <c r="H306" t="s">
        <v>4</v>
      </c>
      <c r="I306" t="str">
        <f>_xlfn.XLOOKUP(F306,'Lookup List'!A:A,'Lookup List'!B:B,FALSE)</f>
        <v>Transport</v>
      </c>
      <c r="J306" s="10" t="str">
        <f t="shared" si="7"/>
        <v>06/06/2025</v>
      </c>
      <c r="K306">
        <f>_xlfn.XLOOKUP(J306,'Wk no''s'!D:D,'Wk no''s'!C:C,FALSE)</f>
        <v>23</v>
      </c>
    </row>
    <row r="307" spans="1:11" x14ac:dyDescent="0.3">
      <c r="A307" t="s">
        <v>207</v>
      </c>
      <c r="B307" t="s">
        <v>206</v>
      </c>
      <c r="C307" t="s">
        <v>493</v>
      </c>
      <c r="D307" s="7" t="s">
        <v>4265</v>
      </c>
      <c r="E307" t="s">
        <v>47</v>
      </c>
      <c r="F307" t="s">
        <v>84</v>
      </c>
      <c r="G307" t="s">
        <v>4266</v>
      </c>
      <c r="H307" t="s">
        <v>37</v>
      </c>
      <c r="I307" t="str">
        <f>_xlfn.XLOOKUP(F307,'Lookup List'!A:A,'Lookup List'!B:B,FALSE)</f>
        <v>Fast Track</v>
      </c>
      <c r="J307" s="10" t="str">
        <f t="shared" ref="J307:J320" si="8">LEFT(G307,10)</f>
        <v>12/06/2025</v>
      </c>
      <c r="K307">
        <f>_xlfn.XLOOKUP(J307,'Wk no''s'!D:D,'Wk no''s'!C:C,FALSE)</f>
        <v>24</v>
      </c>
    </row>
    <row r="308" spans="1:11" x14ac:dyDescent="0.3">
      <c r="A308" t="s">
        <v>4267</v>
      </c>
      <c r="B308" t="s">
        <v>654</v>
      </c>
      <c r="C308" t="s">
        <v>407</v>
      </c>
      <c r="D308" s="7" t="s">
        <v>4268</v>
      </c>
      <c r="E308" t="s">
        <v>74</v>
      </c>
      <c r="F308" t="s">
        <v>73</v>
      </c>
      <c r="G308" t="s">
        <v>4269</v>
      </c>
      <c r="H308" t="s">
        <v>1</v>
      </c>
      <c r="I308" t="str">
        <f>_xlfn.XLOOKUP(F308,'Lookup List'!A:A,'Lookup List'!B:B,FALSE)</f>
        <v>01 SOP</v>
      </c>
      <c r="J308" s="10" t="str">
        <f t="shared" si="8"/>
        <v>09/06/2025</v>
      </c>
      <c r="K308">
        <f>_xlfn.XLOOKUP(J308,'Wk no''s'!D:D,'Wk no''s'!C:C,FALSE)</f>
        <v>24</v>
      </c>
    </row>
    <row r="309" spans="1:11" x14ac:dyDescent="0.3">
      <c r="A309" t="s">
        <v>4270</v>
      </c>
      <c r="B309" t="s">
        <v>4271</v>
      </c>
      <c r="C309" t="s">
        <v>3577</v>
      </c>
      <c r="D309" s="7" t="s">
        <v>4272</v>
      </c>
      <c r="E309" t="s">
        <v>266</v>
      </c>
      <c r="F309" t="s">
        <v>121</v>
      </c>
      <c r="G309" t="s">
        <v>4273</v>
      </c>
      <c r="H309" t="s">
        <v>1</v>
      </c>
      <c r="I309" t="str">
        <f>_xlfn.XLOOKUP(F309,'Lookup List'!A:A,'Lookup List'!B:B,FALSE)</f>
        <v>Transport</v>
      </c>
      <c r="J309" s="10" t="str">
        <f t="shared" si="8"/>
        <v>09/06/2025</v>
      </c>
      <c r="K309">
        <f>_xlfn.XLOOKUP(J309,'Wk no''s'!D:D,'Wk no''s'!C:C,FALSE)</f>
        <v>24</v>
      </c>
    </row>
    <row r="310" spans="1:11" x14ac:dyDescent="0.3">
      <c r="A310" t="s">
        <v>4274</v>
      </c>
      <c r="B310" t="s">
        <v>4275</v>
      </c>
      <c r="C310" t="s">
        <v>1224</v>
      </c>
      <c r="D310" s="7" t="s">
        <v>4276</v>
      </c>
      <c r="E310" t="s">
        <v>90</v>
      </c>
      <c r="F310" t="s">
        <v>89</v>
      </c>
      <c r="G310" t="s">
        <v>4277</v>
      </c>
      <c r="H310" t="s">
        <v>1</v>
      </c>
      <c r="I310" t="str">
        <f>_xlfn.XLOOKUP(F310,'Lookup List'!A:A,'Lookup List'!B:B,FALSE)</f>
        <v>Salesforce</v>
      </c>
      <c r="J310" s="10" t="str">
        <f t="shared" si="8"/>
        <v>09/06/2025</v>
      </c>
      <c r="K310">
        <f>_xlfn.XLOOKUP(J310,'Wk no''s'!D:D,'Wk no''s'!C:C,FALSE)</f>
        <v>24</v>
      </c>
    </row>
    <row r="311" spans="1:11" x14ac:dyDescent="0.3">
      <c r="A311" t="s">
        <v>300</v>
      </c>
      <c r="B311" t="s">
        <v>4278</v>
      </c>
      <c r="C311" t="s">
        <v>1652</v>
      </c>
      <c r="D311" s="7" t="s">
        <v>4279</v>
      </c>
      <c r="E311" t="s">
        <v>733</v>
      </c>
      <c r="F311" t="s">
        <v>62</v>
      </c>
      <c r="G311" t="s">
        <v>4280</v>
      </c>
      <c r="H311" t="s">
        <v>1</v>
      </c>
      <c r="I311" t="str">
        <f>_xlfn.XLOOKUP(F311,'Lookup List'!A:A,'Lookup List'!B:B,FALSE)</f>
        <v>Customer</v>
      </c>
      <c r="J311" s="10" t="str">
        <f t="shared" si="8"/>
        <v>09/06/2025</v>
      </c>
      <c r="K311">
        <f>_xlfn.XLOOKUP(J311,'Wk no''s'!D:D,'Wk no''s'!C:C,FALSE)</f>
        <v>24</v>
      </c>
    </row>
    <row r="312" spans="1:11" x14ac:dyDescent="0.3">
      <c r="A312" t="s">
        <v>145</v>
      </c>
      <c r="B312" t="s">
        <v>4281</v>
      </c>
      <c r="C312" t="s">
        <v>3574</v>
      </c>
      <c r="D312" s="7" t="s">
        <v>4282</v>
      </c>
      <c r="E312" t="s">
        <v>74</v>
      </c>
      <c r="F312" t="s">
        <v>73</v>
      </c>
      <c r="G312" t="s">
        <v>4283</v>
      </c>
      <c r="H312" t="s">
        <v>1</v>
      </c>
      <c r="I312" t="str">
        <f>_xlfn.XLOOKUP(F312,'Lookup List'!A:A,'Lookup List'!B:B,FALSE)</f>
        <v>01 SOP</v>
      </c>
      <c r="J312" s="10" t="str">
        <f t="shared" si="8"/>
        <v>10/06/2025</v>
      </c>
      <c r="K312">
        <f>_xlfn.XLOOKUP(J312,'Wk no''s'!D:D,'Wk no''s'!C:C,FALSE)</f>
        <v>24</v>
      </c>
    </row>
    <row r="313" spans="1:11" x14ac:dyDescent="0.3">
      <c r="A313" t="s">
        <v>4284</v>
      </c>
      <c r="B313" t="s">
        <v>4285</v>
      </c>
      <c r="C313" t="s">
        <v>1587</v>
      </c>
      <c r="D313" s="7" t="s">
        <v>4286</v>
      </c>
      <c r="E313" t="s">
        <v>63</v>
      </c>
      <c r="F313" t="s">
        <v>62</v>
      </c>
      <c r="G313" t="s">
        <v>4287</v>
      </c>
      <c r="H313" t="s">
        <v>1</v>
      </c>
      <c r="I313" t="str">
        <f>_xlfn.XLOOKUP(F313,'Lookup List'!A:A,'Lookup List'!B:B,FALSE)</f>
        <v>Customer</v>
      </c>
      <c r="J313" s="10" t="str">
        <f t="shared" si="8"/>
        <v>10/06/2025</v>
      </c>
      <c r="K313">
        <f>_xlfn.XLOOKUP(J313,'Wk no''s'!D:D,'Wk no''s'!C:C,FALSE)</f>
        <v>24</v>
      </c>
    </row>
    <row r="314" spans="1:11" x14ac:dyDescent="0.3">
      <c r="A314" t="s">
        <v>242</v>
      </c>
      <c r="B314" t="s">
        <v>241</v>
      </c>
      <c r="C314" t="s">
        <v>791</v>
      </c>
      <c r="D314" s="7" t="s">
        <v>4288</v>
      </c>
      <c r="E314" t="s">
        <v>74</v>
      </c>
      <c r="F314" t="s">
        <v>73</v>
      </c>
      <c r="G314" t="s">
        <v>4289</v>
      </c>
      <c r="H314" t="s">
        <v>1</v>
      </c>
      <c r="I314" t="str">
        <f>_xlfn.XLOOKUP(F314,'Lookup List'!A:A,'Lookup List'!B:B,FALSE)</f>
        <v>01 SOP</v>
      </c>
      <c r="J314" s="10" t="str">
        <f t="shared" si="8"/>
        <v>12/06/2025</v>
      </c>
      <c r="K314">
        <f>_xlfn.XLOOKUP(J314,'Wk no''s'!D:D,'Wk no''s'!C:C,FALSE)</f>
        <v>24</v>
      </c>
    </row>
    <row r="315" spans="1:11" x14ac:dyDescent="0.3">
      <c r="A315" t="s">
        <v>4290</v>
      </c>
      <c r="B315" t="s">
        <v>4291</v>
      </c>
      <c r="C315" t="s">
        <v>3447</v>
      </c>
      <c r="D315" s="7" t="s">
        <v>4292</v>
      </c>
      <c r="E315" t="s">
        <v>47</v>
      </c>
      <c r="F315" t="s">
        <v>4309</v>
      </c>
      <c r="G315" t="s">
        <v>4293</v>
      </c>
      <c r="H315" t="s">
        <v>1</v>
      </c>
      <c r="I315" t="b">
        <f>_xlfn.XLOOKUP(F315,'Lookup List'!A:A,'Lookup List'!B:B,FALSE)</f>
        <v>0</v>
      </c>
      <c r="J315" s="10" t="str">
        <f t="shared" si="8"/>
        <v>12/06/2025</v>
      </c>
      <c r="K315">
        <f>_xlfn.XLOOKUP(J315,'Wk no''s'!D:D,'Wk no''s'!C:C,FALSE)</f>
        <v>24</v>
      </c>
    </row>
    <row r="316" spans="1:11" x14ac:dyDescent="0.3">
      <c r="A316" t="s">
        <v>688</v>
      </c>
      <c r="B316" t="s">
        <v>4294</v>
      </c>
      <c r="C316" t="s">
        <v>1224</v>
      </c>
      <c r="D316" s="7" t="s">
        <v>4295</v>
      </c>
      <c r="E316" t="s">
        <v>122</v>
      </c>
      <c r="F316" t="s">
        <v>121</v>
      </c>
      <c r="G316" t="s">
        <v>4296</v>
      </c>
      <c r="H316" t="s">
        <v>1</v>
      </c>
      <c r="I316" t="str">
        <f>_xlfn.XLOOKUP(F316,'Lookup List'!A:A,'Lookup List'!B:B,FALSE)</f>
        <v>Transport</v>
      </c>
      <c r="J316" s="10" t="str">
        <f t="shared" si="8"/>
        <v>12/06/2025</v>
      </c>
      <c r="K316">
        <f>_xlfn.XLOOKUP(J316,'Wk no''s'!D:D,'Wk no''s'!C:C,FALSE)</f>
        <v>24</v>
      </c>
    </row>
    <row r="317" spans="1:11" x14ac:dyDescent="0.3">
      <c r="A317" t="s">
        <v>4297</v>
      </c>
      <c r="B317" t="s">
        <v>4298</v>
      </c>
      <c r="C317" t="s">
        <v>3435</v>
      </c>
      <c r="D317" s="7" t="s">
        <v>4299</v>
      </c>
      <c r="E317" t="s">
        <v>138</v>
      </c>
      <c r="F317" t="s">
        <v>121</v>
      </c>
      <c r="G317" t="s">
        <v>4300</v>
      </c>
      <c r="H317" t="s">
        <v>1</v>
      </c>
      <c r="I317" t="str">
        <f>_xlfn.XLOOKUP(F317,'Lookup List'!A:A,'Lookup List'!B:B,FALSE)</f>
        <v>Transport</v>
      </c>
      <c r="J317" s="10" t="str">
        <f t="shared" si="8"/>
        <v>12/06/2025</v>
      </c>
      <c r="K317">
        <f>_xlfn.XLOOKUP(J317,'Wk no''s'!D:D,'Wk no''s'!C:C,FALSE)</f>
        <v>24</v>
      </c>
    </row>
    <row r="318" spans="1:11" x14ac:dyDescent="0.3">
      <c r="A318" t="s">
        <v>4284</v>
      </c>
      <c r="B318" t="s">
        <v>4285</v>
      </c>
      <c r="C318" t="s">
        <v>1587</v>
      </c>
      <c r="D318" s="7" t="s">
        <v>4301</v>
      </c>
      <c r="E318" t="s">
        <v>47</v>
      </c>
      <c r="F318" t="s">
        <v>100</v>
      </c>
      <c r="G318" t="s">
        <v>4302</v>
      </c>
      <c r="H318" t="s">
        <v>1</v>
      </c>
      <c r="I318" t="str">
        <f>_xlfn.XLOOKUP(F318,'Lookup List'!A:A,'Lookup List'!B:B,FALSE)</f>
        <v>02 Product Design</v>
      </c>
      <c r="J318" s="10" t="str">
        <f t="shared" si="8"/>
        <v>13/06/2025</v>
      </c>
      <c r="K318">
        <f>_xlfn.XLOOKUP(J318,'Wk no''s'!D:D,'Wk no''s'!C:C,FALSE)</f>
        <v>24</v>
      </c>
    </row>
    <row r="319" spans="1:11" x14ac:dyDescent="0.3">
      <c r="A319" t="s">
        <v>49</v>
      </c>
      <c r="B319" t="s">
        <v>101</v>
      </c>
      <c r="C319" t="s">
        <v>20</v>
      </c>
      <c r="D319" s="7" t="s">
        <v>4303</v>
      </c>
      <c r="E319" t="s">
        <v>47</v>
      </c>
      <c r="F319" t="s">
        <v>156</v>
      </c>
      <c r="G319" t="s">
        <v>4304</v>
      </c>
      <c r="H319" t="s">
        <v>4</v>
      </c>
      <c r="I319" t="str">
        <f>_xlfn.XLOOKUP(F319,'Lookup List'!A:A,'Lookup List'!B:B,FALSE)</f>
        <v>02 Product Design</v>
      </c>
      <c r="J319" s="10" t="str">
        <f t="shared" si="8"/>
        <v>09/06/2025</v>
      </c>
      <c r="K319">
        <f>_xlfn.XLOOKUP(J319,'Wk no''s'!D:D,'Wk no''s'!C:C,FALSE)</f>
        <v>24</v>
      </c>
    </row>
    <row r="320" spans="1:11" x14ac:dyDescent="0.3">
      <c r="A320" t="s">
        <v>49</v>
      </c>
      <c r="B320" t="s">
        <v>101</v>
      </c>
      <c r="C320" t="s">
        <v>4305</v>
      </c>
      <c r="D320" s="7" t="s">
        <v>4306</v>
      </c>
      <c r="E320" t="s">
        <v>90</v>
      </c>
      <c r="F320" t="s">
        <v>284</v>
      </c>
      <c r="G320" t="s">
        <v>4307</v>
      </c>
      <c r="H320" t="s">
        <v>4</v>
      </c>
      <c r="I320" t="str">
        <f>_xlfn.XLOOKUP(F320,'Lookup List'!A:A,'Lookup List'!B:B,FALSE)</f>
        <v>01 Export SOP</v>
      </c>
      <c r="J320" s="10" t="str">
        <f t="shared" si="8"/>
        <v>10/06/2025</v>
      </c>
      <c r="K320">
        <f>_xlfn.XLOOKUP(J320,'Wk no''s'!D:D,'Wk no''s'!C:C,FALSE)</f>
        <v>24</v>
      </c>
    </row>
    <row r="321" spans="1:11" x14ac:dyDescent="0.3">
      <c r="A321" t="s">
        <v>430</v>
      </c>
      <c r="B321" t="s">
        <v>429</v>
      </c>
      <c r="C321" t="s">
        <v>7</v>
      </c>
      <c r="D321" s="7" t="s">
        <v>4310</v>
      </c>
      <c r="E321" t="s">
        <v>1081</v>
      </c>
      <c r="F321" t="s">
        <v>46</v>
      </c>
      <c r="G321" t="s">
        <v>4311</v>
      </c>
      <c r="H321" t="s">
        <v>0</v>
      </c>
      <c r="I321" t="str">
        <f>_xlfn.XLOOKUP(F321,'Lookup List'!A:A,'Lookup List'!B:B,FALSE)</f>
        <v>03 Assembly</v>
      </c>
      <c r="J321" s="10" t="str">
        <f t="shared" ref="J321:J335" si="9">LEFT(G321,10)</f>
        <v>18/06/2025</v>
      </c>
      <c r="K321">
        <f>_xlfn.XLOOKUP(J321,'Wk no''s'!D:D,'Wk no''s'!C:C,FALSE)</f>
        <v>25</v>
      </c>
    </row>
    <row r="322" spans="1:11" x14ac:dyDescent="0.3">
      <c r="A322" t="s">
        <v>430</v>
      </c>
      <c r="B322" t="s">
        <v>4312</v>
      </c>
      <c r="C322" t="s">
        <v>7</v>
      </c>
      <c r="D322" s="7" t="s">
        <v>4313</v>
      </c>
      <c r="E322" t="s">
        <v>90</v>
      </c>
      <c r="F322" t="s">
        <v>4049</v>
      </c>
      <c r="G322" t="s">
        <v>4314</v>
      </c>
      <c r="H322" t="s">
        <v>0</v>
      </c>
      <c r="I322" t="b">
        <f>_xlfn.XLOOKUP(F322,'Lookup List'!A:A,'Lookup List'!B:B,FALSE)</f>
        <v>0</v>
      </c>
      <c r="J322" s="10" t="str">
        <f t="shared" si="9"/>
        <v>20/06/2025</v>
      </c>
      <c r="K322">
        <f>_xlfn.XLOOKUP(J322,'Wk no''s'!D:D,'Wk no''s'!C:C,FALSE)</f>
        <v>25</v>
      </c>
    </row>
    <row r="323" spans="1:11" x14ac:dyDescent="0.3">
      <c r="A323" t="s">
        <v>388</v>
      </c>
      <c r="B323" t="s">
        <v>387</v>
      </c>
      <c r="C323" t="s">
        <v>386</v>
      </c>
      <c r="D323" s="7" t="s">
        <v>4315</v>
      </c>
      <c r="E323" t="s">
        <v>553</v>
      </c>
      <c r="F323" t="s">
        <v>4049</v>
      </c>
      <c r="G323" t="s">
        <v>4316</v>
      </c>
      <c r="H323" t="s">
        <v>93</v>
      </c>
      <c r="I323" t="b">
        <f>_xlfn.XLOOKUP(F323,'Lookup List'!A:A,'Lookup List'!B:B,FALSE)</f>
        <v>0</v>
      </c>
      <c r="J323" s="10" t="str">
        <f t="shared" si="9"/>
        <v>20/06/2025</v>
      </c>
      <c r="K323">
        <f>_xlfn.XLOOKUP(J323,'Wk no''s'!D:D,'Wk no''s'!C:C,FALSE)</f>
        <v>25</v>
      </c>
    </row>
    <row r="324" spans="1:11" x14ac:dyDescent="0.3">
      <c r="A324" t="s">
        <v>207</v>
      </c>
      <c r="B324" t="s">
        <v>206</v>
      </c>
      <c r="C324" t="s">
        <v>205</v>
      </c>
      <c r="D324" s="7" t="s">
        <v>4317</v>
      </c>
      <c r="E324" t="s">
        <v>175</v>
      </c>
      <c r="F324" t="s">
        <v>51</v>
      </c>
      <c r="G324" t="s">
        <v>4318</v>
      </c>
      <c r="H324" t="s">
        <v>37</v>
      </c>
      <c r="I324" t="str">
        <f>_xlfn.XLOOKUP(F324,'Lookup List'!A:A,'Lookup List'!B:B,FALSE)</f>
        <v>03 Shop Floor</v>
      </c>
      <c r="J324" s="10" t="str">
        <f t="shared" si="9"/>
        <v>19/06/2025</v>
      </c>
      <c r="K324">
        <f>_xlfn.XLOOKUP(J324,'Wk no''s'!D:D,'Wk no''s'!C:C,FALSE)</f>
        <v>25</v>
      </c>
    </row>
    <row r="325" spans="1:11" x14ac:dyDescent="0.3">
      <c r="A325" t="s">
        <v>54</v>
      </c>
      <c r="B325" t="s">
        <v>53</v>
      </c>
      <c r="C325" t="s">
        <v>30</v>
      </c>
      <c r="D325" s="7" t="s">
        <v>4319</v>
      </c>
      <c r="E325" t="s">
        <v>63</v>
      </c>
      <c r="F325" t="s">
        <v>62</v>
      </c>
      <c r="G325" t="s">
        <v>4320</v>
      </c>
      <c r="H325" t="s">
        <v>1</v>
      </c>
      <c r="I325" t="str">
        <f>_xlfn.XLOOKUP(F325,'Lookup List'!A:A,'Lookup List'!B:B,FALSE)</f>
        <v>Customer</v>
      </c>
      <c r="J325" s="10" t="str">
        <f t="shared" si="9"/>
        <v>16/06/2025</v>
      </c>
      <c r="K325">
        <f>_xlfn.XLOOKUP(J325,'Wk no''s'!D:D,'Wk no''s'!C:C,FALSE)</f>
        <v>25</v>
      </c>
    </row>
    <row r="326" spans="1:11" x14ac:dyDescent="0.3">
      <c r="A326" t="s">
        <v>184</v>
      </c>
      <c r="B326" t="s">
        <v>4321</v>
      </c>
      <c r="C326" t="s">
        <v>3748</v>
      </c>
      <c r="D326" s="7" t="s">
        <v>4322</v>
      </c>
      <c r="E326" t="s">
        <v>79</v>
      </c>
      <c r="F326" t="s">
        <v>100</v>
      </c>
      <c r="G326" t="s">
        <v>4323</v>
      </c>
      <c r="H326" t="s">
        <v>1</v>
      </c>
      <c r="I326" t="str">
        <f>_xlfn.XLOOKUP(F326,'Lookup List'!A:A,'Lookup List'!B:B,FALSE)</f>
        <v>02 Product Design</v>
      </c>
      <c r="J326" s="10" t="str">
        <f t="shared" si="9"/>
        <v>16/06/2025</v>
      </c>
      <c r="K326">
        <f>_xlfn.XLOOKUP(J326,'Wk no''s'!D:D,'Wk no''s'!C:C,FALSE)</f>
        <v>25</v>
      </c>
    </row>
    <row r="327" spans="1:11" x14ac:dyDescent="0.3">
      <c r="A327" t="s">
        <v>292</v>
      </c>
      <c r="B327" t="s">
        <v>4324</v>
      </c>
      <c r="C327" t="s">
        <v>4325</v>
      </c>
      <c r="D327" s="7" t="s">
        <v>4326</v>
      </c>
      <c r="E327" t="s">
        <v>553</v>
      </c>
      <c r="F327" t="s">
        <v>253</v>
      </c>
      <c r="G327" t="s">
        <v>4327</v>
      </c>
      <c r="H327" t="s">
        <v>1</v>
      </c>
      <c r="I327" t="str">
        <f>_xlfn.XLOOKUP(F327,'Lookup List'!A:A,'Lookup List'!B:B,FALSE)</f>
        <v>Estimating</v>
      </c>
      <c r="J327" s="10" t="str">
        <f t="shared" si="9"/>
        <v>16/06/2025</v>
      </c>
      <c r="K327">
        <f>_xlfn.XLOOKUP(J327,'Wk no''s'!D:D,'Wk no''s'!C:C,FALSE)</f>
        <v>25</v>
      </c>
    </row>
    <row r="328" spans="1:11" x14ac:dyDescent="0.3">
      <c r="A328" t="s">
        <v>4328</v>
      </c>
      <c r="B328" t="s">
        <v>4329</v>
      </c>
      <c r="C328" t="s">
        <v>1856</v>
      </c>
      <c r="D328" s="7" t="s">
        <v>4330</v>
      </c>
      <c r="E328" t="s">
        <v>159</v>
      </c>
      <c r="F328" t="s">
        <v>100</v>
      </c>
      <c r="G328" t="s">
        <v>4331</v>
      </c>
      <c r="H328" t="s">
        <v>1</v>
      </c>
      <c r="I328" t="str">
        <f>_xlfn.XLOOKUP(F328,'Lookup List'!A:A,'Lookup List'!B:B,FALSE)</f>
        <v>02 Product Design</v>
      </c>
      <c r="J328" s="10" t="str">
        <f t="shared" si="9"/>
        <v>16/06/2025</v>
      </c>
      <c r="K328">
        <f>_xlfn.XLOOKUP(J328,'Wk no''s'!D:D,'Wk no''s'!C:C,FALSE)</f>
        <v>25</v>
      </c>
    </row>
    <row r="329" spans="1:11" x14ac:dyDescent="0.3">
      <c r="A329" t="s">
        <v>4284</v>
      </c>
      <c r="B329" t="s">
        <v>4285</v>
      </c>
      <c r="C329" t="s">
        <v>1587</v>
      </c>
      <c r="D329" s="7" t="s">
        <v>4332</v>
      </c>
      <c r="E329" t="s">
        <v>159</v>
      </c>
      <c r="F329" t="s">
        <v>100</v>
      </c>
      <c r="G329" t="s">
        <v>4333</v>
      </c>
      <c r="H329" t="s">
        <v>1</v>
      </c>
      <c r="I329" t="str">
        <f>_xlfn.XLOOKUP(F329,'Lookup List'!A:A,'Lookup List'!B:B,FALSE)</f>
        <v>02 Product Design</v>
      </c>
      <c r="J329" s="10" t="str">
        <f t="shared" si="9"/>
        <v>16/06/2025</v>
      </c>
      <c r="K329">
        <f>_xlfn.XLOOKUP(J329,'Wk no''s'!D:D,'Wk no''s'!C:C,FALSE)</f>
        <v>25</v>
      </c>
    </row>
    <row r="330" spans="1:11" x14ac:dyDescent="0.3">
      <c r="A330" t="s">
        <v>4334</v>
      </c>
      <c r="B330" t="s">
        <v>4335</v>
      </c>
      <c r="C330" t="s">
        <v>1443</v>
      </c>
      <c r="D330" s="7" t="s">
        <v>4336</v>
      </c>
      <c r="E330" t="s">
        <v>47</v>
      </c>
      <c r="F330" t="s">
        <v>156</v>
      </c>
      <c r="G330" t="s">
        <v>4337</v>
      </c>
      <c r="H330" t="s">
        <v>1</v>
      </c>
      <c r="I330" t="str">
        <f>_xlfn.XLOOKUP(F330,'Lookup List'!A:A,'Lookup List'!B:B,FALSE)</f>
        <v>02 Product Design</v>
      </c>
      <c r="J330" s="10" t="str">
        <f t="shared" si="9"/>
        <v>17/06/2025</v>
      </c>
      <c r="K330">
        <f>_xlfn.XLOOKUP(J330,'Wk no''s'!D:D,'Wk no''s'!C:C,FALSE)</f>
        <v>25</v>
      </c>
    </row>
    <row r="331" spans="1:11" x14ac:dyDescent="0.3">
      <c r="A331" t="s">
        <v>222</v>
      </c>
      <c r="B331" t="s">
        <v>221</v>
      </c>
      <c r="C331" t="s">
        <v>36</v>
      </c>
      <c r="D331" s="7" t="s">
        <v>4338</v>
      </c>
      <c r="E331" t="s">
        <v>698</v>
      </c>
      <c r="F331" t="s">
        <v>46</v>
      </c>
      <c r="G331" t="s">
        <v>4339</v>
      </c>
      <c r="H331" t="s">
        <v>1</v>
      </c>
      <c r="I331" t="str">
        <f>_xlfn.XLOOKUP(F331,'Lookup List'!A:A,'Lookup List'!B:B,FALSE)</f>
        <v>03 Assembly</v>
      </c>
      <c r="J331" s="10" t="str">
        <f t="shared" si="9"/>
        <v>18/06/2025</v>
      </c>
      <c r="K331">
        <f>_xlfn.XLOOKUP(J331,'Wk no''s'!D:D,'Wk no''s'!C:C,FALSE)</f>
        <v>25</v>
      </c>
    </row>
    <row r="332" spans="1:11" x14ac:dyDescent="0.3">
      <c r="A332" t="s">
        <v>4340</v>
      </c>
      <c r="B332" t="s">
        <v>4341</v>
      </c>
      <c r="C332" t="s">
        <v>4342</v>
      </c>
      <c r="D332" s="7" t="s">
        <v>4343</v>
      </c>
      <c r="E332" t="s">
        <v>74</v>
      </c>
      <c r="F332" t="s">
        <v>73</v>
      </c>
      <c r="G332" t="s">
        <v>4344</v>
      </c>
      <c r="H332" t="s">
        <v>1</v>
      </c>
      <c r="I332" t="str">
        <f>_xlfn.XLOOKUP(F332,'Lookup List'!A:A,'Lookup List'!B:B,FALSE)</f>
        <v>01 SOP</v>
      </c>
      <c r="J332" s="10" t="str">
        <f t="shared" si="9"/>
        <v>18/06/2025</v>
      </c>
      <c r="K332">
        <f>_xlfn.XLOOKUP(J332,'Wk no''s'!D:D,'Wk no''s'!C:C,FALSE)</f>
        <v>25</v>
      </c>
    </row>
    <row r="333" spans="1:11" x14ac:dyDescent="0.3">
      <c r="A333" t="s">
        <v>222</v>
      </c>
      <c r="B333" t="s">
        <v>221</v>
      </c>
      <c r="C333" t="s">
        <v>36</v>
      </c>
      <c r="D333" s="7" t="s">
        <v>4345</v>
      </c>
      <c r="E333" t="s">
        <v>47</v>
      </c>
      <c r="F333" t="s">
        <v>100</v>
      </c>
      <c r="G333" t="s">
        <v>4346</v>
      </c>
      <c r="H333" t="s">
        <v>1</v>
      </c>
      <c r="I333" t="str">
        <f>_xlfn.XLOOKUP(F333,'Lookup List'!A:A,'Lookup List'!B:B,FALSE)</f>
        <v>02 Product Design</v>
      </c>
      <c r="J333" s="10" t="str">
        <f t="shared" si="9"/>
        <v>18/06/2025</v>
      </c>
      <c r="K333">
        <f>_xlfn.XLOOKUP(J333,'Wk no''s'!D:D,'Wk no''s'!C:C,FALSE)</f>
        <v>25</v>
      </c>
    </row>
    <row r="334" spans="1:11" x14ac:dyDescent="0.3">
      <c r="A334" t="s">
        <v>360</v>
      </c>
      <c r="B334" t="s">
        <v>359</v>
      </c>
      <c r="C334" t="s">
        <v>33</v>
      </c>
      <c r="D334" s="7" t="s">
        <v>4347</v>
      </c>
      <c r="E334" t="s">
        <v>68</v>
      </c>
      <c r="F334" t="s">
        <v>62</v>
      </c>
      <c r="G334" t="s">
        <v>4348</v>
      </c>
      <c r="H334" t="s">
        <v>1</v>
      </c>
      <c r="I334" t="str">
        <f>_xlfn.XLOOKUP(F334,'Lookup List'!A:A,'Lookup List'!B:B,FALSE)</f>
        <v>Customer</v>
      </c>
      <c r="J334" s="10" t="str">
        <f t="shared" si="9"/>
        <v>19/06/2025</v>
      </c>
      <c r="K334">
        <f>_xlfn.XLOOKUP(J334,'Wk no''s'!D:D,'Wk no''s'!C:C,FALSE)</f>
        <v>25</v>
      </c>
    </row>
    <row r="335" spans="1:11" x14ac:dyDescent="0.3">
      <c r="A335" t="s">
        <v>203</v>
      </c>
      <c r="B335" t="s">
        <v>4349</v>
      </c>
      <c r="C335" t="s">
        <v>197</v>
      </c>
      <c r="D335" s="7" t="s">
        <v>4350</v>
      </c>
      <c r="E335" t="s">
        <v>175</v>
      </c>
      <c r="F335" t="s">
        <v>137</v>
      </c>
      <c r="G335" t="s">
        <v>4351</v>
      </c>
      <c r="H335" t="s">
        <v>1</v>
      </c>
      <c r="I335" t="str">
        <f>_xlfn.XLOOKUP(F335,'Lookup List'!A:A,'Lookup List'!B:B,FALSE)</f>
        <v>Supplier</v>
      </c>
      <c r="J335" s="10" t="str">
        <f t="shared" si="9"/>
        <v>19/06/2025</v>
      </c>
      <c r="K335">
        <f>_xlfn.XLOOKUP(J335,'Wk no''s'!D:D,'Wk no''s'!C:C,FALSE)</f>
        <v>25</v>
      </c>
    </row>
    <row r="336" spans="1:11" x14ac:dyDescent="0.3">
      <c r="A336" t="s">
        <v>4504</v>
      </c>
      <c r="B336" t="s">
        <v>4505</v>
      </c>
      <c r="C336" t="s">
        <v>527</v>
      </c>
      <c r="D336" s="7" t="s">
        <v>4506</v>
      </c>
      <c r="E336" t="s">
        <v>138</v>
      </c>
      <c r="F336" t="s">
        <v>51</v>
      </c>
      <c r="G336" t="s">
        <v>4507</v>
      </c>
      <c r="H336" t="s">
        <v>0</v>
      </c>
      <c r="I336" t="str">
        <f>_xlfn.XLOOKUP(F336,'Lookup List'!A:A,'Lookup List'!B:B,FALSE)</f>
        <v>03 Shop Floor</v>
      </c>
      <c r="J336" s="10" t="str">
        <f t="shared" ref="J336:J350" si="10">LEFT(G336,10)</f>
        <v>23/06/2025</v>
      </c>
      <c r="K336">
        <f>_xlfn.XLOOKUP(J336,'Wk no''s'!D:D,'Wk no''s'!C:C,FALSE)</f>
        <v>26</v>
      </c>
    </row>
    <row r="337" spans="1:11" x14ac:dyDescent="0.3">
      <c r="A337" t="s">
        <v>430</v>
      </c>
      <c r="B337" t="s">
        <v>4312</v>
      </c>
      <c r="C337" t="s">
        <v>7</v>
      </c>
      <c r="D337" s="7" t="s">
        <v>4508</v>
      </c>
      <c r="E337" t="s">
        <v>1081</v>
      </c>
      <c r="F337" t="s">
        <v>219</v>
      </c>
      <c r="G337" t="s">
        <v>4509</v>
      </c>
      <c r="H337" t="s">
        <v>0</v>
      </c>
      <c r="I337" t="str">
        <f>_xlfn.XLOOKUP(F337,'Lookup List'!A:A,'Lookup List'!B:B,FALSE)</f>
        <v>Warehouse</v>
      </c>
      <c r="J337" s="10" t="str">
        <f t="shared" si="10"/>
        <v>25/06/2025</v>
      </c>
      <c r="K337">
        <f>_xlfn.XLOOKUP(J337,'Wk no''s'!D:D,'Wk no''s'!C:C,FALSE)</f>
        <v>26</v>
      </c>
    </row>
    <row r="338" spans="1:11" x14ac:dyDescent="0.3">
      <c r="A338" t="s">
        <v>430</v>
      </c>
      <c r="B338" t="s">
        <v>429</v>
      </c>
      <c r="C338" t="s">
        <v>428</v>
      </c>
      <c r="D338" s="7" t="s">
        <v>4510</v>
      </c>
      <c r="E338" t="s">
        <v>175</v>
      </c>
      <c r="F338" t="s">
        <v>51</v>
      </c>
      <c r="G338" t="s">
        <v>4511</v>
      </c>
      <c r="H338" t="s">
        <v>0</v>
      </c>
      <c r="I338" t="str">
        <f>_xlfn.XLOOKUP(F338,'Lookup List'!A:A,'Lookup List'!B:B,FALSE)</f>
        <v>03 Shop Floor</v>
      </c>
      <c r="J338" s="10" t="str">
        <f t="shared" si="10"/>
        <v>26/06/2025</v>
      </c>
      <c r="K338">
        <f>_xlfn.XLOOKUP(J338,'Wk no''s'!D:D,'Wk no''s'!C:C,FALSE)</f>
        <v>26</v>
      </c>
    </row>
    <row r="339" spans="1:11" x14ac:dyDescent="0.3">
      <c r="A339" t="s">
        <v>4504</v>
      </c>
      <c r="B339" t="s">
        <v>4505</v>
      </c>
      <c r="C339" t="s">
        <v>527</v>
      </c>
      <c r="D339" s="7" t="s">
        <v>4512</v>
      </c>
      <c r="E339" t="s">
        <v>175</v>
      </c>
      <c r="F339" t="s">
        <v>396</v>
      </c>
      <c r="G339" t="s">
        <v>4513</v>
      </c>
      <c r="H339" t="s">
        <v>0</v>
      </c>
      <c r="I339" t="str">
        <f>_xlfn.XLOOKUP(F339,'Lookup List'!A:A,'Lookup List'!B:B,FALSE)</f>
        <v>03 Assembly Block 2</v>
      </c>
      <c r="J339" s="10" t="str">
        <f t="shared" si="10"/>
        <v>26/06/2025</v>
      </c>
      <c r="K339">
        <f>_xlfn.XLOOKUP(J339,'Wk no''s'!D:D,'Wk no''s'!C:C,FALSE)</f>
        <v>26</v>
      </c>
    </row>
    <row r="340" spans="1:11" x14ac:dyDescent="0.3">
      <c r="A340" t="s">
        <v>154</v>
      </c>
      <c r="B340" t="s">
        <v>153</v>
      </c>
      <c r="C340" t="s">
        <v>4514</v>
      </c>
      <c r="D340" s="7" t="s">
        <v>4515</v>
      </c>
      <c r="E340" t="s">
        <v>570</v>
      </c>
      <c r="F340" t="s">
        <v>4516</v>
      </c>
      <c r="G340" t="s">
        <v>4517</v>
      </c>
      <c r="H340" t="s">
        <v>150</v>
      </c>
      <c r="I340" t="b">
        <f>_xlfn.XLOOKUP(F340,'Lookup List'!A:A,'Lookup List'!B:B,FALSE)</f>
        <v>0</v>
      </c>
      <c r="J340" s="10" t="str">
        <f t="shared" si="10"/>
        <v>24/06/2025</v>
      </c>
      <c r="K340">
        <f>_xlfn.XLOOKUP(J340,'Wk no''s'!D:D,'Wk no''s'!C:C,FALSE)</f>
        <v>26</v>
      </c>
    </row>
    <row r="341" spans="1:11" x14ac:dyDescent="0.3">
      <c r="A341" t="s">
        <v>92</v>
      </c>
      <c r="B341" t="s">
        <v>91</v>
      </c>
      <c r="C341" t="s">
        <v>15</v>
      </c>
      <c r="D341" s="7" t="s">
        <v>4518</v>
      </c>
      <c r="E341" t="s">
        <v>733</v>
      </c>
      <c r="F341" t="s">
        <v>480</v>
      </c>
      <c r="G341" t="s">
        <v>4519</v>
      </c>
      <c r="H341" t="s">
        <v>9</v>
      </c>
      <c r="I341" t="str">
        <f>_xlfn.XLOOKUP(F341,'Lookup List'!A:A,'Lookup List'!B:B,FALSE)</f>
        <v>Paintline</v>
      </c>
      <c r="J341" s="10" t="str">
        <f t="shared" si="10"/>
        <v>25/06/2025</v>
      </c>
      <c r="K341">
        <f>_xlfn.XLOOKUP(J341,'Wk no''s'!D:D,'Wk no''s'!C:C,FALSE)</f>
        <v>26</v>
      </c>
    </row>
    <row r="342" spans="1:11" x14ac:dyDescent="0.3">
      <c r="A342" t="s">
        <v>92</v>
      </c>
      <c r="B342" t="s">
        <v>91</v>
      </c>
      <c r="C342" t="s">
        <v>15</v>
      </c>
      <c r="D342" s="7" t="s">
        <v>4520</v>
      </c>
      <c r="E342" t="s">
        <v>79</v>
      </c>
      <c r="F342" t="s">
        <v>46</v>
      </c>
      <c r="G342" t="s">
        <v>4521</v>
      </c>
      <c r="H342" t="s">
        <v>9</v>
      </c>
      <c r="I342" t="str">
        <f>_xlfn.XLOOKUP(F342,'Lookup List'!A:A,'Lookup List'!B:B,FALSE)</f>
        <v>03 Assembly</v>
      </c>
      <c r="J342" s="10" t="str">
        <f t="shared" si="10"/>
        <v>25/06/2025</v>
      </c>
      <c r="K342">
        <f>_xlfn.XLOOKUP(J342,'Wk no''s'!D:D,'Wk no''s'!C:C,FALSE)</f>
        <v>26</v>
      </c>
    </row>
    <row r="343" spans="1:11" x14ac:dyDescent="0.3">
      <c r="A343" t="s">
        <v>92</v>
      </c>
      <c r="B343" t="s">
        <v>91</v>
      </c>
      <c r="C343" t="s">
        <v>15</v>
      </c>
      <c r="D343" s="7" t="s">
        <v>4522</v>
      </c>
      <c r="E343" t="s">
        <v>47</v>
      </c>
      <c r="F343" t="s">
        <v>51</v>
      </c>
      <c r="G343" t="s">
        <v>4523</v>
      </c>
      <c r="H343" t="s">
        <v>9</v>
      </c>
      <c r="I343" t="str">
        <f>_xlfn.XLOOKUP(F343,'Lookup List'!A:A,'Lookup List'!B:B,FALSE)</f>
        <v>03 Shop Floor</v>
      </c>
      <c r="J343" s="10" t="str">
        <f t="shared" si="10"/>
        <v>25/06/2025</v>
      </c>
      <c r="K343">
        <f>_xlfn.XLOOKUP(J343,'Wk no''s'!D:D,'Wk no''s'!C:C,FALSE)</f>
        <v>26</v>
      </c>
    </row>
    <row r="344" spans="1:11" x14ac:dyDescent="0.3">
      <c r="A344" t="s">
        <v>207</v>
      </c>
      <c r="B344" t="s">
        <v>206</v>
      </c>
      <c r="C344" t="s">
        <v>205</v>
      </c>
      <c r="D344" s="7" t="s">
        <v>4524</v>
      </c>
      <c r="E344" t="s">
        <v>79</v>
      </c>
      <c r="F344" t="s">
        <v>46</v>
      </c>
      <c r="G344" t="s">
        <v>4525</v>
      </c>
      <c r="H344" t="s">
        <v>37</v>
      </c>
      <c r="I344" t="str">
        <f>_xlfn.XLOOKUP(F344,'Lookup List'!A:A,'Lookup List'!B:B,FALSE)</f>
        <v>03 Assembly</v>
      </c>
      <c r="J344" s="10" t="str">
        <f t="shared" si="10"/>
        <v>25/06/2025</v>
      </c>
      <c r="K344">
        <f>_xlfn.XLOOKUP(J344,'Wk no''s'!D:D,'Wk no''s'!C:C,FALSE)</f>
        <v>26</v>
      </c>
    </row>
    <row r="345" spans="1:11" x14ac:dyDescent="0.3">
      <c r="A345" t="s">
        <v>4526</v>
      </c>
      <c r="B345" t="s">
        <v>4527</v>
      </c>
      <c r="C345" t="s">
        <v>1544</v>
      </c>
      <c r="D345" s="7" t="s">
        <v>4528</v>
      </c>
      <c r="E345" t="s">
        <v>266</v>
      </c>
      <c r="F345" t="s">
        <v>177</v>
      </c>
      <c r="G345" t="s">
        <v>4529</v>
      </c>
      <c r="H345" t="s">
        <v>1</v>
      </c>
      <c r="I345" t="str">
        <f>_xlfn.XLOOKUP(F345,'Lookup List'!A:A,'Lookup List'!B:B,FALSE)</f>
        <v>External Courier</v>
      </c>
      <c r="J345" s="10" t="str">
        <f t="shared" si="10"/>
        <v>23/06/2025</v>
      </c>
      <c r="K345">
        <f>_xlfn.XLOOKUP(J345,'Wk no''s'!D:D,'Wk no''s'!C:C,FALSE)</f>
        <v>26</v>
      </c>
    </row>
    <row r="346" spans="1:11" x14ac:dyDescent="0.3">
      <c r="A346" t="s">
        <v>802</v>
      </c>
      <c r="B346" t="s">
        <v>4530</v>
      </c>
      <c r="C346" t="s">
        <v>2451</v>
      </c>
      <c r="D346" s="7" t="s">
        <v>4531</v>
      </c>
      <c r="E346" t="s">
        <v>74</v>
      </c>
      <c r="F346" t="s">
        <v>73</v>
      </c>
      <c r="G346" t="s">
        <v>4532</v>
      </c>
      <c r="H346" t="s">
        <v>1</v>
      </c>
      <c r="I346" t="str">
        <f>_xlfn.XLOOKUP(F346,'Lookup List'!A:A,'Lookup List'!B:B,FALSE)</f>
        <v>01 SOP</v>
      </c>
      <c r="J346" s="10" t="str">
        <f t="shared" si="10"/>
        <v>24/06/2025</v>
      </c>
      <c r="K346">
        <f>_xlfn.XLOOKUP(J346,'Wk no''s'!D:D,'Wk no''s'!C:C,FALSE)</f>
        <v>26</v>
      </c>
    </row>
    <row r="347" spans="1:11" x14ac:dyDescent="0.3">
      <c r="A347" t="s">
        <v>325</v>
      </c>
      <c r="B347" t="s">
        <v>324</v>
      </c>
      <c r="C347" t="s">
        <v>3089</v>
      </c>
      <c r="D347" s="7" t="s">
        <v>4533</v>
      </c>
      <c r="E347" t="s">
        <v>159</v>
      </c>
      <c r="F347" t="s">
        <v>46</v>
      </c>
      <c r="G347" t="s">
        <v>4534</v>
      </c>
      <c r="H347" t="s">
        <v>1</v>
      </c>
      <c r="I347" t="str">
        <f>_xlfn.XLOOKUP(F347,'Lookup List'!A:A,'Lookup List'!B:B,FALSE)</f>
        <v>03 Assembly</v>
      </c>
      <c r="J347" s="10" t="str">
        <f t="shared" si="10"/>
        <v>24/06/2025</v>
      </c>
      <c r="K347">
        <f>_xlfn.XLOOKUP(J347,'Wk no''s'!D:D,'Wk no''s'!C:C,FALSE)</f>
        <v>26</v>
      </c>
    </row>
    <row r="348" spans="1:11" x14ac:dyDescent="0.3">
      <c r="A348" t="s">
        <v>4535</v>
      </c>
      <c r="B348" t="s">
        <v>4536</v>
      </c>
      <c r="C348" t="s">
        <v>3788</v>
      </c>
      <c r="D348" s="7" t="s">
        <v>4537</v>
      </c>
      <c r="E348" t="s">
        <v>63</v>
      </c>
      <c r="F348" t="s">
        <v>62</v>
      </c>
      <c r="G348" t="s">
        <v>4538</v>
      </c>
      <c r="H348" t="s">
        <v>1</v>
      </c>
      <c r="I348" t="str">
        <f>_xlfn.XLOOKUP(F348,'Lookup List'!A:A,'Lookup List'!B:B,FALSE)</f>
        <v>Customer</v>
      </c>
      <c r="J348" s="10" t="str">
        <f t="shared" si="10"/>
        <v>25/06/2025</v>
      </c>
      <c r="K348">
        <f>_xlfn.XLOOKUP(J348,'Wk no''s'!D:D,'Wk no''s'!C:C,FALSE)</f>
        <v>26</v>
      </c>
    </row>
    <row r="349" spans="1:11" x14ac:dyDescent="0.3">
      <c r="A349" t="s">
        <v>360</v>
      </c>
      <c r="B349" t="s">
        <v>359</v>
      </c>
      <c r="C349" t="s">
        <v>33</v>
      </c>
      <c r="D349" s="7" t="s">
        <v>4539</v>
      </c>
      <c r="E349" t="s">
        <v>175</v>
      </c>
      <c r="F349" t="s">
        <v>480</v>
      </c>
      <c r="G349" t="s">
        <v>4540</v>
      </c>
      <c r="H349" t="s">
        <v>1</v>
      </c>
      <c r="I349" t="str">
        <f>_xlfn.XLOOKUP(F349,'Lookup List'!A:A,'Lookup List'!B:B,FALSE)</f>
        <v>Paintline</v>
      </c>
      <c r="J349" s="10" t="str">
        <f t="shared" si="10"/>
        <v>25/06/2025</v>
      </c>
      <c r="K349">
        <f>_xlfn.XLOOKUP(J349,'Wk no''s'!D:D,'Wk no''s'!C:C,FALSE)</f>
        <v>26</v>
      </c>
    </row>
    <row r="350" spans="1:11" x14ac:dyDescent="0.3">
      <c r="A350" t="s">
        <v>4541</v>
      </c>
      <c r="B350" t="s">
        <v>4542</v>
      </c>
      <c r="C350" t="s">
        <v>2451</v>
      </c>
      <c r="D350" s="7" t="s">
        <v>4543</v>
      </c>
      <c r="E350" t="s">
        <v>68</v>
      </c>
      <c r="F350" t="s">
        <v>62</v>
      </c>
      <c r="G350" t="s">
        <v>4544</v>
      </c>
      <c r="H350" t="s">
        <v>1</v>
      </c>
      <c r="I350" t="str">
        <f>_xlfn.XLOOKUP(F350,'Lookup List'!A:A,'Lookup List'!B:B,FALSE)</f>
        <v>Customer</v>
      </c>
      <c r="J350" s="10" t="str">
        <f t="shared" si="10"/>
        <v>25/06/2025</v>
      </c>
      <c r="K350">
        <f>_xlfn.XLOOKUP(J350,'Wk no''s'!D:D,'Wk no''s'!C:C,FALSE)</f>
        <v>26</v>
      </c>
    </row>
    <row r="351" spans="1:11" x14ac:dyDescent="0.3">
      <c r="A351" t="s">
        <v>430</v>
      </c>
      <c r="B351" t="s">
        <v>623</v>
      </c>
      <c r="C351" t="s">
        <v>7</v>
      </c>
      <c r="D351" s="7" t="s">
        <v>4819</v>
      </c>
      <c r="E351" t="s">
        <v>90</v>
      </c>
      <c r="F351" t="s">
        <v>264</v>
      </c>
      <c r="G351" t="s">
        <v>4820</v>
      </c>
      <c r="H351" t="s">
        <v>0</v>
      </c>
      <c r="I351" t="str">
        <f>_xlfn.XLOOKUP(F351,'Lookup List'!A:A,'Lookup List'!B:B,FALSE)</f>
        <v>01 SOP</v>
      </c>
      <c r="J351" s="10" t="str">
        <f t="shared" ref="J351:J374" si="11">LEFT(G351,10)</f>
        <v>02/07/2025</v>
      </c>
      <c r="K351">
        <f>_xlfn.XLOOKUP(J351,'Wk no''s'!D:D,'Wk no''s'!C:C,FALSE)</f>
        <v>27</v>
      </c>
    </row>
    <row r="352" spans="1:11" x14ac:dyDescent="0.3">
      <c r="A352" t="s">
        <v>4821</v>
      </c>
      <c r="B352" t="s">
        <v>4822</v>
      </c>
      <c r="C352" t="s">
        <v>2497</v>
      </c>
      <c r="D352" s="7" t="s">
        <v>4823</v>
      </c>
      <c r="E352" t="s">
        <v>175</v>
      </c>
      <c r="F352" t="s">
        <v>51</v>
      </c>
      <c r="G352" t="s">
        <v>4824</v>
      </c>
      <c r="H352" t="s">
        <v>93</v>
      </c>
      <c r="I352" t="str">
        <f>_xlfn.XLOOKUP(F352,'Lookup List'!A:A,'Lookup List'!B:B,FALSE)</f>
        <v>03 Shop Floor</v>
      </c>
      <c r="J352" s="10" t="str">
        <f t="shared" si="11"/>
        <v>04/07/2025</v>
      </c>
      <c r="K352">
        <f>_xlfn.XLOOKUP(J352,'Wk no''s'!D:D,'Wk no''s'!C:C,FALSE)</f>
        <v>27</v>
      </c>
    </row>
    <row r="353" spans="1:11" x14ac:dyDescent="0.3">
      <c r="A353" t="s">
        <v>207</v>
      </c>
      <c r="B353" t="s">
        <v>4825</v>
      </c>
      <c r="C353" t="s">
        <v>205</v>
      </c>
      <c r="D353" s="7" t="s">
        <v>4826</v>
      </c>
      <c r="E353" t="s">
        <v>175</v>
      </c>
      <c r="F353" t="s">
        <v>480</v>
      </c>
      <c r="G353" t="s">
        <v>4827</v>
      </c>
      <c r="H353" t="s">
        <v>37</v>
      </c>
      <c r="I353" t="str">
        <f>_xlfn.XLOOKUP(F353,'Lookup List'!A:A,'Lookup List'!B:B,FALSE)</f>
        <v>Paintline</v>
      </c>
      <c r="J353" s="10" t="str">
        <f t="shared" si="11"/>
        <v>01/07/2025</v>
      </c>
      <c r="K353">
        <f>_xlfn.XLOOKUP(J353,'Wk no''s'!D:D,'Wk no''s'!C:C,FALSE)</f>
        <v>27</v>
      </c>
    </row>
    <row r="354" spans="1:11" x14ac:dyDescent="0.3">
      <c r="A354" t="s">
        <v>207</v>
      </c>
      <c r="B354" t="s">
        <v>206</v>
      </c>
      <c r="C354" t="s">
        <v>205</v>
      </c>
      <c r="D354" s="7" t="s">
        <v>4828</v>
      </c>
      <c r="E354" t="s">
        <v>138</v>
      </c>
      <c r="F354" t="s">
        <v>51</v>
      </c>
      <c r="G354" t="s">
        <v>4829</v>
      </c>
      <c r="H354" t="s">
        <v>37</v>
      </c>
      <c r="I354" t="str">
        <f>_xlfn.XLOOKUP(F354,'Lookup List'!A:A,'Lookup List'!B:B,FALSE)</f>
        <v>03 Shop Floor</v>
      </c>
      <c r="J354" s="10" t="str">
        <f t="shared" si="11"/>
        <v>01/07/2025</v>
      </c>
      <c r="K354">
        <f>_xlfn.XLOOKUP(J354,'Wk no''s'!D:D,'Wk no''s'!C:C,FALSE)</f>
        <v>27</v>
      </c>
    </row>
    <row r="355" spans="1:11" x14ac:dyDescent="0.3">
      <c r="A355" t="s">
        <v>207</v>
      </c>
      <c r="B355" t="s">
        <v>462</v>
      </c>
      <c r="C355" t="s">
        <v>205</v>
      </c>
      <c r="D355" s="7" t="s">
        <v>4830</v>
      </c>
      <c r="E355" t="s">
        <v>47</v>
      </c>
      <c r="F355" t="s">
        <v>62</v>
      </c>
      <c r="G355" t="s">
        <v>4831</v>
      </c>
      <c r="H355" t="s">
        <v>37</v>
      </c>
      <c r="I355" t="str">
        <f>_xlfn.XLOOKUP(F355,'Lookup List'!A:A,'Lookup List'!B:B,FALSE)</f>
        <v>Customer</v>
      </c>
      <c r="J355" s="10" t="str">
        <f t="shared" si="11"/>
        <v>02/07/2025</v>
      </c>
      <c r="K355">
        <f>_xlfn.XLOOKUP(J355,'Wk no''s'!D:D,'Wk no''s'!C:C,FALSE)</f>
        <v>27</v>
      </c>
    </row>
    <row r="356" spans="1:11" x14ac:dyDescent="0.3">
      <c r="A356" t="s">
        <v>207</v>
      </c>
      <c r="B356" t="s">
        <v>707</v>
      </c>
      <c r="C356" t="s">
        <v>205</v>
      </c>
      <c r="D356" s="7" t="s">
        <v>4832</v>
      </c>
      <c r="E356" t="s">
        <v>47</v>
      </c>
      <c r="F356" t="s">
        <v>137</v>
      </c>
      <c r="G356" t="s">
        <v>4833</v>
      </c>
      <c r="H356" t="s">
        <v>37</v>
      </c>
      <c r="I356" t="str">
        <f>_xlfn.XLOOKUP(F356,'Lookup List'!A:A,'Lookup List'!B:B,FALSE)</f>
        <v>Supplier</v>
      </c>
      <c r="J356" s="10" t="str">
        <f t="shared" si="11"/>
        <v>04/07/2025</v>
      </c>
      <c r="K356">
        <f>_xlfn.XLOOKUP(J356,'Wk no''s'!D:D,'Wk no''s'!C:C,FALSE)</f>
        <v>27</v>
      </c>
    </row>
    <row r="357" spans="1:11" x14ac:dyDescent="0.3">
      <c r="A357" t="s">
        <v>203</v>
      </c>
      <c r="B357" t="s">
        <v>4349</v>
      </c>
      <c r="C357" t="s">
        <v>197</v>
      </c>
      <c r="D357" s="7" t="s">
        <v>4834</v>
      </c>
      <c r="E357" t="s">
        <v>90</v>
      </c>
      <c r="F357" t="s">
        <v>89</v>
      </c>
      <c r="G357" t="s">
        <v>4835</v>
      </c>
      <c r="H357" t="s">
        <v>1</v>
      </c>
      <c r="I357" t="str">
        <f>_xlfn.XLOOKUP(F357,'Lookup List'!A:A,'Lookup List'!B:B,FALSE)</f>
        <v>Salesforce</v>
      </c>
      <c r="J357" s="10" t="str">
        <f t="shared" si="11"/>
        <v>01/07/2025</v>
      </c>
      <c r="K357">
        <f>_xlfn.XLOOKUP(J357,'Wk no''s'!D:D,'Wk no''s'!C:C,FALSE)</f>
        <v>27</v>
      </c>
    </row>
    <row r="358" spans="1:11" x14ac:dyDescent="0.3">
      <c r="A358" t="s">
        <v>4836</v>
      </c>
      <c r="B358" t="s">
        <v>4837</v>
      </c>
      <c r="C358" t="s">
        <v>3987</v>
      </c>
      <c r="D358" s="7" t="s">
        <v>4838</v>
      </c>
      <c r="E358" t="s">
        <v>4895</v>
      </c>
      <c r="F358" t="s">
        <v>4049</v>
      </c>
      <c r="G358" t="s">
        <v>4839</v>
      </c>
      <c r="H358" t="s">
        <v>1</v>
      </c>
      <c r="I358" t="b">
        <f>_xlfn.XLOOKUP(F358,'Lookup List'!A:A,'Lookup List'!B:B,FALSE)</f>
        <v>0</v>
      </c>
      <c r="J358" s="10" t="str">
        <f t="shared" si="11"/>
        <v>01/07/2025</v>
      </c>
      <c r="K358">
        <f>_xlfn.XLOOKUP(J358,'Wk no''s'!D:D,'Wk no''s'!C:C,FALSE)</f>
        <v>27</v>
      </c>
    </row>
    <row r="359" spans="1:11" x14ac:dyDescent="0.3">
      <c r="A359" t="s">
        <v>4840</v>
      </c>
      <c r="B359" t="s">
        <v>4841</v>
      </c>
      <c r="C359" t="s">
        <v>4842</v>
      </c>
      <c r="D359" s="7" t="s">
        <v>4843</v>
      </c>
      <c r="E359" t="s">
        <v>52</v>
      </c>
      <c r="F359" t="s">
        <v>219</v>
      </c>
      <c r="G359" t="s">
        <v>4844</v>
      </c>
      <c r="H359" t="s">
        <v>1</v>
      </c>
      <c r="I359" t="str">
        <f>_xlfn.XLOOKUP(F359,'Lookup List'!A:A,'Lookup List'!B:B,FALSE)</f>
        <v>Warehouse</v>
      </c>
      <c r="J359" s="10" t="str">
        <f t="shared" si="11"/>
        <v>02/07/2025</v>
      </c>
      <c r="K359">
        <f>_xlfn.XLOOKUP(J359,'Wk no''s'!D:D,'Wk no''s'!C:C,FALSE)</f>
        <v>27</v>
      </c>
    </row>
    <row r="360" spans="1:11" x14ac:dyDescent="0.3">
      <c r="A360" t="s">
        <v>4845</v>
      </c>
      <c r="B360" t="s">
        <v>4846</v>
      </c>
      <c r="C360" t="s">
        <v>4847</v>
      </c>
      <c r="D360" s="7" t="s">
        <v>4848</v>
      </c>
      <c r="E360" t="s">
        <v>52</v>
      </c>
      <c r="F360" t="s">
        <v>219</v>
      </c>
      <c r="G360" t="s">
        <v>4849</v>
      </c>
      <c r="H360" t="s">
        <v>1</v>
      </c>
      <c r="I360" t="str">
        <f>_xlfn.XLOOKUP(F360,'Lookup List'!A:A,'Lookup List'!B:B,FALSE)</f>
        <v>Warehouse</v>
      </c>
      <c r="J360" s="10" t="str">
        <f t="shared" si="11"/>
        <v>02/07/2025</v>
      </c>
      <c r="K360">
        <f>_xlfn.XLOOKUP(J360,'Wk no''s'!D:D,'Wk no''s'!C:C,FALSE)</f>
        <v>27</v>
      </c>
    </row>
    <row r="361" spans="1:11" x14ac:dyDescent="0.3">
      <c r="A361" t="s">
        <v>296</v>
      </c>
      <c r="B361" t="s">
        <v>295</v>
      </c>
      <c r="C361" t="s">
        <v>1169</v>
      </c>
      <c r="D361" s="7" t="s">
        <v>4850</v>
      </c>
      <c r="E361" t="s">
        <v>47</v>
      </c>
      <c r="F361" t="s">
        <v>46</v>
      </c>
      <c r="G361" t="s">
        <v>4851</v>
      </c>
      <c r="H361" t="s">
        <v>1</v>
      </c>
      <c r="I361" t="str">
        <f>_xlfn.XLOOKUP(F361,'Lookup List'!A:A,'Lookup List'!B:B,FALSE)</f>
        <v>03 Assembly</v>
      </c>
      <c r="J361" s="10" t="str">
        <f t="shared" si="11"/>
        <v>03/07/2025</v>
      </c>
      <c r="K361">
        <f>_xlfn.XLOOKUP(J361,'Wk no''s'!D:D,'Wk no''s'!C:C,FALSE)</f>
        <v>27</v>
      </c>
    </row>
    <row r="362" spans="1:11" x14ac:dyDescent="0.3">
      <c r="A362" t="s">
        <v>81</v>
      </c>
      <c r="B362" t="s">
        <v>80</v>
      </c>
      <c r="C362" t="s">
        <v>28</v>
      </c>
      <c r="D362" s="7" t="s">
        <v>4852</v>
      </c>
      <c r="E362" t="s">
        <v>1081</v>
      </c>
      <c r="F362" t="s">
        <v>121</v>
      </c>
      <c r="G362" t="s">
        <v>4853</v>
      </c>
      <c r="H362" t="s">
        <v>1</v>
      </c>
      <c r="I362" t="str">
        <f>_xlfn.XLOOKUP(F362,'Lookup List'!A:A,'Lookup List'!B:B,FALSE)</f>
        <v>Transport</v>
      </c>
      <c r="J362" s="10" t="str">
        <f t="shared" si="11"/>
        <v>03/07/2025</v>
      </c>
      <c r="K362">
        <f>_xlfn.XLOOKUP(J362,'Wk no''s'!D:D,'Wk no''s'!C:C,FALSE)</f>
        <v>27</v>
      </c>
    </row>
    <row r="363" spans="1:11" x14ac:dyDescent="0.3">
      <c r="A363" t="s">
        <v>71</v>
      </c>
      <c r="B363" t="s">
        <v>613</v>
      </c>
      <c r="C363" t="s">
        <v>39</v>
      </c>
      <c r="D363" s="7" t="s">
        <v>4854</v>
      </c>
      <c r="E363" t="s">
        <v>126</v>
      </c>
      <c r="F363" t="s">
        <v>5307</v>
      </c>
      <c r="G363" t="s">
        <v>4855</v>
      </c>
      <c r="H363" t="s">
        <v>1</v>
      </c>
      <c r="I363" t="b">
        <f>_xlfn.XLOOKUP(F363,'Lookup List'!A:A,'Lookup List'!B:B,FALSE)</f>
        <v>0</v>
      </c>
      <c r="J363" s="10" t="str">
        <f t="shared" si="11"/>
        <v>03/07/2025</v>
      </c>
      <c r="K363">
        <f>_xlfn.XLOOKUP(J363,'Wk no''s'!D:D,'Wk no''s'!C:C,FALSE)</f>
        <v>27</v>
      </c>
    </row>
    <row r="364" spans="1:11" x14ac:dyDescent="0.3">
      <c r="A364" t="s">
        <v>334</v>
      </c>
      <c r="B364" t="s">
        <v>4856</v>
      </c>
      <c r="C364" t="s">
        <v>4148</v>
      </c>
      <c r="D364" s="7" t="s">
        <v>4857</v>
      </c>
      <c r="E364" t="s">
        <v>63</v>
      </c>
      <c r="F364" t="s">
        <v>121</v>
      </c>
      <c r="G364" t="s">
        <v>4858</v>
      </c>
      <c r="H364" t="s">
        <v>1</v>
      </c>
      <c r="I364" t="str">
        <f>_xlfn.XLOOKUP(F364,'Lookup List'!A:A,'Lookup List'!B:B,FALSE)</f>
        <v>Transport</v>
      </c>
      <c r="J364" s="10" t="str">
        <f t="shared" si="11"/>
        <v>03/07/2025</v>
      </c>
      <c r="K364">
        <f>_xlfn.XLOOKUP(J364,'Wk no''s'!D:D,'Wk no''s'!C:C,FALSE)</f>
        <v>27</v>
      </c>
    </row>
    <row r="365" spans="1:11" x14ac:dyDescent="0.3">
      <c r="A365" t="s">
        <v>81</v>
      </c>
      <c r="B365" t="s">
        <v>80</v>
      </c>
      <c r="C365" t="s">
        <v>28</v>
      </c>
      <c r="D365" s="7" t="s">
        <v>4859</v>
      </c>
      <c r="E365" t="s">
        <v>47</v>
      </c>
      <c r="F365" t="s">
        <v>46</v>
      </c>
      <c r="G365" t="s">
        <v>4860</v>
      </c>
      <c r="H365" t="s">
        <v>1</v>
      </c>
      <c r="I365" t="str">
        <f>_xlfn.XLOOKUP(F365,'Lookup List'!A:A,'Lookup List'!B:B,FALSE)</f>
        <v>03 Assembly</v>
      </c>
      <c r="J365" s="10" t="str">
        <f t="shared" si="11"/>
        <v>03/07/2025</v>
      </c>
      <c r="K365">
        <f>_xlfn.XLOOKUP(J365,'Wk no''s'!D:D,'Wk no''s'!C:C,FALSE)</f>
        <v>27</v>
      </c>
    </row>
    <row r="366" spans="1:11" x14ac:dyDescent="0.3">
      <c r="A366" t="s">
        <v>71</v>
      </c>
      <c r="B366" t="s">
        <v>4861</v>
      </c>
      <c r="C366" t="s">
        <v>4862</v>
      </c>
      <c r="D366" s="7" t="s">
        <v>4863</v>
      </c>
      <c r="E366" t="s">
        <v>138</v>
      </c>
      <c r="F366" t="s">
        <v>51</v>
      </c>
      <c r="G366" t="s">
        <v>4864</v>
      </c>
      <c r="H366" t="s">
        <v>1</v>
      </c>
      <c r="I366" t="str">
        <f>_xlfn.XLOOKUP(F366,'Lookup List'!A:A,'Lookup List'!B:B,FALSE)</f>
        <v>03 Shop Floor</v>
      </c>
      <c r="J366" s="10" t="str">
        <f t="shared" si="11"/>
        <v>03/07/2025</v>
      </c>
      <c r="K366">
        <f>_xlfn.XLOOKUP(J366,'Wk no''s'!D:D,'Wk no''s'!C:C,FALSE)</f>
        <v>27</v>
      </c>
    </row>
    <row r="367" spans="1:11" x14ac:dyDescent="0.3">
      <c r="A367" t="s">
        <v>1141</v>
      </c>
      <c r="B367" t="s">
        <v>4865</v>
      </c>
      <c r="C367" t="s">
        <v>3981</v>
      </c>
      <c r="D367" s="7" t="s">
        <v>4866</v>
      </c>
      <c r="E367" t="s">
        <v>90</v>
      </c>
      <c r="F367" t="s">
        <v>89</v>
      </c>
      <c r="G367" t="s">
        <v>4867</v>
      </c>
      <c r="H367" t="s">
        <v>1</v>
      </c>
      <c r="I367" t="str">
        <f>_xlfn.XLOOKUP(F367,'Lookup List'!A:A,'Lookup List'!B:B,FALSE)</f>
        <v>Salesforce</v>
      </c>
      <c r="J367" s="10" t="str">
        <f t="shared" si="11"/>
        <v>04/07/2025</v>
      </c>
      <c r="K367">
        <f>_xlfn.XLOOKUP(J367,'Wk no''s'!D:D,'Wk no''s'!C:C,FALSE)</f>
        <v>27</v>
      </c>
    </row>
    <row r="368" spans="1:11" x14ac:dyDescent="0.3">
      <c r="A368" t="s">
        <v>234</v>
      </c>
      <c r="B368" t="s">
        <v>4868</v>
      </c>
      <c r="C368" t="s">
        <v>197</v>
      </c>
      <c r="D368" s="7" t="s">
        <v>4869</v>
      </c>
      <c r="E368" t="s">
        <v>74</v>
      </c>
      <c r="F368" t="s">
        <v>73</v>
      </c>
      <c r="G368" t="s">
        <v>4870</v>
      </c>
      <c r="H368" t="s">
        <v>1</v>
      </c>
      <c r="I368" t="str">
        <f>_xlfn.XLOOKUP(F368,'Lookup List'!A:A,'Lookup List'!B:B,FALSE)</f>
        <v>01 SOP</v>
      </c>
      <c r="J368" s="10" t="str">
        <f t="shared" si="11"/>
        <v>04/07/2025</v>
      </c>
      <c r="K368">
        <f>_xlfn.XLOOKUP(J368,'Wk no''s'!D:D,'Wk no''s'!C:C,FALSE)</f>
        <v>27</v>
      </c>
    </row>
    <row r="369" spans="1:11" x14ac:dyDescent="0.3">
      <c r="A369" t="s">
        <v>688</v>
      </c>
      <c r="B369" t="s">
        <v>687</v>
      </c>
      <c r="C369" t="s">
        <v>2908</v>
      </c>
      <c r="D369" s="7" t="s">
        <v>4871</v>
      </c>
      <c r="E369" t="s">
        <v>52</v>
      </c>
      <c r="F369" t="s">
        <v>219</v>
      </c>
      <c r="G369" t="s">
        <v>4872</v>
      </c>
      <c r="H369" t="s">
        <v>1</v>
      </c>
      <c r="I369" t="str">
        <f>_xlfn.XLOOKUP(F369,'Lookup List'!A:A,'Lookup List'!B:B,FALSE)</f>
        <v>Warehouse</v>
      </c>
      <c r="J369" s="10" t="str">
        <f t="shared" si="11"/>
        <v>04/07/2025</v>
      </c>
      <c r="K369">
        <f>_xlfn.XLOOKUP(J369,'Wk no''s'!D:D,'Wk no''s'!C:C,FALSE)</f>
        <v>27</v>
      </c>
    </row>
    <row r="370" spans="1:11" x14ac:dyDescent="0.3">
      <c r="A370" t="s">
        <v>1176</v>
      </c>
      <c r="B370" t="s">
        <v>1177</v>
      </c>
      <c r="C370" t="s">
        <v>1178</v>
      </c>
      <c r="D370" s="7" t="s">
        <v>4873</v>
      </c>
      <c r="E370" t="s">
        <v>47</v>
      </c>
      <c r="F370" t="s">
        <v>51</v>
      </c>
      <c r="G370" t="s">
        <v>4874</v>
      </c>
      <c r="H370" t="s">
        <v>1</v>
      </c>
      <c r="I370" t="str">
        <f>_xlfn.XLOOKUP(F370,'Lookup List'!A:A,'Lookup List'!B:B,FALSE)</f>
        <v>03 Shop Floor</v>
      </c>
      <c r="J370" s="10" t="str">
        <f t="shared" si="11"/>
        <v>04/07/2025</v>
      </c>
      <c r="K370">
        <f>_xlfn.XLOOKUP(J370,'Wk no''s'!D:D,'Wk no''s'!C:C,FALSE)</f>
        <v>27</v>
      </c>
    </row>
    <row r="371" spans="1:11" x14ac:dyDescent="0.3">
      <c r="A371" t="s">
        <v>4875</v>
      </c>
      <c r="B371" t="s">
        <v>4876</v>
      </c>
      <c r="C371" t="s">
        <v>2630</v>
      </c>
      <c r="D371" s="7" t="s">
        <v>4877</v>
      </c>
      <c r="E371" t="s">
        <v>90</v>
      </c>
      <c r="F371" t="s">
        <v>5307</v>
      </c>
      <c r="G371" t="s">
        <v>4878</v>
      </c>
      <c r="H371" t="s">
        <v>1</v>
      </c>
      <c r="I371" t="b">
        <f>_xlfn.XLOOKUP(F371,'Lookup List'!A:A,'Lookup List'!B:B,FALSE)</f>
        <v>0</v>
      </c>
      <c r="J371" s="10" t="str">
        <f t="shared" si="11"/>
        <v>04/07/2025</v>
      </c>
      <c r="K371">
        <f>_xlfn.XLOOKUP(J371,'Wk no''s'!D:D,'Wk no''s'!C:C,FALSE)</f>
        <v>27</v>
      </c>
    </row>
    <row r="372" spans="1:11" x14ac:dyDescent="0.3">
      <c r="A372" t="s">
        <v>736</v>
      </c>
      <c r="B372" t="s">
        <v>4879</v>
      </c>
      <c r="C372" t="s">
        <v>1117</v>
      </c>
      <c r="D372" s="7" t="s">
        <v>4880</v>
      </c>
      <c r="E372" t="s">
        <v>370</v>
      </c>
      <c r="F372" t="s">
        <v>156</v>
      </c>
      <c r="G372" t="s">
        <v>4881</v>
      </c>
      <c r="H372" t="s">
        <v>1</v>
      </c>
      <c r="I372" t="str">
        <f>_xlfn.XLOOKUP(F372,'Lookup List'!A:A,'Lookup List'!B:B,FALSE)</f>
        <v>02 Product Design</v>
      </c>
      <c r="J372" s="10" t="str">
        <f t="shared" si="11"/>
        <v>04/07/2025</v>
      </c>
      <c r="K372">
        <f>_xlfn.XLOOKUP(J372,'Wk no''s'!D:D,'Wk no''s'!C:C,FALSE)</f>
        <v>27</v>
      </c>
    </row>
    <row r="373" spans="1:11" x14ac:dyDescent="0.3">
      <c r="A373" t="s">
        <v>49</v>
      </c>
      <c r="B373" t="s">
        <v>287</v>
      </c>
      <c r="C373" t="s">
        <v>4882</v>
      </c>
      <c r="D373" s="7" t="s">
        <v>4883</v>
      </c>
      <c r="E373" t="s">
        <v>47</v>
      </c>
      <c r="F373" t="s">
        <v>1132</v>
      </c>
      <c r="G373" t="s">
        <v>4884</v>
      </c>
      <c r="H373" t="s">
        <v>4</v>
      </c>
      <c r="I373" t="b">
        <f>_xlfn.XLOOKUP(F373,'Lookup List'!A:A,'Lookup List'!B:B,FALSE)</f>
        <v>0</v>
      </c>
      <c r="J373" s="10" t="str">
        <f t="shared" si="11"/>
        <v>02/07/2025</v>
      </c>
      <c r="K373">
        <f>_xlfn.XLOOKUP(J373,'Wk no''s'!D:D,'Wk no''s'!C:C,FALSE)</f>
        <v>27</v>
      </c>
    </row>
    <row r="374" spans="1:11" x14ac:dyDescent="0.3">
      <c r="A374" t="s">
        <v>4896</v>
      </c>
      <c r="B374" t="s">
        <v>4897</v>
      </c>
      <c r="C374" t="s">
        <v>2703</v>
      </c>
      <c r="D374" s="7" t="s">
        <v>4898</v>
      </c>
      <c r="E374" t="s">
        <v>370</v>
      </c>
      <c r="F374" t="s">
        <v>156</v>
      </c>
      <c r="G374" t="s">
        <v>4899</v>
      </c>
      <c r="H374" t="s">
        <v>93</v>
      </c>
      <c r="I374" t="str">
        <f>_xlfn.XLOOKUP(F374,'Lookup List'!A:A,'Lookup List'!B:B,FALSE)</f>
        <v>02 Product Design</v>
      </c>
      <c r="J374" s="10" t="str">
        <f t="shared" si="11"/>
        <v>07/07/2025</v>
      </c>
      <c r="K374">
        <f>_xlfn.XLOOKUP(J374,'Wk no''s'!D:D,'Wk no''s'!C:C,FALSE)</f>
        <v>28</v>
      </c>
    </row>
    <row r="375" spans="1:11" x14ac:dyDescent="0.3">
      <c r="A375" t="s">
        <v>4900</v>
      </c>
      <c r="B375" t="s">
        <v>4901</v>
      </c>
      <c r="C375" t="s">
        <v>3462</v>
      </c>
      <c r="D375" s="7" t="s">
        <v>4902</v>
      </c>
      <c r="E375" t="s">
        <v>126</v>
      </c>
      <c r="F375" t="s">
        <v>4903</v>
      </c>
      <c r="G375" t="s">
        <v>4904</v>
      </c>
      <c r="H375" t="s">
        <v>1</v>
      </c>
      <c r="I375" t="b">
        <f>_xlfn.XLOOKUP(F375,'Lookup List'!A:A,'Lookup List'!B:B,FALSE)</f>
        <v>0</v>
      </c>
      <c r="J375" s="10" t="str">
        <f t="shared" ref="J375:J398" si="12">LEFT(G375,10)</f>
        <v>07/07/2025</v>
      </c>
      <c r="K375">
        <f>_xlfn.XLOOKUP(J375,'Wk no''s'!D:D,'Wk no''s'!C:C,FALSE)</f>
        <v>28</v>
      </c>
    </row>
    <row r="376" spans="1:11" x14ac:dyDescent="0.3">
      <c r="A376" t="s">
        <v>4284</v>
      </c>
      <c r="B376" t="s">
        <v>4285</v>
      </c>
      <c r="C376" t="s">
        <v>1587</v>
      </c>
      <c r="D376" s="7" t="s">
        <v>4905</v>
      </c>
      <c r="E376" t="s">
        <v>63</v>
      </c>
      <c r="F376" t="s">
        <v>62</v>
      </c>
      <c r="G376" t="s">
        <v>4907</v>
      </c>
      <c r="H376" t="s">
        <v>1</v>
      </c>
      <c r="I376" t="str">
        <f>_xlfn.XLOOKUP(F376,'Lookup List'!A:A,'Lookup List'!B:B,FALSE)</f>
        <v>Customer</v>
      </c>
      <c r="J376" s="10" t="str">
        <f t="shared" si="12"/>
        <v>07/07/2025</v>
      </c>
      <c r="K376">
        <f>_xlfn.XLOOKUP(J376,'Wk no''s'!D:D,'Wk no''s'!C:C,FALSE)</f>
        <v>28</v>
      </c>
    </row>
    <row r="377" spans="1:11" x14ac:dyDescent="0.3">
      <c r="A377" t="s">
        <v>242</v>
      </c>
      <c r="B377" t="s">
        <v>241</v>
      </c>
      <c r="C377" t="s">
        <v>4908</v>
      </c>
      <c r="D377" s="7" t="s">
        <v>4909</v>
      </c>
      <c r="E377" t="s">
        <v>4910</v>
      </c>
      <c r="F377" t="s">
        <v>62</v>
      </c>
      <c r="G377" t="s">
        <v>4911</v>
      </c>
      <c r="H377" t="s">
        <v>1</v>
      </c>
      <c r="I377" t="str">
        <f>_xlfn.XLOOKUP(F377,'Lookup List'!A:A,'Lookup List'!B:B,FALSE)</f>
        <v>Customer</v>
      </c>
      <c r="J377" s="10" t="str">
        <f t="shared" si="12"/>
        <v>09/07/2025</v>
      </c>
      <c r="K377">
        <f>_xlfn.XLOOKUP(J377,'Wk no''s'!D:D,'Wk no''s'!C:C,FALSE)</f>
        <v>28</v>
      </c>
    </row>
    <row r="378" spans="1:11" x14ac:dyDescent="0.3">
      <c r="A378" t="s">
        <v>4912</v>
      </c>
      <c r="B378" t="s">
        <v>4913</v>
      </c>
      <c r="C378" t="s">
        <v>3055</v>
      </c>
      <c r="D378" s="7" t="s">
        <v>4914</v>
      </c>
      <c r="E378" t="s">
        <v>266</v>
      </c>
      <c r="F378" t="s">
        <v>219</v>
      </c>
      <c r="G378" t="s">
        <v>4915</v>
      </c>
      <c r="H378" t="s">
        <v>1</v>
      </c>
      <c r="I378" t="str">
        <f>_xlfn.XLOOKUP(F378,'Lookup List'!A:A,'Lookup List'!B:B,FALSE)</f>
        <v>Warehouse</v>
      </c>
      <c r="J378" s="10" t="str">
        <f t="shared" si="12"/>
        <v>09/07/2025</v>
      </c>
      <c r="K378">
        <f>_xlfn.XLOOKUP(J378,'Wk no''s'!D:D,'Wk no''s'!C:C,FALSE)</f>
        <v>28</v>
      </c>
    </row>
    <row r="379" spans="1:11" x14ac:dyDescent="0.3">
      <c r="A379" t="s">
        <v>4875</v>
      </c>
      <c r="B379" t="s">
        <v>4876</v>
      </c>
      <c r="C379" t="s">
        <v>2630</v>
      </c>
      <c r="D379" s="7" t="s">
        <v>4916</v>
      </c>
      <c r="E379" t="s">
        <v>90</v>
      </c>
      <c r="F379" t="s">
        <v>253</v>
      </c>
      <c r="G379" t="s">
        <v>4917</v>
      </c>
      <c r="H379" t="s">
        <v>1</v>
      </c>
      <c r="I379" t="str">
        <f>_xlfn.XLOOKUP(F379,'Lookup List'!A:A,'Lookup List'!B:B,FALSE)</f>
        <v>Estimating</v>
      </c>
      <c r="J379" s="10" t="str">
        <f t="shared" si="12"/>
        <v>10/07/2025</v>
      </c>
      <c r="K379">
        <f>_xlfn.XLOOKUP(J379,'Wk no''s'!D:D,'Wk no''s'!C:C,FALSE)</f>
        <v>28</v>
      </c>
    </row>
    <row r="380" spans="1:11" x14ac:dyDescent="0.3">
      <c r="A380" t="s">
        <v>4284</v>
      </c>
      <c r="B380" t="s">
        <v>4918</v>
      </c>
      <c r="C380" t="s">
        <v>1587</v>
      </c>
      <c r="D380" s="7" t="s">
        <v>4919</v>
      </c>
      <c r="E380" t="s">
        <v>47</v>
      </c>
      <c r="F380" t="s">
        <v>4903</v>
      </c>
      <c r="G380" t="s">
        <v>4920</v>
      </c>
      <c r="H380" t="s">
        <v>1</v>
      </c>
      <c r="I380" t="b">
        <f>_xlfn.XLOOKUP(F380,'Lookup List'!A:A,'Lookup List'!B:B,FALSE)</f>
        <v>0</v>
      </c>
      <c r="J380" s="10" t="str">
        <f t="shared" si="12"/>
        <v>10/07/2025</v>
      </c>
      <c r="K380">
        <f>_xlfn.XLOOKUP(J380,'Wk no''s'!D:D,'Wk no''s'!C:C,FALSE)</f>
        <v>28</v>
      </c>
    </row>
    <row r="381" spans="1:11" x14ac:dyDescent="0.3">
      <c r="A381" t="s">
        <v>417</v>
      </c>
      <c r="B381" t="s">
        <v>416</v>
      </c>
      <c r="C381" t="s">
        <v>3267</v>
      </c>
      <c r="D381" s="7" t="s">
        <v>4921</v>
      </c>
      <c r="E381" t="s">
        <v>90</v>
      </c>
      <c r="F381" t="s">
        <v>73</v>
      </c>
      <c r="G381" t="s">
        <v>4922</v>
      </c>
      <c r="H381" t="s">
        <v>1</v>
      </c>
      <c r="I381" t="str">
        <f>_xlfn.XLOOKUP(F381,'Lookup List'!A:A,'Lookup List'!B:B,FALSE)</f>
        <v>01 SOP</v>
      </c>
      <c r="J381" s="10" t="str">
        <f t="shared" si="12"/>
        <v>10/07/2025</v>
      </c>
      <c r="K381">
        <f>_xlfn.XLOOKUP(J381,'Wk no''s'!D:D,'Wk no''s'!C:C,FALSE)</f>
        <v>28</v>
      </c>
    </row>
    <row r="382" spans="1:11" x14ac:dyDescent="0.3">
      <c r="A382" t="s">
        <v>430</v>
      </c>
      <c r="B382" t="s">
        <v>623</v>
      </c>
      <c r="C382" t="s">
        <v>7</v>
      </c>
      <c r="D382" s="7" t="s">
        <v>5132</v>
      </c>
      <c r="E382" t="s">
        <v>175</v>
      </c>
      <c r="F382" t="s">
        <v>137</v>
      </c>
      <c r="G382" t="s">
        <v>5133</v>
      </c>
      <c r="H382" t="s">
        <v>0</v>
      </c>
      <c r="I382" t="str">
        <f>_xlfn.XLOOKUP(F382,'Lookup List'!A:A,'Lookup List'!B:B,FALSE)</f>
        <v>Supplier</v>
      </c>
      <c r="J382" s="10" t="str">
        <f t="shared" si="12"/>
        <v>15/07/2025</v>
      </c>
      <c r="K382">
        <f>_xlfn.XLOOKUP(J382,'Wk no''s'!D:D,'Wk no''s'!C:C,FALSE)</f>
        <v>29</v>
      </c>
    </row>
    <row r="383" spans="1:11" x14ac:dyDescent="0.3">
      <c r="A383" t="s">
        <v>207</v>
      </c>
      <c r="B383" t="s">
        <v>707</v>
      </c>
      <c r="C383" t="s">
        <v>205</v>
      </c>
      <c r="D383" s="7" t="s">
        <v>5134</v>
      </c>
      <c r="E383" t="s">
        <v>4906</v>
      </c>
      <c r="F383" t="s">
        <v>4903</v>
      </c>
      <c r="G383" t="s">
        <v>5135</v>
      </c>
      <c r="H383" t="s">
        <v>37</v>
      </c>
      <c r="I383" t="b">
        <f>_xlfn.XLOOKUP(F383,'Lookup List'!A:A,'Lookup List'!B:B,FALSE)</f>
        <v>0</v>
      </c>
      <c r="J383" s="10" t="str">
        <f t="shared" si="12"/>
        <v>18/07/2025</v>
      </c>
      <c r="K383">
        <f>_xlfn.XLOOKUP(J383,'Wk no''s'!D:D,'Wk no''s'!C:C,FALSE)</f>
        <v>29</v>
      </c>
    </row>
    <row r="384" spans="1:11" x14ac:dyDescent="0.3">
      <c r="A384" t="s">
        <v>207</v>
      </c>
      <c r="B384" t="s">
        <v>206</v>
      </c>
      <c r="C384" t="s">
        <v>205</v>
      </c>
      <c r="D384" s="7" t="s">
        <v>5136</v>
      </c>
      <c r="E384" t="s">
        <v>175</v>
      </c>
      <c r="F384" t="s">
        <v>4903</v>
      </c>
      <c r="G384" t="s">
        <v>5137</v>
      </c>
      <c r="H384" t="s">
        <v>37</v>
      </c>
      <c r="I384" t="b">
        <f>_xlfn.XLOOKUP(F384,'Lookup List'!A:A,'Lookup List'!B:B,FALSE)</f>
        <v>0</v>
      </c>
      <c r="J384" s="10" t="str">
        <f t="shared" si="12"/>
        <v>18/07/2025</v>
      </c>
      <c r="K384">
        <f>_xlfn.XLOOKUP(J384,'Wk no''s'!D:D,'Wk no''s'!C:C,FALSE)</f>
        <v>29</v>
      </c>
    </row>
    <row r="385" spans="1:11" x14ac:dyDescent="0.3">
      <c r="A385" t="s">
        <v>736</v>
      </c>
      <c r="B385" t="s">
        <v>5138</v>
      </c>
      <c r="C385" t="s">
        <v>1117</v>
      </c>
      <c r="D385" s="7" t="s">
        <v>5139</v>
      </c>
      <c r="E385" t="s">
        <v>370</v>
      </c>
      <c r="F385" t="s">
        <v>4049</v>
      </c>
      <c r="G385" t="s">
        <v>5140</v>
      </c>
      <c r="H385" t="s">
        <v>1</v>
      </c>
      <c r="I385" t="b">
        <f>_xlfn.XLOOKUP(F385,'Lookup List'!A:A,'Lookup List'!B:B,FALSE)</f>
        <v>0</v>
      </c>
      <c r="J385" s="10" t="str">
        <f t="shared" si="12"/>
        <v>14/07/2025</v>
      </c>
      <c r="K385">
        <f>_xlfn.XLOOKUP(J385,'Wk no''s'!D:D,'Wk no''s'!C:C,FALSE)</f>
        <v>29</v>
      </c>
    </row>
    <row r="386" spans="1:11" x14ac:dyDescent="0.3">
      <c r="A386" t="s">
        <v>4912</v>
      </c>
      <c r="B386" t="s">
        <v>4913</v>
      </c>
      <c r="C386" t="s">
        <v>2946</v>
      </c>
      <c r="D386" s="7" t="s">
        <v>5141</v>
      </c>
      <c r="E386" t="s">
        <v>104</v>
      </c>
      <c r="F386" t="s">
        <v>4903</v>
      </c>
      <c r="G386" t="s">
        <v>5142</v>
      </c>
      <c r="H386" t="s">
        <v>1</v>
      </c>
      <c r="I386" t="b">
        <f>_xlfn.XLOOKUP(F386,'Lookup List'!A:A,'Lookup List'!B:B,FALSE)</f>
        <v>0</v>
      </c>
      <c r="J386" s="10" t="str">
        <f t="shared" si="12"/>
        <v>15/07/2025</v>
      </c>
      <c r="K386">
        <f>_xlfn.XLOOKUP(J386,'Wk no''s'!D:D,'Wk no''s'!C:C,FALSE)</f>
        <v>29</v>
      </c>
    </row>
    <row r="387" spans="1:11" x14ac:dyDescent="0.3">
      <c r="A387" t="s">
        <v>5143</v>
      </c>
      <c r="B387" t="s">
        <v>5144</v>
      </c>
      <c r="C387" t="s">
        <v>4353</v>
      </c>
      <c r="D387" s="7" t="s">
        <v>5145</v>
      </c>
      <c r="E387" t="s">
        <v>370</v>
      </c>
      <c r="F387" t="s">
        <v>5131</v>
      </c>
      <c r="G387" t="s">
        <v>5146</v>
      </c>
      <c r="H387" t="s">
        <v>1</v>
      </c>
      <c r="I387" t="b">
        <f>_xlfn.XLOOKUP(F387,'Lookup List'!A:A,'Lookup List'!B:B,FALSE)</f>
        <v>0</v>
      </c>
      <c r="J387" s="10" t="str">
        <f t="shared" si="12"/>
        <v>16/07/2025</v>
      </c>
      <c r="K387">
        <f>_xlfn.XLOOKUP(J387,'Wk no''s'!D:D,'Wk no''s'!C:C,FALSE)</f>
        <v>29</v>
      </c>
    </row>
    <row r="388" spans="1:11" x14ac:dyDescent="0.3">
      <c r="A388" t="s">
        <v>5147</v>
      </c>
      <c r="B388" t="s">
        <v>5148</v>
      </c>
      <c r="C388" t="s">
        <v>3212</v>
      </c>
      <c r="D388" s="7" t="s">
        <v>5149</v>
      </c>
      <c r="E388" t="s">
        <v>159</v>
      </c>
      <c r="F388" t="s">
        <v>46</v>
      </c>
      <c r="G388" t="s">
        <v>5150</v>
      </c>
      <c r="H388" t="s">
        <v>1</v>
      </c>
      <c r="I388" t="str">
        <f>_xlfn.XLOOKUP(F388,'Lookup List'!A:A,'Lookup List'!B:B,FALSE)</f>
        <v>03 Assembly</v>
      </c>
      <c r="J388" s="10" t="str">
        <f t="shared" si="12"/>
        <v>16/07/2025</v>
      </c>
      <c r="K388">
        <f>_xlfn.XLOOKUP(J388,'Wk no''s'!D:D,'Wk no''s'!C:C,FALSE)</f>
        <v>29</v>
      </c>
    </row>
    <row r="389" spans="1:11" x14ac:dyDescent="0.3">
      <c r="A389" t="s">
        <v>5151</v>
      </c>
      <c r="B389" t="s">
        <v>5152</v>
      </c>
      <c r="C389" t="s">
        <v>5153</v>
      </c>
      <c r="D389" s="7" t="s">
        <v>5154</v>
      </c>
      <c r="E389" t="s">
        <v>68</v>
      </c>
      <c r="F389" t="s">
        <v>62</v>
      </c>
      <c r="G389" t="s">
        <v>5155</v>
      </c>
      <c r="H389" t="s">
        <v>1</v>
      </c>
      <c r="I389" t="str">
        <f>_xlfn.XLOOKUP(F389,'Lookup List'!A:A,'Lookup List'!B:B,FALSE)</f>
        <v>Customer</v>
      </c>
      <c r="J389" s="10" t="str">
        <f t="shared" si="12"/>
        <v>17/07/2025</v>
      </c>
      <c r="K389">
        <f>_xlfn.XLOOKUP(J389,'Wk no''s'!D:D,'Wk no''s'!C:C,FALSE)</f>
        <v>29</v>
      </c>
    </row>
    <row r="390" spans="1:11" x14ac:dyDescent="0.3">
      <c r="A390" t="s">
        <v>5156</v>
      </c>
      <c r="B390" t="s">
        <v>5157</v>
      </c>
      <c r="C390" t="s">
        <v>3517</v>
      </c>
      <c r="D390" s="7" t="s">
        <v>5158</v>
      </c>
      <c r="E390" t="s">
        <v>698</v>
      </c>
      <c r="F390" t="s">
        <v>4903</v>
      </c>
      <c r="G390" t="s">
        <v>5159</v>
      </c>
      <c r="H390" t="s">
        <v>1</v>
      </c>
      <c r="I390" t="b">
        <f>_xlfn.XLOOKUP(F390,'Lookup List'!A:A,'Lookup List'!B:B,FALSE)</f>
        <v>0</v>
      </c>
      <c r="J390" s="10" t="str">
        <f t="shared" si="12"/>
        <v>17/07/2025</v>
      </c>
      <c r="K390">
        <f>_xlfn.XLOOKUP(J390,'Wk no''s'!D:D,'Wk no''s'!C:C,FALSE)</f>
        <v>29</v>
      </c>
    </row>
    <row r="391" spans="1:11" x14ac:dyDescent="0.3">
      <c r="A391" t="s">
        <v>237</v>
      </c>
      <c r="B391" t="s">
        <v>236</v>
      </c>
      <c r="C391" t="s">
        <v>2288</v>
      </c>
      <c r="D391" s="7" t="s">
        <v>5160</v>
      </c>
      <c r="E391" t="s">
        <v>74</v>
      </c>
      <c r="F391" t="s">
        <v>73</v>
      </c>
      <c r="G391" t="s">
        <v>5161</v>
      </c>
      <c r="H391" t="s">
        <v>1</v>
      </c>
      <c r="I391" t="str">
        <f>_xlfn.XLOOKUP(F391,'Lookup List'!A:A,'Lookup List'!B:B,FALSE)</f>
        <v>01 SOP</v>
      </c>
      <c r="J391" s="10" t="str">
        <f t="shared" si="12"/>
        <v>18/07/2025</v>
      </c>
      <c r="K391">
        <f>_xlfn.XLOOKUP(J391,'Wk no''s'!D:D,'Wk no''s'!C:C,FALSE)</f>
        <v>29</v>
      </c>
    </row>
    <row r="392" spans="1:11" x14ac:dyDescent="0.3">
      <c r="A392" t="s">
        <v>4836</v>
      </c>
      <c r="B392" t="s">
        <v>4837</v>
      </c>
      <c r="C392" t="s">
        <v>3987</v>
      </c>
      <c r="D392" s="7" t="s">
        <v>5162</v>
      </c>
      <c r="E392" t="s">
        <v>175</v>
      </c>
      <c r="F392" t="s">
        <v>51</v>
      </c>
      <c r="G392" t="s">
        <v>5163</v>
      </c>
      <c r="H392" t="s">
        <v>1</v>
      </c>
      <c r="I392" t="str">
        <f>_xlfn.XLOOKUP(F392,'Lookup List'!A:A,'Lookup List'!B:B,FALSE)</f>
        <v>03 Shop Floor</v>
      </c>
      <c r="J392" s="10" t="str">
        <f t="shared" si="12"/>
        <v>18/07/2025</v>
      </c>
      <c r="K392">
        <f>_xlfn.XLOOKUP(J392,'Wk no''s'!D:D,'Wk no''s'!C:C,FALSE)</f>
        <v>29</v>
      </c>
    </row>
    <row r="393" spans="1:11" x14ac:dyDescent="0.3">
      <c r="A393" t="s">
        <v>5164</v>
      </c>
      <c r="B393" t="s">
        <v>5165</v>
      </c>
      <c r="C393" t="s">
        <v>4191</v>
      </c>
      <c r="D393" s="7" t="s">
        <v>5166</v>
      </c>
      <c r="E393" t="s">
        <v>138</v>
      </c>
      <c r="F393" t="s">
        <v>219</v>
      </c>
      <c r="G393" t="s">
        <v>5167</v>
      </c>
      <c r="H393" t="s">
        <v>1</v>
      </c>
      <c r="I393" t="str">
        <f>_xlfn.XLOOKUP(F393,'Lookup List'!A:A,'Lookup List'!B:B,FALSE)</f>
        <v>Warehouse</v>
      </c>
      <c r="J393" s="10" t="str">
        <f t="shared" si="12"/>
        <v>18/07/2025</v>
      </c>
      <c r="K393">
        <f>_xlfn.XLOOKUP(J393,'Wk no''s'!D:D,'Wk no''s'!C:C,FALSE)</f>
        <v>29</v>
      </c>
    </row>
    <row r="394" spans="1:11" x14ac:dyDescent="0.3">
      <c r="A394" t="s">
        <v>5168</v>
      </c>
      <c r="B394" t="s">
        <v>5169</v>
      </c>
      <c r="C394" t="s">
        <v>5170</v>
      </c>
      <c r="D394" s="7" t="s">
        <v>5171</v>
      </c>
      <c r="E394" t="s">
        <v>138</v>
      </c>
      <c r="F394" t="s">
        <v>4903</v>
      </c>
      <c r="G394" t="s">
        <v>5172</v>
      </c>
      <c r="H394" t="s">
        <v>1</v>
      </c>
      <c r="I394" t="b">
        <f>_xlfn.XLOOKUP(F394,'Lookup List'!A:A,'Lookup List'!B:B,FALSE)</f>
        <v>0</v>
      </c>
      <c r="J394" s="10" t="str">
        <f t="shared" si="12"/>
        <v>18/07/2025</v>
      </c>
      <c r="K394">
        <f>_xlfn.XLOOKUP(J394,'Wk no''s'!D:D,'Wk no''s'!C:C,FALSE)</f>
        <v>29</v>
      </c>
    </row>
    <row r="395" spans="1:11" x14ac:dyDescent="0.3">
      <c r="A395" t="s">
        <v>49</v>
      </c>
      <c r="B395" t="s">
        <v>101</v>
      </c>
      <c r="C395" t="s">
        <v>4305</v>
      </c>
      <c r="D395" s="7" t="s">
        <v>5173</v>
      </c>
      <c r="E395" t="s">
        <v>239</v>
      </c>
      <c r="F395" t="s">
        <v>4903</v>
      </c>
      <c r="G395" t="s">
        <v>5174</v>
      </c>
      <c r="H395" t="s">
        <v>4</v>
      </c>
      <c r="I395" t="b">
        <f>_xlfn.XLOOKUP(F395,'Lookup List'!A:A,'Lookup List'!B:B,FALSE)</f>
        <v>0</v>
      </c>
      <c r="J395" s="10" t="str">
        <f t="shared" si="12"/>
        <v>17/07/2025</v>
      </c>
      <c r="K395">
        <f>_xlfn.XLOOKUP(J395,'Wk no''s'!D:D,'Wk no''s'!C:C,FALSE)</f>
        <v>29</v>
      </c>
    </row>
    <row r="396" spans="1:11" x14ac:dyDescent="0.3">
      <c r="A396" t="s">
        <v>49</v>
      </c>
      <c r="B396" t="s">
        <v>5175</v>
      </c>
      <c r="C396" t="s">
        <v>5176</v>
      </c>
      <c r="D396" s="7" t="s">
        <v>5177</v>
      </c>
      <c r="E396" t="s">
        <v>47</v>
      </c>
      <c r="F396" t="s">
        <v>46</v>
      </c>
      <c r="G396" t="s">
        <v>5178</v>
      </c>
      <c r="H396" t="s">
        <v>4</v>
      </c>
      <c r="I396" t="str">
        <f>_xlfn.XLOOKUP(F396,'Lookup List'!A:A,'Lookup List'!B:B,FALSE)</f>
        <v>03 Assembly</v>
      </c>
      <c r="J396" s="10" t="str">
        <f t="shared" si="12"/>
        <v>18/07/2025</v>
      </c>
      <c r="K396">
        <f>_xlfn.XLOOKUP(J396,'Wk no''s'!D:D,'Wk no''s'!C:C,FALSE)</f>
        <v>29</v>
      </c>
    </row>
    <row r="397" spans="1:11" x14ac:dyDescent="0.3">
      <c r="A397" t="s">
        <v>49</v>
      </c>
      <c r="B397" t="s">
        <v>5175</v>
      </c>
      <c r="C397" t="s">
        <v>5176</v>
      </c>
      <c r="D397" s="7" t="s">
        <v>5179</v>
      </c>
      <c r="E397" t="s">
        <v>47</v>
      </c>
      <c r="F397" t="s">
        <v>46</v>
      </c>
      <c r="G397" t="s">
        <v>5180</v>
      </c>
      <c r="H397" t="s">
        <v>4</v>
      </c>
      <c r="I397" t="str">
        <f>_xlfn.XLOOKUP(F397,'Lookup List'!A:A,'Lookup List'!B:B,FALSE)</f>
        <v>03 Assembly</v>
      </c>
      <c r="J397" s="10" t="str">
        <f t="shared" si="12"/>
        <v>18/07/2025</v>
      </c>
      <c r="K397">
        <f>_xlfn.XLOOKUP(J397,'Wk no''s'!D:D,'Wk no''s'!C:C,FALSE)</f>
        <v>29</v>
      </c>
    </row>
    <row r="398" spans="1:11" x14ac:dyDescent="0.3">
      <c r="A398" t="s">
        <v>207</v>
      </c>
      <c r="B398" t="s">
        <v>206</v>
      </c>
      <c r="C398" t="s">
        <v>205</v>
      </c>
      <c r="D398" s="7" t="s">
        <v>5308</v>
      </c>
      <c r="E398" t="s">
        <v>138</v>
      </c>
      <c r="F398" t="s">
        <v>46</v>
      </c>
      <c r="G398" t="s">
        <v>5309</v>
      </c>
      <c r="H398" t="s">
        <v>37</v>
      </c>
      <c r="I398" t="str">
        <f>_xlfn.XLOOKUP(F398,'Lookup List'!A:A,'Lookup List'!B:B,FALSE)</f>
        <v>03 Assembly</v>
      </c>
      <c r="J398" s="10" t="str">
        <f t="shared" si="12"/>
        <v>24/07/2025</v>
      </c>
      <c r="K398">
        <f>_xlfn.XLOOKUP(J398,'Wk no''s'!D:D,'Wk no''s'!C:C,FALSE)</f>
        <v>30</v>
      </c>
    </row>
    <row r="399" spans="1:11" x14ac:dyDescent="0.3">
      <c r="A399" t="s">
        <v>207</v>
      </c>
      <c r="B399" t="s">
        <v>707</v>
      </c>
      <c r="C399" t="s">
        <v>205</v>
      </c>
      <c r="D399" s="7" t="s">
        <v>5310</v>
      </c>
      <c r="E399" t="s">
        <v>1081</v>
      </c>
      <c r="F399" t="s">
        <v>121</v>
      </c>
      <c r="G399" t="s">
        <v>5311</v>
      </c>
      <c r="H399" t="s">
        <v>37</v>
      </c>
      <c r="I399" t="str">
        <f>_xlfn.XLOOKUP(F399,'Lookup List'!A:A,'Lookup List'!B:B,FALSE)</f>
        <v>Transport</v>
      </c>
      <c r="J399" s="10" t="str">
        <f t="shared" ref="J399:J415" si="13">LEFT(G399,10)</f>
        <v>24/07/2025</v>
      </c>
      <c r="K399">
        <f>_xlfn.XLOOKUP(J399,'Wk no''s'!D:D,'Wk no''s'!C:C,FALSE)</f>
        <v>30</v>
      </c>
    </row>
    <row r="400" spans="1:11" x14ac:dyDescent="0.3">
      <c r="A400" t="s">
        <v>145</v>
      </c>
      <c r="B400" t="s">
        <v>4281</v>
      </c>
      <c r="C400" t="s">
        <v>3574</v>
      </c>
      <c r="D400" s="7" t="s">
        <v>5312</v>
      </c>
      <c r="E400" t="s">
        <v>63</v>
      </c>
      <c r="F400" t="s">
        <v>62</v>
      </c>
      <c r="G400" t="s">
        <v>5313</v>
      </c>
      <c r="H400" t="s">
        <v>1</v>
      </c>
      <c r="I400" t="str">
        <f>_xlfn.XLOOKUP(F400,'Lookup List'!A:A,'Lookup List'!B:B,FALSE)</f>
        <v>Customer</v>
      </c>
      <c r="J400" s="10" t="str">
        <f t="shared" si="13"/>
        <v>21/07/2025</v>
      </c>
      <c r="K400">
        <f>_xlfn.XLOOKUP(J400,'Wk no''s'!D:D,'Wk no''s'!C:C,FALSE)</f>
        <v>30</v>
      </c>
    </row>
    <row r="401" spans="1:11" x14ac:dyDescent="0.3">
      <c r="A401" t="s">
        <v>1141</v>
      </c>
      <c r="B401" t="s">
        <v>1142</v>
      </c>
      <c r="C401" t="s">
        <v>1895</v>
      </c>
      <c r="D401" s="7" t="s">
        <v>5314</v>
      </c>
      <c r="E401" t="s">
        <v>90</v>
      </c>
      <c r="F401" t="s">
        <v>253</v>
      </c>
      <c r="G401" t="s">
        <v>5315</v>
      </c>
      <c r="H401" t="s">
        <v>1</v>
      </c>
      <c r="I401" t="str">
        <f>_xlfn.XLOOKUP(F401,'Lookup List'!A:A,'Lookup List'!B:B,FALSE)</f>
        <v>Estimating</v>
      </c>
      <c r="J401" s="10" t="str">
        <f t="shared" si="13"/>
        <v>21/07/2025</v>
      </c>
      <c r="K401">
        <f>_xlfn.XLOOKUP(J401,'Wk no''s'!D:D,'Wk no''s'!C:C,FALSE)</f>
        <v>30</v>
      </c>
    </row>
    <row r="402" spans="1:11" x14ac:dyDescent="0.3">
      <c r="A402" t="s">
        <v>222</v>
      </c>
      <c r="B402" t="s">
        <v>221</v>
      </c>
      <c r="C402" t="s">
        <v>36</v>
      </c>
      <c r="D402" s="7" t="s">
        <v>5316</v>
      </c>
      <c r="E402" t="s">
        <v>126</v>
      </c>
      <c r="F402" t="s">
        <v>4903</v>
      </c>
      <c r="G402" t="s">
        <v>5317</v>
      </c>
      <c r="H402" t="s">
        <v>1</v>
      </c>
      <c r="I402" t="b">
        <f>_xlfn.XLOOKUP(F402,'Lookup List'!A:A,'Lookup List'!B:B,FALSE)</f>
        <v>0</v>
      </c>
      <c r="J402" s="10" t="str">
        <f t="shared" si="13"/>
        <v>21/07/2025</v>
      </c>
      <c r="K402">
        <f>_xlfn.XLOOKUP(J402,'Wk no''s'!D:D,'Wk no''s'!C:C,FALSE)</f>
        <v>30</v>
      </c>
    </row>
    <row r="403" spans="1:11" x14ac:dyDescent="0.3">
      <c r="A403" t="s">
        <v>5318</v>
      </c>
      <c r="B403" t="s">
        <v>5319</v>
      </c>
      <c r="C403" t="s">
        <v>5320</v>
      </c>
      <c r="D403" s="7" t="s">
        <v>5321</v>
      </c>
      <c r="E403" t="s">
        <v>175</v>
      </c>
      <c r="F403" t="s">
        <v>137</v>
      </c>
      <c r="G403" t="s">
        <v>5322</v>
      </c>
      <c r="H403" t="s">
        <v>1</v>
      </c>
      <c r="I403" t="str">
        <f>_xlfn.XLOOKUP(F403,'Lookup List'!A:A,'Lookup List'!B:B,FALSE)</f>
        <v>Supplier</v>
      </c>
      <c r="J403" s="10" t="str">
        <f t="shared" si="13"/>
        <v>21/07/2025</v>
      </c>
      <c r="K403">
        <f>_xlfn.XLOOKUP(J403,'Wk no''s'!D:D,'Wk no''s'!C:C,FALSE)</f>
        <v>30</v>
      </c>
    </row>
    <row r="404" spans="1:11" x14ac:dyDescent="0.3">
      <c r="A404" t="s">
        <v>4912</v>
      </c>
      <c r="B404" t="s">
        <v>4913</v>
      </c>
      <c r="C404" t="s">
        <v>692</v>
      </c>
      <c r="D404" s="7" t="s">
        <v>5323</v>
      </c>
      <c r="E404" t="s">
        <v>63</v>
      </c>
      <c r="F404" t="s">
        <v>62</v>
      </c>
      <c r="G404" t="s">
        <v>5324</v>
      </c>
      <c r="H404" t="s">
        <v>1</v>
      </c>
      <c r="I404" t="str">
        <f>_xlfn.XLOOKUP(F404,'Lookup List'!A:A,'Lookup List'!B:B,FALSE)</f>
        <v>Customer</v>
      </c>
      <c r="J404" s="10" t="str">
        <f t="shared" si="13"/>
        <v>21/07/2025</v>
      </c>
      <c r="K404">
        <f>_xlfn.XLOOKUP(J404,'Wk no''s'!D:D,'Wk no''s'!C:C,FALSE)</f>
        <v>30</v>
      </c>
    </row>
    <row r="405" spans="1:11" x14ac:dyDescent="0.3">
      <c r="A405" t="s">
        <v>5325</v>
      </c>
      <c r="B405" t="s">
        <v>5326</v>
      </c>
      <c r="C405" t="s">
        <v>1765</v>
      </c>
      <c r="D405" s="7" t="s">
        <v>5327</v>
      </c>
      <c r="E405" t="s">
        <v>74</v>
      </c>
      <c r="F405" t="s">
        <v>73</v>
      </c>
      <c r="G405" t="s">
        <v>5328</v>
      </c>
      <c r="H405" t="s">
        <v>1</v>
      </c>
      <c r="I405" t="str">
        <f>_xlfn.XLOOKUP(F405,'Lookup List'!A:A,'Lookup List'!B:B,FALSE)</f>
        <v>01 SOP</v>
      </c>
      <c r="J405" s="10" t="str">
        <f t="shared" si="13"/>
        <v>23/07/2025</v>
      </c>
      <c r="K405">
        <f>_xlfn.XLOOKUP(J405,'Wk no''s'!D:D,'Wk no''s'!C:C,FALSE)</f>
        <v>30</v>
      </c>
    </row>
    <row r="406" spans="1:11" x14ac:dyDescent="0.3">
      <c r="A406" t="s">
        <v>1141</v>
      </c>
      <c r="B406" t="s">
        <v>4865</v>
      </c>
      <c r="C406" t="s">
        <v>3981</v>
      </c>
      <c r="D406" s="7" t="s">
        <v>5329</v>
      </c>
      <c r="E406" t="s">
        <v>68</v>
      </c>
      <c r="F406" t="s">
        <v>62</v>
      </c>
      <c r="G406" t="s">
        <v>5330</v>
      </c>
      <c r="H406" t="s">
        <v>1</v>
      </c>
      <c r="I406" t="str">
        <f>_xlfn.XLOOKUP(F406,'Lookup List'!A:A,'Lookup List'!B:B,FALSE)</f>
        <v>Customer</v>
      </c>
      <c r="J406" s="10" t="str">
        <f t="shared" si="13"/>
        <v>23/07/2025</v>
      </c>
      <c r="K406">
        <f>_xlfn.XLOOKUP(J406,'Wk no''s'!D:D,'Wk no''s'!C:C,FALSE)</f>
        <v>30</v>
      </c>
    </row>
    <row r="407" spans="1:11" x14ac:dyDescent="0.3">
      <c r="A407" t="s">
        <v>5331</v>
      </c>
      <c r="B407" t="s">
        <v>5332</v>
      </c>
      <c r="C407" t="s">
        <v>2918</v>
      </c>
      <c r="D407" s="7" t="s">
        <v>5333</v>
      </c>
      <c r="E407" t="s">
        <v>74</v>
      </c>
      <c r="F407" t="s">
        <v>73</v>
      </c>
      <c r="G407" t="s">
        <v>5334</v>
      </c>
      <c r="H407" t="s">
        <v>1</v>
      </c>
      <c r="I407" t="str">
        <f>_xlfn.XLOOKUP(F407,'Lookup List'!A:A,'Lookup List'!B:B,FALSE)</f>
        <v>01 SOP</v>
      </c>
      <c r="J407" s="10" t="str">
        <f t="shared" si="13"/>
        <v>23/07/2025</v>
      </c>
      <c r="K407">
        <f>_xlfn.XLOOKUP(J407,'Wk no''s'!D:D,'Wk no''s'!C:C,FALSE)</f>
        <v>30</v>
      </c>
    </row>
    <row r="408" spans="1:11" x14ac:dyDescent="0.3">
      <c r="A408" t="s">
        <v>4912</v>
      </c>
      <c r="B408" t="s">
        <v>4913</v>
      </c>
      <c r="C408" t="s">
        <v>2946</v>
      </c>
      <c r="D408" s="7" t="s">
        <v>5335</v>
      </c>
      <c r="E408" t="s">
        <v>733</v>
      </c>
      <c r="F408" t="s">
        <v>4903</v>
      </c>
      <c r="G408" t="s">
        <v>5336</v>
      </c>
      <c r="H408" t="s">
        <v>1</v>
      </c>
      <c r="I408" t="b">
        <f>_xlfn.XLOOKUP(F408,'Lookup List'!A:A,'Lookup List'!B:B,FALSE)</f>
        <v>0</v>
      </c>
      <c r="J408" s="10" t="str">
        <f t="shared" si="13"/>
        <v>23/07/2025</v>
      </c>
      <c r="K408">
        <f>_xlfn.XLOOKUP(J408,'Wk no''s'!D:D,'Wk no''s'!C:C,FALSE)</f>
        <v>30</v>
      </c>
    </row>
    <row r="409" spans="1:11" x14ac:dyDescent="0.3">
      <c r="A409" t="s">
        <v>5337</v>
      </c>
      <c r="B409" t="s">
        <v>5338</v>
      </c>
      <c r="C409" t="s">
        <v>2291</v>
      </c>
      <c r="D409" s="7" t="s">
        <v>5339</v>
      </c>
      <c r="E409" t="s">
        <v>68</v>
      </c>
      <c r="F409" t="s">
        <v>62</v>
      </c>
      <c r="G409" t="s">
        <v>5340</v>
      </c>
      <c r="H409" t="s">
        <v>1</v>
      </c>
      <c r="I409" t="str">
        <f>_xlfn.XLOOKUP(F409,'Lookup List'!A:A,'Lookup List'!B:B,FALSE)</f>
        <v>Customer</v>
      </c>
      <c r="J409" s="10" t="str">
        <f t="shared" si="13"/>
        <v>23/07/2025</v>
      </c>
      <c r="K409">
        <f>_xlfn.XLOOKUP(J409,'Wk no''s'!D:D,'Wk no''s'!C:C,FALSE)</f>
        <v>30</v>
      </c>
    </row>
    <row r="410" spans="1:11" x14ac:dyDescent="0.3">
      <c r="A410" t="s">
        <v>793</v>
      </c>
      <c r="B410" t="s">
        <v>5341</v>
      </c>
      <c r="C410" t="s">
        <v>5342</v>
      </c>
      <c r="D410" s="7" t="s">
        <v>5343</v>
      </c>
      <c r="E410" t="s">
        <v>74</v>
      </c>
      <c r="F410" t="s">
        <v>73</v>
      </c>
      <c r="G410" t="s">
        <v>5344</v>
      </c>
      <c r="H410" t="s">
        <v>1</v>
      </c>
      <c r="I410" t="str">
        <f>_xlfn.XLOOKUP(F410,'Lookup List'!A:A,'Lookup List'!B:B,FALSE)</f>
        <v>01 SOP</v>
      </c>
      <c r="J410" s="10" t="str">
        <f t="shared" si="13"/>
        <v>23/07/2025</v>
      </c>
      <c r="K410">
        <f>_xlfn.XLOOKUP(J410,'Wk no''s'!D:D,'Wk no''s'!C:C,FALSE)</f>
        <v>30</v>
      </c>
    </row>
    <row r="411" spans="1:11" x14ac:dyDescent="0.3">
      <c r="A411" t="s">
        <v>5345</v>
      </c>
      <c r="B411" t="s">
        <v>5346</v>
      </c>
      <c r="C411" t="s">
        <v>5347</v>
      </c>
      <c r="D411" s="7" t="s">
        <v>5348</v>
      </c>
      <c r="E411" t="s">
        <v>545</v>
      </c>
      <c r="F411" t="s">
        <v>219</v>
      </c>
      <c r="G411" t="s">
        <v>5349</v>
      </c>
      <c r="H411" t="s">
        <v>1</v>
      </c>
      <c r="I411" t="str">
        <f>_xlfn.XLOOKUP(F411,'Lookup List'!A:A,'Lookup List'!B:B,FALSE)</f>
        <v>Warehouse</v>
      </c>
      <c r="J411" s="10" t="str">
        <f t="shared" si="13"/>
        <v>25/07/2025</v>
      </c>
      <c r="K411">
        <f>_xlfn.XLOOKUP(J411,'Wk no''s'!D:D,'Wk no''s'!C:C,FALSE)</f>
        <v>30</v>
      </c>
    </row>
    <row r="412" spans="1:11" x14ac:dyDescent="0.3">
      <c r="A412" t="s">
        <v>49</v>
      </c>
      <c r="B412" t="s">
        <v>48</v>
      </c>
      <c r="C412" t="s">
        <v>5350</v>
      </c>
      <c r="D412" s="7" t="s">
        <v>5351</v>
      </c>
      <c r="E412" t="s">
        <v>47</v>
      </c>
      <c r="F412" t="s">
        <v>62</v>
      </c>
      <c r="G412" t="s">
        <v>5352</v>
      </c>
      <c r="H412" t="s">
        <v>4</v>
      </c>
      <c r="I412" t="str">
        <f>_xlfn.XLOOKUP(F412,'Lookup List'!A:A,'Lookup List'!B:B,FALSE)</f>
        <v>Customer</v>
      </c>
      <c r="J412" s="10" t="str">
        <f t="shared" si="13"/>
        <v>25/07/2025</v>
      </c>
      <c r="K412">
        <f>_xlfn.XLOOKUP(J412,'Wk no''s'!D:D,'Wk no''s'!C:C,FALSE)</f>
        <v>30</v>
      </c>
    </row>
    <row r="413" spans="1:11" x14ac:dyDescent="0.3">
      <c r="A413" t="s">
        <v>5464</v>
      </c>
      <c r="B413" t="s">
        <v>5465</v>
      </c>
      <c r="C413" t="s">
        <v>4227</v>
      </c>
      <c r="D413" s="7" t="s">
        <v>5466</v>
      </c>
      <c r="E413" t="s">
        <v>159</v>
      </c>
      <c r="F413" t="s">
        <v>5307</v>
      </c>
      <c r="G413" t="s">
        <v>5467</v>
      </c>
      <c r="H413" t="s">
        <v>1</v>
      </c>
      <c r="I413" t="b">
        <f>_xlfn.XLOOKUP(F413,'Lookup List'!A:A,'Lookup List'!B:B,FALSE)</f>
        <v>0</v>
      </c>
      <c r="J413" s="10" t="str">
        <f t="shared" si="13"/>
        <v>28/07/2025</v>
      </c>
      <c r="K413">
        <f>_xlfn.XLOOKUP(J413,'Wk no''s'!D:D,'Wk no''s'!C:C,FALSE)</f>
        <v>31</v>
      </c>
    </row>
    <row r="414" spans="1:11" x14ac:dyDescent="0.3">
      <c r="A414" t="s">
        <v>5468</v>
      </c>
      <c r="B414" t="s">
        <v>5469</v>
      </c>
      <c r="C414" t="s">
        <v>692</v>
      </c>
      <c r="D414" s="7" t="s">
        <v>5470</v>
      </c>
      <c r="E414" t="s">
        <v>370</v>
      </c>
      <c r="F414" t="s">
        <v>156</v>
      </c>
      <c r="G414" t="s">
        <v>5471</v>
      </c>
      <c r="H414" t="s">
        <v>1</v>
      </c>
      <c r="I414" t="str">
        <f>_xlfn.XLOOKUP(F414,'Lookup List'!A:A,'Lookup List'!B:B,FALSE)</f>
        <v>02 Product Design</v>
      </c>
      <c r="J414" s="10" t="str">
        <f t="shared" si="13"/>
        <v>28/07/2025</v>
      </c>
      <c r="K414">
        <f>_xlfn.XLOOKUP(J414,'Wk no''s'!D:D,'Wk no''s'!C:C,FALSE)</f>
        <v>31</v>
      </c>
    </row>
    <row r="415" spans="1:11" x14ac:dyDescent="0.3">
      <c r="A415" t="s">
        <v>503</v>
      </c>
      <c r="B415" t="s">
        <v>502</v>
      </c>
      <c r="C415" t="s">
        <v>4386</v>
      </c>
      <c r="D415" s="7" t="s">
        <v>5472</v>
      </c>
      <c r="E415" t="s">
        <v>239</v>
      </c>
      <c r="F415" t="s">
        <v>4903</v>
      </c>
      <c r="G415" t="s">
        <v>5473</v>
      </c>
      <c r="H415" t="s">
        <v>1</v>
      </c>
      <c r="I415" t="b">
        <f>_xlfn.XLOOKUP(F415,'Lookup List'!A:A,'Lookup List'!B:B,FALSE)</f>
        <v>0</v>
      </c>
      <c r="J415" s="10" t="str">
        <f t="shared" si="13"/>
        <v>28/07/2025</v>
      </c>
      <c r="K415">
        <f>_xlfn.XLOOKUP(J415,'Wk no''s'!D:D,'Wk no''s'!C:C,FALSE)</f>
        <v>31</v>
      </c>
    </row>
    <row r="416" spans="1:11" x14ac:dyDescent="0.3">
      <c r="A416" t="s">
        <v>5464</v>
      </c>
      <c r="B416" t="s">
        <v>5465</v>
      </c>
      <c r="C416" t="s">
        <v>4227</v>
      </c>
      <c r="D416" s="7" t="s">
        <v>5474</v>
      </c>
      <c r="E416" t="s">
        <v>52</v>
      </c>
      <c r="F416" t="s">
        <v>219</v>
      </c>
      <c r="G416" t="s">
        <v>5475</v>
      </c>
      <c r="H416" t="s">
        <v>1</v>
      </c>
      <c r="I416" t="str">
        <f>_xlfn.XLOOKUP(F416,'Lookup List'!A:A,'Lookup List'!B:B,FALSE)</f>
        <v>Warehouse</v>
      </c>
      <c r="J416" s="10" t="str">
        <f t="shared" ref="J416:J422" si="14">LEFT(G416,10)</f>
        <v>31/07/2025</v>
      </c>
      <c r="K416">
        <f>_xlfn.XLOOKUP(J416,'Wk no''s'!D:D,'Wk no''s'!C:C,FALSE)</f>
        <v>31</v>
      </c>
    </row>
    <row r="417" spans="1:11" x14ac:dyDescent="0.3">
      <c r="A417" t="s">
        <v>296</v>
      </c>
      <c r="B417" t="s">
        <v>295</v>
      </c>
      <c r="C417" t="s">
        <v>5476</v>
      </c>
      <c r="D417" s="7" t="s">
        <v>5477</v>
      </c>
      <c r="E417" t="s">
        <v>138</v>
      </c>
      <c r="F417" t="s">
        <v>51</v>
      </c>
      <c r="G417" t="s">
        <v>5478</v>
      </c>
      <c r="H417" t="s">
        <v>1</v>
      </c>
      <c r="I417" t="str">
        <f>_xlfn.XLOOKUP(F417,'Lookup List'!A:A,'Lookup List'!B:B,FALSE)</f>
        <v>03 Shop Floor</v>
      </c>
      <c r="J417" s="10" t="str">
        <f t="shared" si="14"/>
        <v>31/07/2025</v>
      </c>
      <c r="K417">
        <f>_xlfn.XLOOKUP(J417,'Wk no''s'!D:D,'Wk no''s'!C:C,FALSE)</f>
        <v>31</v>
      </c>
    </row>
    <row r="418" spans="1:11" x14ac:dyDescent="0.3">
      <c r="A418" t="s">
        <v>162</v>
      </c>
      <c r="B418" t="s">
        <v>5479</v>
      </c>
      <c r="C418" t="s">
        <v>550</v>
      </c>
      <c r="D418" s="7" t="s">
        <v>5480</v>
      </c>
      <c r="E418" t="s">
        <v>138</v>
      </c>
      <c r="F418" t="s">
        <v>121</v>
      </c>
      <c r="G418" t="s">
        <v>5481</v>
      </c>
      <c r="H418" t="s">
        <v>1</v>
      </c>
      <c r="I418" t="str">
        <f>_xlfn.XLOOKUP(F418,'Lookup List'!A:A,'Lookup List'!B:B,FALSE)</f>
        <v>Transport</v>
      </c>
      <c r="J418" s="10" t="str">
        <f t="shared" si="14"/>
        <v>31/07/2025</v>
      </c>
      <c r="K418">
        <f>_xlfn.XLOOKUP(J418,'Wk no''s'!D:D,'Wk no''s'!C:C,FALSE)</f>
        <v>31</v>
      </c>
    </row>
    <row r="419" spans="1:11" x14ac:dyDescent="0.3">
      <c r="A419" t="s">
        <v>377</v>
      </c>
      <c r="B419" t="s">
        <v>5482</v>
      </c>
      <c r="C419" t="s">
        <v>3708</v>
      </c>
      <c r="D419" s="7" t="s">
        <v>5483</v>
      </c>
      <c r="E419" t="s">
        <v>733</v>
      </c>
      <c r="F419" t="s">
        <v>62</v>
      </c>
      <c r="G419" t="s">
        <v>5484</v>
      </c>
      <c r="H419" t="s">
        <v>1</v>
      </c>
      <c r="I419" t="str">
        <f>_xlfn.XLOOKUP(F419,'Lookup List'!A:A,'Lookup List'!B:B,FALSE)</f>
        <v>Customer</v>
      </c>
      <c r="J419" s="10" t="str">
        <f t="shared" si="14"/>
        <v>01/08/2025</v>
      </c>
      <c r="K419">
        <f>_xlfn.XLOOKUP(J419,'Wk no''s'!D:D,'Wk no''s'!C:C,FALSE)</f>
        <v>31</v>
      </c>
    </row>
    <row r="420" spans="1:11" x14ac:dyDescent="0.3">
      <c r="A420" t="s">
        <v>5485</v>
      </c>
      <c r="B420" t="s">
        <v>5486</v>
      </c>
      <c r="C420" t="s">
        <v>4970</v>
      </c>
      <c r="D420" s="7" t="s">
        <v>5487</v>
      </c>
      <c r="E420" t="s">
        <v>159</v>
      </c>
      <c r="F420" t="s">
        <v>4903</v>
      </c>
      <c r="G420" t="s">
        <v>5488</v>
      </c>
      <c r="H420" t="s">
        <v>1</v>
      </c>
      <c r="I420" t="b">
        <f>_xlfn.XLOOKUP(F420,'Lookup List'!A:A,'Lookup List'!B:B,FALSE)</f>
        <v>0</v>
      </c>
      <c r="J420" s="10" t="str">
        <f t="shared" si="14"/>
        <v>01/08/2025</v>
      </c>
      <c r="K420">
        <f>_xlfn.XLOOKUP(J420,'Wk no''s'!D:D,'Wk no''s'!C:C,FALSE)</f>
        <v>31</v>
      </c>
    </row>
    <row r="421" spans="1:11" x14ac:dyDescent="0.3">
      <c r="A421" t="s">
        <v>5489</v>
      </c>
      <c r="B421" t="s">
        <v>5490</v>
      </c>
      <c r="C421" t="s">
        <v>2908</v>
      </c>
      <c r="D421" s="7" t="s">
        <v>5491</v>
      </c>
      <c r="E421" t="s">
        <v>138</v>
      </c>
      <c r="F421" t="s">
        <v>121</v>
      </c>
      <c r="G421" t="s">
        <v>5492</v>
      </c>
      <c r="H421" t="s">
        <v>1</v>
      </c>
      <c r="I421" t="str">
        <f>_xlfn.XLOOKUP(F421,'Lookup List'!A:A,'Lookup List'!B:B,FALSE)</f>
        <v>Transport</v>
      </c>
      <c r="J421" s="10" t="str">
        <f t="shared" si="14"/>
        <v>01/08/2025</v>
      </c>
      <c r="K421">
        <f>_xlfn.XLOOKUP(J421,'Wk no''s'!D:D,'Wk no''s'!C:C,FALSE)</f>
        <v>31</v>
      </c>
    </row>
    <row r="422" spans="1:11" x14ac:dyDescent="0.3">
      <c r="A422" t="s">
        <v>5609</v>
      </c>
      <c r="B422" t="s">
        <v>5610</v>
      </c>
      <c r="C422" t="s">
        <v>4100</v>
      </c>
      <c r="D422" s="7" t="s">
        <v>5611</v>
      </c>
      <c r="E422" t="s">
        <v>1081</v>
      </c>
      <c r="F422" t="s">
        <v>100</v>
      </c>
      <c r="G422" t="s">
        <v>5612</v>
      </c>
      <c r="H422" t="s">
        <v>9</v>
      </c>
      <c r="I422" t="str">
        <f>_xlfn.XLOOKUP(F422,'Lookup List'!A:A,'Lookup List'!B:B,FALSE)</f>
        <v>02 Product Design</v>
      </c>
      <c r="J422" s="10" t="str">
        <f t="shared" si="14"/>
        <v>07/08/2025</v>
      </c>
      <c r="K422">
        <f>_xlfn.XLOOKUP(J422,'Wk no''s'!D:D,'Wk no''s'!C:C,FALSE)</f>
        <v>32</v>
      </c>
    </row>
    <row r="423" spans="1:11" x14ac:dyDescent="0.3">
      <c r="A423" t="s">
        <v>207</v>
      </c>
      <c r="B423" t="s">
        <v>206</v>
      </c>
      <c r="C423" t="s">
        <v>205</v>
      </c>
      <c r="D423" s="7" t="s">
        <v>5613</v>
      </c>
      <c r="E423" t="s">
        <v>138</v>
      </c>
      <c r="F423" t="s">
        <v>137</v>
      </c>
      <c r="G423" t="s">
        <v>5614</v>
      </c>
      <c r="H423" t="s">
        <v>37</v>
      </c>
      <c r="I423" t="str">
        <f>_xlfn.XLOOKUP(F423,'Lookup List'!A:A,'Lookup List'!B:B,FALSE)</f>
        <v>Supplier</v>
      </c>
      <c r="J423" s="10" t="str">
        <f t="shared" ref="J423:J437" si="15">LEFT(G423,10)</f>
        <v>04/08/2025</v>
      </c>
      <c r="K423">
        <f>_xlfn.XLOOKUP(J423,'Wk no''s'!D:D,'Wk no''s'!C:C,FALSE)</f>
        <v>32</v>
      </c>
    </row>
    <row r="424" spans="1:11" x14ac:dyDescent="0.3">
      <c r="A424" t="s">
        <v>207</v>
      </c>
      <c r="B424" t="s">
        <v>494</v>
      </c>
      <c r="C424" t="s">
        <v>493</v>
      </c>
      <c r="D424" s="7" t="s">
        <v>5615</v>
      </c>
      <c r="E424" t="s">
        <v>698</v>
      </c>
      <c r="F424" t="s">
        <v>46</v>
      </c>
      <c r="G424" t="s">
        <v>5616</v>
      </c>
      <c r="H424" t="s">
        <v>37</v>
      </c>
      <c r="I424" t="str">
        <f>_xlfn.XLOOKUP(F424,'Lookup List'!A:A,'Lookup List'!B:B,FALSE)</f>
        <v>03 Assembly</v>
      </c>
      <c r="J424" s="10" t="str">
        <f t="shared" si="15"/>
        <v>05/08/2025</v>
      </c>
      <c r="K424">
        <f>_xlfn.XLOOKUP(J424,'Wk no''s'!D:D,'Wk no''s'!C:C,FALSE)</f>
        <v>32</v>
      </c>
    </row>
    <row r="425" spans="1:11" x14ac:dyDescent="0.3">
      <c r="A425" t="s">
        <v>5617</v>
      </c>
      <c r="B425" t="s">
        <v>5618</v>
      </c>
      <c r="C425" t="s">
        <v>4944</v>
      </c>
      <c r="D425" s="7" t="s">
        <v>5619</v>
      </c>
      <c r="E425" t="s">
        <v>90</v>
      </c>
      <c r="F425" t="s">
        <v>89</v>
      </c>
      <c r="G425" t="s">
        <v>5620</v>
      </c>
      <c r="H425" t="s">
        <v>1</v>
      </c>
      <c r="I425" t="str">
        <f>_xlfn.XLOOKUP(F425,'Lookup List'!A:A,'Lookup List'!B:B,FALSE)</f>
        <v>Salesforce</v>
      </c>
      <c r="J425" s="10" t="str">
        <f t="shared" si="15"/>
        <v>04/08/2025</v>
      </c>
      <c r="K425">
        <f>_xlfn.XLOOKUP(J425,'Wk no''s'!D:D,'Wk no''s'!C:C,FALSE)</f>
        <v>32</v>
      </c>
    </row>
    <row r="426" spans="1:11" x14ac:dyDescent="0.3">
      <c r="A426" t="s">
        <v>555</v>
      </c>
      <c r="B426" t="s">
        <v>5621</v>
      </c>
      <c r="C426" t="s">
        <v>2</v>
      </c>
      <c r="D426" s="7" t="s">
        <v>5622</v>
      </c>
      <c r="E426" t="s">
        <v>5997</v>
      </c>
      <c r="F426" t="s">
        <v>89</v>
      </c>
      <c r="G426" t="s">
        <v>5623</v>
      </c>
      <c r="H426" t="s">
        <v>1</v>
      </c>
      <c r="I426" t="str">
        <f>_xlfn.XLOOKUP(F426,'Lookup List'!A:A,'Lookup List'!B:B,FALSE)</f>
        <v>Salesforce</v>
      </c>
      <c r="J426" s="10" t="str">
        <f t="shared" si="15"/>
        <v>04/08/2025</v>
      </c>
      <c r="K426">
        <f>_xlfn.XLOOKUP(J426,'Wk no''s'!D:D,'Wk no''s'!C:C,FALSE)</f>
        <v>32</v>
      </c>
    </row>
    <row r="427" spans="1:11" x14ac:dyDescent="0.3">
      <c r="A427" t="s">
        <v>256</v>
      </c>
      <c r="B427" t="s">
        <v>5624</v>
      </c>
      <c r="C427" t="s">
        <v>4255</v>
      </c>
      <c r="D427" s="7" t="s">
        <v>5625</v>
      </c>
      <c r="E427" t="s">
        <v>1081</v>
      </c>
      <c r="F427" t="s">
        <v>121</v>
      </c>
      <c r="G427" t="s">
        <v>5626</v>
      </c>
      <c r="H427" t="s">
        <v>1</v>
      </c>
      <c r="I427" t="str">
        <f>_xlfn.XLOOKUP(F427,'Lookup List'!A:A,'Lookup List'!B:B,FALSE)</f>
        <v>Transport</v>
      </c>
      <c r="J427" s="10" t="str">
        <f t="shared" si="15"/>
        <v>04/08/2025</v>
      </c>
      <c r="K427">
        <f>_xlfn.XLOOKUP(J427,'Wk no''s'!D:D,'Wk no''s'!C:C,FALSE)</f>
        <v>32</v>
      </c>
    </row>
    <row r="428" spans="1:11" x14ac:dyDescent="0.3">
      <c r="A428" t="s">
        <v>275</v>
      </c>
      <c r="B428" t="s">
        <v>5627</v>
      </c>
      <c r="C428" t="s">
        <v>4247</v>
      </c>
      <c r="D428" s="7" t="s">
        <v>5628</v>
      </c>
      <c r="E428" t="s">
        <v>68</v>
      </c>
      <c r="F428" t="s">
        <v>62</v>
      </c>
      <c r="G428" t="s">
        <v>5629</v>
      </c>
      <c r="H428" t="s">
        <v>1</v>
      </c>
      <c r="I428" t="str">
        <f>_xlfn.XLOOKUP(F428,'Lookup List'!A:A,'Lookup List'!B:B,FALSE)</f>
        <v>Customer</v>
      </c>
      <c r="J428" s="10" t="str">
        <f t="shared" si="15"/>
        <v>05/08/2025</v>
      </c>
      <c r="K428">
        <f>_xlfn.XLOOKUP(J428,'Wk no''s'!D:D,'Wk no''s'!C:C,FALSE)</f>
        <v>32</v>
      </c>
    </row>
    <row r="429" spans="1:11" x14ac:dyDescent="0.3">
      <c r="A429" t="s">
        <v>5168</v>
      </c>
      <c r="B429" t="s">
        <v>5169</v>
      </c>
      <c r="C429" t="s">
        <v>5170</v>
      </c>
      <c r="D429" s="7" t="s">
        <v>5630</v>
      </c>
      <c r="E429" t="s">
        <v>733</v>
      </c>
      <c r="F429" t="s">
        <v>62</v>
      </c>
      <c r="G429" t="s">
        <v>5631</v>
      </c>
      <c r="H429" t="s">
        <v>1</v>
      </c>
      <c r="I429" t="str">
        <f>_xlfn.XLOOKUP(F429,'Lookup List'!A:A,'Lookup List'!B:B,FALSE)</f>
        <v>Customer</v>
      </c>
      <c r="J429" s="10" t="str">
        <f t="shared" si="15"/>
        <v>06/08/2025</v>
      </c>
      <c r="K429">
        <f>_xlfn.XLOOKUP(J429,'Wk no''s'!D:D,'Wk no''s'!C:C,FALSE)</f>
        <v>32</v>
      </c>
    </row>
    <row r="430" spans="1:11" x14ac:dyDescent="0.3">
      <c r="A430" t="s">
        <v>5632</v>
      </c>
      <c r="B430" t="s">
        <v>5633</v>
      </c>
      <c r="C430" t="s">
        <v>3294</v>
      </c>
      <c r="D430" s="7" t="s">
        <v>5634</v>
      </c>
      <c r="E430" t="s">
        <v>175</v>
      </c>
      <c r="F430" t="s">
        <v>137</v>
      </c>
      <c r="G430" t="s">
        <v>5635</v>
      </c>
      <c r="H430" t="s">
        <v>1</v>
      </c>
      <c r="I430" t="str">
        <f>_xlfn.XLOOKUP(F430,'Lookup List'!A:A,'Lookup List'!B:B,FALSE)</f>
        <v>Supplier</v>
      </c>
      <c r="J430" s="10" t="str">
        <f t="shared" si="15"/>
        <v>07/08/2025</v>
      </c>
      <c r="K430">
        <f>_xlfn.XLOOKUP(J430,'Wk no''s'!D:D,'Wk no''s'!C:C,FALSE)</f>
        <v>32</v>
      </c>
    </row>
    <row r="431" spans="1:11" x14ac:dyDescent="0.3">
      <c r="A431" t="s">
        <v>5636</v>
      </c>
      <c r="B431" t="s">
        <v>5637</v>
      </c>
      <c r="C431" t="s">
        <v>4621</v>
      </c>
      <c r="D431" s="7" t="s">
        <v>5638</v>
      </c>
      <c r="E431" t="s">
        <v>90</v>
      </c>
      <c r="F431" t="s">
        <v>89</v>
      </c>
      <c r="G431" t="s">
        <v>5639</v>
      </c>
      <c r="H431" t="s">
        <v>1</v>
      </c>
      <c r="I431" t="str">
        <f>_xlfn.XLOOKUP(F431,'Lookup List'!A:A,'Lookup List'!B:B,FALSE)</f>
        <v>Salesforce</v>
      </c>
      <c r="J431" s="10" t="str">
        <f t="shared" si="15"/>
        <v>07/08/2025</v>
      </c>
      <c r="K431">
        <f>_xlfn.XLOOKUP(J431,'Wk no''s'!D:D,'Wk no''s'!C:C,FALSE)</f>
        <v>32</v>
      </c>
    </row>
    <row r="432" spans="1:11" x14ac:dyDescent="0.3">
      <c r="A432" t="s">
        <v>5640</v>
      </c>
      <c r="B432" t="s">
        <v>5641</v>
      </c>
      <c r="C432" t="s">
        <v>3122</v>
      </c>
      <c r="D432" s="7" t="s">
        <v>5642</v>
      </c>
      <c r="E432" t="s">
        <v>239</v>
      </c>
      <c r="F432" t="s">
        <v>121</v>
      </c>
      <c r="G432" t="s">
        <v>5643</v>
      </c>
      <c r="H432" t="s">
        <v>1</v>
      </c>
      <c r="I432" t="str">
        <f>_xlfn.XLOOKUP(F432,'Lookup List'!A:A,'Lookup List'!B:B,FALSE)</f>
        <v>Transport</v>
      </c>
      <c r="J432" s="10" t="str">
        <f t="shared" si="15"/>
        <v>08/08/2025</v>
      </c>
      <c r="K432">
        <f>_xlfn.XLOOKUP(J432,'Wk no''s'!D:D,'Wk no''s'!C:C,FALSE)</f>
        <v>32</v>
      </c>
    </row>
    <row r="433" spans="1:11" x14ac:dyDescent="0.3">
      <c r="A433" t="s">
        <v>317</v>
      </c>
      <c r="B433" t="s">
        <v>316</v>
      </c>
      <c r="C433" t="s">
        <v>315</v>
      </c>
      <c r="D433" s="7" t="s">
        <v>5644</v>
      </c>
      <c r="E433" t="s">
        <v>122</v>
      </c>
      <c r="F433" t="s">
        <v>177</v>
      </c>
      <c r="G433" t="s">
        <v>5645</v>
      </c>
      <c r="H433" t="s">
        <v>1</v>
      </c>
      <c r="I433" t="str">
        <f>_xlfn.XLOOKUP(F433,'Lookup List'!A:A,'Lookup List'!B:B,FALSE)</f>
        <v>External Courier</v>
      </c>
      <c r="J433" s="10" t="str">
        <f t="shared" si="15"/>
        <v>08/08/2025</v>
      </c>
      <c r="K433">
        <f>_xlfn.XLOOKUP(J433,'Wk no''s'!D:D,'Wk no''s'!C:C,FALSE)</f>
        <v>32</v>
      </c>
    </row>
    <row r="434" spans="1:11" x14ac:dyDescent="0.3">
      <c r="A434" t="s">
        <v>796</v>
      </c>
      <c r="B434" t="s">
        <v>797</v>
      </c>
      <c r="C434" t="s">
        <v>1154</v>
      </c>
      <c r="D434" s="7" t="s">
        <v>5646</v>
      </c>
      <c r="E434" t="s">
        <v>74</v>
      </c>
      <c r="F434" t="s">
        <v>73</v>
      </c>
      <c r="G434" t="s">
        <v>5647</v>
      </c>
      <c r="H434" t="s">
        <v>1</v>
      </c>
      <c r="I434" t="str">
        <f>_xlfn.XLOOKUP(F434,'Lookup List'!A:A,'Lookup List'!B:B,FALSE)</f>
        <v>01 SOP</v>
      </c>
      <c r="J434" s="10" t="str">
        <f t="shared" si="15"/>
        <v>08/08/2025</v>
      </c>
      <c r="K434">
        <f>_xlfn.XLOOKUP(J434,'Wk no''s'!D:D,'Wk no''s'!C:C,FALSE)</f>
        <v>32</v>
      </c>
    </row>
    <row r="435" spans="1:11" x14ac:dyDescent="0.3">
      <c r="A435" t="s">
        <v>49</v>
      </c>
      <c r="B435" t="s">
        <v>101</v>
      </c>
      <c r="C435" t="s">
        <v>4305</v>
      </c>
      <c r="D435" s="7" t="s">
        <v>5648</v>
      </c>
      <c r="E435" t="s">
        <v>47</v>
      </c>
      <c r="F435" t="s">
        <v>156</v>
      </c>
      <c r="G435" t="s">
        <v>5649</v>
      </c>
      <c r="H435" t="s">
        <v>4</v>
      </c>
      <c r="I435" t="str">
        <f>_xlfn.XLOOKUP(F435,'Lookup List'!A:A,'Lookup List'!B:B,FALSE)</f>
        <v>02 Product Design</v>
      </c>
      <c r="J435" s="10" t="str">
        <f t="shared" si="15"/>
        <v>04/08/2025</v>
      </c>
      <c r="K435">
        <f>_xlfn.XLOOKUP(J435,'Wk no''s'!D:D,'Wk no''s'!C:C,FALSE)</f>
        <v>32</v>
      </c>
    </row>
    <row r="436" spans="1:11" x14ac:dyDescent="0.3">
      <c r="A436" t="s">
        <v>49</v>
      </c>
      <c r="B436" t="s">
        <v>5650</v>
      </c>
      <c r="C436" t="s">
        <v>5350</v>
      </c>
      <c r="D436" s="7" t="s">
        <v>5651</v>
      </c>
      <c r="E436" t="s">
        <v>138</v>
      </c>
      <c r="F436" t="s">
        <v>5759</v>
      </c>
      <c r="G436" t="s">
        <v>5652</v>
      </c>
      <c r="H436" t="s">
        <v>4</v>
      </c>
      <c r="I436" t="b">
        <f>_xlfn.XLOOKUP(F436,'Lookup List'!A:A,'Lookup List'!B:B,FALSE)</f>
        <v>0</v>
      </c>
      <c r="J436" s="10" t="str">
        <f t="shared" si="15"/>
        <v>07/08/2025</v>
      </c>
      <c r="K436">
        <f>_xlfn.XLOOKUP(J436,'Wk no''s'!D:D,'Wk no''s'!C:C,FALSE)</f>
        <v>32</v>
      </c>
    </row>
    <row r="437" spans="1:11" x14ac:dyDescent="0.3">
      <c r="A437" t="s">
        <v>430</v>
      </c>
      <c r="B437" t="s">
        <v>623</v>
      </c>
      <c r="C437" t="s">
        <v>7</v>
      </c>
      <c r="D437" s="7" t="s">
        <v>5760</v>
      </c>
      <c r="E437" t="s">
        <v>138</v>
      </c>
      <c r="F437" t="s">
        <v>5307</v>
      </c>
      <c r="G437" t="s">
        <v>5761</v>
      </c>
      <c r="H437" t="s">
        <v>0</v>
      </c>
      <c r="I437" t="b">
        <f>_xlfn.XLOOKUP(F437,'Lookup List'!A:A,'Lookup List'!B:B,FALSE)</f>
        <v>0</v>
      </c>
      <c r="J437" s="10" t="str">
        <f t="shared" si="15"/>
        <v>15/08/2025</v>
      </c>
      <c r="K437">
        <f>_xlfn.XLOOKUP(J437,'Wk no''s'!D:D,'Wk no''s'!C:C,FALSE)</f>
        <v>33</v>
      </c>
    </row>
    <row r="438" spans="1:11" x14ac:dyDescent="0.3">
      <c r="A438" t="s">
        <v>716</v>
      </c>
      <c r="B438" t="s">
        <v>715</v>
      </c>
      <c r="C438" t="s">
        <v>714</v>
      </c>
      <c r="D438" s="7" t="s">
        <v>5762</v>
      </c>
      <c r="E438" t="s">
        <v>239</v>
      </c>
      <c r="F438" t="s">
        <v>219</v>
      </c>
      <c r="G438" t="s">
        <v>5763</v>
      </c>
      <c r="H438" t="s">
        <v>93</v>
      </c>
      <c r="I438" t="str">
        <f>_xlfn.XLOOKUP(F438,'Lookup List'!A:A,'Lookup List'!B:B,FALSE)</f>
        <v>Warehouse</v>
      </c>
      <c r="J438" s="10" t="str">
        <f t="shared" ref="J438:J447" si="16">LEFT(G438,10)</f>
        <v>15/08/2025</v>
      </c>
      <c r="K438">
        <f>_xlfn.XLOOKUP(J438,'Wk no''s'!D:D,'Wk no''s'!C:C,FALSE)</f>
        <v>33</v>
      </c>
    </row>
    <row r="439" spans="1:11" x14ac:dyDescent="0.3">
      <c r="A439" t="s">
        <v>467</v>
      </c>
      <c r="B439" t="s">
        <v>466</v>
      </c>
      <c r="C439" t="s">
        <v>3728</v>
      </c>
      <c r="D439" s="7" t="s">
        <v>5764</v>
      </c>
      <c r="E439" t="s">
        <v>248</v>
      </c>
      <c r="F439" t="s">
        <v>121</v>
      </c>
      <c r="G439" t="s">
        <v>5765</v>
      </c>
      <c r="H439" t="s">
        <v>9</v>
      </c>
      <c r="I439" t="str">
        <f>_xlfn.XLOOKUP(F439,'Lookup List'!A:A,'Lookup List'!B:B,FALSE)</f>
        <v>Transport</v>
      </c>
      <c r="J439" s="10" t="str">
        <f t="shared" si="16"/>
        <v>15/08/2025</v>
      </c>
      <c r="K439">
        <f>_xlfn.XLOOKUP(J439,'Wk no''s'!D:D,'Wk no''s'!C:C,FALSE)</f>
        <v>33</v>
      </c>
    </row>
    <row r="440" spans="1:11" x14ac:dyDescent="0.3">
      <c r="A440" t="s">
        <v>207</v>
      </c>
      <c r="B440" t="s">
        <v>4825</v>
      </c>
      <c r="C440" t="s">
        <v>205</v>
      </c>
      <c r="D440" s="7" t="s">
        <v>5766</v>
      </c>
      <c r="E440" t="s">
        <v>63</v>
      </c>
      <c r="F440" t="s">
        <v>62</v>
      </c>
      <c r="G440" t="s">
        <v>5767</v>
      </c>
      <c r="H440" t="s">
        <v>37</v>
      </c>
      <c r="I440" t="str">
        <f>_xlfn.XLOOKUP(F440,'Lookup List'!A:A,'Lookup List'!B:B,FALSE)</f>
        <v>Customer</v>
      </c>
      <c r="J440" s="10" t="str">
        <f t="shared" si="16"/>
        <v>12/08/2025</v>
      </c>
      <c r="K440">
        <f>_xlfn.XLOOKUP(J440,'Wk no''s'!D:D,'Wk no''s'!C:C,FALSE)</f>
        <v>33</v>
      </c>
    </row>
    <row r="441" spans="1:11" x14ac:dyDescent="0.3">
      <c r="A441" t="s">
        <v>207</v>
      </c>
      <c r="B441" t="s">
        <v>206</v>
      </c>
      <c r="C441" t="s">
        <v>205</v>
      </c>
      <c r="D441" s="7" t="s">
        <v>5768</v>
      </c>
      <c r="E441" t="s">
        <v>159</v>
      </c>
      <c r="F441" t="s">
        <v>137</v>
      </c>
      <c r="G441" t="s">
        <v>5769</v>
      </c>
      <c r="H441" t="s">
        <v>37</v>
      </c>
      <c r="I441" t="str">
        <f>_xlfn.XLOOKUP(F441,'Lookup List'!A:A,'Lookup List'!B:B,FALSE)</f>
        <v>Supplier</v>
      </c>
      <c r="J441" s="10" t="str">
        <f t="shared" si="16"/>
        <v>15/08/2025</v>
      </c>
      <c r="K441">
        <f>_xlfn.XLOOKUP(J441,'Wk no''s'!D:D,'Wk no''s'!C:C,FALSE)</f>
        <v>33</v>
      </c>
    </row>
    <row r="442" spans="1:11" x14ac:dyDescent="0.3">
      <c r="A442" t="s">
        <v>5168</v>
      </c>
      <c r="B442" t="s">
        <v>5169</v>
      </c>
      <c r="C442" t="s">
        <v>5170</v>
      </c>
      <c r="D442" s="7" t="s">
        <v>5770</v>
      </c>
      <c r="E442" t="s">
        <v>74</v>
      </c>
      <c r="F442" t="s">
        <v>73</v>
      </c>
      <c r="G442" t="s">
        <v>5771</v>
      </c>
      <c r="H442" t="s">
        <v>1</v>
      </c>
      <c r="I442" t="str">
        <f>_xlfn.XLOOKUP(F442,'Lookup List'!A:A,'Lookup List'!B:B,FALSE)</f>
        <v>01 SOP</v>
      </c>
      <c r="J442" s="10" t="str">
        <f t="shared" si="16"/>
        <v>12/08/2025</v>
      </c>
      <c r="K442">
        <f>_xlfn.XLOOKUP(J442,'Wk no''s'!D:D,'Wk no''s'!C:C,FALSE)</f>
        <v>33</v>
      </c>
    </row>
    <row r="443" spans="1:11" x14ac:dyDescent="0.3">
      <c r="A443" t="s">
        <v>115</v>
      </c>
      <c r="B443" t="s">
        <v>5772</v>
      </c>
      <c r="C443" t="s">
        <v>4180</v>
      </c>
      <c r="D443" s="7" t="s">
        <v>5773</v>
      </c>
      <c r="E443" t="s">
        <v>385</v>
      </c>
      <c r="F443" t="s">
        <v>89</v>
      </c>
      <c r="G443" t="s">
        <v>5774</v>
      </c>
      <c r="H443" t="s">
        <v>1</v>
      </c>
      <c r="I443" t="str">
        <f>_xlfn.XLOOKUP(F443,'Lookup List'!A:A,'Lookup List'!B:B,FALSE)</f>
        <v>Salesforce</v>
      </c>
      <c r="J443" s="10" t="str">
        <f t="shared" si="16"/>
        <v>12/08/2025</v>
      </c>
      <c r="K443">
        <f>_xlfn.XLOOKUP(J443,'Wk no''s'!D:D,'Wk no''s'!C:C,FALSE)</f>
        <v>33</v>
      </c>
    </row>
    <row r="444" spans="1:11" x14ac:dyDescent="0.3">
      <c r="A444" t="s">
        <v>5775</v>
      </c>
      <c r="B444" t="s">
        <v>5776</v>
      </c>
      <c r="C444" t="s">
        <v>3928</v>
      </c>
      <c r="D444" s="7" t="s">
        <v>5777</v>
      </c>
      <c r="E444" t="s">
        <v>159</v>
      </c>
      <c r="F444" t="s">
        <v>89</v>
      </c>
      <c r="G444" t="s">
        <v>5778</v>
      </c>
      <c r="H444" t="s">
        <v>1</v>
      </c>
      <c r="I444" t="str">
        <f>_xlfn.XLOOKUP(F444,'Lookup List'!A:A,'Lookup List'!B:B,FALSE)</f>
        <v>Salesforce</v>
      </c>
      <c r="J444" s="10" t="str">
        <f t="shared" si="16"/>
        <v>12/08/2025</v>
      </c>
      <c r="K444">
        <f>_xlfn.XLOOKUP(J444,'Wk no''s'!D:D,'Wk no''s'!C:C,FALSE)</f>
        <v>33</v>
      </c>
    </row>
    <row r="445" spans="1:11" x14ac:dyDescent="0.3">
      <c r="A445" t="s">
        <v>5318</v>
      </c>
      <c r="B445" t="s">
        <v>5319</v>
      </c>
      <c r="C445" t="s">
        <v>5320</v>
      </c>
      <c r="D445" s="7" t="s">
        <v>5779</v>
      </c>
      <c r="E445" t="s">
        <v>175</v>
      </c>
      <c r="F445" t="s">
        <v>4903</v>
      </c>
      <c r="G445" t="s">
        <v>5780</v>
      </c>
      <c r="H445" t="s">
        <v>1</v>
      </c>
      <c r="I445" t="b">
        <f>_xlfn.XLOOKUP(F445,'Lookup List'!A:A,'Lookup List'!B:B,FALSE)</f>
        <v>0</v>
      </c>
      <c r="J445" s="10" t="str">
        <f t="shared" si="16"/>
        <v>13/08/2025</v>
      </c>
      <c r="K445">
        <f>_xlfn.XLOOKUP(J445,'Wk no''s'!D:D,'Wk no''s'!C:C,FALSE)</f>
        <v>33</v>
      </c>
    </row>
    <row r="446" spans="1:11" x14ac:dyDescent="0.3">
      <c r="A446" t="s">
        <v>5781</v>
      </c>
      <c r="B446" t="s">
        <v>5782</v>
      </c>
      <c r="C446" t="s">
        <v>4418</v>
      </c>
      <c r="D446" s="7" t="s">
        <v>5783</v>
      </c>
      <c r="E446" t="s">
        <v>104</v>
      </c>
      <c r="F446" t="s">
        <v>89</v>
      </c>
      <c r="G446" t="s">
        <v>5784</v>
      </c>
      <c r="H446" t="s">
        <v>1</v>
      </c>
      <c r="I446" t="str">
        <f>_xlfn.XLOOKUP(F446,'Lookup List'!A:A,'Lookup List'!B:B,FALSE)</f>
        <v>Salesforce</v>
      </c>
      <c r="J446" s="10" t="str">
        <f t="shared" si="16"/>
        <v>13/08/2025</v>
      </c>
      <c r="K446">
        <f>_xlfn.XLOOKUP(J446,'Wk no''s'!D:D,'Wk no''s'!C:C,FALSE)</f>
        <v>33</v>
      </c>
    </row>
    <row r="447" spans="1:11" x14ac:dyDescent="0.3">
      <c r="A447" t="s">
        <v>5891</v>
      </c>
      <c r="B447" t="s">
        <v>5892</v>
      </c>
      <c r="C447" t="s">
        <v>3993</v>
      </c>
      <c r="D447" s="7" t="s">
        <v>5893</v>
      </c>
      <c r="E447" t="s">
        <v>79</v>
      </c>
      <c r="F447" t="s">
        <v>5759</v>
      </c>
      <c r="G447" t="s">
        <v>5894</v>
      </c>
      <c r="H447" t="s">
        <v>3</v>
      </c>
      <c r="I447" t="b">
        <f>_xlfn.XLOOKUP(F447,'Lookup List'!A:A,'Lookup List'!B:B,FALSE)</f>
        <v>0</v>
      </c>
      <c r="J447" s="10" t="str">
        <f t="shared" si="16"/>
        <v>20/08/2025</v>
      </c>
      <c r="K447">
        <f>_xlfn.XLOOKUP(J447,'Wk no''s'!D:D,'Wk no''s'!C:C,FALSE)</f>
        <v>34</v>
      </c>
    </row>
    <row r="448" spans="1:11" x14ac:dyDescent="0.3">
      <c r="A448" t="s">
        <v>154</v>
      </c>
      <c r="B448" t="s">
        <v>153</v>
      </c>
      <c r="C448" t="s">
        <v>5895</v>
      </c>
      <c r="D448" s="7" t="s">
        <v>5896</v>
      </c>
      <c r="E448" t="s">
        <v>47</v>
      </c>
      <c r="F448" t="s">
        <v>156</v>
      </c>
      <c r="G448" t="s">
        <v>5897</v>
      </c>
      <c r="H448" t="s">
        <v>150</v>
      </c>
      <c r="I448" t="str">
        <f>_xlfn.XLOOKUP(F448,'Lookup List'!A:A,'Lookup List'!B:B,FALSE)</f>
        <v>02 Product Design</v>
      </c>
      <c r="J448" s="10" t="str">
        <f t="shared" ref="J448:J453" si="17">LEFT(G448,10)</f>
        <v>20/08/2025</v>
      </c>
      <c r="K448">
        <f>_xlfn.XLOOKUP(J448,'Wk no''s'!D:D,'Wk no''s'!C:C,FALSE)</f>
        <v>34</v>
      </c>
    </row>
    <row r="449" spans="1:11" x14ac:dyDescent="0.3">
      <c r="A449" t="s">
        <v>5898</v>
      </c>
      <c r="B449" t="s">
        <v>5899</v>
      </c>
      <c r="C449" t="s">
        <v>5653</v>
      </c>
      <c r="D449" s="7" t="s">
        <v>5900</v>
      </c>
      <c r="E449" t="s">
        <v>90</v>
      </c>
      <c r="F449" t="s">
        <v>73</v>
      </c>
      <c r="G449" t="s">
        <v>5901</v>
      </c>
      <c r="H449" t="s">
        <v>1</v>
      </c>
      <c r="I449" t="str">
        <f>_xlfn.XLOOKUP(F449,'Lookup List'!A:A,'Lookup List'!B:B,FALSE)</f>
        <v>01 SOP</v>
      </c>
      <c r="J449" s="10" t="str">
        <f t="shared" si="17"/>
        <v>18/08/2025</v>
      </c>
      <c r="K449">
        <f>_xlfn.XLOOKUP(J449,'Wk no''s'!D:D,'Wk no''s'!C:C,FALSE)</f>
        <v>34</v>
      </c>
    </row>
    <row r="450" spans="1:11" x14ac:dyDescent="0.3">
      <c r="A450" t="s">
        <v>793</v>
      </c>
      <c r="B450" t="s">
        <v>5341</v>
      </c>
      <c r="C450" t="s">
        <v>315</v>
      </c>
      <c r="D450" s="7" t="s">
        <v>5902</v>
      </c>
      <c r="E450" t="s">
        <v>74</v>
      </c>
      <c r="F450" t="s">
        <v>73</v>
      </c>
      <c r="G450" t="s">
        <v>5903</v>
      </c>
      <c r="H450" t="s">
        <v>1</v>
      </c>
      <c r="I450" t="str">
        <f>_xlfn.XLOOKUP(F450,'Lookup List'!A:A,'Lookup List'!B:B,FALSE)</f>
        <v>01 SOP</v>
      </c>
      <c r="J450" s="10" t="str">
        <f t="shared" si="17"/>
        <v>20/08/2025</v>
      </c>
      <c r="K450">
        <f>_xlfn.XLOOKUP(J450,'Wk no''s'!D:D,'Wk no''s'!C:C,FALSE)</f>
        <v>34</v>
      </c>
    </row>
    <row r="451" spans="1:11" x14ac:dyDescent="0.3">
      <c r="A451" t="s">
        <v>5904</v>
      </c>
      <c r="B451" t="s">
        <v>5905</v>
      </c>
      <c r="C451" t="s">
        <v>1224</v>
      </c>
      <c r="D451" s="7" t="s">
        <v>5906</v>
      </c>
      <c r="E451" t="s">
        <v>68</v>
      </c>
      <c r="F451" t="s">
        <v>62</v>
      </c>
      <c r="G451" t="s">
        <v>5907</v>
      </c>
      <c r="H451" t="s">
        <v>1</v>
      </c>
      <c r="I451" t="str">
        <f>_xlfn.XLOOKUP(F451,'Lookup List'!A:A,'Lookup List'!B:B,FALSE)</f>
        <v>Customer</v>
      </c>
      <c r="J451" s="10" t="str">
        <f t="shared" si="17"/>
        <v>20/08/2025</v>
      </c>
      <c r="K451">
        <f>_xlfn.XLOOKUP(J451,'Wk no''s'!D:D,'Wk no''s'!C:C,FALSE)</f>
        <v>34</v>
      </c>
    </row>
    <row r="452" spans="1:11" x14ac:dyDescent="0.3">
      <c r="A452" t="s">
        <v>5908</v>
      </c>
      <c r="B452" t="s">
        <v>5909</v>
      </c>
      <c r="C452" t="s">
        <v>5910</v>
      </c>
      <c r="D452" s="7" t="s">
        <v>5911</v>
      </c>
      <c r="E452" t="s">
        <v>175</v>
      </c>
      <c r="F452" t="s">
        <v>480</v>
      </c>
      <c r="G452" t="s">
        <v>5912</v>
      </c>
      <c r="H452" t="s">
        <v>4</v>
      </c>
      <c r="I452" t="str">
        <f>_xlfn.XLOOKUP(F452,'Lookup List'!A:A,'Lookup List'!B:B,FALSE)</f>
        <v>Paintline</v>
      </c>
      <c r="J452" s="10" t="str">
        <f t="shared" si="17"/>
        <v>20/08/2025</v>
      </c>
      <c r="K452">
        <f>_xlfn.XLOOKUP(J452,'Wk no''s'!D:D,'Wk no''s'!C:C,FALSE)</f>
        <v>34</v>
      </c>
    </row>
    <row r="453" spans="1:11" x14ac:dyDescent="0.3">
      <c r="A453" t="s">
        <v>5998</v>
      </c>
      <c r="B453" t="s">
        <v>5999</v>
      </c>
      <c r="C453" t="s">
        <v>2368</v>
      </c>
      <c r="D453" s="7" t="s">
        <v>6000</v>
      </c>
      <c r="E453" t="s">
        <v>90</v>
      </c>
      <c r="F453" t="s">
        <v>73</v>
      </c>
      <c r="G453" t="s">
        <v>6001</v>
      </c>
      <c r="H453" t="s">
        <v>1</v>
      </c>
      <c r="I453" t="str">
        <f>_xlfn.XLOOKUP(F453,'Lookup List'!A:A,'Lookup List'!B:B,FALSE)</f>
        <v>01 SOP</v>
      </c>
      <c r="J453" s="10" t="str">
        <f t="shared" si="17"/>
        <v>26/08/2025</v>
      </c>
      <c r="K453">
        <f>_xlfn.XLOOKUP(J453,'Wk no''s'!D:D,'Wk no''s'!C:C,FALSE)</f>
        <v>35</v>
      </c>
    </row>
    <row r="454" spans="1:11" x14ac:dyDescent="0.3">
      <c r="A454" t="s">
        <v>548</v>
      </c>
      <c r="B454" t="s">
        <v>547</v>
      </c>
      <c r="C454" t="s">
        <v>6002</v>
      </c>
      <c r="D454" s="7" t="s">
        <v>6003</v>
      </c>
      <c r="E454" t="s">
        <v>68</v>
      </c>
      <c r="F454" t="s">
        <v>62</v>
      </c>
      <c r="G454" t="s">
        <v>6004</v>
      </c>
      <c r="H454" t="s">
        <v>1</v>
      </c>
      <c r="I454" t="str">
        <f>_xlfn.XLOOKUP(F454,'Lookup List'!A:A,'Lookup List'!B:B,FALSE)</f>
        <v>Customer</v>
      </c>
      <c r="J454" s="10" t="str">
        <f t="shared" ref="J454:J462" si="18">LEFT(G454,10)</f>
        <v>27/08/2025</v>
      </c>
      <c r="K454">
        <f>_xlfn.XLOOKUP(J454,'Wk no''s'!D:D,'Wk no''s'!C:C,FALSE)</f>
        <v>35</v>
      </c>
    </row>
    <row r="455" spans="1:11" x14ac:dyDescent="0.3">
      <c r="A455" t="s">
        <v>6005</v>
      </c>
      <c r="B455" t="s">
        <v>6006</v>
      </c>
      <c r="C455" t="s">
        <v>5183</v>
      </c>
      <c r="D455" s="7" t="s">
        <v>6007</v>
      </c>
      <c r="E455" t="s">
        <v>74</v>
      </c>
      <c r="F455" t="s">
        <v>73</v>
      </c>
      <c r="G455" t="s">
        <v>6008</v>
      </c>
      <c r="H455" t="s">
        <v>1</v>
      </c>
      <c r="I455" t="str">
        <f>_xlfn.XLOOKUP(F455,'Lookup List'!A:A,'Lookup List'!B:B,FALSE)</f>
        <v>01 SOP</v>
      </c>
      <c r="J455" s="10" t="str">
        <f t="shared" si="18"/>
        <v>27/08/2025</v>
      </c>
      <c r="K455">
        <f>_xlfn.XLOOKUP(J455,'Wk no''s'!D:D,'Wk no''s'!C:C,FALSE)</f>
        <v>35</v>
      </c>
    </row>
    <row r="456" spans="1:11" x14ac:dyDescent="0.3">
      <c r="A456" t="s">
        <v>6009</v>
      </c>
      <c r="B456" t="s">
        <v>6010</v>
      </c>
      <c r="C456" t="s">
        <v>6011</v>
      </c>
      <c r="D456" s="7" t="s">
        <v>6012</v>
      </c>
      <c r="E456" t="s">
        <v>74</v>
      </c>
      <c r="F456" t="s">
        <v>73</v>
      </c>
      <c r="G456" t="s">
        <v>6013</v>
      </c>
      <c r="H456" t="s">
        <v>1</v>
      </c>
      <c r="I456" t="str">
        <f>_xlfn.XLOOKUP(F456,'Lookup List'!A:A,'Lookup List'!B:B,FALSE)</f>
        <v>01 SOP</v>
      </c>
      <c r="J456" s="10" t="str">
        <f t="shared" si="18"/>
        <v>27/08/2025</v>
      </c>
      <c r="K456">
        <f>_xlfn.XLOOKUP(J456,'Wk no''s'!D:D,'Wk no''s'!C:C,FALSE)</f>
        <v>35</v>
      </c>
    </row>
    <row r="457" spans="1:11" x14ac:dyDescent="0.3">
      <c r="A457" t="s">
        <v>115</v>
      </c>
      <c r="B457" t="s">
        <v>5772</v>
      </c>
      <c r="C457" t="s">
        <v>4180</v>
      </c>
      <c r="D457" s="7" t="s">
        <v>6014</v>
      </c>
      <c r="E457" t="s">
        <v>733</v>
      </c>
      <c r="F457" t="s">
        <v>121</v>
      </c>
      <c r="G457" t="s">
        <v>6015</v>
      </c>
      <c r="H457" t="s">
        <v>1</v>
      </c>
      <c r="I457" t="str">
        <f>_xlfn.XLOOKUP(F457,'Lookup List'!A:A,'Lookup List'!B:B,FALSE)</f>
        <v>Transport</v>
      </c>
      <c r="J457" s="10" t="str">
        <f t="shared" si="18"/>
        <v>28/08/2025</v>
      </c>
      <c r="K457">
        <f>_xlfn.XLOOKUP(J457,'Wk no''s'!D:D,'Wk no''s'!C:C,FALSE)</f>
        <v>35</v>
      </c>
    </row>
    <row r="458" spans="1:11" x14ac:dyDescent="0.3">
      <c r="A458" t="s">
        <v>5775</v>
      </c>
      <c r="B458" t="s">
        <v>5776</v>
      </c>
      <c r="C458" t="s">
        <v>3928</v>
      </c>
      <c r="D458" s="7" t="s">
        <v>6016</v>
      </c>
      <c r="E458" t="s">
        <v>159</v>
      </c>
      <c r="F458" t="s">
        <v>89</v>
      </c>
      <c r="G458" t="s">
        <v>6017</v>
      </c>
      <c r="H458" t="s">
        <v>1</v>
      </c>
      <c r="I458" t="str">
        <f>_xlfn.XLOOKUP(F458,'Lookup List'!A:A,'Lookup List'!B:B,FALSE)</f>
        <v>Salesforce</v>
      </c>
      <c r="J458" s="10" t="str">
        <f t="shared" si="18"/>
        <v>28/08/2025</v>
      </c>
      <c r="K458">
        <f>_xlfn.XLOOKUP(J458,'Wk no''s'!D:D,'Wk no''s'!C:C,FALSE)</f>
        <v>35</v>
      </c>
    </row>
    <row r="459" spans="1:11" x14ac:dyDescent="0.3">
      <c r="A459" t="s">
        <v>4900</v>
      </c>
      <c r="B459" t="s">
        <v>4901</v>
      </c>
      <c r="C459" t="s">
        <v>6018</v>
      </c>
      <c r="D459" s="7" t="s">
        <v>6019</v>
      </c>
      <c r="E459" t="s">
        <v>79</v>
      </c>
      <c r="F459" t="s">
        <v>73</v>
      </c>
      <c r="G459" t="s">
        <v>6020</v>
      </c>
      <c r="H459" t="s">
        <v>1</v>
      </c>
      <c r="I459" t="str">
        <f>_xlfn.XLOOKUP(F459,'Lookup List'!A:A,'Lookup List'!B:B,FALSE)</f>
        <v>01 SOP</v>
      </c>
      <c r="J459" s="10" t="str">
        <f t="shared" si="18"/>
        <v>28/08/2025</v>
      </c>
      <c r="K459">
        <f>_xlfn.XLOOKUP(J459,'Wk no''s'!D:D,'Wk no''s'!C:C,FALSE)</f>
        <v>35</v>
      </c>
    </row>
    <row r="460" spans="1:11" x14ac:dyDescent="0.3">
      <c r="A460" t="s">
        <v>5156</v>
      </c>
      <c r="B460" t="s">
        <v>6021</v>
      </c>
      <c r="C460" t="s">
        <v>3517</v>
      </c>
      <c r="D460" s="7" t="s">
        <v>6022</v>
      </c>
      <c r="E460" t="s">
        <v>63</v>
      </c>
      <c r="F460" t="s">
        <v>4903</v>
      </c>
      <c r="G460" t="s">
        <v>6023</v>
      </c>
      <c r="H460" t="s">
        <v>1</v>
      </c>
      <c r="I460" t="b">
        <f>_xlfn.XLOOKUP(F460,'Lookup List'!A:A,'Lookup List'!B:B,FALSE)</f>
        <v>0</v>
      </c>
      <c r="J460" s="10" t="str">
        <f t="shared" si="18"/>
        <v>28/08/2025</v>
      </c>
      <c r="K460">
        <f>_xlfn.XLOOKUP(J460,'Wk no''s'!D:D,'Wk no''s'!C:C,FALSE)</f>
        <v>35</v>
      </c>
    </row>
    <row r="461" spans="1:11" x14ac:dyDescent="0.3">
      <c r="A461" t="s">
        <v>49</v>
      </c>
      <c r="B461" t="s">
        <v>101</v>
      </c>
      <c r="C461" t="s">
        <v>4305</v>
      </c>
      <c r="D461" s="7" t="s">
        <v>6024</v>
      </c>
      <c r="E461" t="s">
        <v>79</v>
      </c>
      <c r="F461" t="s">
        <v>4903</v>
      </c>
      <c r="G461" t="s">
        <v>6025</v>
      </c>
      <c r="H461" t="s">
        <v>4</v>
      </c>
      <c r="I461" t="b">
        <f>_xlfn.XLOOKUP(F461,'Lookup List'!A:A,'Lookup List'!B:B,FALSE)</f>
        <v>0</v>
      </c>
      <c r="J461" s="10" t="str">
        <f t="shared" si="18"/>
        <v>26/08/2025</v>
      </c>
      <c r="K461">
        <f>_xlfn.XLOOKUP(J461,'Wk no''s'!D:D,'Wk no''s'!C:C,FALSE)</f>
        <v>35</v>
      </c>
    </row>
    <row r="462" spans="1:11" x14ac:dyDescent="0.3">
      <c r="A462" t="s">
        <v>688</v>
      </c>
      <c r="B462" t="s">
        <v>6117</v>
      </c>
      <c r="C462" t="s">
        <v>186</v>
      </c>
      <c r="D462" s="7" t="s">
        <v>6118</v>
      </c>
      <c r="E462" t="s">
        <v>239</v>
      </c>
      <c r="F462" t="s">
        <v>121</v>
      </c>
      <c r="G462" t="s">
        <v>6119</v>
      </c>
      <c r="H462" t="s">
        <v>1</v>
      </c>
      <c r="I462" t="str">
        <f>_xlfn.XLOOKUP(F462,'Lookup List'!A:A,'Lookup List'!B:B,FALSE)</f>
        <v>Transport</v>
      </c>
      <c r="J462" s="10" t="str">
        <f t="shared" si="18"/>
        <v>03/09/2025</v>
      </c>
      <c r="K462">
        <f>_xlfn.XLOOKUP(J462,'Wk no''s'!D:D,'Wk no''s'!C:C,FALSE)</f>
        <v>36</v>
      </c>
    </row>
    <row r="463" spans="1:11" x14ac:dyDescent="0.3">
      <c r="A463" t="s">
        <v>1104</v>
      </c>
      <c r="B463" t="s">
        <v>645</v>
      </c>
      <c r="C463" t="s">
        <v>1772</v>
      </c>
      <c r="D463" s="7" t="s">
        <v>6120</v>
      </c>
      <c r="E463" t="s">
        <v>52</v>
      </c>
      <c r="F463" t="s">
        <v>4903</v>
      </c>
      <c r="G463" t="s">
        <v>6121</v>
      </c>
      <c r="H463" t="s">
        <v>1</v>
      </c>
      <c r="I463" t="b">
        <f>_xlfn.XLOOKUP(F463,'Lookup List'!A:A,'Lookup List'!B:B,FALSE)</f>
        <v>0</v>
      </c>
      <c r="J463" s="10" t="str">
        <f t="shared" ref="J463:J474" si="19">LEFT(G463,10)</f>
        <v>03/09/2025</v>
      </c>
      <c r="K463">
        <f>_xlfn.XLOOKUP(J463,'Wk no''s'!D:D,'Wk no''s'!C:C,FALSE)</f>
        <v>36</v>
      </c>
    </row>
    <row r="464" spans="1:11" x14ac:dyDescent="0.3">
      <c r="A464" t="s">
        <v>6122</v>
      </c>
      <c r="B464" t="s">
        <v>6123</v>
      </c>
      <c r="C464" t="s">
        <v>5508</v>
      </c>
      <c r="D464" s="7" t="s">
        <v>6124</v>
      </c>
      <c r="E464" t="s">
        <v>74</v>
      </c>
      <c r="F464" t="s">
        <v>73</v>
      </c>
      <c r="G464" t="s">
        <v>6125</v>
      </c>
      <c r="H464" t="s">
        <v>1</v>
      </c>
      <c r="I464" t="str">
        <f>_xlfn.XLOOKUP(F464,'Lookup List'!A:A,'Lookup List'!B:B,FALSE)</f>
        <v>01 SOP</v>
      </c>
      <c r="J464" s="10" t="str">
        <f t="shared" si="19"/>
        <v>03/09/2025</v>
      </c>
      <c r="K464">
        <f>_xlfn.XLOOKUP(J464,'Wk no''s'!D:D,'Wk no''s'!C:C,FALSE)</f>
        <v>36</v>
      </c>
    </row>
    <row r="465" spans="1:11" x14ac:dyDescent="0.3">
      <c r="A465" t="s">
        <v>296</v>
      </c>
      <c r="B465" t="s">
        <v>295</v>
      </c>
      <c r="C465" t="s">
        <v>6126</v>
      </c>
      <c r="D465" s="7" t="s">
        <v>6127</v>
      </c>
      <c r="E465" t="s">
        <v>1081</v>
      </c>
      <c r="F465" t="s">
        <v>4903</v>
      </c>
      <c r="G465" t="s">
        <v>6128</v>
      </c>
      <c r="H465" t="s">
        <v>1</v>
      </c>
      <c r="I465" t="b">
        <f>_xlfn.XLOOKUP(F465,'Lookup List'!A:A,'Lookup List'!B:B,FALSE)</f>
        <v>0</v>
      </c>
      <c r="J465" s="10" t="str">
        <f t="shared" si="19"/>
        <v>03/09/2025</v>
      </c>
      <c r="K465">
        <f>_xlfn.XLOOKUP(J465,'Wk no''s'!D:D,'Wk no''s'!C:C,FALSE)</f>
        <v>36</v>
      </c>
    </row>
    <row r="466" spans="1:11" x14ac:dyDescent="0.3">
      <c r="A466" t="s">
        <v>445</v>
      </c>
      <c r="B466" t="s">
        <v>444</v>
      </c>
      <c r="C466" t="s">
        <v>6129</v>
      </c>
      <c r="D466" s="7" t="s">
        <v>6130</v>
      </c>
      <c r="E466" t="s">
        <v>1081</v>
      </c>
      <c r="F466" t="s">
        <v>219</v>
      </c>
      <c r="G466" t="s">
        <v>6131</v>
      </c>
      <c r="H466" t="s">
        <v>1</v>
      </c>
      <c r="I466" t="str">
        <f>_xlfn.XLOOKUP(F466,'Lookup List'!A:A,'Lookup List'!B:B,FALSE)</f>
        <v>Warehouse</v>
      </c>
      <c r="J466" s="10" t="str">
        <f t="shared" si="19"/>
        <v>03/09/2025</v>
      </c>
      <c r="K466">
        <f>_xlfn.XLOOKUP(J466,'Wk no''s'!D:D,'Wk no''s'!C:C,FALSE)</f>
        <v>36</v>
      </c>
    </row>
    <row r="467" spans="1:11" x14ac:dyDescent="0.3">
      <c r="A467" t="s">
        <v>6132</v>
      </c>
      <c r="B467" t="s">
        <v>6133</v>
      </c>
      <c r="C467" t="s">
        <v>4616</v>
      </c>
      <c r="D467" s="7" t="s">
        <v>6134</v>
      </c>
      <c r="E467" t="s">
        <v>90</v>
      </c>
      <c r="F467" t="s">
        <v>73</v>
      </c>
      <c r="G467" t="s">
        <v>6135</v>
      </c>
      <c r="H467" t="s">
        <v>1</v>
      </c>
      <c r="I467" t="str">
        <f>_xlfn.XLOOKUP(F467,'Lookup List'!A:A,'Lookup List'!B:B,FALSE)</f>
        <v>01 SOP</v>
      </c>
      <c r="J467" s="10" t="str">
        <f t="shared" si="19"/>
        <v>03/09/2025</v>
      </c>
      <c r="K467">
        <f>_xlfn.XLOOKUP(J467,'Wk no''s'!D:D,'Wk no''s'!C:C,FALSE)</f>
        <v>36</v>
      </c>
    </row>
    <row r="468" spans="1:11" x14ac:dyDescent="0.3">
      <c r="A468" t="s">
        <v>1146</v>
      </c>
      <c r="B468" t="s">
        <v>6136</v>
      </c>
      <c r="C468" t="s">
        <v>1148</v>
      </c>
      <c r="D468" s="7" t="s">
        <v>6137</v>
      </c>
      <c r="E468" t="s">
        <v>733</v>
      </c>
      <c r="F468" t="s">
        <v>62</v>
      </c>
      <c r="G468" t="s">
        <v>6138</v>
      </c>
      <c r="H468" t="s">
        <v>1</v>
      </c>
      <c r="I468" t="str">
        <f>_xlfn.XLOOKUP(F468,'Lookup List'!A:A,'Lookup List'!B:B,FALSE)</f>
        <v>Customer</v>
      </c>
      <c r="J468" s="10" t="str">
        <f t="shared" si="19"/>
        <v>03/09/2025</v>
      </c>
      <c r="K468">
        <f>_xlfn.XLOOKUP(J468,'Wk no''s'!D:D,'Wk no''s'!C:C,FALSE)</f>
        <v>36</v>
      </c>
    </row>
    <row r="469" spans="1:11" x14ac:dyDescent="0.3">
      <c r="A469" t="s">
        <v>6404</v>
      </c>
      <c r="B469" t="s">
        <v>6139</v>
      </c>
      <c r="C469" t="s">
        <v>6140</v>
      </c>
      <c r="D469" s="7" t="s">
        <v>6141</v>
      </c>
      <c r="E469" t="s">
        <v>733</v>
      </c>
      <c r="F469" t="s">
        <v>62</v>
      </c>
      <c r="G469" t="s">
        <v>6142</v>
      </c>
      <c r="H469" t="s">
        <v>1</v>
      </c>
      <c r="I469" t="str">
        <f>_xlfn.XLOOKUP(F469,'Lookup List'!A:A,'Lookup List'!B:B,FALSE)</f>
        <v>Customer</v>
      </c>
      <c r="J469" s="10" t="str">
        <f t="shared" si="19"/>
        <v>04/09/2025</v>
      </c>
      <c r="K469">
        <f>_xlfn.XLOOKUP(J469,'Wk no''s'!D:D,'Wk no''s'!C:C,FALSE)</f>
        <v>36</v>
      </c>
    </row>
    <row r="470" spans="1:11" x14ac:dyDescent="0.3">
      <c r="A470" t="s">
        <v>1095</v>
      </c>
      <c r="B470" t="s">
        <v>1096</v>
      </c>
      <c r="C470" t="s">
        <v>2421</v>
      </c>
      <c r="D470" s="7" t="s">
        <v>6143</v>
      </c>
      <c r="E470" t="s">
        <v>239</v>
      </c>
      <c r="F470" t="s">
        <v>4903</v>
      </c>
      <c r="G470" t="s">
        <v>6144</v>
      </c>
      <c r="H470" t="s">
        <v>1</v>
      </c>
      <c r="I470" t="b">
        <f>_xlfn.XLOOKUP(F470,'Lookup List'!A:A,'Lookup List'!B:B,FALSE)</f>
        <v>0</v>
      </c>
      <c r="J470" s="10" t="str">
        <f t="shared" si="19"/>
        <v>05/09/2025</v>
      </c>
      <c r="K470">
        <f>_xlfn.XLOOKUP(J470,'Wk no''s'!D:D,'Wk no''s'!C:C,FALSE)</f>
        <v>36</v>
      </c>
    </row>
    <row r="471" spans="1:11" x14ac:dyDescent="0.3">
      <c r="A471" t="s">
        <v>4840</v>
      </c>
      <c r="B471" t="s">
        <v>6145</v>
      </c>
      <c r="C471" t="s">
        <v>2935</v>
      </c>
      <c r="D471" s="7" t="s">
        <v>6146</v>
      </c>
      <c r="E471" t="s">
        <v>47</v>
      </c>
      <c r="F471" t="s">
        <v>4903</v>
      </c>
      <c r="G471" t="s">
        <v>6147</v>
      </c>
      <c r="H471" t="s">
        <v>1</v>
      </c>
      <c r="I471" t="b">
        <f>_xlfn.XLOOKUP(F471,'Lookup List'!A:A,'Lookup List'!B:B,FALSE)</f>
        <v>0</v>
      </c>
      <c r="J471" s="10" t="str">
        <f t="shared" si="19"/>
        <v>05/09/2025</v>
      </c>
      <c r="K471">
        <f>_xlfn.XLOOKUP(J471,'Wk no''s'!D:D,'Wk no''s'!C:C,FALSE)</f>
        <v>36</v>
      </c>
    </row>
    <row r="472" spans="1:11" x14ac:dyDescent="0.3">
      <c r="A472" t="s">
        <v>4900</v>
      </c>
      <c r="B472" t="s">
        <v>4901</v>
      </c>
      <c r="C472" t="s">
        <v>6018</v>
      </c>
      <c r="D472" s="7" t="s">
        <v>6148</v>
      </c>
      <c r="E472" t="s">
        <v>138</v>
      </c>
      <c r="F472" t="s">
        <v>4903</v>
      </c>
      <c r="G472" t="s">
        <v>6149</v>
      </c>
      <c r="H472" t="s">
        <v>1</v>
      </c>
      <c r="I472" t="b">
        <f>_xlfn.XLOOKUP(F472,'Lookup List'!A:A,'Lookup List'!B:B,FALSE)</f>
        <v>0</v>
      </c>
      <c r="J472" s="10" t="str">
        <f t="shared" si="19"/>
        <v>05/09/2025</v>
      </c>
      <c r="K472">
        <f>_xlfn.XLOOKUP(J472,'Wk no''s'!D:D,'Wk no''s'!C:C,FALSE)</f>
        <v>36</v>
      </c>
    </row>
    <row r="473" spans="1:11" x14ac:dyDescent="0.3">
      <c r="A473" t="s">
        <v>6150</v>
      </c>
      <c r="B473" t="s">
        <v>6151</v>
      </c>
      <c r="C473" t="s">
        <v>4762</v>
      </c>
      <c r="D473" s="7" t="s">
        <v>6152</v>
      </c>
      <c r="E473" t="s">
        <v>370</v>
      </c>
      <c r="F473" t="s">
        <v>100</v>
      </c>
      <c r="G473" t="s">
        <v>6153</v>
      </c>
      <c r="H473" t="s">
        <v>9</v>
      </c>
      <c r="I473" t="str">
        <f>_xlfn.XLOOKUP(F473,'Lookup List'!A:A,'Lookup List'!B:B,FALSE)</f>
        <v>02 Product Design</v>
      </c>
      <c r="J473" s="10" t="str">
        <f t="shared" si="19"/>
        <v>08/09/2025</v>
      </c>
      <c r="K473">
        <f>_xlfn.XLOOKUP(J473,'Wk no''s'!D:D,'Wk no''s'!C:C,FALSE)</f>
        <v>37</v>
      </c>
    </row>
    <row r="474" spans="1:11" x14ac:dyDescent="0.3">
      <c r="A474" t="s">
        <v>207</v>
      </c>
      <c r="B474" t="s">
        <v>206</v>
      </c>
      <c r="C474" t="s">
        <v>6154</v>
      </c>
      <c r="D474" s="7" t="s">
        <v>6155</v>
      </c>
      <c r="E474" t="s">
        <v>175</v>
      </c>
      <c r="F474" t="s">
        <v>4903</v>
      </c>
      <c r="G474" t="s">
        <v>6156</v>
      </c>
      <c r="H474" t="s">
        <v>37</v>
      </c>
      <c r="I474" t="b">
        <f>_xlfn.XLOOKUP(F474,'Lookup List'!A:A,'Lookup List'!B:B,FALSE)</f>
        <v>0</v>
      </c>
      <c r="J474" s="10" t="str">
        <f t="shared" si="19"/>
        <v>09/09/2025</v>
      </c>
      <c r="K474">
        <f>_xlfn.XLOOKUP(J474,'Wk no''s'!D:D,'Wk no''s'!C:C,FALSE)</f>
        <v>37</v>
      </c>
    </row>
    <row r="475" spans="1:11" x14ac:dyDescent="0.3">
      <c r="A475" t="s">
        <v>207</v>
      </c>
      <c r="B475" t="s">
        <v>707</v>
      </c>
      <c r="C475" t="s">
        <v>205</v>
      </c>
      <c r="D475" s="7" t="s">
        <v>6157</v>
      </c>
      <c r="E475" t="s">
        <v>126</v>
      </c>
      <c r="F475" t="s">
        <v>62</v>
      </c>
      <c r="G475" t="s">
        <v>6158</v>
      </c>
      <c r="H475" t="s">
        <v>37</v>
      </c>
      <c r="I475" t="str">
        <f>_xlfn.XLOOKUP(F475,'Lookup List'!A:A,'Lookup List'!B:B,FALSE)</f>
        <v>Customer</v>
      </c>
      <c r="J475" s="10" t="str">
        <f t="shared" ref="J475:J483" si="20">LEFT(G475,10)</f>
        <v>11/09/2025</v>
      </c>
      <c r="K475">
        <f>_xlfn.XLOOKUP(J475,'Wk no''s'!D:D,'Wk no''s'!C:C,FALSE)</f>
        <v>37</v>
      </c>
    </row>
    <row r="476" spans="1:11" x14ac:dyDescent="0.3">
      <c r="A476" t="s">
        <v>6159</v>
      </c>
      <c r="B476" t="s">
        <v>6160</v>
      </c>
      <c r="C476" t="s">
        <v>1544</v>
      </c>
      <c r="D476" s="7" t="s">
        <v>6161</v>
      </c>
      <c r="E476" t="s">
        <v>553</v>
      </c>
      <c r="F476" t="s">
        <v>253</v>
      </c>
      <c r="G476" t="s">
        <v>6162</v>
      </c>
      <c r="H476" t="s">
        <v>1</v>
      </c>
      <c r="I476" t="str">
        <f>_xlfn.XLOOKUP(F476,'Lookup List'!A:A,'Lookup List'!B:B,FALSE)</f>
        <v>Estimating</v>
      </c>
      <c r="J476" s="10" t="str">
        <f t="shared" si="20"/>
        <v>08/09/2025</v>
      </c>
      <c r="K476">
        <f>_xlfn.XLOOKUP(J476,'Wk no''s'!D:D,'Wk no''s'!C:C,FALSE)</f>
        <v>37</v>
      </c>
    </row>
    <row r="477" spans="1:11" x14ac:dyDescent="0.3">
      <c r="A477" t="s">
        <v>6163</v>
      </c>
      <c r="B477" t="s">
        <v>6164</v>
      </c>
      <c r="C477" t="s">
        <v>6165</v>
      </c>
      <c r="D477" s="7" t="s">
        <v>6166</v>
      </c>
      <c r="E477" t="s">
        <v>90</v>
      </c>
      <c r="F477" t="s">
        <v>73</v>
      </c>
      <c r="G477" t="s">
        <v>6167</v>
      </c>
      <c r="H477" t="s">
        <v>1</v>
      </c>
      <c r="I477" t="str">
        <f>_xlfn.XLOOKUP(F477,'Lookup List'!A:A,'Lookup List'!B:B,FALSE)</f>
        <v>01 SOP</v>
      </c>
      <c r="J477" s="10" t="str">
        <f t="shared" si="20"/>
        <v>08/09/2025</v>
      </c>
      <c r="K477">
        <f>_xlfn.XLOOKUP(J477,'Wk no''s'!D:D,'Wk no''s'!C:C,FALSE)</f>
        <v>37</v>
      </c>
    </row>
    <row r="478" spans="1:11" x14ac:dyDescent="0.3">
      <c r="A478" t="s">
        <v>6168</v>
      </c>
      <c r="B478" t="s">
        <v>6169</v>
      </c>
      <c r="C478" t="s">
        <v>5013</v>
      </c>
      <c r="D478" s="7" t="s">
        <v>6170</v>
      </c>
      <c r="E478" t="s">
        <v>68</v>
      </c>
      <c r="F478" t="s">
        <v>62</v>
      </c>
      <c r="G478" t="s">
        <v>6171</v>
      </c>
      <c r="H478" t="s">
        <v>1</v>
      </c>
      <c r="I478" t="str">
        <f>_xlfn.XLOOKUP(F478,'Lookup List'!A:A,'Lookup List'!B:B,FALSE)</f>
        <v>Customer</v>
      </c>
      <c r="J478" s="10" t="str">
        <f t="shared" si="20"/>
        <v>09/09/2025</v>
      </c>
      <c r="K478">
        <f>_xlfn.XLOOKUP(J478,'Wk no''s'!D:D,'Wk no''s'!C:C,FALSE)</f>
        <v>37</v>
      </c>
    </row>
    <row r="479" spans="1:11" x14ac:dyDescent="0.3">
      <c r="A479" t="s">
        <v>5318</v>
      </c>
      <c r="B479" t="s">
        <v>5319</v>
      </c>
      <c r="C479" t="s">
        <v>5320</v>
      </c>
      <c r="D479" s="7" t="s">
        <v>6172</v>
      </c>
      <c r="E479" t="s">
        <v>122</v>
      </c>
      <c r="F479" t="s">
        <v>177</v>
      </c>
      <c r="G479" t="s">
        <v>6173</v>
      </c>
      <c r="H479" t="s">
        <v>1</v>
      </c>
      <c r="I479" t="str">
        <f>_xlfn.XLOOKUP(F479,'Lookup List'!A:A,'Lookup List'!B:B,FALSE)</f>
        <v>External Courier</v>
      </c>
      <c r="J479" s="10" t="str">
        <f t="shared" si="20"/>
        <v>09/09/2025</v>
      </c>
      <c r="K479">
        <f>_xlfn.XLOOKUP(J479,'Wk no''s'!D:D,'Wk no''s'!C:C,FALSE)</f>
        <v>37</v>
      </c>
    </row>
    <row r="480" spans="1:11" x14ac:dyDescent="0.3">
      <c r="A480" t="s">
        <v>642</v>
      </c>
      <c r="B480" t="s">
        <v>641</v>
      </c>
      <c r="C480" t="s">
        <v>3925</v>
      </c>
      <c r="D480" s="7" t="s">
        <v>6174</v>
      </c>
      <c r="E480" t="s">
        <v>4910</v>
      </c>
      <c r="F480" t="s">
        <v>62</v>
      </c>
      <c r="G480" t="s">
        <v>6175</v>
      </c>
      <c r="H480" t="s">
        <v>1</v>
      </c>
      <c r="I480" t="str">
        <f>_xlfn.XLOOKUP(F480,'Lookup List'!A:A,'Lookup List'!B:B,FALSE)</f>
        <v>Customer</v>
      </c>
      <c r="J480" s="10" t="str">
        <f t="shared" si="20"/>
        <v>09/09/2025</v>
      </c>
      <c r="K480">
        <f>_xlfn.XLOOKUP(J480,'Wk no''s'!D:D,'Wk no''s'!C:C,FALSE)</f>
        <v>37</v>
      </c>
    </row>
    <row r="481" spans="1:11" x14ac:dyDescent="0.3">
      <c r="A481" t="s">
        <v>4526</v>
      </c>
      <c r="B481" t="s">
        <v>6176</v>
      </c>
      <c r="C481" t="s">
        <v>197</v>
      </c>
      <c r="D481" s="7" t="s">
        <v>6177</v>
      </c>
      <c r="E481" t="s">
        <v>68</v>
      </c>
      <c r="F481" t="s">
        <v>62</v>
      </c>
      <c r="G481" t="s">
        <v>6178</v>
      </c>
      <c r="H481" t="s">
        <v>1</v>
      </c>
      <c r="I481" t="str">
        <f>_xlfn.XLOOKUP(F481,'Lookup List'!A:A,'Lookup List'!B:B,FALSE)</f>
        <v>Customer</v>
      </c>
      <c r="J481" s="10" t="str">
        <f t="shared" si="20"/>
        <v>09/09/2025</v>
      </c>
      <c r="K481">
        <f>_xlfn.XLOOKUP(J481,'Wk no''s'!D:D,'Wk no''s'!C:C,FALSE)</f>
        <v>37</v>
      </c>
    </row>
    <row r="482" spans="1:11" x14ac:dyDescent="0.3">
      <c r="A482" t="s">
        <v>6179</v>
      </c>
      <c r="B482" t="s">
        <v>6180</v>
      </c>
      <c r="C482" t="s">
        <v>3955</v>
      </c>
      <c r="D482" s="7" t="s">
        <v>6181</v>
      </c>
      <c r="E482" t="s">
        <v>553</v>
      </c>
      <c r="F482" t="s">
        <v>89</v>
      </c>
      <c r="G482" t="s">
        <v>6182</v>
      </c>
      <c r="H482" t="s">
        <v>1</v>
      </c>
      <c r="I482" t="str">
        <f>_xlfn.XLOOKUP(F482,'Lookup List'!A:A,'Lookup List'!B:B,FALSE)</f>
        <v>Salesforce</v>
      </c>
      <c r="J482" s="10" t="str">
        <f t="shared" si="20"/>
        <v>09/09/2025</v>
      </c>
      <c r="K482">
        <f>_xlfn.XLOOKUP(J482,'Wk no''s'!D:D,'Wk no''s'!C:C,FALSE)</f>
        <v>37</v>
      </c>
    </row>
    <row r="483" spans="1:11" x14ac:dyDescent="0.3">
      <c r="A483" t="s">
        <v>6370</v>
      </c>
      <c r="B483" t="s">
        <v>6371</v>
      </c>
      <c r="C483" t="s">
        <v>1495</v>
      </c>
      <c r="D483" s="7" t="s">
        <v>6372</v>
      </c>
      <c r="E483" t="s">
        <v>6373</v>
      </c>
      <c r="F483" t="s">
        <v>73</v>
      </c>
      <c r="G483" t="s">
        <v>6374</v>
      </c>
      <c r="H483" t="s">
        <v>1</v>
      </c>
      <c r="I483" t="str">
        <f>_xlfn.XLOOKUP(F483,'Lookup List'!A:A,'Lookup List'!B:B,FALSE)</f>
        <v>01 SOP</v>
      </c>
      <c r="J483" s="10" t="str">
        <f t="shared" si="20"/>
        <v>15/09/2025</v>
      </c>
      <c r="K483">
        <f>_xlfn.XLOOKUP(J483,'Wk no''s'!D:D,'Wk no''s'!C:C,FALSE)</f>
        <v>38</v>
      </c>
    </row>
    <row r="484" spans="1:11" x14ac:dyDescent="0.3">
      <c r="A484" t="s">
        <v>4284</v>
      </c>
      <c r="B484" t="s">
        <v>4285</v>
      </c>
      <c r="C484" t="s">
        <v>1587</v>
      </c>
      <c r="D484" s="7" t="s">
        <v>6375</v>
      </c>
      <c r="E484" t="s">
        <v>138</v>
      </c>
      <c r="F484" t="s">
        <v>137</v>
      </c>
      <c r="G484" t="s">
        <v>6376</v>
      </c>
      <c r="H484" t="s">
        <v>1</v>
      </c>
      <c r="I484" t="str">
        <f>_xlfn.XLOOKUP(F484,'Lookup List'!A:A,'Lookup List'!B:B,FALSE)</f>
        <v>Supplier</v>
      </c>
      <c r="J484" s="10" t="str">
        <f t="shared" ref="J484:J492" si="21">LEFT(G484,10)</f>
        <v>15/09/2025</v>
      </c>
      <c r="K484">
        <f>_xlfn.XLOOKUP(J484,'Wk no''s'!D:D,'Wk no''s'!C:C,FALSE)</f>
        <v>38</v>
      </c>
    </row>
    <row r="485" spans="1:11" x14ac:dyDescent="0.3">
      <c r="A485" t="s">
        <v>6377</v>
      </c>
      <c r="B485" t="s">
        <v>6378</v>
      </c>
      <c r="C485" t="s">
        <v>6379</v>
      </c>
      <c r="D485" s="7" t="s">
        <v>6380</v>
      </c>
      <c r="E485" t="s">
        <v>138</v>
      </c>
      <c r="F485" t="s">
        <v>121</v>
      </c>
      <c r="G485" t="s">
        <v>6381</v>
      </c>
      <c r="H485" t="s">
        <v>1</v>
      </c>
      <c r="I485" t="str">
        <f>_xlfn.XLOOKUP(F485,'Lookup List'!A:A,'Lookup List'!B:B,FALSE)</f>
        <v>Transport</v>
      </c>
      <c r="J485" s="10" t="str">
        <f t="shared" si="21"/>
        <v>16/09/2025</v>
      </c>
      <c r="K485">
        <f>_xlfn.XLOOKUP(J485,'Wk no''s'!D:D,'Wk no''s'!C:C,FALSE)</f>
        <v>38</v>
      </c>
    </row>
    <row r="486" spans="1:11" x14ac:dyDescent="0.3">
      <c r="A486" t="s">
        <v>145</v>
      </c>
      <c r="B486" t="s">
        <v>303</v>
      </c>
      <c r="C486" t="s">
        <v>2259</v>
      </c>
      <c r="D486" s="7" t="s">
        <v>6382</v>
      </c>
      <c r="E486" t="s">
        <v>79</v>
      </c>
      <c r="F486" t="s">
        <v>100</v>
      </c>
      <c r="G486" t="s">
        <v>6383</v>
      </c>
      <c r="H486" t="s">
        <v>1</v>
      </c>
      <c r="I486" t="str">
        <f>_xlfn.XLOOKUP(F486,'Lookup List'!A:A,'Lookup List'!B:B,FALSE)</f>
        <v>02 Product Design</v>
      </c>
      <c r="J486" s="10" t="str">
        <f t="shared" si="21"/>
        <v>16/09/2025</v>
      </c>
      <c r="K486">
        <f>_xlfn.XLOOKUP(J486,'Wk no''s'!D:D,'Wk no''s'!C:C,FALSE)</f>
        <v>38</v>
      </c>
    </row>
    <row r="487" spans="1:11" x14ac:dyDescent="0.3">
      <c r="A487" t="s">
        <v>453</v>
      </c>
      <c r="B487" t="s">
        <v>452</v>
      </c>
      <c r="C487" t="s">
        <v>451</v>
      </c>
      <c r="D487" s="7" t="s">
        <v>6384</v>
      </c>
      <c r="E487" t="s">
        <v>159</v>
      </c>
      <c r="F487" t="s">
        <v>396</v>
      </c>
      <c r="G487" t="s">
        <v>6385</v>
      </c>
      <c r="H487" t="s">
        <v>1</v>
      </c>
      <c r="I487" t="str">
        <f>_xlfn.XLOOKUP(F487,'Lookup List'!A:A,'Lookup List'!B:B,FALSE)</f>
        <v>03 Assembly Block 2</v>
      </c>
      <c r="J487" s="10" t="str">
        <f t="shared" si="21"/>
        <v>16/09/2025</v>
      </c>
      <c r="K487">
        <f>_xlfn.XLOOKUP(J487,'Wk no''s'!D:D,'Wk no''s'!C:C,FALSE)</f>
        <v>38</v>
      </c>
    </row>
    <row r="488" spans="1:11" x14ac:dyDescent="0.3">
      <c r="A488" t="s">
        <v>77</v>
      </c>
      <c r="B488" t="s">
        <v>76</v>
      </c>
      <c r="C488" t="s">
        <v>6386</v>
      </c>
      <c r="D488" s="7" t="s">
        <v>6387</v>
      </c>
      <c r="E488" t="s">
        <v>68</v>
      </c>
      <c r="F488" t="s">
        <v>62</v>
      </c>
      <c r="G488" t="s">
        <v>6388</v>
      </c>
      <c r="H488" t="s">
        <v>1</v>
      </c>
      <c r="I488" t="str">
        <f>_xlfn.XLOOKUP(F488,'Lookup List'!A:A,'Lookup List'!B:B,FALSE)</f>
        <v>Customer</v>
      </c>
      <c r="J488" s="10" t="str">
        <f t="shared" si="21"/>
        <v>16/09/2025</v>
      </c>
      <c r="K488">
        <f>_xlfn.XLOOKUP(J488,'Wk no''s'!D:D,'Wk no''s'!C:C,FALSE)</f>
        <v>38</v>
      </c>
    </row>
    <row r="489" spans="1:11" x14ac:dyDescent="0.3">
      <c r="A489" t="s">
        <v>6389</v>
      </c>
      <c r="B489" t="s">
        <v>6390</v>
      </c>
      <c r="C489" t="s">
        <v>5710</v>
      </c>
      <c r="D489" s="7" t="s">
        <v>6391</v>
      </c>
      <c r="E489" t="s">
        <v>5997</v>
      </c>
      <c r="F489" t="s">
        <v>253</v>
      </c>
      <c r="G489" t="s">
        <v>6392</v>
      </c>
      <c r="H489" t="s">
        <v>1</v>
      </c>
      <c r="I489" t="str">
        <f>_xlfn.XLOOKUP(F489,'Lookup List'!A:A,'Lookup List'!B:B,FALSE)</f>
        <v>Estimating</v>
      </c>
      <c r="J489" s="10" t="str">
        <f t="shared" si="21"/>
        <v>17/09/2025</v>
      </c>
      <c r="K489">
        <f>_xlfn.XLOOKUP(J489,'Wk no''s'!D:D,'Wk no''s'!C:C,FALSE)</f>
        <v>38</v>
      </c>
    </row>
    <row r="490" spans="1:11" x14ac:dyDescent="0.3">
      <c r="A490" t="s">
        <v>4840</v>
      </c>
      <c r="B490" t="s">
        <v>6393</v>
      </c>
      <c r="C490" t="s">
        <v>4975</v>
      </c>
      <c r="D490" s="7" t="s">
        <v>6394</v>
      </c>
      <c r="E490" t="s">
        <v>1081</v>
      </c>
      <c r="F490" t="s">
        <v>4903</v>
      </c>
      <c r="G490" t="s">
        <v>6395</v>
      </c>
      <c r="H490" t="s">
        <v>1</v>
      </c>
      <c r="I490" t="b">
        <f>_xlfn.XLOOKUP(F490,'Lookup List'!A:A,'Lookup List'!B:B,FALSE)</f>
        <v>0</v>
      </c>
      <c r="J490" s="10" t="str">
        <f t="shared" si="21"/>
        <v>18/09/2025</v>
      </c>
      <c r="K490">
        <f>_xlfn.XLOOKUP(J490,'Wk no''s'!D:D,'Wk no''s'!C:C,FALSE)</f>
        <v>38</v>
      </c>
    </row>
    <row r="491" spans="1:11" x14ac:dyDescent="0.3">
      <c r="A491" t="s">
        <v>6396</v>
      </c>
      <c r="B491" t="s">
        <v>6397</v>
      </c>
      <c r="C491" t="s">
        <v>3840</v>
      </c>
      <c r="D491" s="7" t="s">
        <v>6398</v>
      </c>
      <c r="E491" t="s">
        <v>239</v>
      </c>
      <c r="F491" t="s">
        <v>4903</v>
      </c>
      <c r="G491" t="s">
        <v>6399</v>
      </c>
      <c r="H491" t="s">
        <v>1</v>
      </c>
      <c r="I491" t="b">
        <f>_xlfn.XLOOKUP(F491,'Lookup List'!A:A,'Lookup List'!B:B,FALSE)</f>
        <v>0</v>
      </c>
      <c r="J491" s="10" t="str">
        <f t="shared" si="21"/>
        <v>18/09/2025</v>
      </c>
      <c r="K491">
        <f>_xlfn.XLOOKUP(J491,'Wk no''s'!D:D,'Wk no''s'!C:C,FALSE)</f>
        <v>38</v>
      </c>
    </row>
    <row r="492" spans="1:11" x14ac:dyDescent="0.3">
      <c r="A492" t="s">
        <v>184</v>
      </c>
      <c r="B492" t="s">
        <v>6400</v>
      </c>
      <c r="C492" t="s">
        <v>6401</v>
      </c>
      <c r="D492" s="7" t="s">
        <v>6402</v>
      </c>
      <c r="E492" t="s">
        <v>126</v>
      </c>
      <c r="F492" t="s">
        <v>4903</v>
      </c>
      <c r="G492" t="s">
        <v>6403</v>
      </c>
      <c r="H492" t="s">
        <v>1</v>
      </c>
      <c r="I492" t="b">
        <f>_xlfn.XLOOKUP(F492,'Lookup List'!A:A,'Lookup List'!B:B,FALSE)</f>
        <v>0</v>
      </c>
      <c r="J492" s="10" t="str">
        <f t="shared" si="21"/>
        <v>19/09/2025</v>
      </c>
      <c r="K492">
        <f>_xlfn.XLOOKUP(J492,'Wk no''s'!D:D,'Wk no''s'!C:C,FALSE)</f>
        <v>38</v>
      </c>
    </row>
    <row r="493" spans="1:11" x14ac:dyDescent="0.3">
      <c r="A493" t="s">
        <v>4896</v>
      </c>
      <c r="B493" t="s">
        <v>4897</v>
      </c>
      <c r="C493" t="s">
        <v>3305</v>
      </c>
      <c r="D493" s="7" t="s">
        <v>6405</v>
      </c>
      <c r="E493" t="s">
        <v>122</v>
      </c>
      <c r="F493" t="s">
        <v>177</v>
      </c>
      <c r="G493" t="s">
        <v>6406</v>
      </c>
      <c r="H493" t="s">
        <v>93</v>
      </c>
      <c r="I493" t="str">
        <f>_xlfn.XLOOKUP(F493,'Lookup List'!A:A,'Lookup List'!B:B,FALSE)</f>
        <v>External Courier</v>
      </c>
      <c r="J493" s="10" t="str">
        <f t="shared" ref="J493:J511" si="22">LEFT(G493,10)</f>
        <v>25/09/2025</v>
      </c>
      <c r="K493">
        <f>_xlfn.XLOOKUP(J493,'Wk no''s'!D:D,'Wk no''s'!C:C,FALSE)</f>
        <v>39</v>
      </c>
    </row>
    <row r="494" spans="1:11" x14ac:dyDescent="0.3">
      <c r="A494" t="s">
        <v>207</v>
      </c>
      <c r="B494" t="s">
        <v>206</v>
      </c>
      <c r="C494" t="s">
        <v>205</v>
      </c>
      <c r="D494" s="7" t="s">
        <v>6407</v>
      </c>
      <c r="E494" t="s">
        <v>47</v>
      </c>
      <c r="F494" t="s">
        <v>156</v>
      </c>
      <c r="G494" t="s">
        <v>6408</v>
      </c>
      <c r="H494" t="s">
        <v>37</v>
      </c>
      <c r="I494" t="str">
        <f>_xlfn.XLOOKUP(F494,'Lookup List'!A:A,'Lookup List'!B:B,FALSE)</f>
        <v>02 Product Design</v>
      </c>
      <c r="J494" s="10" t="str">
        <f t="shared" si="22"/>
        <v>22/09/2025</v>
      </c>
      <c r="K494">
        <f>_xlfn.XLOOKUP(J494,'Wk no''s'!D:D,'Wk no''s'!C:C,FALSE)</f>
        <v>39</v>
      </c>
    </row>
    <row r="495" spans="1:11" x14ac:dyDescent="0.3">
      <c r="A495" t="s">
        <v>207</v>
      </c>
      <c r="B495" t="s">
        <v>707</v>
      </c>
      <c r="C495" t="s">
        <v>205</v>
      </c>
      <c r="D495" s="7" t="s">
        <v>6409</v>
      </c>
      <c r="E495" t="s">
        <v>126</v>
      </c>
      <c r="F495" t="s">
        <v>62</v>
      </c>
      <c r="G495" t="s">
        <v>6410</v>
      </c>
      <c r="H495" t="s">
        <v>37</v>
      </c>
      <c r="I495" t="str">
        <f>_xlfn.XLOOKUP(F495,'Lookup List'!A:A,'Lookup List'!B:B,FALSE)</f>
        <v>Customer</v>
      </c>
      <c r="J495" s="10" t="str">
        <f t="shared" si="22"/>
        <v>26/09/2025</v>
      </c>
      <c r="K495">
        <f>_xlfn.XLOOKUP(J495,'Wk no''s'!D:D,'Wk no''s'!C:C,FALSE)</f>
        <v>39</v>
      </c>
    </row>
    <row r="496" spans="1:11" x14ac:dyDescent="0.3">
      <c r="A496" t="s">
        <v>207</v>
      </c>
      <c r="B496" t="s">
        <v>707</v>
      </c>
      <c r="C496" t="s">
        <v>205</v>
      </c>
      <c r="D496" s="7" t="s">
        <v>6411</v>
      </c>
      <c r="E496" t="s">
        <v>126</v>
      </c>
      <c r="F496" t="s">
        <v>46</v>
      </c>
      <c r="G496" t="s">
        <v>6412</v>
      </c>
      <c r="H496" t="s">
        <v>37</v>
      </c>
      <c r="I496" t="str">
        <f>_xlfn.XLOOKUP(F496,'Lookup List'!A:A,'Lookup List'!B:B,FALSE)</f>
        <v>03 Assembly</v>
      </c>
      <c r="J496" s="10" t="str">
        <f t="shared" si="22"/>
        <v>26/09/2025</v>
      </c>
      <c r="K496">
        <f>_xlfn.XLOOKUP(J496,'Wk no''s'!D:D,'Wk no''s'!C:C,FALSE)</f>
        <v>39</v>
      </c>
    </row>
    <row r="497" spans="1:11" x14ac:dyDescent="0.3">
      <c r="A497" t="s">
        <v>6413</v>
      </c>
      <c r="B497" t="s">
        <v>6414</v>
      </c>
      <c r="C497" t="s">
        <v>3609</v>
      </c>
      <c r="D497" s="7" t="s">
        <v>6415</v>
      </c>
      <c r="E497" t="s">
        <v>138</v>
      </c>
      <c r="F497" t="s">
        <v>62</v>
      </c>
      <c r="G497" t="s">
        <v>6416</v>
      </c>
      <c r="H497" t="s">
        <v>1</v>
      </c>
      <c r="I497" t="str">
        <f>_xlfn.XLOOKUP(F497,'Lookup List'!A:A,'Lookup List'!B:B,FALSE)</f>
        <v>Customer</v>
      </c>
      <c r="J497" s="10" t="str">
        <f t="shared" si="22"/>
        <v>22/09/2025</v>
      </c>
      <c r="K497">
        <f>_xlfn.XLOOKUP(J497,'Wk no''s'!D:D,'Wk no''s'!C:C,FALSE)</f>
        <v>39</v>
      </c>
    </row>
    <row r="498" spans="1:11" x14ac:dyDescent="0.3">
      <c r="A498" t="s">
        <v>802</v>
      </c>
      <c r="B498" t="s">
        <v>4530</v>
      </c>
      <c r="C498" t="s">
        <v>1685</v>
      </c>
      <c r="D498" s="7" t="s">
        <v>6417</v>
      </c>
      <c r="E498" t="s">
        <v>553</v>
      </c>
      <c r="F498" t="s">
        <v>156</v>
      </c>
      <c r="G498" t="s">
        <v>6418</v>
      </c>
      <c r="H498" t="s">
        <v>1</v>
      </c>
      <c r="I498" t="str">
        <f>_xlfn.XLOOKUP(F498,'Lookup List'!A:A,'Lookup List'!B:B,FALSE)</f>
        <v>02 Product Design</v>
      </c>
      <c r="J498" s="10" t="str">
        <f t="shared" si="22"/>
        <v>22/09/2025</v>
      </c>
      <c r="K498">
        <f>_xlfn.XLOOKUP(J498,'Wk no''s'!D:D,'Wk no''s'!C:C,FALSE)</f>
        <v>39</v>
      </c>
    </row>
    <row r="499" spans="1:11" x14ac:dyDescent="0.3">
      <c r="A499" t="s">
        <v>296</v>
      </c>
      <c r="B499" t="s">
        <v>6419</v>
      </c>
      <c r="C499" t="s">
        <v>3672</v>
      </c>
      <c r="D499" s="7" t="s">
        <v>6420</v>
      </c>
      <c r="E499" t="s">
        <v>74</v>
      </c>
      <c r="F499" t="s">
        <v>73</v>
      </c>
      <c r="G499" t="s">
        <v>6421</v>
      </c>
      <c r="H499" t="s">
        <v>1</v>
      </c>
      <c r="I499" t="str">
        <f>_xlfn.XLOOKUP(F499,'Lookup List'!A:A,'Lookup List'!B:B,FALSE)</f>
        <v>01 SOP</v>
      </c>
      <c r="J499" s="10" t="str">
        <f t="shared" si="22"/>
        <v>23/09/2025</v>
      </c>
      <c r="K499">
        <f>_xlfn.XLOOKUP(J499,'Wk no''s'!D:D,'Wk no''s'!C:C,FALSE)</f>
        <v>39</v>
      </c>
    </row>
    <row r="500" spans="1:11" x14ac:dyDescent="0.3">
      <c r="A500" t="s">
        <v>296</v>
      </c>
      <c r="B500" t="s">
        <v>551</v>
      </c>
      <c r="C500" t="s">
        <v>1224</v>
      </c>
      <c r="D500" s="7" t="s">
        <v>6422</v>
      </c>
      <c r="E500" t="s">
        <v>175</v>
      </c>
      <c r="F500" t="s">
        <v>137</v>
      </c>
      <c r="G500" t="s">
        <v>6423</v>
      </c>
      <c r="H500" t="s">
        <v>1</v>
      </c>
      <c r="I500" t="str">
        <f>_xlfn.XLOOKUP(F500,'Lookup List'!A:A,'Lookup List'!B:B,FALSE)</f>
        <v>Supplier</v>
      </c>
      <c r="J500" s="10" t="str">
        <f t="shared" si="22"/>
        <v>23/09/2025</v>
      </c>
      <c r="K500">
        <f>_xlfn.XLOOKUP(J500,'Wk no''s'!D:D,'Wk no''s'!C:C,FALSE)</f>
        <v>39</v>
      </c>
    </row>
    <row r="501" spans="1:11" x14ac:dyDescent="0.3">
      <c r="A501" t="s">
        <v>4526</v>
      </c>
      <c r="B501" t="s">
        <v>6424</v>
      </c>
      <c r="C501" t="s">
        <v>4805</v>
      </c>
      <c r="D501" s="7" t="s">
        <v>6425</v>
      </c>
      <c r="E501" t="s">
        <v>239</v>
      </c>
      <c r="F501" t="s">
        <v>73</v>
      </c>
      <c r="G501" t="s">
        <v>6426</v>
      </c>
      <c r="H501" t="s">
        <v>1</v>
      </c>
      <c r="I501" t="str">
        <f>_xlfn.XLOOKUP(F501,'Lookup List'!A:A,'Lookup List'!B:B,FALSE)</f>
        <v>01 SOP</v>
      </c>
      <c r="J501" s="10" t="str">
        <f t="shared" si="22"/>
        <v>23/09/2025</v>
      </c>
      <c r="K501">
        <f>_xlfn.XLOOKUP(J501,'Wk no''s'!D:D,'Wk no''s'!C:C,FALSE)</f>
        <v>39</v>
      </c>
    </row>
    <row r="502" spans="1:11" x14ac:dyDescent="0.3">
      <c r="A502" t="s">
        <v>642</v>
      </c>
      <c r="B502" t="s">
        <v>641</v>
      </c>
      <c r="C502" t="s">
        <v>4605</v>
      </c>
      <c r="D502" s="7" t="s">
        <v>6427</v>
      </c>
      <c r="E502" t="s">
        <v>90</v>
      </c>
      <c r="F502" t="s">
        <v>89</v>
      </c>
      <c r="G502" t="s">
        <v>6428</v>
      </c>
      <c r="H502" t="s">
        <v>1</v>
      </c>
      <c r="I502" t="str">
        <f>_xlfn.XLOOKUP(F502,'Lookup List'!A:A,'Lookup List'!B:B,FALSE)</f>
        <v>Salesforce</v>
      </c>
      <c r="J502" s="10" t="str">
        <f t="shared" si="22"/>
        <v>23/09/2025</v>
      </c>
      <c r="K502">
        <f>_xlfn.XLOOKUP(J502,'Wk no''s'!D:D,'Wk no''s'!C:C,FALSE)</f>
        <v>39</v>
      </c>
    </row>
    <row r="503" spans="1:11" x14ac:dyDescent="0.3">
      <c r="A503" t="s">
        <v>642</v>
      </c>
      <c r="B503" t="s">
        <v>641</v>
      </c>
      <c r="C503" t="s">
        <v>4605</v>
      </c>
      <c r="D503" s="7" t="s">
        <v>6429</v>
      </c>
      <c r="E503" t="s">
        <v>68</v>
      </c>
      <c r="F503" t="s">
        <v>4903</v>
      </c>
      <c r="G503" t="s">
        <v>6430</v>
      </c>
      <c r="H503" t="s">
        <v>1</v>
      </c>
      <c r="I503" t="b">
        <f>_xlfn.XLOOKUP(F503,'Lookup List'!A:A,'Lookup List'!B:B,FALSE)</f>
        <v>0</v>
      </c>
      <c r="J503" s="10" t="str">
        <f t="shared" si="22"/>
        <v>23/09/2025</v>
      </c>
      <c r="K503">
        <f>_xlfn.XLOOKUP(J503,'Wk no''s'!D:D,'Wk no''s'!C:C,FALSE)</f>
        <v>39</v>
      </c>
    </row>
    <row r="504" spans="1:11" x14ac:dyDescent="0.3">
      <c r="A504" t="s">
        <v>6431</v>
      </c>
      <c r="B504" t="s">
        <v>6432</v>
      </c>
      <c r="C504" t="s">
        <v>2239</v>
      </c>
      <c r="D504" s="7" t="s">
        <v>6433</v>
      </c>
      <c r="E504" t="s">
        <v>57</v>
      </c>
      <c r="F504" t="s">
        <v>137</v>
      </c>
      <c r="G504" t="s">
        <v>6434</v>
      </c>
      <c r="H504" t="s">
        <v>1</v>
      </c>
      <c r="I504" t="str">
        <f>_xlfn.XLOOKUP(F504,'Lookup List'!A:A,'Lookup List'!B:B,FALSE)</f>
        <v>Supplier</v>
      </c>
      <c r="J504" s="10" t="str">
        <f t="shared" si="22"/>
        <v>24/09/2025</v>
      </c>
      <c r="K504">
        <f>_xlfn.XLOOKUP(J504,'Wk no''s'!D:D,'Wk no''s'!C:C,FALSE)</f>
        <v>39</v>
      </c>
    </row>
    <row r="505" spans="1:11" x14ac:dyDescent="0.3">
      <c r="A505" t="s">
        <v>4845</v>
      </c>
      <c r="B505" t="s">
        <v>4846</v>
      </c>
      <c r="C505" t="s">
        <v>4847</v>
      </c>
      <c r="D505" s="7" t="s">
        <v>6435</v>
      </c>
      <c r="E505" t="s">
        <v>52</v>
      </c>
      <c r="F505" t="s">
        <v>51</v>
      </c>
      <c r="G505" t="s">
        <v>6436</v>
      </c>
      <c r="H505" t="s">
        <v>1</v>
      </c>
      <c r="I505" t="str">
        <f>_xlfn.XLOOKUP(F505,'Lookup List'!A:A,'Lookup List'!B:B,FALSE)</f>
        <v>03 Shop Floor</v>
      </c>
      <c r="J505" s="10" t="str">
        <f t="shared" si="22"/>
        <v>24/09/2025</v>
      </c>
      <c r="K505">
        <f>_xlfn.XLOOKUP(J505,'Wk no''s'!D:D,'Wk no''s'!C:C,FALSE)</f>
        <v>39</v>
      </c>
    </row>
    <row r="506" spans="1:11" x14ac:dyDescent="0.3">
      <c r="A506" t="s">
        <v>6005</v>
      </c>
      <c r="B506" t="s">
        <v>6006</v>
      </c>
      <c r="C506" t="s">
        <v>5258</v>
      </c>
      <c r="D506" s="7" t="s">
        <v>6437</v>
      </c>
      <c r="E506" t="s">
        <v>90</v>
      </c>
      <c r="F506" t="s">
        <v>89</v>
      </c>
      <c r="G506" t="s">
        <v>6438</v>
      </c>
      <c r="H506" t="s">
        <v>1</v>
      </c>
      <c r="I506" t="str">
        <f>_xlfn.XLOOKUP(F506,'Lookup List'!A:A,'Lookup List'!B:B,FALSE)</f>
        <v>Salesforce</v>
      </c>
      <c r="J506" s="10" t="str">
        <f t="shared" si="22"/>
        <v>25/09/2025</v>
      </c>
      <c r="K506">
        <f>_xlfn.XLOOKUP(J506,'Wk no''s'!D:D,'Wk no''s'!C:C,FALSE)</f>
        <v>39</v>
      </c>
    </row>
    <row r="507" spans="1:11" x14ac:dyDescent="0.3">
      <c r="A507" t="s">
        <v>6439</v>
      </c>
      <c r="B507" t="s">
        <v>6440</v>
      </c>
      <c r="C507" t="s">
        <v>3549</v>
      </c>
      <c r="D507" s="7" t="s">
        <v>6441</v>
      </c>
      <c r="E507" t="s">
        <v>553</v>
      </c>
      <c r="F507" t="s">
        <v>253</v>
      </c>
      <c r="G507" t="s">
        <v>6442</v>
      </c>
      <c r="H507" t="s">
        <v>1</v>
      </c>
      <c r="I507" t="str">
        <f>_xlfn.XLOOKUP(F507,'Lookup List'!A:A,'Lookup List'!B:B,FALSE)</f>
        <v>Estimating</v>
      </c>
      <c r="J507" s="10" t="str">
        <f t="shared" si="22"/>
        <v>25/09/2025</v>
      </c>
      <c r="K507">
        <f>_xlfn.XLOOKUP(J507,'Wk no''s'!D:D,'Wk no''s'!C:C,FALSE)</f>
        <v>39</v>
      </c>
    </row>
    <row r="508" spans="1:11" x14ac:dyDescent="0.3">
      <c r="A508" t="s">
        <v>77</v>
      </c>
      <c r="B508" t="s">
        <v>6443</v>
      </c>
      <c r="C508" t="s">
        <v>6444</v>
      </c>
      <c r="D508" s="7" t="s">
        <v>6445</v>
      </c>
      <c r="E508" t="s">
        <v>90</v>
      </c>
      <c r="F508" t="s">
        <v>84</v>
      </c>
      <c r="G508" t="s">
        <v>6446</v>
      </c>
      <c r="H508" t="s">
        <v>1</v>
      </c>
      <c r="I508" t="str">
        <f>_xlfn.XLOOKUP(F508,'Lookup List'!A:A,'Lookup List'!B:B,FALSE)</f>
        <v>Fast Track</v>
      </c>
      <c r="J508" s="10" t="str">
        <f t="shared" si="22"/>
        <v>26/09/2025</v>
      </c>
      <c r="K508">
        <f>_xlfn.XLOOKUP(J508,'Wk no''s'!D:D,'Wk no''s'!C:C,FALSE)</f>
        <v>39</v>
      </c>
    </row>
    <row r="509" spans="1:11" x14ac:dyDescent="0.3">
      <c r="A509" t="s">
        <v>207</v>
      </c>
      <c r="B509" t="s">
        <v>6447</v>
      </c>
      <c r="C509" t="s">
        <v>4882</v>
      </c>
      <c r="D509" s="7" t="s">
        <v>6448</v>
      </c>
      <c r="E509" t="s">
        <v>47</v>
      </c>
      <c r="F509" t="s">
        <v>4049</v>
      </c>
      <c r="G509" t="s">
        <v>6449</v>
      </c>
      <c r="H509" t="s">
        <v>4</v>
      </c>
      <c r="I509" t="b">
        <f>_xlfn.XLOOKUP(F509,'Lookup List'!A:A,'Lookup List'!B:B,FALSE)</f>
        <v>0</v>
      </c>
      <c r="J509" s="10" t="str">
        <f t="shared" si="22"/>
        <v>22/09/2025</v>
      </c>
      <c r="K509">
        <f>_xlfn.XLOOKUP(J509,'Wk no''s'!D:D,'Wk no''s'!C:C,FALSE)</f>
        <v>39</v>
      </c>
    </row>
    <row r="510" spans="1:11" x14ac:dyDescent="0.3">
      <c r="A510" t="s">
        <v>207</v>
      </c>
      <c r="B510" t="s">
        <v>6447</v>
      </c>
      <c r="C510" t="s">
        <v>4882</v>
      </c>
      <c r="D510" s="7" t="s">
        <v>6450</v>
      </c>
      <c r="E510" t="s">
        <v>47</v>
      </c>
      <c r="F510" t="s">
        <v>4049</v>
      </c>
      <c r="G510" t="s">
        <v>6451</v>
      </c>
      <c r="H510" t="s">
        <v>4</v>
      </c>
      <c r="I510" t="b">
        <f>_xlfn.XLOOKUP(F510,'Lookup List'!A:A,'Lookup List'!B:B,FALSE)</f>
        <v>0</v>
      </c>
      <c r="J510" s="10" t="str">
        <f t="shared" si="22"/>
        <v>22/09/2025</v>
      </c>
      <c r="K510">
        <f>_xlfn.XLOOKUP(J510,'Wk no''s'!D:D,'Wk no''s'!C:C,FALSE)</f>
        <v>39</v>
      </c>
    </row>
    <row r="511" spans="1:11" x14ac:dyDescent="0.3">
      <c r="A511" t="s">
        <v>49</v>
      </c>
      <c r="B511" t="s">
        <v>48</v>
      </c>
      <c r="C511" t="s">
        <v>6452</v>
      </c>
      <c r="D511" s="7" t="s">
        <v>6453</v>
      </c>
      <c r="E511" t="s">
        <v>47</v>
      </c>
      <c r="F511" t="s">
        <v>4903</v>
      </c>
      <c r="G511" t="s">
        <v>6454</v>
      </c>
      <c r="H511" t="s">
        <v>4</v>
      </c>
      <c r="I511" t="b">
        <f>_xlfn.XLOOKUP(F511,'Lookup List'!A:A,'Lookup List'!B:B,FALSE)</f>
        <v>0</v>
      </c>
      <c r="J511" s="10" t="str">
        <f t="shared" si="22"/>
        <v>26/09/2025</v>
      </c>
      <c r="K511">
        <f>_xlfn.XLOOKUP(J511,'Wk no''s'!D:D,'Wk no''s'!C:C,FALSE)</f>
        <v>39</v>
      </c>
    </row>
    <row r="512" spans="1:11" x14ac:dyDescent="0.3">
      <c r="A512" t="s">
        <v>4896</v>
      </c>
      <c r="B512" t="s">
        <v>4897</v>
      </c>
      <c r="C512" t="s">
        <v>3305</v>
      </c>
      <c r="D512" s="7" t="s">
        <v>6576</v>
      </c>
      <c r="E512" t="s">
        <v>5997</v>
      </c>
      <c r="F512" t="s">
        <v>1132</v>
      </c>
      <c r="G512" t="s">
        <v>6577</v>
      </c>
      <c r="H512" t="s">
        <v>93</v>
      </c>
      <c r="I512" t="b">
        <f>_xlfn.XLOOKUP(F512,'Lookup List'!A:A,'Lookup List'!B:B,FALSE)</f>
        <v>0</v>
      </c>
      <c r="J512" s="10" t="str">
        <f t="shared" ref="J512:J529" si="23">LEFT(G512,10)</f>
        <v>02/10/2025</v>
      </c>
      <c r="K512">
        <f>_xlfn.XLOOKUP(J512,'Wk no''s'!D:D,'Wk no''s'!C:C,FALSE)</f>
        <v>40</v>
      </c>
    </row>
    <row r="513" spans="1:11" x14ac:dyDescent="0.3">
      <c r="A513" t="s">
        <v>207</v>
      </c>
      <c r="B513" t="s">
        <v>4825</v>
      </c>
      <c r="C513" t="s">
        <v>205</v>
      </c>
      <c r="D513" s="7" t="s">
        <v>6578</v>
      </c>
      <c r="E513" t="s">
        <v>138</v>
      </c>
      <c r="F513" t="s">
        <v>4903</v>
      </c>
      <c r="G513" t="s">
        <v>6579</v>
      </c>
      <c r="H513" t="s">
        <v>37</v>
      </c>
      <c r="I513" t="b">
        <f>_xlfn.XLOOKUP(F513,'Lookup List'!A:A,'Lookup List'!B:B,FALSE)</f>
        <v>0</v>
      </c>
      <c r="J513" s="10" t="str">
        <f t="shared" si="23"/>
        <v>29/09/2025</v>
      </c>
      <c r="K513">
        <f>_xlfn.XLOOKUP(J513,'Wk no''s'!D:D,'Wk no''s'!C:C,FALSE)</f>
        <v>40</v>
      </c>
    </row>
    <row r="514" spans="1:11" x14ac:dyDescent="0.3">
      <c r="A514" t="s">
        <v>207</v>
      </c>
      <c r="B514" t="s">
        <v>707</v>
      </c>
      <c r="C514" t="s">
        <v>205</v>
      </c>
      <c r="D514" s="7" t="s">
        <v>6580</v>
      </c>
      <c r="E514" t="s">
        <v>1081</v>
      </c>
      <c r="F514" t="s">
        <v>62</v>
      </c>
      <c r="G514" t="s">
        <v>6581</v>
      </c>
      <c r="H514" t="s">
        <v>37</v>
      </c>
      <c r="I514" t="str">
        <f>_xlfn.XLOOKUP(F514,'Lookup List'!A:A,'Lookup List'!B:B,FALSE)</f>
        <v>Customer</v>
      </c>
      <c r="J514" s="10" t="str">
        <f t="shared" si="23"/>
        <v>29/09/2025</v>
      </c>
      <c r="K514">
        <f>_xlfn.XLOOKUP(J514,'Wk no''s'!D:D,'Wk no''s'!C:C,FALSE)</f>
        <v>40</v>
      </c>
    </row>
    <row r="515" spans="1:11" x14ac:dyDescent="0.3">
      <c r="A515" t="s">
        <v>207</v>
      </c>
      <c r="B515" t="s">
        <v>4825</v>
      </c>
      <c r="C515" t="s">
        <v>205</v>
      </c>
      <c r="D515" s="7" t="s">
        <v>6582</v>
      </c>
      <c r="E515" t="s">
        <v>138</v>
      </c>
      <c r="F515" t="s">
        <v>4903</v>
      </c>
      <c r="G515" t="s">
        <v>6583</v>
      </c>
      <c r="H515" t="s">
        <v>37</v>
      </c>
      <c r="I515" t="b">
        <f>_xlfn.XLOOKUP(F515,'Lookup List'!A:A,'Lookup List'!B:B,FALSE)</f>
        <v>0</v>
      </c>
      <c r="J515" s="10" t="str">
        <f t="shared" si="23"/>
        <v>30/09/2025</v>
      </c>
      <c r="K515">
        <f>_xlfn.XLOOKUP(J515,'Wk no''s'!D:D,'Wk no''s'!C:C,FALSE)</f>
        <v>40</v>
      </c>
    </row>
    <row r="516" spans="1:11" x14ac:dyDescent="0.3">
      <c r="A516" t="s">
        <v>6584</v>
      </c>
      <c r="B516" t="s">
        <v>6585</v>
      </c>
      <c r="C516" t="s">
        <v>6065</v>
      </c>
      <c r="D516" s="7" t="s">
        <v>6586</v>
      </c>
      <c r="E516" t="s">
        <v>74</v>
      </c>
      <c r="F516" t="s">
        <v>73</v>
      </c>
      <c r="G516" t="s">
        <v>6587</v>
      </c>
      <c r="H516" t="s">
        <v>1</v>
      </c>
      <c r="I516" t="str">
        <f>_xlfn.XLOOKUP(F516,'Lookup List'!A:A,'Lookup List'!B:B,FALSE)</f>
        <v>01 SOP</v>
      </c>
      <c r="J516" s="10" t="str">
        <f t="shared" si="23"/>
        <v>29/09/2025</v>
      </c>
      <c r="K516">
        <f>_xlfn.XLOOKUP(J516,'Wk no''s'!D:D,'Wk no''s'!C:C,FALSE)</f>
        <v>40</v>
      </c>
    </row>
    <row r="517" spans="1:11" x14ac:dyDescent="0.3">
      <c r="A517" t="s">
        <v>242</v>
      </c>
      <c r="B517" t="s">
        <v>241</v>
      </c>
      <c r="C517" t="s">
        <v>1544</v>
      </c>
      <c r="D517" s="7" t="s">
        <v>6588</v>
      </c>
      <c r="E517" t="s">
        <v>4910</v>
      </c>
      <c r="F517" t="s">
        <v>62</v>
      </c>
      <c r="G517" t="s">
        <v>6589</v>
      </c>
      <c r="H517" t="s">
        <v>1</v>
      </c>
      <c r="I517" t="str">
        <f>_xlfn.XLOOKUP(F517,'Lookup List'!A:A,'Lookup List'!B:B,FALSE)</f>
        <v>Customer</v>
      </c>
      <c r="J517" s="10" t="str">
        <f t="shared" si="23"/>
        <v>29/09/2025</v>
      </c>
      <c r="K517">
        <f>_xlfn.XLOOKUP(J517,'Wk no''s'!D:D,'Wk no''s'!C:C,FALSE)</f>
        <v>40</v>
      </c>
    </row>
    <row r="518" spans="1:11" x14ac:dyDescent="0.3">
      <c r="A518" t="s">
        <v>802</v>
      </c>
      <c r="B518" t="s">
        <v>4530</v>
      </c>
      <c r="C518" t="s">
        <v>1685</v>
      </c>
      <c r="D518" s="7" t="s">
        <v>6590</v>
      </c>
      <c r="E518" t="s">
        <v>239</v>
      </c>
      <c r="F518" t="s">
        <v>73</v>
      </c>
      <c r="G518" t="s">
        <v>6591</v>
      </c>
      <c r="H518" t="s">
        <v>1</v>
      </c>
      <c r="I518" t="str">
        <f>_xlfn.XLOOKUP(F518,'Lookup List'!A:A,'Lookup List'!B:B,FALSE)</f>
        <v>01 SOP</v>
      </c>
      <c r="J518" s="10" t="str">
        <f t="shared" si="23"/>
        <v>30/09/2025</v>
      </c>
      <c r="K518">
        <f>_xlfn.XLOOKUP(J518,'Wk no''s'!D:D,'Wk no''s'!C:C,FALSE)</f>
        <v>40</v>
      </c>
    </row>
    <row r="519" spans="1:11" x14ac:dyDescent="0.3">
      <c r="A519" t="s">
        <v>6005</v>
      </c>
      <c r="B519" t="s">
        <v>6006</v>
      </c>
      <c r="C519" t="s">
        <v>5258</v>
      </c>
      <c r="D519" s="7" t="s">
        <v>6592</v>
      </c>
      <c r="E519" t="s">
        <v>63</v>
      </c>
      <c r="F519" t="s">
        <v>62</v>
      </c>
      <c r="G519" t="s">
        <v>6593</v>
      </c>
      <c r="H519" t="s">
        <v>1</v>
      </c>
      <c r="I519" t="str">
        <f>_xlfn.XLOOKUP(F519,'Lookup List'!A:A,'Lookup List'!B:B,FALSE)</f>
        <v>Customer</v>
      </c>
      <c r="J519" s="10" t="str">
        <f t="shared" si="23"/>
        <v>30/09/2025</v>
      </c>
      <c r="K519">
        <f>_xlfn.XLOOKUP(J519,'Wk no''s'!D:D,'Wk no''s'!C:C,FALSE)</f>
        <v>40</v>
      </c>
    </row>
    <row r="520" spans="1:11" x14ac:dyDescent="0.3">
      <c r="A520" t="s">
        <v>6594</v>
      </c>
      <c r="B520" t="s">
        <v>6595</v>
      </c>
      <c r="C520" t="s">
        <v>5183</v>
      </c>
      <c r="D520" s="7" t="s">
        <v>6596</v>
      </c>
      <c r="E520" t="s">
        <v>175</v>
      </c>
      <c r="F520" t="s">
        <v>46</v>
      </c>
      <c r="G520" t="s">
        <v>6597</v>
      </c>
      <c r="H520" t="s">
        <v>1</v>
      </c>
      <c r="I520" t="str">
        <f>_xlfn.XLOOKUP(F520,'Lookup List'!A:A,'Lookup List'!B:B,FALSE)</f>
        <v>03 Assembly</v>
      </c>
      <c r="J520" s="10" t="str">
        <f t="shared" si="23"/>
        <v>30/09/2025</v>
      </c>
      <c r="K520">
        <f>_xlfn.XLOOKUP(J520,'Wk no''s'!D:D,'Wk no''s'!C:C,FALSE)</f>
        <v>40</v>
      </c>
    </row>
    <row r="521" spans="1:11" x14ac:dyDescent="0.3">
      <c r="A521" t="s">
        <v>145</v>
      </c>
      <c r="B521" t="s">
        <v>6598</v>
      </c>
      <c r="C521" t="s">
        <v>6599</v>
      </c>
      <c r="D521" s="7" t="s">
        <v>6600</v>
      </c>
      <c r="E521" t="s">
        <v>370</v>
      </c>
      <c r="F521" t="s">
        <v>100</v>
      </c>
      <c r="G521" t="s">
        <v>6601</v>
      </c>
      <c r="H521" t="s">
        <v>1</v>
      </c>
      <c r="I521" t="str">
        <f>_xlfn.XLOOKUP(F521,'Lookup List'!A:A,'Lookup List'!B:B,FALSE)</f>
        <v>02 Product Design</v>
      </c>
      <c r="J521" s="10" t="str">
        <f t="shared" si="23"/>
        <v>01/10/2025</v>
      </c>
      <c r="K521">
        <f>_xlfn.XLOOKUP(J521,'Wk no''s'!D:D,'Wk no''s'!C:C,FALSE)</f>
        <v>40</v>
      </c>
    </row>
    <row r="522" spans="1:11" x14ac:dyDescent="0.3">
      <c r="A522" t="s">
        <v>4912</v>
      </c>
      <c r="B522" t="s">
        <v>6602</v>
      </c>
      <c r="C522" t="s">
        <v>6026</v>
      </c>
      <c r="D522" s="7" t="s">
        <v>6603</v>
      </c>
      <c r="E522" t="s">
        <v>68</v>
      </c>
      <c r="F522" t="s">
        <v>62</v>
      </c>
      <c r="G522" t="s">
        <v>6604</v>
      </c>
      <c r="H522" t="s">
        <v>1</v>
      </c>
      <c r="I522" t="str">
        <f>_xlfn.XLOOKUP(F522,'Lookup List'!A:A,'Lookup List'!B:B,FALSE)</f>
        <v>Customer</v>
      </c>
      <c r="J522" s="10" t="str">
        <f t="shared" si="23"/>
        <v>01/10/2025</v>
      </c>
      <c r="K522">
        <f>_xlfn.XLOOKUP(J522,'Wk no''s'!D:D,'Wk no''s'!C:C,FALSE)</f>
        <v>40</v>
      </c>
    </row>
    <row r="523" spans="1:11" x14ac:dyDescent="0.3">
      <c r="A523" t="s">
        <v>234</v>
      </c>
      <c r="B523" t="s">
        <v>233</v>
      </c>
      <c r="C523" t="s">
        <v>1251</v>
      </c>
      <c r="D523" s="7" t="s">
        <v>6605</v>
      </c>
      <c r="E523" t="s">
        <v>74</v>
      </c>
      <c r="F523" t="s">
        <v>73</v>
      </c>
      <c r="G523" t="s">
        <v>6606</v>
      </c>
      <c r="H523" t="s">
        <v>1</v>
      </c>
      <c r="I523" t="str">
        <f>_xlfn.XLOOKUP(F523,'Lookup List'!A:A,'Lookup List'!B:B,FALSE)</f>
        <v>01 SOP</v>
      </c>
      <c r="J523" s="10" t="str">
        <f t="shared" si="23"/>
        <v>01/10/2025</v>
      </c>
      <c r="K523">
        <f>_xlfn.XLOOKUP(J523,'Wk no''s'!D:D,'Wk no''s'!C:C,FALSE)</f>
        <v>40</v>
      </c>
    </row>
    <row r="524" spans="1:11" x14ac:dyDescent="0.3">
      <c r="A524" t="s">
        <v>6607</v>
      </c>
      <c r="B524" t="s">
        <v>6608</v>
      </c>
      <c r="C524" t="s">
        <v>4088</v>
      </c>
      <c r="D524" s="7" t="s">
        <v>6609</v>
      </c>
      <c r="E524" t="s">
        <v>1081</v>
      </c>
      <c r="F524" t="s">
        <v>89</v>
      </c>
      <c r="G524" t="s">
        <v>6610</v>
      </c>
      <c r="H524" t="s">
        <v>1</v>
      </c>
      <c r="I524" t="str">
        <f>_xlfn.XLOOKUP(F524,'Lookup List'!A:A,'Lookup List'!B:B,FALSE)</f>
        <v>Salesforce</v>
      </c>
      <c r="J524" s="10" t="str">
        <f t="shared" si="23"/>
        <v>01/10/2025</v>
      </c>
      <c r="K524">
        <f>_xlfn.XLOOKUP(J524,'Wk no''s'!D:D,'Wk no''s'!C:C,FALSE)</f>
        <v>40</v>
      </c>
    </row>
    <row r="525" spans="1:11" x14ac:dyDescent="0.3">
      <c r="A525" t="s">
        <v>6611</v>
      </c>
      <c r="B525" t="s">
        <v>6612</v>
      </c>
      <c r="C525" t="s">
        <v>4957</v>
      </c>
      <c r="D525" s="7" t="s">
        <v>6613</v>
      </c>
      <c r="E525" t="s">
        <v>74</v>
      </c>
      <c r="F525" t="s">
        <v>73</v>
      </c>
      <c r="G525" t="s">
        <v>6614</v>
      </c>
      <c r="H525" t="s">
        <v>1</v>
      </c>
      <c r="I525" t="str">
        <f>_xlfn.XLOOKUP(F525,'Lookup List'!A:A,'Lookup List'!B:B,FALSE)</f>
        <v>01 SOP</v>
      </c>
      <c r="J525" s="10" t="str">
        <f t="shared" si="23"/>
        <v>02/10/2025</v>
      </c>
      <c r="K525">
        <f>_xlfn.XLOOKUP(J525,'Wk no''s'!D:D,'Wk no''s'!C:C,FALSE)</f>
        <v>40</v>
      </c>
    </row>
    <row r="526" spans="1:11" x14ac:dyDescent="0.3">
      <c r="A526" t="s">
        <v>184</v>
      </c>
      <c r="B526" t="s">
        <v>6615</v>
      </c>
      <c r="C526" t="s">
        <v>6072</v>
      </c>
      <c r="D526" s="7" t="s">
        <v>6616</v>
      </c>
      <c r="E526" t="s">
        <v>370</v>
      </c>
      <c r="F526" t="s">
        <v>156</v>
      </c>
      <c r="G526" t="s">
        <v>6617</v>
      </c>
      <c r="H526" t="s">
        <v>1</v>
      </c>
      <c r="I526" t="str">
        <f>_xlfn.XLOOKUP(F526,'Lookup List'!A:A,'Lookup List'!B:B,FALSE)</f>
        <v>02 Product Design</v>
      </c>
      <c r="J526" s="10" t="str">
        <f t="shared" si="23"/>
        <v>03/10/2025</v>
      </c>
      <c r="K526">
        <f>_xlfn.XLOOKUP(J526,'Wk no''s'!D:D,'Wk no''s'!C:C,FALSE)</f>
        <v>40</v>
      </c>
    </row>
    <row r="527" spans="1:11" x14ac:dyDescent="0.3">
      <c r="A527" t="s">
        <v>49</v>
      </c>
      <c r="B527" t="s">
        <v>48</v>
      </c>
      <c r="C527" t="s">
        <v>6452</v>
      </c>
      <c r="D527" s="7" t="s">
        <v>6618</v>
      </c>
      <c r="E527" t="s">
        <v>63</v>
      </c>
      <c r="F527" t="s">
        <v>62</v>
      </c>
      <c r="G527" t="s">
        <v>6619</v>
      </c>
      <c r="H527" t="s">
        <v>4</v>
      </c>
      <c r="I527" t="str">
        <f>_xlfn.XLOOKUP(F527,'Lookup List'!A:A,'Lookup List'!B:B,FALSE)</f>
        <v>Customer</v>
      </c>
      <c r="J527" s="10" t="str">
        <f t="shared" si="23"/>
        <v>29/09/2025</v>
      </c>
      <c r="K527">
        <f>_xlfn.XLOOKUP(J527,'Wk no''s'!D:D,'Wk no''s'!C:C,FALSE)</f>
        <v>40</v>
      </c>
    </row>
    <row r="528" spans="1:11" x14ac:dyDescent="0.3">
      <c r="A528" t="s">
        <v>207</v>
      </c>
      <c r="B528" t="s">
        <v>6447</v>
      </c>
      <c r="C528" t="s">
        <v>4882</v>
      </c>
      <c r="D528" s="7" t="s">
        <v>6620</v>
      </c>
      <c r="E528" t="s">
        <v>47</v>
      </c>
      <c r="F528" t="s">
        <v>4903</v>
      </c>
      <c r="G528" t="s">
        <v>6621</v>
      </c>
      <c r="H528" t="s">
        <v>4</v>
      </c>
      <c r="I528" t="b">
        <f>_xlfn.XLOOKUP(F528,'Lookup List'!A:A,'Lookup List'!B:B,FALSE)</f>
        <v>0</v>
      </c>
      <c r="J528" s="10" t="str">
        <f t="shared" si="23"/>
        <v>01/10/2025</v>
      </c>
      <c r="K528">
        <f>_xlfn.XLOOKUP(J528,'Wk no''s'!D:D,'Wk no''s'!C:C,FALSE)</f>
        <v>40</v>
      </c>
    </row>
    <row r="529" spans="1:11" x14ac:dyDescent="0.3">
      <c r="A529" t="s">
        <v>430</v>
      </c>
      <c r="B529" t="s">
        <v>429</v>
      </c>
      <c r="C529" t="s">
        <v>6865</v>
      </c>
      <c r="D529" s="7" t="s">
        <v>6866</v>
      </c>
      <c r="E529" t="s">
        <v>47</v>
      </c>
      <c r="F529" t="s">
        <v>84</v>
      </c>
      <c r="G529" t="s">
        <v>6867</v>
      </c>
      <c r="H529" t="s">
        <v>0</v>
      </c>
      <c r="I529" t="str">
        <f>_xlfn.XLOOKUP(F529,'Lookup List'!A:A,'Lookup List'!B:B,FALSE)</f>
        <v>Fast Track</v>
      </c>
      <c r="J529" s="10" t="str">
        <f t="shared" si="23"/>
        <v>06/10/2025</v>
      </c>
      <c r="K529">
        <f>_xlfn.XLOOKUP(J529,'Wk no''s'!D:D,'Wk no''s'!C:C,FALSE)</f>
        <v>41</v>
      </c>
    </row>
    <row r="530" spans="1:11" x14ac:dyDescent="0.3">
      <c r="A530" t="s">
        <v>430</v>
      </c>
      <c r="B530" t="s">
        <v>6868</v>
      </c>
      <c r="C530" t="s">
        <v>527</v>
      </c>
      <c r="D530" s="7" t="s">
        <v>6869</v>
      </c>
      <c r="E530" t="s">
        <v>248</v>
      </c>
      <c r="F530" t="s">
        <v>84</v>
      </c>
      <c r="G530" t="s">
        <v>6870</v>
      </c>
      <c r="H530" t="s">
        <v>0</v>
      </c>
      <c r="I530" t="str">
        <f>_xlfn.XLOOKUP(F530,'Lookup List'!A:A,'Lookup List'!B:B,FALSE)</f>
        <v>Fast Track</v>
      </c>
      <c r="J530" s="10" t="str">
        <f t="shared" ref="J530:J543" si="24">LEFT(G530,10)</f>
        <v>10/10/2025</v>
      </c>
      <c r="K530">
        <f>_xlfn.XLOOKUP(J530,'Wk no''s'!D:D,'Wk no''s'!C:C,FALSE)</f>
        <v>41</v>
      </c>
    </row>
    <row r="531" spans="1:11" x14ac:dyDescent="0.3">
      <c r="A531" t="s">
        <v>6871</v>
      </c>
      <c r="B531" t="s">
        <v>6872</v>
      </c>
      <c r="C531" t="s">
        <v>5427</v>
      </c>
      <c r="D531" s="7" t="s">
        <v>6873</v>
      </c>
      <c r="E531" t="s">
        <v>63</v>
      </c>
      <c r="F531" t="s">
        <v>284</v>
      </c>
      <c r="G531" t="s">
        <v>6874</v>
      </c>
      <c r="H531" t="s">
        <v>9</v>
      </c>
      <c r="I531" t="str">
        <f>_xlfn.XLOOKUP(F531,'Lookup List'!A:A,'Lookup List'!B:B,FALSE)</f>
        <v>01 Export SOP</v>
      </c>
      <c r="J531" s="10" t="str">
        <f t="shared" si="24"/>
        <v>06/10/2025</v>
      </c>
      <c r="K531">
        <f>_xlfn.XLOOKUP(J531,'Wk no''s'!D:D,'Wk no''s'!C:C,FALSE)</f>
        <v>41</v>
      </c>
    </row>
    <row r="532" spans="1:11" x14ac:dyDescent="0.3">
      <c r="A532" t="s">
        <v>6875</v>
      </c>
      <c r="B532" t="s">
        <v>6876</v>
      </c>
      <c r="C532" t="s">
        <v>5074</v>
      </c>
      <c r="D532" s="7" t="s">
        <v>6877</v>
      </c>
      <c r="E532" t="s">
        <v>1081</v>
      </c>
      <c r="F532" t="s">
        <v>396</v>
      </c>
      <c r="G532" t="s">
        <v>6878</v>
      </c>
      <c r="H532" t="s">
        <v>1</v>
      </c>
      <c r="I532" t="str">
        <f>_xlfn.XLOOKUP(F532,'Lookup List'!A:A,'Lookup List'!B:B,FALSE)</f>
        <v>03 Assembly Block 2</v>
      </c>
      <c r="J532" s="10" t="str">
        <f t="shared" si="24"/>
        <v>06/10/2025</v>
      </c>
      <c r="K532">
        <f>_xlfn.XLOOKUP(J532,'Wk no''s'!D:D,'Wk no''s'!C:C,FALSE)</f>
        <v>41</v>
      </c>
    </row>
    <row r="533" spans="1:11" x14ac:dyDescent="0.3">
      <c r="A533" t="s">
        <v>6005</v>
      </c>
      <c r="B533" t="s">
        <v>6006</v>
      </c>
      <c r="C533" t="s">
        <v>5258</v>
      </c>
      <c r="D533" s="7" t="s">
        <v>6879</v>
      </c>
      <c r="E533" t="s">
        <v>1081</v>
      </c>
      <c r="F533" t="s">
        <v>4903</v>
      </c>
      <c r="G533" t="s">
        <v>6880</v>
      </c>
      <c r="H533" t="s">
        <v>1</v>
      </c>
      <c r="I533" t="b">
        <f>_xlfn.XLOOKUP(F533,'Lookup List'!A:A,'Lookup List'!B:B,FALSE)</f>
        <v>0</v>
      </c>
      <c r="J533" s="10" t="str">
        <f t="shared" si="24"/>
        <v>07/10/2025</v>
      </c>
      <c r="K533">
        <f>_xlfn.XLOOKUP(J533,'Wk no''s'!D:D,'Wk no''s'!C:C,FALSE)</f>
        <v>41</v>
      </c>
    </row>
    <row r="534" spans="1:11" x14ac:dyDescent="0.3">
      <c r="A534" t="s">
        <v>6881</v>
      </c>
      <c r="B534" t="s">
        <v>6882</v>
      </c>
      <c r="C534" t="s">
        <v>6883</v>
      </c>
      <c r="D534" s="7" t="s">
        <v>6884</v>
      </c>
      <c r="E534" t="s">
        <v>90</v>
      </c>
      <c r="F534" t="s">
        <v>73</v>
      </c>
      <c r="G534" t="s">
        <v>6885</v>
      </c>
      <c r="H534" t="s">
        <v>1</v>
      </c>
      <c r="I534" t="str">
        <f>_xlfn.XLOOKUP(F534,'Lookup List'!A:A,'Lookup List'!B:B,FALSE)</f>
        <v>01 SOP</v>
      </c>
      <c r="J534" s="10" t="str">
        <f t="shared" si="24"/>
        <v>07/10/2025</v>
      </c>
      <c r="K534">
        <f>_xlfn.XLOOKUP(J534,'Wk no''s'!D:D,'Wk no''s'!C:C,FALSE)</f>
        <v>41</v>
      </c>
    </row>
    <row r="535" spans="1:11" x14ac:dyDescent="0.3">
      <c r="A535" t="s">
        <v>6886</v>
      </c>
      <c r="B535" t="s">
        <v>6887</v>
      </c>
      <c r="C535" t="s">
        <v>5043</v>
      </c>
      <c r="D535" s="7" t="s">
        <v>6888</v>
      </c>
      <c r="E535" t="s">
        <v>74</v>
      </c>
      <c r="F535" t="s">
        <v>73</v>
      </c>
      <c r="G535" t="s">
        <v>6889</v>
      </c>
      <c r="H535" t="s">
        <v>1</v>
      </c>
      <c r="I535" t="str">
        <f>_xlfn.XLOOKUP(F535,'Lookup List'!A:A,'Lookup List'!B:B,FALSE)</f>
        <v>01 SOP</v>
      </c>
      <c r="J535" s="10" t="str">
        <f t="shared" si="24"/>
        <v>08/10/2025</v>
      </c>
      <c r="K535">
        <f>_xlfn.XLOOKUP(J535,'Wk no''s'!D:D,'Wk no''s'!C:C,FALSE)</f>
        <v>41</v>
      </c>
    </row>
    <row r="536" spans="1:11" x14ac:dyDescent="0.3">
      <c r="A536" t="s">
        <v>6875</v>
      </c>
      <c r="B536" t="s">
        <v>6876</v>
      </c>
      <c r="C536" t="s">
        <v>5074</v>
      </c>
      <c r="D536" s="7" t="s">
        <v>6890</v>
      </c>
      <c r="E536" t="s">
        <v>47</v>
      </c>
      <c r="F536" t="s">
        <v>4903</v>
      </c>
      <c r="G536" t="s">
        <v>6891</v>
      </c>
      <c r="H536" t="s">
        <v>1</v>
      </c>
      <c r="I536" t="b">
        <f>_xlfn.XLOOKUP(F536,'Lookup List'!A:A,'Lookup List'!B:B,FALSE)</f>
        <v>0</v>
      </c>
      <c r="J536" s="10" t="str">
        <f t="shared" si="24"/>
        <v>08/10/2025</v>
      </c>
      <c r="K536">
        <f>_xlfn.XLOOKUP(J536,'Wk no''s'!D:D,'Wk no''s'!C:C,FALSE)</f>
        <v>41</v>
      </c>
    </row>
    <row r="537" spans="1:11" x14ac:dyDescent="0.3">
      <c r="A537" t="s">
        <v>6892</v>
      </c>
      <c r="B537" t="s">
        <v>6893</v>
      </c>
      <c r="C537" t="s">
        <v>6289</v>
      </c>
      <c r="D537" s="7" t="s">
        <v>6894</v>
      </c>
      <c r="E537" t="s">
        <v>74</v>
      </c>
      <c r="F537" t="s">
        <v>73</v>
      </c>
      <c r="G537" t="s">
        <v>6895</v>
      </c>
      <c r="H537" t="s">
        <v>1</v>
      </c>
      <c r="I537" t="str">
        <f>_xlfn.XLOOKUP(F537,'Lookup List'!A:A,'Lookup List'!B:B,FALSE)</f>
        <v>01 SOP</v>
      </c>
      <c r="J537" s="10" t="str">
        <f t="shared" si="24"/>
        <v>08/10/2025</v>
      </c>
      <c r="K537">
        <f>_xlfn.XLOOKUP(J537,'Wk no''s'!D:D,'Wk no''s'!C:C,FALSE)</f>
        <v>41</v>
      </c>
    </row>
    <row r="538" spans="1:11" x14ac:dyDescent="0.3">
      <c r="A538" t="s">
        <v>6892</v>
      </c>
      <c r="B538" t="s">
        <v>6893</v>
      </c>
      <c r="C538" t="s">
        <v>6289</v>
      </c>
      <c r="D538" s="7" t="s">
        <v>6896</v>
      </c>
      <c r="E538" t="s">
        <v>74</v>
      </c>
      <c r="F538" t="s">
        <v>73</v>
      </c>
      <c r="G538" t="s">
        <v>6897</v>
      </c>
      <c r="H538" t="s">
        <v>1</v>
      </c>
      <c r="I538" t="str">
        <f>_xlfn.XLOOKUP(F538,'Lookup List'!A:A,'Lookup List'!B:B,FALSE)</f>
        <v>01 SOP</v>
      </c>
      <c r="J538" s="10" t="str">
        <f t="shared" si="24"/>
        <v>09/10/2025</v>
      </c>
      <c r="K538">
        <f>_xlfn.XLOOKUP(J538,'Wk no''s'!D:D,'Wk no''s'!C:C,FALSE)</f>
        <v>41</v>
      </c>
    </row>
    <row r="539" spans="1:11" x14ac:dyDescent="0.3">
      <c r="A539" t="s">
        <v>802</v>
      </c>
      <c r="B539" t="s">
        <v>803</v>
      </c>
      <c r="C539" t="s">
        <v>1685</v>
      </c>
      <c r="D539" s="7" t="s">
        <v>6898</v>
      </c>
      <c r="E539" t="s">
        <v>122</v>
      </c>
      <c r="F539" t="s">
        <v>121</v>
      </c>
      <c r="G539" t="s">
        <v>6899</v>
      </c>
      <c r="H539" t="s">
        <v>1</v>
      </c>
      <c r="I539" t="str">
        <f>_xlfn.XLOOKUP(F539,'Lookup List'!A:A,'Lookup List'!B:B,FALSE)</f>
        <v>Transport</v>
      </c>
      <c r="J539" s="10" t="str">
        <f t="shared" si="24"/>
        <v>09/10/2025</v>
      </c>
      <c r="K539">
        <f>_xlfn.XLOOKUP(J539,'Wk no''s'!D:D,'Wk no''s'!C:C,FALSE)</f>
        <v>41</v>
      </c>
    </row>
    <row r="540" spans="1:11" x14ac:dyDescent="0.3">
      <c r="A540" t="s">
        <v>6892</v>
      </c>
      <c r="B540" t="s">
        <v>6893</v>
      </c>
      <c r="C540" t="s">
        <v>6289</v>
      </c>
      <c r="D540" s="7" t="s">
        <v>6900</v>
      </c>
      <c r="E540" t="s">
        <v>90</v>
      </c>
      <c r="F540" t="s">
        <v>73</v>
      </c>
      <c r="G540" t="s">
        <v>6901</v>
      </c>
      <c r="H540" t="s">
        <v>1</v>
      </c>
      <c r="I540" t="str">
        <f>_xlfn.XLOOKUP(F540,'Lookup List'!A:A,'Lookup List'!B:B,FALSE)</f>
        <v>01 SOP</v>
      </c>
      <c r="J540" s="10" t="str">
        <f t="shared" si="24"/>
        <v>09/10/2025</v>
      </c>
      <c r="K540">
        <f>_xlfn.XLOOKUP(J540,'Wk no''s'!D:D,'Wk no''s'!C:C,FALSE)</f>
        <v>41</v>
      </c>
    </row>
    <row r="541" spans="1:11" x14ac:dyDescent="0.3">
      <c r="A541" t="s">
        <v>145</v>
      </c>
      <c r="B541" t="s">
        <v>303</v>
      </c>
      <c r="C541" t="s">
        <v>3444</v>
      </c>
      <c r="D541" s="7" t="s">
        <v>6902</v>
      </c>
      <c r="E541" t="s">
        <v>52</v>
      </c>
      <c r="F541" t="s">
        <v>4903</v>
      </c>
      <c r="G541" t="s">
        <v>6903</v>
      </c>
      <c r="H541" t="s">
        <v>1</v>
      </c>
      <c r="I541" t="b">
        <f>_xlfn.XLOOKUP(F541,'Lookup List'!A:A,'Lookup List'!B:B,FALSE)</f>
        <v>0</v>
      </c>
      <c r="J541" s="10" t="str">
        <f t="shared" si="24"/>
        <v>10/10/2025</v>
      </c>
      <c r="K541">
        <f>_xlfn.XLOOKUP(J541,'Wk no''s'!D:D,'Wk no''s'!C:C,FALSE)</f>
        <v>41</v>
      </c>
    </row>
    <row r="542" spans="1:11" x14ac:dyDescent="0.3">
      <c r="A542" t="s">
        <v>49</v>
      </c>
      <c r="B542" t="s">
        <v>48</v>
      </c>
      <c r="C542" t="s">
        <v>6452</v>
      </c>
      <c r="D542" s="7" t="s">
        <v>6904</v>
      </c>
      <c r="E542" t="s">
        <v>370</v>
      </c>
      <c r="F542" t="s">
        <v>4049</v>
      </c>
      <c r="G542" t="s">
        <v>6905</v>
      </c>
      <c r="H542" t="s">
        <v>4</v>
      </c>
      <c r="I542" t="b">
        <f>_xlfn.XLOOKUP(F542,'Lookup List'!A:A,'Lookup List'!B:B,FALSE)</f>
        <v>0</v>
      </c>
      <c r="J542" s="10" t="str">
        <f t="shared" si="24"/>
        <v>10/10/2025</v>
      </c>
      <c r="K542">
        <f>_xlfn.XLOOKUP(J542,'Wk no''s'!D:D,'Wk no''s'!C:C,FALSE)</f>
        <v>41</v>
      </c>
    </row>
    <row r="543" spans="1:11" x14ac:dyDescent="0.3">
      <c r="A543" t="s">
        <v>49</v>
      </c>
      <c r="B543" t="s">
        <v>48</v>
      </c>
      <c r="C543" t="s">
        <v>6452</v>
      </c>
      <c r="D543" s="7" t="s">
        <v>6906</v>
      </c>
      <c r="E543" t="s">
        <v>370</v>
      </c>
      <c r="F543" t="s">
        <v>4049</v>
      </c>
      <c r="G543" t="s">
        <v>6907</v>
      </c>
      <c r="H543" t="s">
        <v>4</v>
      </c>
      <c r="I543" t="b">
        <f>_xlfn.XLOOKUP(F543,'Lookup List'!A:A,'Lookup List'!B:B,FALSE)</f>
        <v>0</v>
      </c>
      <c r="J543" s="10" t="str">
        <f t="shared" si="24"/>
        <v>10/10/2025</v>
      </c>
      <c r="K543">
        <f>_xlfn.XLOOKUP(J543,'Wk no''s'!D:D,'Wk no''s'!C:C,FALSE)</f>
        <v>41</v>
      </c>
    </row>
    <row r="544" spans="1:11" x14ac:dyDescent="0.3">
      <c r="A544" t="s">
        <v>430</v>
      </c>
      <c r="B544" t="s">
        <v>623</v>
      </c>
      <c r="C544" t="s">
        <v>25</v>
      </c>
      <c r="D544" s="7" t="s">
        <v>7032</v>
      </c>
      <c r="E544" t="s">
        <v>138</v>
      </c>
      <c r="F544" t="s">
        <v>4903</v>
      </c>
      <c r="G544" t="s">
        <v>7033</v>
      </c>
      <c r="H544" t="s">
        <v>0</v>
      </c>
      <c r="I544" t="b">
        <f>_xlfn.XLOOKUP(F544,'Lookup List'!A:A,'Lookup List'!B:B,FALSE)</f>
        <v>0</v>
      </c>
      <c r="J544" s="10" t="str">
        <f t="shared" ref="J544:J559" si="25">LEFT(G544,10)</f>
        <v>17/10/2025</v>
      </c>
      <c r="K544">
        <f>_xlfn.XLOOKUP(J544,'Wk no''s'!D:D,'Wk no''s'!C:C,FALSE)</f>
        <v>42</v>
      </c>
    </row>
    <row r="545" spans="1:11" x14ac:dyDescent="0.3">
      <c r="A545" t="s">
        <v>207</v>
      </c>
      <c r="B545" t="s">
        <v>4825</v>
      </c>
      <c r="C545" t="s">
        <v>205</v>
      </c>
      <c r="D545" s="7" t="s">
        <v>7034</v>
      </c>
      <c r="E545" t="s">
        <v>138</v>
      </c>
      <c r="F545" t="s">
        <v>46</v>
      </c>
      <c r="G545" t="s">
        <v>7035</v>
      </c>
      <c r="H545" t="s">
        <v>37</v>
      </c>
      <c r="I545" t="str">
        <f>_xlfn.XLOOKUP(F545,'Lookup List'!A:A,'Lookup List'!B:B,FALSE)</f>
        <v>03 Assembly</v>
      </c>
      <c r="J545" s="10" t="str">
        <f t="shared" si="25"/>
        <v>16/10/2025</v>
      </c>
      <c r="K545">
        <f>_xlfn.XLOOKUP(J545,'Wk no''s'!D:D,'Wk no''s'!C:C,FALSE)</f>
        <v>42</v>
      </c>
    </row>
    <row r="546" spans="1:11" x14ac:dyDescent="0.3">
      <c r="A546" t="s">
        <v>207</v>
      </c>
      <c r="B546" t="s">
        <v>4825</v>
      </c>
      <c r="C546" t="s">
        <v>205</v>
      </c>
      <c r="D546" s="7" t="s">
        <v>7036</v>
      </c>
      <c r="E546" t="s">
        <v>47</v>
      </c>
      <c r="F546" t="s">
        <v>4903</v>
      </c>
      <c r="G546" t="s">
        <v>7037</v>
      </c>
      <c r="H546" t="s">
        <v>37</v>
      </c>
      <c r="I546" t="b">
        <f>_xlfn.XLOOKUP(F546,'Lookup List'!A:A,'Lookup List'!B:B,FALSE)</f>
        <v>0</v>
      </c>
      <c r="J546" s="10" t="str">
        <f t="shared" si="25"/>
        <v>17/10/2025</v>
      </c>
      <c r="K546">
        <f>_xlfn.XLOOKUP(J546,'Wk no''s'!D:D,'Wk no''s'!C:C,FALSE)</f>
        <v>42</v>
      </c>
    </row>
    <row r="547" spans="1:11" x14ac:dyDescent="0.3">
      <c r="A547" t="s">
        <v>207</v>
      </c>
      <c r="B547" t="s">
        <v>4825</v>
      </c>
      <c r="C547" t="s">
        <v>205</v>
      </c>
      <c r="D547" s="7" t="s">
        <v>7038</v>
      </c>
      <c r="E547" t="s">
        <v>1081</v>
      </c>
      <c r="F547" t="s">
        <v>4903</v>
      </c>
      <c r="G547" t="s">
        <v>7039</v>
      </c>
      <c r="H547" t="s">
        <v>37</v>
      </c>
      <c r="I547" t="b">
        <f>_xlfn.XLOOKUP(F547,'Lookup List'!A:A,'Lookup List'!B:B,FALSE)</f>
        <v>0</v>
      </c>
      <c r="J547" s="10" t="str">
        <f t="shared" si="25"/>
        <v>17/10/2025</v>
      </c>
      <c r="K547">
        <f>_xlfn.XLOOKUP(J547,'Wk no''s'!D:D,'Wk no''s'!C:C,FALSE)</f>
        <v>42</v>
      </c>
    </row>
    <row r="548" spans="1:11" x14ac:dyDescent="0.3">
      <c r="A548" t="s">
        <v>5908</v>
      </c>
      <c r="B548" t="s">
        <v>5909</v>
      </c>
      <c r="C548" t="s">
        <v>3644</v>
      </c>
      <c r="D548" s="7" t="s">
        <v>7040</v>
      </c>
      <c r="E548" t="s">
        <v>239</v>
      </c>
      <c r="F548" t="s">
        <v>4903</v>
      </c>
      <c r="G548" t="s">
        <v>7041</v>
      </c>
      <c r="H548" t="s">
        <v>1</v>
      </c>
      <c r="I548" t="b">
        <f>_xlfn.XLOOKUP(F548,'Lookup List'!A:A,'Lookup List'!B:B,FALSE)</f>
        <v>0</v>
      </c>
      <c r="J548" s="10" t="str">
        <f t="shared" si="25"/>
        <v>13/10/2025</v>
      </c>
      <c r="K548">
        <f>_xlfn.XLOOKUP(J548,'Wk no''s'!D:D,'Wk no''s'!C:C,FALSE)</f>
        <v>42</v>
      </c>
    </row>
    <row r="549" spans="1:11" x14ac:dyDescent="0.3">
      <c r="A549" t="s">
        <v>4900</v>
      </c>
      <c r="B549" t="s">
        <v>4901</v>
      </c>
      <c r="C549" t="s">
        <v>3462</v>
      </c>
      <c r="D549" s="7" t="s">
        <v>7042</v>
      </c>
      <c r="E549" t="s">
        <v>79</v>
      </c>
      <c r="F549" t="s">
        <v>4903</v>
      </c>
      <c r="G549" t="s">
        <v>7043</v>
      </c>
      <c r="H549" t="s">
        <v>1</v>
      </c>
      <c r="I549" t="b">
        <f>_xlfn.XLOOKUP(F549,'Lookup List'!A:A,'Lookup List'!B:B,FALSE)</f>
        <v>0</v>
      </c>
      <c r="J549" s="10" t="str">
        <f t="shared" si="25"/>
        <v>13/10/2025</v>
      </c>
      <c r="K549">
        <f>_xlfn.XLOOKUP(J549,'Wk no''s'!D:D,'Wk no''s'!C:C,FALSE)</f>
        <v>42</v>
      </c>
    </row>
    <row r="550" spans="1:11" x14ac:dyDescent="0.3">
      <c r="A550" t="s">
        <v>628</v>
      </c>
      <c r="B550" t="s">
        <v>7044</v>
      </c>
      <c r="C550" t="s">
        <v>1224</v>
      </c>
      <c r="D550" s="7" t="s">
        <v>7045</v>
      </c>
      <c r="E550" t="s">
        <v>74</v>
      </c>
      <c r="F550" t="s">
        <v>73</v>
      </c>
      <c r="G550" t="s">
        <v>7046</v>
      </c>
      <c r="H550" t="s">
        <v>1</v>
      </c>
      <c r="I550" t="str">
        <f>_xlfn.XLOOKUP(F550,'Lookup List'!A:A,'Lookup List'!B:B,FALSE)</f>
        <v>01 SOP</v>
      </c>
      <c r="J550" s="10" t="str">
        <f t="shared" si="25"/>
        <v>15/10/2025</v>
      </c>
      <c r="K550">
        <f>_xlfn.XLOOKUP(J550,'Wk no''s'!D:D,'Wk no''s'!C:C,FALSE)</f>
        <v>42</v>
      </c>
    </row>
    <row r="551" spans="1:11" x14ac:dyDescent="0.3">
      <c r="A551" t="s">
        <v>6875</v>
      </c>
      <c r="B551" t="s">
        <v>6876</v>
      </c>
      <c r="C551" t="s">
        <v>5074</v>
      </c>
      <c r="D551" s="7" t="s">
        <v>7047</v>
      </c>
      <c r="E551" t="s">
        <v>68</v>
      </c>
      <c r="F551" t="s">
        <v>62</v>
      </c>
      <c r="G551" t="s">
        <v>7048</v>
      </c>
      <c r="H551" t="s">
        <v>1</v>
      </c>
      <c r="I551" t="str">
        <f>_xlfn.XLOOKUP(F551,'Lookup List'!A:A,'Lookup List'!B:B,FALSE)</f>
        <v>Customer</v>
      </c>
      <c r="J551" s="10" t="str">
        <f t="shared" si="25"/>
        <v>15/10/2025</v>
      </c>
      <c r="K551">
        <f>_xlfn.XLOOKUP(J551,'Wk no''s'!D:D,'Wk no''s'!C:C,FALSE)</f>
        <v>42</v>
      </c>
    </row>
    <row r="552" spans="1:11" x14ac:dyDescent="0.3">
      <c r="A552" t="s">
        <v>7049</v>
      </c>
      <c r="B552" t="s">
        <v>7050</v>
      </c>
      <c r="C552" t="s">
        <v>6080</v>
      </c>
      <c r="D552" s="7" t="s">
        <v>7051</v>
      </c>
      <c r="E552" t="s">
        <v>1081</v>
      </c>
      <c r="F552" t="s">
        <v>4903</v>
      </c>
      <c r="G552" t="s">
        <v>7052</v>
      </c>
      <c r="H552" t="s">
        <v>1</v>
      </c>
      <c r="I552" t="b">
        <f>_xlfn.XLOOKUP(F552,'Lookup List'!A:A,'Lookup List'!B:B,FALSE)</f>
        <v>0</v>
      </c>
      <c r="J552" s="10" t="str">
        <f t="shared" si="25"/>
        <v>15/10/2025</v>
      </c>
      <c r="K552">
        <f>_xlfn.XLOOKUP(J552,'Wk no''s'!D:D,'Wk no''s'!C:C,FALSE)</f>
        <v>42</v>
      </c>
    </row>
    <row r="553" spans="1:11" x14ac:dyDescent="0.3">
      <c r="A553" t="s">
        <v>445</v>
      </c>
      <c r="B553" t="s">
        <v>444</v>
      </c>
      <c r="C553" t="s">
        <v>4168</v>
      </c>
      <c r="D553" s="7" t="s">
        <v>7053</v>
      </c>
      <c r="E553" t="s">
        <v>698</v>
      </c>
      <c r="F553" t="s">
        <v>4903</v>
      </c>
      <c r="G553" t="s">
        <v>7054</v>
      </c>
      <c r="H553" t="s">
        <v>1</v>
      </c>
      <c r="I553" t="b">
        <f>_xlfn.XLOOKUP(F553,'Lookup List'!A:A,'Lookup List'!B:B,FALSE)</f>
        <v>0</v>
      </c>
      <c r="J553" s="10" t="str">
        <f t="shared" si="25"/>
        <v>16/10/2025</v>
      </c>
      <c r="K553">
        <f>_xlfn.XLOOKUP(J553,'Wk no''s'!D:D,'Wk no''s'!C:C,FALSE)</f>
        <v>42</v>
      </c>
    </row>
    <row r="554" spans="1:11" x14ac:dyDescent="0.3">
      <c r="A554" t="s">
        <v>405</v>
      </c>
      <c r="B554" t="s">
        <v>7055</v>
      </c>
      <c r="C554" t="s">
        <v>5978</v>
      </c>
      <c r="D554" s="7" t="s">
        <v>7056</v>
      </c>
      <c r="E554" t="s">
        <v>122</v>
      </c>
      <c r="F554" t="s">
        <v>121</v>
      </c>
      <c r="G554" t="s">
        <v>7057</v>
      </c>
      <c r="H554" t="s">
        <v>1</v>
      </c>
      <c r="I554" t="str">
        <f>_xlfn.XLOOKUP(F554,'Lookup List'!A:A,'Lookup List'!B:B,FALSE)</f>
        <v>Transport</v>
      </c>
      <c r="J554" s="10" t="str">
        <f t="shared" si="25"/>
        <v>17/10/2025</v>
      </c>
      <c r="K554">
        <f>_xlfn.XLOOKUP(J554,'Wk no''s'!D:D,'Wk no''s'!C:C,FALSE)</f>
        <v>42</v>
      </c>
    </row>
    <row r="555" spans="1:11" x14ac:dyDescent="0.3">
      <c r="A555" t="s">
        <v>4836</v>
      </c>
      <c r="B555" t="s">
        <v>4837</v>
      </c>
      <c r="C555" t="s">
        <v>3987</v>
      </c>
      <c r="D555" s="7" t="s">
        <v>7058</v>
      </c>
      <c r="E555" t="s">
        <v>698</v>
      </c>
      <c r="F555" t="s">
        <v>4903</v>
      </c>
      <c r="G555" t="s">
        <v>7059</v>
      </c>
      <c r="H555" t="s">
        <v>1</v>
      </c>
      <c r="I555" t="b">
        <f>_xlfn.XLOOKUP(F555,'Lookup List'!A:A,'Lookup List'!B:B,FALSE)</f>
        <v>0</v>
      </c>
      <c r="J555" s="10" t="str">
        <f t="shared" si="25"/>
        <v>17/10/2025</v>
      </c>
      <c r="K555">
        <f>_xlfn.XLOOKUP(J555,'Wk no''s'!D:D,'Wk no''s'!C:C,FALSE)</f>
        <v>42</v>
      </c>
    </row>
    <row r="556" spans="1:11" x14ac:dyDescent="0.3">
      <c r="A556" t="s">
        <v>49</v>
      </c>
      <c r="B556" t="s">
        <v>48</v>
      </c>
      <c r="C556" t="s">
        <v>6452</v>
      </c>
      <c r="D556" s="7" t="s">
        <v>7060</v>
      </c>
      <c r="E556" t="s">
        <v>370</v>
      </c>
      <c r="F556" t="s">
        <v>156</v>
      </c>
      <c r="G556" t="s">
        <v>7061</v>
      </c>
      <c r="H556" t="s">
        <v>4</v>
      </c>
      <c r="I556" t="str">
        <f>_xlfn.XLOOKUP(F556,'Lookup List'!A:A,'Lookup List'!B:B,FALSE)</f>
        <v>02 Product Design</v>
      </c>
      <c r="J556" s="10" t="str">
        <f t="shared" si="25"/>
        <v>13/10/2025</v>
      </c>
      <c r="K556">
        <f>_xlfn.XLOOKUP(J556,'Wk no''s'!D:D,'Wk no''s'!C:C,FALSE)</f>
        <v>42</v>
      </c>
    </row>
    <row r="557" spans="1:11" x14ac:dyDescent="0.3">
      <c r="A557" t="s">
        <v>49</v>
      </c>
      <c r="B557" t="s">
        <v>48</v>
      </c>
      <c r="C557" t="s">
        <v>6452</v>
      </c>
      <c r="D557" s="7" t="s">
        <v>7062</v>
      </c>
      <c r="E557" t="s">
        <v>5997</v>
      </c>
      <c r="F557" t="s">
        <v>156</v>
      </c>
      <c r="G557" t="s">
        <v>7063</v>
      </c>
      <c r="H557" t="s">
        <v>4</v>
      </c>
      <c r="I557" t="str">
        <f>_xlfn.XLOOKUP(F557,'Lookup List'!A:A,'Lookup List'!B:B,FALSE)</f>
        <v>02 Product Design</v>
      </c>
      <c r="J557" s="10" t="str">
        <f t="shared" si="25"/>
        <v>13/10/2025</v>
      </c>
      <c r="K557">
        <f>_xlfn.XLOOKUP(J557,'Wk no''s'!D:D,'Wk no''s'!C:C,FALSE)</f>
        <v>42</v>
      </c>
    </row>
    <row r="558" spans="1:11" x14ac:dyDescent="0.3">
      <c r="A558" t="s">
        <v>49</v>
      </c>
      <c r="B558" t="s">
        <v>48</v>
      </c>
      <c r="C558" t="s">
        <v>6452</v>
      </c>
      <c r="D558" s="7" t="s">
        <v>7064</v>
      </c>
      <c r="E558" t="s">
        <v>5997</v>
      </c>
      <c r="F558" t="s">
        <v>156</v>
      </c>
      <c r="G558" t="s">
        <v>7065</v>
      </c>
      <c r="H558" t="s">
        <v>4</v>
      </c>
      <c r="I558" t="str">
        <f>_xlfn.XLOOKUP(F558,'Lookup List'!A:A,'Lookup List'!B:B,FALSE)</f>
        <v>02 Product Design</v>
      </c>
      <c r="J558" s="10" t="str">
        <f t="shared" si="25"/>
        <v>13/10/2025</v>
      </c>
      <c r="K558">
        <f>_xlfn.XLOOKUP(J558,'Wk no''s'!D:D,'Wk no''s'!C:C,FALSE)</f>
        <v>42</v>
      </c>
    </row>
    <row r="559" spans="1:11" x14ac:dyDescent="0.3">
      <c r="A559" t="s">
        <v>49</v>
      </c>
      <c r="B559" t="s">
        <v>48</v>
      </c>
      <c r="C559" t="s">
        <v>6452</v>
      </c>
      <c r="D559" s="7" t="s">
        <v>7066</v>
      </c>
      <c r="E559" t="s">
        <v>47</v>
      </c>
      <c r="F559" t="s">
        <v>4049</v>
      </c>
      <c r="G559" t="s">
        <v>7067</v>
      </c>
      <c r="H559" t="s">
        <v>4</v>
      </c>
      <c r="I559" t="b">
        <f>_xlfn.XLOOKUP(F559,'Lookup List'!A:A,'Lookup List'!B:B,FALSE)</f>
        <v>0</v>
      </c>
      <c r="J559" s="10" t="str">
        <f t="shared" si="25"/>
        <v>15/10/2025</v>
      </c>
      <c r="K559">
        <f>_xlfn.XLOOKUP(J559,'Wk no''s'!D:D,'Wk no''s'!C:C,FALSE)</f>
        <v>42</v>
      </c>
    </row>
  </sheetData>
  <autoFilter ref="A1:K253" xr:uid="{5EA2DD60-3425-419E-B36E-764FC9522E50}"/>
  <pageMargins left="0.7" right="0.7" top="0.75" bottom="0.75" header="0.3" footer="0.3"/>
  <headerFooter>
    <oddFooter>&amp;C_x000D_&amp;1#&amp;"Aptos"&amp;10&amp;K000000 Classification: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7EF7-3E8C-4587-9C71-CC4A9141B243}">
  <dimension ref="A1:G2142"/>
  <sheetViews>
    <sheetView tabSelected="1" workbookViewId="0">
      <selection activeCell="F2" sqref="F2"/>
    </sheetView>
  </sheetViews>
  <sheetFormatPr defaultRowHeight="14.4" x14ac:dyDescent="0.3"/>
  <cols>
    <col min="6" max="6" width="30.44140625" customWidth="1"/>
  </cols>
  <sheetData>
    <row r="1" spans="1:7" x14ac:dyDescent="0.3">
      <c r="A1" t="s">
        <v>1181</v>
      </c>
      <c r="B1" t="s">
        <v>1182</v>
      </c>
      <c r="C1" t="s">
        <v>745</v>
      </c>
      <c r="D1" t="s">
        <v>1183</v>
      </c>
      <c r="E1" t="s">
        <v>1184</v>
      </c>
      <c r="F1" t="s">
        <v>1185</v>
      </c>
      <c r="G1" s="8" t="s">
        <v>754</v>
      </c>
    </row>
    <row r="2" spans="1:7" x14ac:dyDescent="0.3">
      <c r="A2" t="s">
        <v>1186</v>
      </c>
      <c r="B2" t="s">
        <v>1187</v>
      </c>
      <c r="C2" t="s">
        <v>1188</v>
      </c>
      <c r="D2">
        <v>0</v>
      </c>
      <c r="E2">
        <v>1</v>
      </c>
      <c r="F2" s="1">
        <v>45663</v>
      </c>
      <c r="G2">
        <f>_xlfn.XLOOKUP(F2,'Wk no''s'!B:B,'Wk no''s'!C:C,0)</f>
        <v>2</v>
      </c>
    </row>
    <row r="3" spans="1:7" x14ac:dyDescent="0.3">
      <c r="A3" t="s">
        <v>1189</v>
      </c>
      <c r="B3" t="s">
        <v>1190</v>
      </c>
      <c r="C3" t="s">
        <v>1191</v>
      </c>
      <c r="D3">
        <v>0</v>
      </c>
      <c r="E3">
        <v>1</v>
      </c>
      <c r="F3" s="1">
        <v>45663</v>
      </c>
      <c r="G3">
        <f>_xlfn.XLOOKUP(F3,'Wk no''s'!B:B,'Wk no''s'!C:C,0)</f>
        <v>2</v>
      </c>
    </row>
    <row r="4" spans="1:7" x14ac:dyDescent="0.3">
      <c r="A4" t="s">
        <v>1192</v>
      </c>
      <c r="B4" t="s">
        <v>1193</v>
      </c>
      <c r="C4" t="s">
        <v>1194</v>
      </c>
      <c r="D4">
        <v>0</v>
      </c>
      <c r="E4">
        <v>1</v>
      </c>
      <c r="F4" s="1">
        <v>45663</v>
      </c>
      <c r="G4">
        <f>_xlfn.XLOOKUP(F4,'Wk no''s'!B:B,'Wk no''s'!C:C,0)</f>
        <v>2</v>
      </c>
    </row>
    <row r="5" spans="1:7" x14ac:dyDescent="0.3">
      <c r="A5" t="s">
        <v>1195</v>
      </c>
      <c r="B5" t="s">
        <v>1196</v>
      </c>
      <c r="C5" t="s">
        <v>566</v>
      </c>
      <c r="D5">
        <v>0</v>
      </c>
      <c r="E5">
        <v>1</v>
      </c>
      <c r="F5" s="1">
        <v>45663</v>
      </c>
      <c r="G5">
        <f>_xlfn.XLOOKUP(F5,'Wk no''s'!B:B,'Wk no''s'!C:C,0)</f>
        <v>2</v>
      </c>
    </row>
    <row r="6" spans="1:7" x14ac:dyDescent="0.3">
      <c r="A6" t="s">
        <v>1197</v>
      </c>
      <c r="B6" t="s">
        <v>1198</v>
      </c>
      <c r="C6" t="s">
        <v>1199</v>
      </c>
      <c r="D6">
        <v>0</v>
      </c>
      <c r="E6">
        <v>1</v>
      </c>
      <c r="F6" s="1">
        <v>45663</v>
      </c>
      <c r="G6">
        <f>_xlfn.XLOOKUP(F6,'Wk no''s'!B:B,'Wk no''s'!C:C,0)</f>
        <v>2</v>
      </c>
    </row>
    <row r="7" spans="1:7" x14ac:dyDescent="0.3">
      <c r="A7" t="s">
        <v>1200</v>
      </c>
      <c r="B7" t="s">
        <v>1201</v>
      </c>
      <c r="C7" t="s">
        <v>407</v>
      </c>
      <c r="D7">
        <v>2</v>
      </c>
      <c r="E7">
        <v>0</v>
      </c>
      <c r="F7" s="1">
        <v>45663</v>
      </c>
      <c r="G7">
        <f>_xlfn.XLOOKUP(F7,'Wk no''s'!B:B,'Wk no''s'!C:C,0)</f>
        <v>2</v>
      </c>
    </row>
    <row r="8" spans="1:7" x14ac:dyDescent="0.3">
      <c r="A8" t="s">
        <v>1202</v>
      </c>
      <c r="B8" t="s">
        <v>1203</v>
      </c>
      <c r="C8" t="s">
        <v>407</v>
      </c>
      <c r="D8">
        <v>1</v>
      </c>
      <c r="E8">
        <v>1</v>
      </c>
      <c r="F8" s="1">
        <v>45663</v>
      </c>
      <c r="G8">
        <f>_xlfn.XLOOKUP(F8,'Wk no''s'!B:B,'Wk no''s'!C:C,0)</f>
        <v>2</v>
      </c>
    </row>
    <row r="9" spans="1:7" x14ac:dyDescent="0.3">
      <c r="A9" t="s">
        <v>1204</v>
      </c>
      <c r="B9" t="s">
        <v>1205</v>
      </c>
      <c r="C9" t="s">
        <v>4352</v>
      </c>
      <c r="D9">
        <v>0</v>
      </c>
      <c r="E9">
        <v>1</v>
      </c>
      <c r="F9" s="1">
        <v>45663</v>
      </c>
      <c r="G9">
        <f>_xlfn.XLOOKUP(F9,'Wk no''s'!B:B,'Wk no''s'!C:C,0)</f>
        <v>2</v>
      </c>
    </row>
    <row r="10" spans="1:7" x14ac:dyDescent="0.3">
      <c r="A10" t="s">
        <v>1206</v>
      </c>
      <c r="B10" t="s">
        <v>1207</v>
      </c>
      <c r="C10" t="s">
        <v>1208</v>
      </c>
      <c r="D10">
        <v>0</v>
      </c>
      <c r="E10">
        <v>1</v>
      </c>
      <c r="F10" s="1">
        <v>45663</v>
      </c>
      <c r="G10">
        <f>_xlfn.XLOOKUP(F10,'Wk no''s'!B:B,'Wk no''s'!C:C,0)</f>
        <v>2</v>
      </c>
    </row>
    <row r="11" spans="1:7" x14ac:dyDescent="0.3">
      <c r="A11" t="s">
        <v>1209</v>
      </c>
      <c r="B11" t="s">
        <v>1210</v>
      </c>
      <c r="C11" t="s">
        <v>566</v>
      </c>
      <c r="D11">
        <v>0</v>
      </c>
      <c r="E11">
        <v>1</v>
      </c>
      <c r="F11" s="1">
        <v>45663</v>
      </c>
      <c r="G11">
        <f>_xlfn.XLOOKUP(F11,'Wk no''s'!B:B,'Wk no''s'!C:C,0)</f>
        <v>2</v>
      </c>
    </row>
    <row r="12" spans="1:7" x14ac:dyDescent="0.3">
      <c r="A12" t="s">
        <v>1211</v>
      </c>
      <c r="B12" t="s">
        <v>1212</v>
      </c>
      <c r="C12" t="s">
        <v>16</v>
      </c>
      <c r="D12">
        <v>0</v>
      </c>
      <c r="E12">
        <v>1</v>
      </c>
      <c r="F12" s="1">
        <v>45663</v>
      </c>
      <c r="G12">
        <f>_xlfn.XLOOKUP(F12,'Wk no''s'!B:B,'Wk no''s'!C:C,0)</f>
        <v>2</v>
      </c>
    </row>
    <row r="13" spans="1:7" x14ac:dyDescent="0.3">
      <c r="A13" t="s">
        <v>1213</v>
      </c>
      <c r="B13" t="s">
        <v>1214</v>
      </c>
      <c r="C13" t="s">
        <v>1215</v>
      </c>
      <c r="D13">
        <v>1</v>
      </c>
      <c r="E13">
        <v>1</v>
      </c>
      <c r="F13" s="1">
        <v>45663</v>
      </c>
      <c r="G13">
        <f>_xlfn.XLOOKUP(F13,'Wk no''s'!B:B,'Wk no''s'!C:C,0)</f>
        <v>2</v>
      </c>
    </row>
    <row r="14" spans="1:7" x14ac:dyDescent="0.3">
      <c r="A14" t="s">
        <v>1216</v>
      </c>
      <c r="B14" t="s">
        <v>1217</v>
      </c>
      <c r="C14" t="s">
        <v>1218</v>
      </c>
      <c r="D14">
        <v>1</v>
      </c>
      <c r="E14">
        <v>1</v>
      </c>
      <c r="F14" s="1">
        <v>45663</v>
      </c>
      <c r="G14">
        <f>_xlfn.XLOOKUP(F14,'Wk no''s'!B:B,'Wk no''s'!C:C,0)</f>
        <v>2</v>
      </c>
    </row>
    <row r="15" spans="1:7" x14ac:dyDescent="0.3">
      <c r="A15" t="s">
        <v>1219</v>
      </c>
      <c r="B15" t="s">
        <v>1220</v>
      </c>
      <c r="C15" t="s">
        <v>1221</v>
      </c>
      <c r="D15">
        <v>0</v>
      </c>
      <c r="E15">
        <v>1</v>
      </c>
      <c r="F15" s="1">
        <v>45663</v>
      </c>
      <c r="G15">
        <f>_xlfn.XLOOKUP(F15,'Wk no''s'!B:B,'Wk no''s'!C:C,0)</f>
        <v>2</v>
      </c>
    </row>
    <row r="16" spans="1:7" x14ac:dyDescent="0.3">
      <c r="A16" t="s">
        <v>1222</v>
      </c>
      <c r="B16" t="s">
        <v>1223</v>
      </c>
      <c r="C16" t="s">
        <v>1224</v>
      </c>
      <c r="D16">
        <v>0</v>
      </c>
      <c r="E16">
        <v>1</v>
      </c>
      <c r="F16" s="1">
        <v>45663</v>
      </c>
      <c r="G16">
        <f>_xlfn.XLOOKUP(F16,'Wk no''s'!B:B,'Wk no''s'!C:C,0)</f>
        <v>2</v>
      </c>
    </row>
    <row r="17" spans="1:7" x14ac:dyDescent="0.3">
      <c r="A17" t="s">
        <v>1225</v>
      </c>
      <c r="B17" t="s">
        <v>1226</v>
      </c>
      <c r="C17" t="s">
        <v>75</v>
      </c>
      <c r="D17">
        <v>0</v>
      </c>
      <c r="E17">
        <v>1</v>
      </c>
      <c r="F17" s="1">
        <v>45663</v>
      </c>
      <c r="G17">
        <f>_xlfn.XLOOKUP(F17,'Wk no''s'!B:B,'Wk no''s'!C:C,0)</f>
        <v>2</v>
      </c>
    </row>
    <row r="18" spans="1:7" x14ac:dyDescent="0.3">
      <c r="A18" t="s">
        <v>1227</v>
      </c>
      <c r="B18" t="s">
        <v>1228</v>
      </c>
      <c r="C18" t="s">
        <v>550</v>
      </c>
      <c r="D18">
        <v>0</v>
      </c>
      <c r="E18">
        <v>1</v>
      </c>
      <c r="F18" s="1">
        <v>45663</v>
      </c>
      <c r="G18">
        <f>_xlfn.XLOOKUP(F18,'Wk no''s'!B:B,'Wk no''s'!C:C,0)</f>
        <v>2</v>
      </c>
    </row>
    <row r="19" spans="1:7" x14ac:dyDescent="0.3">
      <c r="A19" t="s">
        <v>1229</v>
      </c>
      <c r="B19" t="s">
        <v>1230</v>
      </c>
      <c r="C19" t="s">
        <v>1231</v>
      </c>
      <c r="D19">
        <v>1</v>
      </c>
      <c r="E19">
        <v>1</v>
      </c>
      <c r="F19" s="1">
        <v>45663</v>
      </c>
      <c r="G19">
        <f>_xlfn.XLOOKUP(F19,'Wk no''s'!B:B,'Wk no''s'!C:C,0)</f>
        <v>2</v>
      </c>
    </row>
    <row r="20" spans="1:7" x14ac:dyDescent="0.3">
      <c r="A20" t="s">
        <v>1232</v>
      </c>
      <c r="B20" t="s">
        <v>1233</v>
      </c>
      <c r="C20" t="s">
        <v>1231</v>
      </c>
      <c r="D20">
        <v>1</v>
      </c>
      <c r="E20">
        <v>1</v>
      </c>
      <c r="F20" s="1">
        <v>45663</v>
      </c>
      <c r="G20">
        <f>_xlfn.XLOOKUP(F20,'Wk no''s'!B:B,'Wk no''s'!C:C,0)</f>
        <v>2</v>
      </c>
    </row>
    <row r="21" spans="1:7" x14ac:dyDescent="0.3">
      <c r="A21" t="s">
        <v>1234</v>
      </c>
      <c r="B21" t="s">
        <v>1235</v>
      </c>
      <c r="C21" t="s">
        <v>1224</v>
      </c>
      <c r="D21">
        <v>0</v>
      </c>
      <c r="E21">
        <v>1</v>
      </c>
      <c r="F21" s="1">
        <v>45663</v>
      </c>
      <c r="G21">
        <f>_xlfn.XLOOKUP(F21,'Wk no''s'!B:B,'Wk no''s'!C:C,0)</f>
        <v>2</v>
      </c>
    </row>
    <row r="22" spans="1:7" x14ac:dyDescent="0.3">
      <c r="A22" t="s">
        <v>1236</v>
      </c>
      <c r="B22" t="s">
        <v>1237</v>
      </c>
      <c r="C22" t="s">
        <v>339</v>
      </c>
      <c r="D22">
        <v>0</v>
      </c>
      <c r="E22">
        <v>1</v>
      </c>
      <c r="F22" s="1">
        <v>45663</v>
      </c>
      <c r="G22">
        <f>_xlfn.XLOOKUP(F22,'Wk no''s'!B:B,'Wk no''s'!C:C,0)</f>
        <v>2</v>
      </c>
    </row>
    <row r="23" spans="1:7" x14ac:dyDescent="0.3">
      <c r="A23" t="s">
        <v>1238</v>
      </c>
      <c r="B23" t="s">
        <v>1239</v>
      </c>
      <c r="C23" t="s">
        <v>1240</v>
      </c>
      <c r="D23">
        <v>0</v>
      </c>
      <c r="E23">
        <v>1</v>
      </c>
      <c r="F23" s="1">
        <v>45663</v>
      </c>
      <c r="G23">
        <f>_xlfn.XLOOKUP(F23,'Wk no''s'!B:B,'Wk no''s'!C:C,0)</f>
        <v>2</v>
      </c>
    </row>
    <row r="24" spans="1:7" x14ac:dyDescent="0.3">
      <c r="A24" t="s">
        <v>1241</v>
      </c>
      <c r="B24" t="s">
        <v>1242</v>
      </c>
      <c r="C24" t="s">
        <v>1243</v>
      </c>
      <c r="D24">
        <v>0</v>
      </c>
      <c r="E24">
        <v>1</v>
      </c>
      <c r="F24" s="1">
        <v>45663</v>
      </c>
      <c r="G24">
        <f>_xlfn.XLOOKUP(F24,'Wk no''s'!B:B,'Wk no''s'!C:C,0)</f>
        <v>2</v>
      </c>
    </row>
    <row r="25" spans="1:7" x14ac:dyDescent="0.3">
      <c r="A25" t="s">
        <v>1244</v>
      </c>
      <c r="B25" t="s">
        <v>1245</v>
      </c>
      <c r="C25" t="s">
        <v>1246</v>
      </c>
      <c r="D25">
        <v>0</v>
      </c>
      <c r="E25">
        <v>1</v>
      </c>
      <c r="F25" s="1">
        <v>45663</v>
      </c>
      <c r="G25">
        <f>_xlfn.XLOOKUP(F25,'Wk no''s'!B:B,'Wk no''s'!C:C,0)</f>
        <v>2</v>
      </c>
    </row>
    <row r="26" spans="1:7" x14ac:dyDescent="0.3">
      <c r="A26" t="s">
        <v>1247</v>
      </c>
      <c r="C26" t="s">
        <v>1248</v>
      </c>
      <c r="D26">
        <v>0</v>
      </c>
      <c r="E26">
        <v>1</v>
      </c>
      <c r="F26" s="1">
        <v>45663</v>
      </c>
      <c r="G26">
        <f>_xlfn.XLOOKUP(F26,'Wk no''s'!B:B,'Wk no''s'!C:C,0)</f>
        <v>2</v>
      </c>
    </row>
    <row r="27" spans="1:7" x14ac:dyDescent="0.3">
      <c r="A27" t="s">
        <v>1249</v>
      </c>
      <c r="B27" t="s">
        <v>1250</v>
      </c>
      <c r="C27" t="s">
        <v>1251</v>
      </c>
      <c r="D27">
        <v>0</v>
      </c>
      <c r="E27">
        <v>1</v>
      </c>
      <c r="F27" s="1">
        <v>45663</v>
      </c>
      <c r="G27">
        <f>_xlfn.XLOOKUP(F27,'Wk no''s'!B:B,'Wk no''s'!C:C,0)</f>
        <v>2</v>
      </c>
    </row>
    <row r="28" spans="1:7" x14ac:dyDescent="0.3">
      <c r="A28" t="s">
        <v>1252</v>
      </c>
      <c r="B28" t="s">
        <v>1253</v>
      </c>
      <c r="C28" t="s">
        <v>197</v>
      </c>
      <c r="D28">
        <v>0</v>
      </c>
      <c r="E28">
        <v>1</v>
      </c>
      <c r="F28" s="1">
        <v>45663</v>
      </c>
      <c r="G28">
        <f>_xlfn.XLOOKUP(F28,'Wk no''s'!B:B,'Wk no''s'!C:C,0)</f>
        <v>2</v>
      </c>
    </row>
    <row r="29" spans="1:7" x14ac:dyDescent="0.3">
      <c r="A29" t="s">
        <v>1254</v>
      </c>
      <c r="B29" t="s">
        <v>1255</v>
      </c>
      <c r="C29" t="s">
        <v>1256</v>
      </c>
      <c r="D29">
        <v>0</v>
      </c>
      <c r="E29">
        <v>1</v>
      </c>
      <c r="F29" s="1">
        <v>45664</v>
      </c>
      <c r="G29">
        <f>_xlfn.XLOOKUP(F29,'Wk no''s'!B:B,'Wk no''s'!C:C,0)</f>
        <v>2</v>
      </c>
    </row>
    <row r="30" spans="1:7" x14ac:dyDescent="0.3">
      <c r="A30" t="s">
        <v>1257</v>
      </c>
      <c r="B30" t="s">
        <v>1258</v>
      </c>
      <c r="C30" t="s">
        <v>1246</v>
      </c>
      <c r="D30">
        <v>0</v>
      </c>
      <c r="E30">
        <v>1</v>
      </c>
      <c r="F30" s="1">
        <v>45664</v>
      </c>
      <c r="G30">
        <f>_xlfn.XLOOKUP(F30,'Wk no''s'!B:B,'Wk no''s'!C:C,0)</f>
        <v>2</v>
      </c>
    </row>
    <row r="31" spans="1:7" x14ac:dyDescent="0.3">
      <c r="A31" t="s">
        <v>1259</v>
      </c>
      <c r="B31" t="s">
        <v>1260</v>
      </c>
      <c r="C31" t="s">
        <v>1246</v>
      </c>
      <c r="D31">
        <v>0</v>
      </c>
      <c r="E31">
        <v>1</v>
      </c>
      <c r="F31" s="1">
        <v>45664</v>
      </c>
      <c r="G31">
        <f>_xlfn.XLOOKUP(F31,'Wk no''s'!B:B,'Wk no''s'!C:C,0)</f>
        <v>2</v>
      </c>
    </row>
    <row r="32" spans="1:7" x14ac:dyDescent="0.3">
      <c r="A32" t="s">
        <v>1261</v>
      </c>
      <c r="B32" t="s">
        <v>1262</v>
      </c>
      <c r="C32" t="s">
        <v>75</v>
      </c>
      <c r="D32">
        <v>0</v>
      </c>
      <c r="E32">
        <v>1</v>
      </c>
      <c r="F32" s="1">
        <v>45664</v>
      </c>
      <c r="G32">
        <f>_xlfn.XLOOKUP(F32,'Wk no''s'!B:B,'Wk no''s'!C:C,0)</f>
        <v>2</v>
      </c>
    </row>
    <row r="33" spans="1:7" x14ac:dyDescent="0.3">
      <c r="A33" t="s">
        <v>1263</v>
      </c>
      <c r="B33" t="s">
        <v>1264</v>
      </c>
      <c r="C33" t="s">
        <v>273</v>
      </c>
      <c r="D33">
        <v>0</v>
      </c>
      <c r="E33">
        <v>1</v>
      </c>
      <c r="F33" s="1">
        <v>45664</v>
      </c>
      <c r="G33">
        <f>_xlfn.XLOOKUP(F33,'Wk no''s'!B:B,'Wk no''s'!C:C,0)</f>
        <v>2</v>
      </c>
    </row>
    <row r="34" spans="1:7" x14ac:dyDescent="0.3">
      <c r="A34" t="s">
        <v>1265</v>
      </c>
      <c r="B34" t="s">
        <v>1266</v>
      </c>
      <c r="C34" t="s">
        <v>353</v>
      </c>
      <c r="D34">
        <v>0</v>
      </c>
      <c r="E34">
        <v>1</v>
      </c>
      <c r="F34" s="1">
        <v>45664</v>
      </c>
      <c r="G34">
        <f>_xlfn.XLOOKUP(F34,'Wk no''s'!B:B,'Wk no''s'!C:C,0)</f>
        <v>2</v>
      </c>
    </row>
    <row r="35" spans="1:7" x14ac:dyDescent="0.3">
      <c r="A35" t="s">
        <v>1267</v>
      </c>
      <c r="B35" t="s">
        <v>1268</v>
      </c>
      <c r="C35" t="s">
        <v>1269</v>
      </c>
      <c r="D35">
        <v>0</v>
      </c>
      <c r="E35">
        <v>1</v>
      </c>
      <c r="F35" s="1">
        <v>45664</v>
      </c>
      <c r="G35">
        <f>_xlfn.XLOOKUP(F35,'Wk no''s'!B:B,'Wk no''s'!C:C,0)</f>
        <v>2</v>
      </c>
    </row>
    <row r="36" spans="1:7" x14ac:dyDescent="0.3">
      <c r="A36" t="s">
        <v>1270</v>
      </c>
      <c r="B36" t="s">
        <v>1271</v>
      </c>
      <c r="C36" t="s">
        <v>682</v>
      </c>
      <c r="D36">
        <v>0</v>
      </c>
      <c r="E36">
        <v>1</v>
      </c>
      <c r="F36" s="1">
        <v>45664</v>
      </c>
      <c r="G36">
        <f>_xlfn.XLOOKUP(F36,'Wk no''s'!B:B,'Wk no''s'!C:C,0)</f>
        <v>2</v>
      </c>
    </row>
    <row r="37" spans="1:7" x14ac:dyDescent="0.3">
      <c r="A37" t="s">
        <v>1272</v>
      </c>
      <c r="B37" t="s">
        <v>1273</v>
      </c>
      <c r="C37" t="s">
        <v>1274</v>
      </c>
      <c r="D37">
        <v>0</v>
      </c>
      <c r="E37">
        <v>1</v>
      </c>
      <c r="F37" s="1">
        <v>45664</v>
      </c>
      <c r="G37">
        <f>_xlfn.XLOOKUP(F37,'Wk no''s'!B:B,'Wk no''s'!C:C,0)</f>
        <v>2</v>
      </c>
    </row>
    <row r="38" spans="1:7" x14ac:dyDescent="0.3">
      <c r="A38" t="s">
        <v>1275</v>
      </c>
      <c r="B38" t="s">
        <v>1276</v>
      </c>
      <c r="C38" t="s">
        <v>550</v>
      </c>
      <c r="D38">
        <v>0</v>
      </c>
      <c r="E38">
        <v>1</v>
      </c>
      <c r="F38" s="1">
        <v>45664</v>
      </c>
      <c r="G38">
        <f>_xlfn.XLOOKUP(F38,'Wk no''s'!B:B,'Wk no''s'!C:C,0)</f>
        <v>2</v>
      </c>
    </row>
    <row r="39" spans="1:7" x14ac:dyDescent="0.3">
      <c r="A39" t="s">
        <v>1277</v>
      </c>
      <c r="B39" t="s">
        <v>1278</v>
      </c>
      <c r="C39" t="s">
        <v>1279</v>
      </c>
      <c r="D39">
        <v>0</v>
      </c>
      <c r="E39">
        <v>1</v>
      </c>
      <c r="F39" s="1">
        <v>45664</v>
      </c>
      <c r="G39">
        <f>_xlfn.XLOOKUP(F39,'Wk no''s'!B:B,'Wk no''s'!C:C,0)</f>
        <v>2</v>
      </c>
    </row>
    <row r="40" spans="1:7" x14ac:dyDescent="0.3">
      <c r="A40" t="s">
        <v>1280</v>
      </c>
      <c r="B40" t="s">
        <v>1281</v>
      </c>
      <c r="C40" t="s">
        <v>1246</v>
      </c>
      <c r="D40">
        <v>0</v>
      </c>
      <c r="E40">
        <v>1</v>
      </c>
      <c r="F40" s="1">
        <v>45664</v>
      </c>
      <c r="G40">
        <f>_xlfn.XLOOKUP(F40,'Wk no''s'!B:B,'Wk no''s'!C:C,0)</f>
        <v>2</v>
      </c>
    </row>
    <row r="41" spans="1:7" x14ac:dyDescent="0.3">
      <c r="A41" t="s">
        <v>1282</v>
      </c>
      <c r="B41" t="s">
        <v>1283</v>
      </c>
      <c r="C41" t="s">
        <v>403</v>
      </c>
      <c r="D41">
        <v>0</v>
      </c>
      <c r="E41">
        <v>1</v>
      </c>
      <c r="F41" s="1">
        <v>45664</v>
      </c>
      <c r="G41">
        <f>_xlfn.XLOOKUP(F41,'Wk no''s'!B:B,'Wk no''s'!C:C,0)</f>
        <v>2</v>
      </c>
    </row>
    <row r="42" spans="1:7" x14ac:dyDescent="0.3">
      <c r="A42" t="s">
        <v>1284</v>
      </c>
      <c r="B42" t="s">
        <v>1285</v>
      </c>
      <c r="C42" t="s">
        <v>323</v>
      </c>
      <c r="D42">
        <v>0</v>
      </c>
      <c r="E42">
        <v>1</v>
      </c>
      <c r="F42" s="1">
        <v>45664</v>
      </c>
      <c r="G42">
        <f>_xlfn.XLOOKUP(F42,'Wk no''s'!B:B,'Wk no''s'!C:C,0)</f>
        <v>2</v>
      </c>
    </row>
    <row r="43" spans="1:7" x14ac:dyDescent="0.3">
      <c r="A43" t="s">
        <v>1286</v>
      </c>
      <c r="B43" t="s">
        <v>1287</v>
      </c>
      <c r="C43" t="s">
        <v>1246</v>
      </c>
      <c r="D43">
        <v>0</v>
      </c>
      <c r="E43">
        <v>1</v>
      </c>
      <c r="F43" s="1">
        <v>45664</v>
      </c>
      <c r="G43">
        <f>_xlfn.XLOOKUP(F43,'Wk no''s'!B:B,'Wk no''s'!C:C,0)</f>
        <v>2</v>
      </c>
    </row>
    <row r="44" spans="1:7" x14ac:dyDescent="0.3">
      <c r="A44" t="s">
        <v>1288</v>
      </c>
      <c r="B44" t="s">
        <v>1289</v>
      </c>
      <c r="C44" t="s">
        <v>1246</v>
      </c>
      <c r="D44">
        <v>0</v>
      </c>
      <c r="E44">
        <v>1</v>
      </c>
      <c r="F44" s="1">
        <v>45664</v>
      </c>
      <c r="G44">
        <f>_xlfn.XLOOKUP(F44,'Wk no''s'!B:B,'Wk no''s'!C:C,0)</f>
        <v>2</v>
      </c>
    </row>
    <row r="45" spans="1:7" x14ac:dyDescent="0.3">
      <c r="A45" t="s">
        <v>1290</v>
      </c>
      <c r="B45" t="s">
        <v>1291</v>
      </c>
      <c r="C45" t="s">
        <v>1246</v>
      </c>
      <c r="D45">
        <v>0</v>
      </c>
      <c r="E45">
        <v>1</v>
      </c>
      <c r="F45" s="1">
        <v>45664</v>
      </c>
      <c r="G45">
        <f>_xlfn.XLOOKUP(F45,'Wk no''s'!B:B,'Wk no''s'!C:C,0)</f>
        <v>2</v>
      </c>
    </row>
    <row r="46" spans="1:7" x14ac:dyDescent="0.3">
      <c r="A46" t="s">
        <v>1292</v>
      </c>
      <c r="B46" t="s">
        <v>1293</v>
      </c>
      <c r="C46" t="s">
        <v>1246</v>
      </c>
      <c r="D46">
        <v>0</v>
      </c>
      <c r="E46">
        <v>1</v>
      </c>
      <c r="F46" s="1">
        <v>45664</v>
      </c>
      <c r="G46">
        <f>_xlfn.XLOOKUP(F46,'Wk no''s'!B:B,'Wk no''s'!C:C,0)</f>
        <v>2</v>
      </c>
    </row>
    <row r="47" spans="1:7" x14ac:dyDescent="0.3">
      <c r="A47" t="s">
        <v>1294</v>
      </c>
      <c r="B47" t="s">
        <v>1295</v>
      </c>
      <c r="C47" t="s">
        <v>738</v>
      </c>
      <c r="D47">
        <v>0</v>
      </c>
      <c r="E47">
        <v>1</v>
      </c>
      <c r="F47" s="1">
        <v>45664</v>
      </c>
      <c r="G47">
        <f>_xlfn.XLOOKUP(F47,'Wk no''s'!B:B,'Wk no''s'!C:C,0)</f>
        <v>2</v>
      </c>
    </row>
    <row r="48" spans="1:7" x14ac:dyDescent="0.3">
      <c r="A48" t="s">
        <v>1296</v>
      </c>
      <c r="B48" t="s">
        <v>1297</v>
      </c>
      <c r="C48" t="s">
        <v>1298</v>
      </c>
      <c r="D48">
        <v>21</v>
      </c>
      <c r="E48">
        <v>0</v>
      </c>
      <c r="F48" s="1">
        <v>45664</v>
      </c>
      <c r="G48">
        <f>_xlfn.XLOOKUP(F48,'Wk no''s'!B:B,'Wk no''s'!C:C,0)</f>
        <v>2</v>
      </c>
    </row>
    <row r="49" spans="1:7" x14ac:dyDescent="0.3">
      <c r="A49" t="s">
        <v>1299</v>
      </c>
      <c r="B49" t="s">
        <v>1300</v>
      </c>
      <c r="C49" t="s">
        <v>1298</v>
      </c>
      <c r="D49">
        <v>21</v>
      </c>
      <c r="E49">
        <v>0</v>
      </c>
      <c r="F49" s="1">
        <v>45664</v>
      </c>
      <c r="G49">
        <f>_xlfn.XLOOKUP(F49,'Wk no''s'!B:B,'Wk no''s'!C:C,0)</f>
        <v>2</v>
      </c>
    </row>
    <row r="50" spans="1:7" x14ac:dyDescent="0.3">
      <c r="A50" t="s">
        <v>1301</v>
      </c>
      <c r="B50" t="s">
        <v>1302</v>
      </c>
      <c r="C50" t="s">
        <v>1298</v>
      </c>
      <c r="D50">
        <v>21</v>
      </c>
      <c r="E50">
        <v>0</v>
      </c>
      <c r="F50" s="1">
        <v>45664</v>
      </c>
      <c r="G50">
        <f>_xlfn.XLOOKUP(F50,'Wk no''s'!B:B,'Wk no''s'!C:C,0)</f>
        <v>2</v>
      </c>
    </row>
    <row r="51" spans="1:7" x14ac:dyDescent="0.3">
      <c r="A51" t="s">
        <v>1303</v>
      </c>
      <c r="B51" t="s">
        <v>1304</v>
      </c>
      <c r="C51" t="s">
        <v>1298</v>
      </c>
      <c r="D51">
        <v>21</v>
      </c>
      <c r="E51">
        <v>0</v>
      </c>
      <c r="F51" s="1">
        <v>45664</v>
      </c>
      <c r="G51">
        <f>_xlfn.XLOOKUP(F51,'Wk no''s'!B:B,'Wk no''s'!C:C,0)</f>
        <v>2</v>
      </c>
    </row>
    <row r="52" spans="1:7" x14ac:dyDescent="0.3">
      <c r="A52" t="s">
        <v>1305</v>
      </c>
      <c r="B52" t="s">
        <v>1306</v>
      </c>
      <c r="C52" t="s">
        <v>1298</v>
      </c>
      <c r="D52">
        <v>0</v>
      </c>
      <c r="E52">
        <v>1</v>
      </c>
      <c r="F52" s="1">
        <v>45664</v>
      </c>
      <c r="G52">
        <f>_xlfn.XLOOKUP(F52,'Wk no''s'!B:B,'Wk no''s'!C:C,0)</f>
        <v>2</v>
      </c>
    </row>
    <row r="53" spans="1:7" x14ac:dyDescent="0.3">
      <c r="A53" t="s">
        <v>1307</v>
      </c>
      <c r="B53" t="s">
        <v>1308</v>
      </c>
      <c r="C53" t="s">
        <v>197</v>
      </c>
      <c r="D53">
        <v>0</v>
      </c>
      <c r="E53">
        <v>1</v>
      </c>
      <c r="F53" s="1">
        <v>45664</v>
      </c>
      <c r="G53">
        <f>_xlfn.XLOOKUP(F53,'Wk no''s'!B:B,'Wk no''s'!C:C,0)</f>
        <v>2</v>
      </c>
    </row>
    <row r="54" spans="1:7" x14ac:dyDescent="0.3">
      <c r="A54" t="s">
        <v>1309</v>
      </c>
      <c r="B54" t="s">
        <v>1310</v>
      </c>
      <c r="C54" t="s">
        <v>1311</v>
      </c>
      <c r="D54">
        <v>0</v>
      </c>
      <c r="E54">
        <v>1</v>
      </c>
      <c r="F54" s="1">
        <v>45664</v>
      </c>
      <c r="G54">
        <f>_xlfn.XLOOKUP(F54,'Wk no''s'!B:B,'Wk no''s'!C:C,0)</f>
        <v>2</v>
      </c>
    </row>
    <row r="55" spans="1:7" x14ac:dyDescent="0.3">
      <c r="A55" t="s">
        <v>1312</v>
      </c>
      <c r="B55" t="s">
        <v>1313</v>
      </c>
      <c r="C55" t="s">
        <v>1314</v>
      </c>
      <c r="D55">
        <v>0</v>
      </c>
      <c r="E55">
        <v>1</v>
      </c>
      <c r="F55" s="1">
        <v>45664</v>
      </c>
      <c r="G55">
        <f>_xlfn.XLOOKUP(F55,'Wk no''s'!B:B,'Wk no''s'!C:C,0)</f>
        <v>2</v>
      </c>
    </row>
    <row r="56" spans="1:7" x14ac:dyDescent="0.3">
      <c r="A56" t="s">
        <v>1315</v>
      </c>
      <c r="B56" t="s">
        <v>1316</v>
      </c>
      <c r="C56" t="s">
        <v>1317</v>
      </c>
      <c r="D56">
        <v>0</v>
      </c>
      <c r="E56">
        <v>1</v>
      </c>
      <c r="F56" s="1">
        <v>45664</v>
      </c>
      <c r="G56">
        <f>_xlfn.XLOOKUP(F56,'Wk no''s'!B:B,'Wk no''s'!C:C,0)</f>
        <v>2</v>
      </c>
    </row>
    <row r="57" spans="1:7" x14ac:dyDescent="0.3">
      <c r="A57" t="s">
        <v>1318</v>
      </c>
      <c r="B57" t="s">
        <v>1319</v>
      </c>
      <c r="C57" t="s">
        <v>75</v>
      </c>
      <c r="D57">
        <v>0</v>
      </c>
      <c r="E57">
        <v>1</v>
      </c>
      <c r="F57" s="1">
        <v>45664</v>
      </c>
      <c r="G57">
        <f>_xlfn.XLOOKUP(F57,'Wk no''s'!B:B,'Wk no''s'!C:C,0)</f>
        <v>2</v>
      </c>
    </row>
    <row r="58" spans="1:7" x14ac:dyDescent="0.3">
      <c r="A58" t="s">
        <v>1320</v>
      </c>
      <c r="B58" t="s">
        <v>1321</v>
      </c>
      <c r="C58" t="s">
        <v>1322</v>
      </c>
      <c r="D58">
        <v>0</v>
      </c>
      <c r="E58">
        <v>1</v>
      </c>
      <c r="F58" s="1">
        <v>45664</v>
      </c>
      <c r="G58">
        <f>_xlfn.XLOOKUP(F58,'Wk no''s'!B:B,'Wk no''s'!C:C,0)</f>
        <v>2</v>
      </c>
    </row>
    <row r="59" spans="1:7" x14ac:dyDescent="0.3">
      <c r="A59" t="s">
        <v>1323</v>
      </c>
      <c r="B59" t="s">
        <v>1324</v>
      </c>
      <c r="C59" t="s">
        <v>1224</v>
      </c>
      <c r="D59">
        <v>0</v>
      </c>
      <c r="E59">
        <v>1</v>
      </c>
      <c r="F59" s="1">
        <v>45664</v>
      </c>
      <c r="G59">
        <f>_xlfn.XLOOKUP(F59,'Wk no''s'!B:B,'Wk no''s'!C:C,0)</f>
        <v>2</v>
      </c>
    </row>
    <row r="60" spans="1:7" x14ac:dyDescent="0.3">
      <c r="A60" t="s">
        <v>1325</v>
      </c>
      <c r="B60" t="s">
        <v>1326</v>
      </c>
      <c r="C60" t="s">
        <v>1327</v>
      </c>
      <c r="D60">
        <v>5</v>
      </c>
      <c r="E60">
        <v>0</v>
      </c>
      <c r="F60" s="1">
        <v>45664</v>
      </c>
      <c r="G60">
        <f>_xlfn.XLOOKUP(F60,'Wk no''s'!B:B,'Wk no''s'!C:C,0)</f>
        <v>2</v>
      </c>
    </row>
    <row r="61" spans="1:7" x14ac:dyDescent="0.3">
      <c r="A61" t="s">
        <v>1328</v>
      </c>
      <c r="B61" t="s">
        <v>1329</v>
      </c>
      <c r="C61" t="s">
        <v>540</v>
      </c>
      <c r="D61">
        <v>0</v>
      </c>
      <c r="E61">
        <v>1</v>
      </c>
      <c r="F61" s="1">
        <v>45665</v>
      </c>
      <c r="G61">
        <f>_xlfn.XLOOKUP(F61,'Wk no''s'!B:B,'Wk no''s'!C:C,0)</f>
        <v>2</v>
      </c>
    </row>
    <row r="62" spans="1:7" x14ac:dyDescent="0.3">
      <c r="A62" t="s">
        <v>1330</v>
      </c>
      <c r="B62" t="s">
        <v>1331</v>
      </c>
      <c r="C62" t="s">
        <v>1332</v>
      </c>
      <c r="D62">
        <v>0</v>
      </c>
      <c r="E62">
        <v>1</v>
      </c>
      <c r="F62" s="1">
        <v>45665</v>
      </c>
      <c r="G62">
        <f>_xlfn.XLOOKUP(F62,'Wk no''s'!B:B,'Wk no''s'!C:C,0)</f>
        <v>2</v>
      </c>
    </row>
    <row r="63" spans="1:7" x14ac:dyDescent="0.3">
      <c r="A63" t="s">
        <v>1333</v>
      </c>
      <c r="B63" t="s">
        <v>1334</v>
      </c>
      <c r="C63" t="s">
        <v>1194</v>
      </c>
      <c r="D63">
        <v>0</v>
      </c>
      <c r="E63">
        <v>1</v>
      </c>
      <c r="F63" s="1">
        <v>45665</v>
      </c>
      <c r="G63">
        <f>_xlfn.XLOOKUP(F63,'Wk no''s'!B:B,'Wk no''s'!C:C,0)</f>
        <v>2</v>
      </c>
    </row>
    <row r="64" spans="1:7" x14ac:dyDescent="0.3">
      <c r="A64" t="s">
        <v>1335</v>
      </c>
      <c r="B64" t="s">
        <v>1336</v>
      </c>
      <c r="C64" t="s">
        <v>1337</v>
      </c>
      <c r="D64">
        <v>0</v>
      </c>
      <c r="E64">
        <v>1</v>
      </c>
      <c r="F64" s="1">
        <v>45665</v>
      </c>
      <c r="G64">
        <f>_xlfn.XLOOKUP(F64,'Wk no''s'!B:B,'Wk no''s'!C:C,0)</f>
        <v>2</v>
      </c>
    </row>
    <row r="65" spans="1:7" x14ac:dyDescent="0.3">
      <c r="A65" t="s">
        <v>1338</v>
      </c>
      <c r="B65" t="s">
        <v>1339</v>
      </c>
      <c r="C65" t="s">
        <v>1340</v>
      </c>
      <c r="D65">
        <v>0</v>
      </c>
      <c r="E65">
        <v>1</v>
      </c>
      <c r="F65" s="1">
        <v>45665</v>
      </c>
      <c r="G65">
        <f>_xlfn.XLOOKUP(F65,'Wk no''s'!B:B,'Wk no''s'!C:C,0)</f>
        <v>2</v>
      </c>
    </row>
    <row r="66" spans="1:7" x14ac:dyDescent="0.3">
      <c r="A66" t="s">
        <v>1341</v>
      </c>
      <c r="B66" t="s">
        <v>1342</v>
      </c>
      <c r="C66" t="s">
        <v>1343</v>
      </c>
      <c r="D66">
        <v>0</v>
      </c>
      <c r="E66">
        <v>1</v>
      </c>
      <c r="F66" s="1">
        <v>45665</v>
      </c>
      <c r="G66">
        <f>_xlfn.XLOOKUP(F66,'Wk no''s'!B:B,'Wk no''s'!C:C,0)</f>
        <v>2</v>
      </c>
    </row>
    <row r="67" spans="1:7" x14ac:dyDescent="0.3">
      <c r="A67" t="s">
        <v>1344</v>
      </c>
      <c r="B67" t="s">
        <v>1345</v>
      </c>
      <c r="C67" t="s">
        <v>353</v>
      </c>
      <c r="D67">
        <v>0</v>
      </c>
      <c r="E67">
        <v>1</v>
      </c>
      <c r="F67" s="1">
        <v>45665</v>
      </c>
      <c r="G67">
        <f>_xlfn.XLOOKUP(F67,'Wk no''s'!B:B,'Wk no''s'!C:C,0)</f>
        <v>2</v>
      </c>
    </row>
    <row r="68" spans="1:7" x14ac:dyDescent="0.3">
      <c r="A68" t="s">
        <v>1346</v>
      </c>
      <c r="B68" t="s">
        <v>1347</v>
      </c>
      <c r="C68" t="s">
        <v>258</v>
      </c>
      <c r="D68">
        <v>0</v>
      </c>
      <c r="E68">
        <v>1</v>
      </c>
      <c r="F68" s="1">
        <v>45665</v>
      </c>
      <c r="G68">
        <f>_xlfn.XLOOKUP(F68,'Wk no''s'!B:B,'Wk no''s'!C:C,0)</f>
        <v>2</v>
      </c>
    </row>
    <row r="69" spans="1:7" x14ac:dyDescent="0.3">
      <c r="A69" t="s">
        <v>1348</v>
      </c>
      <c r="B69" t="s">
        <v>1349</v>
      </c>
      <c r="C69" t="s">
        <v>666</v>
      </c>
      <c r="D69">
        <v>0</v>
      </c>
      <c r="E69">
        <v>1</v>
      </c>
      <c r="F69" s="1">
        <v>45665</v>
      </c>
      <c r="G69">
        <f>_xlfn.XLOOKUP(F69,'Wk no''s'!B:B,'Wk no''s'!C:C,0)</f>
        <v>2</v>
      </c>
    </row>
    <row r="70" spans="1:7" x14ac:dyDescent="0.3">
      <c r="A70" t="s">
        <v>1350</v>
      </c>
      <c r="B70" t="s">
        <v>1351</v>
      </c>
      <c r="C70" t="s">
        <v>1352</v>
      </c>
      <c r="D70">
        <v>0</v>
      </c>
      <c r="E70">
        <v>1</v>
      </c>
      <c r="F70" s="1">
        <v>45665</v>
      </c>
      <c r="G70">
        <f>_xlfn.XLOOKUP(F70,'Wk no''s'!B:B,'Wk no''s'!C:C,0)</f>
        <v>2</v>
      </c>
    </row>
    <row r="71" spans="1:7" x14ac:dyDescent="0.3">
      <c r="A71" t="s">
        <v>1353</v>
      </c>
      <c r="B71" t="s">
        <v>1354</v>
      </c>
      <c r="C71" t="s">
        <v>1355</v>
      </c>
      <c r="D71">
        <v>1</v>
      </c>
      <c r="E71">
        <v>1</v>
      </c>
      <c r="F71" s="1">
        <v>45665</v>
      </c>
      <c r="G71">
        <f>_xlfn.XLOOKUP(F71,'Wk no''s'!B:B,'Wk no''s'!C:C,0)</f>
        <v>2</v>
      </c>
    </row>
    <row r="72" spans="1:7" x14ac:dyDescent="0.3">
      <c r="A72" t="s">
        <v>1356</v>
      </c>
      <c r="B72" t="s">
        <v>1357</v>
      </c>
      <c r="C72" t="s">
        <v>1358</v>
      </c>
      <c r="D72">
        <v>0</v>
      </c>
      <c r="E72">
        <v>1</v>
      </c>
      <c r="F72" s="1">
        <v>45665</v>
      </c>
      <c r="G72">
        <f>_xlfn.XLOOKUP(F72,'Wk no''s'!B:B,'Wk no''s'!C:C,0)</f>
        <v>2</v>
      </c>
    </row>
    <row r="73" spans="1:7" x14ac:dyDescent="0.3">
      <c r="A73" t="s">
        <v>1359</v>
      </c>
      <c r="B73" t="s">
        <v>1360</v>
      </c>
      <c r="C73" t="s">
        <v>36</v>
      </c>
      <c r="D73">
        <v>1</v>
      </c>
      <c r="E73">
        <v>1</v>
      </c>
      <c r="F73" s="1">
        <v>45665</v>
      </c>
      <c r="G73">
        <f>_xlfn.XLOOKUP(F73,'Wk no''s'!B:B,'Wk no''s'!C:C,0)</f>
        <v>2</v>
      </c>
    </row>
    <row r="74" spans="1:7" x14ac:dyDescent="0.3">
      <c r="A74" t="s">
        <v>1361</v>
      </c>
      <c r="B74" t="s">
        <v>1362</v>
      </c>
      <c r="C74" t="s">
        <v>1363</v>
      </c>
      <c r="D74">
        <v>0</v>
      </c>
      <c r="E74">
        <v>1</v>
      </c>
      <c r="F74" s="1">
        <v>45665</v>
      </c>
      <c r="G74">
        <f>_xlfn.XLOOKUP(F74,'Wk no''s'!B:B,'Wk no''s'!C:C,0)</f>
        <v>2</v>
      </c>
    </row>
    <row r="75" spans="1:7" x14ac:dyDescent="0.3">
      <c r="A75" t="s">
        <v>1364</v>
      </c>
      <c r="B75" t="s">
        <v>1365</v>
      </c>
      <c r="C75" t="s">
        <v>344</v>
      </c>
      <c r="D75">
        <v>0</v>
      </c>
      <c r="E75">
        <v>1</v>
      </c>
      <c r="F75" s="1">
        <v>45665</v>
      </c>
      <c r="G75">
        <f>_xlfn.XLOOKUP(F75,'Wk no''s'!B:B,'Wk no''s'!C:C,0)</f>
        <v>2</v>
      </c>
    </row>
    <row r="76" spans="1:7" x14ac:dyDescent="0.3">
      <c r="A76" t="s">
        <v>1366</v>
      </c>
      <c r="B76" t="s">
        <v>1367</v>
      </c>
      <c r="C76" t="s">
        <v>1368</v>
      </c>
      <c r="D76">
        <v>0</v>
      </c>
      <c r="E76">
        <v>1</v>
      </c>
      <c r="F76" s="1">
        <v>45665</v>
      </c>
      <c r="G76">
        <f>_xlfn.XLOOKUP(F76,'Wk no''s'!B:B,'Wk no''s'!C:C,0)</f>
        <v>2</v>
      </c>
    </row>
    <row r="77" spans="1:7" x14ac:dyDescent="0.3">
      <c r="A77" t="s">
        <v>1369</v>
      </c>
      <c r="B77" t="s">
        <v>1370</v>
      </c>
      <c r="C77" t="s">
        <v>1371</v>
      </c>
      <c r="D77">
        <v>0</v>
      </c>
      <c r="E77">
        <v>1</v>
      </c>
      <c r="F77" s="1">
        <v>45665</v>
      </c>
      <c r="G77">
        <f>_xlfn.XLOOKUP(F77,'Wk no''s'!B:B,'Wk no''s'!C:C,0)</f>
        <v>2</v>
      </c>
    </row>
    <row r="78" spans="1:7" x14ac:dyDescent="0.3">
      <c r="A78" t="s">
        <v>1372</v>
      </c>
      <c r="B78" t="s">
        <v>1373</v>
      </c>
      <c r="C78" t="s">
        <v>197</v>
      </c>
      <c r="D78">
        <v>0</v>
      </c>
      <c r="E78">
        <v>1</v>
      </c>
      <c r="F78" s="1">
        <v>45665</v>
      </c>
      <c r="G78">
        <f>_xlfn.XLOOKUP(F78,'Wk no''s'!B:B,'Wk no''s'!C:C,0)</f>
        <v>2</v>
      </c>
    </row>
    <row r="79" spans="1:7" x14ac:dyDescent="0.3">
      <c r="A79" t="s">
        <v>1374</v>
      </c>
      <c r="B79" t="s">
        <v>1375</v>
      </c>
      <c r="C79" t="s">
        <v>1100</v>
      </c>
      <c r="D79">
        <v>0</v>
      </c>
      <c r="E79">
        <v>1</v>
      </c>
      <c r="F79" s="1">
        <v>45665</v>
      </c>
      <c r="G79">
        <f>_xlfn.XLOOKUP(F79,'Wk no''s'!B:B,'Wk no''s'!C:C,0)</f>
        <v>2</v>
      </c>
    </row>
    <row r="80" spans="1:7" x14ac:dyDescent="0.3">
      <c r="A80" t="s">
        <v>1376</v>
      </c>
      <c r="B80" t="s">
        <v>1377</v>
      </c>
      <c r="C80" t="s">
        <v>1378</v>
      </c>
      <c r="D80">
        <v>2</v>
      </c>
      <c r="E80">
        <v>0</v>
      </c>
      <c r="F80" s="1">
        <v>45665</v>
      </c>
      <c r="G80">
        <f>_xlfn.XLOOKUP(F80,'Wk no''s'!B:B,'Wk no''s'!C:C,0)</f>
        <v>2</v>
      </c>
    </row>
    <row r="81" spans="1:7" x14ac:dyDescent="0.3">
      <c r="A81" t="s">
        <v>1379</v>
      </c>
      <c r="B81" t="s">
        <v>1380</v>
      </c>
      <c r="C81" t="s">
        <v>1381</v>
      </c>
      <c r="D81">
        <v>0</v>
      </c>
      <c r="E81">
        <v>1</v>
      </c>
      <c r="F81" s="1">
        <v>45665</v>
      </c>
      <c r="G81">
        <f>_xlfn.XLOOKUP(F81,'Wk no''s'!B:B,'Wk no''s'!C:C,0)</f>
        <v>2</v>
      </c>
    </row>
    <row r="82" spans="1:7" x14ac:dyDescent="0.3">
      <c r="A82" t="s">
        <v>1382</v>
      </c>
      <c r="B82" t="s">
        <v>1383</v>
      </c>
      <c r="C82" t="s">
        <v>1384</v>
      </c>
      <c r="D82">
        <v>0</v>
      </c>
      <c r="E82">
        <v>1</v>
      </c>
      <c r="F82" s="1">
        <v>45665</v>
      </c>
      <c r="G82">
        <f>_xlfn.XLOOKUP(F82,'Wk no''s'!B:B,'Wk no''s'!C:C,0)</f>
        <v>2</v>
      </c>
    </row>
    <row r="83" spans="1:7" x14ac:dyDescent="0.3">
      <c r="A83" t="s">
        <v>1385</v>
      </c>
      <c r="B83" t="s">
        <v>1386</v>
      </c>
      <c r="C83" t="s">
        <v>1387</v>
      </c>
      <c r="D83">
        <v>0</v>
      </c>
      <c r="E83">
        <v>1</v>
      </c>
      <c r="F83" s="1">
        <v>45665</v>
      </c>
      <c r="G83">
        <f>_xlfn.XLOOKUP(F83,'Wk no''s'!B:B,'Wk no''s'!C:C,0)</f>
        <v>2</v>
      </c>
    </row>
    <row r="84" spans="1:7" x14ac:dyDescent="0.3">
      <c r="A84" t="s">
        <v>1388</v>
      </c>
      <c r="B84" t="s">
        <v>1389</v>
      </c>
      <c r="C84" t="s">
        <v>1390</v>
      </c>
      <c r="D84">
        <v>0</v>
      </c>
      <c r="E84">
        <v>1</v>
      </c>
      <c r="F84" s="1">
        <v>45665</v>
      </c>
      <c r="G84">
        <f>_xlfn.XLOOKUP(F84,'Wk no''s'!B:B,'Wk no''s'!C:C,0)</f>
        <v>2</v>
      </c>
    </row>
    <row r="85" spans="1:7" x14ac:dyDescent="0.3">
      <c r="A85" t="s">
        <v>1391</v>
      </c>
      <c r="B85" t="s">
        <v>1392</v>
      </c>
      <c r="C85" t="s">
        <v>1393</v>
      </c>
      <c r="D85">
        <v>5</v>
      </c>
      <c r="E85">
        <v>0</v>
      </c>
      <c r="F85" s="1">
        <v>45665</v>
      </c>
      <c r="G85">
        <f>_xlfn.XLOOKUP(F85,'Wk no''s'!B:B,'Wk no''s'!C:C,0)</f>
        <v>2</v>
      </c>
    </row>
    <row r="86" spans="1:7" x14ac:dyDescent="0.3">
      <c r="A86" t="s">
        <v>1394</v>
      </c>
      <c r="B86" t="s">
        <v>1395</v>
      </c>
      <c r="C86" t="s">
        <v>308</v>
      </c>
      <c r="D86">
        <v>0</v>
      </c>
      <c r="E86">
        <v>1</v>
      </c>
      <c r="F86" s="1">
        <v>45665</v>
      </c>
      <c r="G86">
        <f>_xlfn.XLOOKUP(F86,'Wk no''s'!B:B,'Wk no''s'!C:C,0)</f>
        <v>2</v>
      </c>
    </row>
    <row r="87" spans="1:7" x14ac:dyDescent="0.3">
      <c r="A87" t="s">
        <v>1396</v>
      </c>
      <c r="B87" t="s">
        <v>1397</v>
      </c>
      <c r="C87" t="s">
        <v>1398</v>
      </c>
      <c r="D87">
        <v>0</v>
      </c>
      <c r="E87">
        <v>1</v>
      </c>
      <c r="F87" s="1">
        <v>45665</v>
      </c>
      <c r="G87">
        <f>_xlfn.XLOOKUP(F87,'Wk no''s'!B:B,'Wk no''s'!C:C,0)</f>
        <v>2</v>
      </c>
    </row>
    <row r="88" spans="1:7" x14ac:dyDescent="0.3">
      <c r="A88" t="s">
        <v>1399</v>
      </c>
      <c r="B88" t="s">
        <v>1400</v>
      </c>
      <c r="C88" t="s">
        <v>1401</v>
      </c>
      <c r="D88">
        <v>1</v>
      </c>
      <c r="E88">
        <v>1</v>
      </c>
      <c r="F88" s="1">
        <v>45665</v>
      </c>
      <c r="G88">
        <f>_xlfn.XLOOKUP(F88,'Wk no''s'!B:B,'Wk no''s'!C:C,0)</f>
        <v>2</v>
      </c>
    </row>
    <row r="89" spans="1:7" x14ac:dyDescent="0.3">
      <c r="A89" t="s">
        <v>1402</v>
      </c>
      <c r="B89" t="s">
        <v>1403</v>
      </c>
      <c r="C89" t="s">
        <v>1404</v>
      </c>
      <c r="D89">
        <v>1</v>
      </c>
      <c r="E89">
        <v>1</v>
      </c>
      <c r="F89" s="1">
        <v>45665</v>
      </c>
      <c r="G89">
        <f>_xlfn.XLOOKUP(F89,'Wk no''s'!B:B,'Wk no''s'!C:C,0)</f>
        <v>2</v>
      </c>
    </row>
    <row r="90" spans="1:7" x14ac:dyDescent="0.3">
      <c r="A90" t="s">
        <v>1405</v>
      </c>
      <c r="B90" t="s">
        <v>1406</v>
      </c>
      <c r="C90" t="s">
        <v>197</v>
      </c>
      <c r="D90">
        <v>0</v>
      </c>
      <c r="E90">
        <v>1</v>
      </c>
      <c r="F90" s="1">
        <v>45665</v>
      </c>
      <c r="G90">
        <f>_xlfn.XLOOKUP(F90,'Wk no''s'!B:B,'Wk no''s'!C:C,0)</f>
        <v>2</v>
      </c>
    </row>
    <row r="91" spans="1:7" x14ac:dyDescent="0.3">
      <c r="A91" t="s">
        <v>1407</v>
      </c>
      <c r="B91" t="s">
        <v>1408</v>
      </c>
      <c r="C91" t="s">
        <v>432</v>
      </c>
      <c r="D91">
        <v>0</v>
      </c>
      <c r="E91">
        <v>1</v>
      </c>
      <c r="F91" s="1">
        <v>45665</v>
      </c>
      <c r="G91">
        <f>_xlfn.XLOOKUP(F91,'Wk no''s'!B:B,'Wk no''s'!C:C,0)</f>
        <v>2</v>
      </c>
    </row>
    <row r="92" spans="1:7" x14ac:dyDescent="0.3">
      <c r="A92" t="s">
        <v>1409</v>
      </c>
      <c r="B92" t="s">
        <v>1410</v>
      </c>
      <c r="C92" t="s">
        <v>595</v>
      </c>
      <c r="D92">
        <v>0</v>
      </c>
      <c r="E92">
        <v>1</v>
      </c>
      <c r="F92" s="1">
        <v>45665</v>
      </c>
      <c r="G92">
        <f>_xlfn.XLOOKUP(F92,'Wk no''s'!B:B,'Wk no''s'!C:C,0)</f>
        <v>2</v>
      </c>
    </row>
    <row r="93" spans="1:7" x14ac:dyDescent="0.3">
      <c r="A93" t="s">
        <v>1411</v>
      </c>
      <c r="B93" t="s">
        <v>1412</v>
      </c>
      <c r="C93" t="s">
        <v>1413</v>
      </c>
      <c r="D93">
        <v>0</v>
      </c>
      <c r="E93">
        <v>1</v>
      </c>
      <c r="F93" s="1">
        <v>45665</v>
      </c>
      <c r="G93">
        <f>_xlfn.XLOOKUP(F93,'Wk no''s'!B:B,'Wk no''s'!C:C,0)</f>
        <v>2</v>
      </c>
    </row>
    <row r="94" spans="1:7" x14ac:dyDescent="0.3">
      <c r="A94" t="s">
        <v>1414</v>
      </c>
      <c r="B94" t="s">
        <v>1415</v>
      </c>
      <c r="C94" t="s">
        <v>244</v>
      </c>
      <c r="D94">
        <v>0</v>
      </c>
      <c r="E94">
        <v>1</v>
      </c>
      <c r="F94" s="1">
        <v>45665</v>
      </c>
      <c r="G94">
        <f>_xlfn.XLOOKUP(F94,'Wk no''s'!B:B,'Wk no''s'!C:C,0)</f>
        <v>2</v>
      </c>
    </row>
    <row r="95" spans="1:7" x14ac:dyDescent="0.3">
      <c r="A95" t="s">
        <v>1416</v>
      </c>
      <c r="B95" t="s">
        <v>1417</v>
      </c>
      <c r="C95" t="s">
        <v>1418</v>
      </c>
      <c r="D95">
        <v>0</v>
      </c>
      <c r="E95">
        <v>1</v>
      </c>
      <c r="F95" s="1">
        <v>45665</v>
      </c>
      <c r="G95">
        <f>_xlfn.XLOOKUP(F95,'Wk no''s'!B:B,'Wk no''s'!C:C,0)</f>
        <v>2</v>
      </c>
    </row>
    <row r="96" spans="1:7" x14ac:dyDescent="0.3">
      <c r="A96" t="s">
        <v>1419</v>
      </c>
      <c r="B96" t="s">
        <v>1420</v>
      </c>
      <c r="C96" t="s">
        <v>1421</v>
      </c>
      <c r="D96">
        <v>1</v>
      </c>
      <c r="E96">
        <v>1</v>
      </c>
      <c r="F96" s="1">
        <v>45665</v>
      </c>
      <c r="G96">
        <f>_xlfn.XLOOKUP(F96,'Wk no''s'!B:B,'Wk no''s'!C:C,0)</f>
        <v>2</v>
      </c>
    </row>
    <row r="97" spans="1:7" x14ac:dyDescent="0.3">
      <c r="A97" t="s">
        <v>1422</v>
      </c>
      <c r="B97" t="s">
        <v>1423</v>
      </c>
      <c r="C97" t="s">
        <v>1337</v>
      </c>
      <c r="D97">
        <v>0</v>
      </c>
      <c r="E97">
        <v>1</v>
      </c>
      <c r="F97" s="1">
        <v>45665</v>
      </c>
      <c r="G97">
        <f>_xlfn.XLOOKUP(F97,'Wk no''s'!B:B,'Wk no''s'!C:C,0)</f>
        <v>2</v>
      </c>
    </row>
    <row r="98" spans="1:7" x14ac:dyDescent="0.3">
      <c r="A98" t="s">
        <v>1424</v>
      </c>
      <c r="B98" t="s">
        <v>1425</v>
      </c>
      <c r="C98" t="s">
        <v>725</v>
      </c>
      <c r="D98">
        <v>0</v>
      </c>
      <c r="E98">
        <v>1</v>
      </c>
      <c r="F98" s="1">
        <v>45666</v>
      </c>
      <c r="G98">
        <f>_xlfn.XLOOKUP(F98,'Wk no''s'!B:B,'Wk no''s'!C:C,0)</f>
        <v>2</v>
      </c>
    </row>
    <row r="99" spans="1:7" x14ac:dyDescent="0.3">
      <c r="A99" t="s">
        <v>1426</v>
      </c>
      <c r="C99" t="s">
        <v>1368</v>
      </c>
      <c r="D99">
        <v>0</v>
      </c>
      <c r="E99">
        <v>1</v>
      </c>
      <c r="F99" s="1">
        <v>45666</v>
      </c>
      <c r="G99">
        <f>_xlfn.XLOOKUP(F99,'Wk no''s'!B:B,'Wk no''s'!C:C,0)</f>
        <v>2</v>
      </c>
    </row>
    <row r="100" spans="1:7" x14ac:dyDescent="0.3">
      <c r="A100" t="s">
        <v>1427</v>
      </c>
      <c r="B100" t="s">
        <v>1428</v>
      </c>
      <c r="C100" t="s">
        <v>487</v>
      </c>
      <c r="D100">
        <v>0</v>
      </c>
      <c r="E100">
        <v>1</v>
      </c>
      <c r="F100" s="1">
        <v>45666</v>
      </c>
      <c r="G100">
        <f>_xlfn.XLOOKUP(F100,'Wk no''s'!B:B,'Wk no''s'!C:C,0)</f>
        <v>2</v>
      </c>
    </row>
    <row r="101" spans="1:7" x14ac:dyDescent="0.3">
      <c r="A101" t="s">
        <v>1429</v>
      </c>
      <c r="B101" t="s">
        <v>1430</v>
      </c>
      <c r="C101" t="s">
        <v>1431</v>
      </c>
      <c r="D101">
        <v>0</v>
      </c>
      <c r="E101">
        <v>1</v>
      </c>
      <c r="F101" s="1">
        <v>45666</v>
      </c>
      <c r="G101">
        <f>_xlfn.XLOOKUP(F101,'Wk no''s'!B:B,'Wk no''s'!C:C,0)</f>
        <v>2</v>
      </c>
    </row>
    <row r="102" spans="1:7" x14ac:dyDescent="0.3">
      <c r="A102" t="s">
        <v>1432</v>
      </c>
      <c r="B102" t="s">
        <v>1433</v>
      </c>
      <c r="C102" t="s">
        <v>1434</v>
      </c>
      <c r="D102">
        <v>0</v>
      </c>
      <c r="E102">
        <v>1</v>
      </c>
      <c r="F102" s="1">
        <v>45666</v>
      </c>
      <c r="G102">
        <f>_xlfn.XLOOKUP(F102,'Wk no''s'!B:B,'Wk no''s'!C:C,0)</f>
        <v>2</v>
      </c>
    </row>
    <row r="103" spans="1:7" x14ac:dyDescent="0.3">
      <c r="A103" t="s">
        <v>1435</v>
      </c>
      <c r="B103" t="s">
        <v>1436</v>
      </c>
      <c r="C103" t="s">
        <v>1437</v>
      </c>
      <c r="D103">
        <v>3</v>
      </c>
      <c r="E103">
        <v>0</v>
      </c>
      <c r="F103" s="1">
        <v>45666</v>
      </c>
      <c r="G103">
        <f>_xlfn.XLOOKUP(F103,'Wk no''s'!B:B,'Wk no''s'!C:C,0)</f>
        <v>2</v>
      </c>
    </row>
    <row r="104" spans="1:7" x14ac:dyDescent="0.3">
      <c r="A104" t="s">
        <v>1438</v>
      </c>
      <c r="B104" t="s">
        <v>1439</v>
      </c>
      <c r="C104" t="s">
        <v>1440</v>
      </c>
      <c r="D104">
        <v>0</v>
      </c>
      <c r="E104">
        <v>1</v>
      </c>
      <c r="F104" s="1">
        <v>45666</v>
      </c>
      <c r="G104">
        <f>_xlfn.XLOOKUP(F104,'Wk no''s'!B:B,'Wk no''s'!C:C,0)</f>
        <v>2</v>
      </c>
    </row>
    <row r="105" spans="1:7" x14ac:dyDescent="0.3">
      <c r="A105" t="s">
        <v>1441</v>
      </c>
      <c r="B105" t="s">
        <v>1442</v>
      </c>
      <c r="C105" t="s">
        <v>1443</v>
      </c>
      <c r="D105">
        <v>1</v>
      </c>
      <c r="E105">
        <v>1</v>
      </c>
      <c r="F105" s="1">
        <v>45666</v>
      </c>
      <c r="G105">
        <f>_xlfn.XLOOKUP(F105,'Wk no''s'!B:B,'Wk no''s'!C:C,0)</f>
        <v>2</v>
      </c>
    </row>
    <row r="106" spans="1:7" x14ac:dyDescent="0.3">
      <c r="A106" t="s">
        <v>1444</v>
      </c>
      <c r="B106" t="s">
        <v>1445</v>
      </c>
      <c r="C106" t="s">
        <v>1446</v>
      </c>
      <c r="D106">
        <v>0</v>
      </c>
      <c r="E106">
        <v>1</v>
      </c>
      <c r="F106" s="1">
        <v>45666</v>
      </c>
      <c r="G106">
        <f>_xlfn.XLOOKUP(F106,'Wk no''s'!B:B,'Wk no''s'!C:C,0)</f>
        <v>2</v>
      </c>
    </row>
    <row r="107" spans="1:7" x14ac:dyDescent="0.3">
      <c r="A107" t="s">
        <v>1447</v>
      </c>
      <c r="B107" t="s">
        <v>1448</v>
      </c>
      <c r="C107" t="s">
        <v>1449</v>
      </c>
      <c r="D107">
        <v>0</v>
      </c>
      <c r="E107">
        <v>1</v>
      </c>
      <c r="F107" s="1">
        <v>45666</v>
      </c>
      <c r="G107">
        <f>_xlfn.XLOOKUP(F107,'Wk no''s'!B:B,'Wk no''s'!C:C,0)</f>
        <v>2</v>
      </c>
    </row>
    <row r="108" spans="1:7" x14ac:dyDescent="0.3">
      <c r="A108" t="s">
        <v>1450</v>
      </c>
      <c r="B108" t="s">
        <v>1451</v>
      </c>
      <c r="C108" t="s">
        <v>75</v>
      </c>
      <c r="D108">
        <v>0</v>
      </c>
      <c r="E108">
        <v>1</v>
      </c>
      <c r="F108" s="1">
        <v>45666</v>
      </c>
      <c r="G108">
        <f>_xlfn.XLOOKUP(F108,'Wk no''s'!B:B,'Wk no''s'!C:C,0)</f>
        <v>2</v>
      </c>
    </row>
    <row r="109" spans="1:7" x14ac:dyDescent="0.3">
      <c r="A109" t="s">
        <v>1452</v>
      </c>
      <c r="B109" t="s">
        <v>1453</v>
      </c>
      <c r="C109" t="s">
        <v>197</v>
      </c>
      <c r="D109">
        <v>0</v>
      </c>
      <c r="E109">
        <v>1</v>
      </c>
      <c r="F109" s="1">
        <v>45666</v>
      </c>
      <c r="G109">
        <f>_xlfn.XLOOKUP(F109,'Wk no''s'!B:B,'Wk no''s'!C:C,0)</f>
        <v>2</v>
      </c>
    </row>
    <row r="110" spans="1:7" x14ac:dyDescent="0.3">
      <c r="A110" t="s">
        <v>1454</v>
      </c>
      <c r="B110" t="s">
        <v>1455</v>
      </c>
      <c r="C110" t="s">
        <v>1456</v>
      </c>
      <c r="D110">
        <v>0</v>
      </c>
      <c r="E110">
        <v>1</v>
      </c>
      <c r="F110" s="1">
        <v>45666</v>
      </c>
      <c r="G110">
        <f>_xlfn.XLOOKUP(F110,'Wk no''s'!B:B,'Wk no''s'!C:C,0)</f>
        <v>2</v>
      </c>
    </row>
    <row r="111" spans="1:7" x14ac:dyDescent="0.3">
      <c r="A111" t="s">
        <v>1457</v>
      </c>
      <c r="B111" t="s">
        <v>1458</v>
      </c>
      <c r="C111" t="s">
        <v>1459</v>
      </c>
      <c r="D111">
        <v>0</v>
      </c>
      <c r="E111">
        <v>1</v>
      </c>
      <c r="F111" s="1">
        <v>45666</v>
      </c>
      <c r="G111">
        <f>_xlfn.XLOOKUP(F111,'Wk no''s'!B:B,'Wk no''s'!C:C,0)</f>
        <v>2</v>
      </c>
    </row>
    <row r="112" spans="1:7" x14ac:dyDescent="0.3">
      <c r="A112" t="s">
        <v>1460</v>
      </c>
      <c r="B112" t="s">
        <v>1461</v>
      </c>
      <c r="C112" t="s">
        <v>1456</v>
      </c>
      <c r="D112">
        <v>0</v>
      </c>
      <c r="E112">
        <v>1</v>
      </c>
      <c r="F112" s="1">
        <v>45666</v>
      </c>
      <c r="G112">
        <f>_xlfn.XLOOKUP(F112,'Wk no''s'!B:B,'Wk no''s'!C:C,0)</f>
        <v>2</v>
      </c>
    </row>
    <row r="113" spans="1:7" x14ac:dyDescent="0.3">
      <c r="A113" t="s">
        <v>1462</v>
      </c>
      <c r="B113" t="s">
        <v>1463</v>
      </c>
      <c r="C113" t="s">
        <v>1464</v>
      </c>
      <c r="D113">
        <v>0</v>
      </c>
      <c r="E113">
        <v>1</v>
      </c>
      <c r="F113" s="1">
        <v>45666</v>
      </c>
      <c r="G113">
        <f>_xlfn.XLOOKUP(F113,'Wk no''s'!B:B,'Wk no''s'!C:C,0)</f>
        <v>2</v>
      </c>
    </row>
    <row r="114" spans="1:7" x14ac:dyDescent="0.3">
      <c r="A114" t="s">
        <v>1465</v>
      </c>
      <c r="B114" t="s">
        <v>1466</v>
      </c>
      <c r="C114" t="s">
        <v>1224</v>
      </c>
      <c r="D114">
        <v>0</v>
      </c>
      <c r="E114">
        <v>1</v>
      </c>
      <c r="F114" s="1">
        <v>45666</v>
      </c>
      <c r="G114">
        <f>_xlfn.XLOOKUP(F114,'Wk no''s'!B:B,'Wk no''s'!C:C,0)</f>
        <v>2</v>
      </c>
    </row>
    <row r="115" spans="1:7" x14ac:dyDescent="0.3">
      <c r="A115" t="s">
        <v>1467</v>
      </c>
      <c r="B115" t="s">
        <v>1468</v>
      </c>
      <c r="C115" t="s">
        <v>1469</v>
      </c>
      <c r="D115">
        <v>0</v>
      </c>
      <c r="E115">
        <v>1</v>
      </c>
      <c r="F115" s="1">
        <v>45666</v>
      </c>
      <c r="G115">
        <f>_xlfn.XLOOKUP(F115,'Wk no''s'!B:B,'Wk no''s'!C:C,0)</f>
        <v>2</v>
      </c>
    </row>
    <row r="116" spans="1:7" x14ac:dyDescent="0.3">
      <c r="A116" t="s">
        <v>1470</v>
      </c>
      <c r="B116" t="s">
        <v>1471</v>
      </c>
      <c r="C116" t="s">
        <v>1472</v>
      </c>
      <c r="D116">
        <v>0</v>
      </c>
      <c r="E116">
        <v>1</v>
      </c>
      <c r="F116" s="1">
        <v>45666</v>
      </c>
      <c r="G116">
        <f>_xlfn.XLOOKUP(F116,'Wk no''s'!B:B,'Wk no''s'!C:C,0)</f>
        <v>2</v>
      </c>
    </row>
    <row r="117" spans="1:7" x14ac:dyDescent="0.3">
      <c r="A117" t="s">
        <v>1473</v>
      </c>
      <c r="B117" t="s">
        <v>1474</v>
      </c>
      <c r="C117" t="s">
        <v>1475</v>
      </c>
      <c r="D117">
        <v>0</v>
      </c>
      <c r="E117">
        <v>1</v>
      </c>
      <c r="F117" s="1">
        <v>45666</v>
      </c>
      <c r="G117">
        <f>_xlfn.XLOOKUP(F117,'Wk no''s'!B:B,'Wk no''s'!C:C,0)</f>
        <v>2</v>
      </c>
    </row>
    <row r="118" spans="1:7" x14ac:dyDescent="0.3">
      <c r="A118" t="s">
        <v>1476</v>
      </c>
      <c r="B118" t="s">
        <v>1477</v>
      </c>
      <c r="C118" t="s">
        <v>1478</v>
      </c>
      <c r="D118">
        <v>0</v>
      </c>
      <c r="E118">
        <v>1</v>
      </c>
      <c r="F118" s="1">
        <v>45666</v>
      </c>
      <c r="G118">
        <f>_xlfn.XLOOKUP(F118,'Wk no''s'!B:B,'Wk no''s'!C:C,0)</f>
        <v>2</v>
      </c>
    </row>
    <row r="119" spans="1:7" x14ac:dyDescent="0.3">
      <c r="A119" t="s">
        <v>1479</v>
      </c>
      <c r="B119" t="s">
        <v>1480</v>
      </c>
      <c r="C119" t="s">
        <v>1481</v>
      </c>
      <c r="D119">
        <v>0</v>
      </c>
      <c r="E119">
        <v>1</v>
      </c>
      <c r="F119" s="1">
        <v>45666</v>
      </c>
      <c r="G119">
        <f>_xlfn.XLOOKUP(F119,'Wk no''s'!B:B,'Wk no''s'!C:C,0)</f>
        <v>2</v>
      </c>
    </row>
    <row r="120" spans="1:7" x14ac:dyDescent="0.3">
      <c r="A120" t="s">
        <v>1482</v>
      </c>
      <c r="B120" t="s">
        <v>1483</v>
      </c>
      <c r="C120" t="s">
        <v>1337</v>
      </c>
      <c r="D120">
        <v>0</v>
      </c>
      <c r="E120">
        <v>1</v>
      </c>
      <c r="F120" s="1">
        <v>45666</v>
      </c>
      <c r="G120">
        <f>_xlfn.XLOOKUP(F120,'Wk no''s'!B:B,'Wk no''s'!C:C,0)</f>
        <v>2</v>
      </c>
    </row>
    <row r="121" spans="1:7" x14ac:dyDescent="0.3">
      <c r="A121" t="s">
        <v>1484</v>
      </c>
      <c r="B121" t="s">
        <v>1485</v>
      </c>
      <c r="C121" t="s">
        <v>36</v>
      </c>
      <c r="D121">
        <v>2</v>
      </c>
      <c r="E121">
        <v>0</v>
      </c>
      <c r="F121" s="1">
        <v>45666</v>
      </c>
      <c r="G121">
        <f>_xlfn.XLOOKUP(F121,'Wk no''s'!B:B,'Wk no''s'!C:C,0)</f>
        <v>2</v>
      </c>
    </row>
    <row r="122" spans="1:7" x14ac:dyDescent="0.3">
      <c r="A122" t="s">
        <v>1486</v>
      </c>
      <c r="B122" t="s">
        <v>1487</v>
      </c>
      <c r="C122" t="s">
        <v>1488</v>
      </c>
      <c r="D122">
        <v>0</v>
      </c>
      <c r="E122">
        <v>1</v>
      </c>
      <c r="F122" s="1">
        <v>45666</v>
      </c>
      <c r="G122">
        <f>_xlfn.XLOOKUP(F122,'Wk no''s'!B:B,'Wk no''s'!C:C,0)</f>
        <v>2</v>
      </c>
    </row>
    <row r="123" spans="1:7" x14ac:dyDescent="0.3">
      <c r="A123" t="s">
        <v>1489</v>
      </c>
      <c r="B123" t="s">
        <v>1490</v>
      </c>
      <c r="C123" t="s">
        <v>725</v>
      </c>
      <c r="D123">
        <v>0</v>
      </c>
      <c r="E123">
        <v>1</v>
      </c>
      <c r="F123" s="1">
        <v>45666</v>
      </c>
      <c r="G123">
        <f>_xlfn.XLOOKUP(F123,'Wk no''s'!B:B,'Wk no''s'!C:C,0)</f>
        <v>2</v>
      </c>
    </row>
    <row r="124" spans="1:7" x14ac:dyDescent="0.3">
      <c r="A124" t="s">
        <v>1491</v>
      </c>
      <c r="B124" t="s">
        <v>1492</v>
      </c>
      <c r="C124" t="s">
        <v>550</v>
      </c>
      <c r="D124">
        <v>0</v>
      </c>
      <c r="E124">
        <v>1</v>
      </c>
      <c r="F124" s="1">
        <v>45666</v>
      </c>
      <c r="G124">
        <f>_xlfn.XLOOKUP(F124,'Wk no''s'!B:B,'Wk no''s'!C:C,0)</f>
        <v>2</v>
      </c>
    </row>
    <row r="125" spans="1:7" x14ac:dyDescent="0.3">
      <c r="A125" t="s">
        <v>1493</v>
      </c>
      <c r="B125" t="s">
        <v>1494</v>
      </c>
      <c r="C125" t="s">
        <v>1495</v>
      </c>
      <c r="D125">
        <v>0</v>
      </c>
      <c r="E125">
        <v>1</v>
      </c>
      <c r="F125" s="1">
        <v>45666</v>
      </c>
      <c r="G125">
        <f>_xlfn.XLOOKUP(F125,'Wk no''s'!B:B,'Wk no''s'!C:C,0)</f>
        <v>2</v>
      </c>
    </row>
    <row r="126" spans="1:7" x14ac:dyDescent="0.3">
      <c r="A126" t="s">
        <v>1496</v>
      </c>
      <c r="B126" t="s">
        <v>1497</v>
      </c>
      <c r="C126" t="s">
        <v>1498</v>
      </c>
      <c r="D126">
        <v>0</v>
      </c>
      <c r="E126">
        <v>1</v>
      </c>
      <c r="F126" s="1">
        <v>45666</v>
      </c>
      <c r="G126">
        <f>_xlfn.XLOOKUP(F126,'Wk no''s'!B:B,'Wk no''s'!C:C,0)</f>
        <v>2</v>
      </c>
    </row>
    <row r="127" spans="1:7" x14ac:dyDescent="0.3">
      <c r="A127" t="s">
        <v>1499</v>
      </c>
      <c r="B127" t="s">
        <v>1500</v>
      </c>
      <c r="C127" t="s">
        <v>1501</v>
      </c>
      <c r="D127">
        <v>0</v>
      </c>
      <c r="E127">
        <v>1</v>
      </c>
      <c r="F127" s="1">
        <v>45666</v>
      </c>
      <c r="G127">
        <f>_xlfn.XLOOKUP(F127,'Wk no''s'!B:B,'Wk no''s'!C:C,0)</f>
        <v>2</v>
      </c>
    </row>
    <row r="128" spans="1:7" x14ac:dyDescent="0.3">
      <c r="A128" t="s">
        <v>1502</v>
      </c>
      <c r="B128" t="s">
        <v>1503</v>
      </c>
      <c r="C128" t="s">
        <v>550</v>
      </c>
      <c r="D128">
        <v>0</v>
      </c>
      <c r="E128">
        <v>1</v>
      </c>
      <c r="F128" s="1">
        <v>45666</v>
      </c>
      <c r="G128">
        <f>_xlfn.XLOOKUP(F128,'Wk no''s'!B:B,'Wk no''s'!C:C,0)</f>
        <v>2</v>
      </c>
    </row>
    <row r="129" spans="1:7" x14ac:dyDescent="0.3">
      <c r="A129" t="s">
        <v>1504</v>
      </c>
      <c r="B129" t="s">
        <v>1505</v>
      </c>
      <c r="C129" t="s">
        <v>1506</v>
      </c>
      <c r="D129">
        <v>0</v>
      </c>
      <c r="E129">
        <v>1</v>
      </c>
      <c r="F129" s="1">
        <v>45666</v>
      </c>
      <c r="G129">
        <f>_xlfn.XLOOKUP(F129,'Wk no''s'!B:B,'Wk no''s'!C:C,0)</f>
        <v>2</v>
      </c>
    </row>
    <row r="130" spans="1:7" x14ac:dyDescent="0.3">
      <c r="A130" t="s">
        <v>1507</v>
      </c>
      <c r="B130" t="s">
        <v>1508</v>
      </c>
      <c r="C130" t="s">
        <v>75</v>
      </c>
      <c r="D130">
        <v>0</v>
      </c>
      <c r="E130">
        <v>1</v>
      </c>
      <c r="F130" s="1">
        <v>45666</v>
      </c>
      <c r="G130">
        <f>_xlfn.XLOOKUP(F130,'Wk no''s'!B:B,'Wk no''s'!C:C,0)</f>
        <v>2</v>
      </c>
    </row>
    <row r="131" spans="1:7" x14ac:dyDescent="0.3">
      <c r="A131" t="s">
        <v>1509</v>
      </c>
      <c r="B131" t="s">
        <v>1510</v>
      </c>
      <c r="C131" t="s">
        <v>550</v>
      </c>
      <c r="D131">
        <v>0</v>
      </c>
      <c r="E131">
        <v>1</v>
      </c>
      <c r="F131" s="1">
        <v>45666</v>
      </c>
      <c r="G131">
        <f>_xlfn.XLOOKUP(F131,'Wk no''s'!B:B,'Wk no''s'!C:C,0)</f>
        <v>2</v>
      </c>
    </row>
    <row r="132" spans="1:7" x14ac:dyDescent="0.3">
      <c r="A132" t="s">
        <v>1511</v>
      </c>
      <c r="B132" t="s">
        <v>1512</v>
      </c>
      <c r="C132" t="s">
        <v>1246</v>
      </c>
      <c r="D132">
        <v>0</v>
      </c>
      <c r="E132">
        <v>1</v>
      </c>
      <c r="F132" s="1">
        <v>45666</v>
      </c>
      <c r="G132">
        <f>_xlfn.XLOOKUP(F132,'Wk no''s'!B:B,'Wk no''s'!C:C,0)</f>
        <v>2</v>
      </c>
    </row>
    <row r="133" spans="1:7" x14ac:dyDescent="0.3">
      <c r="A133" t="s">
        <v>1513</v>
      </c>
      <c r="B133" t="s">
        <v>1514</v>
      </c>
      <c r="C133" t="s">
        <v>501</v>
      </c>
      <c r="D133">
        <v>0</v>
      </c>
      <c r="E133">
        <v>1</v>
      </c>
      <c r="F133" s="1">
        <v>45666</v>
      </c>
      <c r="G133">
        <f>_xlfn.XLOOKUP(F133,'Wk no''s'!B:B,'Wk no''s'!C:C,0)</f>
        <v>2</v>
      </c>
    </row>
    <row r="134" spans="1:7" x14ac:dyDescent="0.3">
      <c r="A134" t="s">
        <v>1515</v>
      </c>
      <c r="C134" t="s">
        <v>6736</v>
      </c>
      <c r="D134">
        <v>0</v>
      </c>
      <c r="E134">
        <v>1</v>
      </c>
      <c r="F134" s="1">
        <v>45666</v>
      </c>
      <c r="G134">
        <f>_xlfn.XLOOKUP(F134,'Wk no''s'!B:B,'Wk no''s'!C:C,0)</f>
        <v>2</v>
      </c>
    </row>
    <row r="135" spans="1:7" x14ac:dyDescent="0.3">
      <c r="A135" t="s">
        <v>1516</v>
      </c>
      <c r="B135" t="s">
        <v>1517</v>
      </c>
      <c r="C135" t="s">
        <v>1518</v>
      </c>
      <c r="D135">
        <v>0</v>
      </c>
      <c r="E135">
        <v>1</v>
      </c>
      <c r="F135" s="1">
        <v>45666</v>
      </c>
      <c r="G135">
        <f>_xlfn.XLOOKUP(F135,'Wk no''s'!B:B,'Wk no''s'!C:C,0)</f>
        <v>2</v>
      </c>
    </row>
    <row r="136" spans="1:7" x14ac:dyDescent="0.3">
      <c r="A136" t="s">
        <v>1519</v>
      </c>
      <c r="B136" t="s">
        <v>1520</v>
      </c>
      <c r="C136" t="s">
        <v>197</v>
      </c>
      <c r="D136">
        <v>0</v>
      </c>
      <c r="E136">
        <v>1</v>
      </c>
      <c r="F136" s="1">
        <v>45666</v>
      </c>
      <c r="G136">
        <f>_xlfn.XLOOKUP(F136,'Wk no''s'!B:B,'Wk no''s'!C:C,0)</f>
        <v>2</v>
      </c>
    </row>
    <row r="137" spans="1:7" x14ac:dyDescent="0.3">
      <c r="A137" t="s">
        <v>1521</v>
      </c>
      <c r="B137" t="s">
        <v>1522</v>
      </c>
      <c r="C137" t="s">
        <v>1194</v>
      </c>
      <c r="D137">
        <v>0</v>
      </c>
      <c r="E137">
        <v>1</v>
      </c>
      <c r="F137" s="1">
        <v>45666</v>
      </c>
      <c r="G137">
        <f>_xlfn.XLOOKUP(F137,'Wk no''s'!B:B,'Wk no''s'!C:C,0)</f>
        <v>2</v>
      </c>
    </row>
    <row r="138" spans="1:7" x14ac:dyDescent="0.3">
      <c r="A138" t="s">
        <v>1523</v>
      </c>
      <c r="B138" t="s">
        <v>1524</v>
      </c>
      <c r="C138" t="s">
        <v>302</v>
      </c>
      <c r="D138">
        <v>0</v>
      </c>
      <c r="E138">
        <v>1</v>
      </c>
      <c r="F138" s="1">
        <v>45666</v>
      </c>
      <c r="G138">
        <f>_xlfn.XLOOKUP(F138,'Wk no''s'!B:B,'Wk no''s'!C:C,0)</f>
        <v>2</v>
      </c>
    </row>
    <row r="139" spans="1:7" x14ac:dyDescent="0.3">
      <c r="A139" t="s">
        <v>1525</v>
      </c>
      <c r="B139" t="s">
        <v>1526</v>
      </c>
      <c r="C139" t="s">
        <v>1527</v>
      </c>
      <c r="D139">
        <v>0</v>
      </c>
      <c r="E139">
        <v>1</v>
      </c>
      <c r="F139" s="1">
        <v>45667</v>
      </c>
      <c r="G139">
        <f>_xlfn.XLOOKUP(F139,'Wk no''s'!B:B,'Wk no''s'!C:C,0)</f>
        <v>2</v>
      </c>
    </row>
    <row r="140" spans="1:7" x14ac:dyDescent="0.3">
      <c r="A140" t="s">
        <v>1528</v>
      </c>
      <c r="B140" t="s">
        <v>1529</v>
      </c>
      <c r="C140" t="s">
        <v>550</v>
      </c>
      <c r="D140">
        <v>0</v>
      </c>
      <c r="E140">
        <v>1</v>
      </c>
      <c r="F140" s="1">
        <v>45667</v>
      </c>
      <c r="G140">
        <f>_xlfn.XLOOKUP(F140,'Wk no''s'!B:B,'Wk no''s'!C:C,0)</f>
        <v>2</v>
      </c>
    </row>
    <row r="141" spans="1:7" x14ac:dyDescent="0.3">
      <c r="A141" t="s">
        <v>1530</v>
      </c>
      <c r="B141" t="s">
        <v>1531</v>
      </c>
      <c r="C141" t="s">
        <v>1322</v>
      </c>
      <c r="D141">
        <v>0</v>
      </c>
      <c r="E141">
        <v>1</v>
      </c>
      <c r="F141" s="1">
        <v>45667</v>
      </c>
      <c r="G141">
        <f>_xlfn.XLOOKUP(F141,'Wk no''s'!B:B,'Wk no''s'!C:C,0)</f>
        <v>2</v>
      </c>
    </row>
    <row r="142" spans="1:7" x14ac:dyDescent="0.3">
      <c r="A142" t="s">
        <v>1532</v>
      </c>
      <c r="B142" t="s">
        <v>1533</v>
      </c>
      <c r="C142" t="s">
        <v>1534</v>
      </c>
      <c r="D142">
        <v>6</v>
      </c>
      <c r="E142">
        <v>0</v>
      </c>
      <c r="F142" s="1">
        <v>45667</v>
      </c>
      <c r="G142">
        <f>_xlfn.XLOOKUP(F142,'Wk no''s'!B:B,'Wk no''s'!C:C,0)</f>
        <v>2</v>
      </c>
    </row>
    <row r="143" spans="1:7" x14ac:dyDescent="0.3">
      <c r="A143" t="s">
        <v>1535</v>
      </c>
      <c r="B143" t="s">
        <v>1536</v>
      </c>
      <c r="C143" t="s">
        <v>1537</v>
      </c>
      <c r="D143">
        <v>0</v>
      </c>
      <c r="E143">
        <v>1</v>
      </c>
      <c r="F143" s="1">
        <v>45667</v>
      </c>
      <c r="G143">
        <f>_xlfn.XLOOKUP(F143,'Wk no''s'!B:B,'Wk no''s'!C:C,0)</f>
        <v>2</v>
      </c>
    </row>
    <row r="144" spans="1:7" x14ac:dyDescent="0.3">
      <c r="A144" t="s">
        <v>1538</v>
      </c>
      <c r="B144" t="s">
        <v>1539</v>
      </c>
      <c r="C144" t="s">
        <v>197</v>
      </c>
      <c r="D144">
        <v>0</v>
      </c>
      <c r="E144">
        <v>1</v>
      </c>
      <c r="F144" s="1">
        <v>45667</v>
      </c>
      <c r="G144">
        <f>_xlfn.XLOOKUP(F144,'Wk no''s'!B:B,'Wk no''s'!C:C,0)</f>
        <v>2</v>
      </c>
    </row>
    <row r="145" spans="1:7" x14ac:dyDescent="0.3">
      <c r="A145" t="s">
        <v>1540</v>
      </c>
      <c r="B145" t="s">
        <v>1541</v>
      </c>
      <c r="C145" t="s">
        <v>147</v>
      </c>
      <c r="D145">
        <v>1</v>
      </c>
      <c r="E145">
        <v>1</v>
      </c>
      <c r="F145" s="1">
        <v>45667</v>
      </c>
      <c r="G145">
        <f>_xlfn.XLOOKUP(F145,'Wk no''s'!B:B,'Wk no''s'!C:C,0)</f>
        <v>2</v>
      </c>
    </row>
    <row r="146" spans="1:7" x14ac:dyDescent="0.3">
      <c r="A146" t="s">
        <v>1542</v>
      </c>
      <c r="B146" t="s">
        <v>1543</v>
      </c>
      <c r="C146" t="s">
        <v>1544</v>
      </c>
      <c r="D146">
        <v>0</v>
      </c>
      <c r="E146">
        <v>1</v>
      </c>
      <c r="F146" s="1">
        <v>45667</v>
      </c>
      <c r="G146">
        <f>_xlfn.XLOOKUP(F146,'Wk no''s'!B:B,'Wk no''s'!C:C,0)</f>
        <v>2</v>
      </c>
    </row>
    <row r="147" spans="1:7" x14ac:dyDescent="0.3">
      <c r="A147" t="s">
        <v>1545</v>
      </c>
      <c r="B147" t="s">
        <v>1546</v>
      </c>
      <c r="C147" t="s">
        <v>339</v>
      </c>
      <c r="D147">
        <v>0</v>
      </c>
      <c r="E147">
        <v>1</v>
      </c>
      <c r="F147" s="1">
        <v>45667</v>
      </c>
      <c r="G147">
        <f>_xlfn.XLOOKUP(F147,'Wk no''s'!B:B,'Wk no''s'!C:C,0)</f>
        <v>2</v>
      </c>
    </row>
    <row r="148" spans="1:7" x14ac:dyDescent="0.3">
      <c r="A148" t="s">
        <v>1547</v>
      </c>
      <c r="B148" t="s">
        <v>1548</v>
      </c>
      <c r="C148" t="s">
        <v>1549</v>
      </c>
      <c r="D148">
        <v>0</v>
      </c>
      <c r="E148">
        <v>1</v>
      </c>
      <c r="F148" s="1">
        <v>45667</v>
      </c>
      <c r="G148">
        <f>_xlfn.XLOOKUP(F148,'Wk no''s'!B:B,'Wk no''s'!C:C,0)</f>
        <v>2</v>
      </c>
    </row>
    <row r="149" spans="1:7" x14ac:dyDescent="0.3">
      <c r="A149" t="s">
        <v>1550</v>
      </c>
      <c r="B149" t="s">
        <v>1551</v>
      </c>
      <c r="C149" t="s">
        <v>33</v>
      </c>
      <c r="D149">
        <v>17</v>
      </c>
      <c r="E149">
        <v>0</v>
      </c>
      <c r="F149" s="1">
        <v>45667</v>
      </c>
      <c r="G149">
        <f>_xlfn.XLOOKUP(F149,'Wk no''s'!B:B,'Wk no''s'!C:C,0)</f>
        <v>2</v>
      </c>
    </row>
    <row r="150" spans="1:7" x14ac:dyDescent="0.3">
      <c r="A150" t="s">
        <v>1552</v>
      </c>
      <c r="B150" t="s">
        <v>1553</v>
      </c>
      <c r="C150" t="s">
        <v>481</v>
      </c>
      <c r="D150">
        <v>0</v>
      </c>
      <c r="E150">
        <v>1</v>
      </c>
      <c r="F150" s="1">
        <v>45667</v>
      </c>
      <c r="G150">
        <f>_xlfn.XLOOKUP(F150,'Wk no''s'!B:B,'Wk no''s'!C:C,0)</f>
        <v>2</v>
      </c>
    </row>
    <row r="151" spans="1:7" x14ac:dyDescent="0.3">
      <c r="A151" t="s">
        <v>1554</v>
      </c>
      <c r="B151" t="s">
        <v>1555</v>
      </c>
      <c r="C151" t="s">
        <v>75</v>
      </c>
      <c r="D151">
        <v>0</v>
      </c>
      <c r="E151">
        <v>1</v>
      </c>
      <c r="F151" s="1">
        <v>45667</v>
      </c>
      <c r="G151">
        <f>_xlfn.XLOOKUP(F151,'Wk no''s'!B:B,'Wk no''s'!C:C,0)</f>
        <v>2</v>
      </c>
    </row>
    <row r="152" spans="1:7" x14ac:dyDescent="0.3">
      <c r="A152" t="s">
        <v>1556</v>
      </c>
      <c r="B152" t="s">
        <v>1557</v>
      </c>
      <c r="C152" t="s">
        <v>1558</v>
      </c>
      <c r="D152">
        <v>0</v>
      </c>
      <c r="E152">
        <v>1</v>
      </c>
      <c r="F152" s="1">
        <v>45667</v>
      </c>
      <c r="G152">
        <f>_xlfn.XLOOKUP(F152,'Wk no''s'!B:B,'Wk no''s'!C:C,0)</f>
        <v>2</v>
      </c>
    </row>
    <row r="153" spans="1:7" x14ac:dyDescent="0.3">
      <c r="A153" t="s">
        <v>1559</v>
      </c>
      <c r="B153" t="s">
        <v>1560</v>
      </c>
      <c r="C153" t="s">
        <v>1194</v>
      </c>
      <c r="D153">
        <v>0</v>
      </c>
      <c r="E153">
        <v>1</v>
      </c>
      <c r="F153" s="1">
        <v>45667</v>
      </c>
      <c r="G153">
        <f>_xlfn.XLOOKUP(F153,'Wk no''s'!B:B,'Wk no''s'!C:C,0)</f>
        <v>2</v>
      </c>
    </row>
    <row r="154" spans="1:7" x14ac:dyDescent="0.3">
      <c r="A154" t="s">
        <v>1561</v>
      </c>
      <c r="B154" t="s">
        <v>1562</v>
      </c>
      <c r="C154" t="s">
        <v>1563</v>
      </c>
      <c r="D154">
        <v>0</v>
      </c>
      <c r="E154">
        <v>1</v>
      </c>
      <c r="F154" s="1">
        <v>45667</v>
      </c>
      <c r="G154">
        <f>_xlfn.XLOOKUP(F154,'Wk no''s'!B:B,'Wk no''s'!C:C,0)</f>
        <v>2</v>
      </c>
    </row>
    <row r="155" spans="1:7" x14ac:dyDescent="0.3">
      <c r="A155" t="s">
        <v>1564</v>
      </c>
      <c r="B155" t="s">
        <v>1565</v>
      </c>
      <c r="C155" t="s">
        <v>75</v>
      </c>
      <c r="D155">
        <v>0</v>
      </c>
      <c r="E155">
        <v>1</v>
      </c>
      <c r="F155" s="1">
        <v>45670</v>
      </c>
      <c r="G155">
        <f>_xlfn.XLOOKUP(F155,'Wk no''s'!B:B,'Wk no''s'!C:C,0)</f>
        <v>3</v>
      </c>
    </row>
    <row r="156" spans="1:7" x14ac:dyDescent="0.3">
      <c r="A156" t="s">
        <v>1566</v>
      </c>
      <c r="B156" t="s">
        <v>1567</v>
      </c>
      <c r="C156" t="s">
        <v>1568</v>
      </c>
      <c r="D156">
        <v>0</v>
      </c>
      <c r="E156">
        <v>1</v>
      </c>
      <c r="F156" s="1">
        <v>45670</v>
      </c>
      <c r="G156">
        <f>_xlfn.XLOOKUP(F156,'Wk no''s'!B:B,'Wk no''s'!C:C,0)</f>
        <v>3</v>
      </c>
    </row>
    <row r="157" spans="1:7" x14ac:dyDescent="0.3">
      <c r="A157" t="s">
        <v>1569</v>
      </c>
      <c r="B157" t="s">
        <v>1570</v>
      </c>
      <c r="C157" t="s">
        <v>1571</v>
      </c>
      <c r="D157">
        <v>0</v>
      </c>
      <c r="E157">
        <v>1</v>
      </c>
      <c r="F157" s="1">
        <v>45670</v>
      </c>
      <c r="G157">
        <f>_xlfn.XLOOKUP(F157,'Wk no''s'!B:B,'Wk no''s'!C:C,0)</f>
        <v>3</v>
      </c>
    </row>
    <row r="158" spans="1:7" x14ac:dyDescent="0.3">
      <c r="A158" t="s">
        <v>1572</v>
      </c>
      <c r="B158" t="s">
        <v>1573</v>
      </c>
      <c r="C158" t="s">
        <v>1574</v>
      </c>
      <c r="D158">
        <v>0</v>
      </c>
      <c r="E158">
        <v>1</v>
      </c>
      <c r="F158" s="1">
        <v>45670</v>
      </c>
      <c r="G158">
        <f>_xlfn.XLOOKUP(F158,'Wk no''s'!B:B,'Wk no''s'!C:C,0)</f>
        <v>3</v>
      </c>
    </row>
    <row r="159" spans="1:7" x14ac:dyDescent="0.3">
      <c r="A159" t="s">
        <v>1575</v>
      </c>
      <c r="B159" t="s">
        <v>1576</v>
      </c>
      <c r="C159" t="s">
        <v>1224</v>
      </c>
      <c r="D159">
        <v>0</v>
      </c>
      <c r="E159">
        <v>1</v>
      </c>
      <c r="F159" s="1">
        <v>45670</v>
      </c>
      <c r="G159">
        <f>_xlfn.XLOOKUP(F159,'Wk no''s'!B:B,'Wk no''s'!C:C,0)</f>
        <v>3</v>
      </c>
    </row>
    <row r="160" spans="1:7" x14ac:dyDescent="0.3">
      <c r="A160" t="s">
        <v>1577</v>
      </c>
      <c r="B160" t="s">
        <v>1578</v>
      </c>
      <c r="C160" t="s">
        <v>201</v>
      </c>
      <c r="D160">
        <v>0</v>
      </c>
      <c r="E160">
        <v>1</v>
      </c>
      <c r="F160" s="1">
        <v>45670</v>
      </c>
      <c r="G160">
        <f>_xlfn.XLOOKUP(F160,'Wk no''s'!B:B,'Wk no''s'!C:C,0)</f>
        <v>3</v>
      </c>
    </row>
    <row r="161" spans="1:7" x14ac:dyDescent="0.3">
      <c r="A161" t="s">
        <v>1579</v>
      </c>
      <c r="B161" t="s">
        <v>1580</v>
      </c>
      <c r="C161" t="s">
        <v>1246</v>
      </c>
      <c r="D161">
        <v>0</v>
      </c>
      <c r="E161">
        <v>1</v>
      </c>
      <c r="F161" s="1">
        <v>45670</v>
      </c>
      <c r="G161">
        <f>_xlfn.XLOOKUP(F161,'Wk no''s'!B:B,'Wk no''s'!C:C,0)</f>
        <v>3</v>
      </c>
    </row>
    <row r="162" spans="1:7" x14ac:dyDescent="0.3">
      <c r="A162" t="s">
        <v>1581</v>
      </c>
      <c r="B162" t="s">
        <v>1582</v>
      </c>
      <c r="C162" t="s">
        <v>308</v>
      </c>
      <c r="D162">
        <v>1</v>
      </c>
      <c r="E162">
        <v>1</v>
      </c>
      <c r="F162" s="1">
        <v>45670</v>
      </c>
      <c r="G162">
        <f>_xlfn.XLOOKUP(F162,'Wk no''s'!B:B,'Wk no''s'!C:C,0)</f>
        <v>3</v>
      </c>
    </row>
    <row r="163" spans="1:7" x14ac:dyDescent="0.3">
      <c r="A163" t="s">
        <v>1583</v>
      </c>
      <c r="B163" t="s">
        <v>1584</v>
      </c>
      <c r="C163" t="s">
        <v>438</v>
      </c>
      <c r="D163">
        <v>0</v>
      </c>
      <c r="E163">
        <v>1</v>
      </c>
      <c r="F163" s="1">
        <v>45670</v>
      </c>
      <c r="G163">
        <f>_xlfn.XLOOKUP(F163,'Wk no''s'!B:B,'Wk no''s'!C:C,0)</f>
        <v>3</v>
      </c>
    </row>
    <row r="164" spans="1:7" x14ac:dyDescent="0.3">
      <c r="A164" t="s">
        <v>1585</v>
      </c>
      <c r="B164" t="s">
        <v>1586</v>
      </c>
      <c r="C164" t="s">
        <v>1587</v>
      </c>
      <c r="D164">
        <v>0</v>
      </c>
      <c r="E164">
        <v>1</v>
      </c>
      <c r="F164" s="1">
        <v>45670</v>
      </c>
      <c r="G164">
        <f>_xlfn.XLOOKUP(F164,'Wk no''s'!B:B,'Wk no''s'!C:C,0)</f>
        <v>3</v>
      </c>
    </row>
    <row r="165" spans="1:7" x14ac:dyDescent="0.3">
      <c r="A165" t="s">
        <v>1588</v>
      </c>
      <c r="B165" t="s">
        <v>1589</v>
      </c>
      <c r="C165" t="s">
        <v>1246</v>
      </c>
      <c r="D165">
        <v>0</v>
      </c>
      <c r="E165">
        <v>1</v>
      </c>
      <c r="F165" s="1">
        <v>45670</v>
      </c>
      <c r="G165">
        <f>_xlfn.XLOOKUP(F165,'Wk no''s'!B:B,'Wk no''s'!C:C,0)</f>
        <v>3</v>
      </c>
    </row>
    <row r="166" spans="1:7" x14ac:dyDescent="0.3">
      <c r="A166" t="s">
        <v>1590</v>
      </c>
      <c r="B166" t="s">
        <v>1591</v>
      </c>
      <c r="C166" t="s">
        <v>1592</v>
      </c>
      <c r="D166">
        <v>0</v>
      </c>
      <c r="E166">
        <v>1</v>
      </c>
      <c r="F166" s="1">
        <v>45670</v>
      </c>
      <c r="G166">
        <f>_xlfn.XLOOKUP(F166,'Wk no''s'!B:B,'Wk no''s'!C:C,0)</f>
        <v>3</v>
      </c>
    </row>
    <row r="167" spans="1:7" x14ac:dyDescent="0.3">
      <c r="A167" t="s">
        <v>1593</v>
      </c>
      <c r="B167" t="s">
        <v>1594</v>
      </c>
      <c r="C167" t="s">
        <v>1314</v>
      </c>
      <c r="D167">
        <v>0</v>
      </c>
      <c r="E167">
        <v>1</v>
      </c>
      <c r="F167" s="1">
        <v>45670</v>
      </c>
      <c r="G167">
        <f>_xlfn.XLOOKUP(F167,'Wk no''s'!B:B,'Wk no''s'!C:C,0)</f>
        <v>3</v>
      </c>
    </row>
    <row r="168" spans="1:7" x14ac:dyDescent="0.3">
      <c r="A168" t="s">
        <v>1595</v>
      </c>
      <c r="B168" t="s">
        <v>1596</v>
      </c>
      <c r="C168" t="s">
        <v>1322</v>
      </c>
      <c r="D168">
        <v>0</v>
      </c>
      <c r="E168">
        <v>1</v>
      </c>
      <c r="F168" s="1">
        <v>45670</v>
      </c>
      <c r="G168">
        <f>_xlfn.XLOOKUP(F168,'Wk no''s'!B:B,'Wk no''s'!C:C,0)</f>
        <v>3</v>
      </c>
    </row>
    <row r="169" spans="1:7" x14ac:dyDescent="0.3">
      <c r="A169" t="s">
        <v>1597</v>
      </c>
      <c r="B169" t="s">
        <v>1598</v>
      </c>
      <c r="C169" t="s">
        <v>1599</v>
      </c>
      <c r="D169">
        <v>0</v>
      </c>
      <c r="E169">
        <v>1</v>
      </c>
      <c r="F169" s="1">
        <v>45670</v>
      </c>
      <c r="G169">
        <f>_xlfn.XLOOKUP(F169,'Wk no''s'!B:B,'Wk no''s'!C:C,0)</f>
        <v>3</v>
      </c>
    </row>
    <row r="170" spans="1:7" x14ac:dyDescent="0.3">
      <c r="A170" t="s">
        <v>1600</v>
      </c>
      <c r="B170" t="s">
        <v>1601</v>
      </c>
      <c r="C170" t="s">
        <v>197</v>
      </c>
      <c r="D170">
        <v>1</v>
      </c>
      <c r="E170">
        <v>1</v>
      </c>
      <c r="F170" s="1">
        <v>45670</v>
      </c>
      <c r="G170">
        <f>_xlfn.XLOOKUP(F170,'Wk no''s'!B:B,'Wk no''s'!C:C,0)</f>
        <v>3</v>
      </c>
    </row>
    <row r="171" spans="1:7" x14ac:dyDescent="0.3">
      <c r="A171" t="s">
        <v>1602</v>
      </c>
      <c r="B171" t="s">
        <v>1603</v>
      </c>
      <c r="C171" t="s">
        <v>1224</v>
      </c>
      <c r="D171">
        <v>0</v>
      </c>
      <c r="E171">
        <v>1</v>
      </c>
      <c r="F171" s="1">
        <v>45670</v>
      </c>
      <c r="G171">
        <f>_xlfn.XLOOKUP(F171,'Wk no''s'!B:B,'Wk no''s'!C:C,0)</f>
        <v>3</v>
      </c>
    </row>
    <row r="172" spans="1:7" x14ac:dyDescent="0.3">
      <c r="A172" t="s">
        <v>1604</v>
      </c>
      <c r="B172" t="s">
        <v>1605</v>
      </c>
      <c r="C172" t="s">
        <v>1606</v>
      </c>
      <c r="D172">
        <v>6</v>
      </c>
      <c r="E172">
        <v>0</v>
      </c>
      <c r="F172" s="1">
        <v>45670</v>
      </c>
      <c r="G172">
        <f>_xlfn.XLOOKUP(F172,'Wk no''s'!B:B,'Wk no''s'!C:C,0)</f>
        <v>3</v>
      </c>
    </row>
    <row r="173" spans="1:7" x14ac:dyDescent="0.3">
      <c r="A173" t="s">
        <v>1607</v>
      </c>
      <c r="B173" t="s">
        <v>1608</v>
      </c>
      <c r="C173" t="s">
        <v>1609</v>
      </c>
      <c r="D173">
        <v>0</v>
      </c>
      <c r="E173">
        <v>1</v>
      </c>
      <c r="F173" s="1">
        <v>45670</v>
      </c>
      <c r="G173">
        <f>_xlfn.XLOOKUP(F173,'Wk no''s'!B:B,'Wk no''s'!C:C,0)</f>
        <v>3</v>
      </c>
    </row>
    <row r="174" spans="1:7" x14ac:dyDescent="0.3">
      <c r="A174" t="s">
        <v>1610</v>
      </c>
      <c r="B174" t="s">
        <v>1611</v>
      </c>
      <c r="C174" t="s">
        <v>1322</v>
      </c>
      <c r="D174">
        <v>0</v>
      </c>
      <c r="E174">
        <v>1</v>
      </c>
      <c r="F174" s="1">
        <v>45670</v>
      </c>
      <c r="G174">
        <f>_xlfn.XLOOKUP(F174,'Wk no''s'!B:B,'Wk no''s'!C:C,0)</f>
        <v>3</v>
      </c>
    </row>
    <row r="175" spans="1:7" x14ac:dyDescent="0.3">
      <c r="A175" t="s">
        <v>1612</v>
      </c>
      <c r="B175" t="s">
        <v>1613</v>
      </c>
      <c r="C175" t="s">
        <v>1614</v>
      </c>
      <c r="D175">
        <v>0</v>
      </c>
      <c r="E175">
        <v>1</v>
      </c>
      <c r="F175" s="1">
        <v>45670</v>
      </c>
      <c r="G175">
        <f>_xlfn.XLOOKUP(F175,'Wk no''s'!B:B,'Wk no''s'!C:C,0)</f>
        <v>3</v>
      </c>
    </row>
    <row r="176" spans="1:7" x14ac:dyDescent="0.3">
      <c r="A176" t="s">
        <v>1615</v>
      </c>
      <c r="B176" t="s">
        <v>1616</v>
      </c>
      <c r="C176" t="s">
        <v>432</v>
      </c>
      <c r="D176">
        <v>0</v>
      </c>
      <c r="E176">
        <v>1</v>
      </c>
      <c r="F176" s="1">
        <v>45670</v>
      </c>
      <c r="G176">
        <f>_xlfn.XLOOKUP(F176,'Wk no''s'!B:B,'Wk no''s'!C:C,0)</f>
        <v>3</v>
      </c>
    </row>
    <row r="177" spans="1:7" x14ac:dyDescent="0.3">
      <c r="A177" t="s">
        <v>1617</v>
      </c>
      <c r="B177" t="s">
        <v>1618</v>
      </c>
      <c r="C177" t="s">
        <v>1619</v>
      </c>
      <c r="D177">
        <v>0</v>
      </c>
      <c r="E177">
        <v>1</v>
      </c>
      <c r="F177" s="1">
        <v>45670</v>
      </c>
      <c r="G177">
        <f>_xlfn.XLOOKUP(F177,'Wk no''s'!B:B,'Wk no''s'!C:C,0)</f>
        <v>3</v>
      </c>
    </row>
    <row r="178" spans="1:7" x14ac:dyDescent="0.3">
      <c r="A178" t="s">
        <v>1620</v>
      </c>
      <c r="B178" t="s">
        <v>1621</v>
      </c>
      <c r="C178" t="s">
        <v>684</v>
      </c>
      <c r="D178">
        <v>0</v>
      </c>
      <c r="E178">
        <v>1</v>
      </c>
      <c r="F178" s="1">
        <v>45670</v>
      </c>
      <c r="G178">
        <f>_xlfn.XLOOKUP(F178,'Wk no''s'!B:B,'Wk no''s'!C:C,0)</f>
        <v>3</v>
      </c>
    </row>
    <row r="179" spans="1:7" x14ac:dyDescent="0.3">
      <c r="A179" t="s">
        <v>1622</v>
      </c>
      <c r="B179" t="s">
        <v>1623</v>
      </c>
      <c r="C179" t="s">
        <v>1194</v>
      </c>
      <c r="D179">
        <v>0</v>
      </c>
      <c r="E179">
        <v>1</v>
      </c>
      <c r="F179" s="1">
        <v>45670</v>
      </c>
      <c r="G179">
        <f>_xlfn.XLOOKUP(F179,'Wk no''s'!B:B,'Wk no''s'!C:C,0)</f>
        <v>3</v>
      </c>
    </row>
    <row r="180" spans="1:7" x14ac:dyDescent="0.3">
      <c r="A180" t="s">
        <v>1624</v>
      </c>
      <c r="B180" t="s">
        <v>1625</v>
      </c>
      <c r="C180" t="s">
        <v>550</v>
      </c>
      <c r="D180">
        <v>0</v>
      </c>
      <c r="E180">
        <v>1</v>
      </c>
      <c r="F180" s="1">
        <v>45671</v>
      </c>
      <c r="G180">
        <f>_xlfn.XLOOKUP(F180,'Wk no''s'!B:B,'Wk no''s'!C:C,0)</f>
        <v>3</v>
      </c>
    </row>
    <row r="181" spans="1:7" x14ac:dyDescent="0.3">
      <c r="A181" t="s">
        <v>1626</v>
      </c>
      <c r="B181" t="s">
        <v>1627</v>
      </c>
      <c r="C181" t="s">
        <v>1194</v>
      </c>
      <c r="D181">
        <v>0</v>
      </c>
      <c r="E181">
        <v>1</v>
      </c>
      <c r="F181" s="1">
        <v>45671</v>
      </c>
      <c r="G181">
        <f>_xlfn.XLOOKUP(F181,'Wk no''s'!B:B,'Wk no''s'!C:C,0)</f>
        <v>3</v>
      </c>
    </row>
    <row r="182" spans="1:7" x14ac:dyDescent="0.3">
      <c r="A182" t="s">
        <v>1628</v>
      </c>
      <c r="B182" t="s">
        <v>1629</v>
      </c>
      <c r="C182" t="s">
        <v>1337</v>
      </c>
      <c r="D182">
        <v>0</v>
      </c>
      <c r="E182">
        <v>1</v>
      </c>
      <c r="F182" s="1">
        <v>45671</v>
      </c>
      <c r="G182">
        <f>_xlfn.XLOOKUP(F182,'Wk no''s'!B:B,'Wk no''s'!C:C,0)</f>
        <v>3</v>
      </c>
    </row>
    <row r="183" spans="1:7" x14ac:dyDescent="0.3">
      <c r="A183" t="s">
        <v>1630</v>
      </c>
      <c r="B183" t="s">
        <v>1631</v>
      </c>
      <c r="C183" t="s">
        <v>75</v>
      </c>
      <c r="D183">
        <v>0</v>
      </c>
      <c r="E183">
        <v>1</v>
      </c>
      <c r="F183" s="1">
        <v>45671</v>
      </c>
      <c r="G183">
        <f>_xlfn.XLOOKUP(F183,'Wk no''s'!B:B,'Wk no''s'!C:C,0)</f>
        <v>3</v>
      </c>
    </row>
    <row r="184" spans="1:7" x14ac:dyDescent="0.3">
      <c r="A184" t="s">
        <v>1632</v>
      </c>
      <c r="B184" t="s">
        <v>1633</v>
      </c>
      <c r="C184" t="s">
        <v>1634</v>
      </c>
      <c r="D184">
        <v>1</v>
      </c>
      <c r="E184">
        <v>1</v>
      </c>
      <c r="F184" s="1">
        <v>45671</v>
      </c>
      <c r="G184">
        <f>_xlfn.XLOOKUP(F184,'Wk no''s'!B:B,'Wk no''s'!C:C,0)</f>
        <v>3</v>
      </c>
    </row>
    <row r="185" spans="1:7" x14ac:dyDescent="0.3">
      <c r="A185" t="s">
        <v>1635</v>
      </c>
      <c r="B185" t="s">
        <v>1636</v>
      </c>
      <c r="C185" t="s">
        <v>349</v>
      </c>
      <c r="D185">
        <v>0</v>
      </c>
      <c r="E185">
        <v>1</v>
      </c>
      <c r="F185" s="1">
        <v>45671</v>
      </c>
      <c r="G185">
        <f>_xlfn.XLOOKUP(F185,'Wk no''s'!B:B,'Wk no''s'!C:C,0)</f>
        <v>3</v>
      </c>
    </row>
    <row r="186" spans="1:7" x14ac:dyDescent="0.3">
      <c r="A186" t="s">
        <v>1637</v>
      </c>
      <c r="B186" t="s">
        <v>1638</v>
      </c>
      <c r="C186" t="s">
        <v>1639</v>
      </c>
      <c r="D186">
        <v>0</v>
      </c>
      <c r="E186">
        <v>1</v>
      </c>
      <c r="F186" s="1">
        <v>45671</v>
      </c>
      <c r="G186">
        <f>_xlfn.XLOOKUP(F186,'Wk no''s'!B:B,'Wk no''s'!C:C,0)</f>
        <v>3</v>
      </c>
    </row>
    <row r="187" spans="1:7" x14ac:dyDescent="0.3">
      <c r="A187" t="s">
        <v>1640</v>
      </c>
      <c r="B187" t="s">
        <v>1641</v>
      </c>
      <c r="C187" t="s">
        <v>1642</v>
      </c>
      <c r="D187">
        <v>0</v>
      </c>
      <c r="E187">
        <v>1</v>
      </c>
      <c r="F187" s="1">
        <v>45671</v>
      </c>
      <c r="G187">
        <f>_xlfn.XLOOKUP(F187,'Wk no''s'!B:B,'Wk no''s'!C:C,0)</f>
        <v>3</v>
      </c>
    </row>
    <row r="188" spans="1:7" x14ac:dyDescent="0.3">
      <c r="A188" t="s">
        <v>1643</v>
      </c>
      <c r="B188" t="s">
        <v>1644</v>
      </c>
      <c r="C188" t="s">
        <v>1645</v>
      </c>
      <c r="D188">
        <v>0</v>
      </c>
      <c r="E188">
        <v>1</v>
      </c>
      <c r="F188" s="1">
        <v>45671</v>
      </c>
      <c r="G188">
        <f>_xlfn.XLOOKUP(F188,'Wk no''s'!B:B,'Wk no''s'!C:C,0)</f>
        <v>3</v>
      </c>
    </row>
    <row r="189" spans="1:7" x14ac:dyDescent="0.3">
      <c r="A189" t="s">
        <v>1646</v>
      </c>
      <c r="B189" t="s">
        <v>1647</v>
      </c>
      <c r="C189" t="s">
        <v>1337</v>
      </c>
      <c r="D189">
        <v>0</v>
      </c>
      <c r="E189">
        <v>1</v>
      </c>
      <c r="F189" s="1">
        <v>45671</v>
      </c>
      <c r="G189">
        <f>_xlfn.XLOOKUP(F189,'Wk no''s'!B:B,'Wk no''s'!C:C,0)</f>
        <v>3</v>
      </c>
    </row>
    <row r="190" spans="1:7" x14ac:dyDescent="0.3">
      <c r="A190" t="s">
        <v>1648</v>
      </c>
      <c r="B190" t="s">
        <v>1649</v>
      </c>
      <c r="C190" t="s">
        <v>725</v>
      </c>
      <c r="D190">
        <v>0</v>
      </c>
      <c r="E190">
        <v>1</v>
      </c>
      <c r="F190" s="1">
        <v>45671</v>
      </c>
      <c r="G190">
        <f>_xlfn.XLOOKUP(F190,'Wk no''s'!B:B,'Wk no''s'!C:C,0)</f>
        <v>3</v>
      </c>
    </row>
    <row r="191" spans="1:7" x14ac:dyDescent="0.3">
      <c r="A191" t="s">
        <v>1650</v>
      </c>
      <c r="B191" t="s">
        <v>1651</v>
      </c>
      <c r="C191" t="s">
        <v>1652</v>
      </c>
      <c r="D191">
        <v>0</v>
      </c>
      <c r="E191">
        <v>1</v>
      </c>
      <c r="F191" s="1">
        <v>45671</v>
      </c>
      <c r="G191">
        <f>_xlfn.XLOOKUP(F191,'Wk no''s'!B:B,'Wk no''s'!C:C,0)</f>
        <v>3</v>
      </c>
    </row>
    <row r="192" spans="1:7" x14ac:dyDescent="0.3">
      <c r="A192" t="s">
        <v>1653</v>
      </c>
      <c r="B192" t="s">
        <v>1654</v>
      </c>
      <c r="C192" t="s">
        <v>1475</v>
      </c>
      <c r="D192">
        <v>0</v>
      </c>
      <c r="E192">
        <v>1</v>
      </c>
      <c r="F192" s="1">
        <v>45671</v>
      </c>
      <c r="G192">
        <f>_xlfn.XLOOKUP(F192,'Wk no''s'!B:B,'Wk no''s'!C:C,0)</f>
        <v>3</v>
      </c>
    </row>
    <row r="193" spans="1:7" x14ac:dyDescent="0.3">
      <c r="A193" t="s">
        <v>1655</v>
      </c>
      <c r="B193" t="s">
        <v>1656</v>
      </c>
      <c r="C193" t="s">
        <v>696</v>
      </c>
      <c r="D193">
        <v>0</v>
      </c>
      <c r="E193">
        <v>1</v>
      </c>
      <c r="F193" s="1">
        <v>45671</v>
      </c>
      <c r="G193">
        <f>_xlfn.XLOOKUP(F193,'Wk no''s'!B:B,'Wk no''s'!C:C,0)</f>
        <v>3</v>
      </c>
    </row>
    <row r="194" spans="1:7" x14ac:dyDescent="0.3">
      <c r="A194" t="s">
        <v>1657</v>
      </c>
      <c r="B194" t="s">
        <v>1658</v>
      </c>
      <c r="C194" t="s">
        <v>1659</v>
      </c>
      <c r="D194">
        <v>0</v>
      </c>
      <c r="E194">
        <v>1</v>
      </c>
      <c r="F194" s="1">
        <v>45671</v>
      </c>
      <c r="G194">
        <f>_xlfn.XLOOKUP(F194,'Wk no''s'!B:B,'Wk no''s'!C:C,0)</f>
        <v>3</v>
      </c>
    </row>
    <row r="195" spans="1:7" x14ac:dyDescent="0.3">
      <c r="A195" t="s">
        <v>1660</v>
      </c>
      <c r="B195" t="s">
        <v>1661</v>
      </c>
      <c r="C195" t="s">
        <v>1662</v>
      </c>
      <c r="D195">
        <v>0</v>
      </c>
      <c r="E195">
        <v>1</v>
      </c>
      <c r="F195" s="1">
        <v>45671</v>
      </c>
      <c r="G195">
        <f>_xlfn.XLOOKUP(F195,'Wk no''s'!B:B,'Wk no''s'!C:C,0)</f>
        <v>3</v>
      </c>
    </row>
    <row r="196" spans="1:7" x14ac:dyDescent="0.3">
      <c r="A196" t="s">
        <v>1663</v>
      </c>
      <c r="B196" t="s">
        <v>1664</v>
      </c>
      <c r="C196" t="s">
        <v>550</v>
      </c>
      <c r="D196">
        <v>0</v>
      </c>
      <c r="E196">
        <v>1</v>
      </c>
      <c r="F196" s="1">
        <v>45671</v>
      </c>
      <c r="G196">
        <f>_xlfn.XLOOKUP(F196,'Wk no''s'!B:B,'Wk no''s'!C:C,0)</f>
        <v>3</v>
      </c>
    </row>
    <row r="197" spans="1:7" x14ac:dyDescent="0.3">
      <c r="A197" t="s">
        <v>1665</v>
      </c>
      <c r="B197" t="s">
        <v>1666</v>
      </c>
      <c r="C197" t="s">
        <v>1527</v>
      </c>
      <c r="D197">
        <v>0</v>
      </c>
      <c r="E197">
        <v>1</v>
      </c>
      <c r="F197" s="1">
        <v>45671</v>
      </c>
      <c r="G197">
        <f>_xlfn.XLOOKUP(F197,'Wk no''s'!B:B,'Wk no''s'!C:C,0)</f>
        <v>3</v>
      </c>
    </row>
    <row r="198" spans="1:7" x14ac:dyDescent="0.3">
      <c r="A198" t="s">
        <v>1667</v>
      </c>
      <c r="B198" t="s">
        <v>1668</v>
      </c>
      <c r="C198" t="s">
        <v>1481</v>
      </c>
      <c r="D198">
        <v>0</v>
      </c>
      <c r="E198">
        <v>1</v>
      </c>
      <c r="F198" s="1">
        <v>45671</v>
      </c>
      <c r="G198">
        <f>_xlfn.XLOOKUP(F198,'Wk no''s'!B:B,'Wk no''s'!C:C,0)</f>
        <v>3</v>
      </c>
    </row>
    <row r="199" spans="1:7" x14ac:dyDescent="0.3">
      <c r="A199" t="s">
        <v>1669</v>
      </c>
      <c r="B199" t="s">
        <v>1670</v>
      </c>
      <c r="C199" t="s">
        <v>1671</v>
      </c>
      <c r="D199">
        <v>0</v>
      </c>
      <c r="E199">
        <v>1</v>
      </c>
      <c r="F199" s="1">
        <v>45671</v>
      </c>
      <c r="G199">
        <f>_xlfn.XLOOKUP(F199,'Wk no''s'!B:B,'Wk no''s'!C:C,0)</f>
        <v>3</v>
      </c>
    </row>
    <row r="200" spans="1:7" x14ac:dyDescent="0.3">
      <c r="A200" t="s">
        <v>1672</v>
      </c>
      <c r="B200" t="s">
        <v>1673</v>
      </c>
      <c r="C200" t="s">
        <v>1674</v>
      </c>
      <c r="D200">
        <v>0</v>
      </c>
      <c r="E200">
        <v>1</v>
      </c>
      <c r="F200" s="1">
        <v>45671</v>
      </c>
      <c r="G200">
        <f>_xlfn.XLOOKUP(F200,'Wk no''s'!B:B,'Wk no''s'!C:C,0)</f>
        <v>3</v>
      </c>
    </row>
    <row r="201" spans="1:7" x14ac:dyDescent="0.3">
      <c r="A201" t="s">
        <v>1675</v>
      </c>
      <c r="B201" t="s">
        <v>1676</v>
      </c>
      <c r="C201" t="s">
        <v>1677</v>
      </c>
      <c r="D201">
        <v>0</v>
      </c>
      <c r="E201">
        <v>1</v>
      </c>
      <c r="F201" s="1">
        <v>45671</v>
      </c>
      <c r="G201">
        <f>_xlfn.XLOOKUP(F201,'Wk no''s'!B:B,'Wk no''s'!C:C,0)</f>
        <v>3</v>
      </c>
    </row>
    <row r="202" spans="1:7" x14ac:dyDescent="0.3">
      <c r="A202" t="s">
        <v>1678</v>
      </c>
      <c r="B202" t="s">
        <v>1679</v>
      </c>
      <c r="C202" t="s">
        <v>1337</v>
      </c>
      <c r="D202">
        <v>0</v>
      </c>
      <c r="E202">
        <v>1</v>
      </c>
      <c r="F202" s="1">
        <v>45671</v>
      </c>
      <c r="G202">
        <f>_xlfn.XLOOKUP(F202,'Wk no''s'!B:B,'Wk no''s'!C:C,0)</f>
        <v>3</v>
      </c>
    </row>
    <row r="203" spans="1:7" x14ac:dyDescent="0.3">
      <c r="A203" t="s">
        <v>1680</v>
      </c>
      <c r="B203" t="s">
        <v>1681</v>
      </c>
      <c r="C203" t="s">
        <v>1682</v>
      </c>
      <c r="D203">
        <v>0</v>
      </c>
      <c r="E203">
        <v>1</v>
      </c>
      <c r="F203" s="1">
        <v>45671</v>
      </c>
      <c r="G203">
        <f>_xlfn.XLOOKUP(F203,'Wk no''s'!B:B,'Wk no''s'!C:C,0)</f>
        <v>3</v>
      </c>
    </row>
    <row r="204" spans="1:7" x14ac:dyDescent="0.3">
      <c r="A204" t="s">
        <v>1683</v>
      </c>
      <c r="B204" t="s">
        <v>1684</v>
      </c>
      <c r="C204" t="s">
        <v>1685</v>
      </c>
      <c r="D204">
        <v>0</v>
      </c>
      <c r="E204">
        <v>1</v>
      </c>
      <c r="F204" s="1">
        <v>45671</v>
      </c>
      <c r="G204">
        <f>_xlfn.XLOOKUP(F204,'Wk no''s'!B:B,'Wk no''s'!C:C,0)</f>
        <v>3</v>
      </c>
    </row>
    <row r="205" spans="1:7" x14ac:dyDescent="0.3">
      <c r="A205" t="s">
        <v>1686</v>
      </c>
      <c r="B205" t="s">
        <v>1687</v>
      </c>
      <c r="C205" t="s">
        <v>593</v>
      </c>
      <c r="D205">
        <v>0</v>
      </c>
      <c r="E205">
        <v>1</v>
      </c>
      <c r="F205" s="1">
        <v>45671</v>
      </c>
      <c r="G205">
        <f>_xlfn.XLOOKUP(F205,'Wk no''s'!B:B,'Wk no''s'!C:C,0)</f>
        <v>3</v>
      </c>
    </row>
    <row r="206" spans="1:7" x14ac:dyDescent="0.3">
      <c r="A206" t="s">
        <v>1688</v>
      </c>
      <c r="B206" t="s">
        <v>1689</v>
      </c>
      <c r="C206" t="s">
        <v>1690</v>
      </c>
      <c r="D206">
        <v>0</v>
      </c>
      <c r="E206">
        <v>1</v>
      </c>
      <c r="F206" s="1">
        <v>45671</v>
      </c>
      <c r="G206">
        <f>_xlfn.XLOOKUP(F206,'Wk no''s'!B:B,'Wk no''s'!C:C,0)</f>
        <v>3</v>
      </c>
    </row>
    <row r="207" spans="1:7" x14ac:dyDescent="0.3">
      <c r="A207" t="s">
        <v>1691</v>
      </c>
      <c r="B207" t="s">
        <v>1692</v>
      </c>
      <c r="C207" t="s">
        <v>1693</v>
      </c>
      <c r="D207">
        <v>0</v>
      </c>
      <c r="E207">
        <v>1</v>
      </c>
      <c r="F207" s="1">
        <v>45671</v>
      </c>
      <c r="G207">
        <f>_xlfn.XLOOKUP(F207,'Wk no''s'!B:B,'Wk no''s'!C:C,0)</f>
        <v>3</v>
      </c>
    </row>
    <row r="208" spans="1:7" x14ac:dyDescent="0.3">
      <c r="A208" t="s">
        <v>1694</v>
      </c>
      <c r="B208" t="s">
        <v>1695</v>
      </c>
      <c r="C208" t="s">
        <v>197</v>
      </c>
      <c r="D208">
        <v>0</v>
      </c>
      <c r="E208">
        <v>1</v>
      </c>
      <c r="F208" s="1">
        <v>45671</v>
      </c>
      <c r="G208">
        <f>_xlfn.XLOOKUP(F208,'Wk no''s'!B:B,'Wk no''s'!C:C,0)</f>
        <v>3</v>
      </c>
    </row>
    <row r="209" spans="1:7" x14ac:dyDescent="0.3">
      <c r="A209" t="s">
        <v>1696</v>
      </c>
      <c r="B209" t="s">
        <v>1697</v>
      </c>
      <c r="C209" t="s">
        <v>1698</v>
      </c>
      <c r="D209">
        <v>0</v>
      </c>
      <c r="E209">
        <v>1</v>
      </c>
      <c r="F209" s="1">
        <v>45671</v>
      </c>
      <c r="G209">
        <f>_xlfn.XLOOKUP(F209,'Wk no''s'!B:B,'Wk no''s'!C:C,0)</f>
        <v>3</v>
      </c>
    </row>
    <row r="210" spans="1:7" x14ac:dyDescent="0.3">
      <c r="A210" t="s">
        <v>1699</v>
      </c>
      <c r="B210" t="s">
        <v>1700</v>
      </c>
      <c r="C210" t="s">
        <v>1701</v>
      </c>
      <c r="D210">
        <v>0</v>
      </c>
      <c r="E210">
        <v>1</v>
      </c>
      <c r="F210" s="1">
        <v>45671</v>
      </c>
      <c r="G210">
        <f>_xlfn.XLOOKUP(F210,'Wk no''s'!B:B,'Wk no''s'!C:C,0)</f>
        <v>3</v>
      </c>
    </row>
    <row r="211" spans="1:7" x14ac:dyDescent="0.3">
      <c r="A211" t="s">
        <v>1702</v>
      </c>
      <c r="B211" t="s">
        <v>1703</v>
      </c>
      <c r="C211" t="s">
        <v>1481</v>
      </c>
      <c r="D211">
        <v>0</v>
      </c>
      <c r="E211">
        <v>1</v>
      </c>
      <c r="F211" s="1">
        <v>45671</v>
      </c>
      <c r="G211">
        <f>_xlfn.XLOOKUP(F211,'Wk no''s'!B:B,'Wk no''s'!C:C,0)</f>
        <v>3</v>
      </c>
    </row>
    <row r="212" spans="1:7" x14ac:dyDescent="0.3">
      <c r="A212" t="s">
        <v>1704</v>
      </c>
      <c r="B212" t="s">
        <v>1705</v>
      </c>
      <c r="C212" t="s">
        <v>1706</v>
      </c>
      <c r="D212">
        <v>2</v>
      </c>
      <c r="E212">
        <v>0</v>
      </c>
      <c r="F212" s="1">
        <v>45671</v>
      </c>
      <c r="G212">
        <f>_xlfn.XLOOKUP(F212,'Wk no''s'!B:B,'Wk no''s'!C:C,0)</f>
        <v>3</v>
      </c>
    </row>
    <row r="213" spans="1:7" x14ac:dyDescent="0.3">
      <c r="A213" t="s">
        <v>1707</v>
      </c>
      <c r="B213" t="s">
        <v>1708</v>
      </c>
      <c r="C213" t="s">
        <v>1709</v>
      </c>
      <c r="D213">
        <v>0</v>
      </c>
      <c r="E213">
        <v>1</v>
      </c>
      <c r="F213" s="1">
        <v>45671</v>
      </c>
      <c r="G213">
        <f>_xlfn.XLOOKUP(F213,'Wk no''s'!B:B,'Wk no''s'!C:C,0)</f>
        <v>3</v>
      </c>
    </row>
    <row r="214" spans="1:7" x14ac:dyDescent="0.3">
      <c r="A214" t="s">
        <v>1710</v>
      </c>
      <c r="B214" t="s">
        <v>1711</v>
      </c>
      <c r="C214" t="s">
        <v>1712</v>
      </c>
      <c r="D214">
        <v>0</v>
      </c>
      <c r="E214">
        <v>1</v>
      </c>
      <c r="F214" s="1">
        <v>45671</v>
      </c>
      <c r="G214">
        <f>_xlfn.XLOOKUP(F214,'Wk no''s'!B:B,'Wk no''s'!C:C,0)</f>
        <v>3</v>
      </c>
    </row>
    <row r="215" spans="1:7" x14ac:dyDescent="0.3">
      <c r="A215" t="s">
        <v>1713</v>
      </c>
      <c r="B215" t="s">
        <v>1714</v>
      </c>
      <c r="C215" t="s">
        <v>1715</v>
      </c>
      <c r="D215">
        <v>0</v>
      </c>
      <c r="E215">
        <v>1</v>
      </c>
      <c r="F215" s="1">
        <v>45671</v>
      </c>
      <c r="G215">
        <f>_xlfn.XLOOKUP(F215,'Wk no''s'!B:B,'Wk no''s'!C:C,0)</f>
        <v>3</v>
      </c>
    </row>
    <row r="216" spans="1:7" x14ac:dyDescent="0.3">
      <c r="A216" t="s">
        <v>1716</v>
      </c>
      <c r="B216" t="s">
        <v>1717</v>
      </c>
      <c r="C216" t="s">
        <v>36</v>
      </c>
      <c r="D216">
        <v>14</v>
      </c>
      <c r="E216">
        <v>0</v>
      </c>
      <c r="F216" s="1">
        <v>45671</v>
      </c>
      <c r="G216">
        <f>_xlfn.XLOOKUP(F216,'Wk no''s'!B:B,'Wk no''s'!C:C,0)</f>
        <v>3</v>
      </c>
    </row>
    <row r="217" spans="1:7" x14ac:dyDescent="0.3">
      <c r="A217" t="s">
        <v>1718</v>
      </c>
      <c r="B217" t="s">
        <v>1719</v>
      </c>
      <c r="C217" t="s">
        <v>75</v>
      </c>
      <c r="D217">
        <v>0</v>
      </c>
      <c r="E217">
        <v>1</v>
      </c>
      <c r="F217" s="1">
        <v>45672</v>
      </c>
      <c r="G217">
        <f>_xlfn.XLOOKUP(F217,'Wk no''s'!B:B,'Wk no''s'!C:C,0)</f>
        <v>3</v>
      </c>
    </row>
    <row r="218" spans="1:7" x14ac:dyDescent="0.3">
      <c r="A218" t="s">
        <v>1720</v>
      </c>
      <c r="B218" t="s">
        <v>1721</v>
      </c>
      <c r="C218" t="s">
        <v>75</v>
      </c>
      <c r="D218">
        <v>0</v>
      </c>
      <c r="E218">
        <v>1</v>
      </c>
      <c r="F218" s="1">
        <v>45672</v>
      </c>
      <c r="G218">
        <f>_xlfn.XLOOKUP(F218,'Wk no''s'!B:B,'Wk no''s'!C:C,0)</f>
        <v>3</v>
      </c>
    </row>
    <row r="219" spans="1:7" x14ac:dyDescent="0.3">
      <c r="A219" t="s">
        <v>1722</v>
      </c>
      <c r="B219" t="s">
        <v>1723</v>
      </c>
      <c r="C219" t="s">
        <v>546</v>
      </c>
      <c r="D219">
        <v>0</v>
      </c>
      <c r="E219">
        <v>1</v>
      </c>
      <c r="F219" s="1">
        <v>45672</v>
      </c>
      <c r="G219">
        <f>_xlfn.XLOOKUP(F219,'Wk no''s'!B:B,'Wk no''s'!C:C,0)</f>
        <v>3</v>
      </c>
    </row>
    <row r="220" spans="1:7" x14ac:dyDescent="0.3">
      <c r="A220" t="s">
        <v>1724</v>
      </c>
      <c r="B220" t="s">
        <v>1725</v>
      </c>
      <c r="C220" t="s">
        <v>636</v>
      </c>
      <c r="D220">
        <v>0</v>
      </c>
      <c r="E220">
        <v>1</v>
      </c>
      <c r="F220" s="1">
        <v>45672</v>
      </c>
      <c r="G220">
        <f>_xlfn.XLOOKUP(F220,'Wk no''s'!B:B,'Wk no''s'!C:C,0)</f>
        <v>3</v>
      </c>
    </row>
    <row r="221" spans="1:7" x14ac:dyDescent="0.3">
      <c r="A221" t="s">
        <v>1726</v>
      </c>
      <c r="B221" t="s">
        <v>1727</v>
      </c>
      <c r="C221" t="s">
        <v>1728</v>
      </c>
      <c r="D221">
        <v>0</v>
      </c>
      <c r="E221">
        <v>1</v>
      </c>
      <c r="F221" s="1">
        <v>45672</v>
      </c>
      <c r="G221">
        <f>_xlfn.XLOOKUP(F221,'Wk no''s'!B:B,'Wk no''s'!C:C,0)</f>
        <v>3</v>
      </c>
    </row>
    <row r="222" spans="1:7" x14ac:dyDescent="0.3">
      <c r="A222" t="s">
        <v>1729</v>
      </c>
      <c r="B222" t="s">
        <v>1730</v>
      </c>
      <c r="C222" t="s">
        <v>75</v>
      </c>
      <c r="D222">
        <v>0</v>
      </c>
      <c r="E222">
        <v>1</v>
      </c>
      <c r="F222" s="1">
        <v>45672</v>
      </c>
      <c r="G222">
        <f>_xlfn.XLOOKUP(F222,'Wk no''s'!B:B,'Wk no''s'!C:C,0)</f>
        <v>3</v>
      </c>
    </row>
    <row r="223" spans="1:7" x14ac:dyDescent="0.3">
      <c r="A223" t="s">
        <v>1731</v>
      </c>
      <c r="B223" t="s">
        <v>1732</v>
      </c>
      <c r="C223" t="s">
        <v>550</v>
      </c>
      <c r="D223">
        <v>0</v>
      </c>
      <c r="E223">
        <v>1</v>
      </c>
      <c r="F223" s="1">
        <v>45672</v>
      </c>
      <c r="G223">
        <f>_xlfn.XLOOKUP(F223,'Wk no''s'!B:B,'Wk no''s'!C:C,0)</f>
        <v>3</v>
      </c>
    </row>
    <row r="224" spans="1:7" x14ac:dyDescent="0.3">
      <c r="A224" t="s">
        <v>1733</v>
      </c>
      <c r="B224" t="s">
        <v>1734</v>
      </c>
      <c r="C224" t="s">
        <v>1735</v>
      </c>
      <c r="D224">
        <v>0</v>
      </c>
      <c r="E224">
        <v>1</v>
      </c>
      <c r="F224" s="1">
        <v>45672</v>
      </c>
      <c r="G224">
        <f>_xlfn.XLOOKUP(F224,'Wk no''s'!B:B,'Wk no''s'!C:C,0)</f>
        <v>3</v>
      </c>
    </row>
    <row r="225" spans="1:7" x14ac:dyDescent="0.3">
      <c r="A225" t="s">
        <v>1736</v>
      </c>
      <c r="B225" t="s">
        <v>1737</v>
      </c>
      <c r="C225" t="s">
        <v>353</v>
      </c>
      <c r="D225">
        <v>0</v>
      </c>
      <c r="E225">
        <v>1</v>
      </c>
      <c r="F225" s="1">
        <v>45672</v>
      </c>
      <c r="G225">
        <f>_xlfn.XLOOKUP(F225,'Wk no''s'!B:B,'Wk no''s'!C:C,0)</f>
        <v>3</v>
      </c>
    </row>
    <row r="226" spans="1:7" x14ac:dyDescent="0.3">
      <c r="A226" t="s">
        <v>1738</v>
      </c>
      <c r="B226" t="s">
        <v>1739</v>
      </c>
      <c r="C226" t="s">
        <v>1322</v>
      </c>
      <c r="D226">
        <v>0</v>
      </c>
      <c r="E226">
        <v>1</v>
      </c>
      <c r="F226" s="1">
        <v>45672</v>
      </c>
      <c r="G226">
        <f>_xlfn.XLOOKUP(F226,'Wk no''s'!B:B,'Wk no''s'!C:C,0)</f>
        <v>3</v>
      </c>
    </row>
    <row r="227" spans="1:7" x14ac:dyDescent="0.3">
      <c r="A227" t="s">
        <v>1740</v>
      </c>
      <c r="B227" t="s">
        <v>1741</v>
      </c>
      <c r="C227" t="s">
        <v>550</v>
      </c>
      <c r="D227">
        <v>0</v>
      </c>
      <c r="E227">
        <v>1</v>
      </c>
      <c r="F227" s="1">
        <v>45672</v>
      </c>
      <c r="G227">
        <f>_xlfn.XLOOKUP(F227,'Wk no''s'!B:B,'Wk no''s'!C:C,0)</f>
        <v>3</v>
      </c>
    </row>
    <row r="228" spans="1:7" x14ac:dyDescent="0.3">
      <c r="A228" t="s">
        <v>1742</v>
      </c>
      <c r="B228" t="s">
        <v>1743</v>
      </c>
      <c r="C228" t="s">
        <v>1744</v>
      </c>
      <c r="D228">
        <v>0</v>
      </c>
      <c r="E228">
        <v>1</v>
      </c>
      <c r="F228" s="1">
        <v>45672</v>
      </c>
      <c r="G228">
        <f>_xlfn.XLOOKUP(F228,'Wk no''s'!B:B,'Wk no''s'!C:C,0)</f>
        <v>3</v>
      </c>
    </row>
    <row r="229" spans="1:7" x14ac:dyDescent="0.3">
      <c r="A229" t="s">
        <v>1745</v>
      </c>
      <c r="B229" t="s">
        <v>1746</v>
      </c>
      <c r="C229" t="s">
        <v>1747</v>
      </c>
      <c r="D229">
        <v>0</v>
      </c>
      <c r="E229">
        <v>1</v>
      </c>
      <c r="F229" s="1">
        <v>45672</v>
      </c>
      <c r="G229">
        <f>_xlfn.XLOOKUP(F229,'Wk no''s'!B:B,'Wk no''s'!C:C,0)</f>
        <v>3</v>
      </c>
    </row>
    <row r="230" spans="1:7" x14ac:dyDescent="0.3">
      <c r="A230" t="s">
        <v>1748</v>
      </c>
      <c r="B230" t="s">
        <v>1749</v>
      </c>
      <c r="C230" t="s">
        <v>31</v>
      </c>
      <c r="D230">
        <v>0</v>
      </c>
      <c r="E230">
        <v>1</v>
      </c>
      <c r="F230" s="1">
        <v>45672</v>
      </c>
      <c r="G230">
        <f>_xlfn.XLOOKUP(F230,'Wk no''s'!B:B,'Wk no''s'!C:C,0)</f>
        <v>3</v>
      </c>
    </row>
    <row r="231" spans="1:7" x14ac:dyDescent="0.3">
      <c r="A231" t="s">
        <v>1750</v>
      </c>
      <c r="B231" t="s">
        <v>1751</v>
      </c>
      <c r="C231" t="s">
        <v>1269</v>
      </c>
      <c r="D231">
        <v>0</v>
      </c>
      <c r="E231">
        <v>1</v>
      </c>
      <c r="F231" s="1">
        <v>45672</v>
      </c>
      <c r="G231">
        <f>_xlfn.XLOOKUP(F231,'Wk no''s'!B:B,'Wk no''s'!C:C,0)</f>
        <v>3</v>
      </c>
    </row>
    <row r="232" spans="1:7" x14ac:dyDescent="0.3">
      <c r="A232" t="s">
        <v>1752</v>
      </c>
      <c r="B232" t="s">
        <v>1753</v>
      </c>
      <c r="C232" t="s">
        <v>1240</v>
      </c>
      <c r="D232">
        <v>0</v>
      </c>
      <c r="E232">
        <v>1</v>
      </c>
      <c r="F232" s="1">
        <v>45672</v>
      </c>
      <c r="G232">
        <f>_xlfn.XLOOKUP(F232,'Wk no''s'!B:B,'Wk no''s'!C:C,0)</f>
        <v>3</v>
      </c>
    </row>
    <row r="233" spans="1:7" x14ac:dyDescent="0.3">
      <c r="A233" t="s">
        <v>1754</v>
      </c>
      <c r="B233" t="s">
        <v>1755</v>
      </c>
      <c r="C233" t="s">
        <v>1756</v>
      </c>
      <c r="D233">
        <v>0</v>
      </c>
      <c r="E233">
        <v>1</v>
      </c>
      <c r="F233" s="1">
        <v>45673</v>
      </c>
      <c r="G233">
        <f>_xlfn.XLOOKUP(F233,'Wk no''s'!B:B,'Wk no''s'!C:C,0)</f>
        <v>3</v>
      </c>
    </row>
    <row r="234" spans="1:7" x14ac:dyDescent="0.3">
      <c r="A234" t="s">
        <v>1757</v>
      </c>
      <c r="B234" t="s">
        <v>1758</v>
      </c>
      <c r="C234" t="s">
        <v>1759</v>
      </c>
      <c r="D234">
        <v>0</v>
      </c>
      <c r="E234">
        <v>1</v>
      </c>
      <c r="F234" s="1">
        <v>45673</v>
      </c>
      <c r="G234">
        <f>_xlfn.XLOOKUP(F234,'Wk no''s'!B:B,'Wk no''s'!C:C,0)</f>
        <v>3</v>
      </c>
    </row>
    <row r="235" spans="1:7" x14ac:dyDescent="0.3">
      <c r="A235" t="s">
        <v>1760</v>
      </c>
      <c r="B235" t="s">
        <v>1761</v>
      </c>
      <c r="C235" t="s">
        <v>1762</v>
      </c>
      <c r="D235">
        <v>0</v>
      </c>
      <c r="E235">
        <v>1</v>
      </c>
      <c r="F235" s="1">
        <v>45673</v>
      </c>
      <c r="G235">
        <f>_xlfn.XLOOKUP(F235,'Wk no''s'!B:B,'Wk no''s'!C:C,0)</f>
        <v>3</v>
      </c>
    </row>
    <row r="236" spans="1:7" x14ac:dyDescent="0.3">
      <c r="A236" t="s">
        <v>1763</v>
      </c>
      <c r="B236" t="s">
        <v>1764</v>
      </c>
      <c r="C236" t="s">
        <v>1765</v>
      </c>
      <c r="D236">
        <v>0</v>
      </c>
      <c r="E236">
        <v>1</v>
      </c>
      <c r="F236" s="1">
        <v>45673</v>
      </c>
      <c r="G236">
        <f>_xlfn.XLOOKUP(F236,'Wk no''s'!B:B,'Wk no''s'!C:C,0)</f>
        <v>3</v>
      </c>
    </row>
    <row r="237" spans="1:7" x14ac:dyDescent="0.3">
      <c r="A237" t="s">
        <v>1766</v>
      </c>
      <c r="B237" t="s">
        <v>1767</v>
      </c>
      <c r="C237" t="s">
        <v>31</v>
      </c>
      <c r="D237">
        <v>0</v>
      </c>
      <c r="E237">
        <v>1</v>
      </c>
      <c r="F237" s="1">
        <v>45673</v>
      </c>
      <c r="G237">
        <f>_xlfn.XLOOKUP(F237,'Wk no''s'!B:B,'Wk no''s'!C:C,0)</f>
        <v>3</v>
      </c>
    </row>
    <row r="238" spans="1:7" x14ac:dyDescent="0.3">
      <c r="A238" t="s">
        <v>1768</v>
      </c>
      <c r="B238" t="s">
        <v>1769</v>
      </c>
      <c r="C238" t="s">
        <v>69</v>
      </c>
      <c r="D238">
        <v>0</v>
      </c>
      <c r="E238">
        <v>1</v>
      </c>
      <c r="F238" s="1">
        <v>45673</v>
      </c>
      <c r="G238">
        <f>_xlfn.XLOOKUP(F238,'Wk no''s'!B:B,'Wk no''s'!C:C,0)</f>
        <v>3</v>
      </c>
    </row>
    <row r="239" spans="1:7" x14ac:dyDescent="0.3">
      <c r="A239" t="s">
        <v>1770</v>
      </c>
      <c r="B239" t="s">
        <v>1771</v>
      </c>
      <c r="C239" t="s">
        <v>1772</v>
      </c>
      <c r="D239">
        <v>0</v>
      </c>
      <c r="E239">
        <v>1</v>
      </c>
      <c r="F239" s="1">
        <v>45673</v>
      </c>
      <c r="G239">
        <f>_xlfn.XLOOKUP(F239,'Wk no''s'!B:B,'Wk no''s'!C:C,0)</f>
        <v>3</v>
      </c>
    </row>
    <row r="240" spans="1:7" x14ac:dyDescent="0.3">
      <c r="A240" t="s">
        <v>1773</v>
      </c>
      <c r="B240" t="s">
        <v>1774</v>
      </c>
      <c r="C240" t="s">
        <v>168</v>
      </c>
      <c r="D240">
        <v>2</v>
      </c>
      <c r="E240">
        <v>0</v>
      </c>
      <c r="F240" s="1">
        <v>45673</v>
      </c>
      <c r="G240">
        <f>_xlfn.XLOOKUP(F240,'Wk no''s'!B:B,'Wk no''s'!C:C,0)</f>
        <v>3</v>
      </c>
    </row>
    <row r="241" spans="1:7" x14ac:dyDescent="0.3">
      <c r="A241" t="s">
        <v>1775</v>
      </c>
      <c r="B241" t="s">
        <v>1776</v>
      </c>
      <c r="C241" t="s">
        <v>353</v>
      </c>
      <c r="D241">
        <v>0</v>
      </c>
      <c r="E241">
        <v>1</v>
      </c>
      <c r="F241" s="1">
        <v>45673</v>
      </c>
      <c r="G241">
        <f>_xlfn.XLOOKUP(F241,'Wk no''s'!B:B,'Wk no''s'!C:C,0)</f>
        <v>3</v>
      </c>
    </row>
    <row r="242" spans="1:7" x14ac:dyDescent="0.3">
      <c r="A242" t="s">
        <v>1777</v>
      </c>
      <c r="B242" t="s">
        <v>1778</v>
      </c>
      <c r="C242" t="s">
        <v>69</v>
      </c>
      <c r="D242">
        <v>0</v>
      </c>
      <c r="E242">
        <v>1</v>
      </c>
      <c r="F242" s="1">
        <v>45673</v>
      </c>
      <c r="G242">
        <f>_xlfn.XLOOKUP(F242,'Wk no''s'!B:B,'Wk no''s'!C:C,0)</f>
        <v>3</v>
      </c>
    </row>
    <row r="243" spans="1:7" x14ac:dyDescent="0.3">
      <c r="A243" t="s">
        <v>1779</v>
      </c>
      <c r="B243" t="s">
        <v>1780</v>
      </c>
      <c r="C243" t="s">
        <v>1781</v>
      </c>
      <c r="D243">
        <v>2</v>
      </c>
      <c r="E243">
        <v>0</v>
      </c>
      <c r="F243" s="1">
        <v>45673</v>
      </c>
      <c r="G243">
        <f>_xlfn.XLOOKUP(F243,'Wk no''s'!B:B,'Wk no''s'!C:C,0)</f>
        <v>3</v>
      </c>
    </row>
    <row r="244" spans="1:7" x14ac:dyDescent="0.3">
      <c r="A244" t="s">
        <v>1782</v>
      </c>
      <c r="B244" t="s">
        <v>1783</v>
      </c>
      <c r="C244" t="s">
        <v>75</v>
      </c>
      <c r="D244">
        <v>0</v>
      </c>
      <c r="E244">
        <v>1</v>
      </c>
      <c r="F244" s="1">
        <v>45673</v>
      </c>
      <c r="G244">
        <f>_xlfn.XLOOKUP(F244,'Wk no''s'!B:B,'Wk no''s'!C:C,0)</f>
        <v>3</v>
      </c>
    </row>
    <row r="245" spans="1:7" x14ac:dyDescent="0.3">
      <c r="A245" t="s">
        <v>1784</v>
      </c>
      <c r="B245" t="s">
        <v>1785</v>
      </c>
      <c r="C245" t="s">
        <v>69</v>
      </c>
      <c r="D245">
        <v>0</v>
      </c>
      <c r="E245">
        <v>1</v>
      </c>
      <c r="F245" s="1">
        <v>45673</v>
      </c>
      <c r="G245">
        <f>_xlfn.XLOOKUP(F245,'Wk no''s'!B:B,'Wk no''s'!C:C,0)</f>
        <v>3</v>
      </c>
    </row>
    <row r="246" spans="1:7" x14ac:dyDescent="0.3">
      <c r="A246" t="s">
        <v>1786</v>
      </c>
      <c r="B246" t="s">
        <v>1787</v>
      </c>
      <c r="C246" t="s">
        <v>29</v>
      </c>
      <c r="D246">
        <v>0</v>
      </c>
      <c r="E246">
        <v>1</v>
      </c>
      <c r="F246" s="1">
        <v>45673</v>
      </c>
      <c r="G246">
        <f>_xlfn.XLOOKUP(F246,'Wk no''s'!B:B,'Wk no''s'!C:C,0)</f>
        <v>3</v>
      </c>
    </row>
    <row r="247" spans="1:7" x14ac:dyDescent="0.3">
      <c r="A247" t="s">
        <v>1788</v>
      </c>
      <c r="B247" t="s">
        <v>1789</v>
      </c>
      <c r="C247" t="s">
        <v>620</v>
      </c>
      <c r="D247">
        <v>0</v>
      </c>
      <c r="E247">
        <v>1</v>
      </c>
      <c r="F247" s="1">
        <v>45673</v>
      </c>
      <c r="G247">
        <f>_xlfn.XLOOKUP(F247,'Wk no''s'!B:B,'Wk no''s'!C:C,0)</f>
        <v>3</v>
      </c>
    </row>
    <row r="248" spans="1:7" x14ac:dyDescent="0.3">
      <c r="A248" t="s">
        <v>1790</v>
      </c>
      <c r="B248" t="s">
        <v>1791</v>
      </c>
      <c r="C248" t="s">
        <v>302</v>
      </c>
      <c r="D248">
        <v>0</v>
      </c>
      <c r="E248">
        <v>1</v>
      </c>
      <c r="F248" s="1">
        <v>45673</v>
      </c>
      <c r="G248">
        <f>_xlfn.XLOOKUP(F248,'Wk no''s'!B:B,'Wk no''s'!C:C,0)</f>
        <v>3</v>
      </c>
    </row>
    <row r="249" spans="1:7" x14ac:dyDescent="0.3">
      <c r="A249" t="s">
        <v>1792</v>
      </c>
      <c r="B249" t="s">
        <v>1793</v>
      </c>
      <c r="C249" t="s">
        <v>29</v>
      </c>
      <c r="D249">
        <v>0</v>
      </c>
      <c r="E249">
        <v>1</v>
      </c>
      <c r="F249" s="1">
        <v>45673</v>
      </c>
      <c r="G249">
        <f>_xlfn.XLOOKUP(F249,'Wk no''s'!B:B,'Wk no''s'!C:C,0)</f>
        <v>3</v>
      </c>
    </row>
    <row r="250" spans="1:7" x14ac:dyDescent="0.3">
      <c r="A250" t="s">
        <v>1794</v>
      </c>
      <c r="B250" t="s">
        <v>1795</v>
      </c>
      <c r="C250" t="s">
        <v>493</v>
      </c>
      <c r="D250">
        <v>0</v>
      </c>
      <c r="E250">
        <v>1</v>
      </c>
      <c r="F250" s="1">
        <v>45673</v>
      </c>
      <c r="G250">
        <f>_xlfn.XLOOKUP(F250,'Wk no''s'!B:B,'Wk no''s'!C:C,0)</f>
        <v>3</v>
      </c>
    </row>
    <row r="251" spans="1:7" x14ac:dyDescent="0.3">
      <c r="A251" t="s">
        <v>1796</v>
      </c>
      <c r="B251" t="s">
        <v>1797</v>
      </c>
      <c r="C251" t="s">
        <v>1544</v>
      </c>
      <c r="D251">
        <v>1</v>
      </c>
      <c r="E251">
        <v>1</v>
      </c>
      <c r="F251" s="1">
        <v>45673</v>
      </c>
      <c r="G251">
        <f>_xlfn.XLOOKUP(F251,'Wk no''s'!B:B,'Wk no''s'!C:C,0)</f>
        <v>3</v>
      </c>
    </row>
    <row r="252" spans="1:7" x14ac:dyDescent="0.3">
      <c r="A252" t="s">
        <v>1798</v>
      </c>
      <c r="B252" t="s">
        <v>1799</v>
      </c>
      <c r="C252" t="s">
        <v>1246</v>
      </c>
      <c r="D252">
        <v>0</v>
      </c>
      <c r="E252">
        <v>1</v>
      </c>
      <c r="F252" s="1">
        <v>45673</v>
      </c>
      <c r="G252">
        <f>_xlfn.XLOOKUP(F252,'Wk no''s'!B:B,'Wk no''s'!C:C,0)</f>
        <v>3</v>
      </c>
    </row>
    <row r="253" spans="1:7" x14ac:dyDescent="0.3">
      <c r="A253" t="s">
        <v>1800</v>
      </c>
      <c r="B253" t="s">
        <v>1801</v>
      </c>
      <c r="C253" t="s">
        <v>1246</v>
      </c>
      <c r="D253">
        <v>0</v>
      </c>
      <c r="E253">
        <v>1</v>
      </c>
      <c r="F253" s="1">
        <v>45673</v>
      </c>
      <c r="G253">
        <f>_xlfn.XLOOKUP(F253,'Wk no''s'!B:B,'Wk no''s'!C:C,0)</f>
        <v>3</v>
      </c>
    </row>
    <row r="254" spans="1:7" x14ac:dyDescent="0.3">
      <c r="A254" t="s">
        <v>1802</v>
      </c>
      <c r="B254" t="s">
        <v>1803</v>
      </c>
      <c r="C254" t="s">
        <v>566</v>
      </c>
      <c r="D254">
        <v>0</v>
      </c>
      <c r="E254">
        <v>1</v>
      </c>
      <c r="F254" s="1">
        <v>45673</v>
      </c>
      <c r="G254">
        <f>_xlfn.XLOOKUP(F254,'Wk no''s'!B:B,'Wk no''s'!C:C,0)</f>
        <v>3</v>
      </c>
    </row>
    <row r="255" spans="1:7" x14ac:dyDescent="0.3">
      <c r="A255" t="s">
        <v>1804</v>
      </c>
      <c r="B255" t="s">
        <v>1805</v>
      </c>
      <c r="C255" t="s">
        <v>197</v>
      </c>
      <c r="D255">
        <v>0</v>
      </c>
      <c r="E255">
        <v>1</v>
      </c>
      <c r="F255" s="1">
        <v>45673</v>
      </c>
      <c r="G255">
        <f>_xlfn.XLOOKUP(F255,'Wk no''s'!B:B,'Wk no''s'!C:C,0)</f>
        <v>3</v>
      </c>
    </row>
    <row r="256" spans="1:7" x14ac:dyDescent="0.3">
      <c r="A256" t="s">
        <v>1806</v>
      </c>
      <c r="B256" t="s">
        <v>1807</v>
      </c>
      <c r="C256" t="s">
        <v>593</v>
      </c>
      <c r="D256">
        <v>0</v>
      </c>
      <c r="E256">
        <v>1</v>
      </c>
      <c r="F256" s="1">
        <v>45673</v>
      </c>
      <c r="G256">
        <f>_xlfn.XLOOKUP(F256,'Wk no''s'!B:B,'Wk no''s'!C:C,0)</f>
        <v>3</v>
      </c>
    </row>
    <row r="257" spans="1:7" x14ac:dyDescent="0.3">
      <c r="A257" t="s">
        <v>1808</v>
      </c>
      <c r="B257" t="s">
        <v>1809</v>
      </c>
      <c r="C257" t="s">
        <v>1246</v>
      </c>
      <c r="D257">
        <v>0</v>
      </c>
      <c r="E257">
        <v>1</v>
      </c>
      <c r="F257" s="1">
        <v>45673</v>
      </c>
      <c r="G257">
        <f>_xlfn.XLOOKUP(F257,'Wk no''s'!B:B,'Wk no''s'!C:C,0)</f>
        <v>3</v>
      </c>
    </row>
    <row r="258" spans="1:7" x14ac:dyDescent="0.3">
      <c r="A258" t="s">
        <v>1810</v>
      </c>
      <c r="B258" t="s">
        <v>1811</v>
      </c>
      <c r="C258" t="s">
        <v>1498</v>
      </c>
      <c r="D258">
        <v>0</v>
      </c>
      <c r="E258">
        <v>1</v>
      </c>
      <c r="F258" s="1">
        <v>45677</v>
      </c>
      <c r="G258">
        <f>_xlfn.XLOOKUP(F258,'Wk no''s'!B:B,'Wk no''s'!C:C,0)</f>
        <v>4</v>
      </c>
    </row>
    <row r="259" spans="1:7" x14ac:dyDescent="0.3">
      <c r="A259" t="s">
        <v>1812</v>
      </c>
      <c r="B259" t="s">
        <v>1813</v>
      </c>
      <c r="C259" t="s">
        <v>515</v>
      </c>
      <c r="D259">
        <v>0</v>
      </c>
      <c r="E259">
        <v>1</v>
      </c>
      <c r="F259" s="1">
        <v>45677</v>
      </c>
      <c r="G259">
        <f>_xlfn.XLOOKUP(F259,'Wk no''s'!B:B,'Wk no''s'!C:C,0)</f>
        <v>4</v>
      </c>
    </row>
    <row r="260" spans="1:7" x14ac:dyDescent="0.3">
      <c r="A260" t="s">
        <v>1814</v>
      </c>
      <c r="B260" t="s">
        <v>1815</v>
      </c>
      <c r="C260" t="s">
        <v>58</v>
      </c>
      <c r="D260">
        <v>0</v>
      </c>
      <c r="E260">
        <v>1</v>
      </c>
      <c r="F260" s="1">
        <v>45677</v>
      </c>
      <c r="G260">
        <f>_xlfn.XLOOKUP(F260,'Wk no''s'!B:B,'Wk no''s'!C:C,0)</f>
        <v>4</v>
      </c>
    </row>
    <row r="261" spans="1:7" x14ac:dyDescent="0.3">
      <c r="A261" t="s">
        <v>1816</v>
      </c>
      <c r="B261" t="s">
        <v>1817</v>
      </c>
      <c r="C261" t="s">
        <v>550</v>
      </c>
      <c r="D261">
        <v>0</v>
      </c>
      <c r="E261">
        <v>1</v>
      </c>
      <c r="F261" s="1">
        <v>45677</v>
      </c>
      <c r="G261">
        <f>_xlfn.XLOOKUP(F261,'Wk no''s'!B:B,'Wk no''s'!C:C,0)</f>
        <v>4</v>
      </c>
    </row>
    <row r="262" spans="1:7" x14ac:dyDescent="0.3">
      <c r="A262" t="s">
        <v>1818</v>
      </c>
      <c r="B262" t="s">
        <v>1819</v>
      </c>
      <c r="C262" t="s">
        <v>75</v>
      </c>
      <c r="D262">
        <v>0</v>
      </c>
      <c r="E262">
        <v>1</v>
      </c>
      <c r="F262" s="1">
        <v>45677</v>
      </c>
      <c r="G262">
        <f>_xlfn.XLOOKUP(F262,'Wk no''s'!B:B,'Wk no''s'!C:C,0)</f>
        <v>4</v>
      </c>
    </row>
    <row r="263" spans="1:7" x14ac:dyDescent="0.3">
      <c r="A263" t="s">
        <v>1820</v>
      </c>
      <c r="B263" t="s">
        <v>1821</v>
      </c>
      <c r="C263" t="s">
        <v>1822</v>
      </c>
      <c r="D263">
        <v>0</v>
      </c>
      <c r="E263">
        <v>1</v>
      </c>
      <c r="F263" s="1">
        <v>45677</v>
      </c>
      <c r="G263">
        <f>_xlfn.XLOOKUP(F263,'Wk no''s'!B:B,'Wk no''s'!C:C,0)</f>
        <v>4</v>
      </c>
    </row>
    <row r="264" spans="1:7" x14ac:dyDescent="0.3">
      <c r="A264" t="s">
        <v>1823</v>
      </c>
      <c r="B264" t="s">
        <v>1824</v>
      </c>
      <c r="C264" t="s">
        <v>1825</v>
      </c>
      <c r="D264">
        <v>0</v>
      </c>
      <c r="E264">
        <v>1</v>
      </c>
      <c r="F264" s="1">
        <v>45677</v>
      </c>
      <c r="G264">
        <f>_xlfn.XLOOKUP(F264,'Wk no''s'!B:B,'Wk no''s'!C:C,0)</f>
        <v>4</v>
      </c>
    </row>
    <row r="265" spans="1:7" x14ac:dyDescent="0.3">
      <c r="A265" t="s">
        <v>1826</v>
      </c>
      <c r="B265" t="s">
        <v>1827</v>
      </c>
      <c r="C265" t="s">
        <v>1246</v>
      </c>
      <c r="D265">
        <v>0</v>
      </c>
      <c r="E265">
        <v>1</v>
      </c>
      <c r="F265" s="1">
        <v>45677</v>
      </c>
      <c r="G265">
        <f>_xlfn.XLOOKUP(F265,'Wk no''s'!B:B,'Wk no''s'!C:C,0)</f>
        <v>4</v>
      </c>
    </row>
    <row r="266" spans="1:7" x14ac:dyDescent="0.3">
      <c r="A266" t="s">
        <v>1828</v>
      </c>
      <c r="B266" t="s">
        <v>1829</v>
      </c>
      <c r="C266" t="s">
        <v>1830</v>
      </c>
      <c r="D266">
        <v>0</v>
      </c>
      <c r="E266">
        <v>1</v>
      </c>
      <c r="F266" s="1">
        <v>45677</v>
      </c>
      <c r="G266">
        <f>_xlfn.XLOOKUP(F266,'Wk no''s'!B:B,'Wk no''s'!C:C,0)</f>
        <v>4</v>
      </c>
    </row>
    <row r="267" spans="1:7" x14ac:dyDescent="0.3">
      <c r="A267" t="s">
        <v>1831</v>
      </c>
      <c r="B267" t="s">
        <v>1832</v>
      </c>
      <c r="C267" t="s">
        <v>1833</v>
      </c>
      <c r="D267">
        <v>0</v>
      </c>
      <c r="E267">
        <v>1</v>
      </c>
      <c r="F267" s="1">
        <v>45677</v>
      </c>
      <c r="G267">
        <f>_xlfn.XLOOKUP(F267,'Wk no''s'!B:B,'Wk no''s'!C:C,0)</f>
        <v>4</v>
      </c>
    </row>
    <row r="268" spans="1:7" x14ac:dyDescent="0.3">
      <c r="A268" t="s">
        <v>1834</v>
      </c>
      <c r="B268" t="s">
        <v>1835</v>
      </c>
      <c r="C268" t="s">
        <v>1836</v>
      </c>
      <c r="D268">
        <v>2</v>
      </c>
      <c r="E268">
        <v>0</v>
      </c>
      <c r="F268" s="1">
        <v>45677</v>
      </c>
      <c r="G268">
        <f>_xlfn.XLOOKUP(F268,'Wk no''s'!B:B,'Wk no''s'!C:C,0)</f>
        <v>4</v>
      </c>
    </row>
    <row r="269" spans="1:7" x14ac:dyDescent="0.3">
      <c r="A269" t="s">
        <v>1837</v>
      </c>
      <c r="B269" t="s">
        <v>1838</v>
      </c>
      <c r="C269" t="s">
        <v>1839</v>
      </c>
      <c r="D269">
        <v>0</v>
      </c>
      <c r="E269">
        <v>1</v>
      </c>
      <c r="F269" s="1">
        <v>45677</v>
      </c>
      <c r="G269">
        <f>_xlfn.XLOOKUP(F269,'Wk no''s'!B:B,'Wk no''s'!C:C,0)</f>
        <v>4</v>
      </c>
    </row>
    <row r="270" spans="1:7" x14ac:dyDescent="0.3">
      <c r="A270" t="s">
        <v>1840</v>
      </c>
      <c r="B270" t="s">
        <v>1841</v>
      </c>
      <c r="C270" t="s">
        <v>308</v>
      </c>
      <c r="D270">
        <v>0</v>
      </c>
      <c r="E270">
        <v>1</v>
      </c>
      <c r="F270" s="1">
        <v>45677</v>
      </c>
      <c r="G270">
        <f>_xlfn.XLOOKUP(F270,'Wk no''s'!B:B,'Wk no''s'!C:C,0)</f>
        <v>4</v>
      </c>
    </row>
    <row r="271" spans="1:7" x14ac:dyDescent="0.3">
      <c r="A271" t="s">
        <v>1842</v>
      </c>
      <c r="B271" t="s">
        <v>1843</v>
      </c>
      <c r="C271" t="s">
        <v>1844</v>
      </c>
      <c r="D271">
        <v>0</v>
      </c>
      <c r="E271">
        <v>1</v>
      </c>
      <c r="F271" s="1">
        <v>45677</v>
      </c>
      <c r="G271">
        <f>_xlfn.XLOOKUP(F271,'Wk no''s'!B:B,'Wk no''s'!C:C,0)</f>
        <v>4</v>
      </c>
    </row>
    <row r="272" spans="1:7" x14ac:dyDescent="0.3">
      <c r="A272" t="s">
        <v>1845</v>
      </c>
      <c r="B272" t="s">
        <v>1846</v>
      </c>
      <c r="C272" t="s">
        <v>432</v>
      </c>
      <c r="D272">
        <v>6</v>
      </c>
      <c r="E272">
        <v>0</v>
      </c>
      <c r="F272" s="1">
        <v>45677</v>
      </c>
      <c r="G272">
        <f>_xlfn.XLOOKUP(F272,'Wk no''s'!B:B,'Wk no''s'!C:C,0)</f>
        <v>4</v>
      </c>
    </row>
    <row r="273" spans="1:7" x14ac:dyDescent="0.3">
      <c r="A273" t="s">
        <v>1847</v>
      </c>
      <c r="B273" t="s">
        <v>1848</v>
      </c>
      <c r="C273" t="s">
        <v>1849</v>
      </c>
      <c r="D273">
        <v>0</v>
      </c>
      <c r="E273">
        <v>1</v>
      </c>
      <c r="F273" s="1">
        <v>45677</v>
      </c>
      <c r="G273">
        <f>_xlfn.XLOOKUP(F273,'Wk no''s'!B:B,'Wk no''s'!C:C,0)</f>
        <v>4</v>
      </c>
    </row>
    <row r="274" spans="1:7" x14ac:dyDescent="0.3">
      <c r="A274" t="s">
        <v>1850</v>
      </c>
      <c r="B274" t="s">
        <v>1851</v>
      </c>
      <c r="C274" t="s">
        <v>1368</v>
      </c>
      <c r="D274">
        <v>5</v>
      </c>
      <c r="E274">
        <v>0</v>
      </c>
      <c r="F274" s="1">
        <v>45677</v>
      </c>
      <c r="G274">
        <f>_xlfn.XLOOKUP(F274,'Wk no''s'!B:B,'Wk no''s'!C:C,0)</f>
        <v>4</v>
      </c>
    </row>
    <row r="275" spans="1:7" x14ac:dyDescent="0.3">
      <c r="A275" t="s">
        <v>1852</v>
      </c>
      <c r="B275" t="s">
        <v>1853</v>
      </c>
      <c r="C275" t="s">
        <v>1106</v>
      </c>
      <c r="D275">
        <v>2</v>
      </c>
      <c r="E275">
        <v>0</v>
      </c>
      <c r="F275" s="1">
        <v>45677</v>
      </c>
      <c r="G275">
        <f>_xlfn.XLOOKUP(F275,'Wk no''s'!B:B,'Wk no''s'!C:C,0)</f>
        <v>4</v>
      </c>
    </row>
    <row r="276" spans="1:7" x14ac:dyDescent="0.3">
      <c r="A276" t="s">
        <v>1854</v>
      </c>
      <c r="B276" t="s">
        <v>1855</v>
      </c>
      <c r="C276" t="s">
        <v>1856</v>
      </c>
      <c r="D276">
        <v>17</v>
      </c>
      <c r="E276">
        <v>0</v>
      </c>
      <c r="F276" s="1">
        <v>45677</v>
      </c>
      <c r="G276">
        <f>_xlfn.XLOOKUP(F276,'Wk no''s'!B:B,'Wk no''s'!C:C,0)</f>
        <v>4</v>
      </c>
    </row>
    <row r="277" spans="1:7" x14ac:dyDescent="0.3">
      <c r="A277" t="s">
        <v>1857</v>
      </c>
      <c r="B277" t="s">
        <v>1858</v>
      </c>
      <c r="C277" t="s">
        <v>1571</v>
      </c>
      <c r="D277">
        <v>0</v>
      </c>
      <c r="E277">
        <v>1</v>
      </c>
      <c r="F277" s="1">
        <v>45677</v>
      </c>
      <c r="G277">
        <f>_xlfn.XLOOKUP(F277,'Wk no''s'!B:B,'Wk no''s'!C:C,0)</f>
        <v>4</v>
      </c>
    </row>
    <row r="278" spans="1:7" x14ac:dyDescent="0.3">
      <c r="A278" t="s">
        <v>1859</v>
      </c>
      <c r="B278" t="s">
        <v>1860</v>
      </c>
      <c r="C278" t="s">
        <v>1544</v>
      </c>
      <c r="D278">
        <v>0</v>
      </c>
      <c r="E278">
        <v>1</v>
      </c>
      <c r="F278" s="1">
        <v>45677</v>
      </c>
      <c r="G278">
        <f>_xlfn.XLOOKUP(F278,'Wk no''s'!B:B,'Wk no''s'!C:C,0)</f>
        <v>4</v>
      </c>
    </row>
    <row r="279" spans="1:7" x14ac:dyDescent="0.3">
      <c r="A279" t="s">
        <v>1861</v>
      </c>
      <c r="B279" t="s">
        <v>1862</v>
      </c>
      <c r="C279" t="s">
        <v>1863</v>
      </c>
      <c r="D279">
        <v>0</v>
      </c>
      <c r="E279">
        <v>1</v>
      </c>
      <c r="F279" s="1">
        <v>45677</v>
      </c>
      <c r="G279">
        <f>_xlfn.XLOOKUP(F279,'Wk no''s'!B:B,'Wk no''s'!C:C,0)</f>
        <v>4</v>
      </c>
    </row>
    <row r="280" spans="1:7" x14ac:dyDescent="0.3">
      <c r="A280" t="s">
        <v>1864</v>
      </c>
      <c r="B280" t="s">
        <v>1865</v>
      </c>
      <c r="C280" t="s">
        <v>75</v>
      </c>
      <c r="D280">
        <v>1</v>
      </c>
      <c r="E280">
        <v>1</v>
      </c>
      <c r="F280" s="1">
        <v>45677</v>
      </c>
      <c r="G280">
        <f>_xlfn.XLOOKUP(F280,'Wk no''s'!B:B,'Wk no''s'!C:C,0)</f>
        <v>4</v>
      </c>
    </row>
    <row r="281" spans="1:7" x14ac:dyDescent="0.3">
      <c r="A281" t="s">
        <v>1866</v>
      </c>
      <c r="B281" t="s">
        <v>1867</v>
      </c>
      <c r="C281" t="s">
        <v>1322</v>
      </c>
      <c r="D281">
        <v>0</v>
      </c>
      <c r="E281">
        <v>1</v>
      </c>
      <c r="F281" s="1">
        <v>45678</v>
      </c>
      <c r="G281">
        <f>_xlfn.XLOOKUP(F281,'Wk no''s'!B:B,'Wk no''s'!C:C,0)</f>
        <v>4</v>
      </c>
    </row>
    <row r="282" spans="1:7" x14ac:dyDescent="0.3">
      <c r="A282" t="s">
        <v>1868</v>
      </c>
      <c r="B282" t="s">
        <v>1869</v>
      </c>
      <c r="C282" t="s">
        <v>1870</v>
      </c>
      <c r="D282">
        <v>0</v>
      </c>
      <c r="E282">
        <v>1</v>
      </c>
      <c r="F282" s="1">
        <v>45678</v>
      </c>
      <c r="G282">
        <f>_xlfn.XLOOKUP(F282,'Wk no''s'!B:B,'Wk no''s'!C:C,0)</f>
        <v>4</v>
      </c>
    </row>
    <row r="283" spans="1:7" x14ac:dyDescent="0.3">
      <c r="A283" t="s">
        <v>1871</v>
      </c>
      <c r="B283" t="s">
        <v>1872</v>
      </c>
      <c r="C283" t="s">
        <v>566</v>
      </c>
      <c r="D283">
        <v>0</v>
      </c>
      <c r="E283">
        <v>1</v>
      </c>
      <c r="F283" s="1">
        <v>45678</v>
      </c>
      <c r="G283">
        <f>_xlfn.XLOOKUP(F283,'Wk no''s'!B:B,'Wk no''s'!C:C,0)</f>
        <v>4</v>
      </c>
    </row>
    <row r="284" spans="1:7" x14ac:dyDescent="0.3">
      <c r="A284" t="s">
        <v>1873</v>
      </c>
      <c r="B284" t="s">
        <v>1874</v>
      </c>
      <c r="C284" t="s">
        <v>1619</v>
      </c>
      <c r="D284">
        <v>0</v>
      </c>
      <c r="E284">
        <v>1</v>
      </c>
      <c r="F284" s="1">
        <v>45678</v>
      </c>
      <c r="G284">
        <f>_xlfn.XLOOKUP(F284,'Wk no''s'!B:B,'Wk no''s'!C:C,0)</f>
        <v>4</v>
      </c>
    </row>
    <row r="285" spans="1:7" x14ac:dyDescent="0.3">
      <c r="A285" t="s">
        <v>1875</v>
      </c>
      <c r="B285" t="s">
        <v>1876</v>
      </c>
      <c r="C285" t="s">
        <v>1877</v>
      </c>
      <c r="D285">
        <v>0</v>
      </c>
      <c r="E285">
        <v>1</v>
      </c>
      <c r="F285" s="1">
        <v>45678</v>
      </c>
      <c r="G285">
        <f>_xlfn.XLOOKUP(F285,'Wk no''s'!B:B,'Wk no''s'!C:C,0)</f>
        <v>4</v>
      </c>
    </row>
    <row r="286" spans="1:7" x14ac:dyDescent="0.3">
      <c r="A286" t="s">
        <v>1878</v>
      </c>
      <c r="B286" t="s">
        <v>1879</v>
      </c>
      <c r="C286" t="s">
        <v>1269</v>
      </c>
      <c r="D286">
        <v>0</v>
      </c>
      <c r="E286">
        <v>1</v>
      </c>
      <c r="F286" s="1">
        <v>45678</v>
      </c>
      <c r="G286">
        <f>_xlfn.XLOOKUP(F286,'Wk no''s'!B:B,'Wk no''s'!C:C,0)</f>
        <v>4</v>
      </c>
    </row>
    <row r="287" spans="1:7" x14ac:dyDescent="0.3">
      <c r="A287" t="s">
        <v>1880</v>
      </c>
      <c r="B287" t="s">
        <v>1881</v>
      </c>
      <c r="C287" t="s">
        <v>302</v>
      </c>
      <c r="D287">
        <v>0</v>
      </c>
      <c r="E287">
        <v>1</v>
      </c>
      <c r="F287" s="1">
        <v>45678</v>
      </c>
      <c r="G287">
        <f>_xlfn.XLOOKUP(F287,'Wk no''s'!B:B,'Wk no''s'!C:C,0)</f>
        <v>4</v>
      </c>
    </row>
    <row r="288" spans="1:7" x14ac:dyDescent="0.3">
      <c r="A288" t="s">
        <v>1882</v>
      </c>
      <c r="B288" t="s">
        <v>1883</v>
      </c>
      <c r="C288" t="s">
        <v>1884</v>
      </c>
      <c r="D288">
        <v>0</v>
      </c>
      <c r="E288">
        <v>1</v>
      </c>
      <c r="F288" s="1">
        <v>45678</v>
      </c>
      <c r="G288">
        <f>_xlfn.XLOOKUP(F288,'Wk no''s'!B:B,'Wk no''s'!C:C,0)</f>
        <v>4</v>
      </c>
    </row>
    <row r="289" spans="1:7" x14ac:dyDescent="0.3">
      <c r="A289" t="s">
        <v>1885</v>
      </c>
      <c r="B289" t="s">
        <v>1886</v>
      </c>
      <c r="C289" t="s">
        <v>1563</v>
      </c>
      <c r="D289">
        <v>0</v>
      </c>
      <c r="E289">
        <v>1</v>
      </c>
      <c r="F289" s="1">
        <v>45678</v>
      </c>
      <c r="G289">
        <f>_xlfn.XLOOKUP(F289,'Wk no''s'!B:B,'Wk no''s'!C:C,0)</f>
        <v>4</v>
      </c>
    </row>
    <row r="290" spans="1:7" x14ac:dyDescent="0.3">
      <c r="A290" t="s">
        <v>1887</v>
      </c>
      <c r="B290" t="s">
        <v>1888</v>
      </c>
      <c r="C290" t="s">
        <v>1889</v>
      </c>
      <c r="D290">
        <v>11</v>
      </c>
      <c r="E290">
        <v>0</v>
      </c>
      <c r="F290" s="1">
        <v>45678</v>
      </c>
      <c r="G290">
        <f>_xlfn.XLOOKUP(F290,'Wk no''s'!B:B,'Wk no''s'!C:C,0)</f>
        <v>4</v>
      </c>
    </row>
    <row r="291" spans="1:7" x14ac:dyDescent="0.3">
      <c r="A291" t="s">
        <v>1890</v>
      </c>
      <c r="B291" t="s">
        <v>1891</v>
      </c>
      <c r="C291" t="s">
        <v>1892</v>
      </c>
      <c r="D291">
        <v>0</v>
      </c>
      <c r="E291">
        <v>1</v>
      </c>
      <c r="F291" s="1">
        <v>45678</v>
      </c>
      <c r="G291">
        <f>_xlfn.XLOOKUP(F291,'Wk no''s'!B:B,'Wk no''s'!C:C,0)</f>
        <v>4</v>
      </c>
    </row>
    <row r="292" spans="1:7" x14ac:dyDescent="0.3">
      <c r="A292" t="s">
        <v>1893</v>
      </c>
      <c r="B292" t="s">
        <v>1894</v>
      </c>
      <c r="C292" t="s">
        <v>1895</v>
      </c>
      <c r="D292">
        <v>0</v>
      </c>
      <c r="E292">
        <v>1</v>
      </c>
      <c r="F292" s="1">
        <v>45678</v>
      </c>
      <c r="G292">
        <f>_xlfn.XLOOKUP(F292,'Wk no''s'!B:B,'Wk no''s'!C:C,0)</f>
        <v>4</v>
      </c>
    </row>
    <row r="293" spans="1:7" x14ac:dyDescent="0.3">
      <c r="A293" t="s">
        <v>1896</v>
      </c>
      <c r="B293" t="s">
        <v>1897</v>
      </c>
      <c r="C293" t="s">
        <v>39</v>
      </c>
      <c r="D293">
        <v>5</v>
      </c>
      <c r="E293">
        <v>0</v>
      </c>
      <c r="F293" s="1">
        <v>45678</v>
      </c>
      <c r="G293">
        <f>_xlfn.XLOOKUP(F293,'Wk no''s'!B:B,'Wk no''s'!C:C,0)</f>
        <v>4</v>
      </c>
    </row>
    <row r="294" spans="1:7" x14ac:dyDescent="0.3">
      <c r="A294" t="s">
        <v>1898</v>
      </c>
      <c r="B294" t="s">
        <v>1899</v>
      </c>
      <c r="C294" t="s">
        <v>501</v>
      </c>
      <c r="D294">
        <v>0</v>
      </c>
      <c r="E294">
        <v>1</v>
      </c>
      <c r="F294" s="1">
        <v>45678</v>
      </c>
      <c r="G294">
        <f>_xlfn.XLOOKUP(F294,'Wk no''s'!B:B,'Wk no''s'!C:C,0)</f>
        <v>4</v>
      </c>
    </row>
    <row r="295" spans="1:7" x14ac:dyDescent="0.3">
      <c r="A295" t="s">
        <v>1900</v>
      </c>
      <c r="B295" t="s">
        <v>1901</v>
      </c>
      <c r="C295" t="s">
        <v>1902</v>
      </c>
      <c r="D295">
        <v>3</v>
      </c>
      <c r="E295">
        <v>0</v>
      </c>
      <c r="F295" s="1">
        <v>45678</v>
      </c>
      <c r="G295">
        <f>_xlfn.XLOOKUP(F295,'Wk no''s'!B:B,'Wk no''s'!C:C,0)</f>
        <v>4</v>
      </c>
    </row>
    <row r="296" spans="1:7" x14ac:dyDescent="0.3">
      <c r="A296" t="s">
        <v>1903</v>
      </c>
      <c r="B296" t="s">
        <v>1904</v>
      </c>
      <c r="C296" t="s">
        <v>197</v>
      </c>
      <c r="D296">
        <v>0</v>
      </c>
      <c r="E296">
        <v>1</v>
      </c>
      <c r="F296" s="1">
        <v>45678</v>
      </c>
      <c r="G296">
        <f>_xlfn.XLOOKUP(F296,'Wk no''s'!B:B,'Wk no''s'!C:C,0)</f>
        <v>4</v>
      </c>
    </row>
    <row r="297" spans="1:7" x14ac:dyDescent="0.3">
      <c r="A297" t="s">
        <v>1905</v>
      </c>
      <c r="B297" t="s">
        <v>1906</v>
      </c>
      <c r="C297" t="s">
        <v>1907</v>
      </c>
      <c r="D297">
        <v>0</v>
      </c>
      <c r="E297">
        <v>1</v>
      </c>
      <c r="F297" s="1">
        <v>45678</v>
      </c>
      <c r="G297">
        <f>_xlfn.XLOOKUP(F297,'Wk no''s'!B:B,'Wk no''s'!C:C,0)</f>
        <v>4</v>
      </c>
    </row>
    <row r="298" spans="1:7" x14ac:dyDescent="0.3">
      <c r="A298" t="s">
        <v>1908</v>
      </c>
      <c r="B298" t="s">
        <v>1909</v>
      </c>
      <c r="C298" t="s">
        <v>39</v>
      </c>
      <c r="D298">
        <v>8</v>
      </c>
      <c r="E298">
        <v>0</v>
      </c>
      <c r="F298" s="1">
        <v>45678</v>
      </c>
      <c r="G298">
        <f>_xlfn.XLOOKUP(F298,'Wk no''s'!B:B,'Wk no''s'!C:C,0)</f>
        <v>4</v>
      </c>
    </row>
    <row r="299" spans="1:7" x14ac:dyDescent="0.3">
      <c r="A299" t="s">
        <v>1910</v>
      </c>
      <c r="B299" t="s">
        <v>1911</v>
      </c>
      <c r="C299" t="s">
        <v>1912</v>
      </c>
      <c r="D299">
        <v>0</v>
      </c>
      <c r="E299">
        <v>1</v>
      </c>
      <c r="F299" s="1">
        <v>45678</v>
      </c>
      <c r="G299">
        <f>_xlfn.XLOOKUP(F299,'Wk no''s'!B:B,'Wk no''s'!C:C,0)</f>
        <v>4</v>
      </c>
    </row>
    <row r="300" spans="1:7" x14ac:dyDescent="0.3">
      <c r="A300" t="s">
        <v>1913</v>
      </c>
      <c r="B300" t="s">
        <v>1914</v>
      </c>
      <c r="C300" t="s">
        <v>197</v>
      </c>
      <c r="D300">
        <v>0</v>
      </c>
      <c r="E300">
        <v>1</v>
      </c>
      <c r="F300" s="1">
        <v>45678</v>
      </c>
      <c r="G300">
        <f>_xlfn.XLOOKUP(F300,'Wk no''s'!B:B,'Wk no''s'!C:C,0)</f>
        <v>4</v>
      </c>
    </row>
    <row r="301" spans="1:7" x14ac:dyDescent="0.3">
      <c r="A301" t="s">
        <v>1915</v>
      </c>
      <c r="B301" t="s">
        <v>1916</v>
      </c>
      <c r="C301" t="s">
        <v>1917</v>
      </c>
      <c r="D301">
        <v>0</v>
      </c>
      <c r="E301">
        <v>1</v>
      </c>
      <c r="F301" s="1">
        <v>45678</v>
      </c>
      <c r="G301">
        <f>_xlfn.XLOOKUP(F301,'Wk no''s'!B:B,'Wk no''s'!C:C,0)</f>
        <v>4</v>
      </c>
    </row>
    <row r="302" spans="1:7" x14ac:dyDescent="0.3">
      <c r="A302" t="s">
        <v>1918</v>
      </c>
      <c r="B302" t="s">
        <v>1919</v>
      </c>
      <c r="C302" t="s">
        <v>1224</v>
      </c>
      <c r="D302">
        <v>0</v>
      </c>
      <c r="E302">
        <v>1</v>
      </c>
      <c r="F302" s="1">
        <v>45678</v>
      </c>
      <c r="G302">
        <f>_xlfn.XLOOKUP(F302,'Wk no''s'!B:B,'Wk no''s'!C:C,0)</f>
        <v>4</v>
      </c>
    </row>
    <row r="303" spans="1:7" x14ac:dyDescent="0.3">
      <c r="A303" t="s">
        <v>1920</v>
      </c>
      <c r="B303" t="s">
        <v>1921</v>
      </c>
      <c r="C303" t="s">
        <v>1224</v>
      </c>
      <c r="D303">
        <v>0</v>
      </c>
      <c r="E303">
        <v>1</v>
      </c>
      <c r="F303" s="1">
        <v>45678</v>
      </c>
      <c r="G303">
        <f>_xlfn.XLOOKUP(F303,'Wk no''s'!B:B,'Wk no''s'!C:C,0)</f>
        <v>4</v>
      </c>
    </row>
    <row r="304" spans="1:7" x14ac:dyDescent="0.3">
      <c r="A304" t="s">
        <v>1922</v>
      </c>
      <c r="B304" t="s">
        <v>1923</v>
      </c>
      <c r="C304" t="s">
        <v>1246</v>
      </c>
      <c r="D304">
        <v>0</v>
      </c>
      <c r="E304">
        <v>1</v>
      </c>
      <c r="F304" s="1">
        <v>45678</v>
      </c>
      <c r="G304">
        <f>_xlfn.XLOOKUP(F304,'Wk no''s'!B:B,'Wk no''s'!C:C,0)</f>
        <v>4</v>
      </c>
    </row>
    <row r="305" spans="1:7" x14ac:dyDescent="0.3">
      <c r="A305" t="s">
        <v>1924</v>
      </c>
      <c r="B305" t="s">
        <v>1925</v>
      </c>
      <c r="C305" t="s">
        <v>609</v>
      </c>
      <c r="D305">
        <v>0</v>
      </c>
      <c r="E305">
        <v>1</v>
      </c>
      <c r="F305" s="1">
        <v>45678</v>
      </c>
      <c r="G305">
        <f>_xlfn.XLOOKUP(F305,'Wk no''s'!B:B,'Wk no''s'!C:C,0)</f>
        <v>4</v>
      </c>
    </row>
    <row r="306" spans="1:7" x14ac:dyDescent="0.3">
      <c r="A306" t="s">
        <v>1926</v>
      </c>
      <c r="B306" t="s">
        <v>1927</v>
      </c>
      <c r="C306" t="s">
        <v>1527</v>
      </c>
      <c r="D306">
        <v>0</v>
      </c>
      <c r="E306">
        <v>1</v>
      </c>
      <c r="F306" s="1">
        <v>45678</v>
      </c>
      <c r="G306">
        <f>_xlfn.XLOOKUP(F306,'Wk no''s'!B:B,'Wk no''s'!C:C,0)</f>
        <v>4</v>
      </c>
    </row>
    <row r="307" spans="1:7" x14ac:dyDescent="0.3">
      <c r="A307" t="s">
        <v>1928</v>
      </c>
      <c r="B307" t="s">
        <v>1929</v>
      </c>
      <c r="C307" t="s">
        <v>1930</v>
      </c>
      <c r="D307">
        <v>14</v>
      </c>
      <c r="E307">
        <v>0</v>
      </c>
      <c r="F307" s="1">
        <v>45678</v>
      </c>
      <c r="G307">
        <f>_xlfn.XLOOKUP(F307,'Wk no''s'!B:B,'Wk no''s'!C:C,0)</f>
        <v>4</v>
      </c>
    </row>
    <row r="308" spans="1:7" x14ac:dyDescent="0.3">
      <c r="A308" t="s">
        <v>1931</v>
      </c>
      <c r="B308" t="s">
        <v>1932</v>
      </c>
      <c r="C308" t="s">
        <v>308</v>
      </c>
      <c r="D308">
        <v>0</v>
      </c>
      <c r="E308">
        <v>1</v>
      </c>
      <c r="F308" s="1">
        <v>45678</v>
      </c>
      <c r="G308">
        <f>_xlfn.XLOOKUP(F308,'Wk no''s'!B:B,'Wk no''s'!C:C,0)</f>
        <v>4</v>
      </c>
    </row>
    <row r="309" spans="1:7" x14ac:dyDescent="0.3">
      <c r="A309" t="s">
        <v>1933</v>
      </c>
      <c r="B309" t="s">
        <v>1934</v>
      </c>
      <c r="C309" t="s">
        <v>1698</v>
      </c>
      <c r="D309">
        <v>0</v>
      </c>
      <c r="E309">
        <v>1</v>
      </c>
      <c r="F309" s="1">
        <v>45678</v>
      </c>
      <c r="G309">
        <f>_xlfn.XLOOKUP(F309,'Wk no''s'!B:B,'Wk no''s'!C:C,0)</f>
        <v>4</v>
      </c>
    </row>
    <row r="310" spans="1:7" x14ac:dyDescent="0.3">
      <c r="A310" t="s">
        <v>1935</v>
      </c>
      <c r="B310" t="s">
        <v>1936</v>
      </c>
      <c r="C310" t="s">
        <v>1246</v>
      </c>
      <c r="D310">
        <v>0</v>
      </c>
      <c r="E310">
        <v>1</v>
      </c>
      <c r="F310" s="1">
        <v>45678</v>
      </c>
      <c r="G310">
        <f>_xlfn.XLOOKUP(F310,'Wk no''s'!B:B,'Wk no''s'!C:C,0)</f>
        <v>4</v>
      </c>
    </row>
    <row r="311" spans="1:7" x14ac:dyDescent="0.3">
      <c r="A311" t="s">
        <v>1937</v>
      </c>
      <c r="B311" t="s">
        <v>1938</v>
      </c>
      <c r="C311" t="s">
        <v>1246</v>
      </c>
      <c r="D311">
        <v>0</v>
      </c>
      <c r="E311">
        <v>1</v>
      </c>
      <c r="F311" s="1">
        <v>45678</v>
      </c>
      <c r="G311">
        <f>_xlfn.XLOOKUP(F311,'Wk no''s'!B:B,'Wk no''s'!C:C,0)</f>
        <v>4</v>
      </c>
    </row>
    <row r="312" spans="1:7" x14ac:dyDescent="0.3">
      <c r="A312" t="s">
        <v>1939</v>
      </c>
      <c r="B312" t="s">
        <v>1940</v>
      </c>
      <c r="C312" t="s">
        <v>1941</v>
      </c>
      <c r="D312">
        <v>0</v>
      </c>
      <c r="E312">
        <v>1</v>
      </c>
      <c r="F312" s="1">
        <v>45678</v>
      </c>
      <c r="G312">
        <f>_xlfn.XLOOKUP(F312,'Wk no''s'!B:B,'Wk no''s'!C:C,0)</f>
        <v>4</v>
      </c>
    </row>
    <row r="313" spans="1:7" x14ac:dyDescent="0.3">
      <c r="A313" t="s">
        <v>1942</v>
      </c>
      <c r="B313" t="s">
        <v>1943</v>
      </c>
      <c r="C313" t="s">
        <v>1944</v>
      </c>
      <c r="D313">
        <v>0</v>
      </c>
      <c r="E313">
        <v>1</v>
      </c>
      <c r="F313" s="1">
        <v>45678</v>
      </c>
      <c r="G313">
        <f>_xlfn.XLOOKUP(F313,'Wk no''s'!B:B,'Wk no''s'!C:C,0)</f>
        <v>4</v>
      </c>
    </row>
    <row r="314" spans="1:7" x14ac:dyDescent="0.3">
      <c r="A314" t="s">
        <v>1945</v>
      </c>
      <c r="B314" t="s">
        <v>1946</v>
      </c>
      <c r="C314" t="s">
        <v>178</v>
      </c>
      <c r="D314">
        <v>0</v>
      </c>
      <c r="E314">
        <v>1</v>
      </c>
      <c r="F314" s="1">
        <v>45678</v>
      </c>
      <c r="G314">
        <f>_xlfn.XLOOKUP(F314,'Wk no''s'!B:B,'Wk no''s'!C:C,0)</f>
        <v>4</v>
      </c>
    </row>
    <row r="315" spans="1:7" x14ac:dyDescent="0.3">
      <c r="A315" t="s">
        <v>1947</v>
      </c>
      <c r="B315" t="s">
        <v>1948</v>
      </c>
      <c r="C315" t="s">
        <v>1224</v>
      </c>
      <c r="D315">
        <v>0</v>
      </c>
      <c r="E315">
        <v>1</v>
      </c>
      <c r="F315" s="1">
        <v>45678</v>
      </c>
      <c r="G315">
        <f>_xlfn.XLOOKUP(F315,'Wk no''s'!B:B,'Wk no''s'!C:C,0)</f>
        <v>4</v>
      </c>
    </row>
    <row r="316" spans="1:7" x14ac:dyDescent="0.3">
      <c r="A316" t="s">
        <v>1949</v>
      </c>
      <c r="B316" t="s">
        <v>1950</v>
      </c>
      <c r="C316" t="s">
        <v>1951</v>
      </c>
      <c r="D316">
        <v>0</v>
      </c>
      <c r="E316">
        <v>1</v>
      </c>
      <c r="F316" s="1">
        <v>45678</v>
      </c>
      <c r="G316">
        <f>_xlfn.XLOOKUP(F316,'Wk no''s'!B:B,'Wk no''s'!C:C,0)</f>
        <v>4</v>
      </c>
    </row>
    <row r="317" spans="1:7" x14ac:dyDescent="0.3">
      <c r="A317" t="s">
        <v>1952</v>
      </c>
      <c r="B317" t="s">
        <v>1953</v>
      </c>
      <c r="C317" t="s">
        <v>1706</v>
      </c>
      <c r="D317">
        <v>0</v>
      </c>
      <c r="E317">
        <v>1</v>
      </c>
      <c r="F317" s="1">
        <v>45679</v>
      </c>
      <c r="G317">
        <f>_xlfn.XLOOKUP(F317,'Wk no''s'!B:B,'Wk no''s'!C:C,0)</f>
        <v>4</v>
      </c>
    </row>
    <row r="318" spans="1:7" x14ac:dyDescent="0.3">
      <c r="A318" t="s">
        <v>1954</v>
      </c>
      <c r="B318" t="s">
        <v>1955</v>
      </c>
      <c r="C318" t="s">
        <v>519</v>
      </c>
      <c r="D318">
        <v>0</v>
      </c>
      <c r="E318">
        <v>1</v>
      </c>
      <c r="F318" s="1">
        <v>45679</v>
      </c>
      <c r="G318">
        <f>_xlfn.XLOOKUP(F318,'Wk no''s'!B:B,'Wk no''s'!C:C,0)</f>
        <v>4</v>
      </c>
    </row>
    <row r="319" spans="1:7" x14ac:dyDescent="0.3">
      <c r="A319" t="s">
        <v>1956</v>
      </c>
      <c r="B319" t="s">
        <v>1957</v>
      </c>
      <c r="C319" t="s">
        <v>1958</v>
      </c>
      <c r="D319">
        <v>0</v>
      </c>
      <c r="E319">
        <v>1</v>
      </c>
      <c r="F319" s="1">
        <v>45679</v>
      </c>
      <c r="G319">
        <f>_xlfn.XLOOKUP(F319,'Wk no''s'!B:B,'Wk no''s'!C:C,0)</f>
        <v>4</v>
      </c>
    </row>
    <row r="320" spans="1:7" x14ac:dyDescent="0.3">
      <c r="A320" t="s">
        <v>1959</v>
      </c>
      <c r="B320" t="s">
        <v>1960</v>
      </c>
      <c r="C320" t="s">
        <v>1877</v>
      </c>
      <c r="D320">
        <v>0</v>
      </c>
      <c r="E320">
        <v>1</v>
      </c>
      <c r="F320" s="1">
        <v>45679</v>
      </c>
      <c r="G320">
        <f>_xlfn.XLOOKUP(F320,'Wk no''s'!B:B,'Wk no''s'!C:C,0)</f>
        <v>4</v>
      </c>
    </row>
    <row r="321" spans="1:7" x14ac:dyDescent="0.3">
      <c r="A321" t="s">
        <v>1961</v>
      </c>
      <c r="B321" t="s">
        <v>1962</v>
      </c>
      <c r="C321" t="s">
        <v>1619</v>
      </c>
      <c r="D321">
        <v>4</v>
      </c>
      <c r="E321">
        <v>0</v>
      </c>
      <c r="F321" s="1">
        <v>45679</v>
      </c>
      <c r="G321">
        <f>_xlfn.XLOOKUP(F321,'Wk no''s'!B:B,'Wk no''s'!C:C,0)</f>
        <v>4</v>
      </c>
    </row>
    <row r="322" spans="1:7" x14ac:dyDescent="0.3">
      <c r="A322" t="s">
        <v>1963</v>
      </c>
      <c r="B322" t="s">
        <v>1964</v>
      </c>
      <c r="C322" t="s">
        <v>725</v>
      </c>
      <c r="D322">
        <v>5</v>
      </c>
      <c r="E322">
        <v>0</v>
      </c>
      <c r="F322" s="1">
        <v>45679</v>
      </c>
      <c r="G322">
        <f>_xlfn.XLOOKUP(F322,'Wk no''s'!B:B,'Wk no''s'!C:C,0)</f>
        <v>4</v>
      </c>
    </row>
    <row r="323" spans="1:7" x14ac:dyDescent="0.3">
      <c r="A323" t="s">
        <v>1965</v>
      </c>
      <c r="B323" t="s">
        <v>1966</v>
      </c>
      <c r="C323" t="s">
        <v>1967</v>
      </c>
      <c r="D323">
        <v>2</v>
      </c>
      <c r="E323">
        <v>0</v>
      </c>
      <c r="F323" s="1">
        <v>45679</v>
      </c>
      <c r="G323">
        <f>_xlfn.XLOOKUP(F323,'Wk no''s'!B:B,'Wk no''s'!C:C,0)</f>
        <v>4</v>
      </c>
    </row>
    <row r="324" spans="1:7" x14ac:dyDescent="0.3">
      <c r="A324" t="s">
        <v>1968</v>
      </c>
      <c r="B324" t="s">
        <v>1969</v>
      </c>
      <c r="C324" t="s">
        <v>1970</v>
      </c>
      <c r="D324">
        <v>4</v>
      </c>
      <c r="E324">
        <v>0</v>
      </c>
      <c r="F324" s="1">
        <v>45679</v>
      </c>
      <c r="G324">
        <f>_xlfn.XLOOKUP(F324,'Wk no''s'!B:B,'Wk no''s'!C:C,0)</f>
        <v>4</v>
      </c>
    </row>
    <row r="325" spans="1:7" x14ac:dyDescent="0.3">
      <c r="A325" t="s">
        <v>1971</v>
      </c>
      <c r="B325" t="s">
        <v>1972</v>
      </c>
      <c r="C325" t="s">
        <v>1194</v>
      </c>
      <c r="D325">
        <v>3</v>
      </c>
      <c r="E325">
        <v>0</v>
      </c>
      <c r="F325" s="1">
        <v>45680</v>
      </c>
      <c r="G325">
        <f>_xlfn.XLOOKUP(F325,'Wk no''s'!B:B,'Wk no''s'!C:C,0)</f>
        <v>4</v>
      </c>
    </row>
    <row r="326" spans="1:7" x14ac:dyDescent="0.3">
      <c r="A326" t="s">
        <v>1973</v>
      </c>
      <c r="B326" t="s">
        <v>1974</v>
      </c>
      <c r="C326" t="s">
        <v>1975</v>
      </c>
      <c r="D326">
        <v>5</v>
      </c>
      <c r="E326">
        <v>0</v>
      </c>
      <c r="F326" s="1">
        <v>45680</v>
      </c>
      <c r="G326">
        <f>_xlfn.XLOOKUP(F326,'Wk no''s'!B:B,'Wk no''s'!C:C,0)</f>
        <v>4</v>
      </c>
    </row>
    <row r="327" spans="1:7" x14ac:dyDescent="0.3">
      <c r="A327" t="s">
        <v>1976</v>
      </c>
      <c r="B327" t="s">
        <v>1977</v>
      </c>
      <c r="C327" t="s">
        <v>197</v>
      </c>
      <c r="D327">
        <v>25</v>
      </c>
      <c r="E327">
        <v>0</v>
      </c>
      <c r="F327" s="1">
        <v>45680</v>
      </c>
      <c r="G327">
        <f>_xlfn.XLOOKUP(F327,'Wk no''s'!B:B,'Wk no''s'!C:C,0)</f>
        <v>4</v>
      </c>
    </row>
    <row r="328" spans="1:7" x14ac:dyDescent="0.3">
      <c r="A328" t="s">
        <v>1978</v>
      </c>
      <c r="B328" t="s">
        <v>1979</v>
      </c>
      <c r="C328" t="s">
        <v>1481</v>
      </c>
      <c r="D328">
        <v>2</v>
      </c>
      <c r="E328">
        <v>0</v>
      </c>
      <c r="F328" s="1">
        <v>45680</v>
      </c>
      <c r="G328">
        <f>_xlfn.XLOOKUP(F328,'Wk no''s'!B:B,'Wk no''s'!C:C,0)</f>
        <v>4</v>
      </c>
    </row>
    <row r="329" spans="1:7" x14ac:dyDescent="0.3">
      <c r="A329" t="s">
        <v>1980</v>
      </c>
      <c r="B329" t="s">
        <v>1981</v>
      </c>
      <c r="C329" t="s">
        <v>1982</v>
      </c>
      <c r="D329">
        <v>1</v>
      </c>
      <c r="E329">
        <v>1</v>
      </c>
      <c r="F329" s="1">
        <v>45680</v>
      </c>
      <c r="G329">
        <f>_xlfn.XLOOKUP(F329,'Wk no''s'!B:B,'Wk no''s'!C:C,0)</f>
        <v>4</v>
      </c>
    </row>
    <row r="330" spans="1:7" x14ac:dyDescent="0.3">
      <c r="A330" t="s">
        <v>1983</v>
      </c>
      <c r="B330" t="s">
        <v>1984</v>
      </c>
      <c r="C330" t="s">
        <v>1985</v>
      </c>
      <c r="D330">
        <v>1</v>
      </c>
      <c r="E330">
        <v>1</v>
      </c>
      <c r="F330" s="1">
        <v>45680</v>
      </c>
      <c r="G330">
        <f>_xlfn.XLOOKUP(F330,'Wk no''s'!B:B,'Wk no''s'!C:C,0)</f>
        <v>4</v>
      </c>
    </row>
    <row r="331" spans="1:7" x14ac:dyDescent="0.3">
      <c r="A331" t="s">
        <v>1986</v>
      </c>
      <c r="B331" t="s">
        <v>1987</v>
      </c>
      <c r="C331" t="s">
        <v>1988</v>
      </c>
      <c r="D331">
        <v>2</v>
      </c>
      <c r="E331">
        <v>0</v>
      </c>
      <c r="F331" s="1">
        <v>45680</v>
      </c>
      <c r="G331">
        <f>_xlfn.XLOOKUP(F331,'Wk no''s'!B:B,'Wk no''s'!C:C,0)</f>
        <v>4</v>
      </c>
    </row>
    <row r="332" spans="1:7" x14ac:dyDescent="0.3">
      <c r="A332" t="s">
        <v>1989</v>
      </c>
      <c r="B332" t="s">
        <v>1990</v>
      </c>
      <c r="C332" t="s">
        <v>1639</v>
      </c>
      <c r="D332">
        <v>17</v>
      </c>
      <c r="E332">
        <v>0</v>
      </c>
      <c r="F332" s="1">
        <v>45680</v>
      </c>
      <c r="G332">
        <f>_xlfn.XLOOKUP(F332,'Wk no''s'!B:B,'Wk no''s'!C:C,0)</f>
        <v>4</v>
      </c>
    </row>
    <row r="333" spans="1:7" x14ac:dyDescent="0.3">
      <c r="A333" t="s">
        <v>1991</v>
      </c>
      <c r="B333" t="s">
        <v>1992</v>
      </c>
      <c r="C333" t="s">
        <v>197</v>
      </c>
      <c r="D333">
        <v>4</v>
      </c>
      <c r="E333">
        <v>0</v>
      </c>
      <c r="F333" s="1">
        <v>45681</v>
      </c>
      <c r="G333">
        <f>_xlfn.XLOOKUP(F333,'Wk no''s'!B:B,'Wk no''s'!C:C,0)</f>
        <v>4</v>
      </c>
    </row>
    <row r="334" spans="1:7" x14ac:dyDescent="0.3">
      <c r="A334" t="s">
        <v>1993</v>
      </c>
      <c r="B334" t="s">
        <v>1994</v>
      </c>
      <c r="C334" t="s">
        <v>1995</v>
      </c>
      <c r="D334">
        <v>4</v>
      </c>
      <c r="E334">
        <v>0</v>
      </c>
      <c r="F334" s="1">
        <v>45681</v>
      </c>
      <c r="G334">
        <f>_xlfn.XLOOKUP(F334,'Wk no''s'!B:B,'Wk no''s'!C:C,0)</f>
        <v>4</v>
      </c>
    </row>
    <row r="335" spans="1:7" x14ac:dyDescent="0.3">
      <c r="A335" t="s">
        <v>1996</v>
      </c>
      <c r="B335" t="s">
        <v>1997</v>
      </c>
      <c r="C335" t="s">
        <v>1998</v>
      </c>
      <c r="D335">
        <v>15</v>
      </c>
      <c r="E335">
        <v>0</v>
      </c>
      <c r="F335" s="1">
        <v>45681</v>
      </c>
      <c r="G335">
        <f>_xlfn.XLOOKUP(F335,'Wk no''s'!B:B,'Wk no''s'!C:C,0)</f>
        <v>4</v>
      </c>
    </row>
    <row r="336" spans="1:7" x14ac:dyDescent="0.3">
      <c r="A336" t="s">
        <v>1999</v>
      </c>
      <c r="B336" t="s">
        <v>2000</v>
      </c>
      <c r="C336" t="s">
        <v>2001</v>
      </c>
      <c r="D336">
        <v>5</v>
      </c>
      <c r="E336">
        <v>0</v>
      </c>
      <c r="F336" s="1">
        <v>45681</v>
      </c>
      <c r="G336">
        <f>_xlfn.XLOOKUP(F336,'Wk no''s'!B:B,'Wk no''s'!C:C,0)</f>
        <v>4</v>
      </c>
    </row>
    <row r="337" spans="1:7" x14ac:dyDescent="0.3">
      <c r="A337" t="s">
        <v>2002</v>
      </c>
      <c r="B337" t="s">
        <v>2003</v>
      </c>
      <c r="C337" t="s">
        <v>1100</v>
      </c>
      <c r="D337">
        <v>5</v>
      </c>
      <c r="E337">
        <v>0</v>
      </c>
      <c r="F337" s="1">
        <v>45681</v>
      </c>
      <c r="G337">
        <f>_xlfn.XLOOKUP(F337,'Wk no''s'!B:B,'Wk no''s'!C:C,0)</f>
        <v>4</v>
      </c>
    </row>
    <row r="338" spans="1:7" x14ac:dyDescent="0.3">
      <c r="A338" t="s">
        <v>2004</v>
      </c>
      <c r="B338" t="s">
        <v>2005</v>
      </c>
      <c r="C338" t="s">
        <v>1224</v>
      </c>
      <c r="D338">
        <v>7</v>
      </c>
      <c r="E338">
        <v>0</v>
      </c>
      <c r="F338" s="1">
        <v>45684</v>
      </c>
      <c r="G338">
        <f>_xlfn.XLOOKUP(F338,'Wk no''s'!B:B,'Wk no''s'!C:C,0)</f>
        <v>5</v>
      </c>
    </row>
    <row r="339" spans="1:7" x14ac:dyDescent="0.3">
      <c r="A339" t="s">
        <v>2006</v>
      </c>
      <c r="B339" t="s">
        <v>2007</v>
      </c>
      <c r="C339" t="s">
        <v>1224</v>
      </c>
      <c r="D339">
        <v>7</v>
      </c>
      <c r="E339">
        <v>0</v>
      </c>
      <c r="F339" s="1">
        <v>45684</v>
      </c>
      <c r="G339">
        <f>_xlfn.XLOOKUP(F339,'Wk no''s'!B:B,'Wk no''s'!C:C,0)</f>
        <v>5</v>
      </c>
    </row>
    <row r="340" spans="1:7" x14ac:dyDescent="0.3">
      <c r="A340" t="s">
        <v>2008</v>
      </c>
      <c r="B340" t="s">
        <v>2009</v>
      </c>
      <c r="C340" t="s">
        <v>2010</v>
      </c>
      <c r="D340">
        <v>2</v>
      </c>
      <c r="E340">
        <v>0</v>
      </c>
      <c r="F340" s="1">
        <v>45684</v>
      </c>
      <c r="G340">
        <f>_xlfn.XLOOKUP(F340,'Wk no''s'!B:B,'Wk no''s'!C:C,0)</f>
        <v>5</v>
      </c>
    </row>
    <row r="341" spans="1:7" x14ac:dyDescent="0.3">
      <c r="A341" t="s">
        <v>2011</v>
      </c>
      <c r="B341" t="s">
        <v>2012</v>
      </c>
      <c r="C341" t="s">
        <v>407</v>
      </c>
      <c r="D341">
        <v>1</v>
      </c>
      <c r="E341">
        <v>1</v>
      </c>
      <c r="F341" s="1">
        <v>45684</v>
      </c>
      <c r="G341">
        <f>_xlfn.XLOOKUP(F341,'Wk no''s'!B:B,'Wk no''s'!C:C,0)</f>
        <v>5</v>
      </c>
    </row>
    <row r="342" spans="1:7" x14ac:dyDescent="0.3">
      <c r="A342" t="s">
        <v>2013</v>
      </c>
      <c r="B342" t="s">
        <v>2014</v>
      </c>
      <c r="C342" t="s">
        <v>1371</v>
      </c>
      <c r="D342">
        <v>3</v>
      </c>
      <c r="E342">
        <v>0</v>
      </c>
      <c r="F342" s="1">
        <v>45684</v>
      </c>
      <c r="G342">
        <f>_xlfn.XLOOKUP(F342,'Wk no''s'!B:B,'Wk no''s'!C:C,0)</f>
        <v>5</v>
      </c>
    </row>
    <row r="343" spans="1:7" x14ac:dyDescent="0.3">
      <c r="A343" t="s">
        <v>2015</v>
      </c>
      <c r="B343" t="s">
        <v>2016</v>
      </c>
      <c r="C343" t="s">
        <v>411</v>
      </c>
      <c r="D343">
        <v>7</v>
      </c>
      <c r="E343">
        <v>0</v>
      </c>
      <c r="F343" s="1">
        <v>45684</v>
      </c>
      <c r="G343">
        <f>_xlfn.XLOOKUP(F343,'Wk no''s'!B:B,'Wk no''s'!C:C,0)</f>
        <v>5</v>
      </c>
    </row>
    <row r="344" spans="1:7" x14ac:dyDescent="0.3">
      <c r="A344" t="s">
        <v>2017</v>
      </c>
      <c r="B344" t="s">
        <v>2018</v>
      </c>
      <c r="C344" t="s">
        <v>550</v>
      </c>
      <c r="D344">
        <v>3</v>
      </c>
      <c r="E344">
        <v>0</v>
      </c>
      <c r="F344" s="1">
        <v>45684</v>
      </c>
      <c r="G344">
        <f>_xlfn.XLOOKUP(F344,'Wk no''s'!B:B,'Wk no''s'!C:C,0)</f>
        <v>5</v>
      </c>
    </row>
    <row r="345" spans="1:7" x14ac:dyDescent="0.3">
      <c r="A345" t="s">
        <v>2019</v>
      </c>
      <c r="B345" t="s">
        <v>2020</v>
      </c>
      <c r="C345" t="s">
        <v>2021</v>
      </c>
      <c r="D345">
        <v>1</v>
      </c>
      <c r="E345">
        <v>1</v>
      </c>
      <c r="F345" s="1">
        <v>45684</v>
      </c>
      <c r="G345">
        <f>_xlfn.XLOOKUP(F345,'Wk no''s'!B:B,'Wk no''s'!C:C,0)</f>
        <v>5</v>
      </c>
    </row>
    <row r="346" spans="1:7" x14ac:dyDescent="0.3">
      <c r="A346" t="s">
        <v>2022</v>
      </c>
      <c r="B346" t="s">
        <v>2023</v>
      </c>
      <c r="C346" t="s">
        <v>2024</v>
      </c>
      <c r="D346">
        <v>3</v>
      </c>
      <c r="E346">
        <v>0</v>
      </c>
      <c r="F346" s="1">
        <v>45684</v>
      </c>
      <c r="G346">
        <f>_xlfn.XLOOKUP(F346,'Wk no''s'!B:B,'Wk no''s'!C:C,0)</f>
        <v>5</v>
      </c>
    </row>
    <row r="347" spans="1:7" x14ac:dyDescent="0.3">
      <c r="A347" t="s">
        <v>2025</v>
      </c>
      <c r="B347" t="s">
        <v>2026</v>
      </c>
      <c r="C347" t="s">
        <v>1343</v>
      </c>
      <c r="D347">
        <v>1</v>
      </c>
      <c r="E347">
        <v>1</v>
      </c>
      <c r="F347" s="1">
        <v>45684</v>
      </c>
      <c r="G347">
        <f>_xlfn.XLOOKUP(F347,'Wk no''s'!B:B,'Wk no''s'!C:C,0)</f>
        <v>5</v>
      </c>
    </row>
    <row r="348" spans="1:7" x14ac:dyDescent="0.3">
      <c r="A348" t="s">
        <v>2027</v>
      </c>
      <c r="B348" t="s">
        <v>2028</v>
      </c>
      <c r="C348" t="s">
        <v>2029</v>
      </c>
      <c r="D348">
        <v>13</v>
      </c>
      <c r="E348">
        <v>0</v>
      </c>
      <c r="F348" s="1">
        <v>45685</v>
      </c>
      <c r="G348">
        <f>_xlfn.XLOOKUP(F348,'Wk no''s'!B:B,'Wk no''s'!C:C,0)</f>
        <v>5</v>
      </c>
    </row>
    <row r="349" spans="1:7" x14ac:dyDescent="0.3">
      <c r="A349" t="s">
        <v>2030</v>
      </c>
      <c r="B349" t="s">
        <v>2031</v>
      </c>
      <c r="C349" t="s">
        <v>473</v>
      </c>
      <c r="D349">
        <v>2</v>
      </c>
      <c r="E349">
        <v>0</v>
      </c>
      <c r="F349" s="1">
        <v>45685</v>
      </c>
      <c r="G349">
        <f>_xlfn.XLOOKUP(F349,'Wk no''s'!B:B,'Wk no''s'!C:C,0)</f>
        <v>5</v>
      </c>
    </row>
    <row r="350" spans="1:7" x14ac:dyDescent="0.3">
      <c r="A350" t="s">
        <v>2032</v>
      </c>
      <c r="B350" t="s">
        <v>2033</v>
      </c>
      <c r="C350" t="s">
        <v>2034</v>
      </c>
      <c r="D350">
        <v>0</v>
      </c>
      <c r="E350">
        <v>1</v>
      </c>
      <c r="F350" s="1">
        <v>45685</v>
      </c>
      <c r="G350">
        <f>_xlfn.XLOOKUP(F350,'Wk no''s'!B:B,'Wk no''s'!C:C,0)</f>
        <v>5</v>
      </c>
    </row>
    <row r="351" spans="1:7" x14ac:dyDescent="0.3">
      <c r="A351" t="s">
        <v>2035</v>
      </c>
      <c r="B351" t="s">
        <v>2036</v>
      </c>
      <c r="C351" t="s">
        <v>2037</v>
      </c>
      <c r="D351">
        <v>2</v>
      </c>
      <c r="E351">
        <v>0</v>
      </c>
      <c r="F351" s="1">
        <v>45685</v>
      </c>
      <c r="G351">
        <f>_xlfn.XLOOKUP(F351,'Wk no''s'!B:B,'Wk no''s'!C:C,0)</f>
        <v>5</v>
      </c>
    </row>
    <row r="352" spans="1:7" x14ac:dyDescent="0.3">
      <c r="A352" t="s">
        <v>2038</v>
      </c>
      <c r="B352" t="s">
        <v>2039</v>
      </c>
      <c r="C352" t="s">
        <v>1830</v>
      </c>
      <c r="D352">
        <v>3</v>
      </c>
      <c r="E352">
        <v>0</v>
      </c>
      <c r="F352" s="1">
        <v>45685</v>
      </c>
      <c r="G352">
        <f>_xlfn.XLOOKUP(F352,'Wk no''s'!B:B,'Wk no''s'!C:C,0)</f>
        <v>5</v>
      </c>
    </row>
    <row r="353" spans="1:7" x14ac:dyDescent="0.3">
      <c r="A353" t="s">
        <v>2040</v>
      </c>
      <c r="B353" t="s">
        <v>2041</v>
      </c>
      <c r="C353" t="s">
        <v>127</v>
      </c>
      <c r="D353">
        <v>5</v>
      </c>
      <c r="E353">
        <v>0</v>
      </c>
      <c r="F353" s="1">
        <v>45685</v>
      </c>
      <c r="G353">
        <f>_xlfn.XLOOKUP(F353,'Wk no''s'!B:B,'Wk no''s'!C:C,0)</f>
        <v>5</v>
      </c>
    </row>
    <row r="354" spans="1:7" x14ac:dyDescent="0.3">
      <c r="A354" t="s">
        <v>2042</v>
      </c>
      <c r="B354" t="s">
        <v>2043</v>
      </c>
      <c r="C354" t="s">
        <v>1337</v>
      </c>
      <c r="D354">
        <v>3</v>
      </c>
      <c r="E354">
        <v>0</v>
      </c>
      <c r="F354" s="1">
        <v>45685</v>
      </c>
      <c r="G354">
        <f>_xlfn.XLOOKUP(F354,'Wk no''s'!B:B,'Wk no''s'!C:C,0)</f>
        <v>5</v>
      </c>
    </row>
    <row r="355" spans="1:7" x14ac:dyDescent="0.3">
      <c r="A355" t="s">
        <v>2044</v>
      </c>
      <c r="B355" t="s">
        <v>2045</v>
      </c>
      <c r="C355" t="s">
        <v>353</v>
      </c>
      <c r="D355">
        <v>17</v>
      </c>
      <c r="E355">
        <v>0</v>
      </c>
      <c r="F355" s="1">
        <v>45685</v>
      </c>
      <c r="G355">
        <f>_xlfn.XLOOKUP(F355,'Wk no''s'!B:B,'Wk no''s'!C:C,0)</f>
        <v>5</v>
      </c>
    </row>
    <row r="356" spans="1:7" x14ac:dyDescent="0.3">
      <c r="A356" t="s">
        <v>2046</v>
      </c>
      <c r="B356" t="s">
        <v>2047</v>
      </c>
      <c r="C356" t="s">
        <v>1772</v>
      </c>
      <c r="D356">
        <v>2</v>
      </c>
      <c r="E356">
        <v>0</v>
      </c>
      <c r="F356" s="1">
        <v>45685</v>
      </c>
      <c r="G356">
        <f>_xlfn.XLOOKUP(F356,'Wk no''s'!B:B,'Wk no''s'!C:C,0)</f>
        <v>5</v>
      </c>
    </row>
    <row r="357" spans="1:7" x14ac:dyDescent="0.3">
      <c r="A357" t="s">
        <v>2048</v>
      </c>
      <c r="B357" t="s">
        <v>2049</v>
      </c>
      <c r="C357" t="s">
        <v>302</v>
      </c>
      <c r="D357">
        <v>1</v>
      </c>
      <c r="E357">
        <v>1</v>
      </c>
      <c r="F357" s="1">
        <v>45685</v>
      </c>
      <c r="G357">
        <f>_xlfn.XLOOKUP(F357,'Wk no''s'!B:B,'Wk no''s'!C:C,0)</f>
        <v>5</v>
      </c>
    </row>
    <row r="358" spans="1:7" x14ac:dyDescent="0.3">
      <c r="A358" t="s">
        <v>2050</v>
      </c>
      <c r="B358" t="s">
        <v>2051</v>
      </c>
      <c r="C358" t="s">
        <v>1877</v>
      </c>
      <c r="D358">
        <v>5</v>
      </c>
      <c r="E358">
        <v>0</v>
      </c>
      <c r="F358" s="1">
        <v>45686</v>
      </c>
      <c r="G358">
        <f>_xlfn.XLOOKUP(F358,'Wk no''s'!B:B,'Wk no''s'!C:C,0)</f>
        <v>5</v>
      </c>
    </row>
    <row r="359" spans="1:7" x14ac:dyDescent="0.3">
      <c r="A359" t="s">
        <v>2052</v>
      </c>
      <c r="B359" t="s">
        <v>2053</v>
      </c>
      <c r="C359" t="s">
        <v>2054</v>
      </c>
      <c r="D359">
        <v>15</v>
      </c>
      <c r="E359">
        <v>0</v>
      </c>
      <c r="F359" s="1">
        <v>45686</v>
      </c>
      <c r="G359">
        <f>_xlfn.XLOOKUP(F359,'Wk no''s'!B:B,'Wk no''s'!C:C,0)</f>
        <v>5</v>
      </c>
    </row>
    <row r="360" spans="1:7" x14ac:dyDescent="0.3">
      <c r="A360" t="s">
        <v>2055</v>
      </c>
      <c r="C360" t="s">
        <v>2056</v>
      </c>
      <c r="D360">
        <v>160</v>
      </c>
      <c r="E360">
        <v>0</v>
      </c>
      <c r="F360" s="1">
        <v>45686</v>
      </c>
      <c r="G360">
        <f>_xlfn.XLOOKUP(F360,'Wk no''s'!B:B,'Wk no''s'!C:C,0)</f>
        <v>5</v>
      </c>
    </row>
    <row r="361" spans="1:7" x14ac:dyDescent="0.3">
      <c r="A361" t="s">
        <v>2057</v>
      </c>
      <c r="B361" t="s">
        <v>2058</v>
      </c>
      <c r="C361" t="s">
        <v>2056</v>
      </c>
      <c r="D361">
        <v>5</v>
      </c>
      <c r="E361">
        <v>0</v>
      </c>
      <c r="F361" s="1">
        <v>45686</v>
      </c>
      <c r="G361">
        <f>_xlfn.XLOOKUP(F361,'Wk no''s'!B:B,'Wk no''s'!C:C,0)</f>
        <v>5</v>
      </c>
    </row>
    <row r="362" spans="1:7" x14ac:dyDescent="0.3">
      <c r="A362" t="s">
        <v>2059</v>
      </c>
      <c r="B362" t="s">
        <v>2060</v>
      </c>
      <c r="C362" t="s">
        <v>2061</v>
      </c>
      <c r="D362">
        <v>15</v>
      </c>
      <c r="E362">
        <v>0</v>
      </c>
      <c r="F362" s="1">
        <v>45686</v>
      </c>
      <c r="G362">
        <f>_xlfn.XLOOKUP(F362,'Wk no''s'!B:B,'Wk no''s'!C:C,0)</f>
        <v>5</v>
      </c>
    </row>
    <row r="363" spans="1:7" x14ac:dyDescent="0.3">
      <c r="A363" t="s">
        <v>2062</v>
      </c>
      <c r="B363" t="s">
        <v>2063</v>
      </c>
      <c r="C363" t="s">
        <v>39</v>
      </c>
      <c r="D363">
        <v>5</v>
      </c>
      <c r="E363">
        <v>0</v>
      </c>
      <c r="F363" s="1">
        <v>45686</v>
      </c>
      <c r="G363">
        <f>_xlfn.XLOOKUP(F363,'Wk no''s'!B:B,'Wk no''s'!C:C,0)</f>
        <v>5</v>
      </c>
    </row>
    <row r="364" spans="1:7" x14ac:dyDescent="0.3">
      <c r="A364" t="s">
        <v>2064</v>
      </c>
      <c r="B364" t="s">
        <v>2065</v>
      </c>
      <c r="C364" t="s">
        <v>2066</v>
      </c>
      <c r="D364">
        <v>5</v>
      </c>
      <c r="E364">
        <v>0</v>
      </c>
      <c r="F364" s="1">
        <v>45686</v>
      </c>
      <c r="G364">
        <f>_xlfn.XLOOKUP(F364,'Wk no''s'!B:B,'Wk no''s'!C:C,0)</f>
        <v>5</v>
      </c>
    </row>
    <row r="365" spans="1:7" x14ac:dyDescent="0.3">
      <c r="A365" t="s">
        <v>2067</v>
      </c>
      <c r="B365" t="s">
        <v>2068</v>
      </c>
      <c r="C365" t="s">
        <v>2069</v>
      </c>
      <c r="D365">
        <v>5</v>
      </c>
      <c r="E365">
        <v>0</v>
      </c>
      <c r="F365" s="1">
        <v>45686</v>
      </c>
      <c r="G365">
        <f>_xlfn.XLOOKUP(F365,'Wk no''s'!B:B,'Wk no''s'!C:C,0)</f>
        <v>5</v>
      </c>
    </row>
    <row r="366" spans="1:7" x14ac:dyDescent="0.3">
      <c r="A366" t="s">
        <v>2070</v>
      </c>
      <c r="B366" t="s">
        <v>2071</v>
      </c>
      <c r="C366" t="s">
        <v>443</v>
      </c>
      <c r="D366">
        <v>10</v>
      </c>
      <c r="E366">
        <v>0</v>
      </c>
      <c r="F366" s="1">
        <v>45686</v>
      </c>
      <c r="G366">
        <f>_xlfn.XLOOKUP(F366,'Wk no''s'!B:B,'Wk no''s'!C:C,0)</f>
        <v>5</v>
      </c>
    </row>
    <row r="367" spans="1:7" x14ac:dyDescent="0.3">
      <c r="A367" t="s">
        <v>2072</v>
      </c>
      <c r="B367" t="s">
        <v>2073</v>
      </c>
      <c r="C367" t="s">
        <v>372</v>
      </c>
      <c r="D367">
        <v>1</v>
      </c>
      <c r="E367">
        <v>1</v>
      </c>
      <c r="F367" s="1">
        <v>45687</v>
      </c>
      <c r="G367">
        <f>_xlfn.XLOOKUP(F367,'Wk no''s'!B:B,'Wk no''s'!C:C,0)</f>
        <v>5</v>
      </c>
    </row>
    <row r="368" spans="1:7" x14ac:dyDescent="0.3">
      <c r="A368" t="s">
        <v>2074</v>
      </c>
      <c r="B368" t="s">
        <v>2075</v>
      </c>
      <c r="C368" t="s">
        <v>1194</v>
      </c>
      <c r="D368">
        <v>0</v>
      </c>
      <c r="E368">
        <v>1</v>
      </c>
      <c r="F368" s="1">
        <v>45687</v>
      </c>
      <c r="G368">
        <f>_xlfn.XLOOKUP(F368,'Wk no''s'!B:B,'Wk no''s'!C:C,0)</f>
        <v>5</v>
      </c>
    </row>
    <row r="369" spans="1:7" x14ac:dyDescent="0.3">
      <c r="A369" t="s">
        <v>2076</v>
      </c>
      <c r="B369" t="s">
        <v>2077</v>
      </c>
      <c r="C369" t="s">
        <v>197</v>
      </c>
      <c r="D369">
        <v>3</v>
      </c>
      <c r="E369">
        <v>0</v>
      </c>
      <c r="F369" s="1">
        <v>45687</v>
      </c>
      <c r="G369">
        <f>_xlfn.XLOOKUP(F369,'Wk no''s'!B:B,'Wk no''s'!C:C,0)</f>
        <v>5</v>
      </c>
    </row>
    <row r="370" spans="1:7" x14ac:dyDescent="0.3">
      <c r="A370" t="s">
        <v>2078</v>
      </c>
      <c r="B370" t="s">
        <v>2079</v>
      </c>
      <c r="C370" t="s">
        <v>2080</v>
      </c>
      <c r="D370">
        <v>2</v>
      </c>
      <c r="E370">
        <v>0</v>
      </c>
      <c r="F370" s="1">
        <v>45687</v>
      </c>
      <c r="G370">
        <f>_xlfn.XLOOKUP(F370,'Wk no''s'!B:B,'Wk no''s'!C:C,0)</f>
        <v>5</v>
      </c>
    </row>
    <row r="371" spans="1:7" x14ac:dyDescent="0.3">
      <c r="A371" t="s">
        <v>2081</v>
      </c>
      <c r="B371" t="s">
        <v>2082</v>
      </c>
      <c r="C371" t="s">
        <v>2083</v>
      </c>
      <c r="D371">
        <v>3</v>
      </c>
      <c r="E371">
        <v>0</v>
      </c>
      <c r="F371" s="1">
        <v>45687</v>
      </c>
      <c r="G371">
        <f>_xlfn.XLOOKUP(F371,'Wk no''s'!B:B,'Wk no''s'!C:C,0)</f>
        <v>5</v>
      </c>
    </row>
    <row r="372" spans="1:7" x14ac:dyDescent="0.3">
      <c r="A372" t="s">
        <v>2084</v>
      </c>
      <c r="B372" t="s">
        <v>2085</v>
      </c>
      <c r="C372" t="s">
        <v>75</v>
      </c>
      <c r="D372">
        <v>0</v>
      </c>
      <c r="E372">
        <v>1</v>
      </c>
      <c r="F372" s="1">
        <v>45687</v>
      </c>
      <c r="G372">
        <f>_xlfn.XLOOKUP(F372,'Wk no''s'!B:B,'Wk no''s'!C:C,0)</f>
        <v>5</v>
      </c>
    </row>
    <row r="373" spans="1:7" x14ac:dyDescent="0.3">
      <c r="A373" t="s">
        <v>2086</v>
      </c>
      <c r="B373" t="s">
        <v>2087</v>
      </c>
      <c r="C373" t="s">
        <v>2088</v>
      </c>
      <c r="D373">
        <v>3</v>
      </c>
      <c r="E373">
        <v>0</v>
      </c>
      <c r="F373" s="1">
        <v>45687</v>
      </c>
      <c r="G373">
        <f>_xlfn.XLOOKUP(F373,'Wk no''s'!B:B,'Wk no''s'!C:C,0)</f>
        <v>5</v>
      </c>
    </row>
    <row r="374" spans="1:7" x14ac:dyDescent="0.3">
      <c r="A374" t="s">
        <v>2089</v>
      </c>
      <c r="B374" t="s">
        <v>2090</v>
      </c>
      <c r="C374" t="s">
        <v>2091</v>
      </c>
      <c r="D374">
        <v>4</v>
      </c>
      <c r="E374">
        <v>0</v>
      </c>
      <c r="F374" s="1">
        <v>45687</v>
      </c>
      <c r="G374">
        <f>_xlfn.XLOOKUP(F374,'Wk no''s'!B:B,'Wk no''s'!C:C,0)</f>
        <v>5</v>
      </c>
    </row>
    <row r="375" spans="1:7" x14ac:dyDescent="0.3">
      <c r="A375" t="s">
        <v>2092</v>
      </c>
      <c r="B375" t="s">
        <v>2093</v>
      </c>
      <c r="C375" t="s">
        <v>2094</v>
      </c>
      <c r="D375">
        <v>4</v>
      </c>
      <c r="E375">
        <v>0</v>
      </c>
      <c r="F375" s="1">
        <v>45688</v>
      </c>
      <c r="G375">
        <f>_xlfn.XLOOKUP(F375,'Wk no''s'!B:B,'Wk no''s'!C:C,0)</f>
        <v>5</v>
      </c>
    </row>
    <row r="376" spans="1:7" x14ac:dyDescent="0.3">
      <c r="A376" t="s">
        <v>2095</v>
      </c>
      <c r="B376" t="s">
        <v>2096</v>
      </c>
      <c r="C376" t="s">
        <v>415</v>
      </c>
      <c r="D376">
        <v>1</v>
      </c>
      <c r="E376">
        <v>1</v>
      </c>
      <c r="F376" s="1">
        <v>45688</v>
      </c>
      <c r="G376">
        <f>_xlfn.XLOOKUP(F376,'Wk no''s'!B:B,'Wk no''s'!C:C,0)</f>
        <v>5</v>
      </c>
    </row>
    <row r="377" spans="1:7" x14ac:dyDescent="0.3">
      <c r="A377" t="s">
        <v>2097</v>
      </c>
      <c r="B377" t="s">
        <v>2098</v>
      </c>
      <c r="C377" t="s">
        <v>748</v>
      </c>
      <c r="D377">
        <v>0</v>
      </c>
      <c r="E377">
        <v>1</v>
      </c>
      <c r="F377" s="1">
        <v>45688</v>
      </c>
      <c r="G377">
        <f>_xlfn.XLOOKUP(F377,'Wk no''s'!B:B,'Wk no''s'!C:C,0)</f>
        <v>5</v>
      </c>
    </row>
    <row r="378" spans="1:7" x14ac:dyDescent="0.3">
      <c r="A378" t="s">
        <v>2099</v>
      </c>
      <c r="C378" t="s">
        <v>2100</v>
      </c>
      <c r="D378">
        <v>0</v>
      </c>
      <c r="E378">
        <v>1</v>
      </c>
      <c r="F378" s="1">
        <v>45688</v>
      </c>
      <c r="G378">
        <f>_xlfn.XLOOKUP(F378,'Wk no''s'!B:B,'Wk no''s'!C:C,0)</f>
        <v>5</v>
      </c>
    </row>
    <row r="379" spans="1:7" x14ac:dyDescent="0.3">
      <c r="A379" t="s">
        <v>2101</v>
      </c>
      <c r="B379" t="s">
        <v>2102</v>
      </c>
      <c r="C379" t="s">
        <v>576</v>
      </c>
      <c r="D379">
        <v>2</v>
      </c>
      <c r="E379">
        <v>0</v>
      </c>
      <c r="F379" s="1">
        <v>45688</v>
      </c>
      <c r="G379">
        <f>_xlfn.XLOOKUP(F379,'Wk no''s'!B:B,'Wk no''s'!C:C,0)</f>
        <v>5</v>
      </c>
    </row>
    <row r="380" spans="1:7" x14ac:dyDescent="0.3">
      <c r="A380" t="s">
        <v>2103</v>
      </c>
      <c r="B380" t="s">
        <v>2104</v>
      </c>
      <c r="C380" t="s">
        <v>75</v>
      </c>
      <c r="D380">
        <v>0</v>
      </c>
      <c r="E380">
        <v>1</v>
      </c>
      <c r="F380" s="1">
        <v>45688</v>
      </c>
      <c r="G380">
        <f>_xlfn.XLOOKUP(F380,'Wk no''s'!B:B,'Wk no''s'!C:C,0)</f>
        <v>5</v>
      </c>
    </row>
    <row r="381" spans="1:7" x14ac:dyDescent="0.3">
      <c r="A381" t="s">
        <v>2105</v>
      </c>
      <c r="B381" t="s">
        <v>2106</v>
      </c>
      <c r="C381" t="s">
        <v>2107</v>
      </c>
      <c r="D381">
        <v>0</v>
      </c>
      <c r="E381">
        <v>1</v>
      </c>
      <c r="F381" s="1">
        <v>45688</v>
      </c>
      <c r="G381">
        <f>_xlfn.XLOOKUP(F381,'Wk no''s'!B:B,'Wk no''s'!C:C,0)</f>
        <v>5</v>
      </c>
    </row>
    <row r="382" spans="1:7" x14ac:dyDescent="0.3">
      <c r="A382" t="s">
        <v>2108</v>
      </c>
      <c r="B382" t="s">
        <v>2109</v>
      </c>
      <c r="C382" t="s">
        <v>2110</v>
      </c>
      <c r="D382">
        <v>0</v>
      </c>
      <c r="E382">
        <v>1</v>
      </c>
      <c r="F382" s="1">
        <v>45688</v>
      </c>
      <c r="G382">
        <f>_xlfn.XLOOKUP(F382,'Wk no''s'!B:B,'Wk no''s'!C:C,0)</f>
        <v>5</v>
      </c>
    </row>
    <row r="383" spans="1:7" x14ac:dyDescent="0.3">
      <c r="A383" t="s">
        <v>2111</v>
      </c>
      <c r="B383" t="s">
        <v>2112</v>
      </c>
      <c r="C383" t="s">
        <v>1619</v>
      </c>
      <c r="D383">
        <v>0</v>
      </c>
      <c r="E383">
        <v>1</v>
      </c>
      <c r="F383" s="1">
        <v>45688</v>
      </c>
      <c r="G383">
        <f>_xlfn.XLOOKUP(F383,'Wk no''s'!B:B,'Wk no''s'!C:C,0)</f>
        <v>5</v>
      </c>
    </row>
    <row r="384" spans="1:7" x14ac:dyDescent="0.3">
      <c r="A384" t="s">
        <v>2113</v>
      </c>
      <c r="B384" t="s">
        <v>2114</v>
      </c>
      <c r="C384" t="s">
        <v>407</v>
      </c>
      <c r="D384">
        <v>3</v>
      </c>
      <c r="E384">
        <v>0</v>
      </c>
      <c r="F384" s="1">
        <v>45691</v>
      </c>
      <c r="G384">
        <f>_xlfn.XLOOKUP(F384,'Wk no''s'!B:B,'Wk no''s'!C:C,0)</f>
        <v>6</v>
      </c>
    </row>
    <row r="385" spans="1:7" x14ac:dyDescent="0.3">
      <c r="A385" t="s">
        <v>2115</v>
      </c>
      <c r="B385" t="s">
        <v>2116</v>
      </c>
      <c r="C385" t="s">
        <v>2117</v>
      </c>
      <c r="D385">
        <v>0</v>
      </c>
      <c r="E385">
        <v>1</v>
      </c>
      <c r="F385" s="1">
        <v>45691</v>
      </c>
      <c r="G385">
        <f>_xlfn.XLOOKUP(F385,'Wk no''s'!B:B,'Wk no''s'!C:C,0)</f>
        <v>6</v>
      </c>
    </row>
    <row r="386" spans="1:7" x14ac:dyDescent="0.3">
      <c r="A386" t="s">
        <v>2118</v>
      </c>
      <c r="B386" t="s">
        <v>2119</v>
      </c>
      <c r="C386" t="s">
        <v>2120</v>
      </c>
      <c r="D386">
        <v>0</v>
      </c>
      <c r="E386">
        <v>1</v>
      </c>
      <c r="F386" s="1">
        <v>45691</v>
      </c>
      <c r="G386">
        <f>_xlfn.XLOOKUP(F386,'Wk no''s'!B:B,'Wk no''s'!C:C,0)</f>
        <v>6</v>
      </c>
    </row>
    <row r="387" spans="1:7" x14ac:dyDescent="0.3">
      <c r="A387" t="s">
        <v>2121</v>
      </c>
      <c r="B387" t="s">
        <v>2122</v>
      </c>
      <c r="C387" t="s">
        <v>2123</v>
      </c>
      <c r="D387">
        <v>7</v>
      </c>
      <c r="E387">
        <v>0</v>
      </c>
      <c r="F387" s="1">
        <v>45691</v>
      </c>
      <c r="G387">
        <f>_xlfn.XLOOKUP(F387,'Wk no''s'!B:B,'Wk no''s'!C:C,0)</f>
        <v>6</v>
      </c>
    </row>
    <row r="388" spans="1:7" x14ac:dyDescent="0.3">
      <c r="A388" t="s">
        <v>2124</v>
      </c>
      <c r="B388" t="s">
        <v>2125</v>
      </c>
      <c r="C388" t="s">
        <v>6026</v>
      </c>
      <c r="D388">
        <v>2</v>
      </c>
      <c r="E388">
        <v>0</v>
      </c>
      <c r="F388" s="1">
        <v>45691</v>
      </c>
      <c r="G388">
        <f>_xlfn.XLOOKUP(F388,'Wk no''s'!B:B,'Wk no''s'!C:C,0)</f>
        <v>6</v>
      </c>
    </row>
    <row r="389" spans="1:7" x14ac:dyDescent="0.3">
      <c r="A389" t="s">
        <v>2126</v>
      </c>
      <c r="B389" t="s">
        <v>2127</v>
      </c>
      <c r="C389" t="s">
        <v>2128</v>
      </c>
      <c r="D389">
        <v>3</v>
      </c>
      <c r="E389">
        <v>0</v>
      </c>
      <c r="F389" s="1">
        <v>45691</v>
      </c>
      <c r="G389">
        <f>_xlfn.XLOOKUP(F389,'Wk no''s'!B:B,'Wk no''s'!C:C,0)</f>
        <v>6</v>
      </c>
    </row>
    <row r="390" spans="1:7" x14ac:dyDescent="0.3">
      <c r="A390" t="s">
        <v>2129</v>
      </c>
      <c r="B390" t="s">
        <v>2130</v>
      </c>
      <c r="C390" t="s">
        <v>2131</v>
      </c>
      <c r="D390">
        <v>1</v>
      </c>
      <c r="E390">
        <v>1</v>
      </c>
      <c r="F390" s="1">
        <v>45691</v>
      </c>
      <c r="G390">
        <f>_xlfn.XLOOKUP(F390,'Wk no''s'!B:B,'Wk no''s'!C:C,0)</f>
        <v>6</v>
      </c>
    </row>
    <row r="391" spans="1:7" x14ac:dyDescent="0.3">
      <c r="A391" t="s">
        <v>2132</v>
      </c>
      <c r="B391" t="s">
        <v>2133</v>
      </c>
      <c r="C391" t="s">
        <v>197</v>
      </c>
      <c r="D391">
        <v>0</v>
      </c>
      <c r="E391">
        <v>1</v>
      </c>
      <c r="F391" s="1">
        <v>45691</v>
      </c>
      <c r="G391">
        <f>_xlfn.XLOOKUP(F391,'Wk no''s'!B:B,'Wk no''s'!C:C,0)</f>
        <v>6</v>
      </c>
    </row>
    <row r="392" spans="1:7" x14ac:dyDescent="0.3">
      <c r="A392" t="s">
        <v>2134</v>
      </c>
      <c r="B392" t="s">
        <v>2135</v>
      </c>
      <c r="C392" t="s">
        <v>394</v>
      </c>
      <c r="D392">
        <v>7</v>
      </c>
      <c r="E392">
        <v>0</v>
      </c>
      <c r="F392" s="1">
        <v>45691</v>
      </c>
      <c r="G392">
        <f>_xlfn.XLOOKUP(F392,'Wk no''s'!B:B,'Wk no''s'!C:C,0)</f>
        <v>6</v>
      </c>
    </row>
    <row r="393" spans="1:7" x14ac:dyDescent="0.3">
      <c r="A393" t="s">
        <v>2136</v>
      </c>
      <c r="B393" t="s">
        <v>2137</v>
      </c>
      <c r="C393" t="s">
        <v>2138</v>
      </c>
      <c r="D393">
        <v>5</v>
      </c>
      <c r="E393">
        <v>0</v>
      </c>
      <c r="F393" s="1">
        <v>45691</v>
      </c>
      <c r="G393">
        <f>_xlfn.XLOOKUP(F393,'Wk no''s'!B:B,'Wk no''s'!C:C,0)</f>
        <v>6</v>
      </c>
    </row>
    <row r="394" spans="1:7" x14ac:dyDescent="0.3">
      <c r="A394" t="s">
        <v>2139</v>
      </c>
      <c r="B394" t="s">
        <v>2140</v>
      </c>
      <c r="C394" t="s">
        <v>2141</v>
      </c>
      <c r="D394">
        <v>2</v>
      </c>
      <c r="E394">
        <v>0</v>
      </c>
      <c r="F394" s="1">
        <v>45691</v>
      </c>
      <c r="G394">
        <f>_xlfn.XLOOKUP(F394,'Wk no''s'!B:B,'Wk no''s'!C:C,0)</f>
        <v>6</v>
      </c>
    </row>
    <row r="395" spans="1:7" x14ac:dyDescent="0.3">
      <c r="A395" t="s">
        <v>2142</v>
      </c>
      <c r="B395" t="s">
        <v>2143</v>
      </c>
      <c r="C395" t="s">
        <v>2144</v>
      </c>
      <c r="D395">
        <v>2</v>
      </c>
      <c r="E395">
        <v>0</v>
      </c>
      <c r="F395" s="1">
        <v>45691</v>
      </c>
      <c r="G395">
        <f>_xlfn.XLOOKUP(F395,'Wk no''s'!B:B,'Wk no''s'!C:C,0)</f>
        <v>6</v>
      </c>
    </row>
    <row r="396" spans="1:7" x14ac:dyDescent="0.3">
      <c r="A396" t="s">
        <v>2145</v>
      </c>
      <c r="B396" t="s">
        <v>2146</v>
      </c>
      <c r="C396" t="s">
        <v>2147</v>
      </c>
      <c r="D396">
        <v>9</v>
      </c>
      <c r="E396">
        <v>0</v>
      </c>
      <c r="F396" s="1">
        <v>45691</v>
      </c>
      <c r="G396">
        <f>_xlfn.XLOOKUP(F396,'Wk no''s'!B:B,'Wk no''s'!C:C,0)</f>
        <v>6</v>
      </c>
    </row>
    <row r="397" spans="1:7" x14ac:dyDescent="0.3">
      <c r="A397" t="s">
        <v>2148</v>
      </c>
      <c r="B397" t="s">
        <v>2149</v>
      </c>
      <c r="C397" t="s">
        <v>519</v>
      </c>
      <c r="D397">
        <v>10</v>
      </c>
      <c r="E397">
        <v>0</v>
      </c>
      <c r="F397" s="1">
        <v>45691</v>
      </c>
      <c r="G397">
        <f>_xlfn.XLOOKUP(F397,'Wk no''s'!B:B,'Wk no''s'!C:C,0)</f>
        <v>6</v>
      </c>
    </row>
    <row r="398" spans="1:7" x14ac:dyDescent="0.3">
      <c r="A398" t="s">
        <v>2150</v>
      </c>
      <c r="B398" t="s">
        <v>2151</v>
      </c>
      <c r="C398" t="s">
        <v>1368</v>
      </c>
      <c r="D398">
        <v>1</v>
      </c>
      <c r="E398">
        <v>1</v>
      </c>
      <c r="F398" s="1">
        <v>45691</v>
      </c>
      <c r="G398">
        <f>_xlfn.XLOOKUP(F398,'Wk no''s'!B:B,'Wk no''s'!C:C,0)</f>
        <v>6</v>
      </c>
    </row>
    <row r="399" spans="1:7" x14ac:dyDescent="0.3">
      <c r="A399" t="s">
        <v>2152</v>
      </c>
      <c r="B399" t="s">
        <v>2153</v>
      </c>
      <c r="C399" t="s">
        <v>2154</v>
      </c>
      <c r="D399">
        <v>0</v>
      </c>
      <c r="E399">
        <v>1</v>
      </c>
      <c r="F399" s="1">
        <v>45691</v>
      </c>
      <c r="G399">
        <f>_xlfn.XLOOKUP(F399,'Wk no''s'!B:B,'Wk no''s'!C:C,0)</f>
        <v>6</v>
      </c>
    </row>
    <row r="400" spans="1:7" x14ac:dyDescent="0.3">
      <c r="A400" t="s">
        <v>2155</v>
      </c>
      <c r="B400" t="s">
        <v>2156</v>
      </c>
      <c r="C400" t="s">
        <v>308</v>
      </c>
      <c r="D400">
        <v>1</v>
      </c>
      <c r="E400">
        <v>1</v>
      </c>
      <c r="F400" s="1">
        <v>45692</v>
      </c>
      <c r="G400">
        <f>_xlfn.XLOOKUP(F400,'Wk no''s'!B:B,'Wk no''s'!C:C,0)</f>
        <v>6</v>
      </c>
    </row>
    <row r="401" spans="1:7" x14ac:dyDescent="0.3">
      <c r="A401" t="s">
        <v>2157</v>
      </c>
      <c r="B401" t="s">
        <v>2158</v>
      </c>
      <c r="C401" t="s">
        <v>2159</v>
      </c>
      <c r="D401">
        <v>1</v>
      </c>
      <c r="E401">
        <v>1</v>
      </c>
      <c r="F401" s="1">
        <v>45692</v>
      </c>
      <c r="G401">
        <f>_xlfn.XLOOKUP(F401,'Wk no''s'!B:B,'Wk no''s'!C:C,0)</f>
        <v>6</v>
      </c>
    </row>
    <row r="402" spans="1:7" x14ac:dyDescent="0.3">
      <c r="A402" t="s">
        <v>2160</v>
      </c>
      <c r="B402" t="s">
        <v>2161</v>
      </c>
      <c r="C402" t="s">
        <v>1381</v>
      </c>
      <c r="D402">
        <v>0</v>
      </c>
      <c r="E402">
        <v>1</v>
      </c>
      <c r="F402" s="1">
        <v>45692</v>
      </c>
      <c r="G402">
        <f>_xlfn.XLOOKUP(F402,'Wk no''s'!B:B,'Wk no''s'!C:C,0)</f>
        <v>6</v>
      </c>
    </row>
    <row r="403" spans="1:7" x14ac:dyDescent="0.3">
      <c r="A403" t="s">
        <v>2162</v>
      </c>
      <c r="B403" t="s">
        <v>2163</v>
      </c>
      <c r="C403" t="s">
        <v>1889</v>
      </c>
      <c r="D403">
        <v>1</v>
      </c>
      <c r="E403">
        <v>1</v>
      </c>
      <c r="F403" s="1">
        <v>45692</v>
      </c>
      <c r="G403">
        <f>_xlfn.XLOOKUP(F403,'Wk no''s'!B:B,'Wk no''s'!C:C,0)</f>
        <v>6</v>
      </c>
    </row>
    <row r="404" spans="1:7" x14ac:dyDescent="0.3">
      <c r="A404" t="s">
        <v>2164</v>
      </c>
      <c r="B404" t="s">
        <v>2165</v>
      </c>
      <c r="C404" t="s">
        <v>2166</v>
      </c>
      <c r="D404">
        <v>0</v>
      </c>
      <c r="E404">
        <v>1</v>
      </c>
      <c r="F404" s="1">
        <v>45692</v>
      </c>
      <c r="G404">
        <f>_xlfn.XLOOKUP(F404,'Wk no''s'!B:B,'Wk no''s'!C:C,0)</f>
        <v>6</v>
      </c>
    </row>
    <row r="405" spans="1:7" x14ac:dyDescent="0.3">
      <c r="A405" t="s">
        <v>2167</v>
      </c>
      <c r="B405" t="s">
        <v>2168</v>
      </c>
      <c r="C405" t="s">
        <v>2169</v>
      </c>
      <c r="D405">
        <v>0</v>
      </c>
      <c r="E405">
        <v>1</v>
      </c>
      <c r="F405" s="1">
        <v>45692</v>
      </c>
      <c r="G405">
        <f>_xlfn.XLOOKUP(F405,'Wk no''s'!B:B,'Wk no''s'!C:C,0)</f>
        <v>6</v>
      </c>
    </row>
    <row r="406" spans="1:7" x14ac:dyDescent="0.3">
      <c r="A406" t="s">
        <v>2170</v>
      </c>
      <c r="B406" t="s">
        <v>2171</v>
      </c>
      <c r="C406" t="s">
        <v>2172</v>
      </c>
      <c r="D406">
        <v>1</v>
      </c>
      <c r="E406">
        <v>1</v>
      </c>
      <c r="F406" s="1">
        <v>45692</v>
      </c>
      <c r="G406">
        <f>_xlfn.XLOOKUP(F406,'Wk no''s'!B:B,'Wk no''s'!C:C,0)</f>
        <v>6</v>
      </c>
    </row>
    <row r="407" spans="1:7" x14ac:dyDescent="0.3">
      <c r="A407" t="s">
        <v>2173</v>
      </c>
      <c r="B407" t="s">
        <v>2174</v>
      </c>
      <c r="C407" t="s">
        <v>2175</v>
      </c>
      <c r="D407">
        <v>11</v>
      </c>
      <c r="E407">
        <v>0</v>
      </c>
      <c r="F407" s="1">
        <v>45692</v>
      </c>
      <c r="G407">
        <f>_xlfn.XLOOKUP(F407,'Wk no''s'!B:B,'Wk no''s'!C:C,0)</f>
        <v>6</v>
      </c>
    </row>
    <row r="408" spans="1:7" x14ac:dyDescent="0.3">
      <c r="A408" t="s">
        <v>2176</v>
      </c>
      <c r="B408" t="s">
        <v>2177</v>
      </c>
      <c r="C408" t="s">
        <v>2178</v>
      </c>
      <c r="D408">
        <v>3</v>
      </c>
      <c r="E408">
        <v>0</v>
      </c>
      <c r="F408" s="1">
        <v>45692</v>
      </c>
      <c r="G408">
        <f>_xlfn.XLOOKUP(F408,'Wk no''s'!B:B,'Wk no''s'!C:C,0)</f>
        <v>6</v>
      </c>
    </row>
    <row r="409" spans="1:7" x14ac:dyDescent="0.3">
      <c r="A409" t="s">
        <v>2179</v>
      </c>
      <c r="B409" t="s">
        <v>2180</v>
      </c>
      <c r="C409" t="s">
        <v>2181</v>
      </c>
      <c r="D409">
        <v>0</v>
      </c>
      <c r="E409">
        <v>1</v>
      </c>
      <c r="F409" s="1">
        <v>45692</v>
      </c>
      <c r="G409">
        <f>_xlfn.XLOOKUP(F409,'Wk no''s'!B:B,'Wk no''s'!C:C,0)</f>
        <v>6</v>
      </c>
    </row>
    <row r="410" spans="1:7" x14ac:dyDescent="0.3">
      <c r="A410" t="s">
        <v>2182</v>
      </c>
      <c r="B410" t="s">
        <v>2183</v>
      </c>
      <c r="C410" t="s">
        <v>38</v>
      </c>
      <c r="D410">
        <v>1</v>
      </c>
      <c r="E410">
        <v>1</v>
      </c>
      <c r="F410" s="1">
        <v>45692</v>
      </c>
      <c r="G410">
        <f>_xlfn.XLOOKUP(F410,'Wk no''s'!B:B,'Wk no''s'!C:C,0)</f>
        <v>6</v>
      </c>
    </row>
    <row r="411" spans="1:7" x14ac:dyDescent="0.3">
      <c r="A411" t="s">
        <v>2184</v>
      </c>
      <c r="B411" t="s">
        <v>2185</v>
      </c>
      <c r="C411" t="s">
        <v>362</v>
      </c>
      <c r="D411">
        <v>4</v>
      </c>
      <c r="E411">
        <v>0</v>
      </c>
      <c r="F411" s="1">
        <v>45692</v>
      </c>
      <c r="G411">
        <f>_xlfn.XLOOKUP(F411,'Wk no''s'!B:B,'Wk no''s'!C:C,0)</f>
        <v>6</v>
      </c>
    </row>
    <row r="412" spans="1:7" x14ac:dyDescent="0.3">
      <c r="A412" t="s">
        <v>2186</v>
      </c>
      <c r="B412" t="s">
        <v>2187</v>
      </c>
      <c r="C412" t="s">
        <v>2188</v>
      </c>
      <c r="D412">
        <v>1</v>
      </c>
      <c r="E412">
        <v>1</v>
      </c>
      <c r="F412" s="1">
        <v>45692</v>
      </c>
      <c r="G412">
        <f>_xlfn.XLOOKUP(F412,'Wk no''s'!B:B,'Wk no''s'!C:C,0)</f>
        <v>6</v>
      </c>
    </row>
    <row r="413" spans="1:7" x14ac:dyDescent="0.3">
      <c r="A413" t="s">
        <v>2189</v>
      </c>
      <c r="B413" t="s">
        <v>2190</v>
      </c>
      <c r="C413" t="s">
        <v>2191</v>
      </c>
      <c r="D413">
        <v>11</v>
      </c>
      <c r="E413">
        <v>0</v>
      </c>
      <c r="F413" s="1">
        <v>45692</v>
      </c>
      <c r="G413">
        <f>_xlfn.XLOOKUP(F413,'Wk no''s'!B:B,'Wk no''s'!C:C,0)</f>
        <v>6</v>
      </c>
    </row>
    <row r="414" spans="1:7" x14ac:dyDescent="0.3">
      <c r="A414" t="s">
        <v>2192</v>
      </c>
      <c r="B414" t="s">
        <v>2193</v>
      </c>
      <c r="C414" t="s">
        <v>1652</v>
      </c>
      <c r="D414">
        <v>1</v>
      </c>
      <c r="E414">
        <v>1</v>
      </c>
      <c r="F414" s="1">
        <v>45692</v>
      </c>
      <c r="G414">
        <f>_xlfn.XLOOKUP(F414,'Wk no''s'!B:B,'Wk no''s'!C:C,0)</f>
        <v>6</v>
      </c>
    </row>
    <row r="415" spans="1:7" x14ac:dyDescent="0.3">
      <c r="A415" t="s">
        <v>2194</v>
      </c>
      <c r="B415" t="s">
        <v>2195</v>
      </c>
      <c r="C415" t="s">
        <v>1246</v>
      </c>
      <c r="D415">
        <v>11</v>
      </c>
      <c r="E415">
        <v>0</v>
      </c>
      <c r="F415" s="1">
        <v>45692</v>
      </c>
      <c r="G415">
        <f>_xlfn.XLOOKUP(F415,'Wk no''s'!B:B,'Wk no''s'!C:C,0)</f>
        <v>6</v>
      </c>
    </row>
    <row r="416" spans="1:7" x14ac:dyDescent="0.3">
      <c r="A416" t="s">
        <v>2196</v>
      </c>
      <c r="B416" t="s">
        <v>2197</v>
      </c>
      <c r="C416" t="s">
        <v>2198</v>
      </c>
      <c r="D416">
        <v>2</v>
      </c>
      <c r="E416">
        <v>0</v>
      </c>
      <c r="F416" s="1">
        <v>45692</v>
      </c>
      <c r="G416">
        <f>_xlfn.XLOOKUP(F416,'Wk no''s'!B:B,'Wk no''s'!C:C,0)</f>
        <v>6</v>
      </c>
    </row>
    <row r="417" spans="1:7" x14ac:dyDescent="0.3">
      <c r="A417" t="s">
        <v>2199</v>
      </c>
      <c r="B417" t="s">
        <v>2200</v>
      </c>
      <c r="C417" t="s">
        <v>2201</v>
      </c>
      <c r="D417">
        <v>0</v>
      </c>
      <c r="E417">
        <v>1</v>
      </c>
      <c r="F417" s="1">
        <v>45692</v>
      </c>
      <c r="G417">
        <f>_xlfn.XLOOKUP(F417,'Wk no''s'!B:B,'Wk no''s'!C:C,0)</f>
        <v>6</v>
      </c>
    </row>
    <row r="418" spans="1:7" x14ac:dyDescent="0.3">
      <c r="A418" t="s">
        <v>2202</v>
      </c>
      <c r="B418" t="s">
        <v>2203</v>
      </c>
      <c r="C418" t="s">
        <v>2204</v>
      </c>
      <c r="D418">
        <v>0</v>
      </c>
      <c r="E418">
        <v>1</v>
      </c>
      <c r="F418" s="1">
        <v>45692</v>
      </c>
      <c r="G418">
        <f>_xlfn.XLOOKUP(F418,'Wk no''s'!B:B,'Wk no''s'!C:C,0)</f>
        <v>6</v>
      </c>
    </row>
    <row r="419" spans="1:7" x14ac:dyDescent="0.3">
      <c r="A419" t="s">
        <v>2205</v>
      </c>
      <c r="B419" t="s">
        <v>2206</v>
      </c>
      <c r="C419" t="s">
        <v>197</v>
      </c>
      <c r="D419">
        <v>0</v>
      </c>
      <c r="E419">
        <v>1</v>
      </c>
      <c r="F419" s="1">
        <v>45693</v>
      </c>
      <c r="G419">
        <f>_xlfn.XLOOKUP(F419,'Wk no''s'!B:B,'Wk no''s'!C:C,0)</f>
        <v>6</v>
      </c>
    </row>
    <row r="420" spans="1:7" x14ac:dyDescent="0.3">
      <c r="A420" t="s">
        <v>2207</v>
      </c>
      <c r="B420" t="s">
        <v>2208</v>
      </c>
      <c r="C420" t="s">
        <v>33</v>
      </c>
      <c r="D420">
        <v>3</v>
      </c>
      <c r="E420">
        <v>0</v>
      </c>
      <c r="F420" s="1">
        <v>45693</v>
      </c>
      <c r="G420">
        <f>_xlfn.XLOOKUP(F420,'Wk no''s'!B:B,'Wk no''s'!C:C,0)</f>
        <v>6</v>
      </c>
    </row>
    <row r="421" spans="1:7" x14ac:dyDescent="0.3">
      <c r="A421" t="s">
        <v>2209</v>
      </c>
      <c r="B421" t="s">
        <v>2210</v>
      </c>
      <c r="C421" t="s">
        <v>573</v>
      </c>
      <c r="D421">
        <v>3</v>
      </c>
      <c r="E421">
        <v>0</v>
      </c>
      <c r="F421" s="1">
        <v>45693</v>
      </c>
      <c r="G421">
        <f>_xlfn.XLOOKUP(F421,'Wk no''s'!B:B,'Wk no''s'!C:C,0)</f>
        <v>6</v>
      </c>
    </row>
    <row r="422" spans="1:7" x14ac:dyDescent="0.3">
      <c r="A422" t="s">
        <v>2211</v>
      </c>
      <c r="B422" t="s">
        <v>2212</v>
      </c>
      <c r="C422" t="s">
        <v>447</v>
      </c>
      <c r="D422">
        <v>0</v>
      </c>
      <c r="E422">
        <v>1</v>
      </c>
      <c r="F422" s="1">
        <v>45693</v>
      </c>
      <c r="G422">
        <f>_xlfn.XLOOKUP(F422,'Wk no''s'!B:B,'Wk no''s'!C:C,0)</f>
        <v>6</v>
      </c>
    </row>
    <row r="423" spans="1:7" x14ac:dyDescent="0.3">
      <c r="A423" t="s">
        <v>2213</v>
      </c>
      <c r="B423" t="s">
        <v>2214</v>
      </c>
      <c r="C423" t="s">
        <v>5493</v>
      </c>
      <c r="D423">
        <v>0</v>
      </c>
      <c r="E423">
        <v>1</v>
      </c>
      <c r="F423" s="1">
        <v>45693</v>
      </c>
      <c r="G423">
        <f>_xlfn.XLOOKUP(F423,'Wk no''s'!B:B,'Wk no''s'!C:C,0)</f>
        <v>6</v>
      </c>
    </row>
    <row r="424" spans="1:7" x14ac:dyDescent="0.3">
      <c r="A424" t="s">
        <v>2215</v>
      </c>
      <c r="B424" t="s">
        <v>2216</v>
      </c>
      <c r="C424" t="s">
        <v>1251</v>
      </c>
      <c r="D424">
        <v>0</v>
      </c>
      <c r="E424">
        <v>1</v>
      </c>
      <c r="F424" s="1">
        <v>45693</v>
      </c>
      <c r="G424">
        <f>_xlfn.XLOOKUP(F424,'Wk no''s'!B:B,'Wk no''s'!C:C,0)</f>
        <v>6</v>
      </c>
    </row>
    <row r="425" spans="1:7" x14ac:dyDescent="0.3">
      <c r="A425" t="s">
        <v>2217</v>
      </c>
      <c r="B425" t="s">
        <v>2218</v>
      </c>
      <c r="C425" t="s">
        <v>2219</v>
      </c>
      <c r="D425">
        <v>10</v>
      </c>
      <c r="E425">
        <v>0</v>
      </c>
      <c r="F425" s="1">
        <v>45693</v>
      </c>
      <c r="G425">
        <f>_xlfn.XLOOKUP(F425,'Wk no''s'!B:B,'Wk no''s'!C:C,0)</f>
        <v>6</v>
      </c>
    </row>
    <row r="426" spans="1:7" x14ac:dyDescent="0.3">
      <c r="A426" t="s">
        <v>2220</v>
      </c>
      <c r="B426" t="s">
        <v>2221</v>
      </c>
      <c r="C426" t="s">
        <v>1527</v>
      </c>
      <c r="D426">
        <v>1</v>
      </c>
      <c r="E426">
        <v>1</v>
      </c>
      <c r="F426" s="1">
        <v>45694</v>
      </c>
      <c r="G426">
        <f>_xlfn.XLOOKUP(F426,'Wk no''s'!B:B,'Wk no''s'!C:C,0)</f>
        <v>6</v>
      </c>
    </row>
    <row r="427" spans="1:7" x14ac:dyDescent="0.3">
      <c r="A427" t="s">
        <v>2222</v>
      </c>
      <c r="B427" t="s">
        <v>2223</v>
      </c>
      <c r="C427" t="s">
        <v>228</v>
      </c>
      <c r="D427">
        <v>5</v>
      </c>
      <c r="E427">
        <v>0</v>
      </c>
      <c r="F427" s="1">
        <v>45694</v>
      </c>
      <c r="G427">
        <f>_xlfn.XLOOKUP(F427,'Wk no''s'!B:B,'Wk no''s'!C:C,0)</f>
        <v>6</v>
      </c>
    </row>
    <row r="428" spans="1:7" x14ac:dyDescent="0.3">
      <c r="A428" t="s">
        <v>2224</v>
      </c>
      <c r="B428" t="s">
        <v>2225</v>
      </c>
      <c r="C428" t="s">
        <v>599</v>
      </c>
      <c r="D428">
        <v>0</v>
      </c>
      <c r="E428">
        <v>1</v>
      </c>
      <c r="F428" s="1">
        <v>45694</v>
      </c>
      <c r="G428">
        <f>_xlfn.XLOOKUP(F428,'Wk no''s'!B:B,'Wk no''s'!C:C,0)</f>
        <v>6</v>
      </c>
    </row>
    <row r="429" spans="1:7" x14ac:dyDescent="0.3">
      <c r="A429" t="s">
        <v>2226</v>
      </c>
      <c r="B429" t="s">
        <v>2227</v>
      </c>
      <c r="C429" t="s">
        <v>2228</v>
      </c>
      <c r="D429">
        <v>0</v>
      </c>
      <c r="E429">
        <v>1</v>
      </c>
      <c r="F429" s="1">
        <v>45694</v>
      </c>
      <c r="G429">
        <f>_xlfn.XLOOKUP(F429,'Wk no''s'!B:B,'Wk no''s'!C:C,0)</f>
        <v>6</v>
      </c>
    </row>
    <row r="430" spans="1:7" x14ac:dyDescent="0.3">
      <c r="A430" t="s">
        <v>2229</v>
      </c>
      <c r="B430" t="s">
        <v>2230</v>
      </c>
      <c r="C430" t="s">
        <v>2231</v>
      </c>
      <c r="D430">
        <v>0</v>
      </c>
      <c r="E430">
        <v>1</v>
      </c>
      <c r="F430" s="1">
        <v>45695</v>
      </c>
      <c r="G430">
        <f>_xlfn.XLOOKUP(F430,'Wk no''s'!B:B,'Wk no''s'!C:C,0)</f>
        <v>6</v>
      </c>
    </row>
    <row r="431" spans="1:7" x14ac:dyDescent="0.3">
      <c r="A431" t="s">
        <v>2232</v>
      </c>
      <c r="B431" t="s">
        <v>2233</v>
      </c>
      <c r="C431" t="s">
        <v>69</v>
      </c>
      <c r="D431">
        <v>0</v>
      </c>
      <c r="E431">
        <v>1</v>
      </c>
      <c r="F431" s="1">
        <v>45695</v>
      </c>
      <c r="G431">
        <f>_xlfn.XLOOKUP(F431,'Wk no''s'!B:B,'Wk no''s'!C:C,0)</f>
        <v>6</v>
      </c>
    </row>
    <row r="432" spans="1:7" x14ac:dyDescent="0.3">
      <c r="A432" t="s">
        <v>2234</v>
      </c>
      <c r="B432" t="s">
        <v>2235</v>
      </c>
      <c r="C432" t="s">
        <v>2236</v>
      </c>
      <c r="D432">
        <v>0</v>
      </c>
      <c r="E432">
        <v>1</v>
      </c>
      <c r="F432" s="1">
        <v>45695</v>
      </c>
      <c r="G432">
        <f>_xlfn.XLOOKUP(F432,'Wk no''s'!B:B,'Wk no''s'!C:C,0)</f>
        <v>6</v>
      </c>
    </row>
    <row r="433" spans="1:7" x14ac:dyDescent="0.3">
      <c r="A433" t="s">
        <v>2237</v>
      </c>
      <c r="B433" t="s">
        <v>2238</v>
      </c>
      <c r="C433" t="s">
        <v>2239</v>
      </c>
      <c r="D433">
        <v>0</v>
      </c>
      <c r="E433">
        <v>1</v>
      </c>
      <c r="F433" s="1">
        <v>45695</v>
      </c>
      <c r="G433">
        <f>_xlfn.XLOOKUP(F433,'Wk no''s'!B:B,'Wk no''s'!C:C,0)</f>
        <v>6</v>
      </c>
    </row>
    <row r="434" spans="1:7" x14ac:dyDescent="0.3">
      <c r="A434" t="s">
        <v>2240</v>
      </c>
      <c r="B434" t="s">
        <v>2241</v>
      </c>
      <c r="C434" t="s">
        <v>2242</v>
      </c>
      <c r="D434">
        <v>18</v>
      </c>
      <c r="E434">
        <v>0</v>
      </c>
      <c r="F434" s="1">
        <v>45695</v>
      </c>
      <c r="G434">
        <f>_xlfn.XLOOKUP(F434,'Wk no''s'!B:B,'Wk no''s'!C:C,0)</f>
        <v>6</v>
      </c>
    </row>
    <row r="435" spans="1:7" x14ac:dyDescent="0.3">
      <c r="A435" t="s">
        <v>2243</v>
      </c>
      <c r="B435" t="s">
        <v>2244</v>
      </c>
      <c r="C435" t="s">
        <v>519</v>
      </c>
      <c r="D435">
        <v>0</v>
      </c>
      <c r="E435">
        <v>1</v>
      </c>
      <c r="F435" s="1">
        <v>45695</v>
      </c>
      <c r="G435">
        <f>_xlfn.XLOOKUP(F435,'Wk no''s'!B:B,'Wk no''s'!C:C,0)</f>
        <v>6</v>
      </c>
    </row>
    <row r="436" spans="1:7" x14ac:dyDescent="0.3">
      <c r="A436" t="s">
        <v>2245</v>
      </c>
      <c r="B436" t="s">
        <v>2246</v>
      </c>
      <c r="C436" t="s">
        <v>2247</v>
      </c>
      <c r="D436">
        <v>1</v>
      </c>
      <c r="E436">
        <v>1</v>
      </c>
      <c r="F436" s="1">
        <v>45695</v>
      </c>
      <c r="G436">
        <f>_xlfn.XLOOKUP(F436,'Wk no''s'!B:B,'Wk no''s'!C:C,0)</f>
        <v>6</v>
      </c>
    </row>
    <row r="437" spans="1:7" x14ac:dyDescent="0.3">
      <c r="A437" t="s">
        <v>2248</v>
      </c>
      <c r="B437" t="s">
        <v>2249</v>
      </c>
      <c r="C437" t="s">
        <v>362</v>
      </c>
      <c r="D437">
        <v>2</v>
      </c>
      <c r="E437">
        <v>0</v>
      </c>
      <c r="F437" s="1">
        <v>45695</v>
      </c>
      <c r="G437">
        <f>_xlfn.XLOOKUP(F437,'Wk no''s'!B:B,'Wk no''s'!C:C,0)</f>
        <v>6</v>
      </c>
    </row>
    <row r="438" spans="1:7" x14ac:dyDescent="0.3">
      <c r="A438" t="s">
        <v>2250</v>
      </c>
      <c r="B438" t="s">
        <v>2251</v>
      </c>
      <c r="C438" t="s">
        <v>1889</v>
      </c>
      <c r="D438">
        <v>5</v>
      </c>
      <c r="E438">
        <v>0</v>
      </c>
      <c r="F438" s="1">
        <v>45695</v>
      </c>
      <c r="G438">
        <f>_xlfn.XLOOKUP(F438,'Wk no''s'!B:B,'Wk no''s'!C:C,0)</f>
        <v>6</v>
      </c>
    </row>
    <row r="439" spans="1:7" x14ac:dyDescent="0.3">
      <c r="A439" t="s">
        <v>2252</v>
      </c>
      <c r="B439" t="s">
        <v>2253</v>
      </c>
      <c r="C439" t="s">
        <v>220</v>
      </c>
      <c r="D439">
        <v>11</v>
      </c>
      <c r="E439">
        <v>0</v>
      </c>
      <c r="F439" s="1">
        <v>45695</v>
      </c>
      <c r="G439">
        <f>_xlfn.XLOOKUP(F439,'Wk no''s'!B:B,'Wk no''s'!C:C,0)</f>
        <v>6</v>
      </c>
    </row>
    <row r="440" spans="1:7" x14ac:dyDescent="0.3">
      <c r="A440" t="s">
        <v>2254</v>
      </c>
      <c r="B440" t="s">
        <v>2255</v>
      </c>
      <c r="C440" t="s">
        <v>2256</v>
      </c>
      <c r="D440">
        <v>7</v>
      </c>
      <c r="E440">
        <v>0</v>
      </c>
      <c r="F440" s="1">
        <v>45695</v>
      </c>
      <c r="G440">
        <f>_xlfn.XLOOKUP(F440,'Wk no''s'!B:B,'Wk no''s'!C:C,0)</f>
        <v>6</v>
      </c>
    </row>
    <row r="441" spans="1:7" x14ac:dyDescent="0.3">
      <c r="A441" t="s">
        <v>2257</v>
      </c>
      <c r="B441" t="s">
        <v>2258</v>
      </c>
      <c r="C441" t="s">
        <v>2259</v>
      </c>
      <c r="D441">
        <v>0</v>
      </c>
      <c r="E441">
        <v>1</v>
      </c>
      <c r="F441" s="1">
        <v>45698</v>
      </c>
      <c r="G441">
        <f>_xlfn.XLOOKUP(F441,'Wk no''s'!B:B,'Wk no''s'!C:C,0)</f>
        <v>7</v>
      </c>
    </row>
    <row r="442" spans="1:7" x14ac:dyDescent="0.3">
      <c r="A442" t="s">
        <v>2260</v>
      </c>
      <c r="B442" t="s">
        <v>2261</v>
      </c>
      <c r="C442" t="s">
        <v>1421</v>
      </c>
      <c r="D442">
        <v>1</v>
      </c>
      <c r="E442">
        <v>1</v>
      </c>
      <c r="F442" s="1">
        <v>45698</v>
      </c>
      <c r="G442">
        <f>_xlfn.XLOOKUP(F442,'Wk no''s'!B:B,'Wk no''s'!C:C,0)</f>
        <v>7</v>
      </c>
    </row>
    <row r="443" spans="1:7" x14ac:dyDescent="0.3">
      <c r="A443" t="s">
        <v>2262</v>
      </c>
      <c r="B443" t="s">
        <v>2263</v>
      </c>
      <c r="C443" t="s">
        <v>2264</v>
      </c>
      <c r="D443">
        <v>0</v>
      </c>
      <c r="E443">
        <v>1</v>
      </c>
      <c r="F443" s="1">
        <v>45698</v>
      </c>
      <c r="G443">
        <f>_xlfn.XLOOKUP(F443,'Wk no''s'!B:B,'Wk no''s'!C:C,0)</f>
        <v>7</v>
      </c>
    </row>
    <row r="444" spans="1:7" x14ac:dyDescent="0.3">
      <c r="A444" t="s">
        <v>2265</v>
      </c>
      <c r="B444" t="s">
        <v>2266</v>
      </c>
      <c r="C444" t="s">
        <v>2267</v>
      </c>
      <c r="D444">
        <v>13</v>
      </c>
      <c r="E444">
        <v>0</v>
      </c>
      <c r="F444" s="1">
        <v>45698</v>
      </c>
      <c r="G444">
        <f>_xlfn.XLOOKUP(F444,'Wk no''s'!B:B,'Wk no''s'!C:C,0)</f>
        <v>7</v>
      </c>
    </row>
    <row r="445" spans="1:7" x14ac:dyDescent="0.3">
      <c r="A445" t="s">
        <v>2268</v>
      </c>
      <c r="B445" t="s">
        <v>2269</v>
      </c>
      <c r="C445" t="s">
        <v>2270</v>
      </c>
      <c r="D445">
        <v>0</v>
      </c>
      <c r="E445">
        <v>1</v>
      </c>
      <c r="F445" s="1">
        <v>45698</v>
      </c>
      <c r="G445">
        <f>_xlfn.XLOOKUP(F445,'Wk no''s'!B:B,'Wk no''s'!C:C,0)</f>
        <v>7</v>
      </c>
    </row>
    <row r="446" spans="1:7" x14ac:dyDescent="0.3">
      <c r="A446" t="s">
        <v>2271</v>
      </c>
      <c r="B446" t="s">
        <v>2272</v>
      </c>
      <c r="C446" t="s">
        <v>2273</v>
      </c>
      <c r="D446">
        <v>1</v>
      </c>
      <c r="E446">
        <v>1</v>
      </c>
      <c r="F446" s="1">
        <v>45698</v>
      </c>
      <c r="G446">
        <f>_xlfn.XLOOKUP(F446,'Wk no''s'!B:B,'Wk no''s'!C:C,0)</f>
        <v>7</v>
      </c>
    </row>
    <row r="447" spans="1:7" x14ac:dyDescent="0.3">
      <c r="A447" t="s">
        <v>2274</v>
      </c>
      <c r="B447" t="s">
        <v>2275</v>
      </c>
      <c r="C447" t="s">
        <v>2276</v>
      </c>
      <c r="D447">
        <v>10</v>
      </c>
      <c r="E447">
        <v>0</v>
      </c>
      <c r="F447" s="1">
        <v>45698</v>
      </c>
      <c r="G447">
        <f>_xlfn.XLOOKUP(F447,'Wk no''s'!B:B,'Wk no''s'!C:C,0)</f>
        <v>7</v>
      </c>
    </row>
    <row r="448" spans="1:7" x14ac:dyDescent="0.3">
      <c r="A448" t="s">
        <v>2277</v>
      </c>
      <c r="B448" t="s">
        <v>2278</v>
      </c>
      <c r="C448" t="s">
        <v>2279</v>
      </c>
      <c r="D448">
        <v>0</v>
      </c>
      <c r="E448">
        <v>1</v>
      </c>
      <c r="F448" s="1">
        <v>45698</v>
      </c>
      <c r="G448">
        <f>_xlfn.XLOOKUP(F448,'Wk no''s'!B:B,'Wk no''s'!C:C,0)</f>
        <v>7</v>
      </c>
    </row>
    <row r="449" spans="1:7" x14ac:dyDescent="0.3">
      <c r="A449" t="s">
        <v>2280</v>
      </c>
      <c r="B449" t="s">
        <v>2281</v>
      </c>
      <c r="C449" t="s">
        <v>2279</v>
      </c>
      <c r="D449">
        <v>13</v>
      </c>
      <c r="E449">
        <v>0</v>
      </c>
      <c r="F449" s="1">
        <v>45698</v>
      </c>
      <c r="G449">
        <f>_xlfn.XLOOKUP(F449,'Wk no''s'!B:B,'Wk no''s'!C:C,0)</f>
        <v>7</v>
      </c>
    </row>
    <row r="450" spans="1:7" x14ac:dyDescent="0.3">
      <c r="A450" t="s">
        <v>2282</v>
      </c>
      <c r="B450" t="s">
        <v>2283</v>
      </c>
      <c r="C450" t="s">
        <v>1218</v>
      </c>
      <c r="D450">
        <v>1</v>
      </c>
      <c r="E450">
        <v>1</v>
      </c>
      <c r="F450" s="1">
        <v>45698</v>
      </c>
      <c r="G450">
        <f>_xlfn.XLOOKUP(F450,'Wk no''s'!B:B,'Wk no''s'!C:C,0)</f>
        <v>7</v>
      </c>
    </row>
    <row r="451" spans="1:7" x14ac:dyDescent="0.3">
      <c r="A451" t="s">
        <v>2284</v>
      </c>
      <c r="B451" t="s">
        <v>2285</v>
      </c>
      <c r="C451" t="s">
        <v>147</v>
      </c>
      <c r="D451">
        <v>0</v>
      </c>
      <c r="E451">
        <v>1</v>
      </c>
      <c r="F451" s="1">
        <v>45698</v>
      </c>
      <c r="G451">
        <f>_xlfn.XLOOKUP(F451,'Wk no''s'!B:B,'Wk no''s'!C:C,0)</f>
        <v>7</v>
      </c>
    </row>
    <row r="452" spans="1:7" x14ac:dyDescent="0.3">
      <c r="A452" t="s">
        <v>2286</v>
      </c>
      <c r="B452" t="s">
        <v>2287</v>
      </c>
      <c r="C452" t="s">
        <v>2288</v>
      </c>
      <c r="D452">
        <v>1</v>
      </c>
      <c r="E452">
        <v>1</v>
      </c>
      <c r="F452" s="1">
        <v>45698</v>
      </c>
      <c r="G452">
        <f>_xlfn.XLOOKUP(F452,'Wk no''s'!B:B,'Wk no''s'!C:C,0)</f>
        <v>7</v>
      </c>
    </row>
    <row r="453" spans="1:7" x14ac:dyDescent="0.3">
      <c r="A453" t="s">
        <v>2289</v>
      </c>
      <c r="B453" t="s">
        <v>2290</v>
      </c>
      <c r="C453" t="s">
        <v>2291</v>
      </c>
      <c r="D453">
        <v>3</v>
      </c>
      <c r="E453">
        <v>0</v>
      </c>
      <c r="F453" s="1">
        <v>45698</v>
      </c>
      <c r="G453">
        <f>_xlfn.XLOOKUP(F453,'Wk no''s'!B:B,'Wk no''s'!C:C,0)</f>
        <v>7</v>
      </c>
    </row>
    <row r="454" spans="1:7" x14ac:dyDescent="0.3">
      <c r="A454" t="s">
        <v>2292</v>
      </c>
      <c r="B454" t="s">
        <v>2293</v>
      </c>
      <c r="C454" t="s">
        <v>2294</v>
      </c>
      <c r="D454">
        <v>6</v>
      </c>
      <c r="E454">
        <v>0</v>
      </c>
      <c r="F454" s="1">
        <v>45699</v>
      </c>
      <c r="G454">
        <f>_xlfn.XLOOKUP(F454,'Wk no''s'!B:B,'Wk no''s'!C:C,0)</f>
        <v>7</v>
      </c>
    </row>
    <row r="455" spans="1:7" x14ac:dyDescent="0.3">
      <c r="A455" t="s">
        <v>2295</v>
      </c>
      <c r="B455" t="s">
        <v>2296</v>
      </c>
      <c r="C455" t="s">
        <v>29</v>
      </c>
      <c r="D455">
        <v>4</v>
      </c>
      <c r="E455">
        <v>0</v>
      </c>
      <c r="F455" s="1">
        <v>45699</v>
      </c>
      <c r="G455">
        <f>_xlfn.XLOOKUP(F455,'Wk no''s'!B:B,'Wk no''s'!C:C,0)</f>
        <v>7</v>
      </c>
    </row>
    <row r="456" spans="1:7" x14ac:dyDescent="0.3">
      <c r="A456" t="s">
        <v>2297</v>
      </c>
      <c r="B456" t="s">
        <v>2298</v>
      </c>
      <c r="C456" t="s">
        <v>1243</v>
      </c>
      <c r="D456">
        <v>0</v>
      </c>
      <c r="E456">
        <v>1</v>
      </c>
      <c r="F456" s="1">
        <v>45699</v>
      </c>
      <c r="G456">
        <f>_xlfn.XLOOKUP(F456,'Wk no''s'!B:B,'Wk no''s'!C:C,0)</f>
        <v>7</v>
      </c>
    </row>
    <row r="457" spans="1:7" x14ac:dyDescent="0.3">
      <c r="A457" t="s">
        <v>2299</v>
      </c>
      <c r="B457" t="s">
        <v>2300</v>
      </c>
      <c r="C457" t="s">
        <v>696</v>
      </c>
      <c r="D457">
        <v>0</v>
      </c>
      <c r="E457">
        <v>1</v>
      </c>
      <c r="F457" s="1">
        <v>45699</v>
      </c>
      <c r="G457">
        <f>_xlfn.XLOOKUP(F457,'Wk no''s'!B:B,'Wk no''s'!C:C,0)</f>
        <v>7</v>
      </c>
    </row>
    <row r="458" spans="1:7" x14ac:dyDescent="0.3">
      <c r="A458" t="s">
        <v>2301</v>
      </c>
      <c r="B458" t="s">
        <v>2300</v>
      </c>
      <c r="C458" t="s">
        <v>696</v>
      </c>
      <c r="D458">
        <v>0</v>
      </c>
      <c r="E458">
        <v>1</v>
      </c>
      <c r="F458" s="1">
        <v>45699</v>
      </c>
      <c r="G458">
        <f>_xlfn.XLOOKUP(F458,'Wk no''s'!B:B,'Wk no''s'!C:C,0)</f>
        <v>7</v>
      </c>
    </row>
    <row r="459" spans="1:7" x14ac:dyDescent="0.3">
      <c r="A459" t="s">
        <v>2302</v>
      </c>
      <c r="B459" t="s">
        <v>2300</v>
      </c>
      <c r="C459" t="s">
        <v>696</v>
      </c>
      <c r="D459">
        <v>0</v>
      </c>
      <c r="E459">
        <v>1</v>
      </c>
      <c r="F459" s="1">
        <v>45699</v>
      </c>
      <c r="G459">
        <f>_xlfn.XLOOKUP(F459,'Wk no''s'!B:B,'Wk no''s'!C:C,0)</f>
        <v>7</v>
      </c>
    </row>
    <row r="460" spans="1:7" x14ac:dyDescent="0.3">
      <c r="A460" t="s">
        <v>2303</v>
      </c>
      <c r="B460" t="s">
        <v>2300</v>
      </c>
      <c r="C460" t="s">
        <v>696</v>
      </c>
      <c r="D460">
        <v>0</v>
      </c>
      <c r="E460">
        <v>1</v>
      </c>
      <c r="F460" s="1">
        <v>45699</v>
      </c>
      <c r="G460">
        <f>_xlfn.XLOOKUP(F460,'Wk no''s'!B:B,'Wk no''s'!C:C,0)</f>
        <v>7</v>
      </c>
    </row>
    <row r="461" spans="1:7" x14ac:dyDescent="0.3">
      <c r="A461" t="s">
        <v>2304</v>
      </c>
      <c r="B461" t="s">
        <v>2305</v>
      </c>
      <c r="C461" t="s">
        <v>2306</v>
      </c>
      <c r="D461">
        <v>3</v>
      </c>
      <c r="E461">
        <v>0</v>
      </c>
      <c r="F461" s="1">
        <v>45699</v>
      </c>
      <c r="G461">
        <f>_xlfn.XLOOKUP(F461,'Wk no''s'!B:B,'Wk no''s'!C:C,0)</f>
        <v>7</v>
      </c>
    </row>
    <row r="462" spans="1:7" x14ac:dyDescent="0.3">
      <c r="A462" t="s">
        <v>2307</v>
      </c>
      <c r="B462" t="s">
        <v>2308</v>
      </c>
      <c r="C462" t="s">
        <v>2309</v>
      </c>
      <c r="D462">
        <v>0</v>
      </c>
      <c r="E462">
        <v>1</v>
      </c>
      <c r="F462" s="1">
        <v>45699</v>
      </c>
      <c r="G462">
        <f>_xlfn.XLOOKUP(F462,'Wk no''s'!B:B,'Wk no''s'!C:C,0)</f>
        <v>7</v>
      </c>
    </row>
    <row r="463" spans="1:7" x14ac:dyDescent="0.3">
      <c r="A463" t="s">
        <v>2310</v>
      </c>
      <c r="B463" t="s">
        <v>2311</v>
      </c>
      <c r="C463" t="s">
        <v>2147</v>
      </c>
      <c r="D463">
        <v>1</v>
      </c>
      <c r="E463">
        <v>1</v>
      </c>
      <c r="F463" s="1">
        <v>45699</v>
      </c>
      <c r="G463">
        <f>_xlfn.XLOOKUP(F463,'Wk no''s'!B:B,'Wk no''s'!C:C,0)</f>
        <v>7</v>
      </c>
    </row>
    <row r="464" spans="1:7" x14ac:dyDescent="0.3">
      <c r="A464" t="s">
        <v>2312</v>
      </c>
      <c r="B464" t="s">
        <v>2313</v>
      </c>
      <c r="C464" t="s">
        <v>1194</v>
      </c>
      <c r="D464">
        <v>0</v>
      </c>
      <c r="E464">
        <v>1</v>
      </c>
      <c r="F464" s="1">
        <v>45699</v>
      </c>
      <c r="G464">
        <f>_xlfn.XLOOKUP(F464,'Wk no''s'!B:B,'Wk no''s'!C:C,0)</f>
        <v>7</v>
      </c>
    </row>
    <row r="465" spans="1:7" x14ac:dyDescent="0.3">
      <c r="A465" t="s">
        <v>2314</v>
      </c>
      <c r="B465" t="s">
        <v>2315</v>
      </c>
      <c r="C465" t="s">
        <v>75</v>
      </c>
      <c r="D465">
        <v>0</v>
      </c>
      <c r="E465">
        <v>1</v>
      </c>
      <c r="F465" s="1">
        <v>45699</v>
      </c>
      <c r="G465">
        <f>_xlfn.XLOOKUP(F465,'Wk no''s'!B:B,'Wk no''s'!C:C,0)</f>
        <v>7</v>
      </c>
    </row>
    <row r="466" spans="1:7" x14ac:dyDescent="0.3">
      <c r="A466" t="s">
        <v>2316</v>
      </c>
      <c r="B466" t="s">
        <v>2317</v>
      </c>
      <c r="C466" t="s">
        <v>2318</v>
      </c>
      <c r="D466">
        <v>1</v>
      </c>
      <c r="E466">
        <v>1</v>
      </c>
      <c r="F466" s="1">
        <v>45700</v>
      </c>
      <c r="G466">
        <f>_xlfn.XLOOKUP(F466,'Wk no''s'!B:B,'Wk no''s'!C:C,0)</f>
        <v>7</v>
      </c>
    </row>
    <row r="467" spans="1:7" x14ac:dyDescent="0.3">
      <c r="A467" t="s">
        <v>2319</v>
      </c>
      <c r="B467" t="s">
        <v>2320</v>
      </c>
      <c r="C467" t="s">
        <v>33</v>
      </c>
      <c r="D467">
        <v>0</v>
      </c>
      <c r="E467">
        <v>1</v>
      </c>
      <c r="F467" s="1">
        <v>45700</v>
      </c>
      <c r="G467">
        <f>_xlfn.XLOOKUP(F467,'Wk no''s'!B:B,'Wk no''s'!C:C,0)</f>
        <v>7</v>
      </c>
    </row>
    <row r="468" spans="1:7" x14ac:dyDescent="0.3">
      <c r="A468" t="s">
        <v>2321</v>
      </c>
      <c r="B468" t="s">
        <v>2322</v>
      </c>
      <c r="C468" t="s">
        <v>362</v>
      </c>
      <c r="D468">
        <v>1</v>
      </c>
      <c r="E468">
        <v>1</v>
      </c>
      <c r="F468" s="1">
        <v>45700</v>
      </c>
      <c r="G468">
        <f>_xlfn.XLOOKUP(F468,'Wk no''s'!B:B,'Wk no''s'!C:C,0)</f>
        <v>7</v>
      </c>
    </row>
    <row r="469" spans="1:7" x14ac:dyDescent="0.3">
      <c r="A469" t="s">
        <v>2323</v>
      </c>
      <c r="B469" t="s">
        <v>2324</v>
      </c>
      <c r="C469" t="s">
        <v>197</v>
      </c>
      <c r="D469">
        <v>0</v>
      </c>
      <c r="E469">
        <v>1</v>
      </c>
      <c r="F469" s="1">
        <v>45700</v>
      </c>
      <c r="G469">
        <f>_xlfn.XLOOKUP(F469,'Wk no''s'!B:B,'Wk no''s'!C:C,0)</f>
        <v>7</v>
      </c>
    </row>
    <row r="470" spans="1:7" x14ac:dyDescent="0.3">
      <c r="A470" t="s">
        <v>2325</v>
      </c>
      <c r="C470" t="s">
        <v>1084</v>
      </c>
      <c r="D470">
        <v>0</v>
      </c>
      <c r="E470">
        <v>1</v>
      </c>
      <c r="F470" s="1">
        <v>45701</v>
      </c>
      <c r="G470">
        <f>_xlfn.XLOOKUP(F470,'Wk no''s'!B:B,'Wk no''s'!C:C,0)</f>
        <v>7</v>
      </c>
    </row>
    <row r="471" spans="1:7" x14ac:dyDescent="0.3">
      <c r="A471" t="s">
        <v>2326</v>
      </c>
      <c r="C471" t="s">
        <v>2327</v>
      </c>
      <c r="D471">
        <v>12</v>
      </c>
      <c r="E471">
        <v>0</v>
      </c>
      <c r="F471" s="1">
        <v>45701</v>
      </c>
      <c r="G471">
        <f>_xlfn.XLOOKUP(F471,'Wk no''s'!B:B,'Wk no''s'!C:C,0)</f>
        <v>7</v>
      </c>
    </row>
    <row r="472" spans="1:7" x14ac:dyDescent="0.3">
      <c r="A472" t="s">
        <v>2328</v>
      </c>
      <c r="B472" t="s">
        <v>2329</v>
      </c>
      <c r="C472" t="s">
        <v>2330</v>
      </c>
      <c r="D472">
        <v>2</v>
      </c>
      <c r="E472">
        <v>0</v>
      </c>
      <c r="F472" s="1">
        <v>45701</v>
      </c>
      <c r="G472">
        <f>_xlfn.XLOOKUP(F472,'Wk no''s'!B:B,'Wk no''s'!C:C,0)</f>
        <v>7</v>
      </c>
    </row>
    <row r="473" spans="1:7" x14ac:dyDescent="0.3">
      <c r="A473" t="s">
        <v>2331</v>
      </c>
      <c r="C473" t="s">
        <v>2327</v>
      </c>
      <c r="D473">
        <v>12</v>
      </c>
      <c r="E473">
        <v>0</v>
      </c>
      <c r="F473" s="1">
        <v>45701</v>
      </c>
      <c r="G473">
        <f>_xlfn.XLOOKUP(F473,'Wk no''s'!B:B,'Wk no''s'!C:C,0)</f>
        <v>7</v>
      </c>
    </row>
    <row r="474" spans="1:7" x14ac:dyDescent="0.3">
      <c r="A474" t="s">
        <v>2332</v>
      </c>
      <c r="C474" t="s">
        <v>438</v>
      </c>
      <c r="D474">
        <v>149</v>
      </c>
      <c r="E474">
        <v>0</v>
      </c>
      <c r="F474" s="1">
        <v>45701</v>
      </c>
      <c r="G474">
        <f>_xlfn.XLOOKUP(F474,'Wk no''s'!B:B,'Wk no''s'!C:C,0)</f>
        <v>7</v>
      </c>
    </row>
    <row r="475" spans="1:7" x14ac:dyDescent="0.3">
      <c r="A475" t="s">
        <v>2333</v>
      </c>
      <c r="B475" t="s">
        <v>2334</v>
      </c>
      <c r="C475" t="s">
        <v>1327</v>
      </c>
      <c r="D475">
        <v>0</v>
      </c>
      <c r="E475">
        <v>1</v>
      </c>
      <c r="F475" s="1">
        <v>45701</v>
      </c>
      <c r="G475">
        <f>_xlfn.XLOOKUP(F475,'Wk no''s'!B:B,'Wk no''s'!C:C,0)</f>
        <v>7</v>
      </c>
    </row>
    <row r="476" spans="1:7" x14ac:dyDescent="0.3">
      <c r="A476" t="s">
        <v>2335</v>
      </c>
      <c r="B476" t="s">
        <v>2336</v>
      </c>
      <c r="C476" t="s">
        <v>576</v>
      </c>
      <c r="D476">
        <v>0</v>
      </c>
      <c r="E476">
        <v>1</v>
      </c>
      <c r="F476" s="1">
        <v>45701</v>
      </c>
      <c r="G476">
        <f>_xlfn.XLOOKUP(F476,'Wk no''s'!B:B,'Wk no''s'!C:C,0)</f>
        <v>7</v>
      </c>
    </row>
    <row r="477" spans="1:7" x14ac:dyDescent="0.3">
      <c r="A477" t="s">
        <v>2337</v>
      </c>
      <c r="B477" t="s">
        <v>2338</v>
      </c>
      <c r="C477" t="s">
        <v>1639</v>
      </c>
      <c r="D477">
        <v>9</v>
      </c>
      <c r="E477">
        <v>0</v>
      </c>
      <c r="F477" s="1">
        <v>45701</v>
      </c>
      <c r="G477">
        <f>_xlfn.XLOOKUP(F477,'Wk no''s'!B:B,'Wk no''s'!C:C,0)</f>
        <v>7</v>
      </c>
    </row>
    <row r="478" spans="1:7" x14ac:dyDescent="0.3">
      <c r="A478" t="s">
        <v>2339</v>
      </c>
      <c r="B478" t="s">
        <v>2340</v>
      </c>
      <c r="C478" t="s">
        <v>2341</v>
      </c>
      <c r="D478">
        <v>8</v>
      </c>
      <c r="E478">
        <v>0</v>
      </c>
      <c r="F478" s="1">
        <v>45701</v>
      </c>
      <c r="G478">
        <f>_xlfn.XLOOKUP(F478,'Wk no''s'!B:B,'Wk no''s'!C:C,0)</f>
        <v>7</v>
      </c>
    </row>
    <row r="479" spans="1:7" x14ac:dyDescent="0.3">
      <c r="A479" t="s">
        <v>2342</v>
      </c>
      <c r="B479" t="s">
        <v>2343</v>
      </c>
      <c r="C479" t="s">
        <v>2344</v>
      </c>
      <c r="D479">
        <v>6</v>
      </c>
      <c r="E479">
        <v>0</v>
      </c>
      <c r="F479" s="1">
        <v>45701</v>
      </c>
      <c r="G479">
        <f>_xlfn.XLOOKUP(F479,'Wk no''s'!B:B,'Wk no''s'!C:C,0)</f>
        <v>7</v>
      </c>
    </row>
    <row r="480" spans="1:7" x14ac:dyDescent="0.3">
      <c r="A480" t="s">
        <v>2345</v>
      </c>
      <c r="B480" t="s">
        <v>2346</v>
      </c>
      <c r="C480" t="s">
        <v>36</v>
      </c>
      <c r="D480">
        <v>4</v>
      </c>
      <c r="E480">
        <v>0</v>
      </c>
      <c r="F480" s="1">
        <v>45701</v>
      </c>
      <c r="G480">
        <f>_xlfn.XLOOKUP(F480,'Wk no''s'!B:B,'Wk no''s'!C:C,0)</f>
        <v>7</v>
      </c>
    </row>
    <row r="481" spans="1:7" x14ac:dyDescent="0.3">
      <c r="A481" t="s">
        <v>2347</v>
      </c>
      <c r="B481" t="s">
        <v>2348</v>
      </c>
      <c r="C481" t="s">
        <v>1995</v>
      </c>
      <c r="D481">
        <v>0</v>
      </c>
      <c r="E481">
        <v>1</v>
      </c>
      <c r="F481" s="1">
        <v>45701</v>
      </c>
      <c r="G481">
        <f>_xlfn.XLOOKUP(F481,'Wk no''s'!B:B,'Wk no''s'!C:C,0)</f>
        <v>7</v>
      </c>
    </row>
    <row r="482" spans="1:7" x14ac:dyDescent="0.3">
      <c r="A482" t="s">
        <v>2349</v>
      </c>
      <c r="B482" t="s">
        <v>2350</v>
      </c>
      <c r="C482" t="s">
        <v>725</v>
      </c>
      <c r="D482">
        <v>2</v>
      </c>
      <c r="E482">
        <v>0</v>
      </c>
      <c r="F482" s="1">
        <v>45701</v>
      </c>
      <c r="G482">
        <f>_xlfn.XLOOKUP(F482,'Wk no''s'!B:B,'Wk no''s'!C:C,0)</f>
        <v>7</v>
      </c>
    </row>
    <row r="483" spans="1:7" x14ac:dyDescent="0.3">
      <c r="A483" t="s">
        <v>2351</v>
      </c>
      <c r="B483" t="s">
        <v>2352</v>
      </c>
      <c r="C483" t="s">
        <v>1269</v>
      </c>
      <c r="D483">
        <v>6</v>
      </c>
      <c r="E483">
        <v>0</v>
      </c>
      <c r="F483" s="1">
        <v>45702</v>
      </c>
      <c r="G483">
        <f>_xlfn.XLOOKUP(F483,'Wk no''s'!B:B,'Wk no''s'!C:C,0)</f>
        <v>7</v>
      </c>
    </row>
    <row r="484" spans="1:7" x14ac:dyDescent="0.3">
      <c r="A484" t="s">
        <v>2353</v>
      </c>
      <c r="B484" t="s">
        <v>2354</v>
      </c>
      <c r="C484" t="s">
        <v>2355</v>
      </c>
      <c r="D484">
        <v>1</v>
      </c>
      <c r="E484">
        <v>1</v>
      </c>
      <c r="F484" s="1">
        <v>45702</v>
      </c>
      <c r="G484">
        <f>_xlfn.XLOOKUP(F484,'Wk no''s'!B:B,'Wk no''s'!C:C,0)</f>
        <v>7</v>
      </c>
    </row>
    <row r="485" spans="1:7" x14ac:dyDescent="0.3">
      <c r="A485" t="s">
        <v>2356</v>
      </c>
      <c r="B485" t="s">
        <v>2357</v>
      </c>
      <c r="C485" t="s">
        <v>113</v>
      </c>
      <c r="D485">
        <v>0</v>
      </c>
      <c r="E485">
        <v>1</v>
      </c>
      <c r="F485" s="1">
        <v>45702</v>
      </c>
      <c r="G485">
        <f>_xlfn.XLOOKUP(F485,'Wk no''s'!B:B,'Wk no''s'!C:C,0)</f>
        <v>7</v>
      </c>
    </row>
    <row r="486" spans="1:7" x14ac:dyDescent="0.3">
      <c r="A486" t="s">
        <v>2358</v>
      </c>
      <c r="B486" t="s">
        <v>2359</v>
      </c>
      <c r="C486" t="s">
        <v>2360</v>
      </c>
      <c r="D486">
        <v>7</v>
      </c>
      <c r="E486">
        <v>0</v>
      </c>
      <c r="F486" s="1">
        <v>45702</v>
      </c>
      <c r="G486">
        <f>_xlfn.XLOOKUP(F486,'Wk no''s'!B:B,'Wk no''s'!C:C,0)</f>
        <v>7</v>
      </c>
    </row>
    <row r="487" spans="1:7" x14ac:dyDescent="0.3">
      <c r="A487" t="s">
        <v>2361</v>
      </c>
      <c r="B487" t="s">
        <v>2362</v>
      </c>
      <c r="C487" t="s">
        <v>1298</v>
      </c>
      <c r="D487">
        <v>9</v>
      </c>
      <c r="E487">
        <v>0</v>
      </c>
      <c r="F487" s="1">
        <v>45702</v>
      </c>
      <c r="G487">
        <f>_xlfn.XLOOKUP(F487,'Wk no''s'!B:B,'Wk no''s'!C:C,0)</f>
        <v>7</v>
      </c>
    </row>
    <row r="488" spans="1:7" x14ac:dyDescent="0.3">
      <c r="A488" t="s">
        <v>2363</v>
      </c>
      <c r="B488" t="s">
        <v>2364</v>
      </c>
      <c r="C488" t="s">
        <v>36</v>
      </c>
      <c r="D488">
        <v>0</v>
      </c>
      <c r="E488">
        <v>1</v>
      </c>
      <c r="F488" s="1">
        <v>45702</v>
      </c>
      <c r="G488">
        <f>_xlfn.XLOOKUP(F488,'Wk no''s'!B:B,'Wk no''s'!C:C,0)</f>
        <v>7</v>
      </c>
    </row>
    <row r="489" spans="1:7" x14ac:dyDescent="0.3">
      <c r="A489" t="s">
        <v>2365</v>
      </c>
      <c r="C489" t="s">
        <v>2327</v>
      </c>
      <c r="D489">
        <v>11</v>
      </c>
      <c r="E489">
        <v>0</v>
      </c>
      <c r="F489" s="1">
        <v>45702</v>
      </c>
      <c r="G489">
        <f>_xlfn.XLOOKUP(F489,'Wk no''s'!B:B,'Wk no''s'!C:C,0)</f>
        <v>7</v>
      </c>
    </row>
    <row r="490" spans="1:7" x14ac:dyDescent="0.3">
      <c r="A490" t="s">
        <v>2366</v>
      </c>
      <c r="B490" t="s">
        <v>2367</v>
      </c>
      <c r="C490" t="s">
        <v>2368</v>
      </c>
      <c r="D490">
        <v>1</v>
      </c>
      <c r="E490">
        <v>1</v>
      </c>
      <c r="F490" s="1">
        <v>45702</v>
      </c>
      <c r="G490">
        <f>_xlfn.XLOOKUP(F490,'Wk no''s'!B:B,'Wk no''s'!C:C,0)</f>
        <v>7</v>
      </c>
    </row>
    <row r="491" spans="1:7" x14ac:dyDescent="0.3">
      <c r="A491" t="s">
        <v>2369</v>
      </c>
      <c r="B491" t="s">
        <v>2370</v>
      </c>
      <c r="C491" t="s">
        <v>2371</v>
      </c>
      <c r="D491">
        <v>3</v>
      </c>
      <c r="E491">
        <v>0</v>
      </c>
      <c r="F491" s="1">
        <v>45702</v>
      </c>
      <c r="G491">
        <f>_xlfn.XLOOKUP(F491,'Wk no''s'!B:B,'Wk no''s'!C:C,0)</f>
        <v>7</v>
      </c>
    </row>
    <row r="492" spans="1:7" x14ac:dyDescent="0.3">
      <c r="A492" t="s">
        <v>2372</v>
      </c>
      <c r="B492" t="s">
        <v>2373</v>
      </c>
      <c r="C492" t="s">
        <v>64</v>
      </c>
      <c r="D492">
        <v>0</v>
      </c>
      <c r="E492">
        <v>1</v>
      </c>
      <c r="F492" s="1">
        <v>45705</v>
      </c>
      <c r="G492">
        <f>_xlfn.XLOOKUP(F492,'Wk no''s'!B:B,'Wk no''s'!C:C,0)</f>
        <v>8</v>
      </c>
    </row>
    <row r="493" spans="1:7" x14ac:dyDescent="0.3">
      <c r="A493" t="s">
        <v>2374</v>
      </c>
      <c r="B493" t="s">
        <v>2375</v>
      </c>
      <c r="C493" t="s">
        <v>2376</v>
      </c>
      <c r="D493">
        <v>2</v>
      </c>
      <c r="E493">
        <v>0</v>
      </c>
      <c r="F493" s="1">
        <v>45705</v>
      </c>
      <c r="G493">
        <f>_xlfn.XLOOKUP(F493,'Wk no''s'!B:B,'Wk no''s'!C:C,0)</f>
        <v>8</v>
      </c>
    </row>
    <row r="494" spans="1:7" x14ac:dyDescent="0.3">
      <c r="A494" t="s">
        <v>2377</v>
      </c>
      <c r="B494" t="s">
        <v>2378</v>
      </c>
      <c r="C494" t="s">
        <v>197</v>
      </c>
      <c r="D494">
        <v>0</v>
      </c>
      <c r="E494">
        <v>1</v>
      </c>
      <c r="F494" s="1">
        <v>45705</v>
      </c>
      <c r="G494">
        <f>_xlfn.XLOOKUP(F494,'Wk no''s'!B:B,'Wk no''s'!C:C,0)</f>
        <v>8</v>
      </c>
    </row>
    <row r="495" spans="1:7" x14ac:dyDescent="0.3">
      <c r="A495" t="s">
        <v>2379</v>
      </c>
      <c r="B495" t="s">
        <v>2380</v>
      </c>
      <c r="C495" t="s">
        <v>2381</v>
      </c>
      <c r="D495">
        <v>0</v>
      </c>
      <c r="E495">
        <v>1</v>
      </c>
      <c r="F495" s="1">
        <v>45705</v>
      </c>
      <c r="G495">
        <f>_xlfn.XLOOKUP(F495,'Wk no''s'!B:B,'Wk no''s'!C:C,0)</f>
        <v>8</v>
      </c>
    </row>
    <row r="496" spans="1:7" x14ac:dyDescent="0.3">
      <c r="A496" t="s">
        <v>2382</v>
      </c>
      <c r="B496" t="s">
        <v>2383</v>
      </c>
      <c r="C496" t="s">
        <v>372</v>
      </c>
      <c r="D496">
        <v>4</v>
      </c>
      <c r="E496">
        <v>0</v>
      </c>
      <c r="F496" s="1">
        <v>45705</v>
      </c>
      <c r="G496">
        <f>_xlfn.XLOOKUP(F496,'Wk no''s'!B:B,'Wk no''s'!C:C,0)</f>
        <v>8</v>
      </c>
    </row>
    <row r="497" spans="1:7" x14ac:dyDescent="0.3">
      <c r="A497" t="s">
        <v>2384</v>
      </c>
      <c r="B497" t="s">
        <v>2385</v>
      </c>
      <c r="C497" t="s">
        <v>666</v>
      </c>
      <c r="D497">
        <v>2</v>
      </c>
      <c r="E497">
        <v>0</v>
      </c>
      <c r="F497" s="1">
        <v>45705</v>
      </c>
      <c r="G497">
        <f>_xlfn.XLOOKUP(F497,'Wk no''s'!B:B,'Wk no''s'!C:C,0)</f>
        <v>8</v>
      </c>
    </row>
    <row r="498" spans="1:7" x14ac:dyDescent="0.3">
      <c r="A498" t="s">
        <v>2386</v>
      </c>
      <c r="B498" t="s">
        <v>2387</v>
      </c>
      <c r="C498" t="s">
        <v>353</v>
      </c>
      <c r="D498">
        <v>2</v>
      </c>
      <c r="E498">
        <v>0</v>
      </c>
      <c r="F498" s="1">
        <v>45705</v>
      </c>
      <c r="G498">
        <f>_xlfn.XLOOKUP(F498,'Wk no''s'!B:B,'Wk no''s'!C:C,0)</f>
        <v>8</v>
      </c>
    </row>
    <row r="499" spans="1:7" x14ac:dyDescent="0.3">
      <c r="A499" t="s">
        <v>2388</v>
      </c>
      <c r="B499" t="s">
        <v>2389</v>
      </c>
      <c r="C499" t="s">
        <v>147</v>
      </c>
      <c r="D499">
        <v>0</v>
      </c>
      <c r="E499">
        <v>1</v>
      </c>
      <c r="F499" s="1">
        <v>45705</v>
      </c>
      <c r="G499">
        <f>_xlfn.XLOOKUP(F499,'Wk no''s'!B:B,'Wk no''s'!C:C,0)</f>
        <v>8</v>
      </c>
    </row>
    <row r="500" spans="1:7" x14ac:dyDescent="0.3">
      <c r="A500" t="s">
        <v>2390</v>
      </c>
      <c r="B500" t="s">
        <v>2391</v>
      </c>
      <c r="C500" t="s">
        <v>1706</v>
      </c>
      <c r="D500">
        <v>1</v>
      </c>
      <c r="E500">
        <v>1</v>
      </c>
      <c r="F500" s="1">
        <v>45706</v>
      </c>
      <c r="G500">
        <f>_xlfn.XLOOKUP(F500,'Wk no''s'!B:B,'Wk no''s'!C:C,0)</f>
        <v>8</v>
      </c>
    </row>
    <row r="501" spans="1:7" x14ac:dyDescent="0.3">
      <c r="A501" t="s">
        <v>2392</v>
      </c>
      <c r="B501" t="s">
        <v>2393</v>
      </c>
      <c r="C501" t="s">
        <v>29</v>
      </c>
      <c r="D501">
        <v>0</v>
      </c>
      <c r="E501">
        <v>1</v>
      </c>
      <c r="F501" s="1">
        <v>45706</v>
      </c>
      <c r="G501">
        <f>_xlfn.XLOOKUP(F501,'Wk no''s'!B:B,'Wk no''s'!C:C,0)</f>
        <v>8</v>
      </c>
    </row>
    <row r="502" spans="1:7" x14ac:dyDescent="0.3">
      <c r="A502" t="s">
        <v>2394</v>
      </c>
      <c r="B502" t="s">
        <v>2395</v>
      </c>
      <c r="C502" t="s">
        <v>308</v>
      </c>
      <c r="D502">
        <v>1</v>
      </c>
      <c r="E502">
        <v>1</v>
      </c>
      <c r="F502" s="1">
        <v>45706</v>
      </c>
      <c r="G502">
        <f>_xlfn.XLOOKUP(F502,'Wk no''s'!B:B,'Wk no''s'!C:C,0)</f>
        <v>8</v>
      </c>
    </row>
    <row r="503" spans="1:7" x14ac:dyDescent="0.3">
      <c r="A503" t="s">
        <v>2396</v>
      </c>
      <c r="B503" t="s">
        <v>2397</v>
      </c>
      <c r="C503" t="s">
        <v>353</v>
      </c>
      <c r="D503">
        <v>0</v>
      </c>
      <c r="E503">
        <v>1</v>
      </c>
      <c r="F503" s="1">
        <v>45706</v>
      </c>
      <c r="G503">
        <f>_xlfn.XLOOKUP(F503,'Wk no''s'!B:B,'Wk no''s'!C:C,0)</f>
        <v>8</v>
      </c>
    </row>
    <row r="504" spans="1:7" x14ac:dyDescent="0.3">
      <c r="A504" t="s">
        <v>2398</v>
      </c>
      <c r="B504" t="s">
        <v>2399</v>
      </c>
      <c r="C504" t="s">
        <v>29</v>
      </c>
      <c r="D504">
        <v>0</v>
      </c>
      <c r="E504">
        <v>1</v>
      </c>
      <c r="F504" s="1">
        <v>45706</v>
      </c>
      <c r="G504">
        <f>_xlfn.XLOOKUP(F504,'Wk no''s'!B:B,'Wk no''s'!C:C,0)</f>
        <v>8</v>
      </c>
    </row>
    <row r="505" spans="1:7" x14ac:dyDescent="0.3">
      <c r="A505" t="s">
        <v>2400</v>
      </c>
      <c r="B505" t="s">
        <v>2401</v>
      </c>
      <c r="C505" t="s">
        <v>4127</v>
      </c>
      <c r="D505">
        <v>4</v>
      </c>
      <c r="E505">
        <v>0</v>
      </c>
      <c r="F505" s="1">
        <v>45706</v>
      </c>
      <c r="G505">
        <f>_xlfn.XLOOKUP(F505,'Wk no''s'!B:B,'Wk no''s'!C:C,0)</f>
        <v>8</v>
      </c>
    </row>
    <row r="506" spans="1:7" x14ac:dyDescent="0.3">
      <c r="A506" t="s">
        <v>2402</v>
      </c>
      <c r="B506" t="s">
        <v>2403</v>
      </c>
      <c r="C506" t="s">
        <v>1322</v>
      </c>
      <c r="D506">
        <v>1</v>
      </c>
      <c r="E506">
        <v>1</v>
      </c>
      <c r="F506" s="1">
        <v>45706</v>
      </c>
      <c r="G506">
        <f>_xlfn.XLOOKUP(F506,'Wk no''s'!B:B,'Wk no''s'!C:C,0)</f>
        <v>8</v>
      </c>
    </row>
    <row r="507" spans="1:7" x14ac:dyDescent="0.3">
      <c r="A507" t="s">
        <v>2404</v>
      </c>
      <c r="B507" t="s">
        <v>2405</v>
      </c>
      <c r="C507" t="s">
        <v>2406</v>
      </c>
      <c r="D507">
        <v>4</v>
      </c>
      <c r="E507">
        <v>0</v>
      </c>
      <c r="F507" s="1">
        <v>45706</v>
      </c>
      <c r="G507">
        <f>_xlfn.XLOOKUP(F507,'Wk no''s'!B:B,'Wk no''s'!C:C,0)</f>
        <v>8</v>
      </c>
    </row>
    <row r="508" spans="1:7" x14ac:dyDescent="0.3">
      <c r="A508" t="s">
        <v>2407</v>
      </c>
      <c r="B508" t="s">
        <v>2408</v>
      </c>
      <c r="C508" t="s">
        <v>30</v>
      </c>
      <c r="D508">
        <v>1</v>
      </c>
      <c r="E508">
        <v>1</v>
      </c>
      <c r="F508" s="1">
        <v>45707</v>
      </c>
      <c r="G508">
        <f>_xlfn.XLOOKUP(F508,'Wk no''s'!B:B,'Wk no''s'!C:C,0)</f>
        <v>8</v>
      </c>
    </row>
    <row r="509" spans="1:7" x14ac:dyDescent="0.3">
      <c r="A509" t="s">
        <v>2409</v>
      </c>
      <c r="B509" t="s">
        <v>2410</v>
      </c>
      <c r="C509" t="s">
        <v>33</v>
      </c>
      <c r="D509">
        <v>0</v>
      </c>
      <c r="E509">
        <v>1</v>
      </c>
      <c r="F509" s="1">
        <v>45707</v>
      </c>
      <c r="G509">
        <f>_xlfn.XLOOKUP(F509,'Wk no''s'!B:B,'Wk no''s'!C:C,0)</f>
        <v>8</v>
      </c>
    </row>
    <row r="510" spans="1:7" x14ac:dyDescent="0.3">
      <c r="A510" t="s">
        <v>2411</v>
      </c>
      <c r="B510" t="s">
        <v>2412</v>
      </c>
      <c r="C510" t="s">
        <v>33</v>
      </c>
      <c r="D510">
        <v>0</v>
      </c>
      <c r="E510">
        <v>1</v>
      </c>
      <c r="F510" s="1">
        <v>45707</v>
      </c>
      <c r="G510">
        <f>_xlfn.XLOOKUP(F510,'Wk no''s'!B:B,'Wk no''s'!C:C,0)</f>
        <v>8</v>
      </c>
    </row>
    <row r="511" spans="1:7" x14ac:dyDescent="0.3">
      <c r="A511" t="s">
        <v>2413</v>
      </c>
      <c r="B511" t="s">
        <v>2414</v>
      </c>
      <c r="C511" t="s">
        <v>33</v>
      </c>
      <c r="D511">
        <v>0</v>
      </c>
      <c r="E511">
        <v>1</v>
      </c>
      <c r="F511" s="1">
        <v>45707</v>
      </c>
      <c r="G511">
        <f>_xlfn.XLOOKUP(F511,'Wk no''s'!B:B,'Wk no''s'!C:C,0)</f>
        <v>8</v>
      </c>
    </row>
    <row r="512" spans="1:7" x14ac:dyDescent="0.3">
      <c r="A512" t="s">
        <v>2415</v>
      </c>
      <c r="B512" t="s">
        <v>2416</v>
      </c>
      <c r="C512" t="s">
        <v>473</v>
      </c>
      <c r="D512">
        <v>1</v>
      </c>
      <c r="E512">
        <v>1</v>
      </c>
      <c r="F512" s="1">
        <v>45707</v>
      </c>
      <c r="G512">
        <f>_xlfn.XLOOKUP(F512,'Wk no''s'!B:B,'Wk no''s'!C:C,0)</f>
        <v>8</v>
      </c>
    </row>
    <row r="513" spans="1:7" x14ac:dyDescent="0.3">
      <c r="A513" t="s">
        <v>2417</v>
      </c>
      <c r="B513" t="s">
        <v>2418</v>
      </c>
      <c r="C513" t="s">
        <v>366</v>
      </c>
      <c r="D513">
        <v>2</v>
      </c>
      <c r="E513">
        <v>0</v>
      </c>
      <c r="F513" s="1">
        <v>45708</v>
      </c>
      <c r="G513">
        <f>_xlfn.XLOOKUP(F513,'Wk no''s'!B:B,'Wk no''s'!C:C,0)</f>
        <v>8</v>
      </c>
    </row>
    <row r="514" spans="1:7" x14ac:dyDescent="0.3">
      <c r="A514" t="s">
        <v>2419</v>
      </c>
      <c r="B514" t="s">
        <v>2420</v>
      </c>
      <c r="C514" t="s">
        <v>2421</v>
      </c>
      <c r="D514">
        <v>0</v>
      </c>
      <c r="E514">
        <v>1</v>
      </c>
      <c r="F514" s="1">
        <v>45708</v>
      </c>
      <c r="G514">
        <f>_xlfn.XLOOKUP(F514,'Wk no''s'!B:B,'Wk no''s'!C:C,0)</f>
        <v>8</v>
      </c>
    </row>
    <row r="515" spans="1:7" x14ac:dyDescent="0.3">
      <c r="A515" t="s">
        <v>2422</v>
      </c>
      <c r="B515" t="s">
        <v>2423</v>
      </c>
      <c r="C515" t="s">
        <v>509</v>
      </c>
      <c r="D515">
        <v>3</v>
      </c>
      <c r="E515">
        <v>0</v>
      </c>
      <c r="F515" s="1">
        <v>45708</v>
      </c>
      <c r="G515">
        <f>_xlfn.XLOOKUP(F515,'Wk no''s'!B:B,'Wk no''s'!C:C,0)</f>
        <v>8</v>
      </c>
    </row>
    <row r="516" spans="1:7" x14ac:dyDescent="0.3">
      <c r="A516" t="s">
        <v>2424</v>
      </c>
      <c r="B516" t="s">
        <v>2425</v>
      </c>
      <c r="C516" t="s">
        <v>2426</v>
      </c>
      <c r="D516">
        <v>5</v>
      </c>
      <c r="E516">
        <v>0</v>
      </c>
      <c r="F516" s="1">
        <v>45708</v>
      </c>
      <c r="G516">
        <f>_xlfn.XLOOKUP(F516,'Wk no''s'!B:B,'Wk no''s'!C:C,0)</f>
        <v>8</v>
      </c>
    </row>
    <row r="517" spans="1:7" x14ac:dyDescent="0.3">
      <c r="A517" t="s">
        <v>2427</v>
      </c>
      <c r="B517" t="s">
        <v>2428</v>
      </c>
      <c r="C517" t="s">
        <v>2429</v>
      </c>
      <c r="D517">
        <v>0</v>
      </c>
      <c r="E517">
        <v>1</v>
      </c>
      <c r="F517" s="1">
        <v>45708</v>
      </c>
      <c r="G517">
        <f>_xlfn.XLOOKUP(F517,'Wk no''s'!B:B,'Wk no''s'!C:C,0)</f>
        <v>8</v>
      </c>
    </row>
    <row r="518" spans="1:7" x14ac:dyDescent="0.3">
      <c r="A518" t="s">
        <v>2430</v>
      </c>
      <c r="B518" t="s">
        <v>2431</v>
      </c>
      <c r="C518" t="s">
        <v>2432</v>
      </c>
      <c r="D518">
        <v>0</v>
      </c>
      <c r="E518">
        <v>1</v>
      </c>
      <c r="F518" s="1">
        <v>45708</v>
      </c>
      <c r="G518">
        <f>_xlfn.XLOOKUP(F518,'Wk no''s'!B:B,'Wk no''s'!C:C,0)</f>
        <v>8</v>
      </c>
    </row>
    <row r="519" spans="1:7" x14ac:dyDescent="0.3">
      <c r="A519" t="s">
        <v>2433</v>
      </c>
      <c r="B519" t="s">
        <v>2434</v>
      </c>
      <c r="C519" t="s">
        <v>254</v>
      </c>
      <c r="D519">
        <v>0</v>
      </c>
      <c r="E519">
        <v>1</v>
      </c>
      <c r="F519" s="1">
        <v>45708</v>
      </c>
      <c r="G519">
        <f>_xlfn.XLOOKUP(F519,'Wk no''s'!B:B,'Wk no''s'!C:C,0)</f>
        <v>8</v>
      </c>
    </row>
    <row r="520" spans="1:7" x14ac:dyDescent="0.3">
      <c r="A520" t="s">
        <v>2435</v>
      </c>
      <c r="B520" t="s">
        <v>2436</v>
      </c>
      <c r="C520" t="s">
        <v>2291</v>
      </c>
      <c r="D520">
        <v>3</v>
      </c>
      <c r="E520">
        <v>0</v>
      </c>
      <c r="F520" s="1">
        <v>45708</v>
      </c>
      <c r="G520">
        <f>_xlfn.XLOOKUP(F520,'Wk no''s'!B:B,'Wk no''s'!C:C,0)</f>
        <v>8</v>
      </c>
    </row>
    <row r="521" spans="1:7" x14ac:dyDescent="0.3">
      <c r="A521" t="s">
        <v>2437</v>
      </c>
      <c r="B521" t="s">
        <v>2438</v>
      </c>
      <c r="C521" t="s">
        <v>1728</v>
      </c>
      <c r="D521">
        <v>2</v>
      </c>
      <c r="E521">
        <v>0</v>
      </c>
      <c r="F521" s="1">
        <v>45708</v>
      </c>
      <c r="G521">
        <f>_xlfn.XLOOKUP(F521,'Wk no''s'!B:B,'Wk no''s'!C:C,0)</f>
        <v>8</v>
      </c>
    </row>
    <row r="522" spans="1:7" x14ac:dyDescent="0.3">
      <c r="A522" t="s">
        <v>2439</v>
      </c>
      <c r="B522" t="s">
        <v>2440</v>
      </c>
      <c r="C522" t="s">
        <v>1231</v>
      </c>
      <c r="D522">
        <v>2</v>
      </c>
      <c r="E522">
        <v>0</v>
      </c>
      <c r="F522" s="1">
        <v>45708</v>
      </c>
      <c r="G522">
        <f>_xlfn.XLOOKUP(F522,'Wk no''s'!B:B,'Wk no''s'!C:C,0)</f>
        <v>8</v>
      </c>
    </row>
    <row r="523" spans="1:7" x14ac:dyDescent="0.3">
      <c r="A523" t="s">
        <v>2441</v>
      </c>
      <c r="B523" t="s">
        <v>2442</v>
      </c>
      <c r="C523" t="s">
        <v>36</v>
      </c>
      <c r="D523">
        <v>0</v>
      </c>
      <c r="E523">
        <v>1</v>
      </c>
      <c r="F523" s="1">
        <v>45708</v>
      </c>
      <c r="G523">
        <f>_xlfn.XLOOKUP(F523,'Wk no''s'!B:B,'Wk no''s'!C:C,0)</f>
        <v>8</v>
      </c>
    </row>
    <row r="524" spans="1:7" x14ac:dyDescent="0.3">
      <c r="A524" t="s">
        <v>2443</v>
      </c>
      <c r="B524" t="s">
        <v>2444</v>
      </c>
      <c r="C524" t="s">
        <v>550</v>
      </c>
      <c r="D524">
        <v>3</v>
      </c>
      <c r="E524">
        <v>0</v>
      </c>
      <c r="F524" s="1">
        <v>45708</v>
      </c>
      <c r="G524">
        <f>_xlfn.XLOOKUP(F524,'Wk no''s'!B:B,'Wk no''s'!C:C,0)</f>
        <v>8</v>
      </c>
    </row>
    <row r="525" spans="1:7" x14ac:dyDescent="0.3">
      <c r="A525" t="s">
        <v>2445</v>
      </c>
      <c r="B525" t="s">
        <v>2446</v>
      </c>
      <c r="C525" t="s">
        <v>580</v>
      </c>
      <c r="D525">
        <v>0</v>
      </c>
      <c r="E525">
        <v>1</v>
      </c>
      <c r="F525" s="1">
        <v>45708</v>
      </c>
      <c r="G525">
        <f>_xlfn.XLOOKUP(F525,'Wk no''s'!B:B,'Wk no''s'!C:C,0)</f>
        <v>8</v>
      </c>
    </row>
    <row r="526" spans="1:7" x14ac:dyDescent="0.3">
      <c r="A526" t="s">
        <v>2447</v>
      </c>
      <c r="B526" t="s">
        <v>2448</v>
      </c>
      <c r="C526" t="s">
        <v>501</v>
      </c>
      <c r="D526">
        <v>4</v>
      </c>
      <c r="E526">
        <v>0</v>
      </c>
      <c r="F526" s="1">
        <v>45708</v>
      </c>
      <c r="G526">
        <f>_xlfn.XLOOKUP(F526,'Wk no''s'!B:B,'Wk no''s'!C:C,0)</f>
        <v>8</v>
      </c>
    </row>
    <row r="527" spans="1:7" x14ac:dyDescent="0.3">
      <c r="A527" t="s">
        <v>2449</v>
      </c>
      <c r="B527" t="s">
        <v>2450</v>
      </c>
      <c r="C527" t="s">
        <v>2451</v>
      </c>
      <c r="D527">
        <v>1</v>
      </c>
      <c r="E527">
        <v>1</v>
      </c>
      <c r="F527" s="1">
        <v>45709</v>
      </c>
      <c r="G527">
        <f>_xlfn.XLOOKUP(F527,'Wk no''s'!B:B,'Wk no''s'!C:C,0)</f>
        <v>8</v>
      </c>
    </row>
    <row r="528" spans="1:7" x14ac:dyDescent="0.3">
      <c r="A528" t="s">
        <v>2452</v>
      </c>
      <c r="B528" t="s">
        <v>2453</v>
      </c>
      <c r="C528" t="s">
        <v>2454</v>
      </c>
      <c r="D528">
        <v>1</v>
      </c>
      <c r="E528">
        <v>1</v>
      </c>
      <c r="F528" s="1">
        <v>45709</v>
      </c>
      <c r="G528">
        <f>_xlfn.XLOOKUP(F528,'Wk no''s'!B:B,'Wk no''s'!C:C,0)</f>
        <v>8</v>
      </c>
    </row>
    <row r="529" spans="1:7" x14ac:dyDescent="0.3">
      <c r="A529" t="s">
        <v>2455</v>
      </c>
      <c r="B529" t="s">
        <v>2456</v>
      </c>
      <c r="C529" t="s">
        <v>210</v>
      </c>
      <c r="D529">
        <v>0</v>
      </c>
      <c r="E529">
        <v>1</v>
      </c>
      <c r="F529" s="1">
        <v>45709</v>
      </c>
      <c r="G529">
        <f>_xlfn.XLOOKUP(F529,'Wk no''s'!B:B,'Wk no''s'!C:C,0)</f>
        <v>8</v>
      </c>
    </row>
    <row r="530" spans="1:7" x14ac:dyDescent="0.3">
      <c r="A530" t="s">
        <v>2457</v>
      </c>
      <c r="B530" t="s">
        <v>2458</v>
      </c>
      <c r="C530" t="s">
        <v>2</v>
      </c>
      <c r="D530">
        <v>2</v>
      </c>
      <c r="E530">
        <v>0</v>
      </c>
      <c r="F530" s="1">
        <v>45709</v>
      </c>
      <c r="G530">
        <f>_xlfn.XLOOKUP(F530,'Wk no''s'!B:B,'Wk no''s'!C:C,0)</f>
        <v>8</v>
      </c>
    </row>
    <row r="531" spans="1:7" x14ac:dyDescent="0.3">
      <c r="A531" t="s">
        <v>2459</v>
      </c>
      <c r="B531" t="s">
        <v>2460</v>
      </c>
      <c r="C531" t="s">
        <v>327</v>
      </c>
      <c r="D531">
        <v>0</v>
      </c>
      <c r="E531">
        <v>1</v>
      </c>
      <c r="F531" s="1">
        <v>45709</v>
      </c>
      <c r="G531">
        <f>_xlfn.XLOOKUP(F531,'Wk no''s'!B:B,'Wk no''s'!C:C,0)</f>
        <v>8</v>
      </c>
    </row>
    <row r="532" spans="1:7" x14ac:dyDescent="0.3">
      <c r="A532" t="s">
        <v>2461</v>
      </c>
      <c r="B532" t="s">
        <v>2462</v>
      </c>
      <c r="C532" t="s">
        <v>4894</v>
      </c>
      <c r="D532">
        <v>1</v>
      </c>
      <c r="E532">
        <v>1</v>
      </c>
      <c r="F532" s="1">
        <v>45709</v>
      </c>
      <c r="G532">
        <f>_xlfn.XLOOKUP(F532,'Wk no''s'!B:B,'Wk no''s'!C:C,0)</f>
        <v>8</v>
      </c>
    </row>
    <row r="533" spans="1:7" x14ac:dyDescent="0.3">
      <c r="A533" t="s">
        <v>2463</v>
      </c>
      <c r="B533" t="s">
        <v>2464</v>
      </c>
      <c r="C533" t="s">
        <v>1128</v>
      </c>
      <c r="D533">
        <v>1</v>
      </c>
      <c r="E533">
        <v>1</v>
      </c>
      <c r="F533" s="1">
        <v>45709</v>
      </c>
      <c r="G533">
        <f>_xlfn.XLOOKUP(F533,'Wk no''s'!B:B,'Wk no''s'!C:C,0)</f>
        <v>8</v>
      </c>
    </row>
    <row r="534" spans="1:7" x14ac:dyDescent="0.3">
      <c r="A534" t="s">
        <v>2465</v>
      </c>
      <c r="B534" t="s">
        <v>2466</v>
      </c>
      <c r="C534" t="s">
        <v>2376</v>
      </c>
      <c r="D534">
        <v>2</v>
      </c>
      <c r="E534">
        <v>0</v>
      </c>
      <c r="F534" s="1">
        <v>45709</v>
      </c>
      <c r="G534">
        <f>_xlfn.XLOOKUP(F534,'Wk no''s'!B:B,'Wk no''s'!C:C,0)</f>
        <v>8</v>
      </c>
    </row>
    <row r="535" spans="1:7" x14ac:dyDescent="0.3">
      <c r="A535" t="s">
        <v>2467</v>
      </c>
      <c r="B535" t="s">
        <v>2468</v>
      </c>
      <c r="C535" t="s">
        <v>1269</v>
      </c>
      <c r="D535">
        <v>0</v>
      </c>
      <c r="E535">
        <v>1</v>
      </c>
      <c r="F535" s="1">
        <v>45709</v>
      </c>
      <c r="G535">
        <f>_xlfn.XLOOKUP(F535,'Wk no''s'!B:B,'Wk no''s'!C:C,0)</f>
        <v>8</v>
      </c>
    </row>
    <row r="536" spans="1:7" x14ac:dyDescent="0.3">
      <c r="A536" t="s">
        <v>2469</v>
      </c>
      <c r="B536" t="s">
        <v>2470</v>
      </c>
      <c r="C536" t="s">
        <v>2471</v>
      </c>
      <c r="D536">
        <v>3</v>
      </c>
      <c r="E536">
        <v>0</v>
      </c>
      <c r="F536" s="1">
        <v>45709</v>
      </c>
      <c r="G536">
        <f>_xlfn.XLOOKUP(F536,'Wk no''s'!B:B,'Wk no''s'!C:C,0)</f>
        <v>8</v>
      </c>
    </row>
    <row r="537" spans="1:7" x14ac:dyDescent="0.3">
      <c r="A537" t="s">
        <v>2472</v>
      </c>
      <c r="B537" t="s">
        <v>2473</v>
      </c>
      <c r="C537" t="s">
        <v>2474</v>
      </c>
      <c r="D537">
        <v>3</v>
      </c>
      <c r="E537">
        <v>0</v>
      </c>
      <c r="F537" s="1">
        <v>45712</v>
      </c>
      <c r="G537">
        <f>_xlfn.XLOOKUP(F537,'Wk no''s'!B:B,'Wk no''s'!C:C,0)</f>
        <v>9</v>
      </c>
    </row>
    <row r="538" spans="1:7" x14ac:dyDescent="0.3">
      <c r="A538" t="s">
        <v>2475</v>
      </c>
      <c r="B538" t="s">
        <v>2476</v>
      </c>
      <c r="C538" t="s">
        <v>1269</v>
      </c>
      <c r="D538">
        <v>3</v>
      </c>
      <c r="E538">
        <v>0</v>
      </c>
      <c r="F538" s="1">
        <v>45712</v>
      </c>
      <c r="G538">
        <f>_xlfn.XLOOKUP(F538,'Wk no''s'!B:B,'Wk no''s'!C:C,0)</f>
        <v>9</v>
      </c>
    </row>
    <row r="539" spans="1:7" x14ac:dyDescent="0.3">
      <c r="A539" t="s">
        <v>2477</v>
      </c>
      <c r="B539" t="s">
        <v>2478</v>
      </c>
      <c r="C539" t="s">
        <v>2479</v>
      </c>
      <c r="D539">
        <v>1</v>
      </c>
      <c r="E539">
        <v>1</v>
      </c>
      <c r="F539" s="1">
        <v>45712</v>
      </c>
      <c r="G539">
        <f>_xlfn.XLOOKUP(F539,'Wk no''s'!B:B,'Wk no''s'!C:C,0)</f>
        <v>9</v>
      </c>
    </row>
    <row r="540" spans="1:7" x14ac:dyDescent="0.3">
      <c r="A540" t="s">
        <v>2480</v>
      </c>
      <c r="B540" t="s">
        <v>2481</v>
      </c>
      <c r="C540" t="s">
        <v>411</v>
      </c>
      <c r="D540">
        <v>3</v>
      </c>
      <c r="E540">
        <v>0</v>
      </c>
      <c r="F540" s="1">
        <v>45712</v>
      </c>
      <c r="G540">
        <f>_xlfn.XLOOKUP(F540,'Wk no''s'!B:B,'Wk no''s'!C:C,0)</f>
        <v>9</v>
      </c>
    </row>
    <row r="541" spans="1:7" x14ac:dyDescent="0.3">
      <c r="A541" t="s">
        <v>2482</v>
      </c>
      <c r="B541" t="s">
        <v>2483</v>
      </c>
      <c r="C541" t="s">
        <v>5049</v>
      </c>
      <c r="D541">
        <v>3</v>
      </c>
      <c r="E541">
        <v>0</v>
      </c>
      <c r="F541" s="1">
        <v>45712</v>
      </c>
      <c r="G541">
        <f>_xlfn.XLOOKUP(F541,'Wk no''s'!B:B,'Wk no''s'!C:C,0)</f>
        <v>9</v>
      </c>
    </row>
    <row r="542" spans="1:7" x14ac:dyDescent="0.3">
      <c r="A542" t="s">
        <v>2484</v>
      </c>
      <c r="B542" t="s">
        <v>2485</v>
      </c>
      <c r="C542" t="s">
        <v>113</v>
      </c>
      <c r="D542">
        <v>0</v>
      </c>
      <c r="E542">
        <v>1</v>
      </c>
      <c r="F542" s="1">
        <v>45712</v>
      </c>
      <c r="G542">
        <f>_xlfn.XLOOKUP(F542,'Wk no''s'!B:B,'Wk no''s'!C:C,0)</f>
        <v>9</v>
      </c>
    </row>
    <row r="543" spans="1:7" x14ac:dyDescent="0.3">
      <c r="A543" t="s">
        <v>2486</v>
      </c>
      <c r="B543" t="s">
        <v>2487</v>
      </c>
      <c r="C543" t="s">
        <v>339</v>
      </c>
      <c r="D543">
        <v>1</v>
      </c>
      <c r="E543">
        <v>1</v>
      </c>
      <c r="F543" s="1">
        <v>45712</v>
      </c>
      <c r="G543">
        <f>_xlfn.XLOOKUP(F543,'Wk no''s'!B:B,'Wk no''s'!C:C,0)</f>
        <v>9</v>
      </c>
    </row>
    <row r="544" spans="1:7" x14ac:dyDescent="0.3">
      <c r="A544" t="s">
        <v>2488</v>
      </c>
      <c r="B544" t="s">
        <v>2489</v>
      </c>
      <c r="C544" t="s">
        <v>1343</v>
      </c>
      <c r="D544">
        <v>2</v>
      </c>
      <c r="E544">
        <v>0</v>
      </c>
      <c r="F544" s="1">
        <v>45712</v>
      </c>
      <c r="G544">
        <f>_xlfn.XLOOKUP(F544,'Wk no''s'!B:B,'Wk no''s'!C:C,0)</f>
        <v>9</v>
      </c>
    </row>
    <row r="545" spans="1:7" x14ac:dyDescent="0.3">
      <c r="A545" t="s">
        <v>2490</v>
      </c>
      <c r="B545" t="s">
        <v>2491</v>
      </c>
      <c r="C545" t="s">
        <v>39</v>
      </c>
      <c r="D545">
        <v>2</v>
      </c>
      <c r="E545">
        <v>0</v>
      </c>
      <c r="F545" s="1">
        <v>45712</v>
      </c>
      <c r="G545">
        <f>_xlfn.XLOOKUP(F545,'Wk no''s'!B:B,'Wk no''s'!C:C,0)</f>
        <v>9</v>
      </c>
    </row>
    <row r="546" spans="1:7" x14ac:dyDescent="0.3">
      <c r="A546" t="s">
        <v>2492</v>
      </c>
      <c r="B546" t="s">
        <v>2493</v>
      </c>
      <c r="C546" t="s">
        <v>2494</v>
      </c>
      <c r="D546">
        <v>1</v>
      </c>
      <c r="E546">
        <v>1</v>
      </c>
      <c r="F546" s="1">
        <v>45712</v>
      </c>
      <c r="G546">
        <f>_xlfn.XLOOKUP(F546,'Wk no''s'!B:B,'Wk no''s'!C:C,0)</f>
        <v>9</v>
      </c>
    </row>
    <row r="547" spans="1:7" x14ac:dyDescent="0.3">
      <c r="A547" t="s">
        <v>2495</v>
      </c>
      <c r="B547" t="s">
        <v>2496</v>
      </c>
      <c r="C547" t="s">
        <v>2497</v>
      </c>
      <c r="D547">
        <v>0</v>
      </c>
      <c r="E547">
        <v>1</v>
      </c>
      <c r="F547" s="1">
        <v>45712</v>
      </c>
      <c r="G547">
        <f>_xlfn.XLOOKUP(F547,'Wk no''s'!B:B,'Wk no''s'!C:C,0)</f>
        <v>9</v>
      </c>
    </row>
    <row r="548" spans="1:7" x14ac:dyDescent="0.3">
      <c r="A548" t="s">
        <v>2498</v>
      </c>
      <c r="B548" t="s">
        <v>2499</v>
      </c>
      <c r="C548" t="s">
        <v>36</v>
      </c>
      <c r="D548">
        <v>1</v>
      </c>
      <c r="E548">
        <v>1</v>
      </c>
      <c r="F548" s="1">
        <v>45712</v>
      </c>
      <c r="G548">
        <f>_xlfn.XLOOKUP(F548,'Wk no''s'!B:B,'Wk no''s'!C:C,0)</f>
        <v>9</v>
      </c>
    </row>
    <row r="549" spans="1:7" x14ac:dyDescent="0.3">
      <c r="A549" t="s">
        <v>2500</v>
      </c>
      <c r="B549" t="s">
        <v>2501</v>
      </c>
      <c r="C549" t="s">
        <v>666</v>
      </c>
      <c r="D549">
        <v>2</v>
      </c>
      <c r="E549">
        <v>0</v>
      </c>
      <c r="F549" s="1">
        <v>45712</v>
      </c>
      <c r="G549">
        <f>_xlfn.XLOOKUP(F549,'Wk no''s'!B:B,'Wk no''s'!C:C,0)</f>
        <v>9</v>
      </c>
    </row>
    <row r="550" spans="1:7" x14ac:dyDescent="0.3">
      <c r="A550" t="s">
        <v>2502</v>
      </c>
      <c r="B550" t="s">
        <v>2503</v>
      </c>
      <c r="C550" t="s">
        <v>2504</v>
      </c>
      <c r="D550">
        <v>0</v>
      </c>
      <c r="E550">
        <v>1</v>
      </c>
      <c r="F550" s="1">
        <v>45713</v>
      </c>
      <c r="G550">
        <f>_xlfn.XLOOKUP(F550,'Wk no''s'!B:B,'Wk no''s'!C:C,0)</f>
        <v>9</v>
      </c>
    </row>
    <row r="551" spans="1:7" x14ac:dyDescent="0.3">
      <c r="A551" t="s">
        <v>2505</v>
      </c>
      <c r="B551" t="s">
        <v>2506</v>
      </c>
      <c r="C551" t="s">
        <v>2507</v>
      </c>
      <c r="D551">
        <v>2</v>
      </c>
      <c r="E551">
        <v>0</v>
      </c>
      <c r="F551" s="1">
        <v>45713</v>
      </c>
      <c r="G551">
        <f>_xlfn.XLOOKUP(F551,'Wk no''s'!B:B,'Wk no''s'!C:C,0)</f>
        <v>9</v>
      </c>
    </row>
    <row r="552" spans="1:7" x14ac:dyDescent="0.3">
      <c r="A552" t="s">
        <v>2508</v>
      </c>
      <c r="B552" t="s">
        <v>2509</v>
      </c>
      <c r="C552" t="s">
        <v>168</v>
      </c>
      <c r="D552">
        <v>0</v>
      </c>
      <c r="E552">
        <v>1</v>
      </c>
      <c r="F552" s="1">
        <v>45713</v>
      </c>
      <c r="G552">
        <f>_xlfn.XLOOKUP(F552,'Wk no''s'!B:B,'Wk no''s'!C:C,0)</f>
        <v>9</v>
      </c>
    </row>
    <row r="553" spans="1:7" x14ac:dyDescent="0.3">
      <c r="A553" t="s">
        <v>2510</v>
      </c>
      <c r="B553" t="s">
        <v>2511</v>
      </c>
      <c r="C553" t="s">
        <v>2512</v>
      </c>
      <c r="D553">
        <v>0</v>
      </c>
      <c r="E553">
        <v>1</v>
      </c>
      <c r="F553" s="1">
        <v>45713</v>
      </c>
      <c r="G553">
        <f>_xlfn.XLOOKUP(F553,'Wk no''s'!B:B,'Wk no''s'!C:C,0)</f>
        <v>9</v>
      </c>
    </row>
    <row r="554" spans="1:7" x14ac:dyDescent="0.3">
      <c r="A554" t="s">
        <v>2513</v>
      </c>
      <c r="B554" t="s">
        <v>2514</v>
      </c>
      <c r="C554" t="s">
        <v>190</v>
      </c>
      <c r="D554">
        <v>0</v>
      </c>
      <c r="E554">
        <v>1</v>
      </c>
      <c r="F554" s="1">
        <v>45713</v>
      </c>
      <c r="G554">
        <f>_xlfn.XLOOKUP(F554,'Wk no''s'!B:B,'Wk no''s'!C:C,0)</f>
        <v>9</v>
      </c>
    </row>
    <row r="555" spans="1:7" x14ac:dyDescent="0.3">
      <c r="A555" t="s">
        <v>2515</v>
      </c>
      <c r="B555" t="s">
        <v>2516</v>
      </c>
      <c r="C555" t="s">
        <v>23</v>
      </c>
      <c r="D555">
        <v>0</v>
      </c>
      <c r="E555">
        <v>1</v>
      </c>
      <c r="F555" s="1">
        <v>45713</v>
      </c>
      <c r="G555">
        <f>_xlfn.XLOOKUP(F555,'Wk no''s'!B:B,'Wk no''s'!C:C,0)</f>
        <v>9</v>
      </c>
    </row>
    <row r="556" spans="1:7" x14ac:dyDescent="0.3">
      <c r="A556" t="s">
        <v>2517</v>
      </c>
      <c r="B556" t="s">
        <v>2518</v>
      </c>
      <c r="C556" t="s">
        <v>273</v>
      </c>
      <c r="D556">
        <v>0</v>
      </c>
      <c r="E556">
        <v>1</v>
      </c>
      <c r="F556" s="1">
        <v>45713</v>
      </c>
      <c r="G556">
        <f>_xlfn.XLOOKUP(F556,'Wk no''s'!B:B,'Wk no''s'!C:C,0)</f>
        <v>9</v>
      </c>
    </row>
    <row r="557" spans="1:7" x14ac:dyDescent="0.3">
      <c r="A557" t="s">
        <v>2519</v>
      </c>
      <c r="B557" t="s">
        <v>2520</v>
      </c>
      <c r="C557" t="s">
        <v>2034</v>
      </c>
      <c r="D557">
        <v>1</v>
      </c>
      <c r="E557">
        <v>1</v>
      </c>
      <c r="F557" s="1">
        <v>45713</v>
      </c>
      <c r="G557">
        <f>_xlfn.XLOOKUP(F557,'Wk no''s'!B:B,'Wk no''s'!C:C,0)</f>
        <v>9</v>
      </c>
    </row>
    <row r="558" spans="1:7" x14ac:dyDescent="0.3">
      <c r="A558" t="s">
        <v>2521</v>
      </c>
      <c r="B558" t="s">
        <v>2522</v>
      </c>
      <c r="C558" t="s">
        <v>2479</v>
      </c>
      <c r="D558">
        <v>0</v>
      </c>
      <c r="E558">
        <v>1</v>
      </c>
      <c r="F558" s="1">
        <v>45713</v>
      </c>
      <c r="G558">
        <f>_xlfn.XLOOKUP(F558,'Wk no''s'!B:B,'Wk no''s'!C:C,0)</f>
        <v>9</v>
      </c>
    </row>
    <row r="559" spans="1:7" x14ac:dyDescent="0.3">
      <c r="A559" t="s">
        <v>2523</v>
      </c>
      <c r="B559" t="s">
        <v>2524</v>
      </c>
      <c r="C559" t="s">
        <v>285</v>
      </c>
      <c r="D559">
        <v>0</v>
      </c>
      <c r="E559">
        <v>1</v>
      </c>
      <c r="F559" s="1">
        <v>45713</v>
      </c>
      <c r="G559">
        <f>_xlfn.XLOOKUP(F559,'Wk no''s'!B:B,'Wk no''s'!C:C,0)</f>
        <v>9</v>
      </c>
    </row>
    <row r="560" spans="1:7" x14ac:dyDescent="0.3">
      <c r="A560" t="s">
        <v>2525</v>
      </c>
      <c r="B560" t="s">
        <v>2526</v>
      </c>
      <c r="C560" t="s">
        <v>1084</v>
      </c>
      <c r="D560">
        <v>0</v>
      </c>
      <c r="E560">
        <v>1</v>
      </c>
      <c r="F560" s="1">
        <v>45713</v>
      </c>
      <c r="G560">
        <f>_xlfn.XLOOKUP(F560,'Wk no''s'!B:B,'Wk no''s'!C:C,0)</f>
        <v>9</v>
      </c>
    </row>
    <row r="561" spans="1:7" x14ac:dyDescent="0.3">
      <c r="A561" t="s">
        <v>2527</v>
      </c>
      <c r="B561" t="s">
        <v>2528</v>
      </c>
      <c r="C561" t="s">
        <v>2529</v>
      </c>
      <c r="D561">
        <v>0</v>
      </c>
      <c r="E561">
        <v>1</v>
      </c>
      <c r="F561" s="1">
        <v>45713</v>
      </c>
      <c r="G561">
        <f>_xlfn.XLOOKUP(F561,'Wk no''s'!B:B,'Wk no''s'!C:C,0)</f>
        <v>9</v>
      </c>
    </row>
    <row r="562" spans="1:7" x14ac:dyDescent="0.3">
      <c r="A562" t="s">
        <v>2530</v>
      </c>
      <c r="B562" t="s">
        <v>2531</v>
      </c>
      <c r="C562" t="s">
        <v>2532</v>
      </c>
      <c r="D562">
        <v>4</v>
      </c>
      <c r="E562">
        <v>0</v>
      </c>
      <c r="F562" s="1">
        <v>45713</v>
      </c>
      <c r="G562">
        <f>_xlfn.XLOOKUP(F562,'Wk no''s'!B:B,'Wk no''s'!C:C,0)</f>
        <v>9</v>
      </c>
    </row>
    <row r="563" spans="1:7" x14ac:dyDescent="0.3">
      <c r="A563" t="s">
        <v>2533</v>
      </c>
      <c r="B563" t="s">
        <v>2534</v>
      </c>
      <c r="C563" t="s">
        <v>1194</v>
      </c>
      <c r="D563">
        <v>0</v>
      </c>
      <c r="E563">
        <v>1</v>
      </c>
      <c r="F563" s="1">
        <v>45713</v>
      </c>
      <c r="G563">
        <f>_xlfn.XLOOKUP(F563,'Wk no''s'!B:B,'Wk no''s'!C:C,0)</f>
        <v>9</v>
      </c>
    </row>
    <row r="564" spans="1:7" x14ac:dyDescent="0.3">
      <c r="A564" t="s">
        <v>2535</v>
      </c>
      <c r="B564" t="s">
        <v>2536</v>
      </c>
      <c r="C564" t="s">
        <v>2537</v>
      </c>
      <c r="D564">
        <v>0</v>
      </c>
      <c r="E564">
        <v>1</v>
      </c>
      <c r="F564" s="1">
        <v>45714</v>
      </c>
      <c r="G564">
        <f>_xlfn.XLOOKUP(F564,'Wk no''s'!B:B,'Wk no''s'!C:C,0)</f>
        <v>9</v>
      </c>
    </row>
    <row r="565" spans="1:7" x14ac:dyDescent="0.3">
      <c r="A565" t="s">
        <v>2538</v>
      </c>
      <c r="B565" t="s">
        <v>2539</v>
      </c>
      <c r="C565" t="s">
        <v>2540</v>
      </c>
      <c r="D565">
        <v>0</v>
      </c>
      <c r="E565">
        <v>1</v>
      </c>
      <c r="F565" s="1">
        <v>45714</v>
      </c>
      <c r="G565">
        <f>_xlfn.XLOOKUP(F565,'Wk no''s'!B:B,'Wk no''s'!C:C,0)</f>
        <v>9</v>
      </c>
    </row>
    <row r="566" spans="1:7" x14ac:dyDescent="0.3">
      <c r="A566" t="s">
        <v>2541</v>
      </c>
      <c r="B566" t="s">
        <v>2542</v>
      </c>
      <c r="C566" t="s">
        <v>2543</v>
      </c>
      <c r="D566">
        <v>5</v>
      </c>
      <c r="E566">
        <v>0</v>
      </c>
      <c r="F566" s="1">
        <v>45714</v>
      </c>
      <c r="G566">
        <f>_xlfn.XLOOKUP(F566,'Wk no''s'!B:B,'Wk no''s'!C:C,0)</f>
        <v>9</v>
      </c>
    </row>
    <row r="567" spans="1:7" x14ac:dyDescent="0.3">
      <c r="A567" t="s">
        <v>2544</v>
      </c>
      <c r="B567" t="s">
        <v>2545</v>
      </c>
      <c r="C567" t="s">
        <v>2546</v>
      </c>
      <c r="D567">
        <v>0</v>
      </c>
      <c r="E567">
        <v>1</v>
      </c>
      <c r="F567" s="1">
        <v>45714</v>
      </c>
      <c r="G567">
        <f>_xlfn.XLOOKUP(F567,'Wk no''s'!B:B,'Wk no''s'!C:C,0)</f>
        <v>9</v>
      </c>
    </row>
    <row r="568" spans="1:7" x14ac:dyDescent="0.3">
      <c r="A568" t="s">
        <v>2547</v>
      </c>
      <c r="B568" t="s">
        <v>2548</v>
      </c>
      <c r="C568" t="s">
        <v>109</v>
      </c>
      <c r="D568">
        <v>1</v>
      </c>
      <c r="E568">
        <v>1</v>
      </c>
      <c r="F568" s="1">
        <v>45714</v>
      </c>
      <c r="G568">
        <f>_xlfn.XLOOKUP(F568,'Wk no''s'!B:B,'Wk no''s'!C:C,0)</f>
        <v>9</v>
      </c>
    </row>
    <row r="569" spans="1:7" x14ac:dyDescent="0.3">
      <c r="A569" t="s">
        <v>2549</v>
      </c>
      <c r="B569" t="s">
        <v>2550</v>
      </c>
      <c r="C569" t="s">
        <v>15</v>
      </c>
      <c r="D569">
        <v>19</v>
      </c>
      <c r="E569">
        <v>0</v>
      </c>
      <c r="F569" s="1">
        <v>45714</v>
      </c>
      <c r="G569">
        <f>_xlfn.XLOOKUP(F569,'Wk no''s'!B:B,'Wk no''s'!C:C,0)</f>
        <v>9</v>
      </c>
    </row>
    <row r="570" spans="1:7" x14ac:dyDescent="0.3">
      <c r="A570" t="s">
        <v>2551</v>
      </c>
      <c r="B570" t="s">
        <v>2552</v>
      </c>
      <c r="C570" t="s">
        <v>2553</v>
      </c>
      <c r="D570">
        <v>0</v>
      </c>
      <c r="E570">
        <v>1</v>
      </c>
      <c r="F570" s="1">
        <v>45714</v>
      </c>
      <c r="G570">
        <f>_xlfn.XLOOKUP(F570,'Wk no''s'!B:B,'Wk no''s'!C:C,0)</f>
        <v>9</v>
      </c>
    </row>
    <row r="571" spans="1:7" x14ac:dyDescent="0.3">
      <c r="A571" t="s">
        <v>2554</v>
      </c>
      <c r="B571" t="s">
        <v>2555</v>
      </c>
      <c r="C571" t="s">
        <v>1194</v>
      </c>
      <c r="D571">
        <v>1</v>
      </c>
      <c r="E571">
        <v>1</v>
      </c>
      <c r="F571" s="1">
        <v>45715</v>
      </c>
      <c r="G571">
        <f>_xlfn.XLOOKUP(F571,'Wk no''s'!B:B,'Wk no''s'!C:C,0)</f>
        <v>9</v>
      </c>
    </row>
    <row r="572" spans="1:7" x14ac:dyDescent="0.3">
      <c r="A572" t="s">
        <v>2556</v>
      </c>
      <c r="B572" t="s">
        <v>2557</v>
      </c>
      <c r="C572" t="s">
        <v>2558</v>
      </c>
      <c r="D572">
        <v>2</v>
      </c>
      <c r="E572">
        <v>0</v>
      </c>
      <c r="F572" s="1">
        <v>45715</v>
      </c>
      <c r="G572">
        <f>_xlfn.XLOOKUP(F572,'Wk no''s'!B:B,'Wk no''s'!C:C,0)</f>
        <v>9</v>
      </c>
    </row>
    <row r="573" spans="1:7" x14ac:dyDescent="0.3">
      <c r="A573" t="s">
        <v>2559</v>
      </c>
      <c r="C573" t="s">
        <v>1106</v>
      </c>
      <c r="D573">
        <v>139</v>
      </c>
      <c r="E573">
        <v>0</v>
      </c>
      <c r="F573" s="1">
        <v>45715</v>
      </c>
      <c r="G573">
        <f>_xlfn.XLOOKUP(F573,'Wk no''s'!B:B,'Wk no''s'!C:C,0)</f>
        <v>9</v>
      </c>
    </row>
    <row r="574" spans="1:7" x14ac:dyDescent="0.3">
      <c r="A574" t="s">
        <v>2560</v>
      </c>
      <c r="B574" t="s">
        <v>2561</v>
      </c>
      <c r="C574" t="s">
        <v>2562</v>
      </c>
      <c r="D574">
        <v>0</v>
      </c>
      <c r="E574">
        <v>1</v>
      </c>
      <c r="F574" s="1">
        <v>45715</v>
      </c>
      <c r="G574">
        <f>_xlfn.XLOOKUP(F574,'Wk no''s'!B:B,'Wk no''s'!C:C,0)</f>
        <v>9</v>
      </c>
    </row>
    <row r="575" spans="1:7" x14ac:dyDescent="0.3">
      <c r="A575" t="s">
        <v>2563</v>
      </c>
      <c r="B575" t="s">
        <v>2564</v>
      </c>
      <c r="C575" t="s">
        <v>12</v>
      </c>
      <c r="D575">
        <v>5</v>
      </c>
      <c r="E575">
        <v>0</v>
      </c>
      <c r="F575" s="1">
        <v>45715</v>
      </c>
      <c r="G575">
        <f>_xlfn.XLOOKUP(F575,'Wk no''s'!B:B,'Wk no''s'!C:C,0)</f>
        <v>9</v>
      </c>
    </row>
    <row r="576" spans="1:7" x14ac:dyDescent="0.3">
      <c r="A576" t="s">
        <v>2565</v>
      </c>
      <c r="B576" t="s">
        <v>2566</v>
      </c>
      <c r="C576" t="s">
        <v>2</v>
      </c>
      <c r="D576">
        <v>0</v>
      </c>
      <c r="E576">
        <v>1</v>
      </c>
      <c r="F576" s="1">
        <v>45715</v>
      </c>
      <c r="G576">
        <f>_xlfn.XLOOKUP(F576,'Wk no''s'!B:B,'Wk no''s'!C:C,0)</f>
        <v>9</v>
      </c>
    </row>
    <row r="577" spans="1:7" x14ac:dyDescent="0.3">
      <c r="A577" t="s">
        <v>2567</v>
      </c>
      <c r="B577" t="s">
        <v>2568</v>
      </c>
      <c r="C577" t="s">
        <v>2083</v>
      </c>
      <c r="D577">
        <v>0</v>
      </c>
      <c r="E577">
        <v>1</v>
      </c>
      <c r="F577" s="1">
        <v>45715</v>
      </c>
      <c r="G577">
        <f>_xlfn.XLOOKUP(F577,'Wk no''s'!B:B,'Wk no''s'!C:C,0)</f>
        <v>9</v>
      </c>
    </row>
    <row r="578" spans="1:7" x14ac:dyDescent="0.3">
      <c r="A578" t="s">
        <v>2569</v>
      </c>
      <c r="B578" t="s">
        <v>2570</v>
      </c>
      <c r="C578" t="s">
        <v>2010</v>
      </c>
      <c r="D578">
        <v>0</v>
      </c>
      <c r="E578">
        <v>1</v>
      </c>
      <c r="F578" s="1">
        <v>45715</v>
      </c>
      <c r="G578">
        <f>_xlfn.XLOOKUP(F578,'Wk no''s'!B:B,'Wk no''s'!C:C,0)</f>
        <v>9</v>
      </c>
    </row>
    <row r="579" spans="1:7" x14ac:dyDescent="0.3">
      <c r="A579" t="s">
        <v>2571</v>
      </c>
      <c r="B579" t="s">
        <v>2572</v>
      </c>
      <c r="C579" t="s">
        <v>1456</v>
      </c>
      <c r="D579">
        <v>2</v>
      </c>
      <c r="E579">
        <v>0</v>
      </c>
      <c r="F579" s="1">
        <v>45715</v>
      </c>
      <c r="G579">
        <f>_xlfn.XLOOKUP(F579,'Wk no''s'!B:B,'Wk no''s'!C:C,0)</f>
        <v>9</v>
      </c>
    </row>
    <row r="580" spans="1:7" x14ac:dyDescent="0.3">
      <c r="A580" t="s">
        <v>2573</v>
      </c>
      <c r="B580" t="s">
        <v>2574</v>
      </c>
      <c r="C580" t="s">
        <v>1995</v>
      </c>
      <c r="D580">
        <v>0</v>
      </c>
      <c r="E580">
        <v>1</v>
      </c>
      <c r="F580" s="1">
        <v>45716</v>
      </c>
      <c r="G580">
        <f>_xlfn.XLOOKUP(F580,'Wk no''s'!B:B,'Wk no''s'!C:C,0)</f>
        <v>9</v>
      </c>
    </row>
    <row r="581" spans="1:7" x14ac:dyDescent="0.3">
      <c r="A581" t="s">
        <v>2575</v>
      </c>
      <c r="B581" t="s">
        <v>2576</v>
      </c>
      <c r="C581" t="s">
        <v>2577</v>
      </c>
      <c r="D581">
        <v>4</v>
      </c>
      <c r="E581">
        <v>0</v>
      </c>
      <c r="F581" s="1">
        <v>45716</v>
      </c>
      <c r="G581">
        <f>_xlfn.XLOOKUP(F581,'Wk no''s'!B:B,'Wk no''s'!C:C,0)</f>
        <v>9</v>
      </c>
    </row>
    <row r="582" spans="1:7" x14ac:dyDescent="0.3">
      <c r="A582" t="s">
        <v>2578</v>
      </c>
      <c r="B582" t="s">
        <v>2579</v>
      </c>
      <c r="C582" t="s">
        <v>2580</v>
      </c>
      <c r="D582">
        <v>3</v>
      </c>
      <c r="E582">
        <v>0</v>
      </c>
      <c r="F582" s="1">
        <v>45716</v>
      </c>
      <c r="G582">
        <f>_xlfn.XLOOKUP(F582,'Wk no''s'!B:B,'Wk no''s'!C:C,0)</f>
        <v>9</v>
      </c>
    </row>
    <row r="583" spans="1:7" x14ac:dyDescent="0.3">
      <c r="A583" t="s">
        <v>2581</v>
      </c>
      <c r="B583" t="s">
        <v>2582</v>
      </c>
      <c r="C583" t="s">
        <v>2583</v>
      </c>
      <c r="D583">
        <v>1</v>
      </c>
      <c r="E583">
        <v>1</v>
      </c>
      <c r="F583" s="1">
        <v>45716</v>
      </c>
      <c r="G583">
        <f>_xlfn.XLOOKUP(F583,'Wk no''s'!B:B,'Wk no''s'!C:C,0)</f>
        <v>9</v>
      </c>
    </row>
    <row r="584" spans="1:7" x14ac:dyDescent="0.3">
      <c r="A584" t="s">
        <v>2584</v>
      </c>
      <c r="B584" t="s">
        <v>2585</v>
      </c>
      <c r="C584" t="s">
        <v>36</v>
      </c>
      <c r="D584">
        <v>1</v>
      </c>
      <c r="E584">
        <v>1</v>
      </c>
      <c r="F584" s="1">
        <v>45716</v>
      </c>
      <c r="G584">
        <f>_xlfn.XLOOKUP(F584,'Wk no''s'!B:B,'Wk no''s'!C:C,0)</f>
        <v>9</v>
      </c>
    </row>
    <row r="585" spans="1:7" x14ac:dyDescent="0.3">
      <c r="A585" t="s">
        <v>2586</v>
      </c>
      <c r="B585" t="s">
        <v>2587</v>
      </c>
      <c r="C585" t="s">
        <v>36</v>
      </c>
      <c r="D585">
        <v>0</v>
      </c>
      <c r="E585">
        <v>1</v>
      </c>
      <c r="F585" s="1">
        <v>45716</v>
      </c>
      <c r="G585">
        <f>_xlfn.XLOOKUP(F585,'Wk no''s'!B:B,'Wk no''s'!C:C,0)</f>
        <v>9</v>
      </c>
    </row>
    <row r="586" spans="1:7" x14ac:dyDescent="0.3">
      <c r="A586" t="s">
        <v>2588</v>
      </c>
      <c r="B586" t="s">
        <v>2589</v>
      </c>
      <c r="C586" t="s">
        <v>2590</v>
      </c>
      <c r="D586">
        <v>6</v>
      </c>
      <c r="E586">
        <v>0</v>
      </c>
      <c r="F586" s="1">
        <v>45716</v>
      </c>
      <c r="G586">
        <f>_xlfn.XLOOKUP(F586,'Wk no''s'!B:B,'Wk no''s'!C:C,0)</f>
        <v>9</v>
      </c>
    </row>
    <row r="587" spans="1:7" x14ac:dyDescent="0.3">
      <c r="A587" t="s">
        <v>2591</v>
      </c>
      <c r="B587" t="s">
        <v>2592</v>
      </c>
      <c r="C587" t="s">
        <v>2593</v>
      </c>
      <c r="D587">
        <v>1</v>
      </c>
      <c r="E587">
        <v>1</v>
      </c>
      <c r="F587" s="1">
        <v>45716</v>
      </c>
      <c r="G587">
        <f>_xlfn.XLOOKUP(F587,'Wk no''s'!B:B,'Wk no''s'!C:C,0)</f>
        <v>9</v>
      </c>
    </row>
    <row r="588" spans="1:7" x14ac:dyDescent="0.3">
      <c r="A588" t="s">
        <v>2594</v>
      </c>
      <c r="B588" t="s">
        <v>2595</v>
      </c>
      <c r="C588" t="s">
        <v>2596</v>
      </c>
      <c r="D588">
        <v>1</v>
      </c>
      <c r="E588">
        <v>1</v>
      </c>
      <c r="F588" s="1">
        <v>45716</v>
      </c>
      <c r="G588">
        <f>_xlfn.XLOOKUP(F588,'Wk no''s'!B:B,'Wk no''s'!C:C,0)</f>
        <v>9</v>
      </c>
    </row>
    <row r="589" spans="1:7" x14ac:dyDescent="0.3">
      <c r="A589" t="s">
        <v>2597</v>
      </c>
      <c r="B589" t="s">
        <v>2598</v>
      </c>
      <c r="C589" t="s">
        <v>2599</v>
      </c>
      <c r="D589">
        <v>3</v>
      </c>
      <c r="E589">
        <v>0</v>
      </c>
      <c r="F589" s="1">
        <v>45719</v>
      </c>
      <c r="G589">
        <f>_xlfn.XLOOKUP(F589,'Wk no''s'!B:B,'Wk no''s'!C:C,0)</f>
        <v>10</v>
      </c>
    </row>
    <row r="590" spans="1:7" x14ac:dyDescent="0.3">
      <c r="A590" t="s">
        <v>2600</v>
      </c>
      <c r="B590" t="s">
        <v>2601</v>
      </c>
      <c r="C590" t="s">
        <v>75</v>
      </c>
      <c r="D590">
        <v>3</v>
      </c>
      <c r="E590">
        <v>0</v>
      </c>
      <c r="F590" s="1">
        <v>45719</v>
      </c>
      <c r="G590">
        <f>_xlfn.XLOOKUP(F590,'Wk no''s'!B:B,'Wk no''s'!C:C,0)</f>
        <v>10</v>
      </c>
    </row>
    <row r="591" spans="1:7" x14ac:dyDescent="0.3">
      <c r="A591" t="s">
        <v>2602</v>
      </c>
      <c r="B591" t="s">
        <v>2603</v>
      </c>
      <c r="C591" t="s">
        <v>10</v>
      </c>
      <c r="D591">
        <v>0</v>
      </c>
      <c r="E591">
        <v>1</v>
      </c>
      <c r="F591" s="1">
        <v>45719</v>
      </c>
      <c r="G591">
        <f>_xlfn.XLOOKUP(F591,'Wk no''s'!B:B,'Wk no''s'!C:C,0)</f>
        <v>10</v>
      </c>
    </row>
    <row r="592" spans="1:7" x14ac:dyDescent="0.3">
      <c r="A592" t="s">
        <v>2604</v>
      </c>
      <c r="B592" t="s">
        <v>2605</v>
      </c>
      <c r="C592" t="s">
        <v>339</v>
      </c>
      <c r="D592">
        <v>5</v>
      </c>
      <c r="E592">
        <v>0</v>
      </c>
      <c r="F592" s="1">
        <v>45719</v>
      </c>
      <c r="G592">
        <f>_xlfn.XLOOKUP(F592,'Wk no''s'!B:B,'Wk no''s'!C:C,0)</f>
        <v>10</v>
      </c>
    </row>
    <row r="593" spans="1:7" x14ac:dyDescent="0.3">
      <c r="A593" t="s">
        <v>2606</v>
      </c>
      <c r="B593" t="s">
        <v>2607</v>
      </c>
      <c r="C593" t="s">
        <v>197</v>
      </c>
      <c r="D593">
        <v>2</v>
      </c>
      <c r="E593">
        <v>0</v>
      </c>
      <c r="F593" s="1">
        <v>45719</v>
      </c>
      <c r="G593">
        <f>_xlfn.XLOOKUP(F593,'Wk no''s'!B:B,'Wk no''s'!C:C,0)</f>
        <v>10</v>
      </c>
    </row>
    <row r="594" spans="1:7" x14ac:dyDescent="0.3">
      <c r="A594" t="s">
        <v>2608</v>
      </c>
      <c r="B594" t="s">
        <v>2609</v>
      </c>
      <c r="C594" t="s">
        <v>2610</v>
      </c>
      <c r="D594">
        <v>6</v>
      </c>
      <c r="E594">
        <v>0</v>
      </c>
      <c r="F594" s="1">
        <v>45719</v>
      </c>
      <c r="G594">
        <f>_xlfn.XLOOKUP(F594,'Wk no''s'!B:B,'Wk no''s'!C:C,0)</f>
        <v>10</v>
      </c>
    </row>
    <row r="595" spans="1:7" x14ac:dyDescent="0.3">
      <c r="A595" t="s">
        <v>2611</v>
      </c>
      <c r="B595" t="s">
        <v>2612</v>
      </c>
      <c r="C595" t="s">
        <v>2613</v>
      </c>
      <c r="D595">
        <v>0</v>
      </c>
      <c r="E595">
        <v>1</v>
      </c>
      <c r="F595" s="1">
        <v>45719</v>
      </c>
      <c r="G595">
        <f>_xlfn.XLOOKUP(F595,'Wk no''s'!B:B,'Wk no''s'!C:C,0)</f>
        <v>10</v>
      </c>
    </row>
    <row r="596" spans="1:7" x14ac:dyDescent="0.3">
      <c r="A596" t="s">
        <v>2614</v>
      </c>
      <c r="B596" t="s">
        <v>2615</v>
      </c>
      <c r="C596" t="s">
        <v>2616</v>
      </c>
      <c r="D596">
        <v>3</v>
      </c>
      <c r="E596">
        <v>0</v>
      </c>
      <c r="F596" s="1">
        <v>45719</v>
      </c>
      <c r="G596">
        <f>_xlfn.XLOOKUP(F596,'Wk no''s'!B:B,'Wk no''s'!C:C,0)</f>
        <v>10</v>
      </c>
    </row>
    <row r="597" spans="1:7" x14ac:dyDescent="0.3">
      <c r="A597" t="s">
        <v>2617</v>
      </c>
      <c r="B597" t="s">
        <v>2618</v>
      </c>
      <c r="C597" t="s">
        <v>2291</v>
      </c>
      <c r="D597">
        <v>5</v>
      </c>
      <c r="E597">
        <v>0</v>
      </c>
      <c r="F597" s="1">
        <v>45719</v>
      </c>
      <c r="G597">
        <f>_xlfn.XLOOKUP(F597,'Wk no''s'!B:B,'Wk no''s'!C:C,0)</f>
        <v>10</v>
      </c>
    </row>
    <row r="598" spans="1:7" x14ac:dyDescent="0.3">
      <c r="A598" t="s">
        <v>2619</v>
      </c>
      <c r="B598" t="s">
        <v>2620</v>
      </c>
      <c r="C598" t="s">
        <v>2291</v>
      </c>
      <c r="D598">
        <v>5</v>
      </c>
      <c r="E598">
        <v>0</v>
      </c>
      <c r="F598" s="1">
        <v>45719</v>
      </c>
      <c r="G598">
        <f>_xlfn.XLOOKUP(F598,'Wk no''s'!B:B,'Wk no''s'!C:C,0)</f>
        <v>10</v>
      </c>
    </row>
    <row r="599" spans="1:7" x14ac:dyDescent="0.3">
      <c r="A599" t="s">
        <v>2621</v>
      </c>
      <c r="B599" t="s">
        <v>2622</v>
      </c>
      <c r="C599" t="s">
        <v>349</v>
      </c>
      <c r="D599">
        <v>5</v>
      </c>
      <c r="E599">
        <v>0</v>
      </c>
      <c r="F599" s="1">
        <v>45719</v>
      </c>
      <c r="G599">
        <f>_xlfn.XLOOKUP(F599,'Wk no''s'!B:B,'Wk no''s'!C:C,0)</f>
        <v>10</v>
      </c>
    </row>
    <row r="600" spans="1:7" x14ac:dyDescent="0.3">
      <c r="A600" t="s">
        <v>2623</v>
      </c>
      <c r="B600" t="s">
        <v>2624</v>
      </c>
      <c r="C600" t="s">
        <v>2625</v>
      </c>
      <c r="D600">
        <v>7</v>
      </c>
      <c r="E600">
        <v>0</v>
      </c>
      <c r="F600" s="1">
        <v>45719</v>
      </c>
      <c r="G600">
        <f>_xlfn.XLOOKUP(F600,'Wk no''s'!B:B,'Wk no''s'!C:C,0)</f>
        <v>10</v>
      </c>
    </row>
    <row r="601" spans="1:7" x14ac:dyDescent="0.3">
      <c r="A601" t="s">
        <v>2626</v>
      </c>
      <c r="B601" t="s">
        <v>2627</v>
      </c>
      <c r="C601" t="s">
        <v>4894</v>
      </c>
      <c r="D601">
        <v>2</v>
      </c>
      <c r="E601">
        <v>0</v>
      </c>
      <c r="F601" s="1">
        <v>45719</v>
      </c>
      <c r="G601">
        <f>_xlfn.XLOOKUP(F601,'Wk no''s'!B:B,'Wk no''s'!C:C,0)</f>
        <v>10</v>
      </c>
    </row>
    <row r="602" spans="1:7" x14ac:dyDescent="0.3">
      <c r="A602" t="s">
        <v>2628</v>
      </c>
      <c r="B602" t="s">
        <v>2629</v>
      </c>
      <c r="C602" t="s">
        <v>2630</v>
      </c>
      <c r="D602">
        <v>3</v>
      </c>
      <c r="E602">
        <v>0</v>
      </c>
      <c r="F602" s="1">
        <v>45719</v>
      </c>
      <c r="G602">
        <f>_xlfn.XLOOKUP(F602,'Wk no''s'!B:B,'Wk no''s'!C:C,0)</f>
        <v>10</v>
      </c>
    </row>
    <row r="603" spans="1:7" x14ac:dyDescent="0.3">
      <c r="A603" t="s">
        <v>2631</v>
      </c>
      <c r="C603" t="s">
        <v>2632</v>
      </c>
      <c r="D603">
        <v>0</v>
      </c>
      <c r="E603">
        <v>1</v>
      </c>
      <c r="F603" s="1">
        <v>45719</v>
      </c>
      <c r="G603">
        <f>_xlfn.XLOOKUP(F603,'Wk no''s'!B:B,'Wk no''s'!C:C,0)</f>
        <v>10</v>
      </c>
    </row>
    <row r="604" spans="1:7" x14ac:dyDescent="0.3">
      <c r="A604" t="s">
        <v>2633</v>
      </c>
      <c r="B604" t="s">
        <v>2634</v>
      </c>
      <c r="C604" t="s">
        <v>36</v>
      </c>
      <c r="D604">
        <v>2</v>
      </c>
      <c r="E604">
        <v>0</v>
      </c>
      <c r="F604" s="1">
        <v>45719</v>
      </c>
      <c r="G604">
        <f>_xlfn.XLOOKUP(F604,'Wk no''s'!B:B,'Wk no''s'!C:C,0)</f>
        <v>10</v>
      </c>
    </row>
    <row r="605" spans="1:7" x14ac:dyDescent="0.3">
      <c r="A605" t="s">
        <v>2635</v>
      </c>
      <c r="B605" t="s">
        <v>2636</v>
      </c>
      <c r="C605" t="s">
        <v>160</v>
      </c>
      <c r="D605">
        <v>0</v>
      </c>
      <c r="E605">
        <v>1</v>
      </c>
      <c r="F605" s="1">
        <v>45719</v>
      </c>
      <c r="G605">
        <f>_xlfn.XLOOKUP(F605,'Wk no''s'!B:B,'Wk no''s'!C:C,0)</f>
        <v>10</v>
      </c>
    </row>
    <row r="606" spans="1:7" x14ac:dyDescent="0.3">
      <c r="A606" t="s">
        <v>2637</v>
      </c>
      <c r="B606" t="s">
        <v>2638</v>
      </c>
      <c r="C606" t="s">
        <v>1248</v>
      </c>
      <c r="D606">
        <v>0</v>
      </c>
      <c r="E606">
        <v>1</v>
      </c>
      <c r="F606" s="1">
        <v>45719</v>
      </c>
      <c r="G606">
        <f>_xlfn.XLOOKUP(F606,'Wk no''s'!B:B,'Wk no''s'!C:C,0)</f>
        <v>10</v>
      </c>
    </row>
    <row r="607" spans="1:7" x14ac:dyDescent="0.3">
      <c r="A607" t="s">
        <v>2639</v>
      </c>
      <c r="B607" t="s">
        <v>2640</v>
      </c>
      <c r="C607" t="s">
        <v>12</v>
      </c>
      <c r="D607">
        <v>5</v>
      </c>
      <c r="E607">
        <v>0</v>
      </c>
      <c r="F607" s="1">
        <v>45720</v>
      </c>
      <c r="G607">
        <f>_xlfn.XLOOKUP(F607,'Wk no''s'!B:B,'Wk no''s'!C:C,0)</f>
        <v>10</v>
      </c>
    </row>
    <row r="608" spans="1:7" x14ac:dyDescent="0.3">
      <c r="A608" t="s">
        <v>2641</v>
      </c>
      <c r="B608" t="s">
        <v>2642</v>
      </c>
      <c r="C608" t="s">
        <v>2201</v>
      </c>
      <c r="D608">
        <v>2</v>
      </c>
      <c r="E608">
        <v>0</v>
      </c>
      <c r="F608" s="1">
        <v>45720</v>
      </c>
      <c r="G608">
        <f>_xlfn.XLOOKUP(F608,'Wk no''s'!B:B,'Wk no''s'!C:C,0)</f>
        <v>10</v>
      </c>
    </row>
    <row r="609" spans="1:7" x14ac:dyDescent="0.3">
      <c r="A609" t="s">
        <v>2643</v>
      </c>
      <c r="B609" t="s">
        <v>2644</v>
      </c>
      <c r="C609" t="s">
        <v>2645</v>
      </c>
      <c r="D609">
        <v>1</v>
      </c>
      <c r="E609">
        <v>1</v>
      </c>
      <c r="F609" s="1">
        <v>45720</v>
      </c>
      <c r="G609">
        <f>_xlfn.XLOOKUP(F609,'Wk no''s'!B:B,'Wk no''s'!C:C,0)</f>
        <v>10</v>
      </c>
    </row>
    <row r="610" spans="1:7" x14ac:dyDescent="0.3">
      <c r="A610" t="s">
        <v>2646</v>
      </c>
      <c r="B610" t="s">
        <v>2647</v>
      </c>
      <c r="C610" t="s">
        <v>2648</v>
      </c>
      <c r="D610">
        <v>0</v>
      </c>
      <c r="E610">
        <v>1</v>
      </c>
      <c r="F610" s="1">
        <v>45720</v>
      </c>
      <c r="G610">
        <f>_xlfn.XLOOKUP(F610,'Wk no''s'!B:B,'Wk no''s'!C:C,0)</f>
        <v>10</v>
      </c>
    </row>
    <row r="611" spans="1:7" x14ac:dyDescent="0.3">
      <c r="A611" t="s">
        <v>2649</v>
      </c>
      <c r="B611" t="s">
        <v>2650</v>
      </c>
      <c r="C611" t="s">
        <v>2651</v>
      </c>
      <c r="D611">
        <v>1</v>
      </c>
      <c r="E611">
        <v>1</v>
      </c>
      <c r="F611" s="1">
        <v>45720</v>
      </c>
      <c r="G611">
        <f>_xlfn.XLOOKUP(F611,'Wk no''s'!B:B,'Wk no''s'!C:C,0)</f>
        <v>10</v>
      </c>
    </row>
    <row r="612" spans="1:7" x14ac:dyDescent="0.3">
      <c r="A612" t="s">
        <v>2652</v>
      </c>
      <c r="B612" t="s">
        <v>2653</v>
      </c>
      <c r="C612" t="s">
        <v>1587</v>
      </c>
      <c r="D612">
        <v>1</v>
      </c>
      <c r="E612">
        <v>1</v>
      </c>
      <c r="F612" s="1">
        <v>45720</v>
      </c>
      <c r="G612">
        <f>_xlfn.XLOOKUP(F612,'Wk no''s'!B:B,'Wk no''s'!C:C,0)</f>
        <v>10</v>
      </c>
    </row>
    <row r="613" spans="1:7" x14ac:dyDescent="0.3">
      <c r="A613" t="s">
        <v>2654</v>
      </c>
      <c r="B613" t="s">
        <v>2655</v>
      </c>
      <c r="C613" t="s">
        <v>2648</v>
      </c>
      <c r="D613">
        <v>4</v>
      </c>
      <c r="E613">
        <v>0</v>
      </c>
      <c r="F613" s="1">
        <v>45720</v>
      </c>
      <c r="G613">
        <f>_xlfn.XLOOKUP(F613,'Wk no''s'!B:B,'Wk no''s'!C:C,0)</f>
        <v>10</v>
      </c>
    </row>
    <row r="614" spans="1:7" x14ac:dyDescent="0.3">
      <c r="A614" t="s">
        <v>2656</v>
      </c>
      <c r="B614" t="s">
        <v>2657</v>
      </c>
      <c r="C614" t="s">
        <v>2100</v>
      </c>
      <c r="D614">
        <v>4</v>
      </c>
      <c r="E614">
        <v>0</v>
      </c>
      <c r="F614" s="1">
        <v>45721</v>
      </c>
      <c r="G614">
        <f>_xlfn.XLOOKUP(F614,'Wk no''s'!B:B,'Wk no''s'!C:C,0)</f>
        <v>10</v>
      </c>
    </row>
    <row r="615" spans="1:7" x14ac:dyDescent="0.3">
      <c r="A615" t="s">
        <v>2658</v>
      </c>
      <c r="B615" t="s">
        <v>2659</v>
      </c>
      <c r="C615" t="s">
        <v>1106</v>
      </c>
      <c r="D615">
        <v>5</v>
      </c>
      <c r="E615">
        <v>0</v>
      </c>
      <c r="F615" s="1">
        <v>45721</v>
      </c>
      <c r="G615">
        <f>_xlfn.XLOOKUP(F615,'Wk no''s'!B:B,'Wk no''s'!C:C,0)</f>
        <v>10</v>
      </c>
    </row>
    <row r="616" spans="1:7" x14ac:dyDescent="0.3">
      <c r="A616" t="s">
        <v>2660</v>
      </c>
      <c r="B616" t="s">
        <v>2661</v>
      </c>
      <c r="C616" t="s">
        <v>2662</v>
      </c>
      <c r="D616">
        <v>3</v>
      </c>
      <c r="E616">
        <v>0</v>
      </c>
      <c r="F616" s="1">
        <v>45721</v>
      </c>
      <c r="G616">
        <f>_xlfn.XLOOKUP(F616,'Wk no''s'!B:B,'Wk no''s'!C:C,0)</f>
        <v>10</v>
      </c>
    </row>
    <row r="617" spans="1:7" x14ac:dyDescent="0.3">
      <c r="A617" t="s">
        <v>2663</v>
      </c>
      <c r="B617" t="s">
        <v>2664</v>
      </c>
      <c r="C617" t="s">
        <v>2665</v>
      </c>
      <c r="D617">
        <v>1</v>
      </c>
      <c r="E617">
        <v>1</v>
      </c>
      <c r="F617" s="1">
        <v>45721</v>
      </c>
      <c r="G617">
        <f>_xlfn.XLOOKUP(F617,'Wk no''s'!B:B,'Wk no''s'!C:C,0)</f>
        <v>10</v>
      </c>
    </row>
    <row r="618" spans="1:7" x14ac:dyDescent="0.3">
      <c r="A618" t="s">
        <v>2666</v>
      </c>
      <c r="B618" t="s">
        <v>2667</v>
      </c>
      <c r="C618" t="s">
        <v>2668</v>
      </c>
      <c r="D618">
        <v>0</v>
      </c>
      <c r="E618">
        <v>1</v>
      </c>
      <c r="F618" s="1">
        <v>45721</v>
      </c>
      <c r="G618">
        <f>_xlfn.XLOOKUP(F618,'Wk no''s'!B:B,'Wk no''s'!C:C,0)</f>
        <v>10</v>
      </c>
    </row>
    <row r="619" spans="1:7" x14ac:dyDescent="0.3">
      <c r="A619" t="s">
        <v>2669</v>
      </c>
      <c r="B619" t="s">
        <v>2670</v>
      </c>
      <c r="C619" t="s">
        <v>75</v>
      </c>
      <c r="D619">
        <v>3</v>
      </c>
      <c r="E619">
        <v>0</v>
      </c>
      <c r="F619" s="1">
        <v>45721</v>
      </c>
      <c r="G619">
        <f>_xlfn.XLOOKUP(F619,'Wk no''s'!B:B,'Wk no''s'!C:C,0)</f>
        <v>10</v>
      </c>
    </row>
    <row r="620" spans="1:7" x14ac:dyDescent="0.3">
      <c r="A620" t="s">
        <v>2671</v>
      </c>
      <c r="B620" t="s">
        <v>2672</v>
      </c>
      <c r="C620" t="s">
        <v>2648</v>
      </c>
      <c r="D620">
        <v>0</v>
      </c>
      <c r="E620">
        <v>1</v>
      </c>
      <c r="F620" s="1">
        <v>45721</v>
      </c>
      <c r="G620">
        <f>_xlfn.XLOOKUP(F620,'Wk no''s'!B:B,'Wk no''s'!C:C,0)</f>
        <v>10</v>
      </c>
    </row>
    <row r="621" spans="1:7" x14ac:dyDescent="0.3">
      <c r="A621" t="s">
        <v>2673</v>
      </c>
      <c r="B621" t="s">
        <v>2674</v>
      </c>
      <c r="C621" t="s">
        <v>75</v>
      </c>
      <c r="D621">
        <v>4</v>
      </c>
      <c r="E621">
        <v>0</v>
      </c>
      <c r="F621" s="1">
        <v>45721</v>
      </c>
      <c r="G621">
        <f>_xlfn.XLOOKUP(F621,'Wk no''s'!B:B,'Wk no''s'!C:C,0)</f>
        <v>10</v>
      </c>
    </row>
    <row r="622" spans="1:7" x14ac:dyDescent="0.3">
      <c r="A622" t="s">
        <v>2675</v>
      </c>
      <c r="B622" t="s">
        <v>2676</v>
      </c>
      <c r="C622" t="s">
        <v>394</v>
      </c>
      <c r="D622">
        <v>4</v>
      </c>
      <c r="E622">
        <v>0</v>
      </c>
      <c r="F622" s="1">
        <v>45722</v>
      </c>
      <c r="G622">
        <f>_xlfn.XLOOKUP(F622,'Wk no''s'!B:B,'Wk no''s'!C:C,0)</f>
        <v>10</v>
      </c>
    </row>
    <row r="623" spans="1:7" x14ac:dyDescent="0.3">
      <c r="A623" t="s">
        <v>2677</v>
      </c>
      <c r="B623" t="s">
        <v>2678</v>
      </c>
      <c r="C623" t="s">
        <v>4352</v>
      </c>
      <c r="D623">
        <v>134</v>
      </c>
      <c r="E623">
        <v>0</v>
      </c>
      <c r="F623" s="1">
        <v>45722</v>
      </c>
      <c r="G623">
        <f>_xlfn.XLOOKUP(F623,'Wk no''s'!B:B,'Wk no''s'!C:C,0)</f>
        <v>10</v>
      </c>
    </row>
    <row r="624" spans="1:7" x14ac:dyDescent="0.3">
      <c r="A624" t="s">
        <v>2679</v>
      </c>
      <c r="B624" t="s">
        <v>2680</v>
      </c>
      <c r="C624" t="s">
        <v>2681</v>
      </c>
      <c r="D624">
        <v>2</v>
      </c>
      <c r="E624">
        <v>0</v>
      </c>
      <c r="F624" s="1">
        <v>45722</v>
      </c>
      <c r="G624">
        <f>_xlfn.XLOOKUP(F624,'Wk no''s'!B:B,'Wk no''s'!C:C,0)</f>
        <v>10</v>
      </c>
    </row>
    <row r="625" spans="1:7" x14ac:dyDescent="0.3">
      <c r="A625" t="s">
        <v>2682</v>
      </c>
      <c r="B625" t="s">
        <v>2683</v>
      </c>
      <c r="C625" t="s">
        <v>197</v>
      </c>
      <c r="D625">
        <v>2</v>
      </c>
      <c r="E625">
        <v>0</v>
      </c>
      <c r="F625" s="1">
        <v>45722</v>
      </c>
      <c r="G625">
        <f>_xlfn.XLOOKUP(F625,'Wk no''s'!B:B,'Wk no''s'!C:C,0)</f>
        <v>10</v>
      </c>
    </row>
    <row r="626" spans="1:7" x14ac:dyDescent="0.3">
      <c r="A626" t="s">
        <v>2684</v>
      </c>
      <c r="B626" t="s">
        <v>2685</v>
      </c>
      <c r="C626" t="s">
        <v>2686</v>
      </c>
      <c r="D626">
        <v>1</v>
      </c>
      <c r="E626">
        <v>1</v>
      </c>
      <c r="F626" s="1">
        <v>45722</v>
      </c>
      <c r="G626">
        <f>_xlfn.XLOOKUP(F626,'Wk no''s'!B:B,'Wk no''s'!C:C,0)</f>
        <v>10</v>
      </c>
    </row>
    <row r="627" spans="1:7" x14ac:dyDescent="0.3">
      <c r="A627" t="s">
        <v>2687</v>
      </c>
      <c r="B627" t="s">
        <v>2688</v>
      </c>
      <c r="C627" t="s">
        <v>2689</v>
      </c>
      <c r="D627">
        <v>4</v>
      </c>
      <c r="E627">
        <v>0</v>
      </c>
      <c r="F627" s="1">
        <v>45722</v>
      </c>
      <c r="G627">
        <f>_xlfn.XLOOKUP(F627,'Wk no''s'!B:B,'Wk no''s'!C:C,0)</f>
        <v>10</v>
      </c>
    </row>
    <row r="628" spans="1:7" x14ac:dyDescent="0.3">
      <c r="A628" t="s">
        <v>2690</v>
      </c>
      <c r="B628" t="s">
        <v>2691</v>
      </c>
      <c r="C628" t="s">
        <v>386</v>
      </c>
      <c r="D628">
        <v>1</v>
      </c>
      <c r="E628">
        <v>1</v>
      </c>
      <c r="F628" s="1">
        <v>45722</v>
      </c>
      <c r="G628">
        <f>_xlfn.XLOOKUP(F628,'Wk no''s'!B:B,'Wk no''s'!C:C,0)</f>
        <v>10</v>
      </c>
    </row>
    <row r="629" spans="1:7" x14ac:dyDescent="0.3">
      <c r="A629" t="s">
        <v>2692</v>
      </c>
      <c r="B629" t="s">
        <v>2693</v>
      </c>
      <c r="C629" t="s">
        <v>5181</v>
      </c>
      <c r="D629">
        <v>0</v>
      </c>
      <c r="E629">
        <v>1</v>
      </c>
      <c r="F629" s="1">
        <v>45723</v>
      </c>
      <c r="G629">
        <f>_xlfn.XLOOKUP(F629,'Wk no''s'!B:B,'Wk no''s'!C:C,0)</f>
        <v>10</v>
      </c>
    </row>
    <row r="630" spans="1:7" x14ac:dyDescent="0.3">
      <c r="A630" t="s">
        <v>2694</v>
      </c>
      <c r="B630" t="s">
        <v>2695</v>
      </c>
      <c r="C630" t="s">
        <v>1117</v>
      </c>
      <c r="D630">
        <v>5</v>
      </c>
      <c r="E630">
        <v>0</v>
      </c>
      <c r="F630" s="1">
        <v>45723</v>
      </c>
      <c r="G630">
        <f>_xlfn.XLOOKUP(F630,'Wk no''s'!B:B,'Wk no''s'!C:C,0)</f>
        <v>10</v>
      </c>
    </row>
    <row r="631" spans="1:7" x14ac:dyDescent="0.3">
      <c r="A631" t="s">
        <v>2696</v>
      </c>
      <c r="B631" t="s">
        <v>2697</v>
      </c>
      <c r="C631" t="s">
        <v>10</v>
      </c>
      <c r="D631">
        <v>0</v>
      </c>
      <c r="E631">
        <v>1</v>
      </c>
      <c r="F631" s="1">
        <v>45723</v>
      </c>
      <c r="G631">
        <f>_xlfn.XLOOKUP(F631,'Wk no''s'!B:B,'Wk no''s'!C:C,0)</f>
        <v>10</v>
      </c>
    </row>
    <row r="632" spans="1:7" x14ac:dyDescent="0.3">
      <c r="A632" t="s">
        <v>2698</v>
      </c>
      <c r="B632" t="s">
        <v>2699</v>
      </c>
      <c r="C632" t="s">
        <v>2700</v>
      </c>
      <c r="D632">
        <v>0</v>
      </c>
      <c r="E632">
        <v>1</v>
      </c>
      <c r="F632" s="1">
        <v>45723</v>
      </c>
      <c r="G632">
        <f>_xlfn.XLOOKUP(F632,'Wk no''s'!B:B,'Wk no''s'!C:C,0)</f>
        <v>10</v>
      </c>
    </row>
    <row r="633" spans="1:7" x14ac:dyDescent="0.3">
      <c r="A633" t="s">
        <v>2701</v>
      </c>
      <c r="B633" t="s">
        <v>2702</v>
      </c>
      <c r="C633" t="s">
        <v>2703</v>
      </c>
      <c r="D633">
        <v>1</v>
      </c>
      <c r="E633">
        <v>1</v>
      </c>
      <c r="F633" s="1">
        <v>45723</v>
      </c>
      <c r="G633">
        <f>_xlfn.XLOOKUP(F633,'Wk no''s'!B:B,'Wk no''s'!C:C,0)</f>
        <v>10</v>
      </c>
    </row>
    <row r="634" spans="1:7" x14ac:dyDescent="0.3">
      <c r="A634" t="s">
        <v>2704</v>
      </c>
      <c r="B634" t="s">
        <v>2705</v>
      </c>
      <c r="C634" t="s">
        <v>2706</v>
      </c>
      <c r="D634">
        <v>6</v>
      </c>
      <c r="E634">
        <v>0</v>
      </c>
      <c r="F634" s="1">
        <v>45723</v>
      </c>
      <c r="G634">
        <f>_xlfn.XLOOKUP(F634,'Wk no''s'!B:B,'Wk no''s'!C:C,0)</f>
        <v>10</v>
      </c>
    </row>
    <row r="635" spans="1:7" x14ac:dyDescent="0.3">
      <c r="A635" t="s">
        <v>2707</v>
      </c>
      <c r="B635" t="s">
        <v>2708</v>
      </c>
      <c r="C635" t="s">
        <v>2709</v>
      </c>
      <c r="D635">
        <v>2</v>
      </c>
      <c r="E635">
        <v>0</v>
      </c>
      <c r="F635" s="1">
        <v>45723</v>
      </c>
      <c r="G635">
        <f>_xlfn.XLOOKUP(F635,'Wk no''s'!B:B,'Wk no''s'!C:C,0)</f>
        <v>10</v>
      </c>
    </row>
    <row r="636" spans="1:7" x14ac:dyDescent="0.3">
      <c r="A636" t="s">
        <v>2710</v>
      </c>
      <c r="B636" t="s">
        <v>2711</v>
      </c>
      <c r="C636" t="s">
        <v>2712</v>
      </c>
      <c r="D636">
        <v>0</v>
      </c>
      <c r="E636">
        <v>1</v>
      </c>
      <c r="F636" s="1">
        <v>45723</v>
      </c>
      <c r="G636">
        <f>_xlfn.XLOOKUP(F636,'Wk no''s'!B:B,'Wk no''s'!C:C,0)</f>
        <v>10</v>
      </c>
    </row>
    <row r="637" spans="1:7" x14ac:dyDescent="0.3">
      <c r="A637" t="s">
        <v>2713</v>
      </c>
      <c r="B637" t="s">
        <v>2714</v>
      </c>
      <c r="C637" t="s">
        <v>2715</v>
      </c>
      <c r="D637">
        <v>0</v>
      </c>
      <c r="E637">
        <v>1</v>
      </c>
      <c r="F637" s="1">
        <v>45723</v>
      </c>
      <c r="G637">
        <f>_xlfn.XLOOKUP(F637,'Wk no''s'!B:B,'Wk no''s'!C:C,0)</f>
        <v>10</v>
      </c>
    </row>
    <row r="638" spans="1:7" x14ac:dyDescent="0.3">
      <c r="A638" t="s">
        <v>2716</v>
      </c>
      <c r="B638" t="s">
        <v>2717</v>
      </c>
      <c r="C638" t="s">
        <v>15</v>
      </c>
      <c r="D638">
        <v>2</v>
      </c>
      <c r="E638">
        <v>0</v>
      </c>
      <c r="F638" s="1">
        <v>45723</v>
      </c>
      <c r="G638">
        <f>_xlfn.XLOOKUP(F638,'Wk no''s'!B:B,'Wk no''s'!C:C,0)</f>
        <v>10</v>
      </c>
    </row>
    <row r="639" spans="1:7" x14ac:dyDescent="0.3">
      <c r="A639" t="s">
        <v>2718</v>
      </c>
      <c r="B639" t="s">
        <v>2719</v>
      </c>
      <c r="C639" t="s">
        <v>1368</v>
      </c>
      <c r="D639">
        <v>1</v>
      </c>
      <c r="E639">
        <v>1</v>
      </c>
      <c r="F639" s="1">
        <v>45723</v>
      </c>
      <c r="G639">
        <f>_xlfn.XLOOKUP(F639,'Wk no''s'!B:B,'Wk no''s'!C:C,0)</f>
        <v>10</v>
      </c>
    </row>
    <row r="640" spans="1:7" x14ac:dyDescent="0.3">
      <c r="A640" t="s">
        <v>2720</v>
      </c>
      <c r="B640" t="s">
        <v>2721</v>
      </c>
      <c r="C640" t="s">
        <v>2722</v>
      </c>
      <c r="D640">
        <v>0</v>
      </c>
      <c r="E640">
        <v>1</v>
      </c>
      <c r="F640" s="1">
        <v>45726</v>
      </c>
      <c r="G640">
        <f>_xlfn.XLOOKUP(F640,'Wk no''s'!B:B,'Wk no''s'!C:C,0)</f>
        <v>11</v>
      </c>
    </row>
    <row r="641" spans="1:7" x14ac:dyDescent="0.3">
      <c r="A641" t="s">
        <v>2723</v>
      </c>
      <c r="B641" t="s">
        <v>2724</v>
      </c>
      <c r="C641" t="s">
        <v>2725</v>
      </c>
      <c r="D641">
        <v>1</v>
      </c>
      <c r="E641">
        <v>1</v>
      </c>
      <c r="F641" s="1">
        <v>45726</v>
      </c>
      <c r="G641">
        <f>_xlfn.XLOOKUP(F641,'Wk no''s'!B:B,'Wk no''s'!C:C,0)</f>
        <v>11</v>
      </c>
    </row>
    <row r="642" spans="1:7" x14ac:dyDescent="0.3">
      <c r="A642" t="s">
        <v>2726</v>
      </c>
      <c r="B642" t="s">
        <v>2727</v>
      </c>
      <c r="C642" t="s">
        <v>2066</v>
      </c>
      <c r="D642">
        <v>58</v>
      </c>
      <c r="E642">
        <v>0</v>
      </c>
      <c r="F642" s="1">
        <v>45726</v>
      </c>
      <c r="G642">
        <f>_xlfn.XLOOKUP(F642,'Wk no''s'!B:B,'Wk no''s'!C:C,0)</f>
        <v>11</v>
      </c>
    </row>
    <row r="643" spans="1:7" x14ac:dyDescent="0.3">
      <c r="A643" t="s">
        <v>2728</v>
      </c>
      <c r="B643" t="s">
        <v>2729</v>
      </c>
      <c r="C643" t="s">
        <v>2730</v>
      </c>
      <c r="D643">
        <v>1</v>
      </c>
      <c r="E643">
        <v>1</v>
      </c>
      <c r="F643" s="1">
        <v>45726</v>
      </c>
      <c r="G643">
        <f>_xlfn.XLOOKUP(F643,'Wk no''s'!B:B,'Wk no''s'!C:C,0)</f>
        <v>11</v>
      </c>
    </row>
    <row r="644" spans="1:7" x14ac:dyDescent="0.3">
      <c r="A644" t="s">
        <v>2731</v>
      </c>
      <c r="B644" t="s">
        <v>2732</v>
      </c>
      <c r="C644" t="s">
        <v>2733</v>
      </c>
      <c r="D644">
        <v>2</v>
      </c>
      <c r="E644">
        <v>0</v>
      </c>
      <c r="F644" s="1">
        <v>45726</v>
      </c>
      <c r="G644">
        <f>_xlfn.XLOOKUP(F644,'Wk no''s'!B:B,'Wk no''s'!C:C,0)</f>
        <v>11</v>
      </c>
    </row>
    <row r="645" spans="1:7" x14ac:dyDescent="0.3">
      <c r="A645" t="s">
        <v>2734</v>
      </c>
      <c r="B645" t="s">
        <v>2735</v>
      </c>
      <c r="C645" t="s">
        <v>2736</v>
      </c>
      <c r="D645">
        <v>3</v>
      </c>
      <c r="E645">
        <v>0</v>
      </c>
      <c r="F645" s="1">
        <v>45726</v>
      </c>
      <c r="G645">
        <f>_xlfn.XLOOKUP(F645,'Wk no''s'!B:B,'Wk no''s'!C:C,0)</f>
        <v>11</v>
      </c>
    </row>
    <row r="646" spans="1:7" x14ac:dyDescent="0.3">
      <c r="A646" t="s">
        <v>2737</v>
      </c>
      <c r="B646" t="s">
        <v>2738</v>
      </c>
      <c r="C646" t="s">
        <v>249</v>
      </c>
      <c r="D646">
        <v>10</v>
      </c>
      <c r="E646">
        <v>0</v>
      </c>
      <c r="F646" s="1">
        <v>45726</v>
      </c>
      <c r="G646">
        <f>_xlfn.XLOOKUP(F646,'Wk no''s'!B:B,'Wk no''s'!C:C,0)</f>
        <v>11</v>
      </c>
    </row>
    <row r="647" spans="1:7" x14ac:dyDescent="0.3">
      <c r="A647" t="s">
        <v>2739</v>
      </c>
      <c r="B647" t="s">
        <v>2740</v>
      </c>
      <c r="C647" t="s">
        <v>2741</v>
      </c>
      <c r="D647">
        <v>0</v>
      </c>
      <c r="E647">
        <v>1</v>
      </c>
      <c r="F647" s="1">
        <v>45727</v>
      </c>
      <c r="G647">
        <f>_xlfn.XLOOKUP(F647,'Wk no''s'!B:B,'Wk no''s'!C:C,0)</f>
        <v>11</v>
      </c>
    </row>
    <row r="648" spans="1:7" x14ac:dyDescent="0.3">
      <c r="A648" t="s">
        <v>2742</v>
      </c>
      <c r="B648" t="s">
        <v>2743</v>
      </c>
      <c r="C648" t="s">
        <v>13</v>
      </c>
      <c r="D648">
        <v>11</v>
      </c>
      <c r="E648">
        <v>0</v>
      </c>
      <c r="F648" s="1">
        <v>45727</v>
      </c>
      <c r="G648">
        <f>_xlfn.XLOOKUP(F648,'Wk no''s'!B:B,'Wk no''s'!C:C,0)</f>
        <v>11</v>
      </c>
    </row>
    <row r="649" spans="1:7" x14ac:dyDescent="0.3">
      <c r="A649" t="s">
        <v>2744</v>
      </c>
      <c r="B649" t="s">
        <v>2745</v>
      </c>
      <c r="C649" t="s">
        <v>2746</v>
      </c>
      <c r="D649">
        <v>11</v>
      </c>
      <c r="E649">
        <v>0</v>
      </c>
      <c r="F649" s="1">
        <v>45727</v>
      </c>
      <c r="G649">
        <f>_xlfn.XLOOKUP(F649,'Wk no''s'!B:B,'Wk no''s'!C:C,0)</f>
        <v>11</v>
      </c>
    </row>
    <row r="650" spans="1:7" x14ac:dyDescent="0.3">
      <c r="A650" t="s">
        <v>2747</v>
      </c>
      <c r="B650" t="s">
        <v>2748</v>
      </c>
      <c r="C650" t="s">
        <v>390</v>
      </c>
      <c r="D650">
        <v>131</v>
      </c>
      <c r="E650">
        <v>0</v>
      </c>
      <c r="F650" s="1">
        <v>45727</v>
      </c>
      <c r="G650">
        <f>_xlfn.XLOOKUP(F650,'Wk no''s'!B:B,'Wk no''s'!C:C,0)</f>
        <v>11</v>
      </c>
    </row>
    <row r="651" spans="1:7" x14ac:dyDescent="0.3">
      <c r="A651" t="s">
        <v>2749</v>
      </c>
      <c r="B651" t="s">
        <v>2750</v>
      </c>
      <c r="C651" t="s">
        <v>2751</v>
      </c>
      <c r="D651">
        <v>0</v>
      </c>
      <c r="E651">
        <v>1</v>
      </c>
      <c r="F651" s="1">
        <v>45727</v>
      </c>
      <c r="G651">
        <f>_xlfn.XLOOKUP(F651,'Wk no''s'!B:B,'Wk no''s'!C:C,0)</f>
        <v>11</v>
      </c>
    </row>
    <row r="652" spans="1:7" x14ac:dyDescent="0.3">
      <c r="A652" t="s">
        <v>2752</v>
      </c>
      <c r="B652" t="s">
        <v>2753</v>
      </c>
      <c r="C652" t="s">
        <v>2751</v>
      </c>
      <c r="D652">
        <v>0</v>
      </c>
      <c r="E652">
        <v>1</v>
      </c>
      <c r="F652" s="1">
        <v>45727</v>
      </c>
      <c r="G652">
        <f>_xlfn.XLOOKUP(F652,'Wk no''s'!B:B,'Wk no''s'!C:C,0)</f>
        <v>11</v>
      </c>
    </row>
    <row r="653" spans="1:7" x14ac:dyDescent="0.3">
      <c r="A653" t="s">
        <v>2754</v>
      </c>
      <c r="B653" t="s">
        <v>2755</v>
      </c>
      <c r="C653" t="s">
        <v>105</v>
      </c>
      <c r="D653">
        <v>9</v>
      </c>
      <c r="E653">
        <v>0</v>
      </c>
      <c r="F653" s="1">
        <v>45727</v>
      </c>
      <c r="G653">
        <f>_xlfn.XLOOKUP(F653,'Wk no''s'!B:B,'Wk no''s'!C:C,0)</f>
        <v>11</v>
      </c>
    </row>
    <row r="654" spans="1:7" x14ac:dyDescent="0.3">
      <c r="A654" t="s">
        <v>2756</v>
      </c>
      <c r="B654" t="s">
        <v>2757</v>
      </c>
      <c r="C654" t="s">
        <v>2259</v>
      </c>
      <c r="D654">
        <v>0</v>
      </c>
      <c r="E654">
        <v>1</v>
      </c>
      <c r="F654" s="1">
        <v>45727</v>
      </c>
      <c r="G654">
        <f>_xlfn.XLOOKUP(F654,'Wk no''s'!B:B,'Wk no''s'!C:C,0)</f>
        <v>11</v>
      </c>
    </row>
    <row r="655" spans="1:7" x14ac:dyDescent="0.3">
      <c r="A655" t="s">
        <v>2758</v>
      </c>
      <c r="B655" t="s">
        <v>2759</v>
      </c>
      <c r="C655" t="s">
        <v>1298</v>
      </c>
      <c r="D655">
        <v>1</v>
      </c>
      <c r="E655">
        <v>1</v>
      </c>
      <c r="F655" s="1">
        <v>45727</v>
      </c>
      <c r="G655">
        <f>_xlfn.XLOOKUP(F655,'Wk no''s'!B:B,'Wk no''s'!C:C,0)</f>
        <v>11</v>
      </c>
    </row>
    <row r="656" spans="1:7" x14ac:dyDescent="0.3">
      <c r="A656" t="s">
        <v>2760</v>
      </c>
      <c r="B656" t="s">
        <v>2761</v>
      </c>
      <c r="C656" t="s">
        <v>2762</v>
      </c>
      <c r="D656">
        <v>0</v>
      </c>
      <c r="E656">
        <v>1</v>
      </c>
      <c r="F656" s="1">
        <v>45727</v>
      </c>
      <c r="G656">
        <f>_xlfn.XLOOKUP(F656,'Wk no''s'!B:B,'Wk no''s'!C:C,0)</f>
        <v>11</v>
      </c>
    </row>
    <row r="657" spans="1:7" x14ac:dyDescent="0.3">
      <c r="A657" t="s">
        <v>2763</v>
      </c>
      <c r="B657" t="s">
        <v>2764</v>
      </c>
      <c r="C657" t="s">
        <v>2765</v>
      </c>
      <c r="D657">
        <v>0</v>
      </c>
      <c r="E657">
        <v>1</v>
      </c>
      <c r="F657" s="1">
        <v>45728</v>
      </c>
      <c r="G657">
        <f>_xlfn.XLOOKUP(F657,'Wk no''s'!B:B,'Wk no''s'!C:C,0)</f>
        <v>11</v>
      </c>
    </row>
    <row r="658" spans="1:7" x14ac:dyDescent="0.3">
      <c r="A658" t="s">
        <v>2766</v>
      </c>
      <c r="B658" t="s">
        <v>2767</v>
      </c>
      <c r="C658" t="s">
        <v>33</v>
      </c>
      <c r="D658">
        <v>0</v>
      </c>
      <c r="E658">
        <v>1</v>
      </c>
      <c r="F658" s="1">
        <v>45728</v>
      </c>
      <c r="G658">
        <f>_xlfn.XLOOKUP(F658,'Wk no''s'!B:B,'Wk no''s'!C:C,0)</f>
        <v>11</v>
      </c>
    </row>
    <row r="659" spans="1:7" x14ac:dyDescent="0.3">
      <c r="A659" t="s">
        <v>2768</v>
      </c>
      <c r="B659" t="s">
        <v>2769</v>
      </c>
      <c r="C659" t="s">
        <v>2770</v>
      </c>
      <c r="D659">
        <v>0</v>
      </c>
      <c r="E659">
        <v>1</v>
      </c>
      <c r="F659" s="1">
        <v>45728</v>
      </c>
      <c r="G659">
        <f>_xlfn.XLOOKUP(F659,'Wk no''s'!B:B,'Wk no''s'!C:C,0)</f>
        <v>11</v>
      </c>
    </row>
    <row r="660" spans="1:7" x14ac:dyDescent="0.3">
      <c r="A660" t="s">
        <v>2771</v>
      </c>
      <c r="B660" t="s">
        <v>2772</v>
      </c>
      <c r="C660" t="s">
        <v>1967</v>
      </c>
      <c r="D660">
        <v>4</v>
      </c>
      <c r="E660">
        <v>0</v>
      </c>
      <c r="F660" s="1">
        <v>45728</v>
      </c>
      <c r="G660">
        <f>_xlfn.XLOOKUP(F660,'Wk no''s'!B:B,'Wk no''s'!C:C,0)</f>
        <v>11</v>
      </c>
    </row>
    <row r="661" spans="1:7" x14ac:dyDescent="0.3">
      <c r="A661" t="s">
        <v>2773</v>
      </c>
      <c r="B661" t="s">
        <v>2774</v>
      </c>
      <c r="C661" t="s">
        <v>2775</v>
      </c>
      <c r="D661">
        <v>5</v>
      </c>
      <c r="E661">
        <v>0</v>
      </c>
      <c r="F661" s="1">
        <v>45728</v>
      </c>
      <c r="G661">
        <f>_xlfn.XLOOKUP(F661,'Wk no''s'!B:B,'Wk no''s'!C:C,0)</f>
        <v>11</v>
      </c>
    </row>
    <row r="662" spans="1:7" x14ac:dyDescent="0.3">
      <c r="A662" t="s">
        <v>2776</v>
      </c>
      <c r="B662" t="s">
        <v>2777</v>
      </c>
      <c r="C662" t="s">
        <v>2778</v>
      </c>
      <c r="D662">
        <v>0</v>
      </c>
      <c r="E662">
        <v>1</v>
      </c>
      <c r="F662" s="1">
        <v>45728</v>
      </c>
      <c r="G662">
        <f>_xlfn.XLOOKUP(F662,'Wk no''s'!B:B,'Wk no''s'!C:C,0)</f>
        <v>11</v>
      </c>
    </row>
    <row r="663" spans="1:7" x14ac:dyDescent="0.3">
      <c r="A663" t="s">
        <v>2779</v>
      </c>
      <c r="B663" t="s">
        <v>2780</v>
      </c>
      <c r="C663" t="s">
        <v>75</v>
      </c>
      <c r="D663">
        <v>0</v>
      </c>
      <c r="E663">
        <v>1</v>
      </c>
      <c r="F663" s="1">
        <v>45728</v>
      </c>
      <c r="G663">
        <f>_xlfn.XLOOKUP(F663,'Wk no''s'!B:B,'Wk no''s'!C:C,0)</f>
        <v>11</v>
      </c>
    </row>
    <row r="664" spans="1:7" x14ac:dyDescent="0.3">
      <c r="A664" t="s">
        <v>2781</v>
      </c>
      <c r="B664" t="s">
        <v>2782</v>
      </c>
      <c r="C664" t="s">
        <v>33</v>
      </c>
      <c r="D664">
        <v>0</v>
      </c>
      <c r="E664">
        <v>1</v>
      </c>
      <c r="F664" s="1">
        <v>45728</v>
      </c>
      <c r="G664">
        <f>_xlfn.XLOOKUP(F664,'Wk no''s'!B:B,'Wk no''s'!C:C,0)</f>
        <v>11</v>
      </c>
    </row>
    <row r="665" spans="1:7" x14ac:dyDescent="0.3">
      <c r="A665" t="s">
        <v>2783</v>
      </c>
      <c r="B665" t="s">
        <v>2784</v>
      </c>
      <c r="C665" t="s">
        <v>2270</v>
      </c>
      <c r="D665">
        <v>0</v>
      </c>
      <c r="E665">
        <v>1</v>
      </c>
      <c r="F665" s="1">
        <v>45728</v>
      </c>
      <c r="G665">
        <f>_xlfn.XLOOKUP(F665,'Wk no''s'!B:B,'Wk no''s'!C:C,0)</f>
        <v>11</v>
      </c>
    </row>
    <row r="666" spans="1:7" x14ac:dyDescent="0.3">
      <c r="A666" t="s">
        <v>2785</v>
      </c>
      <c r="B666" t="s">
        <v>2786</v>
      </c>
      <c r="C666" t="s">
        <v>27</v>
      </c>
      <c r="D666">
        <v>0</v>
      </c>
      <c r="E666">
        <v>1</v>
      </c>
      <c r="F666" s="1">
        <v>45728</v>
      </c>
      <c r="G666">
        <f>_xlfn.XLOOKUP(F666,'Wk no''s'!B:B,'Wk no''s'!C:C,0)</f>
        <v>11</v>
      </c>
    </row>
    <row r="667" spans="1:7" x14ac:dyDescent="0.3">
      <c r="A667" t="s">
        <v>2787</v>
      </c>
      <c r="B667" t="s">
        <v>2788</v>
      </c>
      <c r="C667" t="s">
        <v>2789</v>
      </c>
      <c r="D667">
        <v>0</v>
      </c>
      <c r="E667">
        <v>1</v>
      </c>
      <c r="F667" s="1">
        <v>45728</v>
      </c>
      <c r="G667">
        <f>_xlfn.XLOOKUP(F667,'Wk no''s'!B:B,'Wk no''s'!C:C,0)</f>
        <v>11</v>
      </c>
    </row>
    <row r="668" spans="1:7" x14ac:dyDescent="0.3">
      <c r="A668" t="s">
        <v>2790</v>
      </c>
      <c r="B668" t="s">
        <v>2791</v>
      </c>
      <c r="C668" t="s">
        <v>2792</v>
      </c>
      <c r="D668">
        <v>10</v>
      </c>
      <c r="E668">
        <v>0</v>
      </c>
      <c r="F668" s="1">
        <v>45728</v>
      </c>
      <c r="G668">
        <f>_xlfn.XLOOKUP(F668,'Wk no''s'!B:B,'Wk no''s'!C:C,0)</f>
        <v>11</v>
      </c>
    </row>
    <row r="669" spans="1:7" x14ac:dyDescent="0.3">
      <c r="A669" t="s">
        <v>2793</v>
      </c>
      <c r="B669" t="s">
        <v>2794</v>
      </c>
      <c r="C669" t="s">
        <v>407</v>
      </c>
      <c r="D669">
        <v>0</v>
      </c>
      <c r="E669">
        <v>1</v>
      </c>
      <c r="F669" s="1">
        <v>45728</v>
      </c>
      <c r="G669">
        <f>_xlfn.XLOOKUP(F669,'Wk no''s'!B:B,'Wk no''s'!C:C,0)</f>
        <v>11</v>
      </c>
    </row>
    <row r="670" spans="1:7" x14ac:dyDescent="0.3">
      <c r="A670" t="s">
        <v>2795</v>
      </c>
      <c r="B670" t="s">
        <v>2796</v>
      </c>
      <c r="C670" t="s">
        <v>2259</v>
      </c>
      <c r="D670">
        <v>0</v>
      </c>
      <c r="E670">
        <v>1</v>
      </c>
      <c r="F670" s="1">
        <v>45728</v>
      </c>
      <c r="G670">
        <f>_xlfn.XLOOKUP(F670,'Wk no''s'!B:B,'Wk no''s'!C:C,0)</f>
        <v>11</v>
      </c>
    </row>
    <row r="671" spans="1:7" x14ac:dyDescent="0.3">
      <c r="A671" t="s">
        <v>2797</v>
      </c>
      <c r="B671" t="s">
        <v>2798</v>
      </c>
      <c r="C671" t="s">
        <v>2799</v>
      </c>
      <c r="D671">
        <v>0</v>
      </c>
      <c r="E671">
        <v>1</v>
      </c>
      <c r="F671" s="1">
        <v>45728</v>
      </c>
      <c r="G671">
        <f>_xlfn.XLOOKUP(F671,'Wk no''s'!B:B,'Wk no''s'!C:C,0)</f>
        <v>11</v>
      </c>
    </row>
    <row r="672" spans="1:7" x14ac:dyDescent="0.3">
      <c r="A672" t="s">
        <v>2800</v>
      </c>
      <c r="B672" t="s">
        <v>2801</v>
      </c>
      <c r="C672" t="s">
        <v>2802</v>
      </c>
      <c r="D672">
        <v>0</v>
      </c>
      <c r="E672">
        <v>1</v>
      </c>
      <c r="F672" s="1">
        <v>45729</v>
      </c>
      <c r="G672">
        <f>_xlfn.XLOOKUP(F672,'Wk no''s'!B:B,'Wk no''s'!C:C,0)</f>
        <v>11</v>
      </c>
    </row>
    <row r="673" spans="1:7" x14ac:dyDescent="0.3">
      <c r="A673" t="s">
        <v>2803</v>
      </c>
      <c r="B673" t="s">
        <v>2804</v>
      </c>
      <c r="C673" t="s">
        <v>2648</v>
      </c>
      <c r="D673">
        <v>0</v>
      </c>
      <c r="E673">
        <v>1</v>
      </c>
      <c r="F673" s="1">
        <v>45729</v>
      </c>
      <c r="G673">
        <f>_xlfn.XLOOKUP(F673,'Wk no''s'!B:B,'Wk no''s'!C:C,0)</f>
        <v>11</v>
      </c>
    </row>
    <row r="674" spans="1:7" x14ac:dyDescent="0.3">
      <c r="A674" t="s">
        <v>2805</v>
      </c>
      <c r="B674" t="s">
        <v>2806</v>
      </c>
      <c r="C674" t="s">
        <v>2807</v>
      </c>
      <c r="D674">
        <v>26</v>
      </c>
      <c r="E674">
        <v>0</v>
      </c>
      <c r="F674" s="1">
        <v>45729</v>
      </c>
      <c r="G674">
        <f>_xlfn.XLOOKUP(F674,'Wk no''s'!B:B,'Wk no''s'!C:C,0)</f>
        <v>11</v>
      </c>
    </row>
    <row r="675" spans="1:7" x14ac:dyDescent="0.3">
      <c r="A675" t="s">
        <v>2808</v>
      </c>
      <c r="B675" t="s">
        <v>2809</v>
      </c>
      <c r="C675" t="s">
        <v>2810</v>
      </c>
      <c r="D675">
        <v>0</v>
      </c>
      <c r="E675">
        <v>1</v>
      </c>
      <c r="F675" s="1">
        <v>45730</v>
      </c>
      <c r="G675">
        <f>_xlfn.XLOOKUP(F675,'Wk no''s'!B:B,'Wk no''s'!C:C,0)</f>
        <v>11</v>
      </c>
    </row>
    <row r="676" spans="1:7" x14ac:dyDescent="0.3">
      <c r="A676" t="s">
        <v>2811</v>
      </c>
      <c r="B676" t="s">
        <v>2812</v>
      </c>
      <c r="C676" t="s">
        <v>2813</v>
      </c>
      <c r="D676">
        <v>128</v>
      </c>
      <c r="E676">
        <v>0</v>
      </c>
      <c r="F676" s="1">
        <v>45730</v>
      </c>
      <c r="G676">
        <f>_xlfn.XLOOKUP(F676,'Wk no''s'!B:B,'Wk no''s'!C:C,0)</f>
        <v>11</v>
      </c>
    </row>
    <row r="677" spans="1:7" x14ac:dyDescent="0.3">
      <c r="A677" t="s">
        <v>2814</v>
      </c>
      <c r="B677" t="s">
        <v>2815</v>
      </c>
      <c r="C677" t="s">
        <v>31</v>
      </c>
      <c r="D677">
        <v>8</v>
      </c>
      <c r="E677">
        <v>0</v>
      </c>
      <c r="F677" s="1">
        <v>45730</v>
      </c>
      <c r="G677">
        <f>_xlfn.XLOOKUP(F677,'Wk no''s'!B:B,'Wk no''s'!C:C,0)</f>
        <v>11</v>
      </c>
    </row>
    <row r="678" spans="1:7" x14ac:dyDescent="0.3">
      <c r="A678" t="s">
        <v>2816</v>
      </c>
      <c r="B678" t="s">
        <v>2817</v>
      </c>
      <c r="C678" t="s">
        <v>2818</v>
      </c>
      <c r="D678">
        <v>0</v>
      </c>
      <c r="E678">
        <v>1</v>
      </c>
      <c r="F678" s="1">
        <v>45730</v>
      </c>
      <c r="G678">
        <f>_xlfn.XLOOKUP(F678,'Wk no''s'!B:B,'Wk no''s'!C:C,0)</f>
        <v>11</v>
      </c>
    </row>
    <row r="679" spans="1:7" x14ac:dyDescent="0.3">
      <c r="A679" t="s">
        <v>2819</v>
      </c>
      <c r="B679" t="s">
        <v>2820</v>
      </c>
      <c r="C679" t="s">
        <v>1393</v>
      </c>
      <c r="D679">
        <v>3</v>
      </c>
      <c r="E679">
        <v>0</v>
      </c>
      <c r="F679" s="1">
        <v>45730</v>
      </c>
      <c r="G679">
        <f>_xlfn.XLOOKUP(F679,'Wk no''s'!B:B,'Wk no''s'!C:C,0)</f>
        <v>11</v>
      </c>
    </row>
    <row r="680" spans="1:7" x14ac:dyDescent="0.3">
      <c r="A680" t="s">
        <v>2821</v>
      </c>
      <c r="B680" t="s">
        <v>2822</v>
      </c>
      <c r="C680" t="s">
        <v>2823</v>
      </c>
      <c r="D680">
        <v>3</v>
      </c>
      <c r="E680">
        <v>0</v>
      </c>
      <c r="F680" s="1">
        <v>45730</v>
      </c>
      <c r="G680">
        <f>_xlfn.XLOOKUP(F680,'Wk no''s'!B:B,'Wk no''s'!C:C,0)</f>
        <v>11</v>
      </c>
    </row>
    <row r="681" spans="1:7" x14ac:dyDescent="0.3">
      <c r="A681" t="s">
        <v>2824</v>
      </c>
      <c r="B681" t="s">
        <v>2825</v>
      </c>
      <c r="C681" t="s">
        <v>481</v>
      </c>
      <c r="D681">
        <v>8</v>
      </c>
      <c r="E681">
        <v>0</v>
      </c>
      <c r="F681" s="1">
        <v>45730</v>
      </c>
      <c r="G681">
        <f>_xlfn.XLOOKUP(F681,'Wk no''s'!B:B,'Wk no''s'!C:C,0)</f>
        <v>11</v>
      </c>
    </row>
    <row r="682" spans="1:7" x14ac:dyDescent="0.3">
      <c r="A682" t="s">
        <v>2826</v>
      </c>
      <c r="B682" t="s">
        <v>2827</v>
      </c>
      <c r="C682" t="s">
        <v>33</v>
      </c>
      <c r="D682">
        <v>0</v>
      </c>
      <c r="E682">
        <v>1</v>
      </c>
      <c r="F682" s="1">
        <v>45730</v>
      </c>
      <c r="G682">
        <f>_xlfn.XLOOKUP(F682,'Wk no''s'!B:B,'Wk no''s'!C:C,0)</f>
        <v>11</v>
      </c>
    </row>
    <row r="683" spans="1:7" x14ac:dyDescent="0.3">
      <c r="A683" t="s">
        <v>2828</v>
      </c>
      <c r="B683" t="s">
        <v>2829</v>
      </c>
      <c r="C683" t="s">
        <v>2291</v>
      </c>
      <c r="D683">
        <v>6</v>
      </c>
      <c r="E683">
        <v>0</v>
      </c>
      <c r="F683" s="1">
        <v>45730</v>
      </c>
      <c r="G683">
        <f>_xlfn.XLOOKUP(F683,'Wk no''s'!B:B,'Wk no''s'!C:C,0)</f>
        <v>11</v>
      </c>
    </row>
    <row r="684" spans="1:7" x14ac:dyDescent="0.3">
      <c r="A684" t="s">
        <v>2830</v>
      </c>
      <c r="B684" t="s">
        <v>2831</v>
      </c>
      <c r="C684" t="s">
        <v>2832</v>
      </c>
      <c r="D684">
        <v>2</v>
      </c>
      <c r="E684">
        <v>0</v>
      </c>
      <c r="F684" s="1">
        <v>45730</v>
      </c>
      <c r="G684">
        <f>_xlfn.XLOOKUP(F684,'Wk no''s'!B:B,'Wk no''s'!C:C,0)</f>
        <v>11</v>
      </c>
    </row>
    <row r="685" spans="1:7" x14ac:dyDescent="0.3">
      <c r="A685" t="s">
        <v>2833</v>
      </c>
      <c r="B685" t="s">
        <v>2834</v>
      </c>
      <c r="C685" t="s">
        <v>2835</v>
      </c>
      <c r="D685">
        <v>4</v>
      </c>
      <c r="E685">
        <v>0</v>
      </c>
      <c r="F685" s="1">
        <v>45730</v>
      </c>
      <c r="G685">
        <f>_xlfn.XLOOKUP(F685,'Wk no''s'!B:B,'Wk no''s'!C:C,0)</f>
        <v>11</v>
      </c>
    </row>
    <row r="686" spans="1:7" x14ac:dyDescent="0.3">
      <c r="A686" t="s">
        <v>2836</v>
      </c>
      <c r="B686" t="s">
        <v>2837</v>
      </c>
      <c r="C686" t="s">
        <v>407</v>
      </c>
      <c r="D686">
        <v>0</v>
      </c>
      <c r="E686">
        <v>1</v>
      </c>
      <c r="F686" s="1">
        <v>45730</v>
      </c>
      <c r="G686">
        <f>_xlfn.XLOOKUP(F686,'Wk no''s'!B:B,'Wk no''s'!C:C,0)</f>
        <v>11</v>
      </c>
    </row>
    <row r="687" spans="1:7" x14ac:dyDescent="0.3">
      <c r="A687" t="s">
        <v>2838</v>
      </c>
      <c r="B687" t="s">
        <v>2839</v>
      </c>
      <c r="C687" t="s">
        <v>2840</v>
      </c>
      <c r="D687">
        <v>8</v>
      </c>
      <c r="E687">
        <v>0</v>
      </c>
      <c r="F687" s="1">
        <v>45730</v>
      </c>
      <c r="G687">
        <f>_xlfn.XLOOKUP(F687,'Wk no''s'!B:B,'Wk no''s'!C:C,0)</f>
        <v>11</v>
      </c>
    </row>
    <row r="688" spans="1:7" x14ac:dyDescent="0.3">
      <c r="A688" t="s">
        <v>2841</v>
      </c>
      <c r="B688" t="s">
        <v>2842</v>
      </c>
      <c r="C688" t="s">
        <v>644</v>
      </c>
      <c r="D688">
        <v>5</v>
      </c>
      <c r="E688">
        <v>0</v>
      </c>
      <c r="F688" s="1">
        <v>45733</v>
      </c>
      <c r="G688">
        <f>_xlfn.XLOOKUP(F688,'Wk no''s'!B:B,'Wk no''s'!C:C,0)</f>
        <v>12</v>
      </c>
    </row>
    <row r="689" spans="1:7" x14ac:dyDescent="0.3">
      <c r="A689" t="s">
        <v>2843</v>
      </c>
      <c r="B689" t="s">
        <v>2844</v>
      </c>
      <c r="C689" t="s">
        <v>750</v>
      </c>
      <c r="D689">
        <v>0</v>
      </c>
      <c r="E689">
        <v>1</v>
      </c>
      <c r="F689" s="1">
        <v>45733</v>
      </c>
      <c r="G689">
        <f>_xlfn.XLOOKUP(F689,'Wk no''s'!B:B,'Wk no''s'!C:C,0)</f>
        <v>12</v>
      </c>
    </row>
    <row r="690" spans="1:7" x14ac:dyDescent="0.3">
      <c r="A690" t="s">
        <v>2845</v>
      </c>
      <c r="B690" t="s">
        <v>2846</v>
      </c>
      <c r="C690" t="s">
        <v>1781</v>
      </c>
      <c r="D690">
        <v>0</v>
      </c>
      <c r="E690">
        <v>1</v>
      </c>
      <c r="F690" s="1">
        <v>45733</v>
      </c>
      <c r="G690">
        <f>_xlfn.XLOOKUP(F690,'Wk no''s'!B:B,'Wk no''s'!C:C,0)</f>
        <v>12</v>
      </c>
    </row>
    <row r="691" spans="1:7" x14ac:dyDescent="0.3">
      <c r="A691" t="s">
        <v>2847</v>
      </c>
      <c r="B691" t="s">
        <v>2848</v>
      </c>
      <c r="C691" t="s">
        <v>2849</v>
      </c>
      <c r="D691">
        <v>7</v>
      </c>
      <c r="E691">
        <v>0</v>
      </c>
      <c r="F691" s="1">
        <v>45733</v>
      </c>
      <c r="G691">
        <f>_xlfn.XLOOKUP(F691,'Wk no''s'!B:B,'Wk no''s'!C:C,0)</f>
        <v>12</v>
      </c>
    </row>
    <row r="692" spans="1:7" x14ac:dyDescent="0.3">
      <c r="A692" t="s">
        <v>2850</v>
      </c>
      <c r="B692" t="s">
        <v>2851</v>
      </c>
      <c r="C692" t="s">
        <v>2852</v>
      </c>
      <c r="D692">
        <v>0</v>
      </c>
      <c r="E692">
        <v>1</v>
      </c>
      <c r="F692" s="1">
        <v>45733</v>
      </c>
      <c r="G692">
        <f>_xlfn.XLOOKUP(F692,'Wk no''s'!B:B,'Wk no''s'!C:C,0)</f>
        <v>12</v>
      </c>
    </row>
    <row r="693" spans="1:7" x14ac:dyDescent="0.3">
      <c r="A693" t="s">
        <v>2853</v>
      </c>
      <c r="B693" t="s">
        <v>2854</v>
      </c>
      <c r="C693" t="s">
        <v>2855</v>
      </c>
      <c r="D693">
        <v>0</v>
      </c>
      <c r="E693">
        <v>1</v>
      </c>
      <c r="F693" s="1">
        <v>45733</v>
      </c>
      <c r="G693">
        <f>_xlfn.XLOOKUP(F693,'Wk no''s'!B:B,'Wk no''s'!C:C,0)</f>
        <v>12</v>
      </c>
    </row>
    <row r="694" spans="1:7" x14ac:dyDescent="0.3">
      <c r="A694" t="s">
        <v>2856</v>
      </c>
      <c r="B694" t="s">
        <v>2857</v>
      </c>
      <c r="C694" t="s">
        <v>2858</v>
      </c>
      <c r="D694">
        <v>0</v>
      </c>
      <c r="E694">
        <v>1</v>
      </c>
      <c r="F694" s="1">
        <v>45733</v>
      </c>
      <c r="G694">
        <f>_xlfn.XLOOKUP(F694,'Wk no''s'!B:B,'Wk no''s'!C:C,0)</f>
        <v>12</v>
      </c>
    </row>
    <row r="695" spans="1:7" x14ac:dyDescent="0.3">
      <c r="A695" t="s">
        <v>2859</v>
      </c>
      <c r="B695" t="s">
        <v>2860</v>
      </c>
      <c r="C695" t="s">
        <v>34</v>
      </c>
      <c r="D695">
        <v>0</v>
      </c>
      <c r="E695">
        <v>1</v>
      </c>
      <c r="F695" s="1">
        <v>45733</v>
      </c>
      <c r="G695">
        <f>_xlfn.XLOOKUP(F695,'Wk no''s'!B:B,'Wk no''s'!C:C,0)</f>
        <v>12</v>
      </c>
    </row>
    <row r="696" spans="1:7" x14ac:dyDescent="0.3">
      <c r="A696" t="s">
        <v>2861</v>
      </c>
      <c r="B696" t="s">
        <v>2862</v>
      </c>
      <c r="C696" t="s">
        <v>69</v>
      </c>
      <c r="D696">
        <v>0</v>
      </c>
      <c r="E696">
        <v>1</v>
      </c>
      <c r="F696" s="1">
        <v>45734</v>
      </c>
      <c r="G696">
        <f>_xlfn.XLOOKUP(F696,'Wk no''s'!B:B,'Wk no''s'!C:C,0)</f>
        <v>12</v>
      </c>
    </row>
    <row r="697" spans="1:7" x14ac:dyDescent="0.3">
      <c r="A697" t="s">
        <v>2863</v>
      </c>
      <c r="B697" t="s">
        <v>2864</v>
      </c>
      <c r="C697" t="s">
        <v>2632</v>
      </c>
      <c r="D697">
        <v>20</v>
      </c>
      <c r="E697">
        <v>0</v>
      </c>
      <c r="F697" s="1">
        <v>45734</v>
      </c>
      <c r="G697">
        <f>_xlfn.XLOOKUP(F697,'Wk no''s'!B:B,'Wk no''s'!C:C,0)</f>
        <v>12</v>
      </c>
    </row>
    <row r="698" spans="1:7" x14ac:dyDescent="0.3">
      <c r="A698" t="s">
        <v>2865</v>
      </c>
      <c r="B698" t="s">
        <v>2866</v>
      </c>
      <c r="C698" t="s">
        <v>2867</v>
      </c>
      <c r="D698">
        <v>52</v>
      </c>
      <c r="E698">
        <v>0</v>
      </c>
      <c r="F698" s="1">
        <v>45734</v>
      </c>
      <c r="G698">
        <f>_xlfn.XLOOKUP(F698,'Wk no''s'!B:B,'Wk no''s'!C:C,0)</f>
        <v>12</v>
      </c>
    </row>
    <row r="699" spans="1:7" x14ac:dyDescent="0.3">
      <c r="A699" t="s">
        <v>2868</v>
      </c>
      <c r="B699" t="s">
        <v>2869</v>
      </c>
      <c r="C699" t="s">
        <v>2870</v>
      </c>
      <c r="D699">
        <v>0</v>
      </c>
      <c r="E699">
        <v>1</v>
      </c>
      <c r="F699" s="1">
        <v>45734</v>
      </c>
      <c r="G699">
        <f>_xlfn.XLOOKUP(F699,'Wk no''s'!B:B,'Wk no''s'!C:C,0)</f>
        <v>12</v>
      </c>
    </row>
    <row r="700" spans="1:7" x14ac:dyDescent="0.3">
      <c r="A700" t="s">
        <v>2871</v>
      </c>
      <c r="B700" t="s">
        <v>2872</v>
      </c>
      <c r="C700" t="s">
        <v>164</v>
      </c>
      <c r="D700">
        <v>1</v>
      </c>
      <c r="E700">
        <v>1</v>
      </c>
      <c r="F700" s="1">
        <v>45734</v>
      </c>
      <c r="G700">
        <f>_xlfn.XLOOKUP(F700,'Wk no''s'!B:B,'Wk no''s'!C:C,0)</f>
        <v>12</v>
      </c>
    </row>
    <row r="701" spans="1:7" x14ac:dyDescent="0.3">
      <c r="A701" t="s">
        <v>2873</v>
      </c>
      <c r="B701" t="s">
        <v>2874</v>
      </c>
      <c r="C701" t="s">
        <v>2875</v>
      </c>
      <c r="D701">
        <v>4</v>
      </c>
      <c r="E701">
        <v>0</v>
      </c>
      <c r="F701" s="1">
        <v>45734</v>
      </c>
      <c r="G701">
        <f>_xlfn.XLOOKUP(F701,'Wk no''s'!B:B,'Wk no''s'!C:C,0)</f>
        <v>12</v>
      </c>
    </row>
    <row r="702" spans="1:7" x14ac:dyDescent="0.3">
      <c r="A702" t="s">
        <v>2876</v>
      </c>
      <c r="B702" t="s">
        <v>2877</v>
      </c>
      <c r="C702" t="s">
        <v>6908</v>
      </c>
      <c r="D702">
        <v>5</v>
      </c>
      <c r="E702">
        <v>0</v>
      </c>
      <c r="F702" s="1">
        <v>45735</v>
      </c>
      <c r="G702">
        <f>_xlfn.XLOOKUP(F702,'Wk no''s'!B:B,'Wk no''s'!C:C,0)</f>
        <v>12</v>
      </c>
    </row>
    <row r="703" spans="1:7" x14ac:dyDescent="0.3">
      <c r="A703" t="s">
        <v>2878</v>
      </c>
      <c r="B703" t="s">
        <v>2879</v>
      </c>
      <c r="C703" t="s">
        <v>39</v>
      </c>
      <c r="D703">
        <v>0</v>
      </c>
      <c r="E703">
        <v>1</v>
      </c>
      <c r="F703" s="1">
        <v>45735</v>
      </c>
      <c r="G703">
        <f>_xlfn.XLOOKUP(F703,'Wk no''s'!B:B,'Wk no''s'!C:C,0)</f>
        <v>12</v>
      </c>
    </row>
    <row r="704" spans="1:7" x14ac:dyDescent="0.3">
      <c r="A704" t="s">
        <v>2880</v>
      </c>
      <c r="B704" t="s">
        <v>2881</v>
      </c>
      <c r="C704" t="s">
        <v>2236</v>
      </c>
      <c r="D704">
        <v>3</v>
      </c>
      <c r="E704">
        <v>0</v>
      </c>
      <c r="F704" s="1">
        <v>45735</v>
      </c>
      <c r="G704">
        <f>_xlfn.XLOOKUP(F704,'Wk no''s'!B:B,'Wk no''s'!C:C,0)</f>
        <v>12</v>
      </c>
    </row>
    <row r="705" spans="1:7" x14ac:dyDescent="0.3">
      <c r="A705" t="s">
        <v>2882</v>
      </c>
      <c r="B705" t="s">
        <v>2883</v>
      </c>
      <c r="C705" t="s">
        <v>2884</v>
      </c>
      <c r="D705">
        <v>5</v>
      </c>
      <c r="E705">
        <v>0</v>
      </c>
      <c r="F705" s="1">
        <v>45735</v>
      </c>
      <c r="G705">
        <f>_xlfn.XLOOKUP(F705,'Wk no''s'!B:B,'Wk no''s'!C:C,0)</f>
        <v>12</v>
      </c>
    </row>
    <row r="706" spans="1:7" x14ac:dyDescent="0.3">
      <c r="A706" t="s">
        <v>2885</v>
      </c>
      <c r="B706" t="s">
        <v>2886</v>
      </c>
      <c r="C706" t="s">
        <v>2887</v>
      </c>
      <c r="D706">
        <v>0</v>
      </c>
      <c r="E706">
        <v>1</v>
      </c>
      <c r="F706" s="1">
        <v>45735</v>
      </c>
      <c r="G706">
        <f>_xlfn.XLOOKUP(F706,'Wk no''s'!B:B,'Wk no''s'!C:C,0)</f>
        <v>12</v>
      </c>
    </row>
    <row r="707" spans="1:7" x14ac:dyDescent="0.3">
      <c r="A707" t="s">
        <v>2888</v>
      </c>
      <c r="B707" t="s">
        <v>2889</v>
      </c>
      <c r="C707" t="s">
        <v>1437</v>
      </c>
      <c r="D707">
        <v>5</v>
      </c>
      <c r="E707">
        <v>0</v>
      </c>
      <c r="F707" s="1">
        <v>45735</v>
      </c>
      <c r="G707">
        <f>_xlfn.XLOOKUP(F707,'Wk no''s'!B:B,'Wk no''s'!C:C,0)</f>
        <v>12</v>
      </c>
    </row>
    <row r="708" spans="1:7" x14ac:dyDescent="0.3">
      <c r="A708" t="s">
        <v>2890</v>
      </c>
      <c r="B708" t="s">
        <v>2891</v>
      </c>
      <c r="C708" t="s">
        <v>113</v>
      </c>
      <c r="D708">
        <v>0</v>
      </c>
      <c r="E708">
        <v>1</v>
      </c>
      <c r="F708" s="1">
        <v>45735</v>
      </c>
      <c r="G708">
        <f>_xlfn.XLOOKUP(F708,'Wk no''s'!B:B,'Wk no''s'!C:C,0)</f>
        <v>12</v>
      </c>
    </row>
    <row r="709" spans="1:7" x14ac:dyDescent="0.3">
      <c r="A709" t="s">
        <v>2892</v>
      </c>
      <c r="B709" t="s">
        <v>2893</v>
      </c>
      <c r="C709" t="s">
        <v>2894</v>
      </c>
      <c r="D709">
        <v>0</v>
      </c>
      <c r="E709">
        <v>1</v>
      </c>
      <c r="F709" s="1">
        <v>45735</v>
      </c>
      <c r="G709">
        <f>_xlfn.XLOOKUP(F709,'Wk no''s'!B:B,'Wk no''s'!C:C,0)</f>
        <v>12</v>
      </c>
    </row>
    <row r="710" spans="1:7" x14ac:dyDescent="0.3">
      <c r="A710" t="s">
        <v>2895</v>
      </c>
      <c r="B710" t="s">
        <v>2896</v>
      </c>
      <c r="C710" t="s">
        <v>2897</v>
      </c>
      <c r="D710">
        <v>1</v>
      </c>
      <c r="E710">
        <v>1</v>
      </c>
      <c r="F710" s="1">
        <v>45735</v>
      </c>
      <c r="G710">
        <f>_xlfn.XLOOKUP(F710,'Wk no''s'!B:B,'Wk no''s'!C:C,0)</f>
        <v>12</v>
      </c>
    </row>
    <row r="711" spans="1:7" x14ac:dyDescent="0.3">
      <c r="A711" t="s">
        <v>2898</v>
      </c>
      <c r="B711" t="s">
        <v>2899</v>
      </c>
      <c r="C711" t="s">
        <v>220</v>
      </c>
      <c r="D711">
        <v>1</v>
      </c>
      <c r="E711">
        <v>1</v>
      </c>
      <c r="F711" s="1">
        <v>45736</v>
      </c>
      <c r="G711">
        <f>_xlfn.XLOOKUP(F711,'Wk no''s'!B:B,'Wk no''s'!C:C,0)</f>
        <v>12</v>
      </c>
    </row>
    <row r="712" spans="1:7" x14ac:dyDescent="0.3">
      <c r="A712" t="s">
        <v>2900</v>
      </c>
      <c r="B712" t="s">
        <v>2901</v>
      </c>
      <c r="C712" t="s">
        <v>407</v>
      </c>
      <c r="D712">
        <v>2</v>
      </c>
      <c r="E712">
        <v>0</v>
      </c>
      <c r="F712" s="1">
        <v>45736</v>
      </c>
      <c r="G712">
        <f>_xlfn.XLOOKUP(F712,'Wk no''s'!B:B,'Wk no''s'!C:C,0)</f>
        <v>12</v>
      </c>
    </row>
    <row r="713" spans="1:7" x14ac:dyDescent="0.3">
      <c r="A713" t="s">
        <v>2902</v>
      </c>
      <c r="B713" t="s">
        <v>2903</v>
      </c>
      <c r="C713" t="s">
        <v>1117</v>
      </c>
      <c r="D713">
        <v>0</v>
      </c>
      <c r="E713">
        <v>1</v>
      </c>
      <c r="F713" s="1">
        <v>45736</v>
      </c>
      <c r="G713">
        <f>_xlfn.XLOOKUP(F713,'Wk no''s'!B:B,'Wk no''s'!C:C,0)</f>
        <v>12</v>
      </c>
    </row>
    <row r="714" spans="1:7" x14ac:dyDescent="0.3">
      <c r="A714" t="s">
        <v>2904</v>
      </c>
      <c r="B714" t="s">
        <v>2905</v>
      </c>
      <c r="C714" t="s">
        <v>197</v>
      </c>
      <c r="D714">
        <v>0</v>
      </c>
      <c r="E714">
        <v>1</v>
      </c>
      <c r="F714" s="1">
        <v>45736</v>
      </c>
      <c r="G714">
        <f>_xlfn.XLOOKUP(F714,'Wk no''s'!B:B,'Wk no''s'!C:C,0)</f>
        <v>12</v>
      </c>
    </row>
    <row r="715" spans="1:7" x14ac:dyDescent="0.3">
      <c r="A715" t="s">
        <v>2906</v>
      </c>
      <c r="B715" t="s">
        <v>2907</v>
      </c>
      <c r="C715" t="s">
        <v>2908</v>
      </c>
      <c r="D715">
        <v>0</v>
      </c>
      <c r="E715">
        <v>1</v>
      </c>
      <c r="F715" s="1">
        <v>45736</v>
      </c>
      <c r="G715">
        <f>_xlfn.XLOOKUP(F715,'Wk no''s'!B:B,'Wk no''s'!C:C,0)</f>
        <v>12</v>
      </c>
    </row>
    <row r="716" spans="1:7" x14ac:dyDescent="0.3">
      <c r="A716" t="s">
        <v>2909</v>
      </c>
      <c r="B716" t="s">
        <v>2910</v>
      </c>
      <c r="C716" t="s">
        <v>2911</v>
      </c>
      <c r="D716">
        <v>1</v>
      </c>
      <c r="E716">
        <v>1</v>
      </c>
      <c r="F716" s="1">
        <v>45736</v>
      </c>
      <c r="G716">
        <f>_xlfn.XLOOKUP(F716,'Wk no''s'!B:B,'Wk no''s'!C:C,0)</f>
        <v>12</v>
      </c>
    </row>
    <row r="717" spans="1:7" x14ac:dyDescent="0.3">
      <c r="A717" t="s">
        <v>2912</v>
      </c>
      <c r="B717" t="s">
        <v>2913</v>
      </c>
      <c r="C717" t="s">
        <v>1194</v>
      </c>
      <c r="D717">
        <v>0</v>
      </c>
      <c r="E717">
        <v>1</v>
      </c>
      <c r="F717" s="1">
        <v>45736</v>
      </c>
      <c r="G717">
        <f>_xlfn.XLOOKUP(F717,'Wk no''s'!B:B,'Wk no''s'!C:C,0)</f>
        <v>12</v>
      </c>
    </row>
    <row r="718" spans="1:7" x14ac:dyDescent="0.3">
      <c r="A718" t="s">
        <v>2914</v>
      </c>
      <c r="B718" t="s">
        <v>2915</v>
      </c>
      <c r="C718" t="s">
        <v>1693</v>
      </c>
      <c r="D718">
        <v>4</v>
      </c>
      <c r="E718">
        <v>0</v>
      </c>
      <c r="F718" s="1">
        <v>45736</v>
      </c>
      <c r="G718">
        <f>_xlfn.XLOOKUP(F718,'Wk no''s'!B:B,'Wk no''s'!C:C,0)</f>
        <v>12</v>
      </c>
    </row>
    <row r="719" spans="1:7" x14ac:dyDescent="0.3">
      <c r="A719" t="s">
        <v>2916</v>
      </c>
      <c r="B719" t="s">
        <v>2917</v>
      </c>
      <c r="C719" t="s">
        <v>2918</v>
      </c>
      <c r="D719">
        <v>5</v>
      </c>
      <c r="E719">
        <v>0</v>
      </c>
      <c r="F719" s="1">
        <v>45736</v>
      </c>
      <c r="G719">
        <f>_xlfn.XLOOKUP(F719,'Wk no''s'!B:B,'Wk no''s'!C:C,0)</f>
        <v>12</v>
      </c>
    </row>
    <row r="720" spans="1:7" x14ac:dyDescent="0.3">
      <c r="A720" t="s">
        <v>2919</v>
      </c>
      <c r="B720" t="s">
        <v>2920</v>
      </c>
      <c r="C720" t="s">
        <v>31</v>
      </c>
      <c r="D720">
        <v>5</v>
      </c>
      <c r="E720">
        <v>0</v>
      </c>
      <c r="F720" s="1">
        <v>45736</v>
      </c>
      <c r="G720">
        <f>_xlfn.XLOOKUP(F720,'Wk no''s'!B:B,'Wk no''s'!C:C,0)</f>
        <v>12</v>
      </c>
    </row>
    <row r="721" spans="1:7" x14ac:dyDescent="0.3">
      <c r="A721" t="s">
        <v>2921</v>
      </c>
      <c r="B721" t="s">
        <v>2922</v>
      </c>
      <c r="C721" t="s">
        <v>31</v>
      </c>
      <c r="D721">
        <v>5</v>
      </c>
      <c r="E721">
        <v>0</v>
      </c>
      <c r="F721" s="1">
        <v>45736</v>
      </c>
      <c r="G721">
        <f>_xlfn.XLOOKUP(F721,'Wk no''s'!B:B,'Wk no''s'!C:C,0)</f>
        <v>12</v>
      </c>
    </row>
    <row r="722" spans="1:7" x14ac:dyDescent="0.3">
      <c r="A722" t="s">
        <v>2923</v>
      </c>
      <c r="B722" t="s">
        <v>2924</v>
      </c>
      <c r="C722" t="s">
        <v>31</v>
      </c>
      <c r="D722">
        <v>5</v>
      </c>
      <c r="E722">
        <v>0</v>
      </c>
      <c r="F722" s="1">
        <v>45736</v>
      </c>
      <c r="G722">
        <f>_xlfn.XLOOKUP(F722,'Wk no''s'!B:B,'Wk no''s'!C:C,0)</f>
        <v>12</v>
      </c>
    </row>
    <row r="723" spans="1:7" x14ac:dyDescent="0.3">
      <c r="A723" t="s">
        <v>2925</v>
      </c>
      <c r="B723" t="s">
        <v>2926</v>
      </c>
      <c r="C723" t="s">
        <v>432</v>
      </c>
      <c r="D723">
        <v>0</v>
      </c>
      <c r="E723">
        <v>1</v>
      </c>
      <c r="F723" s="1">
        <v>45736</v>
      </c>
      <c r="G723">
        <f>_xlfn.XLOOKUP(F723,'Wk no''s'!B:B,'Wk no''s'!C:C,0)</f>
        <v>12</v>
      </c>
    </row>
    <row r="724" spans="1:7" x14ac:dyDescent="0.3">
      <c r="A724" t="s">
        <v>2927</v>
      </c>
      <c r="B724" t="s">
        <v>2928</v>
      </c>
      <c r="C724" t="s">
        <v>407</v>
      </c>
      <c r="D724">
        <v>2</v>
      </c>
      <c r="E724">
        <v>0</v>
      </c>
      <c r="F724" s="1">
        <v>45736</v>
      </c>
      <c r="G724">
        <f>_xlfn.XLOOKUP(F724,'Wk no''s'!B:B,'Wk no''s'!C:C,0)</f>
        <v>12</v>
      </c>
    </row>
    <row r="725" spans="1:7" x14ac:dyDescent="0.3">
      <c r="A725" t="s">
        <v>2929</v>
      </c>
      <c r="B725" t="s">
        <v>2930</v>
      </c>
      <c r="C725" t="s">
        <v>1639</v>
      </c>
      <c r="D725">
        <v>4</v>
      </c>
      <c r="E725">
        <v>0</v>
      </c>
      <c r="F725" s="1">
        <v>45737</v>
      </c>
      <c r="G725">
        <f>_xlfn.XLOOKUP(F725,'Wk no''s'!B:B,'Wk no''s'!C:C,0)</f>
        <v>12</v>
      </c>
    </row>
    <row r="726" spans="1:7" x14ac:dyDescent="0.3">
      <c r="A726" t="s">
        <v>2931</v>
      </c>
      <c r="B726" t="s">
        <v>2932</v>
      </c>
      <c r="C726" t="s">
        <v>1393</v>
      </c>
      <c r="D726">
        <v>4</v>
      </c>
      <c r="E726">
        <v>0</v>
      </c>
      <c r="F726" s="1">
        <v>45737</v>
      </c>
      <c r="G726">
        <f>_xlfn.XLOOKUP(F726,'Wk no''s'!B:B,'Wk no''s'!C:C,0)</f>
        <v>12</v>
      </c>
    </row>
    <row r="727" spans="1:7" x14ac:dyDescent="0.3">
      <c r="A727" t="s">
        <v>2933</v>
      </c>
      <c r="B727" t="s">
        <v>2934</v>
      </c>
      <c r="C727" t="s">
        <v>2935</v>
      </c>
      <c r="D727">
        <v>0</v>
      </c>
      <c r="E727">
        <v>1</v>
      </c>
      <c r="F727" s="1">
        <v>45737</v>
      </c>
      <c r="G727">
        <f>_xlfn.XLOOKUP(F727,'Wk no''s'!B:B,'Wk no''s'!C:C,0)</f>
        <v>12</v>
      </c>
    </row>
    <row r="728" spans="1:7" x14ac:dyDescent="0.3">
      <c r="A728" t="s">
        <v>2936</v>
      </c>
      <c r="B728" t="s">
        <v>2937</v>
      </c>
      <c r="C728" t="s">
        <v>31</v>
      </c>
      <c r="D728">
        <v>4</v>
      </c>
      <c r="E728">
        <v>0</v>
      </c>
      <c r="F728" s="1">
        <v>45737</v>
      </c>
      <c r="G728">
        <f>_xlfn.XLOOKUP(F728,'Wk no''s'!B:B,'Wk no''s'!C:C,0)</f>
        <v>12</v>
      </c>
    </row>
    <row r="729" spans="1:7" x14ac:dyDescent="0.3">
      <c r="A729" t="s">
        <v>2938</v>
      </c>
      <c r="B729" t="s">
        <v>2939</v>
      </c>
      <c r="C729" t="s">
        <v>75</v>
      </c>
      <c r="D729">
        <v>2</v>
      </c>
      <c r="E729">
        <v>0</v>
      </c>
      <c r="F729" s="1">
        <v>45737</v>
      </c>
      <c r="G729">
        <f>_xlfn.XLOOKUP(F729,'Wk no''s'!B:B,'Wk no''s'!C:C,0)</f>
        <v>12</v>
      </c>
    </row>
    <row r="730" spans="1:7" x14ac:dyDescent="0.3">
      <c r="A730" t="s">
        <v>2940</v>
      </c>
      <c r="B730" t="s">
        <v>2941</v>
      </c>
      <c r="C730" t="s">
        <v>2421</v>
      </c>
      <c r="D730">
        <v>51</v>
      </c>
      <c r="E730">
        <v>0</v>
      </c>
      <c r="F730" s="1">
        <v>45737</v>
      </c>
      <c r="G730">
        <f>_xlfn.XLOOKUP(F730,'Wk no''s'!B:B,'Wk no''s'!C:C,0)</f>
        <v>12</v>
      </c>
    </row>
    <row r="731" spans="1:7" x14ac:dyDescent="0.3">
      <c r="A731" t="s">
        <v>2942</v>
      </c>
      <c r="B731" t="s">
        <v>2943</v>
      </c>
      <c r="C731" t="s">
        <v>1446</v>
      </c>
      <c r="D731">
        <v>3</v>
      </c>
      <c r="E731">
        <v>0</v>
      </c>
      <c r="F731" s="1">
        <v>45737</v>
      </c>
      <c r="G731">
        <f>_xlfn.XLOOKUP(F731,'Wk no''s'!B:B,'Wk no''s'!C:C,0)</f>
        <v>12</v>
      </c>
    </row>
    <row r="732" spans="1:7" x14ac:dyDescent="0.3">
      <c r="A732" t="s">
        <v>2944</v>
      </c>
      <c r="B732" t="s">
        <v>2945</v>
      </c>
      <c r="C732" t="s">
        <v>2946</v>
      </c>
      <c r="D732">
        <v>2</v>
      </c>
      <c r="E732">
        <v>0</v>
      </c>
      <c r="F732" s="1">
        <v>45740</v>
      </c>
      <c r="G732">
        <f>_xlfn.XLOOKUP(F732,'Wk no''s'!B:B,'Wk no''s'!C:C,0)</f>
        <v>13</v>
      </c>
    </row>
    <row r="733" spans="1:7" x14ac:dyDescent="0.3">
      <c r="A733" t="s">
        <v>2947</v>
      </c>
      <c r="B733" t="s">
        <v>2948</v>
      </c>
      <c r="C733" t="s">
        <v>1224</v>
      </c>
      <c r="D733">
        <v>1</v>
      </c>
      <c r="E733">
        <v>1</v>
      </c>
      <c r="F733" s="1">
        <v>45740</v>
      </c>
      <c r="G733">
        <f>_xlfn.XLOOKUP(F733,'Wk no''s'!B:B,'Wk no''s'!C:C,0)</f>
        <v>13</v>
      </c>
    </row>
    <row r="734" spans="1:7" x14ac:dyDescent="0.3">
      <c r="A734" t="s">
        <v>2949</v>
      </c>
      <c r="B734" t="s">
        <v>2950</v>
      </c>
      <c r="C734" t="s">
        <v>2951</v>
      </c>
      <c r="D734">
        <v>0</v>
      </c>
      <c r="E734">
        <v>1</v>
      </c>
      <c r="F734" s="1">
        <v>45740</v>
      </c>
      <c r="G734">
        <f>_xlfn.XLOOKUP(F734,'Wk no''s'!B:B,'Wk no''s'!C:C,0)</f>
        <v>13</v>
      </c>
    </row>
    <row r="735" spans="1:7" x14ac:dyDescent="0.3">
      <c r="A735" t="s">
        <v>2952</v>
      </c>
      <c r="C735" t="s">
        <v>2953</v>
      </c>
      <c r="D735">
        <v>0</v>
      </c>
      <c r="E735">
        <v>1</v>
      </c>
      <c r="F735" s="1">
        <v>45740</v>
      </c>
      <c r="G735">
        <f>_xlfn.XLOOKUP(F735,'Wk no''s'!B:B,'Wk no''s'!C:C,0)</f>
        <v>13</v>
      </c>
    </row>
    <row r="736" spans="1:7" x14ac:dyDescent="0.3">
      <c r="A736" t="s">
        <v>2954</v>
      </c>
      <c r="B736" t="s">
        <v>2955</v>
      </c>
      <c r="C736" t="s">
        <v>197</v>
      </c>
      <c r="D736">
        <v>1</v>
      </c>
      <c r="E736">
        <v>1</v>
      </c>
      <c r="F736" s="1">
        <v>45740</v>
      </c>
      <c r="G736">
        <f>_xlfn.XLOOKUP(F736,'Wk no''s'!B:B,'Wk no''s'!C:C,0)</f>
        <v>13</v>
      </c>
    </row>
    <row r="737" spans="1:7" x14ac:dyDescent="0.3">
      <c r="A737" t="s">
        <v>2956</v>
      </c>
      <c r="B737" t="s">
        <v>2957</v>
      </c>
      <c r="C737" t="s">
        <v>2958</v>
      </c>
      <c r="D737">
        <v>0</v>
      </c>
      <c r="E737">
        <v>1</v>
      </c>
      <c r="F737" s="1">
        <v>45740</v>
      </c>
      <c r="G737">
        <f>_xlfn.XLOOKUP(F737,'Wk no''s'!B:B,'Wk no''s'!C:C,0)</f>
        <v>13</v>
      </c>
    </row>
    <row r="738" spans="1:7" x14ac:dyDescent="0.3">
      <c r="A738" t="s">
        <v>2959</v>
      </c>
      <c r="B738" t="s">
        <v>2960</v>
      </c>
      <c r="C738" t="s">
        <v>197</v>
      </c>
      <c r="D738">
        <v>2</v>
      </c>
      <c r="E738">
        <v>0</v>
      </c>
      <c r="F738" s="1">
        <v>45740</v>
      </c>
      <c r="G738">
        <f>_xlfn.XLOOKUP(F738,'Wk no''s'!B:B,'Wk no''s'!C:C,0)</f>
        <v>13</v>
      </c>
    </row>
    <row r="739" spans="1:7" x14ac:dyDescent="0.3">
      <c r="A739" t="s">
        <v>2961</v>
      </c>
      <c r="B739" t="s">
        <v>2962</v>
      </c>
      <c r="C739" t="s">
        <v>2963</v>
      </c>
      <c r="D739">
        <v>1</v>
      </c>
      <c r="E739">
        <v>1</v>
      </c>
      <c r="F739" s="1">
        <v>45740</v>
      </c>
      <c r="G739">
        <f>_xlfn.XLOOKUP(F739,'Wk no''s'!B:B,'Wk no''s'!C:C,0)</f>
        <v>13</v>
      </c>
    </row>
    <row r="740" spans="1:7" x14ac:dyDescent="0.3">
      <c r="A740" t="s">
        <v>2964</v>
      </c>
      <c r="B740" t="s">
        <v>2965</v>
      </c>
      <c r="C740" t="s">
        <v>2946</v>
      </c>
      <c r="D740">
        <v>0</v>
      </c>
      <c r="E740">
        <v>1</v>
      </c>
      <c r="F740" s="1">
        <v>45741</v>
      </c>
      <c r="G740">
        <f>_xlfn.XLOOKUP(F740,'Wk no''s'!B:B,'Wk no''s'!C:C,0)</f>
        <v>13</v>
      </c>
    </row>
    <row r="741" spans="1:7" x14ac:dyDescent="0.3">
      <c r="A741" t="s">
        <v>2966</v>
      </c>
      <c r="B741" t="s">
        <v>2967</v>
      </c>
      <c r="C741" t="s">
        <v>75</v>
      </c>
      <c r="D741">
        <v>0</v>
      </c>
      <c r="E741">
        <v>1</v>
      </c>
      <c r="F741" s="1">
        <v>45741</v>
      </c>
      <c r="G741">
        <f>_xlfn.XLOOKUP(F741,'Wk no''s'!B:B,'Wk no''s'!C:C,0)</f>
        <v>13</v>
      </c>
    </row>
    <row r="742" spans="1:7" x14ac:dyDescent="0.3">
      <c r="A742" t="s">
        <v>2968</v>
      </c>
      <c r="B742" t="s">
        <v>2969</v>
      </c>
      <c r="C742" t="s">
        <v>4128</v>
      </c>
      <c r="D742">
        <v>0</v>
      </c>
      <c r="E742">
        <v>1</v>
      </c>
      <c r="F742" s="1">
        <v>45741</v>
      </c>
      <c r="G742">
        <f>_xlfn.XLOOKUP(F742,'Wk no''s'!B:B,'Wk no''s'!C:C,0)</f>
        <v>13</v>
      </c>
    </row>
    <row r="743" spans="1:7" x14ac:dyDescent="0.3">
      <c r="A743" t="s">
        <v>2970</v>
      </c>
      <c r="B743" t="s">
        <v>2971</v>
      </c>
      <c r="C743" t="s">
        <v>2972</v>
      </c>
      <c r="D743">
        <v>4</v>
      </c>
      <c r="E743">
        <v>0</v>
      </c>
      <c r="F743" s="1">
        <v>45741</v>
      </c>
      <c r="G743">
        <f>_xlfn.XLOOKUP(F743,'Wk no''s'!B:B,'Wk no''s'!C:C,0)</f>
        <v>13</v>
      </c>
    </row>
    <row r="744" spans="1:7" x14ac:dyDescent="0.3">
      <c r="A744" t="s">
        <v>2973</v>
      </c>
      <c r="B744" t="s">
        <v>2974</v>
      </c>
      <c r="C744" t="s">
        <v>2975</v>
      </c>
      <c r="D744">
        <v>1</v>
      </c>
      <c r="E744">
        <v>1</v>
      </c>
      <c r="F744" s="1">
        <v>45741</v>
      </c>
      <c r="G744">
        <f>_xlfn.XLOOKUP(F744,'Wk no''s'!B:B,'Wk no''s'!C:C,0)</f>
        <v>13</v>
      </c>
    </row>
    <row r="745" spans="1:7" x14ac:dyDescent="0.3">
      <c r="A745" t="s">
        <v>2976</v>
      </c>
      <c r="B745" t="s">
        <v>2977</v>
      </c>
      <c r="C745" t="s">
        <v>2978</v>
      </c>
      <c r="D745">
        <v>51</v>
      </c>
      <c r="E745">
        <v>0</v>
      </c>
      <c r="F745" s="1">
        <v>45741</v>
      </c>
      <c r="G745">
        <f>_xlfn.XLOOKUP(F745,'Wk no''s'!B:B,'Wk no''s'!C:C,0)</f>
        <v>13</v>
      </c>
    </row>
    <row r="746" spans="1:7" x14ac:dyDescent="0.3">
      <c r="A746" t="s">
        <v>2979</v>
      </c>
      <c r="B746" t="s">
        <v>2980</v>
      </c>
      <c r="C746" t="s">
        <v>2981</v>
      </c>
      <c r="D746">
        <v>0</v>
      </c>
      <c r="E746">
        <v>1</v>
      </c>
      <c r="F746" s="1">
        <v>45742</v>
      </c>
      <c r="G746">
        <f>_xlfn.XLOOKUP(F746,'Wk no''s'!B:B,'Wk no''s'!C:C,0)</f>
        <v>13</v>
      </c>
    </row>
    <row r="747" spans="1:7" x14ac:dyDescent="0.3">
      <c r="A747" t="s">
        <v>2982</v>
      </c>
      <c r="B747" t="s">
        <v>2983</v>
      </c>
      <c r="C747" t="s">
        <v>134</v>
      </c>
      <c r="D747">
        <v>3</v>
      </c>
      <c r="E747">
        <v>0</v>
      </c>
      <c r="F747" s="1">
        <v>45742</v>
      </c>
      <c r="G747">
        <f>_xlfn.XLOOKUP(F747,'Wk no''s'!B:B,'Wk no''s'!C:C,0)</f>
        <v>13</v>
      </c>
    </row>
    <row r="748" spans="1:7" x14ac:dyDescent="0.3">
      <c r="A748" t="s">
        <v>2984</v>
      </c>
      <c r="B748" t="s">
        <v>2985</v>
      </c>
      <c r="C748" t="s">
        <v>2599</v>
      </c>
      <c r="D748">
        <v>0</v>
      </c>
      <c r="E748">
        <v>1</v>
      </c>
      <c r="F748" s="1">
        <v>45742</v>
      </c>
      <c r="G748">
        <f>_xlfn.XLOOKUP(F748,'Wk no''s'!B:B,'Wk no''s'!C:C,0)</f>
        <v>13</v>
      </c>
    </row>
    <row r="749" spans="1:7" x14ac:dyDescent="0.3">
      <c r="A749" t="s">
        <v>2986</v>
      </c>
      <c r="B749" t="s">
        <v>2987</v>
      </c>
      <c r="C749" t="s">
        <v>2908</v>
      </c>
      <c r="D749">
        <v>1</v>
      </c>
      <c r="E749">
        <v>1</v>
      </c>
      <c r="F749" s="1">
        <v>45742</v>
      </c>
      <c r="G749">
        <f>_xlfn.XLOOKUP(F749,'Wk no''s'!B:B,'Wk no''s'!C:C,0)</f>
        <v>13</v>
      </c>
    </row>
    <row r="750" spans="1:7" x14ac:dyDescent="0.3">
      <c r="A750" t="s">
        <v>2988</v>
      </c>
      <c r="B750" t="s">
        <v>2989</v>
      </c>
      <c r="C750" t="s">
        <v>1912</v>
      </c>
      <c r="D750">
        <v>4</v>
      </c>
      <c r="E750">
        <v>0</v>
      </c>
      <c r="F750" s="1">
        <v>45742</v>
      </c>
      <c r="G750">
        <f>_xlfn.XLOOKUP(F750,'Wk no''s'!B:B,'Wk no''s'!C:C,0)</f>
        <v>13</v>
      </c>
    </row>
    <row r="751" spans="1:7" x14ac:dyDescent="0.3">
      <c r="A751" t="s">
        <v>2990</v>
      </c>
      <c r="B751" t="s">
        <v>2991</v>
      </c>
      <c r="C751" t="s">
        <v>240</v>
      </c>
      <c r="D751">
        <v>1</v>
      </c>
      <c r="E751">
        <v>1</v>
      </c>
      <c r="F751" s="1">
        <v>45742</v>
      </c>
      <c r="G751">
        <f>_xlfn.XLOOKUP(F751,'Wk no''s'!B:B,'Wk no''s'!C:C,0)</f>
        <v>13</v>
      </c>
    </row>
    <row r="752" spans="1:7" x14ac:dyDescent="0.3">
      <c r="A752" t="s">
        <v>2992</v>
      </c>
      <c r="B752" t="s">
        <v>2993</v>
      </c>
      <c r="C752" t="s">
        <v>2994</v>
      </c>
      <c r="D752">
        <v>1</v>
      </c>
      <c r="E752">
        <v>1</v>
      </c>
      <c r="F752" s="1">
        <v>45742</v>
      </c>
      <c r="G752">
        <f>_xlfn.XLOOKUP(F752,'Wk no''s'!B:B,'Wk no''s'!C:C,0)</f>
        <v>13</v>
      </c>
    </row>
    <row r="753" spans="1:7" x14ac:dyDescent="0.3">
      <c r="A753" t="s">
        <v>2995</v>
      </c>
      <c r="B753" t="s">
        <v>2996</v>
      </c>
      <c r="C753" t="s">
        <v>2997</v>
      </c>
      <c r="D753">
        <v>3</v>
      </c>
      <c r="E753">
        <v>0</v>
      </c>
      <c r="F753" s="1">
        <v>45743</v>
      </c>
      <c r="G753">
        <f>_xlfn.XLOOKUP(F753,'Wk no''s'!B:B,'Wk no''s'!C:C,0)</f>
        <v>13</v>
      </c>
    </row>
    <row r="754" spans="1:7" x14ac:dyDescent="0.3">
      <c r="A754" t="s">
        <v>2998</v>
      </c>
      <c r="B754" t="s">
        <v>2999</v>
      </c>
      <c r="C754" t="s">
        <v>3000</v>
      </c>
      <c r="D754">
        <v>0</v>
      </c>
      <c r="E754">
        <v>1</v>
      </c>
      <c r="F754" s="1">
        <v>45743</v>
      </c>
      <c r="G754">
        <f>_xlfn.XLOOKUP(F754,'Wk no''s'!B:B,'Wk no''s'!C:C,0)</f>
        <v>13</v>
      </c>
    </row>
    <row r="755" spans="1:7" x14ac:dyDescent="0.3">
      <c r="A755" t="s">
        <v>3001</v>
      </c>
      <c r="B755" t="s">
        <v>3002</v>
      </c>
      <c r="C755" t="s">
        <v>3003</v>
      </c>
      <c r="D755">
        <v>0</v>
      </c>
      <c r="E755">
        <v>1</v>
      </c>
      <c r="F755" s="1">
        <v>45743</v>
      </c>
      <c r="G755">
        <f>_xlfn.XLOOKUP(F755,'Wk no''s'!B:B,'Wk no''s'!C:C,0)</f>
        <v>13</v>
      </c>
    </row>
    <row r="756" spans="1:7" x14ac:dyDescent="0.3">
      <c r="A756" t="s">
        <v>3004</v>
      </c>
      <c r="B756" t="s">
        <v>3005</v>
      </c>
      <c r="C756" t="s">
        <v>339</v>
      </c>
      <c r="D756">
        <v>2</v>
      </c>
      <c r="E756">
        <v>0</v>
      </c>
      <c r="F756" s="1">
        <v>45743</v>
      </c>
      <c r="G756">
        <f>_xlfn.XLOOKUP(F756,'Wk no''s'!B:B,'Wk no''s'!C:C,0)</f>
        <v>13</v>
      </c>
    </row>
    <row r="757" spans="1:7" x14ac:dyDescent="0.3">
      <c r="A757" t="s">
        <v>3006</v>
      </c>
      <c r="B757" t="s">
        <v>3007</v>
      </c>
      <c r="C757" t="s">
        <v>39</v>
      </c>
      <c r="D757">
        <v>0</v>
      </c>
      <c r="E757">
        <v>1</v>
      </c>
      <c r="F757" s="1">
        <v>45743</v>
      </c>
      <c r="G757">
        <f>_xlfn.XLOOKUP(F757,'Wk no''s'!B:B,'Wk no''s'!C:C,0)</f>
        <v>13</v>
      </c>
    </row>
    <row r="758" spans="1:7" x14ac:dyDescent="0.3">
      <c r="A758" t="s">
        <v>3008</v>
      </c>
      <c r="B758" t="s">
        <v>3009</v>
      </c>
      <c r="C758" t="s">
        <v>197</v>
      </c>
      <c r="D758">
        <v>0</v>
      </c>
      <c r="E758">
        <v>1</v>
      </c>
      <c r="F758" s="1">
        <v>45743</v>
      </c>
      <c r="G758">
        <f>_xlfn.XLOOKUP(F758,'Wk no''s'!B:B,'Wk no''s'!C:C,0)</f>
        <v>13</v>
      </c>
    </row>
    <row r="759" spans="1:7" x14ac:dyDescent="0.3">
      <c r="A759" t="s">
        <v>3010</v>
      </c>
      <c r="B759" t="s">
        <v>3011</v>
      </c>
      <c r="C759" t="s">
        <v>1169</v>
      </c>
      <c r="D759">
        <v>3</v>
      </c>
      <c r="E759">
        <v>0</v>
      </c>
      <c r="F759" s="1">
        <v>45743</v>
      </c>
      <c r="G759">
        <f>_xlfn.XLOOKUP(F759,'Wk no''s'!B:B,'Wk no''s'!C:C,0)</f>
        <v>13</v>
      </c>
    </row>
    <row r="760" spans="1:7" x14ac:dyDescent="0.3">
      <c r="A760" t="s">
        <v>3012</v>
      </c>
      <c r="B760" t="s">
        <v>3013</v>
      </c>
      <c r="C760" t="s">
        <v>3014</v>
      </c>
      <c r="D760">
        <v>4</v>
      </c>
      <c r="E760">
        <v>0</v>
      </c>
      <c r="F760" s="1">
        <v>45743</v>
      </c>
      <c r="G760">
        <f>_xlfn.XLOOKUP(F760,'Wk no''s'!B:B,'Wk no''s'!C:C,0)</f>
        <v>13</v>
      </c>
    </row>
    <row r="761" spans="1:7" x14ac:dyDescent="0.3">
      <c r="A761" t="s">
        <v>3015</v>
      </c>
      <c r="B761" t="s">
        <v>3016</v>
      </c>
      <c r="C761" t="s">
        <v>1166</v>
      </c>
      <c r="D761">
        <v>3</v>
      </c>
      <c r="E761">
        <v>0</v>
      </c>
      <c r="F761" s="1">
        <v>45743</v>
      </c>
      <c r="G761">
        <f>_xlfn.XLOOKUP(F761,'Wk no''s'!B:B,'Wk no''s'!C:C,0)</f>
        <v>13</v>
      </c>
    </row>
    <row r="762" spans="1:7" x14ac:dyDescent="0.3">
      <c r="A762" t="s">
        <v>3017</v>
      </c>
      <c r="B762" t="s">
        <v>3018</v>
      </c>
      <c r="C762" t="s">
        <v>3019</v>
      </c>
      <c r="D762">
        <v>4</v>
      </c>
      <c r="E762">
        <v>0</v>
      </c>
      <c r="F762" s="1">
        <v>45743</v>
      </c>
      <c r="G762">
        <f>_xlfn.XLOOKUP(F762,'Wk no''s'!B:B,'Wk no''s'!C:C,0)</f>
        <v>13</v>
      </c>
    </row>
    <row r="763" spans="1:7" x14ac:dyDescent="0.3">
      <c r="A763" t="s">
        <v>3020</v>
      </c>
      <c r="B763" t="s">
        <v>3021</v>
      </c>
      <c r="C763" t="s">
        <v>3022</v>
      </c>
      <c r="D763">
        <v>4</v>
      </c>
      <c r="E763">
        <v>0</v>
      </c>
      <c r="F763" s="1">
        <v>45743</v>
      </c>
      <c r="G763">
        <f>_xlfn.XLOOKUP(F763,'Wk no''s'!B:B,'Wk no''s'!C:C,0)</f>
        <v>13</v>
      </c>
    </row>
    <row r="764" spans="1:7" x14ac:dyDescent="0.3">
      <c r="A764" t="s">
        <v>3023</v>
      </c>
      <c r="B764" t="s">
        <v>3024</v>
      </c>
      <c r="C764" t="s">
        <v>3025</v>
      </c>
      <c r="D764">
        <v>0</v>
      </c>
      <c r="E764">
        <v>1</v>
      </c>
      <c r="F764" s="1">
        <v>45743</v>
      </c>
      <c r="G764">
        <f>_xlfn.XLOOKUP(F764,'Wk no''s'!B:B,'Wk no''s'!C:C,0)</f>
        <v>13</v>
      </c>
    </row>
    <row r="765" spans="1:7" x14ac:dyDescent="0.3">
      <c r="A765" t="s">
        <v>3026</v>
      </c>
      <c r="B765" t="s">
        <v>3027</v>
      </c>
      <c r="C765" t="s">
        <v>3028</v>
      </c>
      <c r="D765">
        <v>4</v>
      </c>
      <c r="E765">
        <v>0</v>
      </c>
      <c r="F765" s="1">
        <v>45743</v>
      </c>
      <c r="G765">
        <f>_xlfn.XLOOKUP(F765,'Wk no''s'!B:B,'Wk no''s'!C:C,0)</f>
        <v>13</v>
      </c>
    </row>
    <row r="766" spans="1:7" x14ac:dyDescent="0.3">
      <c r="A766" t="s">
        <v>3029</v>
      </c>
      <c r="B766" t="s">
        <v>3030</v>
      </c>
      <c r="C766" t="s">
        <v>3031</v>
      </c>
      <c r="D766">
        <v>1</v>
      </c>
      <c r="E766">
        <v>1</v>
      </c>
      <c r="F766" s="1">
        <v>45743</v>
      </c>
      <c r="G766">
        <f>_xlfn.XLOOKUP(F766,'Wk no''s'!B:B,'Wk no''s'!C:C,0)</f>
        <v>13</v>
      </c>
    </row>
    <row r="767" spans="1:7" x14ac:dyDescent="0.3">
      <c r="A767" t="s">
        <v>3032</v>
      </c>
      <c r="B767" t="s">
        <v>3033</v>
      </c>
      <c r="C767" t="s">
        <v>1693</v>
      </c>
      <c r="D767">
        <v>0</v>
      </c>
      <c r="E767">
        <v>1</v>
      </c>
      <c r="F767" s="1">
        <v>45743</v>
      </c>
      <c r="G767">
        <f>_xlfn.XLOOKUP(F767,'Wk no''s'!B:B,'Wk no''s'!C:C,0)</f>
        <v>13</v>
      </c>
    </row>
    <row r="768" spans="1:7" x14ac:dyDescent="0.3">
      <c r="A768" t="s">
        <v>3035</v>
      </c>
      <c r="B768" t="s">
        <v>3036</v>
      </c>
      <c r="C768" t="s">
        <v>3037</v>
      </c>
      <c r="D768">
        <v>4</v>
      </c>
      <c r="E768">
        <v>0</v>
      </c>
      <c r="F768" s="1">
        <v>45744</v>
      </c>
      <c r="G768">
        <f>_xlfn.XLOOKUP(F768,'Wk no''s'!B:B,'Wk no''s'!C:C,0)</f>
        <v>13</v>
      </c>
    </row>
    <row r="769" spans="1:7" x14ac:dyDescent="0.3">
      <c r="A769" t="s">
        <v>3038</v>
      </c>
      <c r="B769" t="s">
        <v>3039</v>
      </c>
      <c r="C769" t="s">
        <v>2884</v>
      </c>
      <c r="D769">
        <v>0</v>
      </c>
      <c r="E769">
        <v>1</v>
      </c>
      <c r="F769" s="1">
        <v>45744</v>
      </c>
      <c r="G769">
        <f>_xlfn.XLOOKUP(F769,'Wk no''s'!B:B,'Wk no''s'!C:C,0)</f>
        <v>13</v>
      </c>
    </row>
    <row r="770" spans="1:7" x14ac:dyDescent="0.3">
      <c r="A770" t="s">
        <v>3040</v>
      </c>
      <c r="B770" t="s">
        <v>3041</v>
      </c>
      <c r="C770" t="s">
        <v>3042</v>
      </c>
      <c r="D770">
        <v>1</v>
      </c>
      <c r="E770">
        <v>1</v>
      </c>
      <c r="F770" s="1">
        <v>45744</v>
      </c>
      <c r="G770">
        <f>_xlfn.XLOOKUP(F770,'Wk no''s'!B:B,'Wk no''s'!C:C,0)</f>
        <v>13</v>
      </c>
    </row>
    <row r="771" spans="1:7" x14ac:dyDescent="0.3">
      <c r="A771" t="s">
        <v>3043</v>
      </c>
      <c r="B771" t="s">
        <v>3044</v>
      </c>
      <c r="C771" t="s">
        <v>3045</v>
      </c>
      <c r="D771">
        <v>1</v>
      </c>
      <c r="E771">
        <v>1</v>
      </c>
      <c r="F771" s="1">
        <v>45744</v>
      </c>
      <c r="G771">
        <f>_xlfn.XLOOKUP(F771,'Wk no''s'!B:B,'Wk no''s'!C:C,0)</f>
        <v>13</v>
      </c>
    </row>
    <row r="772" spans="1:7" x14ac:dyDescent="0.3">
      <c r="A772" t="s">
        <v>3046</v>
      </c>
      <c r="B772" t="s">
        <v>3047</v>
      </c>
      <c r="C772" t="s">
        <v>39</v>
      </c>
      <c r="D772">
        <v>2</v>
      </c>
      <c r="E772">
        <v>0</v>
      </c>
      <c r="F772" s="1">
        <v>45744</v>
      </c>
      <c r="G772">
        <f>_xlfn.XLOOKUP(F772,'Wk no''s'!B:B,'Wk no''s'!C:C,0)</f>
        <v>13</v>
      </c>
    </row>
    <row r="773" spans="1:7" x14ac:dyDescent="0.3">
      <c r="A773" t="s">
        <v>3048</v>
      </c>
      <c r="B773" t="s">
        <v>3049</v>
      </c>
      <c r="D773">
        <v>1</v>
      </c>
      <c r="E773">
        <v>1</v>
      </c>
      <c r="F773" s="1">
        <v>45744</v>
      </c>
      <c r="G773">
        <f>_xlfn.XLOOKUP(F773,'Wk no''s'!B:B,'Wk no''s'!C:C,0)</f>
        <v>13</v>
      </c>
    </row>
    <row r="774" spans="1:7" x14ac:dyDescent="0.3">
      <c r="A774" t="s">
        <v>3050</v>
      </c>
      <c r="B774" t="s">
        <v>3051</v>
      </c>
      <c r="C774" t="s">
        <v>3052</v>
      </c>
      <c r="D774">
        <v>0</v>
      </c>
      <c r="E774">
        <v>1</v>
      </c>
      <c r="F774" s="1">
        <v>45747</v>
      </c>
      <c r="G774">
        <f>_xlfn.XLOOKUP(F774,'Wk no''s'!B:B,'Wk no''s'!C:C,0)</f>
        <v>14</v>
      </c>
    </row>
    <row r="775" spans="1:7" x14ac:dyDescent="0.3">
      <c r="A775" t="s">
        <v>3053</v>
      </c>
      <c r="B775" t="s">
        <v>3054</v>
      </c>
      <c r="C775" t="s">
        <v>3055</v>
      </c>
      <c r="D775">
        <v>4</v>
      </c>
      <c r="E775">
        <v>0</v>
      </c>
      <c r="F775" s="1">
        <v>45747</v>
      </c>
      <c r="G775">
        <f>_xlfn.XLOOKUP(F775,'Wk no''s'!B:B,'Wk no''s'!C:C,0)</f>
        <v>14</v>
      </c>
    </row>
    <row r="776" spans="1:7" x14ac:dyDescent="0.3">
      <c r="A776" t="s">
        <v>3056</v>
      </c>
      <c r="B776" t="s">
        <v>3057</v>
      </c>
      <c r="C776" t="s">
        <v>3058</v>
      </c>
      <c r="D776">
        <v>0</v>
      </c>
      <c r="E776">
        <v>1</v>
      </c>
      <c r="F776" s="1">
        <v>45747</v>
      </c>
      <c r="G776">
        <f>_xlfn.XLOOKUP(F776,'Wk no''s'!B:B,'Wk no''s'!C:C,0)</f>
        <v>14</v>
      </c>
    </row>
    <row r="777" spans="1:7" x14ac:dyDescent="0.3">
      <c r="A777" t="s">
        <v>3059</v>
      </c>
      <c r="B777" t="s">
        <v>3060</v>
      </c>
      <c r="C777" t="s">
        <v>2219</v>
      </c>
      <c r="D777">
        <v>3</v>
      </c>
      <c r="E777">
        <v>0</v>
      </c>
      <c r="F777" s="1">
        <v>45747</v>
      </c>
      <c r="G777">
        <f>_xlfn.XLOOKUP(F777,'Wk no''s'!B:B,'Wk no''s'!C:C,0)</f>
        <v>14</v>
      </c>
    </row>
    <row r="778" spans="1:7" x14ac:dyDescent="0.3">
      <c r="A778" t="s">
        <v>3061</v>
      </c>
      <c r="B778" t="s">
        <v>3062</v>
      </c>
      <c r="C778" t="s">
        <v>2736</v>
      </c>
      <c r="D778">
        <v>0</v>
      </c>
      <c r="E778">
        <v>1</v>
      </c>
      <c r="F778" s="1">
        <v>45747</v>
      </c>
      <c r="G778">
        <f>_xlfn.XLOOKUP(F778,'Wk no''s'!B:B,'Wk no''s'!C:C,0)</f>
        <v>14</v>
      </c>
    </row>
    <row r="779" spans="1:7" x14ac:dyDescent="0.3">
      <c r="A779" t="s">
        <v>3063</v>
      </c>
      <c r="B779" t="s">
        <v>3064</v>
      </c>
      <c r="C779" t="s">
        <v>15</v>
      </c>
      <c r="D779">
        <v>0</v>
      </c>
      <c r="E779">
        <v>1</v>
      </c>
      <c r="F779" s="1">
        <v>45747</v>
      </c>
      <c r="G779">
        <f>_xlfn.XLOOKUP(F779,'Wk no''s'!B:B,'Wk no''s'!C:C,0)</f>
        <v>14</v>
      </c>
    </row>
    <row r="780" spans="1:7" x14ac:dyDescent="0.3">
      <c r="A780" t="s">
        <v>3065</v>
      </c>
      <c r="B780" t="s">
        <v>3066</v>
      </c>
      <c r="C780" t="s">
        <v>3067</v>
      </c>
      <c r="D780">
        <v>4</v>
      </c>
      <c r="E780">
        <v>0</v>
      </c>
      <c r="F780" s="1">
        <v>45747</v>
      </c>
      <c r="G780">
        <f>_xlfn.XLOOKUP(F780,'Wk no''s'!B:B,'Wk no''s'!C:C,0)</f>
        <v>14</v>
      </c>
    </row>
    <row r="781" spans="1:7" x14ac:dyDescent="0.3">
      <c r="A781" t="s">
        <v>3068</v>
      </c>
      <c r="B781" t="s">
        <v>3069</v>
      </c>
      <c r="C781" t="s">
        <v>3070</v>
      </c>
      <c r="D781">
        <v>1</v>
      </c>
      <c r="E781">
        <v>1</v>
      </c>
      <c r="F781" s="1">
        <v>45747</v>
      </c>
      <c r="G781">
        <f>_xlfn.XLOOKUP(F781,'Wk no''s'!B:B,'Wk no''s'!C:C,0)</f>
        <v>14</v>
      </c>
    </row>
    <row r="782" spans="1:7" x14ac:dyDescent="0.3">
      <c r="A782" t="s">
        <v>3071</v>
      </c>
      <c r="B782" t="s">
        <v>3072</v>
      </c>
      <c r="C782" t="s">
        <v>2789</v>
      </c>
      <c r="D782">
        <v>2</v>
      </c>
      <c r="E782">
        <v>0</v>
      </c>
      <c r="F782" s="1">
        <v>45747</v>
      </c>
      <c r="G782">
        <f>_xlfn.XLOOKUP(F782,'Wk no''s'!B:B,'Wk no''s'!C:C,0)</f>
        <v>14</v>
      </c>
    </row>
    <row r="783" spans="1:7" x14ac:dyDescent="0.3">
      <c r="A783" t="s">
        <v>3073</v>
      </c>
      <c r="B783" t="s">
        <v>3074</v>
      </c>
      <c r="C783" t="s">
        <v>407</v>
      </c>
      <c r="D783">
        <v>2</v>
      </c>
      <c r="E783">
        <v>0</v>
      </c>
      <c r="F783" s="1">
        <v>45747</v>
      </c>
      <c r="G783">
        <f>_xlfn.XLOOKUP(F783,'Wk no''s'!B:B,'Wk no''s'!C:C,0)</f>
        <v>14</v>
      </c>
    </row>
    <row r="784" spans="1:7" x14ac:dyDescent="0.3">
      <c r="A784" t="s">
        <v>3075</v>
      </c>
      <c r="B784" t="s">
        <v>3076</v>
      </c>
      <c r="C784" t="s">
        <v>273</v>
      </c>
      <c r="D784">
        <v>2</v>
      </c>
      <c r="E784">
        <v>0</v>
      </c>
      <c r="F784" s="1">
        <v>45747</v>
      </c>
      <c r="G784">
        <f>_xlfn.XLOOKUP(F784,'Wk no''s'!B:B,'Wk no''s'!C:C,0)</f>
        <v>14</v>
      </c>
    </row>
    <row r="785" spans="1:7" x14ac:dyDescent="0.3">
      <c r="A785" t="s">
        <v>3077</v>
      </c>
      <c r="B785" t="s">
        <v>3078</v>
      </c>
      <c r="C785" t="s">
        <v>197</v>
      </c>
      <c r="D785">
        <v>0</v>
      </c>
      <c r="E785">
        <v>1</v>
      </c>
      <c r="F785" s="1">
        <v>45748</v>
      </c>
      <c r="G785">
        <f>_xlfn.XLOOKUP(F785,'Wk no''s'!B:B,'Wk no''s'!C:C,0)</f>
        <v>14</v>
      </c>
    </row>
    <row r="786" spans="1:7" x14ac:dyDescent="0.3">
      <c r="A786" t="s">
        <v>3079</v>
      </c>
      <c r="B786" t="s">
        <v>3080</v>
      </c>
      <c r="C786" t="s">
        <v>28</v>
      </c>
      <c r="D786">
        <v>0</v>
      </c>
      <c r="E786">
        <v>1</v>
      </c>
      <c r="F786" s="1">
        <v>45748</v>
      </c>
      <c r="G786">
        <f>_xlfn.XLOOKUP(F786,'Wk no''s'!B:B,'Wk no''s'!C:C,0)</f>
        <v>14</v>
      </c>
    </row>
    <row r="787" spans="1:7" x14ac:dyDescent="0.3">
      <c r="A787" t="s">
        <v>3081</v>
      </c>
      <c r="B787" t="s">
        <v>3082</v>
      </c>
      <c r="C787" t="s">
        <v>2110</v>
      </c>
      <c r="D787">
        <v>0</v>
      </c>
      <c r="E787">
        <v>1</v>
      </c>
      <c r="F787" s="1">
        <v>45748</v>
      </c>
      <c r="G787">
        <f>_xlfn.XLOOKUP(F787,'Wk no''s'!B:B,'Wk no''s'!C:C,0)</f>
        <v>14</v>
      </c>
    </row>
    <row r="788" spans="1:7" x14ac:dyDescent="0.3">
      <c r="A788" t="s">
        <v>3083</v>
      </c>
      <c r="B788" t="s">
        <v>3084</v>
      </c>
      <c r="C788" t="s">
        <v>294</v>
      </c>
      <c r="D788">
        <v>0</v>
      </c>
      <c r="E788">
        <v>1</v>
      </c>
      <c r="F788" s="1">
        <v>45748</v>
      </c>
      <c r="G788">
        <f>_xlfn.XLOOKUP(F788,'Wk no''s'!B:B,'Wk no''s'!C:C,0)</f>
        <v>14</v>
      </c>
    </row>
    <row r="789" spans="1:7" x14ac:dyDescent="0.3">
      <c r="A789" t="s">
        <v>3085</v>
      </c>
      <c r="B789" t="s">
        <v>3086</v>
      </c>
      <c r="C789" t="s">
        <v>2159</v>
      </c>
      <c r="D789">
        <v>0</v>
      </c>
      <c r="E789">
        <v>1</v>
      </c>
      <c r="F789" s="1">
        <v>45748</v>
      </c>
      <c r="G789">
        <f>_xlfn.XLOOKUP(F789,'Wk no''s'!B:B,'Wk no''s'!C:C,0)</f>
        <v>14</v>
      </c>
    </row>
    <row r="790" spans="1:7" x14ac:dyDescent="0.3">
      <c r="A790" t="s">
        <v>3087</v>
      </c>
      <c r="B790" t="s">
        <v>3088</v>
      </c>
      <c r="C790" t="s">
        <v>3089</v>
      </c>
      <c r="D790">
        <v>1</v>
      </c>
      <c r="E790">
        <v>1</v>
      </c>
      <c r="F790" s="1">
        <v>45748</v>
      </c>
      <c r="G790">
        <f>_xlfn.XLOOKUP(F790,'Wk no''s'!B:B,'Wk no''s'!C:C,0)</f>
        <v>14</v>
      </c>
    </row>
    <row r="791" spans="1:7" x14ac:dyDescent="0.3">
      <c r="A791" t="s">
        <v>3090</v>
      </c>
      <c r="B791" t="s">
        <v>3091</v>
      </c>
      <c r="C791" t="s">
        <v>2648</v>
      </c>
      <c r="D791">
        <v>1</v>
      </c>
      <c r="E791">
        <v>1</v>
      </c>
      <c r="F791" s="1">
        <v>45748</v>
      </c>
      <c r="G791">
        <f>_xlfn.XLOOKUP(F791,'Wk no''s'!B:B,'Wk no''s'!C:C,0)</f>
        <v>14</v>
      </c>
    </row>
    <row r="792" spans="1:7" x14ac:dyDescent="0.3">
      <c r="A792" t="s">
        <v>3092</v>
      </c>
      <c r="B792" t="s">
        <v>3093</v>
      </c>
      <c r="C792" t="s">
        <v>2330</v>
      </c>
      <c r="D792">
        <v>2</v>
      </c>
      <c r="E792">
        <v>0</v>
      </c>
      <c r="F792" s="1">
        <v>45749</v>
      </c>
      <c r="G792">
        <f>_xlfn.XLOOKUP(F792,'Wk no''s'!B:B,'Wk no''s'!C:C,0)</f>
        <v>14</v>
      </c>
    </row>
    <row r="793" spans="1:7" x14ac:dyDescent="0.3">
      <c r="A793" t="s">
        <v>3094</v>
      </c>
      <c r="B793" t="s">
        <v>3095</v>
      </c>
      <c r="C793" t="s">
        <v>2276</v>
      </c>
      <c r="D793">
        <v>0</v>
      </c>
      <c r="E793">
        <v>1</v>
      </c>
      <c r="F793" s="1">
        <v>45749</v>
      </c>
      <c r="G793">
        <f>_xlfn.XLOOKUP(F793,'Wk no''s'!B:B,'Wk no''s'!C:C,0)</f>
        <v>14</v>
      </c>
    </row>
    <row r="794" spans="1:7" x14ac:dyDescent="0.3">
      <c r="A794" t="s">
        <v>3096</v>
      </c>
      <c r="B794" t="s">
        <v>3097</v>
      </c>
      <c r="C794" t="s">
        <v>3098</v>
      </c>
      <c r="D794">
        <v>2</v>
      </c>
      <c r="E794">
        <v>0</v>
      </c>
      <c r="F794" s="1">
        <v>45749</v>
      </c>
      <c r="G794">
        <f>_xlfn.XLOOKUP(F794,'Wk no''s'!B:B,'Wk no''s'!C:C,0)</f>
        <v>14</v>
      </c>
    </row>
    <row r="795" spans="1:7" x14ac:dyDescent="0.3">
      <c r="A795" t="s">
        <v>3099</v>
      </c>
      <c r="B795" t="s">
        <v>3100</v>
      </c>
      <c r="C795" t="s">
        <v>3101</v>
      </c>
      <c r="D795">
        <v>0</v>
      </c>
      <c r="E795">
        <v>1</v>
      </c>
      <c r="F795" s="1">
        <v>45749</v>
      </c>
      <c r="G795">
        <f>_xlfn.XLOOKUP(F795,'Wk no''s'!B:B,'Wk no''s'!C:C,0)</f>
        <v>14</v>
      </c>
    </row>
    <row r="796" spans="1:7" x14ac:dyDescent="0.3">
      <c r="A796" t="s">
        <v>3102</v>
      </c>
      <c r="B796" t="s">
        <v>3103</v>
      </c>
      <c r="C796" t="s">
        <v>3104</v>
      </c>
      <c r="D796">
        <v>4</v>
      </c>
      <c r="E796">
        <v>0</v>
      </c>
      <c r="F796" s="1">
        <v>45749</v>
      </c>
      <c r="G796">
        <f>_xlfn.XLOOKUP(F796,'Wk no''s'!B:B,'Wk no''s'!C:C,0)</f>
        <v>14</v>
      </c>
    </row>
    <row r="797" spans="1:7" x14ac:dyDescent="0.3">
      <c r="A797" t="s">
        <v>3105</v>
      </c>
      <c r="B797" t="s">
        <v>3106</v>
      </c>
      <c r="C797" t="s">
        <v>3107</v>
      </c>
      <c r="D797">
        <v>0</v>
      </c>
      <c r="E797">
        <v>1</v>
      </c>
      <c r="F797" s="1">
        <v>45749</v>
      </c>
      <c r="G797">
        <f>_xlfn.XLOOKUP(F797,'Wk no''s'!B:B,'Wk no''s'!C:C,0)</f>
        <v>14</v>
      </c>
    </row>
    <row r="798" spans="1:7" x14ac:dyDescent="0.3">
      <c r="A798" t="s">
        <v>3108</v>
      </c>
      <c r="B798" t="s">
        <v>3109</v>
      </c>
      <c r="C798" t="s">
        <v>2010</v>
      </c>
      <c r="D798">
        <v>3</v>
      </c>
      <c r="E798">
        <v>0</v>
      </c>
      <c r="F798" s="1">
        <v>45749</v>
      </c>
      <c r="G798">
        <f>_xlfn.XLOOKUP(F798,'Wk no''s'!B:B,'Wk no''s'!C:C,0)</f>
        <v>14</v>
      </c>
    </row>
    <row r="799" spans="1:7" x14ac:dyDescent="0.3">
      <c r="A799" t="s">
        <v>3110</v>
      </c>
      <c r="B799" t="s">
        <v>3111</v>
      </c>
      <c r="C799" t="s">
        <v>38</v>
      </c>
      <c r="D799">
        <v>6</v>
      </c>
      <c r="E799">
        <v>0</v>
      </c>
      <c r="F799" s="1">
        <v>45749</v>
      </c>
      <c r="G799">
        <f>_xlfn.XLOOKUP(F799,'Wk no''s'!B:B,'Wk no''s'!C:C,0)</f>
        <v>14</v>
      </c>
    </row>
    <row r="800" spans="1:7" x14ac:dyDescent="0.3">
      <c r="A800" t="s">
        <v>3112</v>
      </c>
      <c r="B800" t="s">
        <v>3113</v>
      </c>
      <c r="C800" t="s">
        <v>17</v>
      </c>
      <c r="D800">
        <v>0</v>
      </c>
      <c r="E800">
        <v>1</v>
      </c>
      <c r="F800" s="1">
        <v>45750</v>
      </c>
      <c r="G800">
        <f>_xlfn.XLOOKUP(F800,'Wk no''s'!B:B,'Wk no''s'!C:C,0)</f>
        <v>14</v>
      </c>
    </row>
    <row r="801" spans="1:7" x14ac:dyDescent="0.3">
      <c r="A801" t="s">
        <v>3114</v>
      </c>
      <c r="B801" t="s">
        <v>3115</v>
      </c>
      <c r="C801" t="s">
        <v>2276</v>
      </c>
      <c r="D801">
        <v>0</v>
      </c>
      <c r="E801">
        <v>1</v>
      </c>
      <c r="F801" s="1">
        <v>45750</v>
      </c>
      <c r="G801">
        <f>_xlfn.XLOOKUP(F801,'Wk no''s'!B:B,'Wk no''s'!C:C,0)</f>
        <v>14</v>
      </c>
    </row>
    <row r="802" spans="1:7" x14ac:dyDescent="0.3">
      <c r="A802" t="s">
        <v>3116</v>
      </c>
      <c r="B802" t="s">
        <v>3117</v>
      </c>
      <c r="C802" t="s">
        <v>2451</v>
      </c>
      <c r="D802">
        <v>0</v>
      </c>
      <c r="E802">
        <v>1</v>
      </c>
      <c r="F802" s="1">
        <v>45750</v>
      </c>
      <c r="G802">
        <f>_xlfn.XLOOKUP(F802,'Wk no''s'!B:B,'Wk no''s'!C:C,0)</f>
        <v>14</v>
      </c>
    </row>
    <row r="803" spans="1:7" x14ac:dyDescent="0.3">
      <c r="A803" t="s">
        <v>3118</v>
      </c>
      <c r="B803" t="s">
        <v>3119</v>
      </c>
      <c r="C803" t="s">
        <v>1194</v>
      </c>
      <c r="D803">
        <v>1</v>
      </c>
      <c r="E803">
        <v>1</v>
      </c>
      <c r="F803" s="1">
        <v>45750</v>
      </c>
      <c r="G803">
        <f>_xlfn.XLOOKUP(F803,'Wk no''s'!B:B,'Wk no''s'!C:C,0)</f>
        <v>14</v>
      </c>
    </row>
    <row r="804" spans="1:7" x14ac:dyDescent="0.3">
      <c r="A804" t="s">
        <v>3120</v>
      </c>
      <c r="B804" t="s">
        <v>3121</v>
      </c>
      <c r="C804" t="s">
        <v>3122</v>
      </c>
      <c r="D804">
        <v>0</v>
      </c>
      <c r="E804">
        <v>1</v>
      </c>
      <c r="F804" s="1">
        <v>45750</v>
      </c>
      <c r="G804">
        <f>_xlfn.XLOOKUP(F804,'Wk no''s'!B:B,'Wk no''s'!C:C,0)</f>
        <v>14</v>
      </c>
    </row>
    <row r="805" spans="1:7" x14ac:dyDescent="0.3">
      <c r="A805" t="s">
        <v>3123</v>
      </c>
      <c r="B805" t="s">
        <v>3124</v>
      </c>
      <c r="C805" t="s">
        <v>3125</v>
      </c>
      <c r="D805">
        <v>0</v>
      </c>
      <c r="E805">
        <v>1</v>
      </c>
      <c r="F805" s="1">
        <v>45750</v>
      </c>
      <c r="G805">
        <f>_xlfn.XLOOKUP(F805,'Wk no''s'!B:B,'Wk no''s'!C:C,0)</f>
        <v>14</v>
      </c>
    </row>
    <row r="806" spans="1:7" x14ac:dyDescent="0.3">
      <c r="A806" t="s">
        <v>3126</v>
      </c>
      <c r="B806" t="s">
        <v>3127</v>
      </c>
      <c r="C806" t="s">
        <v>3128</v>
      </c>
      <c r="D806">
        <v>5</v>
      </c>
      <c r="E806">
        <v>0</v>
      </c>
      <c r="F806" s="1">
        <v>45750</v>
      </c>
      <c r="G806">
        <f>_xlfn.XLOOKUP(F806,'Wk no''s'!B:B,'Wk no''s'!C:C,0)</f>
        <v>14</v>
      </c>
    </row>
    <row r="807" spans="1:7" x14ac:dyDescent="0.3">
      <c r="A807" t="s">
        <v>3129</v>
      </c>
      <c r="B807" t="s">
        <v>3130</v>
      </c>
      <c r="C807" t="s">
        <v>3131</v>
      </c>
      <c r="D807">
        <v>2</v>
      </c>
      <c r="E807">
        <v>0</v>
      </c>
      <c r="F807" s="1">
        <v>45750</v>
      </c>
      <c r="G807">
        <f>_xlfn.XLOOKUP(F807,'Wk no''s'!B:B,'Wk no''s'!C:C,0)</f>
        <v>14</v>
      </c>
    </row>
    <row r="808" spans="1:7" x14ac:dyDescent="0.3">
      <c r="A808" t="s">
        <v>3132</v>
      </c>
      <c r="B808" t="s">
        <v>3133</v>
      </c>
      <c r="C808" t="s">
        <v>3089</v>
      </c>
      <c r="D808">
        <v>4</v>
      </c>
      <c r="E808">
        <v>0</v>
      </c>
      <c r="F808" s="1">
        <v>45750</v>
      </c>
      <c r="G808">
        <f>_xlfn.XLOOKUP(F808,'Wk no''s'!B:B,'Wk no''s'!C:C,0)</f>
        <v>14</v>
      </c>
    </row>
    <row r="809" spans="1:7" x14ac:dyDescent="0.3">
      <c r="A809" t="s">
        <v>3134</v>
      </c>
      <c r="B809" t="s">
        <v>3135</v>
      </c>
      <c r="C809" t="s">
        <v>432</v>
      </c>
      <c r="D809">
        <v>1</v>
      </c>
      <c r="E809">
        <v>1</v>
      </c>
      <c r="F809" s="1">
        <v>45750</v>
      </c>
      <c r="G809">
        <f>_xlfn.XLOOKUP(F809,'Wk no''s'!B:B,'Wk no''s'!C:C,0)</f>
        <v>14</v>
      </c>
    </row>
    <row r="810" spans="1:7" x14ac:dyDescent="0.3">
      <c r="A810" t="s">
        <v>3136</v>
      </c>
      <c r="C810" t="s">
        <v>438</v>
      </c>
      <c r="D810">
        <v>0</v>
      </c>
      <c r="E810">
        <v>1</v>
      </c>
      <c r="F810" s="1">
        <v>45750</v>
      </c>
      <c r="G810">
        <f>_xlfn.XLOOKUP(F810,'Wk no''s'!B:B,'Wk no''s'!C:C,0)</f>
        <v>14</v>
      </c>
    </row>
    <row r="811" spans="1:7" x14ac:dyDescent="0.3">
      <c r="A811" t="s">
        <v>3137</v>
      </c>
      <c r="B811" t="s">
        <v>3138</v>
      </c>
      <c r="C811" t="s">
        <v>3139</v>
      </c>
      <c r="D811">
        <v>3</v>
      </c>
      <c r="E811">
        <v>0</v>
      </c>
      <c r="F811" s="1">
        <v>45750</v>
      </c>
      <c r="G811">
        <f>_xlfn.XLOOKUP(F811,'Wk no''s'!B:B,'Wk no''s'!C:C,0)</f>
        <v>14</v>
      </c>
    </row>
    <row r="812" spans="1:7" x14ac:dyDescent="0.3">
      <c r="A812" t="s">
        <v>3140</v>
      </c>
      <c r="B812" t="s">
        <v>3141</v>
      </c>
      <c r="C812" t="s">
        <v>3142</v>
      </c>
      <c r="D812">
        <v>1</v>
      </c>
      <c r="E812">
        <v>1</v>
      </c>
      <c r="F812" s="1">
        <v>45750</v>
      </c>
      <c r="G812">
        <f>_xlfn.XLOOKUP(F812,'Wk no''s'!B:B,'Wk no''s'!C:C,0)</f>
        <v>14</v>
      </c>
    </row>
    <row r="813" spans="1:7" x14ac:dyDescent="0.3">
      <c r="A813" t="s">
        <v>3143</v>
      </c>
      <c r="B813" t="s">
        <v>3144</v>
      </c>
      <c r="C813" t="s">
        <v>1169</v>
      </c>
      <c r="D813">
        <v>2</v>
      </c>
      <c r="E813">
        <v>0</v>
      </c>
      <c r="F813" s="1">
        <v>45751</v>
      </c>
      <c r="G813">
        <f>_xlfn.XLOOKUP(F813,'Wk no''s'!B:B,'Wk no''s'!C:C,0)</f>
        <v>14</v>
      </c>
    </row>
    <row r="814" spans="1:7" x14ac:dyDescent="0.3">
      <c r="A814" t="s">
        <v>3145</v>
      </c>
      <c r="B814" t="s">
        <v>3146</v>
      </c>
      <c r="C814" t="s">
        <v>3147</v>
      </c>
      <c r="D814">
        <v>0</v>
      </c>
      <c r="E814">
        <v>1</v>
      </c>
      <c r="F814" s="1">
        <v>45751</v>
      </c>
      <c r="G814">
        <f>_xlfn.XLOOKUP(F814,'Wk no''s'!B:B,'Wk no''s'!C:C,0)</f>
        <v>14</v>
      </c>
    </row>
    <row r="815" spans="1:7" x14ac:dyDescent="0.3">
      <c r="A815" t="s">
        <v>3148</v>
      </c>
      <c r="B815" t="s">
        <v>3149</v>
      </c>
      <c r="C815" t="s">
        <v>3150</v>
      </c>
      <c r="D815">
        <v>0</v>
      </c>
      <c r="E815">
        <v>1</v>
      </c>
      <c r="F815" s="1">
        <v>45751</v>
      </c>
      <c r="G815">
        <f>_xlfn.XLOOKUP(F815,'Wk no''s'!B:B,'Wk no''s'!C:C,0)</f>
        <v>14</v>
      </c>
    </row>
    <row r="816" spans="1:7" x14ac:dyDescent="0.3">
      <c r="A816" t="s">
        <v>3151</v>
      </c>
      <c r="B816" t="s">
        <v>3152</v>
      </c>
      <c r="C816" t="s">
        <v>2884</v>
      </c>
      <c r="D816">
        <v>1</v>
      </c>
      <c r="E816">
        <v>1</v>
      </c>
      <c r="F816" s="1">
        <v>45751</v>
      </c>
      <c r="G816">
        <f>_xlfn.XLOOKUP(F816,'Wk no''s'!B:B,'Wk no''s'!C:C,0)</f>
        <v>14</v>
      </c>
    </row>
    <row r="817" spans="1:7" x14ac:dyDescent="0.3">
      <c r="A817" t="s">
        <v>3153</v>
      </c>
      <c r="B817" t="s">
        <v>3154</v>
      </c>
      <c r="C817" t="s">
        <v>473</v>
      </c>
      <c r="D817">
        <v>0</v>
      </c>
      <c r="E817">
        <v>1</v>
      </c>
      <c r="F817" s="1">
        <v>45751</v>
      </c>
      <c r="G817">
        <f>_xlfn.XLOOKUP(F817,'Wk no''s'!B:B,'Wk no''s'!C:C,0)</f>
        <v>14</v>
      </c>
    </row>
    <row r="818" spans="1:7" x14ac:dyDescent="0.3">
      <c r="A818" t="s">
        <v>3155</v>
      </c>
      <c r="B818" t="s">
        <v>3156</v>
      </c>
      <c r="C818" t="s">
        <v>139</v>
      </c>
      <c r="D818">
        <v>1</v>
      </c>
      <c r="E818">
        <v>1</v>
      </c>
      <c r="F818" s="1">
        <v>45754</v>
      </c>
      <c r="G818">
        <f>_xlfn.XLOOKUP(F818,'Wk no''s'!B:B,'Wk no''s'!C:C,0)</f>
        <v>15</v>
      </c>
    </row>
    <row r="819" spans="1:7" x14ac:dyDescent="0.3">
      <c r="A819" t="s">
        <v>3157</v>
      </c>
      <c r="B819" t="s">
        <v>3158</v>
      </c>
      <c r="C819" t="s">
        <v>2778</v>
      </c>
      <c r="D819">
        <v>3</v>
      </c>
      <c r="E819">
        <v>0</v>
      </c>
      <c r="F819" s="1">
        <v>45754</v>
      </c>
      <c r="G819">
        <f>_xlfn.XLOOKUP(F819,'Wk no''s'!B:B,'Wk no''s'!C:C,0)</f>
        <v>15</v>
      </c>
    </row>
    <row r="820" spans="1:7" x14ac:dyDescent="0.3">
      <c r="A820" t="s">
        <v>3159</v>
      </c>
      <c r="B820" t="s">
        <v>3160</v>
      </c>
      <c r="C820" t="s">
        <v>197</v>
      </c>
      <c r="D820">
        <v>1</v>
      </c>
      <c r="E820">
        <v>1</v>
      </c>
      <c r="F820" s="1">
        <v>45754</v>
      </c>
      <c r="G820">
        <f>_xlfn.XLOOKUP(F820,'Wk no''s'!B:B,'Wk no''s'!C:C,0)</f>
        <v>15</v>
      </c>
    </row>
    <row r="821" spans="1:7" x14ac:dyDescent="0.3">
      <c r="A821" t="s">
        <v>3161</v>
      </c>
      <c r="B821" t="s">
        <v>3162</v>
      </c>
      <c r="C821" t="s">
        <v>3163</v>
      </c>
      <c r="D821">
        <v>1</v>
      </c>
      <c r="E821">
        <v>1</v>
      </c>
      <c r="F821" s="1">
        <v>45754</v>
      </c>
      <c r="G821">
        <f>_xlfn.XLOOKUP(F821,'Wk no''s'!B:B,'Wk no''s'!C:C,0)</f>
        <v>15</v>
      </c>
    </row>
    <row r="822" spans="1:7" x14ac:dyDescent="0.3">
      <c r="A822" t="s">
        <v>3164</v>
      </c>
      <c r="B822" t="s">
        <v>3165</v>
      </c>
      <c r="C822" t="s">
        <v>39</v>
      </c>
      <c r="D822">
        <v>0</v>
      </c>
      <c r="E822">
        <v>1</v>
      </c>
      <c r="F822" s="1">
        <v>45754</v>
      </c>
      <c r="G822">
        <f>_xlfn.XLOOKUP(F822,'Wk no''s'!B:B,'Wk no''s'!C:C,0)</f>
        <v>15</v>
      </c>
    </row>
    <row r="823" spans="1:7" x14ac:dyDescent="0.3">
      <c r="A823" t="s">
        <v>3166</v>
      </c>
      <c r="B823" t="s">
        <v>3167</v>
      </c>
      <c r="C823" t="s">
        <v>2715</v>
      </c>
      <c r="D823">
        <v>2</v>
      </c>
      <c r="E823">
        <v>0</v>
      </c>
      <c r="F823" s="1">
        <v>45754</v>
      </c>
      <c r="G823">
        <f>_xlfn.XLOOKUP(F823,'Wk no''s'!B:B,'Wk no''s'!C:C,0)</f>
        <v>15</v>
      </c>
    </row>
    <row r="824" spans="1:7" x14ac:dyDescent="0.3">
      <c r="A824" t="s">
        <v>3168</v>
      </c>
      <c r="B824" t="s">
        <v>3169</v>
      </c>
      <c r="C824" t="s">
        <v>2884</v>
      </c>
      <c r="D824">
        <v>1</v>
      </c>
      <c r="E824">
        <v>1</v>
      </c>
      <c r="F824" s="1">
        <v>45754</v>
      </c>
      <c r="G824">
        <f>_xlfn.XLOOKUP(F824,'Wk no''s'!B:B,'Wk no''s'!C:C,0)</f>
        <v>15</v>
      </c>
    </row>
    <row r="825" spans="1:7" x14ac:dyDescent="0.3">
      <c r="A825" t="s">
        <v>3170</v>
      </c>
      <c r="B825" t="s">
        <v>3171</v>
      </c>
      <c r="C825" t="s">
        <v>3172</v>
      </c>
      <c r="D825">
        <v>0</v>
      </c>
      <c r="E825">
        <v>1</v>
      </c>
      <c r="F825" s="1">
        <v>45754</v>
      </c>
      <c r="G825">
        <f>_xlfn.XLOOKUP(F825,'Wk no''s'!B:B,'Wk no''s'!C:C,0)</f>
        <v>15</v>
      </c>
    </row>
    <row r="826" spans="1:7" x14ac:dyDescent="0.3">
      <c r="A826" t="s">
        <v>3173</v>
      </c>
      <c r="B826" t="s">
        <v>3174</v>
      </c>
      <c r="C826" t="s">
        <v>2546</v>
      </c>
      <c r="D826">
        <v>0</v>
      </c>
      <c r="E826">
        <v>1</v>
      </c>
      <c r="F826" s="1">
        <v>45754</v>
      </c>
      <c r="G826">
        <f>_xlfn.XLOOKUP(F826,'Wk no''s'!B:B,'Wk no''s'!C:C,0)</f>
        <v>15</v>
      </c>
    </row>
    <row r="827" spans="1:7" x14ac:dyDescent="0.3">
      <c r="A827" t="s">
        <v>3175</v>
      </c>
      <c r="B827" t="s">
        <v>3176</v>
      </c>
      <c r="C827" t="s">
        <v>3177</v>
      </c>
      <c r="D827">
        <v>0</v>
      </c>
      <c r="E827">
        <v>1</v>
      </c>
      <c r="F827" s="1">
        <v>45754</v>
      </c>
      <c r="G827">
        <f>_xlfn.XLOOKUP(F827,'Wk no''s'!B:B,'Wk no''s'!C:C,0)</f>
        <v>15</v>
      </c>
    </row>
    <row r="828" spans="1:7" x14ac:dyDescent="0.3">
      <c r="A828" t="s">
        <v>3178</v>
      </c>
      <c r="B828" t="s">
        <v>3179</v>
      </c>
      <c r="C828" t="s">
        <v>3180</v>
      </c>
      <c r="D828">
        <v>0</v>
      </c>
      <c r="E828">
        <v>1</v>
      </c>
      <c r="F828" s="1">
        <v>45754</v>
      </c>
      <c r="G828">
        <f>_xlfn.XLOOKUP(F828,'Wk no''s'!B:B,'Wk no''s'!C:C,0)</f>
        <v>15</v>
      </c>
    </row>
    <row r="829" spans="1:7" x14ac:dyDescent="0.3">
      <c r="A829" t="s">
        <v>3181</v>
      </c>
      <c r="B829" t="s">
        <v>3182</v>
      </c>
      <c r="C829" t="s">
        <v>3183</v>
      </c>
      <c r="D829">
        <v>1</v>
      </c>
      <c r="E829">
        <v>1</v>
      </c>
      <c r="F829" s="1">
        <v>45754</v>
      </c>
      <c r="G829">
        <f>_xlfn.XLOOKUP(F829,'Wk no''s'!B:B,'Wk no''s'!C:C,0)</f>
        <v>15</v>
      </c>
    </row>
    <row r="830" spans="1:7" x14ac:dyDescent="0.3">
      <c r="A830" t="s">
        <v>3184</v>
      </c>
      <c r="B830" t="s">
        <v>3185</v>
      </c>
      <c r="C830" t="s">
        <v>3186</v>
      </c>
      <c r="D830">
        <v>0</v>
      </c>
      <c r="E830">
        <v>1</v>
      </c>
      <c r="F830" s="1">
        <v>45754</v>
      </c>
      <c r="G830">
        <f>_xlfn.XLOOKUP(F830,'Wk no''s'!B:B,'Wk no''s'!C:C,0)</f>
        <v>15</v>
      </c>
    </row>
    <row r="831" spans="1:7" x14ac:dyDescent="0.3">
      <c r="A831" t="s">
        <v>3187</v>
      </c>
      <c r="B831" t="s">
        <v>3188</v>
      </c>
      <c r="C831" t="s">
        <v>197</v>
      </c>
      <c r="D831">
        <v>0</v>
      </c>
      <c r="E831">
        <v>1</v>
      </c>
      <c r="F831" s="1">
        <v>45754</v>
      </c>
      <c r="G831">
        <f>_xlfn.XLOOKUP(F831,'Wk no''s'!B:B,'Wk no''s'!C:C,0)</f>
        <v>15</v>
      </c>
    </row>
    <row r="832" spans="1:7" x14ac:dyDescent="0.3">
      <c r="A832" t="s">
        <v>3189</v>
      </c>
      <c r="B832" t="s">
        <v>3190</v>
      </c>
      <c r="C832" t="s">
        <v>1652</v>
      </c>
      <c r="D832">
        <v>0</v>
      </c>
      <c r="E832">
        <v>1</v>
      </c>
      <c r="F832" s="1">
        <v>45754</v>
      </c>
      <c r="G832">
        <f>_xlfn.XLOOKUP(F832,'Wk no''s'!B:B,'Wk no''s'!C:C,0)</f>
        <v>15</v>
      </c>
    </row>
    <row r="833" spans="1:7" x14ac:dyDescent="0.3">
      <c r="A833" t="s">
        <v>3191</v>
      </c>
      <c r="B833" t="s">
        <v>3192</v>
      </c>
      <c r="C833" t="s">
        <v>2029</v>
      </c>
      <c r="D833">
        <v>2</v>
      </c>
      <c r="E833">
        <v>0</v>
      </c>
      <c r="F833" s="1">
        <v>45754</v>
      </c>
      <c r="G833">
        <f>_xlfn.XLOOKUP(F833,'Wk no''s'!B:B,'Wk no''s'!C:C,0)</f>
        <v>15</v>
      </c>
    </row>
    <row r="834" spans="1:7" x14ac:dyDescent="0.3">
      <c r="A834" t="s">
        <v>3193</v>
      </c>
      <c r="B834" t="s">
        <v>3194</v>
      </c>
      <c r="C834" t="s">
        <v>1343</v>
      </c>
      <c r="D834">
        <v>4</v>
      </c>
      <c r="E834">
        <v>0</v>
      </c>
      <c r="F834" s="1">
        <v>45754</v>
      </c>
      <c r="G834">
        <f>_xlfn.XLOOKUP(F834,'Wk no''s'!B:B,'Wk no''s'!C:C,0)</f>
        <v>15</v>
      </c>
    </row>
    <row r="835" spans="1:7" x14ac:dyDescent="0.3">
      <c r="A835" t="s">
        <v>3195</v>
      </c>
      <c r="B835" t="s">
        <v>3196</v>
      </c>
      <c r="C835" t="s">
        <v>273</v>
      </c>
      <c r="D835">
        <v>0</v>
      </c>
      <c r="E835">
        <v>1</v>
      </c>
      <c r="F835" s="1">
        <v>45754</v>
      </c>
      <c r="G835">
        <f>_xlfn.XLOOKUP(F835,'Wk no''s'!B:B,'Wk no''s'!C:C,0)</f>
        <v>15</v>
      </c>
    </row>
    <row r="836" spans="1:7" x14ac:dyDescent="0.3">
      <c r="A836" t="s">
        <v>3197</v>
      </c>
      <c r="B836" t="s">
        <v>3198</v>
      </c>
      <c r="C836" t="s">
        <v>3199</v>
      </c>
      <c r="D836">
        <v>0</v>
      </c>
      <c r="E836">
        <v>1</v>
      </c>
      <c r="F836" s="1">
        <v>45754</v>
      </c>
      <c r="G836">
        <f>_xlfn.XLOOKUP(F836,'Wk no''s'!B:B,'Wk no''s'!C:C,0)</f>
        <v>15</v>
      </c>
    </row>
    <row r="837" spans="1:7" x14ac:dyDescent="0.3">
      <c r="A837" t="s">
        <v>3200</v>
      </c>
      <c r="B837" t="s">
        <v>3201</v>
      </c>
      <c r="C837" t="s">
        <v>2279</v>
      </c>
      <c r="D837">
        <v>1</v>
      </c>
      <c r="E837">
        <v>1</v>
      </c>
      <c r="F837" s="1">
        <v>45755</v>
      </c>
      <c r="G837">
        <f>_xlfn.XLOOKUP(F837,'Wk no''s'!B:B,'Wk no''s'!C:C,0)</f>
        <v>15</v>
      </c>
    </row>
    <row r="838" spans="1:7" x14ac:dyDescent="0.3">
      <c r="A838" t="s">
        <v>3202</v>
      </c>
      <c r="B838" t="s">
        <v>3203</v>
      </c>
      <c r="C838" t="s">
        <v>197</v>
      </c>
      <c r="D838">
        <v>0</v>
      </c>
      <c r="E838">
        <v>1</v>
      </c>
      <c r="F838" s="1">
        <v>45755</v>
      </c>
      <c r="G838">
        <f>_xlfn.XLOOKUP(F838,'Wk no''s'!B:B,'Wk no''s'!C:C,0)</f>
        <v>15</v>
      </c>
    </row>
    <row r="839" spans="1:7" x14ac:dyDescent="0.3">
      <c r="A839" t="s">
        <v>3204</v>
      </c>
      <c r="B839" t="s">
        <v>3205</v>
      </c>
      <c r="C839" t="s">
        <v>3206</v>
      </c>
      <c r="D839">
        <v>1</v>
      </c>
      <c r="E839">
        <v>1</v>
      </c>
      <c r="F839" s="1">
        <v>45755</v>
      </c>
      <c r="G839">
        <f>_xlfn.XLOOKUP(F839,'Wk no''s'!B:B,'Wk no''s'!C:C,0)</f>
        <v>15</v>
      </c>
    </row>
    <row r="840" spans="1:7" x14ac:dyDescent="0.3">
      <c r="A840" t="s">
        <v>3207</v>
      </c>
      <c r="B840" t="s">
        <v>3208</v>
      </c>
      <c r="C840" t="s">
        <v>3209</v>
      </c>
      <c r="D840">
        <v>1</v>
      </c>
      <c r="E840">
        <v>1</v>
      </c>
      <c r="F840" s="1">
        <v>45755</v>
      </c>
      <c r="G840">
        <f>_xlfn.XLOOKUP(F840,'Wk no''s'!B:B,'Wk no''s'!C:C,0)</f>
        <v>15</v>
      </c>
    </row>
    <row r="841" spans="1:7" x14ac:dyDescent="0.3">
      <c r="A841" t="s">
        <v>3210</v>
      </c>
      <c r="B841" t="s">
        <v>3211</v>
      </c>
      <c r="C841" t="s">
        <v>3212</v>
      </c>
      <c r="D841">
        <v>0</v>
      </c>
      <c r="E841">
        <v>1</v>
      </c>
      <c r="F841" s="1">
        <v>45755</v>
      </c>
      <c r="G841">
        <f>_xlfn.XLOOKUP(F841,'Wk no''s'!B:B,'Wk no''s'!C:C,0)</f>
        <v>15</v>
      </c>
    </row>
    <row r="842" spans="1:7" x14ac:dyDescent="0.3">
      <c r="A842" t="s">
        <v>3213</v>
      </c>
      <c r="B842" t="s">
        <v>3214</v>
      </c>
      <c r="C842" t="s">
        <v>390</v>
      </c>
      <c r="D842">
        <v>3</v>
      </c>
      <c r="E842">
        <v>0</v>
      </c>
      <c r="F842" s="1">
        <v>45755</v>
      </c>
      <c r="G842">
        <f>_xlfn.XLOOKUP(F842,'Wk no''s'!B:B,'Wk no''s'!C:C,0)</f>
        <v>15</v>
      </c>
    </row>
    <row r="843" spans="1:7" x14ac:dyDescent="0.3">
      <c r="A843" t="s">
        <v>3215</v>
      </c>
      <c r="C843" t="s">
        <v>3216</v>
      </c>
      <c r="D843">
        <v>0</v>
      </c>
      <c r="E843">
        <v>1</v>
      </c>
      <c r="F843" s="1">
        <v>45755</v>
      </c>
      <c r="G843">
        <f>_xlfn.XLOOKUP(F843,'Wk no''s'!B:B,'Wk no''s'!C:C,0)</f>
        <v>15</v>
      </c>
    </row>
    <row r="844" spans="1:7" x14ac:dyDescent="0.3">
      <c r="A844" t="s">
        <v>3217</v>
      </c>
      <c r="B844" t="s">
        <v>3218</v>
      </c>
      <c r="C844" t="s">
        <v>3219</v>
      </c>
      <c r="D844">
        <v>0</v>
      </c>
      <c r="E844">
        <v>1</v>
      </c>
      <c r="F844" s="1">
        <v>45755</v>
      </c>
      <c r="G844">
        <f>_xlfn.XLOOKUP(F844,'Wk no''s'!B:B,'Wk no''s'!C:C,0)</f>
        <v>15</v>
      </c>
    </row>
    <row r="845" spans="1:7" x14ac:dyDescent="0.3">
      <c r="A845" t="s">
        <v>3220</v>
      </c>
      <c r="B845" t="s">
        <v>3221</v>
      </c>
      <c r="C845" t="s">
        <v>2010</v>
      </c>
      <c r="D845">
        <v>0</v>
      </c>
      <c r="E845">
        <v>1</v>
      </c>
      <c r="F845" s="1">
        <v>45755</v>
      </c>
      <c r="G845">
        <f>_xlfn.XLOOKUP(F845,'Wk no''s'!B:B,'Wk no''s'!C:C,0)</f>
        <v>15</v>
      </c>
    </row>
    <row r="846" spans="1:7" x14ac:dyDescent="0.3">
      <c r="A846" t="s">
        <v>3222</v>
      </c>
      <c r="B846" t="s">
        <v>3223</v>
      </c>
      <c r="C846" t="s">
        <v>75</v>
      </c>
      <c r="D846">
        <v>1</v>
      </c>
      <c r="E846">
        <v>1</v>
      </c>
      <c r="F846" s="1">
        <v>45755</v>
      </c>
      <c r="G846">
        <f>_xlfn.XLOOKUP(F846,'Wk no''s'!B:B,'Wk no''s'!C:C,0)</f>
        <v>15</v>
      </c>
    </row>
    <row r="847" spans="1:7" x14ac:dyDescent="0.3">
      <c r="A847" t="s">
        <v>3224</v>
      </c>
      <c r="B847" t="s">
        <v>3225</v>
      </c>
      <c r="C847" t="s">
        <v>3226</v>
      </c>
      <c r="D847">
        <v>1</v>
      </c>
      <c r="E847">
        <v>1</v>
      </c>
      <c r="F847" s="1">
        <v>45755</v>
      </c>
      <c r="G847">
        <f>_xlfn.XLOOKUP(F847,'Wk no''s'!B:B,'Wk no''s'!C:C,0)</f>
        <v>15</v>
      </c>
    </row>
    <row r="848" spans="1:7" x14ac:dyDescent="0.3">
      <c r="A848" t="s">
        <v>3227</v>
      </c>
      <c r="B848" t="s">
        <v>3228</v>
      </c>
      <c r="C848" t="s">
        <v>38</v>
      </c>
      <c r="D848">
        <v>4</v>
      </c>
      <c r="E848">
        <v>0</v>
      </c>
      <c r="F848" s="1">
        <v>45755</v>
      </c>
      <c r="G848">
        <f>_xlfn.XLOOKUP(F848,'Wk no''s'!B:B,'Wk no''s'!C:C,0)</f>
        <v>15</v>
      </c>
    </row>
    <row r="849" spans="1:7" x14ac:dyDescent="0.3">
      <c r="A849" t="s">
        <v>3229</v>
      </c>
      <c r="B849" t="s">
        <v>3230</v>
      </c>
      <c r="C849" t="s">
        <v>2648</v>
      </c>
      <c r="D849">
        <v>1</v>
      </c>
      <c r="E849">
        <v>1</v>
      </c>
      <c r="F849" s="1">
        <v>45755</v>
      </c>
      <c r="G849">
        <f>_xlfn.XLOOKUP(F849,'Wk no''s'!B:B,'Wk no''s'!C:C,0)</f>
        <v>15</v>
      </c>
    </row>
    <row r="850" spans="1:7" x14ac:dyDescent="0.3">
      <c r="A850" t="s">
        <v>3231</v>
      </c>
      <c r="B850" t="s">
        <v>3232</v>
      </c>
      <c r="C850" t="s">
        <v>1298</v>
      </c>
      <c r="D850">
        <v>0</v>
      </c>
      <c r="E850">
        <v>1</v>
      </c>
      <c r="F850" s="1">
        <v>45756</v>
      </c>
      <c r="G850">
        <f>_xlfn.XLOOKUP(F850,'Wk no''s'!B:B,'Wk no''s'!C:C,0)</f>
        <v>15</v>
      </c>
    </row>
    <row r="851" spans="1:7" x14ac:dyDescent="0.3">
      <c r="A851" t="s">
        <v>3233</v>
      </c>
      <c r="B851" t="s">
        <v>3234</v>
      </c>
      <c r="C851" t="s">
        <v>302</v>
      </c>
      <c r="D851">
        <v>5</v>
      </c>
      <c r="E851">
        <v>0</v>
      </c>
      <c r="F851" s="1">
        <v>45756</v>
      </c>
      <c r="G851">
        <f>_xlfn.XLOOKUP(F851,'Wk no''s'!B:B,'Wk no''s'!C:C,0)</f>
        <v>15</v>
      </c>
    </row>
    <row r="852" spans="1:7" x14ac:dyDescent="0.3">
      <c r="A852" t="s">
        <v>3235</v>
      </c>
      <c r="B852" t="s">
        <v>3236</v>
      </c>
      <c r="C852" t="s">
        <v>3237</v>
      </c>
      <c r="D852">
        <v>0</v>
      </c>
      <c r="E852">
        <v>1</v>
      </c>
      <c r="F852" s="1">
        <v>45756</v>
      </c>
      <c r="G852">
        <f>_xlfn.XLOOKUP(F852,'Wk no''s'!B:B,'Wk no''s'!C:C,0)</f>
        <v>15</v>
      </c>
    </row>
    <row r="853" spans="1:7" x14ac:dyDescent="0.3">
      <c r="A853" t="s">
        <v>3238</v>
      </c>
      <c r="B853" t="s">
        <v>3239</v>
      </c>
      <c r="C853" t="s">
        <v>240</v>
      </c>
      <c r="D853">
        <v>0</v>
      </c>
      <c r="E853">
        <v>1</v>
      </c>
      <c r="F853" s="1">
        <v>45756</v>
      </c>
      <c r="G853">
        <f>_xlfn.XLOOKUP(F853,'Wk no''s'!B:B,'Wk no''s'!C:C,0)</f>
        <v>15</v>
      </c>
    </row>
    <row r="854" spans="1:7" x14ac:dyDescent="0.3">
      <c r="A854" t="s">
        <v>3240</v>
      </c>
      <c r="B854" t="s">
        <v>3241</v>
      </c>
      <c r="C854" t="s">
        <v>1693</v>
      </c>
      <c r="D854">
        <v>1</v>
      </c>
      <c r="E854">
        <v>1</v>
      </c>
      <c r="F854" s="1">
        <v>45756</v>
      </c>
      <c r="G854">
        <f>_xlfn.XLOOKUP(F854,'Wk no''s'!B:B,'Wk no''s'!C:C,0)</f>
        <v>15</v>
      </c>
    </row>
    <row r="855" spans="1:7" x14ac:dyDescent="0.3">
      <c r="A855" t="s">
        <v>3242</v>
      </c>
      <c r="B855" t="s">
        <v>3243</v>
      </c>
      <c r="C855" t="s">
        <v>2908</v>
      </c>
      <c r="D855">
        <v>1</v>
      </c>
      <c r="E855">
        <v>1</v>
      </c>
      <c r="F855" s="1">
        <v>45756</v>
      </c>
      <c r="G855">
        <f>_xlfn.XLOOKUP(F855,'Wk no''s'!B:B,'Wk no''s'!C:C,0)</f>
        <v>15</v>
      </c>
    </row>
    <row r="856" spans="1:7" x14ac:dyDescent="0.3">
      <c r="A856" t="s">
        <v>3244</v>
      </c>
      <c r="B856" t="s">
        <v>3245</v>
      </c>
      <c r="C856" t="s">
        <v>220</v>
      </c>
      <c r="D856">
        <v>0</v>
      </c>
      <c r="E856">
        <v>1</v>
      </c>
      <c r="F856" s="1">
        <v>45756</v>
      </c>
      <c r="G856">
        <f>_xlfn.XLOOKUP(F856,'Wk no''s'!B:B,'Wk no''s'!C:C,0)</f>
        <v>15</v>
      </c>
    </row>
    <row r="857" spans="1:7" x14ac:dyDescent="0.3">
      <c r="A857" t="s">
        <v>3246</v>
      </c>
      <c r="B857" t="s">
        <v>3247</v>
      </c>
      <c r="C857" t="s">
        <v>1269</v>
      </c>
      <c r="D857">
        <v>1</v>
      </c>
      <c r="E857">
        <v>1</v>
      </c>
      <c r="F857" s="1">
        <v>45756</v>
      </c>
      <c r="G857">
        <f>_xlfn.XLOOKUP(F857,'Wk no''s'!B:B,'Wk no''s'!C:C,0)</f>
        <v>15</v>
      </c>
    </row>
    <row r="858" spans="1:7" x14ac:dyDescent="0.3">
      <c r="A858" t="s">
        <v>3248</v>
      </c>
      <c r="B858" t="s">
        <v>3249</v>
      </c>
      <c r="C858" t="s">
        <v>127</v>
      </c>
      <c r="D858">
        <v>3</v>
      </c>
      <c r="E858">
        <v>0</v>
      </c>
      <c r="F858" s="1">
        <v>45757</v>
      </c>
      <c r="G858">
        <f>_xlfn.XLOOKUP(F858,'Wk no''s'!B:B,'Wk no''s'!C:C,0)</f>
        <v>15</v>
      </c>
    </row>
    <row r="859" spans="1:7" x14ac:dyDescent="0.3">
      <c r="A859" t="s">
        <v>3250</v>
      </c>
      <c r="B859" t="s">
        <v>3251</v>
      </c>
      <c r="C859" t="s">
        <v>640</v>
      </c>
      <c r="D859">
        <v>0</v>
      </c>
      <c r="E859">
        <v>1</v>
      </c>
      <c r="F859" s="1">
        <v>45757</v>
      </c>
      <c r="G859">
        <f>_xlfn.XLOOKUP(F859,'Wk no''s'!B:B,'Wk no''s'!C:C,0)</f>
        <v>15</v>
      </c>
    </row>
    <row r="860" spans="1:7" x14ac:dyDescent="0.3">
      <c r="A860" t="s">
        <v>3252</v>
      </c>
      <c r="B860" t="s">
        <v>3253</v>
      </c>
      <c r="C860" t="s">
        <v>349</v>
      </c>
      <c r="D860">
        <v>0</v>
      </c>
      <c r="E860">
        <v>1</v>
      </c>
      <c r="F860" s="1">
        <v>45757</v>
      </c>
      <c r="G860">
        <f>_xlfn.XLOOKUP(F860,'Wk no''s'!B:B,'Wk no''s'!C:C,0)</f>
        <v>15</v>
      </c>
    </row>
    <row r="861" spans="1:7" x14ac:dyDescent="0.3">
      <c r="A861" t="s">
        <v>3254</v>
      </c>
      <c r="B861" t="s">
        <v>3255</v>
      </c>
      <c r="C861" t="s">
        <v>411</v>
      </c>
      <c r="D861">
        <v>0</v>
      </c>
      <c r="E861">
        <v>1</v>
      </c>
      <c r="F861" s="1">
        <v>45757</v>
      </c>
      <c r="G861">
        <f>_xlfn.XLOOKUP(F861,'Wk no''s'!B:B,'Wk no''s'!C:C,0)</f>
        <v>15</v>
      </c>
    </row>
    <row r="862" spans="1:7" x14ac:dyDescent="0.3">
      <c r="A862" t="s">
        <v>3256</v>
      </c>
      <c r="B862" t="s">
        <v>3257</v>
      </c>
      <c r="C862" t="s">
        <v>3258</v>
      </c>
      <c r="D862">
        <v>1</v>
      </c>
      <c r="E862">
        <v>1</v>
      </c>
      <c r="F862" s="1">
        <v>45757</v>
      </c>
      <c r="G862">
        <f>_xlfn.XLOOKUP(F862,'Wk no''s'!B:B,'Wk no''s'!C:C,0)</f>
        <v>15</v>
      </c>
    </row>
    <row r="863" spans="1:7" x14ac:dyDescent="0.3">
      <c r="A863" t="s">
        <v>3259</v>
      </c>
      <c r="B863" t="s">
        <v>3260</v>
      </c>
      <c r="C863" t="s">
        <v>2429</v>
      </c>
      <c r="D863">
        <v>0</v>
      </c>
      <c r="E863">
        <v>1</v>
      </c>
      <c r="F863" s="1">
        <v>45758</v>
      </c>
      <c r="G863">
        <f>_xlfn.XLOOKUP(F863,'Wk no''s'!B:B,'Wk no''s'!C:C,0)</f>
        <v>15</v>
      </c>
    </row>
    <row r="864" spans="1:7" x14ac:dyDescent="0.3">
      <c r="A864" t="s">
        <v>3261</v>
      </c>
      <c r="B864" t="s">
        <v>3262</v>
      </c>
      <c r="C864" t="s">
        <v>339</v>
      </c>
      <c r="D864">
        <v>0</v>
      </c>
      <c r="E864">
        <v>1</v>
      </c>
      <c r="F864" s="1">
        <v>45758</v>
      </c>
      <c r="G864">
        <f>_xlfn.XLOOKUP(F864,'Wk no''s'!B:B,'Wk no''s'!C:C,0)</f>
        <v>15</v>
      </c>
    </row>
    <row r="865" spans="1:7" x14ac:dyDescent="0.3">
      <c r="A865" t="s">
        <v>3263</v>
      </c>
      <c r="B865" t="s">
        <v>3264</v>
      </c>
      <c r="C865" t="s">
        <v>2088</v>
      </c>
      <c r="D865">
        <v>0</v>
      </c>
      <c r="E865">
        <v>1</v>
      </c>
      <c r="F865" s="1">
        <v>45758</v>
      </c>
      <c r="G865">
        <f>_xlfn.XLOOKUP(F865,'Wk no''s'!B:B,'Wk no''s'!C:C,0)</f>
        <v>15</v>
      </c>
    </row>
    <row r="866" spans="1:7" x14ac:dyDescent="0.3">
      <c r="A866" t="s">
        <v>3265</v>
      </c>
      <c r="B866" t="s">
        <v>3266</v>
      </c>
      <c r="C866" t="s">
        <v>3267</v>
      </c>
      <c r="D866">
        <v>1</v>
      </c>
      <c r="E866">
        <v>1</v>
      </c>
      <c r="F866" s="1">
        <v>45758</v>
      </c>
      <c r="G866">
        <f>_xlfn.XLOOKUP(F866,'Wk no''s'!B:B,'Wk no''s'!C:C,0)</f>
        <v>15</v>
      </c>
    </row>
    <row r="867" spans="1:7" x14ac:dyDescent="0.3">
      <c r="A867" t="s">
        <v>3268</v>
      </c>
      <c r="B867" t="s">
        <v>3269</v>
      </c>
      <c r="C867" t="s">
        <v>1363</v>
      </c>
      <c r="D867">
        <v>14</v>
      </c>
      <c r="E867">
        <v>0</v>
      </c>
      <c r="F867" s="1">
        <v>45758</v>
      </c>
      <c r="G867">
        <f>_xlfn.XLOOKUP(F867,'Wk no''s'!B:B,'Wk no''s'!C:C,0)</f>
        <v>15</v>
      </c>
    </row>
    <row r="868" spans="1:7" x14ac:dyDescent="0.3">
      <c r="A868" t="s">
        <v>3270</v>
      </c>
      <c r="B868" t="s">
        <v>3271</v>
      </c>
      <c r="C868" t="s">
        <v>573</v>
      </c>
      <c r="D868">
        <v>0</v>
      </c>
      <c r="E868">
        <v>1</v>
      </c>
      <c r="F868" s="1">
        <v>45761</v>
      </c>
      <c r="G868">
        <f>_xlfn.XLOOKUP(F868,'Wk no''s'!B:B,'Wk no''s'!C:C,0)</f>
        <v>16</v>
      </c>
    </row>
    <row r="869" spans="1:7" x14ac:dyDescent="0.3">
      <c r="A869" t="s">
        <v>3272</v>
      </c>
      <c r="B869" t="s">
        <v>3273</v>
      </c>
      <c r="C869" t="s">
        <v>75</v>
      </c>
      <c r="D869">
        <v>3</v>
      </c>
      <c r="E869">
        <v>0</v>
      </c>
      <c r="F869" s="1">
        <v>45761</v>
      </c>
      <c r="G869">
        <f>_xlfn.XLOOKUP(F869,'Wk no''s'!B:B,'Wk no''s'!C:C,0)</f>
        <v>16</v>
      </c>
    </row>
    <row r="870" spans="1:7" x14ac:dyDescent="0.3">
      <c r="A870" t="s">
        <v>3274</v>
      </c>
      <c r="B870" t="s">
        <v>3275</v>
      </c>
      <c r="C870" t="s">
        <v>1544</v>
      </c>
      <c r="D870">
        <v>1</v>
      </c>
      <c r="E870">
        <v>1</v>
      </c>
      <c r="F870" s="1">
        <v>45761</v>
      </c>
      <c r="G870">
        <f>_xlfn.XLOOKUP(F870,'Wk no''s'!B:B,'Wk no''s'!C:C,0)</f>
        <v>16</v>
      </c>
    </row>
    <row r="871" spans="1:7" x14ac:dyDescent="0.3">
      <c r="A871" t="s">
        <v>3276</v>
      </c>
      <c r="B871" t="s">
        <v>3277</v>
      </c>
      <c r="C871" t="s">
        <v>2279</v>
      </c>
      <c r="D871">
        <v>0</v>
      </c>
      <c r="E871">
        <v>1</v>
      </c>
      <c r="F871" s="1">
        <v>45761</v>
      </c>
      <c r="G871">
        <f>_xlfn.XLOOKUP(F871,'Wk no''s'!B:B,'Wk no''s'!C:C,0)</f>
        <v>16</v>
      </c>
    </row>
    <row r="872" spans="1:7" x14ac:dyDescent="0.3">
      <c r="A872" t="s">
        <v>3278</v>
      </c>
      <c r="B872" t="s">
        <v>3279</v>
      </c>
      <c r="C872" t="s">
        <v>3280</v>
      </c>
      <c r="D872">
        <v>3</v>
      </c>
      <c r="E872">
        <v>0</v>
      </c>
      <c r="F872" s="1">
        <v>45761</v>
      </c>
      <c r="G872">
        <f>_xlfn.XLOOKUP(F872,'Wk no''s'!B:B,'Wk no''s'!C:C,0)</f>
        <v>16</v>
      </c>
    </row>
    <row r="873" spans="1:7" x14ac:dyDescent="0.3">
      <c r="A873" t="s">
        <v>3281</v>
      </c>
      <c r="B873" t="s">
        <v>3282</v>
      </c>
      <c r="C873" t="s">
        <v>2887</v>
      </c>
      <c r="D873">
        <v>3</v>
      </c>
      <c r="E873">
        <v>0</v>
      </c>
      <c r="F873" s="1">
        <v>45761</v>
      </c>
      <c r="G873">
        <f>_xlfn.XLOOKUP(F873,'Wk no''s'!B:B,'Wk no''s'!C:C,0)</f>
        <v>16</v>
      </c>
    </row>
    <row r="874" spans="1:7" x14ac:dyDescent="0.3">
      <c r="A874" t="s">
        <v>3283</v>
      </c>
      <c r="B874" t="s">
        <v>3284</v>
      </c>
      <c r="C874" t="s">
        <v>3285</v>
      </c>
      <c r="D874">
        <v>11</v>
      </c>
      <c r="E874">
        <v>0</v>
      </c>
      <c r="F874" s="1">
        <v>45762</v>
      </c>
      <c r="G874">
        <f>_xlfn.XLOOKUP(F874,'Wk no''s'!B:B,'Wk no''s'!C:C,0)</f>
        <v>16</v>
      </c>
    </row>
    <row r="875" spans="1:7" x14ac:dyDescent="0.3">
      <c r="A875" t="s">
        <v>3286</v>
      </c>
      <c r="B875" t="s">
        <v>3287</v>
      </c>
      <c r="C875" t="s">
        <v>302</v>
      </c>
      <c r="D875">
        <v>1</v>
      </c>
      <c r="E875">
        <v>1</v>
      </c>
      <c r="F875" s="1">
        <v>45762</v>
      </c>
      <c r="G875">
        <f>_xlfn.XLOOKUP(F875,'Wk no''s'!B:B,'Wk no''s'!C:C,0)</f>
        <v>16</v>
      </c>
    </row>
    <row r="876" spans="1:7" x14ac:dyDescent="0.3">
      <c r="A876" t="s">
        <v>3288</v>
      </c>
      <c r="B876" t="s">
        <v>3289</v>
      </c>
      <c r="C876" t="s">
        <v>1194</v>
      </c>
      <c r="D876">
        <v>1</v>
      </c>
      <c r="E876">
        <v>1</v>
      </c>
      <c r="F876" s="1">
        <v>45762</v>
      </c>
      <c r="G876">
        <f>_xlfn.XLOOKUP(F876,'Wk no''s'!B:B,'Wk no''s'!C:C,0)</f>
        <v>16</v>
      </c>
    </row>
    <row r="877" spans="1:7" x14ac:dyDescent="0.3">
      <c r="A877" t="s">
        <v>3290</v>
      </c>
      <c r="B877" t="s">
        <v>3291</v>
      </c>
      <c r="C877" t="s">
        <v>2291</v>
      </c>
      <c r="D877">
        <v>0</v>
      </c>
      <c r="E877">
        <v>1</v>
      </c>
      <c r="F877" s="1">
        <v>45762</v>
      </c>
      <c r="G877">
        <f>_xlfn.XLOOKUP(F877,'Wk no''s'!B:B,'Wk no''s'!C:C,0)</f>
        <v>16</v>
      </c>
    </row>
    <row r="878" spans="1:7" x14ac:dyDescent="0.3">
      <c r="A878" t="s">
        <v>3292</v>
      </c>
      <c r="B878" t="s">
        <v>3293</v>
      </c>
      <c r="C878" t="s">
        <v>3294</v>
      </c>
      <c r="D878">
        <v>0</v>
      </c>
      <c r="E878">
        <v>1</v>
      </c>
      <c r="F878" s="1">
        <v>45762</v>
      </c>
      <c r="G878">
        <f>_xlfn.XLOOKUP(F878,'Wk no''s'!B:B,'Wk no''s'!C:C,0)</f>
        <v>16</v>
      </c>
    </row>
    <row r="879" spans="1:7" x14ac:dyDescent="0.3">
      <c r="A879" t="s">
        <v>3295</v>
      </c>
      <c r="B879" t="s">
        <v>3296</v>
      </c>
      <c r="C879" t="s">
        <v>3297</v>
      </c>
      <c r="D879">
        <v>0</v>
      </c>
      <c r="E879">
        <v>1</v>
      </c>
      <c r="F879" s="1">
        <v>45762</v>
      </c>
      <c r="G879">
        <f>_xlfn.XLOOKUP(F879,'Wk no''s'!B:B,'Wk no''s'!C:C,0)</f>
        <v>16</v>
      </c>
    </row>
    <row r="880" spans="1:7" x14ac:dyDescent="0.3">
      <c r="A880" t="s">
        <v>3298</v>
      </c>
      <c r="B880" t="s">
        <v>3299</v>
      </c>
      <c r="C880" t="s">
        <v>3300</v>
      </c>
      <c r="D880">
        <v>0</v>
      </c>
      <c r="E880">
        <v>1</v>
      </c>
      <c r="F880" s="1">
        <v>45762</v>
      </c>
      <c r="G880">
        <f>_xlfn.XLOOKUP(F880,'Wk no''s'!B:B,'Wk no''s'!C:C,0)</f>
        <v>16</v>
      </c>
    </row>
    <row r="881" spans="1:7" x14ac:dyDescent="0.3">
      <c r="A881" t="s">
        <v>3301</v>
      </c>
      <c r="B881" t="s">
        <v>3302</v>
      </c>
      <c r="C881" t="s">
        <v>3300</v>
      </c>
      <c r="D881">
        <v>0</v>
      </c>
      <c r="E881">
        <v>1</v>
      </c>
      <c r="F881" s="1">
        <v>45762</v>
      </c>
      <c r="G881">
        <f>_xlfn.XLOOKUP(F881,'Wk no''s'!B:B,'Wk no''s'!C:C,0)</f>
        <v>16</v>
      </c>
    </row>
    <row r="882" spans="1:7" x14ac:dyDescent="0.3">
      <c r="A882" t="s">
        <v>3303</v>
      </c>
      <c r="B882" t="s">
        <v>3304</v>
      </c>
      <c r="C882" t="s">
        <v>3305</v>
      </c>
      <c r="D882">
        <v>5</v>
      </c>
      <c r="E882">
        <v>0</v>
      </c>
      <c r="F882" s="1">
        <v>45762</v>
      </c>
      <c r="G882">
        <f>_xlfn.XLOOKUP(F882,'Wk no''s'!B:B,'Wk no''s'!C:C,0)</f>
        <v>16</v>
      </c>
    </row>
    <row r="883" spans="1:7" x14ac:dyDescent="0.3">
      <c r="A883" t="s">
        <v>3306</v>
      </c>
      <c r="B883" t="s">
        <v>3307</v>
      </c>
      <c r="C883" t="s">
        <v>362</v>
      </c>
      <c r="D883">
        <v>5</v>
      </c>
      <c r="E883">
        <v>0</v>
      </c>
      <c r="F883" s="1">
        <v>45762</v>
      </c>
      <c r="G883">
        <f>_xlfn.XLOOKUP(F883,'Wk no''s'!B:B,'Wk no''s'!C:C,0)</f>
        <v>16</v>
      </c>
    </row>
    <row r="884" spans="1:7" x14ac:dyDescent="0.3">
      <c r="A884" t="s">
        <v>3308</v>
      </c>
      <c r="B884" t="s">
        <v>3309</v>
      </c>
      <c r="C884" t="s">
        <v>3310</v>
      </c>
      <c r="D884">
        <v>0</v>
      </c>
      <c r="E884">
        <v>1</v>
      </c>
      <c r="F884" s="1">
        <v>45762</v>
      </c>
      <c r="G884">
        <f>_xlfn.XLOOKUP(F884,'Wk no''s'!B:B,'Wk no''s'!C:C,0)</f>
        <v>16</v>
      </c>
    </row>
    <row r="885" spans="1:7" x14ac:dyDescent="0.3">
      <c r="A885" t="s">
        <v>3311</v>
      </c>
      <c r="B885" t="s">
        <v>3312</v>
      </c>
      <c r="C885" t="s">
        <v>273</v>
      </c>
      <c r="D885">
        <v>11</v>
      </c>
      <c r="E885">
        <v>0</v>
      </c>
      <c r="F885" s="1">
        <v>45762</v>
      </c>
      <c r="G885">
        <f>_xlfn.XLOOKUP(F885,'Wk no''s'!B:B,'Wk no''s'!C:C,0)</f>
        <v>16</v>
      </c>
    </row>
    <row r="886" spans="1:7" x14ac:dyDescent="0.3">
      <c r="A886" t="s">
        <v>3313</v>
      </c>
      <c r="B886" t="s">
        <v>3314</v>
      </c>
      <c r="C886" t="s">
        <v>1159</v>
      </c>
      <c r="D886">
        <v>0</v>
      </c>
      <c r="E886">
        <v>1</v>
      </c>
      <c r="F886" s="1">
        <v>45763</v>
      </c>
      <c r="G886">
        <f>_xlfn.XLOOKUP(F886,'Wk no''s'!B:B,'Wk no''s'!C:C,0)</f>
        <v>16</v>
      </c>
    </row>
    <row r="887" spans="1:7" x14ac:dyDescent="0.3">
      <c r="A887" t="s">
        <v>3315</v>
      </c>
      <c r="B887" t="s">
        <v>3316</v>
      </c>
      <c r="C887" t="s">
        <v>2288</v>
      </c>
      <c r="D887">
        <v>1</v>
      </c>
      <c r="E887">
        <v>1</v>
      </c>
      <c r="F887" s="1">
        <v>45763</v>
      </c>
      <c r="G887">
        <f>_xlfn.XLOOKUP(F887,'Wk no''s'!B:B,'Wk no''s'!C:C,0)</f>
        <v>16</v>
      </c>
    </row>
    <row r="888" spans="1:7" x14ac:dyDescent="0.3">
      <c r="A888" t="s">
        <v>3317</v>
      </c>
      <c r="B888" t="s">
        <v>3318</v>
      </c>
      <c r="C888" t="s">
        <v>2855</v>
      </c>
      <c r="D888">
        <v>0</v>
      </c>
      <c r="E888">
        <v>1</v>
      </c>
      <c r="F888" s="1">
        <v>45763</v>
      </c>
      <c r="G888">
        <f>_xlfn.XLOOKUP(F888,'Wk no''s'!B:B,'Wk no''s'!C:C,0)</f>
        <v>16</v>
      </c>
    </row>
    <row r="889" spans="1:7" x14ac:dyDescent="0.3">
      <c r="A889" t="s">
        <v>3319</v>
      </c>
      <c r="B889" t="s">
        <v>3320</v>
      </c>
      <c r="C889" t="s">
        <v>3321</v>
      </c>
      <c r="D889">
        <v>0</v>
      </c>
      <c r="E889">
        <v>1</v>
      </c>
      <c r="F889" s="1">
        <v>45763</v>
      </c>
      <c r="G889">
        <f>_xlfn.XLOOKUP(F889,'Wk no''s'!B:B,'Wk no''s'!C:C,0)</f>
        <v>16</v>
      </c>
    </row>
    <row r="890" spans="1:7" x14ac:dyDescent="0.3">
      <c r="A890" t="s">
        <v>3322</v>
      </c>
      <c r="B890" t="s">
        <v>3323</v>
      </c>
      <c r="C890" t="s">
        <v>36</v>
      </c>
      <c r="D890">
        <v>12</v>
      </c>
      <c r="E890">
        <v>0</v>
      </c>
      <c r="F890" s="1">
        <v>45763</v>
      </c>
      <c r="G890">
        <f>_xlfn.XLOOKUP(F890,'Wk no''s'!B:B,'Wk no''s'!C:C,0)</f>
        <v>16</v>
      </c>
    </row>
    <row r="891" spans="1:7" x14ac:dyDescent="0.3">
      <c r="A891" t="s">
        <v>3324</v>
      </c>
      <c r="B891" t="s">
        <v>3325</v>
      </c>
      <c r="C891" t="s">
        <v>2259</v>
      </c>
      <c r="D891">
        <v>0</v>
      </c>
      <c r="E891">
        <v>1</v>
      </c>
      <c r="F891" s="1">
        <v>45763</v>
      </c>
      <c r="G891">
        <f>_xlfn.XLOOKUP(F891,'Wk no''s'!B:B,'Wk no''s'!C:C,0)</f>
        <v>16</v>
      </c>
    </row>
    <row r="892" spans="1:7" x14ac:dyDescent="0.3">
      <c r="A892" t="s">
        <v>3326</v>
      </c>
      <c r="B892" t="s">
        <v>3327</v>
      </c>
      <c r="C892" t="s">
        <v>3328</v>
      </c>
      <c r="D892">
        <v>1</v>
      </c>
      <c r="E892">
        <v>1</v>
      </c>
      <c r="F892" s="1">
        <v>45763</v>
      </c>
      <c r="G892">
        <f>_xlfn.XLOOKUP(F892,'Wk no''s'!B:B,'Wk no''s'!C:C,0)</f>
        <v>16</v>
      </c>
    </row>
    <row r="893" spans="1:7" x14ac:dyDescent="0.3">
      <c r="A893" t="s">
        <v>3329</v>
      </c>
      <c r="B893" t="s">
        <v>3330</v>
      </c>
      <c r="C893" t="s">
        <v>3331</v>
      </c>
      <c r="D893">
        <v>0</v>
      </c>
      <c r="E893">
        <v>1</v>
      </c>
      <c r="F893" s="1">
        <v>45764</v>
      </c>
      <c r="G893">
        <f>_xlfn.XLOOKUP(F893,'Wk no''s'!B:B,'Wk no''s'!C:C,0)</f>
        <v>16</v>
      </c>
    </row>
    <row r="894" spans="1:7" x14ac:dyDescent="0.3">
      <c r="A894" t="s">
        <v>3332</v>
      </c>
      <c r="B894" t="s">
        <v>3333</v>
      </c>
      <c r="C894" t="s">
        <v>2596</v>
      </c>
      <c r="D894">
        <v>3</v>
      </c>
      <c r="E894">
        <v>0</v>
      </c>
      <c r="F894" s="1">
        <v>45764</v>
      </c>
      <c r="G894">
        <f>_xlfn.XLOOKUP(F894,'Wk no''s'!B:B,'Wk no''s'!C:C,0)</f>
        <v>16</v>
      </c>
    </row>
    <row r="895" spans="1:7" x14ac:dyDescent="0.3">
      <c r="A895" t="s">
        <v>3334</v>
      </c>
      <c r="B895" t="s">
        <v>3335</v>
      </c>
      <c r="C895" t="s">
        <v>197</v>
      </c>
      <c r="D895">
        <v>0</v>
      </c>
      <c r="E895">
        <v>1</v>
      </c>
      <c r="F895" s="1">
        <v>45764</v>
      </c>
      <c r="G895">
        <f>_xlfn.XLOOKUP(F895,'Wk no''s'!B:B,'Wk no''s'!C:C,0)</f>
        <v>16</v>
      </c>
    </row>
    <row r="896" spans="1:7" x14ac:dyDescent="0.3">
      <c r="A896" t="s">
        <v>3336</v>
      </c>
      <c r="B896" t="s">
        <v>3337</v>
      </c>
      <c r="C896" t="s">
        <v>3338</v>
      </c>
      <c r="D896">
        <v>6</v>
      </c>
      <c r="E896">
        <v>0</v>
      </c>
      <c r="F896" s="1">
        <v>45764</v>
      </c>
      <c r="G896">
        <f>_xlfn.XLOOKUP(F896,'Wk no''s'!B:B,'Wk no''s'!C:C,0)</f>
        <v>16</v>
      </c>
    </row>
    <row r="897" spans="1:7" x14ac:dyDescent="0.3">
      <c r="A897" t="s">
        <v>3339</v>
      </c>
      <c r="B897" t="s">
        <v>3340</v>
      </c>
      <c r="C897" t="s">
        <v>3341</v>
      </c>
      <c r="D897">
        <v>4</v>
      </c>
      <c r="E897">
        <v>0</v>
      </c>
      <c r="F897" s="1">
        <v>45764</v>
      </c>
      <c r="G897">
        <f>_xlfn.XLOOKUP(F897,'Wk no''s'!B:B,'Wk no''s'!C:C,0)</f>
        <v>16</v>
      </c>
    </row>
    <row r="898" spans="1:7" x14ac:dyDescent="0.3">
      <c r="A898" t="s">
        <v>3342</v>
      </c>
      <c r="B898" t="s">
        <v>3343</v>
      </c>
      <c r="C898" t="s">
        <v>3344</v>
      </c>
      <c r="D898">
        <v>5</v>
      </c>
      <c r="E898">
        <v>0</v>
      </c>
      <c r="F898" s="1">
        <v>45764</v>
      </c>
      <c r="G898">
        <f>_xlfn.XLOOKUP(F898,'Wk no''s'!B:B,'Wk no''s'!C:C,0)</f>
        <v>16</v>
      </c>
    </row>
    <row r="899" spans="1:7" x14ac:dyDescent="0.3">
      <c r="A899" t="s">
        <v>3345</v>
      </c>
      <c r="B899" t="s">
        <v>3346</v>
      </c>
      <c r="C899" t="s">
        <v>17</v>
      </c>
      <c r="D899">
        <v>0</v>
      </c>
      <c r="E899">
        <v>1</v>
      </c>
      <c r="F899" s="1">
        <v>45764</v>
      </c>
      <c r="G899">
        <f>_xlfn.XLOOKUP(F899,'Wk no''s'!B:B,'Wk no''s'!C:C,0)</f>
        <v>16</v>
      </c>
    </row>
    <row r="900" spans="1:7" x14ac:dyDescent="0.3">
      <c r="A900" t="s">
        <v>3347</v>
      </c>
      <c r="B900" t="s">
        <v>3348</v>
      </c>
      <c r="C900" t="s">
        <v>580</v>
      </c>
      <c r="D900">
        <v>5</v>
      </c>
      <c r="E900">
        <v>0</v>
      </c>
      <c r="F900" s="1">
        <v>45764</v>
      </c>
      <c r="G900">
        <f>_xlfn.XLOOKUP(F900,'Wk no''s'!B:B,'Wk no''s'!C:C,0)</f>
        <v>16</v>
      </c>
    </row>
    <row r="901" spans="1:7" x14ac:dyDescent="0.3">
      <c r="A901" t="s">
        <v>3349</v>
      </c>
      <c r="B901" t="s">
        <v>3350</v>
      </c>
      <c r="C901" t="s">
        <v>3351</v>
      </c>
      <c r="D901">
        <v>0</v>
      </c>
      <c r="E901">
        <v>1</v>
      </c>
      <c r="F901" s="1">
        <v>45764</v>
      </c>
      <c r="G901">
        <f>_xlfn.XLOOKUP(F901,'Wk no''s'!B:B,'Wk no''s'!C:C,0)</f>
        <v>16</v>
      </c>
    </row>
    <row r="902" spans="1:7" x14ac:dyDescent="0.3">
      <c r="A902" t="s">
        <v>3352</v>
      </c>
      <c r="B902" t="s">
        <v>3353</v>
      </c>
      <c r="C902" t="s">
        <v>113</v>
      </c>
      <c r="D902">
        <v>5</v>
      </c>
      <c r="E902">
        <v>0</v>
      </c>
      <c r="F902" s="1">
        <v>45764</v>
      </c>
      <c r="G902">
        <f>_xlfn.XLOOKUP(F902,'Wk no''s'!B:B,'Wk no''s'!C:C,0)</f>
        <v>16</v>
      </c>
    </row>
    <row r="903" spans="1:7" x14ac:dyDescent="0.3">
      <c r="A903" t="s">
        <v>3354</v>
      </c>
      <c r="B903" t="s">
        <v>3355</v>
      </c>
      <c r="C903" t="s">
        <v>17</v>
      </c>
      <c r="D903">
        <v>2</v>
      </c>
      <c r="E903">
        <v>0</v>
      </c>
      <c r="F903" s="1">
        <v>45769</v>
      </c>
      <c r="G903">
        <f>_xlfn.XLOOKUP(F903,'Wk no''s'!B:B,'Wk no''s'!C:C,0)</f>
        <v>17</v>
      </c>
    </row>
    <row r="904" spans="1:7" x14ac:dyDescent="0.3">
      <c r="A904" t="s">
        <v>3356</v>
      </c>
      <c r="B904" t="s">
        <v>3357</v>
      </c>
      <c r="C904" t="s">
        <v>34</v>
      </c>
      <c r="D904">
        <v>0</v>
      </c>
      <c r="E904">
        <v>1</v>
      </c>
      <c r="F904" s="1">
        <v>45769</v>
      </c>
      <c r="G904">
        <f>_xlfn.XLOOKUP(F904,'Wk no''s'!B:B,'Wk no''s'!C:C,0)</f>
        <v>17</v>
      </c>
    </row>
    <row r="905" spans="1:7" x14ac:dyDescent="0.3">
      <c r="A905" t="s">
        <v>3358</v>
      </c>
      <c r="B905" t="s">
        <v>2962</v>
      </c>
      <c r="C905" t="s">
        <v>2963</v>
      </c>
      <c r="D905">
        <v>15</v>
      </c>
      <c r="E905">
        <v>0</v>
      </c>
      <c r="F905" s="1">
        <v>45769</v>
      </c>
      <c r="G905">
        <f>_xlfn.XLOOKUP(F905,'Wk no''s'!B:B,'Wk no''s'!C:C,0)</f>
        <v>17</v>
      </c>
    </row>
    <row r="906" spans="1:7" x14ac:dyDescent="0.3">
      <c r="A906" t="s">
        <v>3359</v>
      </c>
      <c r="B906" t="s">
        <v>3360</v>
      </c>
      <c r="C906" t="s">
        <v>5182</v>
      </c>
      <c r="D906">
        <v>0</v>
      </c>
      <c r="E906">
        <v>1</v>
      </c>
      <c r="F906" s="1">
        <v>45769</v>
      </c>
      <c r="G906">
        <f>_xlfn.XLOOKUP(F906,'Wk no''s'!B:B,'Wk no''s'!C:C,0)</f>
        <v>17</v>
      </c>
    </row>
    <row r="907" spans="1:7" x14ac:dyDescent="0.3">
      <c r="A907" t="s">
        <v>3361</v>
      </c>
      <c r="B907" t="s">
        <v>3362</v>
      </c>
      <c r="C907" t="s">
        <v>6908</v>
      </c>
      <c r="D907">
        <v>2</v>
      </c>
      <c r="E907">
        <v>0</v>
      </c>
      <c r="F907" s="1">
        <v>45769</v>
      </c>
      <c r="G907">
        <f>_xlfn.XLOOKUP(F907,'Wk no''s'!B:B,'Wk no''s'!C:C,0)</f>
        <v>17</v>
      </c>
    </row>
    <row r="908" spans="1:7" x14ac:dyDescent="0.3">
      <c r="A908" t="s">
        <v>3363</v>
      </c>
      <c r="B908" t="s">
        <v>3364</v>
      </c>
      <c r="C908" t="s">
        <v>2593</v>
      </c>
      <c r="D908">
        <v>0</v>
      </c>
      <c r="E908">
        <v>1</v>
      </c>
      <c r="F908" s="1">
        <v>45770</v>
      </c>
      <c r="G908">
        <f>_xlfn.XLOOKUP(F908,'Wk no''s'!B:B,'Wk no''s'!C:C,0)</f>
        <v>17</v>
      </c>
    </row>
    <row r="909" spans="1:7" x14ac:dyDescent="0.3">
      <c r="A909" t="s">
        <v>3365</v>
      </c>
      <c r="B909" t="s">
        <v>3366</v>
      </c>
      <c r="C909" t="s">
        <v>1100</v>
      </c>
      <c r="D909">
        <v>7</v>
      </c>
      <c r="E909">
        <v>0</v>
      </c>
      <c r="F909" s="1">
        <v>45770</v>
      </c>
      <c r="G909">
        <f>_xlfn.XLOOKUP(F909,'Wk no''s'!B:B,'Wk no''s'!C:C,0)</f>
        <v>17</v>
      </c>
    </row>
    <row r="910" spans="1:7" x14ac:dyDescent="0.3">
      <c r="A910" t="s">
        <v>3367</v>
      </c>
      <c r="B910" t="s">
        <v>3368</v>
      </c>
      <c r="C910" t="s">
        <v>31</v>
      </c>
      <c r="D910">
        <v>11</v>
      </c>
      <c r="E910">
        <v>0</v>
      </c>
      <c r="F910" s="1">
        <v>45770</v>
      </c>
      <c r="G910">
        <f>_xlfn.XLOOKUP(F910,'Wk no''s'!B:B,'Wk no''s'!C:C,0)</f>
        <v>17</v>
      </c>
    </row>
    <row r="911" spans="1:7" x14ac:dyDescent="0.3">
      <c r="A911" t="s">
        <v>3369</v>
      </c>
      <c r="B911" t="s">
        <v>3370</v>
      </c>
      <c r="C911" t="s">
        <v>2</v>
      </c>
      <c r="D911">
        <v>1</v>
      </c>
      <c r="E911">
        <v>1</v>
      </c>
      <c r="F911" s="1">
        <v>45770</v>
      </c>
      <c r="G911">
        <f>_xlfn.XLOOKUP(F911,'Wk no''s'!B:B,'Wk no''s'!C:C,0)</f>
        <v>17</v>
      </c>
    </row>
    <row r="912" spans="1:7" x14ac:dyDescent="0.3">
      <c r="A912" t="s">
        <v>3371</v>
      </c>
      <c r="B912" t="s">
        <v>3372</v>
      </c>
      <c r="C912" t="s">
        <v>2294</v>
      </c>
      <c r="D912">
        <v>9</v>
      </c>
      <c r="E912">
        <v>0</v>
      </c>
      <c r="F912" s="1">
        <v>45771</v>
      </c>
      <c r="G912">
        <f>_xlfn.XLOOKUP(F912,'Wk no''s'!B:B,'Wk no''s'!C:C,0)</f>
        <v>17</v>
      </c>
    </row>
    <row r="913" spans="1:7" x14ac:dyDescent="0.3">
      <c r="A913" t="s">
        <v>3373</v>
      </c>
      <c r="B913" t="s">
        <v>3374</v>
      </c>
      <c r="C913" t="s">
        <v>3375</v>
      </c>
      <c r="D913">
        <v>30</v>
      </c>
      <c r="E913">
        <v>0</v>
      </c>
      <c r="F913" s="1">
        <v>45771</v>
      </c>
      <c r="G913">
        <f>_xlfn.XLOOKUP(F913,'Wk no''s'!B:B,'Wk no''s'!C:C,0)</f>
        <v>17</v>
      </c>
    </row>
    <row r="914" spans="1:7" x14ac:dyDescent="0.3">
      <c r="A914" t="s">
        <v>3376</v>
      </c>
      <c r="B914" t="s">
        <v>3377</v>
      </c>
      <c r="C914" t="s">
        <v>2840</v>
      </c>
      <c r="D914">
        <v>0</v>
      </c>
      <c r="E914">
        <v>1</v>
      </c>
      <c r="F914" s="1">
        <v>45771</v>
      </c>
      <c r="G914">
        <f>_xlfn.XLOOKUP(F914,'Wk no''s'!B:B,'Wk no''s'!C:C,0)</f>
        <v>17</v>
      </c>
    </row>
    <row r="915" spans="1:7" x14ac:dyDescent="0.3">
      <c r="A915" t="s">
        <v>3378</v>
      </c>
      <c r="B915" t="s">
        <v>3379</v>
      </c>
      <c r="C915" t="s">
        <v>3380</v>
      </c>
      <c r="D915">
        <v>4</v>
      </c>
      <c r="E915">
        <v>0</v>
      </c>
      <c r="F915" s="1">
        <v>45771</v>
      </c>
      <c r="G915">
        <f>_xlfn.XLOOKUP(F915,'Wk no''s'!B:B,'Wk no''s'!C:C,0)</f>
        <v>17</v>
      </c>
    </row>
    <row r="916" spans="1:7" x14ac:dyDescent="0.3">
      <c r="A916" t="s">
        <v>3381</v>
      </c>
      <c r="B916" t="s">
        <v>3382</v>
      </c>
      <c r="C916" t="s">
        <v>2789</v>
      </c>
      <c r="D916">
        <v>0</v>
      </c>
      <c r="E916">
        <v>1</v>
      </c>
      <c r="F916" s="1">
        <v>45771</v>
      </c>
      <c r="G916">
        <f>_xlfn.XLOOKUP(F916,'Wk no''s'!B:B,'Wk no''s'!C:C,0)</f>
        <v>17</v>
      </c>
    </row>
    <row r="917" spans="1:7" x14ac:dyDescent="0.3">
      <c r="A917" t="s">
        <v>3383</v>
      </c>
      <c r="B917" t="s">
        <v>3384</v>
      </c>
      <c r="C917" t="s">
        <v>2802</v>
      </c>
      <c r="D917">
        <v>5</v>
      </c>
      <c r="E917">
        <v>0</v>
      </c>
      <c r="F917" s="1">
        <v>45771</v>
      </c>
      <c r="G917">
        <f>_xlfn.XLOOKUP(F917,'Wk no''s'!B:B,'Wk no''s'!C:C,0)</f>
        <v>17</v>
      </c>
    </row>
    <row r="918" spans="1:7" x14ac:dyDescent="0.3">
      <c r="A918" t="s">
        <v>3385</v>
      </c>
      <c r="B918" t="s">
        <v>3386</v>
      </c>
      <c r="C918" t="s">
        <v>1706</v>
      </c>
      <c r="D918">
        <v>0</v>
      </c>
      <c r="E918">
        <v>1</v>
      </c>
      <c r="F918" s="1">
        <v>45771</v>
      </c>
      <c r="G918">
        <f>_xlfn.XLOOKUP(F918,'Wk no''s'!B:B,'Wk no''s'!C:C,0)</f>
        <v>17</v>
      </c>
    </row>
    <row r="919" spans="1:7" x14ac:dyDescent="0.3">
      <c r="A919" t="s">
        <v>3387</v>
      </c>
      <c r="B919" t="s">
        <v>3388</v>
      </c>
      <c r="C919" t="s">
        <v>109</v>
      </c>
      <c r="D919">
        <v>0</v>
      </c>
      <c r="E919">
        <v>1</v>
      </c>
      <c r="F919" s="1">
        <v>45771</v>
      </c>
      <c r="G919">
        <f>_xlfn.XLOOKUP(F919,'Wk no''s'!B:B,'Wk no''s'!C:C,0)</f>
        <v>17</v>
      </c>
    </row>
    <row r="920" spans="1:7" x14ac:dyDescent="0.3">
      <c r="A920" t="s">
        <v>3389</v>
      </c>
      <c r="B920" t="s">
        <v>3390</v>
      </c>
      <c r="C920" t="s">
        <v>3391</v>
      </c>
      <c r="D920">
        <v>1</v>
      </c>
      <c r="E920">
        <v>1</v>
      </c>
      <c r="F920" s="1">
        <v>45771</v>
      </c>
      <c r="G920">
        <f>_xlfn.XLOOKUP(F920,'Wk no''s'!B:B,'Wk no''s'!C:C,0)</f>
        <v>17</v>
      </c>
    </row>
    <row r="921" spans="1:7" x14ac:dyDescent="0.3">
      <c r="A921" t="s">
        <v>3392</v>
      </c>
      <c r="B921" t="s">
        <v>3393</v>
      </c>
      <c r="C921" t="s">
        <v>3394</v>
      </c>
      <c r="D921">
        <v>9</v>
      </c>
      <c r="E921">
        <v>0</v>
      </c>
      <c r="F921" s="1">
        <v>45771</v>
      </c>
      <c r="G921">
        <f>_xlfn.XLOOKUP(F921,'Wk no''s'!B:B,'Wk no''s'!C:C,0)</f>
        <v>17</v>
      </c>
    </row>
    <row r="922" spans="1:7" x14ac:dyDescent="0.3">
      <c r="A922" t="s">
        <v>3395</v>
      </c>
      <c r="B922" t="s">
        <v>3396</v>
      </c>
      <c r="C922" t="s">
        <v>2946</v>
      </c>
      <c r="D922">
        <v>5</v>
      </c>
      <c r="E922">
        <v>0</v>
      </c>
      <c r="F922" s="1">
        <v>45771</v>
      </c>
      <c r="G922">
        <f>_xlfn.XLOOKUP(F922,'Wk no''s'!B:B,'Wk no''s'!C:C,0)</f>
        <v>17</v>
      </c>
    </row>
    <row r="923" spans="1:7" x14ac:dyDescent="0.3">
      <c r="A923" t="s">
        <v>3397</v>
      </c>
      <c r="B923" t="s">
        <v>3398</v>
      </c>
      <c r="C923" t="s">
        <v>2946</v>
      </c>
      <c r="D923">
        <v>13</v>
      </c>
      <c r="E923">
        <v>0</v>
      </c>
      <c r="F923" s="1">
        <v>45771</v>
      </c>
      <c r="G923">
        <f>_xlfn.XLOOKUP(F923,'Wk no''s'!B:B,'Wk no''s'!C:C,0)</f>
        <v>17</v>
      </c>
    </row>
    <row r="924" spans="1:7" x14ac:dyDescent="0.3">
      <c r="A924" t="s">
        <v>3399</v>
      </c>
      <c r="B924" t="s">
        <v>3400</v>
      </c>
      <c r="C924" t="s">
        <v>2946</v>
      </c>
      <c r="D924">
        <v>13</v>
      </c>
      <c r="E924">
        <v>0</v>
      </c>
      <c r="F924" s="1">
        <v>45771</v>
      </c>
      <c r="G924">
        <f>_xlfn.XLOOKUP(F924,'Wk no''s'!B:B,'Wk no''s'!C:C,0)</f>
        <v>17</v>
      </c>
    </row>
    <row r="925" spans="1:7" x14ac:dyDescent="0.3">
      <c r="A925" t="s">
        <v>3401</v>
      </c>
      <c r="B925" t="s">
        <v>3402</v>
      </c>
      <c r="C925" t="s">
        <v>3122</v>
      </c>
      <c r="D925">
        <v>3</v>
      </c>
      <c r="E925">
        <v>0</v>
      </c>
      <c r="F925" s="1">
        <v>45771</v>
      </c>
      <c r="G925">
        <f>_xlfn.XLOOKUP(F925,'Wk no''s'!B:B,'Wk no''s'!C:C,0)</f>
        <v>17</v>
      </c>
    </row>
    <row r="926" spans="1:7" x14ac:dyDescent="0.3">
      <c r="A926" t="s">
        <v>3403</v>
      </c>
      <c r="B926" t="s">
        <v>3404</v>
      </c>
      <c r="C926" t="s">
        <v>2703</v>
      </c>
      <c r="D926">
        <v>2</v>
      </c>
      <c r="E926">
        <v>0</v>
      </c>
      <c r="F926" s="1">
        <v>45771</v>
      </c>
      <c r="G926">
        <f>_xlfn.XLOOKUP(F926,'Wk no''s'!B:B,'Wk no''s'!C:C,0)</f>
        <v>17</v>
      </c>
    </row>
    <row r="927" spans="1:7" x14ac:dyDescent="0.3">
      <c r="A927" t="s">
        <v>3405</v>
      </c>
      <c r="B927" t="s">
        <v>3406</v>
      </c>
      <c r="C927" t="s">
        <v>224</v>
      </c>
      <c r="D927">
        <v>0</v>
      </c>
      <c r="E927">
        <v>1</v>
      </c>
      <c r="F927" s="1">
        <v>45771</v>
      </c>
      <c r="G927">
        <f>_xlfn.XLOOKUP(F927,'Wk no''s'!B:B,'Wk no''s'!C:C,0)</f>
        <v>17</v>
      </c>
    </row>
    <row r="928" spans="1:7" x14ac:dyDescent="0.3">
      <c r="A928" t="s">
        <v>3407</v>
      </c>
      <c r="B928" t="s">
        <v>3408</v>
      </c>
      <c r="C928" t="s">
        <v>3409</v>
      </c>
      <c r="D928">
        <v>0</v>
      </c>
      <c r="E928">
        <v>1</v>
      </c>
      <c r="F928" s="1">
        <v>45772</v>
      </c>
      <c r="G928">
        <f>_xlfn.XLOOKUP(F928,'Wk no''s'!B:B,'Wk no''s'!C:C,0)</f>
        <v>17</v>
      </c>
    </row>
    <row r="929" spans="1:7" x14ac:dyDescent="0.3">
      <c r="A929" t="s">
        <v>3410</v>
      </c>
      <c r="B929" t="s">
        <v>3411</v>
      </c>
      <c r="C929" t="s">
        <v>2730</v>
      </c>
      <c r="D929">
        <v>8</v>
      </c>
      <c r="E929">
        <v>0</v>
      </c>
      <c r="F929" s="1">
        <v>45773</v>
      </c>
      <c r="G929">
        <f>_xlfn.XLOOKUP(F929,'Wk no''s'!B:B,'Wk no''s'!C:C,0)</f>
        <v>18</v>
      </c>
    </row>
    <row r="930" spans="1:7" x14ac:dyDescent="0.3">
      <c r="A930" t="s">
        <v>3412</v>
      </c>
      <c r="B930" t="s">
        <v>3413</v>
      </c>
      <c r="C930" t="s">
        <v>2648</v>
      </c>
      <c r="D930">
        <v>0</v>
      </c>
      <c r="E930">
        <v>1</v>
      </c>
      <c r="F930" s="1">
        <v>45775</v>
      </c>
      <c r="G930">
        <f>_xlfn.XLOOKUP(F930,'Wk no''s'!B:B,'Wk no''s'!C:C,0)</f>
        <v>18</v>
      </c>
    </row>
    <row r="931" spans="1:7" x14ac:dyDescent="0.3">
      <c r="A931" t="s">
        <v>3414</v>
      </c>
      <c r="C931" t="s">
        <v>2730</v>
      </c>
      <c r="D931">
        <v>103</v>
      </c>
      <c r="E931">
        <v>0</v>
      </c>
      <c r="F931" s="1">
        <v>45775</v>
      </c>
      <c r="G931">
        <f>_xlfn.XLOOKUP(F931,'Wk no''s'!B:B,'Wk no''s'!C:C,0)</f>
        <v>18</v>
      </c>
    </row>
    <row r="932" spans="1:7" x14ac:dyDescent="0.3">
      <c r="A932" t="s">
        <v>3415</v>
      </c>
      <c r="B932" t="s">
        <v>3416</v>
      </c>
      <c r="C932" t="s">
        <v>3321</v>
      </c>
      <c r="D932">
        <v>4</v>
      </c>
      <c r="E932">
        <v>0</v>
      </c>
      <c r="F932" s="1">
        <v>45775</v>
      </c>
      <c r="G932">
        <f>_xlfn.XLOOKUP(F932,'Wk no''s'!B:B,'Wk no''s'!C:C,0)</f>
        <v>18</v>
      </c>
    </row>
    <row r="933" spans="1:7" x14ac:dyDescent="0.3">
      <c r="A933" t="s">
        <v>3417</v>
      </c>
      <c r="B933" t="s">
        <v>3418</v>
      </c>
      <c r="C933" t="s">
        <v>3419</v>
      </c>
      <c r="D933">
        <v>0</v>
      </c>
      <c r="E933">
        <v>1</v>
      </c>
      <c r="F933" s="1">
        <v>45775</v>
      </c>
      <c r="G933">
        <f>_xlfn.XLOOKUP(F933,'Wk no''s'!B:B,'Wk no''s'!C:C,0)</f>
        <v>18</v>
      </c>
    </row>
    <row r="934" spans="1:7" x14ac:dyDescent="0.3">
      <c r="A934" t="s">
        <v>3420</v>
      </c>
      <c r="B934" t="s">
        <v>3421</v>
      </c>
      <c r="C934" t="s">
        <v>3422</v>
      </c>
      <c r="D934">
        <v>3</v>
      </c>
      <c r="E934">
        <v>0</v>
      </c>
      <c r="F934" s="1">
        <v>45775</v>
      </c>
      <c r="G934">
        <f>_xlfn.XLOOKUP(F934,'Wk no''s'!B:B,'Wk no''s'!C:C,0)</f>
        <v>18</v>
      </c>
    </row>
    <row r="935" spans="1:7" x14ac:dyDescent="0.3">
      <c r="A935" t="s">
        <v>3423</v>
      </c>
      <c r="B935" t="s">
        <v>3424</v>
      </c>
      <c r="C935" t="s">
        <v>3425</v>
      </c>
      <c r="D935">
        <v>0</v>
      </c>
      <c r="E935">
        <v>1</v>
      </c>
      <c r="F935" s="1">
        <v>45775</v>
      </c>
      <c r="G935">
        <f>_xlfn.XLOOKUP(F935,'Wk no''s'!B:B,'Wk no''s'!C:C,0)</f>
        <v>18</v>
      </c>
    </row>
    <row r="936" spans="1:7" x14ac:dyDescent="0.3">
      <c r="A936" t="s">
        <v>3426</v>
      </c>
      <c r="B936" t="s">
        <v>3427</v>
      </c>
      <c r="C936" t="s">
        <v>1194</v>
      </c>
      <c r="D936">
        <v>0</v>
      </c>
      <c r="E936">
        <v>1</v>
      </c>
      <c r="F936" s="1">
        <v>45775</v>
      </c>
      <c r="G936">
        <f>_xlfn.XLOOKUP(F936,'Wk no''s'!B:B,'Wk no''s'!C:C,0)</f>
        <v>18</v>
      </c>
    </row>
    <row r="937" spans="1:7" x14ac:dyDescent="0.3">
      <c r="A937" t="s">
        <v>3428</v>
      </c>
      <c r="B937" t="s">
        <v>3429</v>
      </c>
      <c r="C937" t="s">
        <v>3430</v>
      </c>
      <c r="D937">
        <v>9</v>
      </c>
      <c r="E937">
        <v>0</v>
      </c>
      <c r="F937" s="1">
        <v>45775</v>
      </c>
      <c r="G937">
        <f>_xlfn.XLOOKUP(F937,'Wk no''s'!B:B,'Wk no''s'!C:C,0)</f>
        <v>18</v>
      </c>
    </row>
    <row r="938" spans="1:7" x14ac:dyDescent="0.3">
      <c r="A938" t="s">
        <v>3431</v>
      </c>
      <c r="B938" t="s">
        <v>3432</v>
      </c>
      <c r="C938" t="s">
        <v>197</v>
      </c>
      <c r="D938">
        <v>9</v>
      </c>
      <c r="E938">
        <v>0</v>
      </c>
      <c r="F938" s="1">
        <v>45775</v>
      </c>
      <c r="G938">
        <f>_xlfn.XLOOKUP(F938,'Wk no''s'!B:B,'Wk no''s'!C:C,0)</f>
        <v>18</v>
      </c>
    </row>
    <row r="939" spans="1:7" x14ac:dyDescent="0.3">
      <c r="A939" t="s">
        <v>3433</v>
      </c>
      <c r="B939" t="s">
        <v>3434</v>
      </c>
      <c r="C939" t="s">
        <v>3435</v>
      </c>
      <c r="D939">
        <v>7</v>
      </c>
      <c r="E939">
        <v>0</v>
      </c>
      <c r="F939" s="1">
        <v>45775</v>
      </c>
      <c r="G939">
        <f>_xlfn.XLOOKUP(F939,'Wk no''s'!B:B,'Wk no''s'!C:C,0)</f>
        <v>18</v>
      </c>
    </row>
    <row r="940" spans="1:7" x14ac:dyDescent="0.3">
      <c r="A940" t="s">
        <v>3436</v>
      </c>
      <c r="B940" t="s">
        <v>3437</v>
      </c>
      <c r="C940" t="s">
        <v>2141</v>
      </c>
      <c r="D940">
        <v>3</v>
      </c>
      <c r="E940">
        <v>0</v>
      </c>
      <c r="F940" s="1">
        <v>45775</v>
      </c>
      <c r="G940">
        <f>_xlfn.XLOOKUP(F940,'Wk no''s'!B:B,'Wk no''s'!C:C,0)</f>
        <v>18</v>
      </c>
    </row>
    <row r="941" spans="1:7" x14ac:dyDescent="0.3">
      <c r="A941" t="s">
        <v>3438</v>
      </c>
      <c r="B941" t="s">
        <v>3439</v>
      </c>
      <c r="C941" t="s">
        <v>39</v>
      </c>
      <c r="D941">
        <v>12</v>
      </c>
      <c r="E941">
        <v>0</v>
      </c>
      <c r="F941" s="1">
        <v>45775</v>
      </c>
      <c r="G941">
        <f>_xlfn.XLOOKUP(F941,'Wk no''s'!B:B,'Wk no''s'!C:C,0)</f>
        <v>18</v>
      </c>
    </row>
    <row r="942" spans="1:7" x14ac:dyDescent="0.3">
      <c r="A942" t="s">
        <v>3440</v>
      </c>
      <c r="B942" t="s">
        <v>3441</v>
      </c>
      <c r="C942" t="s">
        <v>39</v>
      </c>
      <c r="D942">
        <v>3</v>
      </c>
      <c r="E942">
        <v>0</v>
      </c>
      <c r="F942" s="1">
        <v>45775</v>
      </c>
      <c r="G942">
        <f>_xlfn.XLOOKUP(F942,'Wk no''s'!B:B,'Wk no''s'!C:C,0)</f>
        <v>18</v>
      </c>
    </row>
    <row r="943" spans="1:7" x14ac:dyDescent="0.3">
      <c r="A943" t="s">
        <v>3442</v>
      </c>
      <c r="B943" t="s">
        <v>3443</v>
      </c>
      <c r="C943" t="s">
        <v>3444</v>
      </c>
      <c r="D943">
        <v>0</v>
      </c>
      <c r="E943">
        <v>1</v>
      </c>
      <c r="F943" s="1">
        <v>45775</v>
      </c>
      <c r="G943">
        <f>_xlfn.XLOOKUP(F943,'Wk no''s'!B:B,'Wk no''s'!C:C,0)</f>
        <v>18</v>
      </c>
    </row>
    <row r="944" spans="1:7" x14ac:dyDescent="0.3">
      <c r="A944" t="s">
        <v>3445</v>
      </c>
      <c r="B944" t="s">
        <v>3446</v>
      </c>
      <c r="C944" t="s">
        <v>3447</v>
      </c>
      <c r="D944">
        <v>0</v>
      </c>
      <c r="E944">
        <v>1</v>
      </c>
      <c r="F944" s="1">
        <v>45775</v>
      </c>
      <c r="G944">
        <f>_xlfn.XLOOKUP(F944,'Wk no''s'!B:B,'Wk no''s'!C:C,0)</f>
        <v>18</v>
      </c>
    </row>
    <row r="945" spans="1:7" x14ac:dyDescent="0.3">
      <c r="A945" t="s">
        <v>3448</v>
      </c>
      <c r="B945" t="s">
        <v>3449</v>
      </c>
      <c r="C945" t="s">
        <v>3450</v>
      </c>
      <c r="D945">
        <v>8</v>
      </c>
      <c r="E945">
        <v>0</v>
      </c>
      <c r="F945" s="1">
        <v>45775</v>
      </c>
      <c r="G945">
        <f>_xlfn.XLOOKUP(F945,'Wk no''s'!B:B,'Wk no''s'!C:C,0)</f>
        <v>18</v>
      </c>
    </row>
    <row r="946" spans="1:7" x14ac:dyDescent="0.3">
      <c r="A946" t="s">
        <v>3451</v>
      </c>
      <c r="B946" t="s">
        <v>3452</v>
      </c>
      <c r="C946" t="s">
        <v>5493</v>
      </c>
      <c r="D946">
        <v>0</v>
      </c>
      <c r="E946">
        <v>1</v>
      </c>
      <c r="F946" s="1">
        <v>45776</v>
      </c>
      <c r="G946">
        <f>_xlfn.XLOOKUP(F946,'Wk no''s'!B:B,'Wk no''s'!C:C,0)</f>
        <v>18</v>
      </c>
    </row>
    <row r="947" spans="1:7" x14ac:dyDescent="0.3">
      <c r="A947" t="s">
        <v>3453</v>
      </c>
      <c r="B947" t="s">
        <v>3454</v>
      </c>
      <c r="C947" t="s">
        <v>2471</v>
      </c>
      <c r="D947">
        <v>7</v>
      </c>
      <c r="E947">
        <v>0</v>
      </c>
      <c r="F947" s="1">
        <v>45776</v>
      </c>
      <c r="G947">
        <f>_xlfn.XLOOKUP(F947,'Wk no''s'!B:B,'Wk no''s'!C:C,0)</f>
        <v>18</v>
      </c>
    </row>
    <row r="948" spans="1:7" x14ac:dyDescent="0.3">
      <c r="A948" t="s">
        <v>3455</v>
      </c>
      <c r="B948" t="s">
        <v>3456</v>
      </c>
      <c r="C948" t="s">
        <v>2276</v>
      </c>
      <c r="D948">
        <v>1</v>
      </c>
      <c r="E948">
        <v>1</v>
      </c>
      <c r="F948" s="1">
        <v>45776</v>
      </c>
      <c r="G948">
        <f>_xlfn.XLOOKUP(F948,'Wk no''s'!B:B,'Wk no''s'!C:C,0)</f>
        <v>18</v>
      </c>
    </row>
    <row r="949" spans="1:7" x14ac:dyDescent="0.3">
      <c r="A949" t="s">
        <v>3457</v>
      </c>
      <c r="B949" t="s">
        <v>3458</v>
      </c>
      <c r="C949" t="s">
        <v>3459</v>
      </c>
      <c r="D949">
        <v>2</v>
      </c>
      <c r="E949">
        <v>0</v>
      </c>
      <c r="F949" s="1">
        <v>45776</v>
      </c>
      <c r="G949">
        <f>_xlfn.XLOOKUP(F949,'Wk no''s'!B:B,'Wk no''s'!C:C,0)</f>
        <v>18</v>
      </c>
    </row>
    <row r="950" spans="1:7" x14ac:dyDescent="0.3">
      <c r="A950" t="s">
        <v>3460</v>
      </c>
      <c r="B950" t="s">
        <v>3461</v>
      </c>
      <c r="C950" t="s">
        <v>3462</v>
      </c>
      <c r="D950">
        <v>0</v>
      </c>
      <c r="E950">
        <v>1</v>
      </c>
      <c r="F950" s="1">
        <v>45776</v>
      </c>
      <c r="G950">
        <f>_xlfn.XLOOKUP(F950,'Wk no''s'!B:B,'Wk no''s'!C:C,0)</f>
        <v>18</v>
      </c>
    </row>
    <row r="951" spans="1:7" x14ac:dyDescent="0.3">
      <c r="A951" t="s">
        <v>3463</v>
      </c>
      <c r="B951" t="s">
        <v>3464</v>
      </c>
      <c r="C951" t="s">
        <v>3465</v>
      </c>
      <c r="D951">
        <v>0</v>
      </c>
      <c r="E951">
        <v>1</v>
      </c>
      <c r="F951" s="1">
        <v>45776</v>
      </c>
      <c r="G951">
        <f>_xlfn.XLOOKUP(F951,'Wk no''s'!B:B,'Wk no''s'!C:C,0)</f>
        <v>18</v>
      </c>
    </row>
    <row r="952" spans="1:7" x14ac:dyDescent="0.3">
      <c r="A952" t="s">
        <v>3466</v>
      </c>
      <c r="B952" t="s">
        <v>3467</v>
      </c>
      <c r="C952" t="s">
        <v>3468</v>
      </c>
      <c r="D952">
        <v>2</v>
      </c>
      <c r="E952">
        <v>0</v>
      </c>
      <c r="F952" s="1">
        <v>45776</v>
      </c>
      <c r="G952">
        <f>_xlfn.XLOOKUP(F952,'Wk no''s'!B:B,'Wk no''s'!C:C,0)</f>
        <v>18</v>
      </c>
    </row>
    <row r="953" spans="1:7" x14ac:dyDescent="0.3">
      <c r="A953" t="s">
        <v>3469</v>
      </c>
      <c r="B953" t="s">
        <v>3470</v>
      </c>
      <c r="C953" t="s">
        <v>2875</v>
      </c>
      <c r="D953">
        <v>2</v>
      </c>
      <c r="E953">
        <v>0</v>
      </c>
      <c r="F953" s="1">
        <v>45776</v>
      </c>
      <c r="G953">
        <f>_xlfn.XLOOKUP(F953,'Wk no''s'!B:B,'Wk no''s'!C:C,0)</f>
        <v>18</v>
      </c>
    </row>
    <row r="954" spans="1:7" x14ac:dyDescent="0.3">
      <c r="A954" t="s">
        <v>3471</v>
      </c>
      <c r="B954" t="s">
        <v>3472</v>
      </c>
      <c r="C954" t="s">
        <v>3473</v>
      </c>
      <c r="D954">
        <v>0</v>
      </c>
      <c r="E954">
        <v>1</v>
      </c>
      <c r="F954" s="1">
        <v>45776</v>
      </c>
      <c r="G954">
        <f>_xlfn.XLOOKUP(F954,'Wk no''s'!B:B,'Wk no''s'!C:C,0)</f>
        <v>18</v>
      </c>
    </row>
    <row r="955" spans="1:7" x14ac:dyDescent="0.3">
      <c r="A955" t="s">
        <v>3474</v>
      </c>
      <c r="B955" t="s">
        <v>3475</v>
      </c>
      <c r="C955" t="s">
        <v>3476</v>
      </c>
      <c r="D955">
        <v>1</v>
      </c>
      <c r="E955">
        <v>1</v>
      </c>
      <c r="F955" s="1">
        <v>45776</v>
      </c>
      <c r="G955">
        <f>_xlfn.XLOOKUP(F955,'Wk no''s'!B:B,'Wk no''s'!C:C,0)</f>
        <v>18</v>
      </c>
    </row>
    <row r="956" spans="1:7" x14ac:dyDescent="0.3">
      <c r="A956" t="s">
        <v>3477</v>
      </c>
      <c r="B956" t="s">
        <v>3478</v>
      </c>
      <c r="C956" t="s">
        <v>3479</v>
      </c>
      <c r="D956">
        <v>3</v>
      </c>
      <c r="E956">
        <v>0</v>
      </c>
      <c r="F956" s="1">
        <v>45776</v>
      </c>
      <c r="G956">
        <f>_xlfn.XLOOKUP(F956,'Wk no''s'!B:B,'Wk no''s'!C:C,0)</f>
        <v>18</v>
      </c>
    </row>
    <row r="957" spans="1:7" x14ac:dyDescent="0.3">
      <c r="A957" t="s">
        <v>3480</v>
      </c>
      <c r="B957" t="s">
        <v>3481</v>
      </c>
      <c r="C957" t="s">
        <v>1652</v>
      </c>
      <c r="D957">
        <v>2</v>
      </c>
      <c r="E957">
        <v>0</v>
      </c>
      <c r="F957" s="1">
        <v>45776</v>
      </c>
      <c r="G957">
        <f>_xlfn.XLOOKUP(F957,'Wk no''s'!B:B,'Wk no''s'!C:C,0)</f>
        <v>18</v>
      </c>
    </row>
    <row r="958" spans="1:7" x14ac:dyDescent="0.3">
      <c r="A958" t="s">
        <v>3482</v>
      </c>
      <c r="B958" t="s">
        <v>3483</v>
      </c>
      <c r="C958" t="s">
        <v>1178</v>
      </c>
      <c r="D958">
        <v>7</v>
      </c>
      <c r="E958">
        <v>0</v>
      </c>
      <c r="F958" s="1">
        <v>45776</v>
      </c>
      <c r="G958">
        <f>_xlfn.XLOOKUP(F958,'Wk no''s'!B:B,'Wk no''s'!C:C,0)</f>
        <v>18</v>
      </c>
    </row>
    <row r="959" spans="1:7" x14ac:dyDescent="0.3">
      <c r="A959" t="s">
        <v>3484</v>
      </c>
      <c r="B959" t="s">
        <v>3485</v>
      </c>
      <c r="C959" t="s">
        <v>1178</v>
      </c>
      <c r="D959">
        <v>7</v>
      </c>
      <c r="E959">
        <v>0</v>
      </c>
      <c r="F959" s="1">
        <v>45776</v>
      </c>
      <c r="G959">
        <f>_xlfn.XLOOKUP(F959,'Wk no''s'!B:B,'Wk no''s'!C:C,0)</f>
        <v>18</v>
      </c>
    </row>
    <row r="960" spans="1:7" x14ac:dyDescent="0.3">
      <c r="A960" t="s">
        <v>3486</v>
      </c>
      <c r="B960" t="s">
        <v>3487</v>
      </c>
      <c r="C960" t="s">
        <v>1895</v>
      </c>
      <c r="D960">
        <v>6</v>
      </c>
      <c r="E960">
        <v>0</v>
      </c>
      <c r="F960" s="1">
        <v>45776</v>
      </c>
      <c r="G960">
        <f>_xlfn.XLOOKUP(F960,'Wk no''s'!B:B,'Wk no''s'!C:C,0)</f>
        <v>18</v>
      </c>
    </row>
    <row r="961" spans="1:7" x14ac:dyDescent="0.3">
      <c r="A961" t="s">
        <v>3488</v>
      </c>
      <c r="B961" t="s">
        <v>3489</v>
      </c>
      <c r="C961" t="s">
        <v>1224</v>
      </c>
      <c r="D961">
        <v>5</v>
      </c>
      <c r="E961">
        <v>0</v>
      </c>
      <c r="F961" s="1">
        <v>45776</v>
      </c>
      <c r="G961">
        <f>_xlfn.XLOOKUP(F961,'Wk no''s'!B:B,'Wk no''s'!C:C,0)</f>
        <v>18</v>
      </c>
    </row>
    <row r="962" spans="1:7" x14ac:dyDescent="0.3">
      <c r="A962" t="s">
        <v>3490</v>
      </c>
      <c r="B962" t="s">
        <v>3491</v>
      </c>
      <c r="C962" t="s">
        <v>3492</v>
      </c>
      <c r="D962">
        <v>0</v>
      </c>
      <c r="E962">
        <v>1</v>
      </c>
      <c r="F962" s="1">
        <v>45776</v>
      </c>
      <c r="G962">
        <f>_xlfn.XLOOKUP(F962,'Wk no''s'!B:B,'Wk no''s'!C:C,0)</f>
        <v>18</v>
      </c>
    </row>
    <row r="963" spans="1:7" x14ac:dyDescent="0.3">
      <c r="A963" t="s">
        <v>3493</v>
      </c>
      <c r="B963" t="s">
        <v>3494</v>
      </c>
      <c r="C963" t="s">
        <v>1343</v>
      </c>
      <c r="D963">
        <v>0</v>
      </c>
      <c r="E963">
        <v>1</v>
      </c>
      <c r="F963" s="1">
        <v>45777</v>
      </c>
      <c r="G963">
        <f>_xlfn.XLOOKUP(F963,'Wk no''s'!B:B,'Wk no''s'!C:C,0)</f>
        <v>18</v>
      </c>
    </row>
    <row r="964" spans="1:7" x14ac:dyDescent="0.3">
      <c r="A964" t="s">
        <v>3495</v>
      </c>
      <c r="B964" t="s">
        <v>3496</v>
      </c>
      <c r="C964" t="s">
        <v>75</v>
      </c>
      <c r="D964">
        <v>0</v>
      </c>
      <c r="E964">
        <v>1</v>
      </c>
      <c r="F964" s="1">
        <v>45777</v>
      </c>
      <c r="G964">
        <f>_xlfn.XLOOKUP(F964,'Wk no''s'!B:B,'Wk no''s'!C:C,0)</f>
        <v>18</v>
      </c>
    </row>
    <row r="965" spans="1:7" x14ac:dyDescent="0.3">
      <c r="A965" t="s">
        <v>3497</v>
      </c>
      <c r="B965" t="s">
        <v>3498</v>
      </c>
      <c r="C965" t="s">
        <v>327</v>
      </c>
      <c r="D965">
        <v>0</v>
      </c>
      <c r="E965">
        <v>1</v>
      </c>
      <c r="F965" s="1">
        <v>45777</v>
      </c>
      <c r="G965">
        <f>_xlfn.XLOOKUP(F965,'Wk no''s'!B:B,'Wk no''s'!C:C,0)</f>
        <v>18</v>
      </c>
    </row>
    <row r="966" spans="1:7" x14ac:dyDescent="0.3">
      <c r="A966" t="s">
        <v>3499</v>
      </c>
      <c r="B966" t="s">
        <v>3500</v>
      </c>
      <c r="C966" t="s">
        <v>3501</v>
      </c>
      <c r="D966">
        <v>1</v>
      </c>
      <c r="E966">
        <v>1</v>
      </c>
      <c r="F966" s="1">
        <v>45777</v>
      </c>
      <c r="G966">
        <f>_xlfn.XLOOKUP(F966,'Wk no''s'!B:B,'Wk no''s'!C:C,0)</f>
        <v>18</v>
      </c>
    </row>
    <row r="967" spans="1:7" x14ac:dyDescent="0.3">
      <c r="A967" t="s">
        <v>3502</v>
      </c>
      <c r="B967" t="s">
        <v>3503</v>
      </c>
      <c r="C967" t="s">
        <v>2421</v>
      </c>
      <c r="D967">
        <v>1</v>
      </c>
      <c r="E967">
        <v>1</v>
      </c>
      <c r="F967" s="1">
        <v>45777</v>
      </c>
      <c r="G967">
        <f>_xlfn.XLOOKUP(F967,'Wk no''s'!B:B,'Wk no''s'!C:C,0)</f>
        <v>18</v>
      </c>
    </row>
    <row r="968" spans="1:7" x14ac:dyDescent="0.3">
      <c r="A968" t="s">
        <v>3504</v>
      </c>
      <c r="B968" t="s">
        <v>3505</v>
      </c>
      <c r="C968" t="s">
        <v>3506</v>
      </c>
      <c r="D968">
        <v>6</v>
      </c>
      <c r="E968">
        <v>0</v>
      </c>
      <c r="F968" s="1">
        <v>45777</v>
      </c>
      <c r="G968">
        <f>_xlfn.XLOOKUP(F968,'Wk no''s'!B:B,'Wk no''s'!C:C,0)</f>
        <v>18</v>
      </c>
    </row>
    <row r="969" spans="1:7" x14ac:dyDescent="0.3">
      <c r="A969" t="s">
        <v>3507</v>
      </c>
      <c r="B969" t="s">
        <v>3508</v>
      </c>
      <c r="C969" t="s">
        <v>11</v>
      </c>
      <c r="D969">
        <v>0</v>
      </c>
      <c r="E969">
        <v>1</v>
      </c>
      <c r="F969" s="1">
        <v>45777</v>
      </c>
      <c r="G969">
        <f>_xlfn.XLOOKUP(F969,'Wk no''s'!B:B,'Wk no''s'!C:C,0)</f>
        <v>18</v>
      </c>
    </row>
    <row r="970" spans="1:7" x14ac:dyDescent="0.3">
      <c r="A970" t="s">
        <v>3509</v>
      </c>
      <c r="B970" t="s">
        <v>3510</v>
      </c>
      <c r="C970" t="s">
        <v>220</v>
      </c>
      <c r="D970">
        <v>6</v>
      </c>
      <c r="E970">
        <v>0</v>
      </c>
      <c r="F970" s="1">
        <v>45777</v>
      </c>
      <c r="G970">
        <f>_xlfn.XLOOKUP(F970,'Wk no''s'!B:B,'Wk no''s'!C:C,0)</f>
        <v>18</v>
      </c>
    </row>
    <row r="971" spans="1:7" x14ac:dyDescent="0.3">
      <c r="A971" t="s">
        <v>3511</v>
      </c>
      <c r="B971" t="s">
        <v>3512</v>
      </c>
      <c r="C971" t="s">
        <v>1884</v>
      </c>
      <c r="D971">
        <v>5</v>
      </c>
      <c r="E971">
        <v>0</v>
      </c>
      <c r="F971" s="1">
        <v>45777</v>
      </c>
      <c r="G971">
        <f>_xlfn.XLOOKUP(F971,'Wk no''s'!B:B,'Wk no''s'!C:C,0)</f>
        <v>18</v>
      </c>
    </row>
    <row r="972" spans="1:7" x14ac:dyDescent="0.3">
      <c r="A972" t="s">
        <v>3513</v>
      </c>
      <c r="B972" t="s">
        <v>3514</v>
      </c>
      <c r="C972" t="s">
        <v>75</v>
      </c>
      <c r="D972">
        <v>0</v>
      </c>
      <c r="E972">
        <v>1</v>
      </c>
      <c r="F972" s="1">
        <v>45778</v>
      </c>
      <c r="G972">
        <f>_xlfn.XLOOKUP(F972,'Wk no''s'!B:B,'Wk no''s'!C:C,0)</f>
        <v>18</v>
      </c>
    </row>
    <row r="973" spans="1:7" x14ac:dyDescent="0.3">
      <c r="A973" t="s">
        <v>3515</v>
      </c>
      <c r="B973" t="s">
        <v>3516</v>
      </c>
      <c r="C973" t="s">
        <v>3517</v>
      </c>
      <c r="D973">
        <v>0</v>
      </c>
      <c r="E973">
        <v>1</v>
      </c>
      <c r="F973" s="1">
        <v>45778</v>
      </c>
      <c r="G973">
        <f>_xlfn.XLOOKUP(F973,'Wk no''s'!B:B,'Wk no''s'!C:C,0)</f>
        <v>18</v>
      </c>
    </row>
    <row r="974" spans="1:7" x14ac:dyDescent="0.3">
      <c r="A974" t="s">
        <v>3518</v>
      </c>
      <c r="B974" t="s">
        <v>3519</v>
      </c>
      <c r="C974" t="s">
        <v>2066</v>
      </c>
      <c r="D974">
        <v>5</v>
      </c>
      <c r="E974">
        <v>0</v>
      </c>
      <c r="F974" s="1">
        <v>45778</v>
      </c>
      <c r="G974">
        <f>_xlfn.XLOOKUP(F974,'Wk no''s'!B:B,'Wk no''s'!C:C,0)</f>
        <v>18</v>
      </c>
    </row>
    <row r="975" spans="1:7" x14ac:dyDescent="0.3">
      <c r="A975" t="s">
        <v>3520</v>
      </c>
      <c r="B975" t="s">
        <v>3521</v>
      </c>
      <c r="C975" t="s">
        <v>2066</v>
      </c>
      <c r="D975">
        <v>5</v>
      </c>
      <c r="E975">
        <v>0</v>
      </c>
      <c r="F975" s="1">
        <v>45778</v>
      </c>
      <c r="G975">
        <f>_xlfn.XLOOKUP(F975,'Wk no''s'!B:B,'Wk no''s'!C:C,0)</f>
        <v>18</v>
      </c>
    </row>
    <row r="976" spans="1:7" x14ac:dyDescent="0.3">
      <c r="A976" t="s">
        <v>3522</v>
      </c>
      <c r="B976" t="s">
        <v>3523</v>
      </c>
      <c r="C976" t="s">
        <v>2066</v>
      </c>
      <c r="D976">
        <v>5</v>
      </c>
      <c r="E976">
        <v>0</v>
      </c>
      <c r="F976" s="1">
        <v>45778</v>
      </c>
      <c r="G976">
        <f>_xlfn.XLOOKUP(F976,'Wk no''s'!B:B,'Wk no''s'!C:C,0)</f>
        <v>18</v>
      </c>
    </row>
    <row r="977" spans="1:7" x14ac:dyDescent="0.3">
      <c r="A977" t="s">
        <v>3524</v>
      </c>
      <c r="B977" t="s">
        <v>3525</v>
      </c>
      <c r="C977" t="s">
        <v>2066</v>
      </c>
      <c r="D977">
        <v>5</v>
      </c>
      <c r="E977">
        <v>0</v>
      </c>
      <c r="F977" s="1">
        <v>45778</v>
      </c>
      <c r="G977">
        <f>_xlfn.XLOOKUP(F977,'Wk no''s'!B:B,'Wk no''s'!C:C,0)</f>
        <v>18</v>
      </c>
    </row>
    <row r="978" spans="1:7" x14ac:dyDescent="0.3">
      <c r="A978" t="s">
        <v>3526</v>
      </c>
      <c r="B978" t="s">
        <v>3527</v>
      </c>
      <c r="C978" t="s">
        <v>2066</v>
      </c>
      <c r="D978">
        <v>5</v>
      </c>
      <c r="E978">
        <v>0</v>
      </c>
      <c r="F978" s="1">
        <v>45778</v>
      </c>
      <c r="G978">
        <f>_xlfn.XLOOKUP(F978,'Wk no''s'!B:B,'Wk no''s'!C:C,0)</f>
        <v>18</v>
      </c>
    </row>
    <row r="979" spans="1:7" x14ac:dyDescent="0.3">
      <c r="A979" t="s">
        <v>3528</v>
      </c>
      <c r="B979" t="s">
        <v>3529</v>
      </c>
      <c r="C979" t="s">
        <v>2066</v>
      </c>
      <c r="D979">
        <v>5</v>
      </c>
      <c r="E979">
        <v>0</v>
      </c>
      <c r="F979" s="1">
        <v>45778</v>
      </c>
      <c r="G979">
        <f>_xlfn.XLOOKUP(F979,'Wk no''s'!B:B,'Wk no''s'!C:C,0)</f>
        <v>18</v>
      </c>
    </row>
    <row r="980" spans="1:7" x14ac:dyDescent="0.3">
      <c r="A980" t="s">
        <v>3530</v>
      </c>
      <c r="B980" t="s">
        <v>3531</v>
      </c>
      <c r="C980" t="s">
        <v>2066</v>
      </c>
      <c r="D980">
        <v>5</v>
      </c>
      <c r="E980">
        <v>0</v>
      </c>
      <c r="F980" s="1">
        <v>45778</v>
      </c>
      <c r="G980">
        <f>_xlfn.XLOOKUP(F980,'Wk no''s'!B:B,'Wk no''s'!C:C,0)</f>
        <v>18</v>
      </c>
    </row>
    <row r="981" spans="1:7" x14ac:dyDescent="0.3">
      <c r="A981" t="s">
        <v>3532</v>
      </c>
      <c r="B981" t="s">
        <v>3533</v>
      </c>
      <c r="C981" t="s">
        <v>2066</v>
      </c>
      <c r="D981">
        <v>5</v>
      </c>
      <c r="E981">
        <v>0</v>
      </c>
      <c r="F981" s="1">
        <v>45778</v>
      </c>
      <c r="G981">
        <f>_xlfn.XLOOKUP(F981,'Wk no''s'!B:B,'Wk no''s'!C:C,0)</f>
        <v>18</v>
      </c>
    </row>
    <row r="982" spans="1:7" x14ac:dyDescent="0.3">
      <c r="A982" t="s">
        <v>3534</v>
      </c>
      <c r="B982" t="s">
        <v>3535</v>
      </c>
      <c r="C982" t="s">
        <v>2066</v>
      </c>
      <c r="D982">
        <v>5</v>
      </c>
      <c r="E982">
        <v>0</v>
      </c>
      <c r="F982" s="1">
        <v>45778</v>
      </c>
      <c r="G982">
        <f>_xlfn.XLOOKUP(F982,'Wk no''s'!B:B,'Wk no''s'!C:C,0)</f>
        <v>18</v>
      </c>
    </row>
    <row r="983" spans="1:7" x14ac:dyDescent="0.3">
      <c r="A983" t="s">
        <v>3536</v>
      </c>
      <c r="B983" t="s">
        <v>3537</v>
      </c>
      <c r="C983" t="s">
        <v>2066</v>
      </c>
      <c r="D983">
        <v>5</v>
      </c>
      <c r="E983">
        <v>0</v>
      </c>
      <c r="F983" s="1">
        <v>45778</v>
      </c>
      <c r="G983">
        <f>_xlfn.XLOOKUP(F983,'Wk no''s'!B:B,'Wk no''s'!C:C,0)</f>
        <v>18</v>
      </c>
    </row>
    <row r="984" spans="1:7" x14ac:dyDescent="0.3">
      <c r="A984" t="s">
        <v>3538</v>
      </c>
      <c r="B984" t="s">
        <v>3539</v>
      </c>
      <c r="C984" t="s">
        <v>407</v>
      </c>
      <c r="D984">
        <v>5</v>
      </c>
      <c r="E984">
        <v>0</v>
      </c>
      <c r="F984" s="1">
        <v>45778</v>
      </c>
      <c r="G984">
        <f>_xlfn.XLOOKUP(F984,'Wk no''s'!B:B,'Wk no''s'!C:C,0)</f>
        <v>18</v>
      </c>
    </row>
    <row r="985" spans="1:7" x14ac:dyDescent="0.3">
      <c r="A985" t="s">
        <v>3540</v>
      </c>
      <c r="C985" t="s">
        <v>3541</v>
      </c>
      <c r="D985">
        <v>0</v>
      </c>
      <c r="E985">
        <v>1</v>
      </c>
      <c r="F985" s="1">
        <v>45778</v>
      </c>
      <c r="G985">
        <f>_xlfn.XLOOKUP(F985,'Wk no''s'!B:B,'Wk no''s'!C:C,0)</f>
        <v>18</v>
      </c>
    </row>
    <row r="986" spans="1:7" x14ac:dyDescent="0.3">
      <c r="A986" t="s">
        <v>3542</v>
      </c>
      <c r="B986" t="s">
        <v>3543</v>
      </c>
      <c r="C986" t="s">
        <v>3544</v>
      </c>
      <c r="D986">
        <v>5</v>
      </c>
      <c r="E986">
        <v>0</v>
      </c>
      <c r="F986" s="1">
        <v>45778</v>
      </c>
      <c r="G986">
        <f>_xlfn.XLOOKUP(F986,'Wk no''s'!B:B,'Wk no''s'!C:C,0)</f>
        <v>18</v>
      </c>
    </row>
    <row r="987" spans="1:7" x14ac:dyDescent="0.3">
      <c r="A987" t="s">
        <v>3545</v>
      </c>
      <c r="B987" t="s">
        <v>3546</v>
      </c>
      <c r="C987" t="s">
        <v>1154</v>
      </c>
      <c r="D987">
        <v>5</v>
      </c>
      <c r="E987">
        <v>0</v>
      </c>
      <c r="F987" s="1">
        <v>45778</v>
      </c>
      <c r="G987">
        <f>_xlfn.XLOOKUP(F987,'Wk no''s'!B:B,'Wk no''s'!C:C,0)</f>
        <v>18</v>
      </c>
    </row>
    <row r="988" spans="1:7" x14ac:dyDescent="0.3">
      <c r="A988" t="s">
        <v>3547</v>
      </c>
      <c r="B988" t="s">
        <v>3548</v>
      </c>
      <c r="C988" t="s">
        <v>3549</v>
      </c>
      <c r="D988">
        <v>0</v>
      </c>
      <c r="E988">
        <v>1</v>
      </c>
      <c r="F988" s="1">
        <v>45778</v>
      </c>
      <c r="G988">
        <f>_xlfn.XLOOKUP(F988,'Wk no''s'!B:B,'Wk no''s'!C:C,0)</f>
        <v>18</v>
      </c>
    </row>
    <row r="989" spans="1:7" x14ac:dyDescent="0.3">
      <c r="A989" t="s">
        <v>3550</v>
      </c>
      <c r="B989" t="s">
        <v>3551</v>
      </c>
      <c r="C989" t="s">
        <v>3552</v>
      </c>
      <c r="D989">
        <v>4</v>
      </c>
      <c r="E989">
        <v>0</v>
      </c>
      <c r="F989" s="1">
        <v>45778</v>
      </c>
      <c r="G989">
        <f>_xlfn.XLOOKUP(F989,'Wk no''s'!B:B,'Wk no''s'!C:C,0)</f>
        <v>18</v>
      </c>
    </row>
    <row r="990" spans="1:7" x14ac:dyDescent="0.3">
      <c r="A990" t="s">
        <v>3553</v>
      </c>
      <c r="B990" t="s">
        <v>3554</v>
      </c>
      <c r="C990" t="s">
        <v>69</v>
      </c>
      <c r="D990">
        <v>1</v>
      </c>
      <c r="E990">
        <v>1</v>
      </c>
      <c r="F990" s="1">
        <v>45778</v>
      </c>
      <c r="G990">
        <f>_xlfn.XLOOKUP(F990,'Wk no''s'!B:B,'Wk no''s'!C:C,0)</f>
        <v>18</v>
      </c>
    </row>
    <row r="991" spans="1:7" x14ac:dyDescent="0.3">
      <c r="A991" t="s">
        <v>3555</v>
      </c>
      <c r="B991" t="s">
        <v>3556</v>
      </c>
      <c r="C991" t="s">
        <v>75</v>
      </c>
      <c r="D991">
        <v>3</v>
      </c>
      <c r="E991">
        <v>0</v>
      </c>
      <c r="F991" s="1">
        <v>45778</v>
      </c>
      <c r="G991">
        <f>_xlfn.XLOOKUP(F991,'Wk no''s'!B:B,'Wk no''s'!C:C,0)</f>
        <v>18</v>
      </c>
    </row>
    <row r="992" spans="1:7" x14ac:dyDescent="0.3">
      <c r="A992" t="s">
        <v>3557</v>
      </c>
      <c r="B992" t="s">
        <v>3558</v>
      </c>
      <c r="C992" t="s">
        <v>2451</v>
      </c>
      <c r="D992">
        <v>4</v>
      </c>
      <c r="E992">
        <v>0</v>
      </c>
      <c r="F992" s="1">
        <v>45778</v>
      </c>
      <c r="G992">
        <f>_xlfn.XLOOKUP(F992,'Wk no''s'!B:B,'Wk no''s'!C:C,0)</f>
        <v>18</v>
      </c>
    </row>
    <row r="993" spans="1:7" x14ac:dyDescent="0.3">
      <c r="A993" t="s">
        <v>3559</v>
      </c>
      <c r="B993" t="s">
        <v>3560</v>
      </c>
      <c r="C993" t="s">
        <v>1117</v>
      </c>
      <c r="D993">
        <v>0</v>
      </c>
      <c r="E993">
        <v>1</v>
      </c>
      <c r="F993" s="1">
        <v>45778</v>
      </c>
      <c r="G993">
        <f>_xlfn.XLOOKUP(F993,'Wk no''s'!B:B,'Wk no''s'!C:C,0)</f>
        <v>18</v>
      </c>
    </row>
    <row r="994" spans="1:7" x14ac:dyDescent="0.3">
      <c r="A994" t="s">
        <v>3561</v>
      </c>
      <c r="B994" t="s">
        <v>3562</v>
      </c>
      <c r="C994" t="s">
        <v>1393</v>
      </c>
      <c r="D994">
        <v>2</v>
      </c>
      <c r="E994">
        <v>0</v>
      </c>
      <c r="F994" s="1">
        <v>45779</v>
      </c>
      <c r="G994">
        <f>_xlfn.XLOOKUP(F994,'Wk no''s'!B:B,'Wk no''s'!C:C,0)</f>
        <v>18</v>
      </c>
    </row>
    <row r="995" spans="1:7" x14ac:dyDescent="0.3">
      <c r="A995" t="s">
        <v>3563</v>
      </c>
      <c r="B995" t="s">
        <v>3564</v>
      </c>
      <c r="C995" t="s">
        <v>1117</v>
      </c>
      <c r="D995">
        <v>0</v>
      </c>
      <c r="E995">
        <v>1</v>
      </c>
      <c r="F995" s="1">
        <v>45779</v>
      </c>
      <c r="G995">
        <f>_xlfn.XLOOKUP(F995,'Wk no''s'!B:B,'Wk no''s'!C:C,0)</f>
        <v>18</v>
      </c>
    </row>
    <row r="996" spans="1:7" x14ac:dyDescent="0.3">
      <c r="A996" t="s">
        <v>3565</v>
      </c>
      <c r="B996" t="s">
        <v>3566</v>
      </c>
      <c r="C996" t="s">
        <v>1421</v>
      </c>
      <c r="D996">
        <v>0</v>
      </c>
      <c r="E996">
        <v>1</v>
      </c>
      <c r="F996" s="1">
        <v>45779</v>
      </c>
      <c r="G996">
        <f>_xlfn.XLOOKUP(F996,'Wk no''s'!B:B,'Wk no''s'!C:C,0)</f>
        <v>18</v>
      </c>
    </row>
    <row r="997" spans="1:7" x14ac:dyDescent="0.3">
      <c r="A997" t="s">
        <v>3567</v>
      </c>
      <c r="B997" t="s">
        <v>3568</v>
      </c>
      <c r="C997" t="s">
        <v>3310</v>
      </c>
      <c r="D997">
        <v>0</v>
      </c>
      <c r="E997">
        <v>1</v>
      </c>
      <c r="F997" s="1">
        <v>45779</v>
      </c>
      <c r="G997">
        <f>_xlfn.XLOOKUP(F997,'Wk no''s'!B:B,'Wk no''s'!C:C,0)</f>
        <v>18</v>
      </c>
    </row>
    <row r="998" spans="1:7" x14ac:dyDescent="0.3">
      <c r="A998" t="s">
        <v>3569</v>
      </c>
      <c r="B998" t="s">
        <v>3570</v>
      </c>
      <c r="C998" t="s">
        <v>3571</v>
      </c>
      <c r="D998">
        <v>0</v>
      </c>
      <c r="E998">
        <v>1</v>
      </c>
      <c r="F998" s="1">
        <v>45779</v>
      </c>
      <c r="G998">
        <f>_xlfn.XLOOKUP(F998,'Wk no''s'!B:B,'Wk no''s'!C:C,0)</f>
        <v>18</v>
      </c>
    </row>
    <row r="999" spans="1:7" x14ac:dyDescent="0.3">
      <c r="A999" t="s">
        <v>3572</v>
      </c>
      <c r="B999" t="s">
        <v>3573</v>
      </c>
      <c r="C999" t="s">
        <v>3574</v>
      </c>
      <c r="D999">
        <v>2</v>
      </c>
      <c r="E999">
        <v>0</v>
      </c>
      <c r="F999" s="1">
        <v>45779</v>
      </c>
      <c r="G999">
        <f>_xlfn.XLOOKUP(F999,'Wk no''s'!B:B,'Wk no''s'!C:C,0)</f>
        <v>18</v>
      </c>
    </row>
    <row r="1000" spans="1:7" x14ac:dyDescent="0.3">
      <c r="A1000" t="s">
        <v>3575</v>
      </c>
      <c r="B1000" t="s">
        <v>3576</v>
      </c>
      <c r="C1000" t="s">
        <v>3577</v>
      </c>
      <c r="D1000">
        <v>2</v>
      </c>
      <c r="E1000">
        <v>0</v>
      </c>
      <c r="F1000" s="1">
        <v>45783</v>
      </c>
      <c r="G1000">
        <f>_xlfn.XLOOKUP(F1000,'Wk no''s'!B:B,'Wk no''s'!C:C,0)</f>
        <v>19</v>
      </c>
    </row>
    <row r="1001" spans="1:7" x14ac:dyDescent="0.3">
      <c r="A1001" t="s">
        <v>3578</v>
      </c>
      <c r="B1001" t="s">
        <v>3579</v>
      </c>
      <c r="C1001" t="s">
        <v>4353</v>
      </c>
      <c r="D1001">
        <v>3</v>
      </c>
      <c r="E1001">
        <v>0</v>
      </c>
      <c r="F1001" s="1">
        <v>45783</v>
      </c>
      <c r="G1001">
        <f>_xlfn.XLOOKUP(F1001,'Wk no''s'!B:B,'Wk no''s'!C:C,0)</f>
        <v>19</v>
      </c>
    </row>
    <row r="1002" spans="1:7" x14ac:dyDescent="0.3">
      <c r="A1002" t="s">
        <v>3580</v>
      </c>
      <c r="B1002" t="s">
        <v>3581</v>
      </c>
      <c r="C1002" t="s">
        <v>3582</v>
      </c>
      <c r="D1002">
        <v>2</v>
      </c>
      <c r="E1002">
        <v>0</v>
      </c>
      <c r="F1002" s="1">
        <v>45783</v>
      </c>
      <c r="G1002">
        <f>_xlfn.XLOOKUP(F1002,'Wk no''s'!B:B,'Wk no''s'!C:C,0)</f>
        <v>19</v>
      </c>
    </row>
    <row r="1003" spans="1:7" x14ac:dyDescent="0.3">
      <c r="A1003" t="s">
        <v>3583</v>
      </c>
      <c r="B1003" t="s">
        <v>3584</v>
      </c>
      <c r="C1003" t="s">
        <v>3585</v>
      </c>
      <c r="D1003">
        <v>2</v>
      </c>
      <c r="E1003">
        <v>0</v>
      </c>
      <c r="F1003" s="1">
        <v>45783</v>
      </c>
      <c r="G1003">
        <f>_xlfn.XLOOKUP(F1003,'Wk no''s'!B:B,'Wk no''s'!C:C,0)</f>
        <v>19</v>
      </c>
    </row>
    <row r="1004" spans="1:7" x14ac:dyDescent="0.3">
      <c r="A1004" t="s">
        <v>3586</v>
      </c>
      <c r="B1004" t="s">
        <v>3587</v>
      </c>
      <c r="C1004" t="s">
        <v>3588</v>
      </c>
      <c r="D1004">
        <v>0</v>
      </c>
      <c r="E1004">
        <v>1</v>
      </c>
      <c r="F1004" s="1">
        <v>45783</v>
      </c>
      <c r="G1004">
        <f>_xlfn.XLOOKUP(F1004,'Wk no''s'!B:B,'Wk no''s'!C:C,0)</f>
        <v>19</v>
      </c>
    </row>
    <row r="1005" spans="1:7" x14ac:dyDescent="0.3">
      <c r="A1005" t="s">
        <v>3589</v>
      </c>
      <c r="B1005" t="s">
        <v>3590</v>
      </c>
      <c r="C1005" t="s">
        <v>3591</v>
      </c>
      <c r="D1005">
        <v>1</v>
      </c>
      <c r="E1005">
        <v>1</v>
      </c>
      <c r="F1005" s="1">
        <v>45784</v>
      </c>
      <c r="G1005">
        <f>_xlfn.XLOOKUP(F1005,'Wk no''s'!B:B,'Wk no''s'!C:C,0)</f>
        <v>19</v>
      </c>
    </row>
    <row r="1006" spans="1:7" x14ac:dyDescent="0.3">
      <c r="A1006" t="s">
        <v>3592</v>
      </c>
      <c r="B1006" t="s">
        <v>3593</v>
      </c>
      <c r="C1006" t="s">
        <v>2778</v>
      </c>
      <c r="D1006">
        <v>1</v>
      </c>
      <c r="E1006">
        <v>1</v>
      </c>
      <c r="F1006" s="1">
        <v>45784</v>
      </c>
      <c r="G1006">
        <f>_xlfn.XLOOKUP(F1006,'Wk no''s'!B:B,'Wk no''s'!C:C,0)</f>
        <v>19</v>
      </c>
    </row>
    <row r="1007" spans="1:7" x14ac:dyDescent="0.3">
      <c r="A1007" t="s">
        <v>3594</v>
      </c>
      <c r="B1007" t="s">
        <v>3595</v>
      </c>
      <c r="C1007" t="s">
        <v>3596</v>
      </c>
      <c r="D1007">
        <v>1</v>
      </c>
      <c r="E1007">
        <v>1</v>
      </c>
      <c r="F1007" s="1">
        <v>45784</v>
      </c>
      <c r="G1007">
        <f>_xlfn.XLOOKUP(F1007,'Wk no''s'!B:B,'Wk no''s'!C:C,0)</f>
        <v>19</v>
      </c>
    </row>
    <row r="1008" spans="1:7" x14ac:dyDescent="0.3">
      <c r="A1008" t="s">
        <v>3597</v>
      </c>
      <c r="B1008" t="s">
        <v>3598</v>
      </c>
      <c r="C1008" t="s">
        <v>2908</v>
      </c>
      <c r="D1008">
        <v>1</v>
      </c>
      <c r="E1008">
        <v>1</v>
      </c>
      <c r="F1008" s="1">
        <v>45784</v>
      </c>
      <c r="G1008">
        <f>_xlfn.XLOOKUP(F1008,'Wk no''s'!B:B,'Wk no''s'!C:C,0)</f>
        <v>19</v>
      </c>
    </row>
    <row r="1009" spans="1:7" x14ac:dyDescent="0.3">
      <c r="A1009" t="s">
        <v>3599</v>
      </c>
      <c r="B1009" t="s">
        <v>3600</v>
      </c>
      <c r="C1009" t="s">
        <v>3601</v>
      </c>
      <c r="D1009">
        <v>0</v>
      </c>
      <c r="E1009">
        <v>1</v>
      </c>
      <c r="F1009" s="1">
        <v>45784</v>
      </c>
      <c r="G1009">
        <f>_xlfn.XLOOKUP(F1009,'Wk no''s'!B:B,'Wk no''s'!C:C,0)</f>
        <v>19</v>
      </c>
    </row>
    <row r="1010" spans="1:7" x14ac:dyDescent="0.3">
      <c r="A1010" t="s">
        <v>3602</v>
      </c>
      <c r="B1010" t="s">
        <v>3603</v>
      </c>
      <c r="C1010" t="s">
        <v>302</v>
      </c>
      <c r="D1010">
        <v>1</v>
      </c>
      <c r="E1010">
        <v>1</v>
      </c>
      <c r="F1010" s="1">
        <v>45784</v>
      </c>
      <c r="G1010">
        <f>_xlfn.XLOOKUP(F1010,'Wk no''s'!B:B,'Wk no''s'!C:C,0)</f>
        <v>19</v>
      </c>
    </row>
    <row r="1011" spans="1:7" x14ac:dyDescent="0.3">
      <c r="A1011" t="s">
        <v>3604</v>
      </c>
      <c r="B1011" t="s">
        <v>3605</v>
      </c>
      <c r="C1011" t="s">
        <v>3606</v>
      </c>
      <c r="D1011">
        <v>0</v>
      </c>
      <c r="E1011">
        <v>1</v>
      </c>
      <c r="F1011" s="1">
        <v>45784</v>
      </c>
      <c r="G1011">
        <f>_xlfn.XLOOKUP(F1011,'Wk no''s'!B:B,'Wk no''s'!C:C,0)</f>
        <v>19</v>
      </c>
    </row>
    <row r="1012" spans="1:7" x14ac:dyDescent="0.3">
      <c r="A1012" t="s">
        <v>3607</v>
      </c>
      <c r="B1012" t="s">
        <v>3608</v>
      </c>
      <c r="C1012" t="s">
        <v>3609</v>
      </c>
      <c r="D1012">
        <v>1</v>
      </c>
      <c r="E1012">
        <v>1</v>
      </c>
      <c r="F1012" s="1">
        <v>45784</v>
      </c>
      <c r="G1012">
        <f>_xlfn.XLOOKUP(F1012,'Wk no''s'!B:B,'Wk no''s'!C:C,0)</f>
        <v>19</v>
      </c>
    </row>
    <row r="1013" spans="1:7" x14ac:dyDescent="0.3">
      <c r="A1013" t="s">
        <v>3610</v>
      </c>
      <c r="B1013" t="s">
        <v>3611</v>
      </c>
      <c r="C1013" t="s">
        <v>3612</v>
      </c>
      <c r="D1013">
        <v>0</v>
      </c>
      <c r="E1013">
        <v>1</v>
      </c>
      <c r="F1013" s="1">
        <v>45784</v>
      </c>
      <c r="G1013">
        <f>_xlfn.XLOOKUP(F1013,'Wk no''s'!B:B,'Wk no''s'!C:C,0)</f>
        <v>19</v>
      </c>
    </row>
    <row r="1014" spans="1:7" x14ac:dyDescent="0.3">
      <c r="A1014" t="s">
        <v>3613</v>
      </c>
      <c r="B1014" t="s">
        <v>3614</v>
      </c>
      <c r="C1014" t="s">
        <v>36</v>
      </c>
      <c r="D1014">
        <v>0</v>
      </c>
      <c r="E1014">
        <v>1</v>
      </c>
      <c r="F1014" s="1">
        <v>45784</v>
      </c>
      <c r="G1014">
        <f>_xlfn.XLOOKUP(F1014,'Wk no''s'!B:B,'Wk no''s'!C:C,0)</f>
        <v>19</v>
      </c>
    </row>
    <row r="1015" spans="1:7" x14ac:dyDescent="0.3">
      <c r="A1015" t="s">
        <v>3615</v>
      </c>
      <c r="B1015" t="s">
        <v>3616</v>
      </c>
      <c r="C1015" t="s">
        <v>2593</v>
      </c>
      <c r="D1015">
        <v>1</v>
      </c>
      <c r="E1015">
        <v>1</v>
      </c>
      <c r="F1015" s="1">
        <v>45784</v>
      </c>
      <c r="G1015">
        <f>_xlfn.XLOOKUP(F1015,'Wk no''s'!B:B,'Wk no''s'!C:C,0)</f>
        <v>19</v>
      </c>
    </row>
    <row r="1016" spans="1:7" x14ac:dyDescent="0.3">
      <c r="A1016" t="s">
        <v>3617</v>
      </c>
      <c r="B1016" t="s">
        <v>3618</v>
      </c>
      <c r="C1016" t="s">
        <v>3619</v>
      </c>
      <c r="D1016">
        <v>0</v>
      </c>
      <c r="E1016">
        <v>1</v>
      </c>
      <c r="F1016" s="1">
        <v>45784</v>
      </c>
      <c r="G1016">
        <f>_xlfn.XLOOKUP(F1016,'Wk no''s'!B:B,'Wk no''s'!C:C,0)</f>
        <v>19</v>
      </c>
    </row>
    <row r="1017" spans="1:7" x14ac:dyDescent="0.3">
      <c r="A1017" t="s">
        <v>3620</v>
      </c>
      <c r="B1017" t="s">
        <v>3621</v>
      </c>
      <c r="C1017" t="s">
        <v>3622</v>
      </c>
      <c r="D1017">
        <v>1</v>
      </c>
      <c r="E1017">
        <v>1</v>
      </c>
      <c r="F1017" s="1">
        <v>45784</v>
      </c>
      <c r="G1017">
        <f>_xlfn.XLOOKUP(F1017,'Wk no''s'!B:B,'Wk no''s'!C:C,0)</f>
        <v>19</v>
      </c>
    </row>
    <row r="1018" spans="1:7" x14ac:dyDescent="0.3">
      <c r="A1018" t="s">
        <v>3623</v>
      </c>
      <c r="B1018" t="s">
        <v>3624</v>
      </c>
      <c r="C1018" t="s">
        <v>69</v>
      </c>
      <c r="D1018">
        <v>0</v>
      </c>
      <c r="E1018">
        <v>1</v>
      </c>
      <c r="F1018" s="1">
        <v>45784</v>
      </c>
      <c r="G1018">
        <f>_xlfn.XLOOKUP(F1018,'Wk no''s'!B:B,'Wk no''s'!C:C,0)</f>
        <v>19</v>
      </c>
    </row>
    <row r="1019" spans="1:7" x14ac:dyDescent="0.3">
      <c r="A1019" t="s">
        <v>3625</v>
      </c>
      <c r="B1019" t="s">
        <v>3626</v>
      </c>
      <c r="C1019" t="s">
        <v>1343</v>
      </c>
      <c r="D1019">
        <v>0</v>
      </c>
      <c r="E1019">
        <v>1</v>
      </c>
      <c r="F1019" s="1">
        <v>45785</v>
      </c>
      <c r="G1019">
        <f>_xlfn.XLOOKUP(F1019,'Wk no''s'!B:B,'Wk no''s'!C:C,0)</f>
        <v>19</v>
      </c>
    </row>
    <row r="1020" spans="1:7" x14ac:dyDescent="0.3">
      <c r="A1020" t="s">
        <v>3627</v>
      </c>
      <c r="B1020" t="s">
        <v>3628</v>
      </c>
      <c r="C1020" t="s">
        <v>2259</v>
      </c>
      <c r="D1020">
        <v>11</v>
      </c>
      <c r="E1020">
        <v>0</v>
      </c>
      <c r="F1020" s="1">
        <v>45785</v>
      </c>
      <c r="G1020">
        <f>_xlfn.XLOOKUP(F1020,'Wk no''s'!B:B,'Wk no''s'!C:C,0)</f>
        <v>19</v>
      </c>
    </row>
    <row r="1021" spans="1:7" x14ac:dyDescent="0.3">
      <c r="A1021" t="s">
        <v>3629</v>
      </c>
      <c r="B1021" t="s">
        <v>3630</v>
      </c>
      <c r="C1021" t="s">
        <v>1322</v>
      </c>
      <c r="D1021">
        <v>0</v>
      </c>
      <c r="E1021">
        <v>1</v>
      </c>
      <c r="F1021" s="1">
        <v>45785</v>
      </c>
      <c r="G1021">
        <f>_xlfn.XLOOKUP(F1021,'Wk no''s'!B:B,'Wk no''s'!C:C,0)</f>
        <v>19</v>
      </c>
    </row>
    <row r="1022" spans="1:7" x14ac:dyDescent="0.3">
      <c r="A1022" t="s">
        <v>3631</v>
      </c>
      <c r="B1022" t="s">
        <v>3632</v>
      </c>
      <c r="C1022" t="s">
        <v>2204</v>
      </c>
      <c r="D1022">
        <v>0</v>
      </c>
      <c r="E1022">
        <v>1</v>
      </c>
      <c r="F1022" s="1">
        <v>45785</v>
      </c>
      <c r="G1022">
        <f>_xlfn.XLOOKUP(F1022,'Wk no''s'!B:B,'Wk no''s'!C:C,0)</f>
        <v>19</v>
      </c>
    </row>
    <row r="1023" spans="1:7" x14ac:dyDescent="0.3">
      <c r="A1023" t="s">
        <v>3633</v>
      </c>
      <c r="B1023" t="s">
        <v>3634</v>
      </c>
      <c r="C1023" t="s">
        <v>3055</v>
      </c>
      <c r="D1023">
        <v>0</v>
      </c>
      <c r="E1023">
        <v>1</v>
      </c>
      <c r="F1023" s="1">
        <v>45785</v>
      </c>
      <c r="G1023">
        <f>_xlfn.XLOOKUP(F1023,'Wk no''s'!B:B,'Wk no''s'!C:C,0)</f>
        <v>19</v>
      </c>
    </row>
    <row r="1024" spans="1:7" x14ac:dyDescent="0.3">
      <c r="A1024" t="s">
        <v>3635</v>
      </c>
      <c r="B1024" t="s">
        <v>3636</v>
      </c>
      <c r="C1024" t="s">
        <v>2596</v>
      </c>
      <c r="D1024">
        <v>0</v>
      </c>
      <c r="E1024">
        <v>1</v>
      </c>
      <c r="F1024" s="1">
        <v>45785</v>
      </c>
      <c r="G1024">
        <f>_xlfn.XLOOKUP(F1024,'Wk no''s'!B:B,'Wk no''s'!C:C,0)</f>
        <v>19</v>
      </c>
    </row>
    <row r="1025" spans="1:7" x14ac:dyDescent="0.3">
      <c r="A1025" t="s">
        <v>3637</v>
      </c>
      <c r="B1025" t="s">
        <v>3638</v>
      </c>
      <c r="C1025" t="s">
        <v>1128</v>
      </c>
      <c r="D1025">
        <v>0</v>
      </c>
      <c r="E1025">
        <v>1</v>
      </c>
      <c r="F1025" s="1">
        <v>45785</v>
      </c>
      <c r="G1025">
        <f>_xlfn.XLOOKUP(F1025,'Wk no''s'!B:B,'Wk no''s'!C:C,0)</f>
        <v>19</v>
      </c>
    </row>
    <row r="1026" spans="1:7" x14ac:dyDescent="0.3">
      <c r="A1026" t="s">
        <v>3639</v>
      </c>
      <c r="B1026" t="s">
        <v>3640</v>
      </c>
      <c r="C1026" t="s">
        <v>3641</v>
      </c>
      <c r="D1026">
        <v>0</v>
      </c>
      <c r="E1026">
        <v>1</v>
      </c>
      <c r="F1026" s="1">
        <v>45785</v>
      </c>
      <c r="G1026">
        <f>_xlfn.XLOOKUP(F1026,'Wk no''s'!B:B,'Wk no''s'!C:C,0)</f>
        <v>19</v>
      </c>
    </row>
    <row r="1027" spans="1:7" x14ac:dyDescent="0.3">
      <c r="A1027" t="s">
        <v>3642</v>
      </c>
      <c r="B1027" t="s">
        <v>3643</v>
      </c>
      <c r="C1027" t="s">
        <v>3644</v>
      </c>
      <c r="D1027">
        <v>0</v>
      </c>
      <c r="E1027">
        <v>1</v>
      </c>
      <c r="F1027" s="1">
        <v>45785</v>
      </c>
      <c r="G1027">
        <f>_xlfn.XLOOKUP(F1027,'Wk no''s'!B:B,'Wk no''s'!C:C,0)</f>
        <v>19</v>
      </c>
    </row>
    <row r="1028" spans="1:7" x14ac:dyDescent="0.3">
      <c r="A1028" t="s">
        <v>3645</v>
      </c>
      <c r="B1028" t="s">
        <v>3646</v>
      </c>
      <c r="C1028" t="s">
        <v>1693</v>
      </c>
      <c r="D1028">
        <v>0</v>
      </c>
      <c r="E1028">
        <v>1</v>
      </c>
      <c r="F1028" s="1">
        <v>45785</v>
      </c>
      <c r="G1028">
        <f>_xlfn.XLOOKUP(F1028,'Wk no''s'!B:B,'Wk no''s'!C:C,0)</f>
        <v>19</v>
      </c>
    </row>
    <row r="1029" spans="1:7" x14ac:dyDescent="0.3">
      <c r="A1029" t="s">
        <v>3647</v>
      </c>
      <c r="B1029" t="s">
        <v>3648</v>
      </c>
      <c r="C1029" t="s">
        <v>1544</v>
      </c>
      <c r="D1029">
        <v>0</v>
      </c>
      <c r="E1029">
        <v>1</v>
      </c>
      <c r="F1029" s="1">
        <v>45785</v>
      </c>
      <c r="G1029">
        <f>_xlfn.XLOOKUP(F1029,'Wk no''s'!B:B,'Wk no''s'!C:C,0)</f>
        <v>19</v>
      </c>
    </row>
    <row r="1030" spans="1:7" x14ac:dyDescent="0.3">
      <c r="A1030" t="s">
        <v>3649</v>
      </c>
      <c r="B1030" t="s">
        <v>3650</v>
      </c>
      <c r="C1030" t="s">
        <v>3651</v>
      </c>
      <c r="D1030">
        <v>0</v>
      </c>
      <c r="E1030">
        <v>1</v>
      </c>
      <c r="F1030" s="1">
        <v>45785</v>
      </c>
      <c r="G1030">
        <f>_xlfn.XLOOKUP(F1030,'Wk no''s'!B:B,'Wk no''s'!C:C,0)</f>
        <v>19</v>
      </c>
    </row>
    <row r="1031" spans="1:7" x14ac:dyDescent="0.3">
      <c r="A1031" t="s">
        <v>3652</v>
      </c>
      <c r="B1031" t="s">
        <v>3653</v>
      </c>
      <c r="C1031" t="s">
        <v>2159</v>
      </c>
      <c r="D1031">
        <v>0</v>
      </c>
      <c r="E1031">
        <v>1</v>
      </c>
      <c r="F1031" s="1">
        <v>45785</v>
      </c>
      <c r="G1031">
        <f>_xlfn.XLOOKUP(F1031,'Wk no''s'!B:B,'Wk no''s'!C:C,0)</f>
        <v>19</v>
      </c>
    </row>
    <row r="1032" spans="1:7" x14ac:dyDescent="0.3">
      <c r="A1032" t="s">
        <v>3654</v>
      </c>
      <c r="C1032" t="s">
        <v>2706</v>
      </c>
      <c r="D1032">
        <v>0</v>
      </c>
      <c r="E1032">
        <v>1</v>
      </c>
      <c r="F1032" s="1">
        <v>45785</v>
      </c>
      <c r="G1032">
        <f>_xlfn.XLOOKUP(F1032,'Wk no''s'!B:B,'Wk no''s'!C:C,0)</f>
        <v>19</v>
      </c>
    </row>
    <row r="1033" spans="1:7" x14ac:dyDescent="0.3">
      <c r="A1033" t="s">
        <v>3655</v>
      </c>
      <c r="B1033" t="s">
        <v>3656</v>
      </c>
      <c r="C1033" t="s">
        <v>210</v>
      </c>
      <c r="D1033">
        <v>0</v>
      </c>
      <c r="E1033">
        <v>1</v>
      </c>
      <c r="F1033" s="1">
        <v>45786</v>
      </c>
      <c r="G1033">
        <f>_xlfn.XLOOKUP(F1033,'Wk no''s'!B:B,'Wk no''s'!C:C,0)</f>
        <v>19</v>
      </c>
    </row>
    <row r="1034" spans="1:7" x14ac:dyDescent="0.3">
      <c r="A1034" t="s">
        <v>3657</v>
      </c>
      <c r="B1034" t="s">
        <v>3658</v>
      </c>
      <c r="C1034" t="s">
        <v>3659</v>
      </c>
      <c r="D1034">
        <v>4</v>
      </c>
      <c r="E1034">
        <v>0</v>
      </c>
      <c r="F1034" s="1">
        <v>45786</v>
      </c>
      <c r="G1034">
        <f>_xlfn.XLOOKUP(F1034,'Wk no''s'!B:B,'Wk no''s'!C:C,0)</f>
        <v>19</v>
      </c>
    </row>
    <row r="1035" spans="1:7" x14ac:dyDescent="0.3">
      <c r="A1035" t="s">
        <v>3660</v>
      </c>
      <c r="B1035" t="s">
        <v>3661</v>
      </c>
      <c r="C1035" t="s">
        <v>3662</v>
      </c>
      <c r="D1035">
        <v>0</v>
      </c>
      <c r="E1035">
        <v>1</v>
      </c>
      <c r="F1035" s="1">
        <v>45786</v>
      </c>
      <c r="G1035">
        <f>_xlfn.XLOOKUP(F1035,'Wk no''s'!B:B,'Wk no''s'!C:C,0)</f>
        <v>19</v>
      </c>
    </row>
    <row r="1036" spans="1:7" x14ac:dyDescent="0.3">
      <c r="A1036" t="s">
        <v>3663</v>
      </c>
      <c r="B1036" t="s">
        <v>3664</v>
      </c>
      <c r="C1036" t="s">
        <v>36</v>
      </c>
      <c r="D1036">
        <v>0</v>
      </c>
      <c r="E1036">
        <v>1</v>
      </c>
      <c r="F1036" s="1">
        <v>45786</v>
      </c>
      <c r="G1036">
        <f>_xlfn.XLOOKUP(F1036,'Wk no''s'!B:B,'Wk no''s'!C:C,0)</f>
        <v>19</v>
      </c>
    </row>
    <row r="1037" spans="1:7" x14ac:dyDescent="0.3">
      <c r="A1037" t="s">
        <v>3665</v>
      </c>
      <c r="B1037" t="s">
        <v>3666</v>
      </c>
      <c r="C1037" t="s">
        <v>2706</v>
      </c>
      <c r="D1037">
        <v>0</v>
      </c>
      <c r="E1037">
        <v>1</v>
      </c>
      <c r="F1037" s="1">
        <v>45786</v>
      </c>
      <c r="G1037">
        <f>_xlfn.XLOOKUP(F1037,'Wk no''s'!B:B,'Wk no''s'!C:C,0)</f>
        <v>19</v>
      </c>
    </row>
    <row r="1038" spans="1:7" x14ac:dyDescent="0.3">
      <c r="A1038" t="s">
        <v>3667</v>
      </c>
      <c r="B1038" t="s">
        <v>3668</v>
      </c>
      <c r="C1038" t="s">
        <v>3669</v>
      </c>
      <c r="D1038">
        <v>0</v>
      </c>
      <c r="E1038">
        <v>1</v>
      </c>
      <c r="F1038" s="1">
        <v>45786</v>
      </c>
      <c r="G1038">
        <f>_xlfn.XLOOKUP(F1038,'Wk no''s'!B:B,'Wk no''s'!C:C,0)</f>
        <v>19</v>
      </c>
    </row>
    <row r="1039" spans="1:7" x14ac:dyDescent="0.3">
      <c r="A1039" t="s">
        <v>3670</v>
      </c>
      <c r="B1039" t="s">
        <v>3671</v>
      </c>
      <c r="C1039" t="s">
        <v>3672</v>
      </c>
      <c r="D1039">
        <v>0</v>
      </c>
      <c r="E1039">
        <v>1</v>
      </c>
      <c r="F1039" s="1">
        <v>45786</v>
      </c>
      <c r="G1039">
        <f>_xlfn.XLOOKUP(F1039,'Wk no''s'!B:B,'Wk no''s'!C:C,0)</f>
        <v>19</v>
      </c>
    </row>
    <row r="1040" spans="1:7" x14ac:dyDescent="0.3">
      <c r="A1040" t="s">
        <v>3673</v>
      </c>
      <c r="B1040" t="s">
        <v>3674</v>
      </c>
      <c r="C1040" t="s">
        <v>58</v>
      </c>
      <c r="D1040">
        <v>0</v>
      </c>
      <c r="E1040">
        <v>1</v>
      </c>
      <c r="F1040" s="1">
        <v>45786</v>
      </c>
      <c r="G1040">
        <f>_xlfn.XLOOKUP(F1040,'Wk no''s'!B:B,'Wk no''s'!C:C,0)</f>
        <v>19</v>
      </c>
    </row>
    <row r="1041" spans="1:7" x14ac:dyDescent="0.3">
      <c r="A1041" t="s">
        <v>3675</v>
      </c>
      <c r="B1041" t="s">
        <v>3676</v>
      </c>
      <c r="C1041" t="s">
        <v>1544</v>
      </c>
      <c r="D1041">
        <v>0</v>
      </c>
      <c r="E1041">
        <v>1</v>
      </c>
      <c r="F1041" s="1">
        <v>45786</v>
      </c>
      <c r="G1041">
        <f>_xlfn.XLOOKUP(F1041,'Wk no''s'!B:B,'Wk no''s'!C:C,0)</f>
        <v>19</v>
      </c>
    </row>
    <row r="1042" spans="1:7" x14ac:dyDescent="0.3">
      <c r="A1042" t="s">
        <v>3677</v>
      </c>
      <c r="B1042" t="s">
        <v>3678</v>
      </c>
      <c r="C1042" t="s">
        <v>2479</v>
      </c>
      <c r="D1042">
        <v>0</v>
      </c>
      <c r="E1042">
        <v>1</v>
      </c>
      <c r="F1042" s="1">
        <v>45786</v>
      </c>
      <c r="G1042">
        <f>_xlfn.XLOOKUP(F1042,'Wk no''s'!B:B,'Wk no''s'!C:C,0)</f>
        <v>19</v>
      </c>
    </row>
    <row r="1043" spans="1:7" x14ac:dyDescent="0.3">
      <c r="A1043" t="s">
        <v>3679</v>
      </c>
      <c r="B1043" t="s">
        <v>3680</v>
      </c>
      <c r="C1043" t="s">
        <v>2789</v>
      </c>
      <c r="D1043">
        <v>0</v>
      </c>
      <c r="E1043">
        <v>1</v>
      </c>
      <c r="F1043" s="1">
        <v>45786</v>
      </c>
      <c r="G1043">
        <f>_xlfn.XLOOKUP(F1043,'Wk no''s'!B:B,'Wk no''s'!C:C,0)</f>
        <v>19</v>
      </c>
    </row>
    <row r="1044" spans="1:7" x14ac:dyDescent="0.3">
      <c r="A1044" t="s">
        <v>3681</v>
      </c>
      <c r="B1044" t="s">
        <v>3682</v>
      </c>
      <c r="C1044" t="s">
        <v>127</v>
      </c>
      <c r="D1044">
        <v>0</v>
      </c>
      <c r="E1044">
        <v>1</v>
      </c>
      <c r="F1044" s="1">
        <v>45786</v>
      </c>
      <c r="G1044">
        <f>_xlfn.XLOOKUP(F1044,'Wk no''s'!B:B,'Wk no''s'!C:C,0)</f>
        <v>19</v>
      </c>
    </row>
    <row r="1045" spans="1:7" x14ac:dyDescent="0.3">
      <c r="A1045" t="s">
        <v>3683</v>
      </c>
      <c r="B1045" t="s">
        <v>3684</v>
      </c>
      <c r="C1045" t="s">
        <v>3419</v>
      </c>
      <c r="D1045">
        <v>0</v>
      </c>
      <c r="E1045">
        <v>1</v>
      </c>
      <c r="F1045" s="1">
        <v>45789</v>
      </c>
      <c r="G1045">
        <f>_xlfn.XLOOKUP(F1045,'Wk no''s'!B:B,'Wk no''s'!C:C,0)</f>
        <v>20</v>
      </c>
    </row>
    <row r="1046" spans="1:7" x14ac:dyDescent="0.3">
      <c r="A1046" t="s">
        <v>3685</v>
      </c>
      <c r="B1046" t="s">
        <v>3686</v>
      </c>
      <c r="C1046" t="s">
        <v>1772</v>
      </c>
      <c r="D1046">
        <v>0</v>
      </c>
      <c r="E1046">
        <v>1</v>
      </c>
      <c r="F1046" s="1">
        <v>45789</v>
      </c>
      <c r="G1046">
        <f>_xlfn.XLOOKUP(F1046,'Wk no''s'!B:B,'Wk no''s'!C:C,0)</f>
        <v>20</v>
      </c>
    </row>
    <row r="1047" spans="1:7" x14ac:dyDescent="0.3">
      <c r="A1047" t="s">
        <v>3687</v>
      </c>
      <c r="B1047" t="s">
        <v>3688</v>
      </c>
      <c r="C1047" t="s">
        <v>1224</v>
      </c>
      <c r="D1047">
        <v>0</v>
      </c>
      <c r="E1047">
        <v>1</v>
      </c>
      <c r="F1047" s="1">
        <v>45789</v>
      </c>
      <c r="G1047">
        <f>_xlfn.XLOOKUP(F1047,'Wk no''s'!B:B,'Wk no''s'!C:C,0)</f>
        <v>20</v>
      </c>
    </row>
    <row r="1048" spans="1:7" x14ac:dyDescent="0.3">
      <c r="A1048" t="s">
        <v>3689</v>
      </c>
      <c r="B1048" t="s">
        <v>3690</v>
      </c>
      <c r="C1048" t="s">
        <v>2166</v>
      </c>
      <c r="D1048">
        <v>0</v>
      </c>
      <c r="E1048">
        <v>1</v>
      </c>
      <c r="F1048" s="1">
        <v>45789</v>
      </c>
      <c r="G1048">
        <f>_xlfn.XLOOKUP(F1048,'Wk no''s'!B:B,'Wk no''s'!C:C,0)</f>
        <v>20</v>
      </c>
    </row>
    <row r="1049" spans="1:7" x14ac:dyDescent="0.3">
      <c r="A1049" t="s">
        <v>3691</v>
      </c>
      <c r="B1049" t="s">
        <v>3692</v>
      </c>
      <c r="C1049" t="s">
        <v>3693</v>
      </c>
      <c r="D1049">
        <v>0</v>
      </c>
      <c r="E1049">
        <v>1</v>
      </c>
      <c r="F1049" s="1">
        <v>45789</v>
      </c>
      <c r="G1049">
        <f>_xlfn.XLOOKUP(F1049,'Wk no''s'!B:B,'Wk no''s'!C:C,0)</f>
        <v>20</v>
      </c>
    </row>
    <row r="1050" spans="1:7" x14ac:dyDescent="0.3">
      <c r="A1050" t="s">
        <v>3694</v>
      </c>
      <c r="B1050" t="s">
        <v>3695</v>
      </c>
      <c r="C1050" t="s">
        <v>2010</v>
      </c>
      <c r="D1050">
        <v>0</v>
      </c>
      <c r="E1050">
        <v>1</v>
      </c>
      <c r="F1050" s="1">
        <v>45789</v>
      </c>
      <c r="G1050">
        <f>_xlfn.XLOOKUP(F1050,'Wk no''s'!B:B,'Wk no''s'!C:C,0)</f>
        <v>20</v>
      </c>
    </row>
    <row r="1051" spans="1:7" x14ac:dyDescent="0.3">
      <c r="A1051" t="s">
        <v>3696</v>
      </c>
      <c r="B1051" t="s">
        <v>3697</v>
      </c>
      <c r="C1051" t="s">
        <v>3698</v>
      </c>
      <c r="D1051">
        <v>0</v>
      </c>
      <c r="E1051">
        <v>1</v>
      </c>
      <c r="F1051" s="1">
        <v>45789</v>
      </c>
      <c r="G1051">
        <f>_xlfn.XLOOKUP(F1051,'Wk no''s'!B:B,'Wk no''s'!C:C,0)</f>
        <v>20</v>
      </c>
    </row>
    <row r="1052" spans="1:7" x14ac:dyDescent="0.3">
      <c r="A1052" t="s">
        <v>3699</v>
      </c>
      <c r="B1052" t="s">
        <v>3700</v>
      </c>
      <c r="C1052" t="s">
        <v>1527</v>
      </c>
      <c r="D1052">
        <v>0</v>
      </c>
      <c r="E1052">
        <v>1</v>
      </c>
      <c r="F1052" s="1">
        <v>45790</v>
      </c>
      <c r="G1052">
        <f>_xlfn.XLOOKUP(F1052,'Wk no''s'!B:B,'Wk no''s'!C:C,0)</f>
        <v>20</v>
      </c>
    </row>
    <row r="1053" spans="1:7" x14ac:dyDescent="0.3">
      <c r="A1053" t="s">
        <v>3701</v>
      </c>
      <c r="B1053" t="s">
        <v>3702</v>
      </c>
      <c r="C1053" t="s">
        <v>3703</v>
      </c>
      <c r="D1053">
        <v>0</v>
      </c>
      <c r="E1053">
        <v>1</v>
      </c>
      <c r="F1053" s="1">
        <v>45790</v>
      </c>
      <c r="G1053">
        <f>_xlfn.XLOOKUP(F1053,'Wk no''s'!B:B,'Wk no''s'!C:C,0)</f>
        <v>20</v>
      </c>
    </row>
    <row r="1054" spans="1:7" x14ac:dyDescent="0.3">
      <c r="A1054" t="s">
        <v>3704</v>
      </c>
      <c r="B1054" t="s">
        <v>3705</v>
      </c>
      <c r="C1054" t="s">
        <v>1138</v>
      </c>
      <c r="D1054">
        <v>0</v>
      </c>
      <c r="E1054">
        <v>1</v>
      </c>
      <c r="F1054" s="1">
        <v>45790</v>
      </c>
      <c r="G1054">
        <f>_xlfn.XLOOKUP(F1054,'Wk no''s'!B:B,'Wk no''s'!C:C,0)</f>
        <v>20</v>
      </c>
    </row>
    <row r="1055" spans="1:7" x14ac:dyDescent="0.3">
      <c r="A1055" t="s">
        <v>3706</v>
      </c>
      <c r="B1055" t="s">
        <v>3707</v>
      </c>
      <c r="C1055" t="s">
        <v>3708</v>
      </c>
      <c r="D1055">
        <v>0</v>
      </c>
      <c r="E1055">
        <v>1</v>
      </c>
      <c r="F1055" s="1">
        <v>45790</v>
      </c>
      <c r="G1055">
        <f>_xlfn.XLOOKUP(F1055,'Wk no''s'!B:B,'Wk no''s'!C:C,0)</f>
        <v>20</v>
      </c>
    </row>
    <row r="1056" spans="1:7" x14ac:dyDescent="0.3">
      <c r="A1056" t="s">
        <v>3709</v>
      </c>
      <c r="B1056" t="s">
        <v>3710</v>
      </c>
      <c r="C1056" t="s">
        <v>3711</v>
      </c>
      <c r="D1056">
        <v>0</v>
      </c>
      <c r="E1056">
        <v>1</v>
      </c>
      <c r="F1056" s="1">
        <v>45790</v>
      </c>
      <c r="G1056">
        <f>_xlfn.XLOOKUP(F1056,'Wk no''s'!B:B,'Wk no''s'!C:C,0)</f>
        <v>20</v>
      </c>
    </row>
    <row r="1057" spans="1:7" x14ac:dyDescent="0.3">
      <c r="A1057" t="s">
        <v>3712</v>
      </c>
      <c r="B1057" t="s">
        <v>3713</v>
      </c>
      <c r="C1057" t="s">
        <v>1544</v>
      </c>
      <c r="D1057">
        <v>0</v>
      </c>
      <c r="E1057">
        <v>1</v>
      </c>
      <c r="F1057" s="1">
        <v>45790</v>
      </c>
      <c r="G1057">
        <f>_xlfn.XLOOKUP(F1057,'Wk no''s'!B:B,'Wk no''s'!C:C,0)</f>
        <v>20</v>
      </c>
    </row>
    <row r="1058" spans="1:7" x14ac:dyDescent="0.3">
      <c r="A1058" t="s">
        <v>3714</v>
      </c>
      <c r="B1058" t="s">
        <v>3715</v>
      </c>
      <c r="C1058" t="s">
        <v>3716</v>
      </c>
      <c r="D1058">
        <v>0</v>
      </c>
      <c r="E1058">
        <v>1</v>
      </c>
      <c r="F1058" s="1">
        <v>45790</v>
      </c>
      <c r="G1058">
        <f>_xlfn.XLOOKUP(F1058,'Wk no''s'!B:B,'Wk no''s'!C:C,0)</f>
        <v>20</v>
      </c>
    </row>
    <row r="1059" spans="1:7" x14ac:dyDescent="0.3">
      <c r="A1059" t="s">
        <v>3717</v>
      </c>
      <c r="B1059" t="s">
        <v>3718</v>
      </c>
      <c r="C1059" t="s">
        <v>1194</v>
      </c>
      <c r="D1059">
        <v>0</v>
      </c>
      <c r="E1059">
        <v>1</v>
      </c>
      <c r="F1059" s="1">
        <v>45790</v>
      </c>
      <c r="G1059">
        <f>_xlfn.XLOOKUP(F1059,'Wk no''s'!B:B,'Wk no''s'!C:C,0)</f>
        <v>20</v>
      </c>
    </row>
    <row r="1060" spans="1:7" x14ac:dyDescent="0.3">
      <c r="A1060" t="s">
        <v>3719</v>
      </c>
      <c r="B1060" t="s">
        <v>3720</v>
      </c>
      <c r="C1060" t="s">
        <v>809</v>
      </c>
      <c r="D1060">
        <v>0</v>
      </c>
      <c r="E1060">
        <v>1</v>
      </c>
      <c r="F1060" s="1">
        <v>45790</v>
      </c>
      <c r="G1060">
        <f>_xlfn.XLOOKUP(F1060,'Wk no''s'!B:B,'Wk no''s'!C:C,0)</f>
        <v>20</v>
      </c>
    </row>
    <row r="1061" spans="1:7" x14ac:dyDescent="0.3">
      <c r="A1061" t="s">
        <v>3721</v>
      </c>
      <c r="B1061" t="s">
        <v>3722</v>
      </c>
      <c r="C1061" t="s">
        <v>3212</v>
      </c>
      <c r="D1061">
        <v>0</v>
      </c>
      <c r="E1061">
        <v>1</v>
      </c>
      <c r="F1061" s="1">
        <v>45790</v>
      </c>
      <c r="G1061">
        <f>_xlfn.XLOOKUP(F1061,'Wk no''s'!B:B,'Wk no''s'!C:C,0)</f>
        <v>20</v>
      </c>
    </row>
    <row r="1062" spans="1:7" x14ac:dyDescent="0.3">
      <c r="A1062" t="s">
        <v>3723</v>
      </c>
      <c r="B1062" t="s">
        <v>3724</v>
      </c>
      <c r="C1062" t="s">
        <v>3725</v>
      </c>
      <c r="D1062">
        <v>0</v>
      </c>
      <c r="E1062">
        <v>1</v>
      </c>
      <c r="F1062" s="1">
        <v>45790</v>
      </c>
      <c r="G1062">
        <f>_xlfn.XLOOKUP(F1062,'Wk no''s'!B:B,'Wk no''s'!C:C,0)</f>
        <v>20</v>
      </c>
    </row>
    <row r="1063" spans="1:7" x14ac:dyDescent="0.3">
      <c r="A1063" t="s">
        <v>3726</v>
      </c>
      <c r="B1063" t="s">
        <v>3727</v>
      </c>
      <c r="C1063" t="s">
        <v>3728</v>
      </c>
      <c r="D1063">
        <v>0</v>
      </c>
      <c r="E1063">
        <v>1</v>
      </c>
      <c r="F1063" s="1">
        <v>45790</v>
      </c>
      <c r="G1063">
        <f>_xlfn.XLOOKUP(F1063,'Wk no''s'!B:B,'Wk no''s'!C:C,0)</f>
        <v>20</v>
      </c>
    </row>
    <row r="1064" spans="1:7" x14ac:dyDescent="0.3">
      <c r="A1064" t="s">
        <v>3729</v>
      </c>
      <c r="B1064" t="s">
        <v>3730</v>
      </c>
      <c r="C1064" t="s">
        <v>2665</v>
      </c>
      <c r="D1064">
        <v>0</v>
      </c>
      <c r="E1064">
        <v>1</v>
      </c>
      <c r="F1064" s="1">
        <v>45791</v>
      </c>
      <c r="G1064">
        <f>_xlfn.XLOOKUP(F1064,'Wk no''s'!B:B,'Wk no''s'!C:C,0)</f>
        <v>20</v>
      </c>
    </row>
    <row r="1065" spans="1:7" x14ac:dyDescent="0.3">
      <c r="A1065" t="s">
        <v>3731</v>
      </c>
      <c r="B1065" t="s">
        <v>3732</v>
      </c>
      <c r="C1065" t="s">
        <v>3733</v>
      </c>
      <c r="D1065">
        <v>0</v>
      </c>
      <c r="E1065">
        <v>1</v>
      </c>
      <c r="F1065" s="1">
        <v>45791</v>
      </c>
      <c r="G1065">
        <f>_xlfn.XLOOKUP(F1065,'Wk no''s'!B:B,'Wk no''s'!C:C,0)</f>
        <v>20</v>
      </c>
    </row>
    <row r="1066" spans="1:7" x14ac:dyDescent="0.3">
      <c r="A1066" t="s">
        <v>3734</v>
      </c>
      <c r="B1066" t="s">
        <v>3735</v>
      </c>
      <c r="C1066" t="s">
        <v>1889</v>
      </c>
      <c r="D1066">
        <v>0</v>
      </c>
      <c r="E1066">
        <v>1</v>
      </c>
      <c r="F1066" s="1">
        <v>45791</v>
      </c>
      <c r="G1066">
        <f>_xlfn.XLOOKUP(F1066,'Wk no''s'!B:B,'Wk no''s'!C:C,0)</f>
        <v>20</v>
      </c>
    </row>
    <row r="1067" spans="1:7" x14ac:dyDescent="0.3">
      <c r="A1067" t="s">
        <v>3736</v>
      </c>
      <c r="B1067" t="s">
        <v>3737</v>
      </c>
      <c r="C1067" t="s">
        <v>3738</v>
      </c>
      <c r="D1067">
        <v>0</v>
      </c>
      <c r="E1067">
        <v>1</v>
      </c>
      <c r="F1067" s="1">
        <v>45791</v>
      </c>
      <c r="G1067">
        <f>_xlfn.XLOOKUP(F1067,'Wk no''s'!B:B,'Wk no''s'!C:C,0)</f>
        <v>20</v>
      </c>
    </row>
    <row r="1068" spans="1:7" x14ac:dyDescent="0.3">
      <c r="A1068" t="s">
        <v>3739</v>
      </c>
      <c r="B1068" t="s">
        <v>3740</v>
      </c>
      <c r="C1068" t="s">
        <v>2451</v>
      </c>
      <c r="D1068">
        <v>0</v>
      </c>
      <c r="E1068">
        <v>1</v>
      </c>
      <c r="F1068" s="1">
        <v>45791</v>
      </c>
      <c r="G1068">
        <f>_xlfn.XLOOKUP(F1068,'Wk no''s'!B:B,'Wk no''s'!C:C,0)</f>
        <v>20</v>
      </c>
    </row>
    <row r="1069" spans="1:7" x14ac:dyDescent="0.3">
      <c r="A1069" t="s">
        <v>3741</v>
      </c>
      <c r="B1069" t="s">
        <v>3742</v>
      </c>
      <c r="C1069" t="s">
        <v>3743</v>
      </c>
      <c r="D1069">
        <v>0</v>
      </c>
      <c r="E1069">
        <v>1</v>
      </c>
      <c r="F1069" s="1">
        <v>45791</v>
      </c>
      <c r="G1069">
        <f>_xlfn.XLOOKUP(F1069,'Wk no''s'!B:B,'Wk no''s'!C:C,0)</f>
        <v>20</v>
      </c>
    </row>
    <row r="1070" spans="1:7" x14ac:dyDescent="0.3">
      <c r="A1070" t="s">
        <v>3744</v>
      </c>
      <c r="B1070" t="s">
        <v>3745</v>
      </c>
      <c r="C1070" t="s">
        <v>2279</v>
      </c>
      <c r="D1070">
        <v>0</v>
      </c>
      <c r="E1070">
        <v>1</v>
      </c>
      <c r="F1070" s="1">
        <v>45791</v>
      </c>
      <c r="G1070">
        <f>_xlfn.XLOOKUP(F1070,'Wk no''s'!B:B,'Wk no''s'!C:C,0)</f>
        <v>20</v>
      </c>
    </row>
    <row r="1071" spans="1:7" x14ac:dyDescent="0.3">
      <c r="A1071" t="s">
        <v>3746</v>
      </c>
      <c r="B1071" t="s">
        <v>3747</v>
      </c>
      <c r="C1071" t="s">
        <v>3748</v>
      </c>
      <c r="D1071">
        <v>0</v>
      </c>
      <c r="E1071">
        <v>1</v>
      </c>
      <c r="F1071" s="1">
        <v>45792</v>
      </c>
      <c r="G1071">
        <f>_xlfn.XLOOKUP(F1071,'Wk no''s'!B:B,'Wk no''s'!C:C,0)</f>
        <v>20</v>
      </c>
    </row>
    <row r="1072" spans="1:7" x14ac:dyDescent="0.3">
      <c r="A1072" t="s">
        <v>3749</v>
      </c>
      <c r="B1072" t="s">
        <v>3750</v>
      </c>
      <c r="C1072" t="s">
        <v>3751</v>
      </c>
      <c r="D1072">
        <v>0</v>
      </c>
      <c r="E1072">
        <v>1</v>
      </c>
      <c r="F1072" s="1">
        <v>45792</v>
      </c>
      <c r="G1072">
        <f>_xlfn.XLOOKUP(F1072,'Wk no''s'!B:B,'Wk no''s'!C:C,0)</f>
        <v>20</v>
      </c>
    </row>
    <row r="1073" spans="1:7" x14ac:dyDescent="0.3">
      <c r="A1073" t="s">
        <v>3752</v>
      </c>
      <c r="B1073" t="s">
        <v>3753</v>
      </c>
      <c r="C1073" t="s">
        <v>3754</v>
      </c>
      <c r="D1073">
        <v>0</v>
      </c>
      <c r="E1073">
        <v>1</v>
      </c>
      <c r="F1073" s="1">
        <v>45792</v>
      </c>
      <c r="G1073">
        <f>_xlfn.XLOOKUP(F1073,'Wk no''s'!B:B,'Wk no''s'!C:C,0)</f>
        <v>20</v>
      </c>
    </row>
    <row r="1074" spans="1:7" x14ac:dyDescent="0.3">
      <c r="A1074" t="s">
        <v>3755</v>
      </c>
      <c r="B1074" t="s">
        <v>3756</v>
      </c>
      <c r="C1074" t="s">
        <v>10</v>
      </c>
      <c r="D1074">
        <v>0</v>
      </c>
      <c r="E1074">
        <v>1</v>
      </c>
      <c r="F1074" s="1">
        <v>45792</v>
      </c>
      <c r="G1074">
        <f>_xlfn.XLOOKUP(F1074,'Wk no''s'!B:B,'Wk no''s'!C:C,0)</f>
        <v>20</v>
      </c>
    </row>
    <row r="1075" spans="1:7" x14ac:dyDescent="0.3">
      <c r="A1075" t="s">
        <v>3757</v>
      </c>
      <c r="B1075" t="s">
        <v>3758</v>
      </c>
      <c r="C1075" t="s">
        <v>3759</v>
      </c>
      <c r="D1075">
        <v>0</v>
      </c>
      <c r="E1075">
        <v>1</v>
      </c>
      <c r="F1075" s="1">
        <v>45792</v>
      </c>
      <c r="G1075">
        <f>_xlfn.XLOOKUP(F1075,'Wk no''s'!B:B,'Wk no''s'!C:C,0)</f>
        <v>20</v>
      </c>
    </row>
    <row r="1076" spans="1:7" x14ac:dyDescent="0.3">
      <c r="A1076" t="s">
        <v>3760</v>
      </c>
      <c r="B1076" t="s">
        <v>3761</v>
      </c>
      <c r="C1076" t="s">
        <v>210</v>
      </c>
      <c r="D1076">
        <v>15</v>
      </c>
      <c r="E1076">
        <v>0</v>
      </c>
      <c r="F1076" s="1">
        <v>45792</v>
      </c>
      <c r="G1076">
        <f>_xlfn.XLOOKUP(F1076,'Wk no''s'!B:B,'Wk no''s'!C:C,0)</f>
        <v>20</v>
      </c>
    </row>
    <row r="1077" spans="1:7" x14ac:dyDescent="0.3">
      <c r="A1077" t="s">
        <v>3762</v>
      </c>
      <c r="B1077" t="s">
        <v>3763</v>
      </c>
      <c r="C1077" t="s">
        <v>1194</v>
      </c>
      <c r="D1077">
        <v>15</v>
      </c>
      <c r="E1077">
        <v>0</v>
      </c>
      <c r="F1077" s="1">
        <v>45792</v>
      </c>
      <c r="G1077">
        <f>_xlfn.XLOOKUP(F1077,'Wk no''s'!B:B,'Wk no''s'!C:C,0)</f>
        <v>20</v>
      </c>
    </row>
    <row r="1078" spans="1:7" x14ac:dyDescent="0.3">
      <c r="A1078" t="s">
        <v>3764</v>
      </c>
      <c r="B1078" t="s">
        <v>3765</v>
      </c>
      <c r="C1078" t="s">
        <v>3766</v>
      </c>
      <c r="D1078">
        <v>0</v>
      </c>
      <c r="E1078">
        <v>1</v>
      </c>
      <c r="F1078" s="1">
        <v>45792</v>
      </c>
      <c r="G1078">
        <f>_xlfn.XLOOKUP(F1078,'Wk no''s'!B:B,'Wk no''s'!C:C,0)</f>
        <v>20</v>
      </c>
    </row>
    <row r="1079" spans="1:7" x14ac:dyDescent="0.3">
      <c r="A1079" t="s">
        <v>3767</v>
      </c>
      <c r="B1079" t="s">
        <v>3768</v>
      </c>
      <c r="C1079" t="s">
        <v>3769</v>
      </c>
      <c r="D1079">
        <v>0</v>
      </c>
      <c r="E1079">
        <v>1</v>
      </c>
      <c r="F1079" s="1">
        <v>45792</v>
      </c>
      <c r="G1079">
        <f>_xlfn.XLOOKUP(F1079,'Wk no''s'!B:B,'Wk no''s'!C:C,0)</f>
        <v>20</v>
      </c>
    </row>
    <row r="1080" spans="1:7" x14ac:dyDescent="0.3">
      <c r="A1080" t="s">
        <v>3770</v>
      </c>
      <c r="B1080" t="s">
        <v>3771</v>
      </c>
      <c r="C1080" t="s">
        <v>3305</v>
      </c>
      <c r="D1080">
        <v>0</v>
      </c>
      <c r="E1080">
        <v>1</v>
      </c>
      <c r="F1080" s="1">
        <v>45792</v>
      </c>
      <c r="G1080">
        <f>_xlfn.XLOOKUP(F1080,'Wk no''s'!B:B,'Wk no''s'!C:C,0)</f>
        <v>20</v>
      </c>
    </row>
    <row r="1081" spans="1:7" x14ac:dyDescent="0.3">
      <c r="A1081" t="s">
        <v>3772</v>
      </c>
      <c r="B1081" t="s">
        <v>3773</v>
      </c>
      <c r="C1081" t="s">
        <v>407</v>
      </c>
      <c r="D1081">
        <v>0</v>
      </c>
      <c r="E1081">
        <v>1</v>
      </c>
      <c r="F1081" s="1">
        <v>45792</v>
      </c>
      <c r="G1081">
        <f>_xlfn.XLOOKUP(F1081,'Wk no''s'!B:B,'Wk no''s'!C:C,0)</f>
        <v>20</v>
      </c>
    </row>
    <row r="1082" spans="1:7" x14ac:dyDescent="0.3">
      <c r="A1082" t="s">
        <v>3774</v>
      </c>
      <c r="B1082" t="s">
        <v>3775</v>
      </c>
      <c r="C1082" t="s">
        <v>6908</v>
      </c>
      <c r="D1082">
        <v>15</v>
      </c>
      <c r="E1082">
        <v>0</v>
      </c>
      <c r="F1082" s="1">
        <v>45793</v>
      </c>
      <c r="G1082">
        <f>_xlfn.XLOOKUP(F1082,'Wk no''s'!B:B,'Wk no''s'!C:C,0)</f>
        <v>20</v>
      </c>
    </row>
    <row r="1083" spans="1:7" x14ac:dyDescent="0.3">
      <c r="A1083" t="s">
        <v>3776</v>
      </c>
      <c r="B1083" t="s">
        <v>3777</v>
      </c>
      <c r="C1083" t="s">
        <v>1224</v>
      </c>
      <c r="D1083">
        <v>0</v>
      </c>
      <c r="E1083">
        <v>1</v>
      </c>
      <c r="F1083" s="1">
        <v>45793</v>
      </c>
      <c r="G1083">
        <f>_xlfn.XLOOKUP(F1083,'Wk no''s'!B:B,'Wk no''s'!C:C,0)</f>
        <v>20</v>
      </c>
    </row>
    <row r="1084" spans="1:7" x14ac:dyDescent="0.3">
      <c r="A1084" t="s">
        <v>3778</v>
      </c>
      <c r="B1084" t="s">
        <v>3779</v>
      </c>
      <c r="C1084" t="s">
        <v>3212</v>
      </c>
      <c r="D1084">
        <v>0</v>
      </c>
      <c r="E1084">
        <v>1</v>
      </c>
      <c r="F1084" s="1">
        <v>45793</v>
      </c>
      <c r="G1084">
        <f>_xlfn.XLOOKUP(F1084,'Wk no''s'!B:B,'Wk no''s'!C:C,0)</f>
        <v>20</v>
      </c>
    </row>
    <row r="1085" spans="1:7" x14ac:dyDescent="0.3">
      <c r="A1085" t="s">
        <v>3780</v>
      </c>
      <c r="B1085" t="s">
        <v>3781</v>
      </c>
      <c r="C1085" t="s">
        <v>1995</v>
      </c>
      <c r="D1085">
        <v>0</v>
      </c>
      <c r="E1085">
        <v>1</v>
      </c>
      <c r="F1085" s="1">
        <v>45793</v>
      </c>
      <c r="G1085">
        <f>_xlfn.XLOOKUP(F1085,'Wk no''s'!B:B,'Wk no''s'!C:C,0)</f>
        <v>20</v>
      </c>
    </row>
    <row r="1086" spans="1:7" x14ac:dyDescent="0.3">
      <c r="A1086" t="s">
        <v>3782</v>
      </c>
      <c r="B1086" t="s">
        <v>3783</v>
      </c>
      <c r="C1086" t="s">
        <v>2789</v>
      </c>
      <c r="D1086">
        <v>0</v>
      </c>
      <c r="E1086">
        <v>1</v>
      </c>
      <c r="F1086" s="1">
        <v>45793</v>
      </c>
      <c r="G1086">
        <f>_xlfn.XLOOKUP(F1086,'Wk no''s'!B:B,'Wk no''s'!C:C,0)</f>
        <v>20</v>
      </c>
    </row>
    <row r="1087" spans="1:7" x14ac:dyDescent="0.3">
      <c r="A1087" t="s">
        <v>3784</v>
      </c>
      <c r="B1087" t="s">
        <v>3785</v>
      </c>
      <c r="C1087" t="s">
        <v>644</v>
      </c>
      <c r="D1087">
        <v>0</v>
      </c>
      <c r="E1087">
        <v>1</v>
      </c>
      <c r="F1087" s="1">
        <v>45796</v>
      </c>
      <c r="G1087">
        <f>_xlfn.XLOOKUP(F1087,'Wk no''s'!B:B,'Wk no''s'!C:C,0)</f>
        <v>21</v>
      </c>
    </row>
    <row r="1088" spans="1:7" x14ac:dyDescent="0.3">
      <c r="A1088" t="s">
        <v>3786</v>
      </c>
      <c r="B1088" t="s">
        <v>3787</v>
      </c>
      <c r="C1088" t="s">
        <v>3788</v>
      </c>
      <c r="D1088">
        <v>0</v>
      </c>
      <c r="E1088">
        <v>1</v>
      </c>
      <c r="F1088" s="1">
        <v>45796</v>
      </c>
      <c r="G1088">
        <f>_xlfn.XLOOKUP(F1088,'Wk no''s'!B:B,'Wk no''s'!C:C,0)</f>
        <v>21</v>
      </c>
    </row>
    <row r="1089" spans="1:7" x14ac:dyDescent="0.3">
      <c r="A1089" t="s">
        <v>3789</v>
      </c>
      <c r="B1089" t="s">
        <v>3790</v>
      </c>
      <c r="C1089" t="s">
        <v>3791</v>
      </c>
      <c r="D1089">
        <v>0</v>
      </c>
      <c r="E1089">
        <v>1</v>
      </c>
      <c r="F1089" s="1">
        <v>45796</v>
      </c>
      <c r="G1089">
        <f>_xlfn.XLOOKUP(F1089,'Wk no''s'!B:B,'Wk no''s'!C:C,0)</f>
        <v>21</v>
      </c>
    </row>
    <row r="1090" spans="1:7" x14ac:dyDescent="0.3">
      <c r="A1090" t="s">
        <v>3792</v>
      </c>
      <c r="B1090" t="s">
        <v>3793</v>
      </c>
      <c r="C1090" t="s">
        <v>3794</v>
      </c>
      <c r="D1090">
        <v>0</v>
      </c>
      <c r="E1090">
        <v>1</v>
      </c>
      <c r="F1090" s="1">
        <v>45796</v>
      </c>
      <c r="G1090">
        <f>_xlfn.XLOOKUP(F1090,'Wk no''s'!B:B,'Wk no''s'!C:C,0)</f>
        <v>21</v>
      </c>
    </row>
    <row r="1091" spans="1:7" x14ac:dyDescent="0.3">
      <c r="A1091" t="s">
        <v>3795</v>
      </c>
      <c r="B1091" t="s">
        <v>3796</v>
      </c>
      <c r="C1091" t="s">
        <v>3797</v>
      </c>
      <c r="D1091">
        <v>0</v>
      </c>
      <c r="E1091">
        <v>1</v>
      </c>
      <c r="F1091" s="1">
        <v>45796</v>
      </c>
      <c r="G1091">
        <f>_xlfn.XLOOKUP(F1091,'Wk no''s'!B:B,'Wk no''s'!C:C,0)</f>
        <v>21</v>
      </c>
    </row>
    <row r="1092" spans="1:7" x14ac:dyDescent="0.3">
      <c r="A1092" t="s">
        <v>3798</v>
      </c>
      <c r="B1092" t="s">
        <v>3799</v>
      </c>
      <c r="C1092" t="s">
        <v>3800</v>
      </c>
      <c r="D1092">
        <v>0</v>
      </c>
      <c r="E1092">
        <v>1</v>
      </c>
      <c r="F1092" s="1">
        <v>45796</v>
      </c>
      <c r="G1092">
        <f>_xlfn.XLOOKUP(F1092,'Wk no''s'!B:B,'Wk no''s'!C:C,0)</f>
        <v>21</v>
      </c>
    </row>
    <row r="1093" spans="1:7" x14ac:dyDescent="0.3">
      <c r="A1093" t="s">
        <v>3801</v>
      </c>
      <c r="B1093" t="s">
        <v>3802</v>
      </c>
      <c r="C1093" t="s">
        <v>2543</v>
      </c>
      <c r="D1093">
        <v>0</v>
      </c>
      <c r="E1093">
        <v>1</v>
      </c>
      <c r="F1093" s="1">
        <v>45796</v>
      </c>
      <c r="G1093">
        <f>_xlfn.XLOOKUP(F1093,'Wk no''s'!B:B,'Wk no''s'!C:C,0)</f>
        <v>21</v>
      </c>
    </row>
    <row r="1094" spans="1:7" x14ac:dyDescent="0.3">
      <c r="A1094" t="s">
        <v>3803</v>
      </c>
      <c r="B1094" t="s">
        <v>3804</v>
      </c>
      <c r="C1094" t="s">
        <v>1194</v>
      </c>
      <c r="D1094">
        <v>0</v>
      </c>
      <c r="E1094">
        <v>1</v>
      </c>
      <c r="F1094" s="1">
        <v>45797</v>
      </c>
      <c r="G1094">
        <f>_xlfn.XLOOKUP(F1094,'Wk no''s'!B:B,'Wk no''s'!C:C,0)</f>
        <v>21</v>
      </c>
    </row>
    <row r="1095" spans="1:7" x14ac:dyDescent="0.3">
      <c r="A1095" t="s">
        <v>3805</v>
      </c>
      <c r="B1095" t="s">
        <v>3806</v>
      </c>
      <c r="C1095" t="s">
        <v>3807</v>
      </c>
      <c r="D1095">
        <v>0</v>
      </c>
      <c r="E1095">
        <v>1</v>
      </c>
      <c r="F1095" s="1">
        <v>45797</v>
      </c>
      <c r="G1095">
        <f>_xlfn.XLOOKUP(F1095,'Wk no''s'!B:B,'Wk no''s'!C:C,0)</f>
        <v>21</v>
      </c>
    </row>
    <row r="1096" spans="1:7" x14ac:dyDescent="0.3">
      <c r="A1096" t="s">
        <v>3808</v>
      </c>
      <c r="B1096" t="s">
        <v>3809</v>
      </c>
      <c r="C1096" t="s">
        <v>273</v>
      </c>
      <c r="D1096">
        <v>0</v>
      </c>
      <c r="E1096">
        <v>1</v>
      </c>
      <c r="F1096" s="1">
        <v>45797</v>
      </c>
      <c r="G1096">
        <f>_xlfn.XLOOKUP(F1096,'Wk no''s'!B:B,'Wk no''s'!C:C,0)</f>
        <v>21</v>
      </c>
    </row>
    <row r="1097" spans="1:7" x14ac:dyDescent="0.3">
      <c r="A1097" t="s">
        <v>3810</v>
      </c>
      <c r="B1097" t="s">
        <v>3811</v>
      </c>
      <c r="C1097" t="s">
        <v>39</v>
      </c>
      <c r="D1097">
        <v>0</v>
      </c>
      <c r="E1097">
        <v>1</v>
      </c>
      <c r="F1097" s="1">
        <v>45797</v>
      </c>
      <c r="G1097">
        <f>_xlfn.XLOOKUP(F1097,'Wk no''s'!B:B,'Wk no''s'!C:C,0)</f>
        <v>21</v>
      </c>
    </row>
    <row r="1098" spans="1:7" x14ac:dyDescent="0.3">
      <c r="A1098" t="s">
        <v>3812</v>
      </c>
      <c r="B1098" t="s">
        <v>3813</v>
      </c>
      <c r="C1098" t="s">
        <v>3814</v>
      </c>
      <c r="D1098">
        <v>0</v>
      </c>
      <c r="E1098">
        <v>1</v>
      </c>
      <c r="F1098" s="1">
        <v>45797</v>
      </c>
      <c r="G1098">
        <f>_xlfn.XLOOKUP(F1098,'Wk no''s'!B:B,'Wk no''s'!C:C,0)</f>
        <v>21</v>
      </c>
    </row>
    <row r="1099" spans="1:7" x14ac:dyDescent="0.3">
      <c r="A1099" t="s">
        <v>3815</v>
      </c>
      <c r="B1099" t="s">
        <v>3816</v>
      </c>
      <c r="C1099" t="s">
        <v>38</v>
      </c>
      <c r="D1099">
        <v>0</v>
      </c>
      <c r="E1099">
        <v>1</v>
      </c>
      <c r="F1099" s="1">
        <v>45797</v>
      </c>
      <c r="G1099">
        <f>_xlfn.XLOOKUP(F1099,'Wk no''s'!B:B,'Wk no''s'!C:C,0)</f>
        <v>21</v>
      </c>
    </row>
    <row r="1100" spans="1:7" x14ac:dyDescent="0.3">
      <c r="A1100" t="s">
        <v>3817</v>
      </c>
      <c r="B1100" t="s">
        <v>3818</v>
      </c>
      <c r="C1100" t="s">
        <v>2451</v>
      </c>
      <c r="D1100">
        <v>0</v>
      </c>
      <c r="E1100">
        <v>1</v>
      </c>
      <c r="F1100" s="1">
        <v>45797</v>
      </c>
      <c r="G1100">
        <f>_xlfn.XLOOKUP(F1100,'Wk no''s'!B:B,'Wk no''s'!C:C,0)</f>
        <v>21</v>
      </c>
    </row>
    <row r="1101" spans="1:7" x14ac:dyDescent="0.3">
      <c r="A1101" t="s">
        <v>3819</v>
      </c>
      <c r="B1101" t="s">
        <v>3820</v>
      </c>
      <c r="C1101" t="s">
        <v>38</v>
      </c>
      <c r="D1101">
        <v>0</v>
      </c>
      <c r="E1101">
        <v>1</v>
      </c>
      <c r="F1101" s="1">
        <v>45797</v>
      </c>
      <c r="G1101">
        <f>_xlfn.XLOOKUP(F1101,'Wk no''s'!B:B,'Wk no''s'!C:C,0)</f>
        <v>21</v>
      </c>
    </row>
    <row r="1102" spans="1:7" x14ac:dyDescent="0.3">
      <c r="A1102" t="s">
        <v>3821</v>
      </c>
      <c r="B1102" t="s">
        <v>3822</v>
      </c>
      <c r="C1102" t="s">
        <v>38</v>
      </c>
      <c r="D1102">
        <v>0</v>
      </c>
      <c r="E1102">
        <v>1</v>
      </c>
      <c r="F1102" s="1">
        <v>45797</v>
      </c>
      <c r="G1102">
        <f>_xlfn.XLOOKUP(F1102,'Wk no''s'!B:B,'Wk no''s'!C:C,0)</f>
        <v>21</v>
      </c>
    </row>
    <row r="1103" spans="1:7" x14ac:dyDescent="0.3">
      <c r="A1103" t="s">
        <v>3823</v>
      </c>
      <c r="B1103" t="s">
        <v>3824</v>
      </c>
      <c r="C1103" t="s">
        <v>38</v>
      </c>
      <c r="D1103">
        <v>0</v>
      </c>
      <c r="E1103">
        <v>1</v>
      </c>
      <c r="F1103" s="1">
        <v>45797</v>
      </c>
      <c r="G1103">
        <f>_xlfn.XLOOKUP(F1103,'Wk no''s'!B:B,'Wk no''s'!C:C,0)</f>
        <v>21</v>
      </c>
    </row>
    <row r="1104" spans="1:7" x14ac:dyDescent="0.3">
      <c r="A1104" t="s">
        <v>3825</v>
      </c>
      <c r="B1104" t="s">
        <v>3826</v>
      </c>
      <c r="C1104" t="s">
        <v>69</v>
      </c>
      <c r="D1104">
        <v>15</v>
      </c>
      <c r="E1104">
        <v>0</v>
      </c>
      <c r="F1104" s="1">
        <v>45798</v>
      </c>
      <c r="G1104">
        <f>_xlfn.XLOOKUP(F1104,'Wk no''s'!B:B,'Wk no''s'!C:C,0)</f>
        <v>21</v>
      </c>
    </row>
    <row r="1105" spans="1:7" x14ac:dyDescent="0.3">
      <c r="A1105" t="s">
        <v>3827</v>
      </c>
      <c r="B1105" t="s">
        <v>3828</v>
      </c>
      <c r="C1105" t="s">
        <v>3829</v>
      </c>
      <c r="D1105">
        <v>0</v>
      </c>
      <c r="E1105">
        <v>1</v>
      </c>
      <c r="F1105" s="1">
        <v>45798</v>
      </c>
      <c r="G1105">
        <f>_xlfn.XLOOKUP(F1105,'Wk no''s'!B:B,'Wk no''s'!C:C,0)</f>
        <v>21</v>
      </c>
    </row>
    <row r="1106" spans="1:7" x14ac:dyDescent="0.3">
      <c r="A1106" t="s">
        <v>3830</v>
      </c>
      <c r="B1106" t="s">
        <v>3831</v>
      </c>
      <c r="C1106" t="s">
        <v>3832</v>
      </c>
      <c r="D1106">
        <v>0</v>
      </c>
      <c r="E1106">
        <v>1</v>
      </c>
      <c r="F1106" s="1">
        <v>45798</v>
      </c>
      <c r="G1106">
        <f>_xlfn.XLOOKUP(F1106,'Wk no''s'!B:B,'Wk no''s'!C:C,0)</f>
        <v>21</v>
      </c>
    </row>
    <row r="1107" spans="1:7" x14ac:dyDescent="0.3">
      <c r="A1107" t="s">
        <v>3833</v>
      </c>
      <c r="B1107" t="s">
        <v>3834</v>
      </c>
      <c r="C1107" t="s">
        <v>3835</v>
      </c>
      <c r="D1107">
        <v>0</v>
      </c>
      <c r="E1107">
        <v>1</v>
      </c>
      <c r="F1107" s="1">
        <v>45798</v>
      </c>
      <c r="G1107">
        <f>_xlfn.XLOOKUP(F1107,'Wk no''s'!B:B,'Wk no''s'!C:C,0)</f>
        <v>21</v>
      </c>
    </row>
    <row r="1108" spans="1:7" x14ac:dyDescent="0.3">
      <c r="A1108" t="s">
        <v>3836</v>
      </c>
      <c r="B1108" t="s">
        <v>3837</v>
      </c>
      <c r="C1108" t="s">
        <v>1343</v>
      </c>
      <c r="D1108">
        <v>12</v>
      </c>
      <c r="E1108">
        <v>0</v>
      </c>
      <c r="F1108" s="1">
        <v>45798</v>
      </c>
      <c r="G1108">
        <f>_xlfn.XLOOKUP(F1108,'Wk no''s'!B:B,'Wk no''s'!C:C,0)</f>
        <v>21</v>
      </c>
    </row>
    <row r="1109" spans="1:7" x14ac:dyDescent="0.3">
      <c r="A1109" t="s">
        <v>3838</v>
      </c>
      <c r="B1109" t="s">
        <v>3839</v>
      </c>
      <c r="C1109" t="s">
        <v>3840</v>
      </c>
      <c r="D1109">
        <v>0</v>
      </c>
      <c r="E1109">
        <v>1</v>
      </c>
      <c r="F1109" s="1">
        <v>45798</v>
      </c>
      <c r="G1109">
        <f>_xlfn.XLOOKUP(F1109,'Wk no''s'!B:B,'Wk no''s'!C:C,0)</f>
        <v>21</v>
      </c>
    </row>
    <row r="1110" spans="1:7" x14ac:dyDescent="0.3">
      <c r="A1110" t="s">
        <v>3841</v>
      </c>
      <c r="B1110" t="s">
        <v>3842</v>
      </c>
      <c r="C1110" t="s">
        <v>1534</v>
      </c>
      <c r="D1110">
        <v>0</v>
      </c>
      <c r="E1110">
        <v>1</v>
      </c>
      <c r="F1110" s="1">
        <v>45798</v>
      </c>
      <c r="G1110">
        <f>_xlfn.XLOOKUP(F1110,'Wk no''s'!B:B,'Wk no''s'!C:C,0)</f>
        <v>21</v>
      </c>
    </row>
    <row r="1111" spans="1:7" x14ac:dyDescent="0.3">
      <c r="A1111" t="s">
        <v>3843</v>
      </c>
      <c r="B1111" t="s">
        <v>3844</v>
      </c>
      <c r="C1111" t="s">
        <v>1194</v>
      </c>
      <c r="D1111">
        <v>0</v>
      </c>
      <c r="E1111">
        <v>1</v>
      </c>
      <c r="F1111" s="1">
        <v>45798</v>
      </c>
      <c r="G1111">
        <f>_xlfn.XLOOKUP(F1111,'Wk no''s'!B:B,'Wk no''s'!C:C,0)</f>
        <v>21</v>
      </c>
    </row>
    <row r="1112" spans="1:7" x14ac:dyDescent="0.3">
      <c r="A1112" t="s">
        <v>3845</v>
      </c>
      <c r="B1112" t="s">
        <v>3846</v>
      </c>
      <c r="C1112" t="s">
        <v>432</v>
      </c>
      <c r="D1112">
        <v>0</v>
      </c>
      <c r="E1112">
        <v>1</v>
      </c>
      <c r="F1112" s="1">
        <v>45799</v>
      </c>
      <c r="G1112">
        <f>_xlfn.XLOOKUP(F1112,'Wk no''s'!B:B,'Wk no''s'!C:C,0)</f>
        <v>21</v>
      </c>
    </row>
    <row r="1113" spans="1:7" x14ac:dyDescent="0.3">
      <c r="A1113" t="s">
        <v>3847</v>
      </c>
      <c r="B1113" t="s">
        <v>3848</v>
      </c>
      <c r="C1113" t="s">
        <v>3849</v>
      </c>
      <c r="D1113">
        <v>0</v>
      </c>
      <c r="E1113">
        <v>1</v>
      </c>
      <c r="F1113" s="1">
        <v>45799</v>
      </c>
      <c r="G1113">
        <f>_xlfn.XLOOKUP(F1113,'Wk no''s'!B:B,'Wk no''s'!C:C,0)</f>
        <v>21</v>
      </c>
    </row>
    <row r="1114" spans="1:7" x14ac:dyDescent="0.3">
      <c r="A1114" t="s">
        <v>3850</v>
      </c>
      <c r="B1114" t="s">
        <v>3851</v>
      </c>
      <c r="C1114" t="s">
        <v>3852</v>
      </c>
      <c r="D1114">
        <v>5</v>
      </c>
      <c r="E1114">
        <v>0</v>
      </c>
      <c r="F1114" s="1">
        <v>45799</v>
      </c>
      <c r="G1114">
        <f>_xlfn.XLOOKUP(F1114,'Wk no''s'!B:B,'Wk no''s'!C:C,0)</f>
        <v>21</v>
      </c>
    </row>
    <row r="1115" spans="1:7" x14ac:dyDescent="0.3">
      <c r="A1115" t="s">
        <v>3853</v>
      </c>
      <c r="B1115" t="s">
        <v>3854</v>
      </c>
      <c r="C1115" t="s">
        <v>3855</v>
      </c>
      <c r="D1115">
        <v>10</v>
      </c>
      <c r="E1115">
        <v>0</v>
      </c>
      <c r="F1115" s="1">
        <v>45799</v>
      </c>
      <c r="G1115">
        <f>_xlfn.XLOOKUP(F1115,'Wk no''s'!B:B,'Wk no''s'!C:C,0)</f>
        <v>21</v>
      </c>
    </row>
    <row r="1116" spans="1:7" x14ac:dyDescent="0.3">
      <c r="A1116" t="s">
        <v>3856</v>
      </c>
      <c r="B1116" t="s">
        <v>3857</v>
      </c>
      <c r="C1116" t="s">
        <v>273</v>
      </c>
      <c r="D1116">
        <v>0</v>
      </c>
      <c r="E1116">
        <v>1</v>
      </c>
      <c r="F1116" s="1">
        <v>45799</v>
      </c>
      <c r="G1116">
        <f>_xlfn.XLOOKUP(F1116,'Wk no''s'!B:B,'Wk no''s'!C:C,0)</f>
        <v>21</v>
      </c>
    </row>
    <row r="1117" spans="1:7" x14ac:dyDescent="0.3">
      <c r="A1117" t="s">
        <v>3858</v>
      </c>
      <c r="B1117" t="s">
        <v>3859</v>
      </c>
      <c r="C1117" t="s">
        <v>39</v>
      </c>
      <c r="D1117">
        <v>0</v>
      </c>
      <c r="E1117">
        <v>1</v>
      </c>
      <c r="F1117" s="1">
        <v>45799</v>
      </c>
      <c r="G1117">
        <f>_xlfn.XLOOKUP(F1117,'Wk no''s'!B:B,'Wk no''s'!C:C,0)</f>
        <v>21</v>
      </c>
    </row>
    <row r="1118" spans="1:7" x14ac:dyDescent="0.3">
      <c r="A1118" t="s">
        <v>3860</v>
      </c>
      <c r="B1118" t="s">
        <v>3861</v>
      </c>
      <c r="C1118" t="s">
        <v>3058</v>
      </c>
      <c r="D1118">
        <v>15</v>
      </c>
      <c r="E1118">
        <v>0</v>
      </c>
      <c r="F1118" s="1">
        <v>45799</v>
      </c>
      <c r="G1118">
        <f>_xlfn.XLOOKUP(F1118,'Wk no''s'!B:B,'Wk no''s'!C:C,0)</f>
        <v>21</v>
      </c>
    </row>
    <row r="1119" spans="1:7" x14ac:dyDescent="0.3">
      <c r="A1119" t="s">
        <v>3862</v>
      </c>
      <c r="B1119" t="s">
        <v>3863</v>
      </c>
      <c r="C1119" t="s">
        <v>1544</v>
      </c>
      <c r="D1119">
        <v>0</v>
      </c>
      <c r="E1119">
        <v>1</v>
      </c>
      <c r="F1119" s="1">
        <v>45799</v>
      </c>
      <c r="G1119">
        <f>_xlfn.XLOOKUP(F1119,'Wk no''s'!B:B,'Wk no''s'!C:C,0)</f>
        <v>21</v>
      </c>
    </row>
    <row r="1120" spans="1:7" x14ac:dyDescent="0.3">
      <c r="A1120" t="s">
        <v>3864</v>
      </c>
      <c r="B1120" t="s">
        <v>3865</v>
      </c>
      <c r="C1120" t="s">
        <v>3866</v>
      </c>
      <c r="D1120">
        <v>1</v>
      </c>
      <c r="E1120">
        <v>1</v>
      </c>
      <c r="F1120" s="1">
        <v>45799</v>
      </c>
      <c r="G1120">
        <f>_xlfn.XLOOKUP(F1120,'Wk no''s'!B:B,'Wk no''s'!C:C,0)</f>
        <v>21</v>
      </c>
    </row>
    <row r="1121" spans="1:7" x14ac:dyDescent="0.3">
      <c r="A1121" t="s">
        <v>3867</v>
      </c>
      <c r="B1121" t="s">
        <v>3868</v>
      </c>
      <c r="C1121" t="s">
        <v>3869</v>
      </c>
      <c r="D1121">
        <v>0</v>
      </c>
      <c r="E1121">
        <v>1</v>
      </c>
      <c r="F1121" s="1">
        <v>45799</v>
      </c>
      <c r="G1121">
        <f>_xlfn.XLOOKUP(F1121,'Wk no''s'!B:B,'Wk no''s'!C:C,0)</f>
        <v>21</v>
      </c>
    </row>
    <row r="1122" spans="1:7" x14ac:dyDescent="0.3">
      <c r="A1122" t="s">
        <v>3870</v>
      </c>
      <c r="B1122" t="s">
        <v>3871</v>
      </c>
      <c r="C1122" t="s">
        <v>3872</v>
      </c>
      <c r="D1122">
        <v>0</v>
      </c>
      <c r="E1122">
        <v>1</v>
      </c>
      <c r="F1122" s="1">
        <v>45799</v>
      </c>
      <c r="G1122">
        <f>_xlfn.XLOOKUP(F1122,'Wk no''s'!B:B,'Wk no''s'!C:C,0)</f>
        <v>21</v>
      </c>
    </row>
    <row r="1123" spans="1:7" x14ac:dyDescent="0.3">
      <c r="A1123" t="s">
        <v>3873</v>
      </c>
      <c r="B1123" t="s">
        <v>3874</v>
      </c>
      <c r="C1123" t="s">
        <v>3875</v>
      </c>
      <c r="D1123">
        <v>3</v>
      </c>
      <c r="E1123">
        <v>0</v>
      </c>
      <c r="F1123" s="1">
        <v>45800</v>
      </c>
      <c r="G1123">
        <f>_xlfn.XLOOKUP(F1123,'Wk no''s'!B:B,'Wk no''s'!C:C,0)</f>
        <v>21</v>
      </c>
    </row>
    <row r="1124" spans="1:7" x14ac:dyDescent="0.3">
      <c r="A1124" t="s">
        <v>3876</v>
      </c>
      <c r="B1124" t="s">
        <v>3877</v>
      </c>
      <c r="C1124" t="s">
        <v>3878</v>
      </c>
      <c r="D1124">
        <v>0</v>
      </c>
      <c r="E1124">
        <v>1</v>
      </c>
      <c r="F1124" s="1">
        <v>45800</v>
      </c>
      <c r="G1124">
        <f>_xlfn.XLOOKUP(F1124,'Wk no''s'!B:B,'Wk no''s'!C:C,0)</f>
        <v>21</v>
      </c>
    </row>
    <row r="1125" spans="1:7" x14ac:dyDescent="0.3">
      <c r="A1125" t="s">
        <v>3879</v>
      </c>
      <c r="B1125" t="s">
        <v>3880</v>
      </c>
      <c r="C1125" t="s">
        <v>3881</v>
      </c>
      <c r="D1125">
        <v>0</v>
      </c>
      <c r="E1125">
        <v>1</v>
      </c>
      <c r="F1125" s="1">
        <v>45800</v>
      </c>
      <c r="G1125">
        <f>_xlfn.XLOOKUP(F1125,'Wk no''s'!B:B,'Wk no''s'!C:C,0)</f>
        <v>21</v>
      </c>
    </row>
    <row r="1126" spans="1:7" x14ac:dyDescent="0.3">
      <c r="A1126" t="s">
        <v>3882</v>
      </c>
      <c r="B1126" t="s">
        <v>3883</v>
      </c>
      <c r="C1126" t="s">
        <v>3884</v>
      </c>
      <c r="D1126">
        <v>0</v>
      </c>
      <c r="E1126">
        <v>1</v>
      </c>
      <c r="F1126" s="1">
        <v>45800</v>
      </c>
      <c r="G1126">
        <f>_xlfn.XLOOKUP(F1126,'Wk no''s'!B:B,'Wk no''s'!C:C,0)</f>
        <v>21</v>
      </c>
    </row>
    <row r="1127" spans="1:7" x14ac:dyDescent="0.3">
      <c r="A1127" t="s">
        <v>3885</v>
      </c>
      <c r="B1127" t="s">
        <v>3886</v>
      </c>
      <c r="C1127" t="s">
        <v>3887</v>
      </c>
      <c r="D1127">
        <v>14</v>
      </c>
      <c r="E1127">
        <v>0</v>
      </c>
      <c r="F1127" s="1">
        <v>45800</v>
      </c>
      <c r="G1127">
        <f>_xlfn.XLOOKUP(F1127,'Wk no''s'!B:B,'Wk no''s'!C:C,0)</f>
        <v>21</v>
      </c>
    </row>
    <row r="1128" spans="1:7" x14ac:dyDescent="0.3">
      <c r="A1128" t="s">
        <v>3888</v>
      </c>
      <c r="B1128" t="s">
        <v>3889</v>
      </c>
      <c r="C1128" t="s">
        <v>3869</v>
      </c>
      <c r="D1128">
        <v>0</v>
      </c>
      <c r="E1128">
        <v>1</v>
      </c>
      <c r="F1128" s="1">
        <v>45800</v>
      </c>
      <c r="G1128">
        <f>_xlfn.XLOOKUP(F1128,'Wk no''s'!B:B,'Wk no''s'!C:C,0)</f>
        <v>21</v>
      </c>
    </row>
    <row r="1129" spans="1:7" x14ac:dyDescent="0.3">
      <c r="A1129" t="s">
        <v>3890</v>
      </c>
      <c r="B1129" t="s">
        <v>3891</v>
      </c>
      <c r="C1129" t="s">
        <v>1902</v>
      </c>
      <c r="D1129">
        <v>0</v>
      </c>
      <c r="E1129">
        <v>1</v>
      </c>
      <c r="F1129" s="1">
        <v>45800</v>
      </c>
      <c r="G1129">
        <f>_xlfn.XLOOKUP(F1129,'Wk no''s'!B:B,'Wk no''s'!C:C,0)</f>
        <v>21</v>
      </c>
    </row>
    <row r="1130" spans="1:7" x14ac:dyDescent="0.3">
      <c r="A1130" t="s">
        <v>3892</v>
      </c>
      <c r="B1130" t="s">
        <v>3893</v>
      </c>
      <c r="C1130" t="s">
        <v>1298</v>
      </c>
      <c r="D1130">
        <v>10</v>
      </c>
      <c r="E1130">
        <v>0</v>
      </c>
      <c r="F1130" s="1">
        <v>45800</v>
      </c>
      <c r="G1130">
        <f>_xlfn.XLOOKUP(F1130,'Wk no''s'!B:B,'Wk no''s'!C:C,0)</f>
        <v>21</v>
      </c>
    </row>
    <row r="1131" spans="1:7" x14ac:dyDescent="0.3">
      <c r="A1131" t="s">
        <v>3894</v>
      </c>
      <c r="B1131" t="s">
        <v>3895</v>
      </c>
      <c r="C1131" t="s">
        <v>2309</v>
      </c>
      <c r="D1131">
        <v>0</v>
      </c>
      <c r="E1131">
        <v>1</v>
      </c>
      <c r="F1131" s="1">
        <v>45800</v>
      </c>
      <c r="G1131">
        <f>_xlfn.XLOOKUP(F1131,'Wk no''s'!B:B,'Wk no''s'!C:C,0)</f>
        <v>21</v>
      </c>
    </row>
    <row r="1132" spans="1:7" x14ac:dyDescent="0.3">
      <c r="A1132" t="s">
        <v>3896</v>
      </c>
      <c r="B1132" t="s">
        <v>3897</v>
      </c>
      <c r="C1132" t="s">
        <v>3898</v>
      </c>
      <c r="D1132">
        <v>1</v>
      </c>
      <c r="E1132">
        <v>1</v>
      </c>
      <c r="F1132" s="1">
        <v>45800</v>
      </c>
      <c r="G1132">
        <f>_xlfn.XLOOKUP(F1132,'Wk no''s'!B:B,'Wk no''s'!C:C,0)</f>
        <v>21</v>
      </c>
    </row>
    <row r="1133" spans="1:7" x14ac:dyDescent="0.3">
      <c r="A1133" t="s">
        <v>3899</v>
      </c>
      <c r="B1133" t="s">
        <v>3900</v>
      </c>
      <c r="C1133" t="s">
        <v>3901</v>
      </c>
      <c r="D1133">
        <v>0</v>
      </c>
      <c r="E1133">
        <v>1</v>
      </c>
      <c r="F1133" s="1">
        <v>45800</v>
      </c>
      <c r="G1133">
        <f>_xlfn.XLOOKUP(F1133,'Wk no''s'!B:B,'Wk no''s'!C:C,0)</f>
        <v>21</v>
      </c>
    </row>
    <row r="1134" spans="1:7" x14ac:dyDescent="0.3">
      <c r="A1134" t="s">
        <v>3902</v>
      </c>
      <c r="B1134" t="s">
        <v>3903</v>
      </c>
      <c r="C1134" t="s">
        <v>3904</v>
      </c>
      <c r="D1134">
        <v>0</v>
      </c>
      <c r="E1134">
        <v>1</v>
      </c>
      <c r="F1134" s="1">
        <v>45800</v>
      </c>
      <c r="G1134">
        <f>_xlfn.XLOOKUP(F1134,'Wk no''s'!B:B,'Wk no''s'!C:C,0)</f>
        <v>21</v>
      </c>
    </row>
    <row r="1135" spans="1:7" x14ac:dyDescent="0.3">
      <c r="A1135" t="s">
        <v>3905</v>
      </c>
      <c r="B1135" t="s">
        <v>3906</v>
      </c>
      <c r="C1135" t="s">
        <v>3907</v>
      </c>
      <c r="D1135">
        <v>1</v>
      </c>
      <c r="E1135">
        <v>1</v>
      </c>
      <c r="F1135" s="1">
        <v>45800</v>
      </c>
      <c r="G1135">
        <f>_xlfn.XLOOKUP(F1135,'Wk no''s'!B:B,'Wk no''s'!C:C,0)</f>
        <v>21</v>
      </c>
    </row>
    <row r="1136" spans="1:7" x14ac:dyDescent="0.3">
      <c r="A1136" t="s">
        <v>3908</v>
      </c>
      <c r="B1136" t="s">
        <v>3909</v>
      </c>
      <c r="C1136" t="s">
        <v>3716</v>
      </c>
      <c r="D1136">
        <v>0</v>
      </c>
      <c r="E1136">
        <v>1</v>
      </c>
      <c r="F1136" s="1">
        <v>45804</v>
      </c>
      <c r="G1136">
        <f>_xlfn.XLOOKUP(F1136,'Wk no''s'!B:B,'Wk no''s'!C:C,0)</f>
        <v>22</v>
      </c>
    </row>
    <row r="1137" spans="1:7" x14ac:dyDescent="0.3">
      <c r="A1137" t="s">
        <v>3910</v>
      </c>
      <c r="B1137" t="s">
        <v>3911</v>
      </c>
      <c r="C1137" t="s">
        <v>3912</v>
      </c>
      <c r="D1137">
        <v>0</v>
      </c>
      <c r="E1137">
        <v>1</v>
      </c>
      <c r="F1137" s="1">
        <v>45804</v>
      </c>
      <c r="G1137">
        <f>_xlfn.XLOOKUP(F1137,'Wk no''s'!B:B,'Wk no''s'!C:C,0)</f>
        <v>22</v>
      </c>
    </row>
    <row r="1138" spans="1:7" x14ac:dyDescent="0.3">
      <c r="A1138" t="s">
        <v>3913</v>
      </c>
      <c r="B1138" t="s">
        <v>3914</v>
      </c>
      <c r="C1138" t="s">
        <v>3915</v>
      </c>
      <c r="D1138">
        <v>0</v>
      </c>
      <c r="E1138">
        <v>1</v>
      </c>
      <c r="F1138" s="1">
        <v>45804</v>
      </c>
      <c r="G1138">
        <f>_xlfn.XLOOKUP(F1138,'Wk no''s'!B:B,'Wk no''s'!C:C,0)</f>
        <v>22</v>
      </c>
    </row>
    <row r="1139" spans="1:7" x14ac:dyDescent="0.3">
      <c r="A1139" t="s">
        <v>3916</v>
      </c>
      <c r="B1139" t="s">
        <v>3917</v>
      </c>
      <c r="C1139" t="s">
        <v>3918</v>
      </c>
      <c r="D1139">
        <v>0</v>
      </c>
      <c r="E1139">
        <v>1</v>
      </c>
      <c r="F1139" s="1">
        <v>45804</v>
      </c>
      <c r="G1139">
        <f>_xlfn.XLOOKUP(F1139,'Wk no''s'!B:B,'Wk no''s'!C:C,0)</f>
        <v>22</v>
      </c>
    </row>
    <row r="1140" spans="1:7" x14ac:dyDescent="0.3">
      <c r="A1140" t="s">
        <v>3919</v>
      </c>
      <c r="B1140" t="s">
        <v>3920</v>
      </c>
      <c r="C1140" t="s">
        <v>1639</v>
      </c>
      <c r="D1140">
        <v>0</v>
      </c>
      <c r="E1140">
        <v>1</v>
      </c>
      <c r="F1140" s="1">
        <v>45804</v>
      </c>
      <c r="G1140">
        <f>_xlfn.XLOOKUP(F1140,'Wk no''s'!B:B,'Wk no''s'!C:C,0)</f>
        <v>22</v>
      </c>
    </row>
    <row r="1141" spans="1:7" x14ac:dyDescent="0.3">
      <c r="A1141" t="s">
        <v>3921</v>
      </c>
      <c r="C1141" t="s">
        <v>3922</v>
      </c>
      <c r="D1141">
        <v>88</v>
      </c>
      <c r="E1141">
        <v>0</v>
      </c>
      <c r="F1141" s="1">
        <v>45804</v>
      </c>
      <c r="G1141">
        <f>_xlfn.XLOOKUP(F1141,'Wk no''s'!B:B,'Wk no''s'!C:C,0)</f>
        <v>22</v>
      </c>
    </row>
    <row r="1142" spans="1:7" x14ac:dyDescent="0.3">
      <c r="A1142" t="s">
        <v>3923</v>
      </c>
      <c r="B1142" t="s">
        <v>3924</v>
      </c>
      <c r="C1142" t="s">
        <v>3925</v>
      </c>
      <c r="D1142">
        <v>0</v>
      </c>
      <c r="E1142">
        <v>1</v>
      </c>
      <c r="F1142" s="1">
        <v>45804</v>
      </c>
      <c r="G1142">
        <f>_xlfn.XLOOKUP(F1142,'Wk no''s'!B:B,'Wk no''s'!C:C,0)</f>
        <v>22</v>
      </c>
    </row>
    <row r="1143" spans="1:7" x14ac:dyDescent="0.3">
      <c r="A1143" t="s">
        <v>3926</v>
      </c>
      <c r="B1143" t="s">
        <v>3927</v>
      </c>
      <c r="C1143" t="s">
        <v>3928</v>
      </c>
      <c r="D1143">
        <v>1</v>
      </c>
      <c r="E1143">
        <v>1</v>
      </c>
      <c r="F1143" s="1">
        <v>45804</v>
      </c>
      <c r="G1143">
        <f>_xlfn.XLOOKUP(F1143,'Wk no''s'!B:B,'Wk no''s'!C:C,0)</f>
        <v>22</v>
      </c>
    </row>
    <row r="1144" spans="1:7" x14ac:dyDescent="0.3">
      <c r="A1144" t="s">
        <v>3929</v>
      </c>
      <c r="B1144" t="s">
        <v>3930</v>
      </c>
      <c r="C1144" t="s">
        <v>3931</v>
      </c>
      <c r="D1144">
        <v>0</v>
      </c>
      <c r="E1144">
        <v>1</v>
      </c>
      <c r="F1144" s="1">
        <v>45804</v>
      </c>
      <c r="G1144">
        <f>_xlfn.XLOOKUP(F1144,'Wk no''s'!B:B,'Wk no''s'!C:C,0)</f>
        <v>22</v>
      </c>
    </row>
    <row r="1145" spans="1:7" x14ac:dyDescent="0.3">
      <c r="A1145" t="s">
        <v>3932</v>
      </c>
      <c r="B1145" t="s">
        <v>3933</v>
      </c>
      <c r="C1145" t="s">
        <v>249</v>
      </c>
      <c r="D1145">
        <v>0</v>
      </c>
      <c r="E1145">
        <v>1</v>
      </c>
      <c r="F1145" s="1">
        <v>45804</v>
      </c>
      <c r="G1145">
        <f>_xlfn.XLOOKUP(F1145,'Wk no''s'!B:B,'Wk no''s'!C:C,0)</f>
        <v>22</v>
      </c>
    </row>
    <row r="1146" spans="1:7" x14ac:dyDescent="0.3">
      <c r="A1146" t="s">
        <v>3934</v>
      </c>
      <c r="B1146" t="s">
        <v>3935</v>
      </c>
      <c r="C1146" t="s">
        <v>2479</v>
      </c>
      <c r="D1146">
        <v>0</v>
      </c>
      <c r="E1146">
        <v>1</v>
      </c>
      <c r="F1146" s="1">
        <v>45804</v>
      </c>
      <c r="G1146">
        <f>_xlfn.XLOOKUP(F1146,'Wk no''s'!B:B,'Wk no''s'!C:C,0)</f>
        <v>22</v>
      </c>
    </row>
    <row r="1147" spans="1:7" x14ac:dyDescent="0.3">
      <c r="A1147" t="s">
        <v>3936</v>
      </c>
      <c r="B1147" t="s">
        <v>3937</v>
      </c>
      <c r="C1147" t="s">
        <v>3938</v>
      </c>
      <c r="D1147">
        <v>0</v>
      </c>
      <c r="E1147">
        <v>1</v>
      </c>
      <c r="F1147" s="1">
        <v>45804</v>
      </c>
      <c r="G1147">
        <f>_xlfn.XLOOKUP(F1147,'Wk no''s'!B:B,'Wk no''s'!C:C,0)</f>
        <v>22</v>
      </c>
    </row>
    <row r="1148" spans="1:7" x14ac:dyDescent="0.3">
      <c r="A1148" t="s">
        <v>3939</v>
      </c>
      <c r="B1148" t="s">
        <v>3940</v>
      </c>
      <c r="C1148" t="s">
        <v>3922</v>
      </c>
      <c r="D1148">
        <v>6</v>
      </c>
      <c r="E1148">
        <v>0</v>
      </c>
      <c r="F1148" s="1">
        <v>45804</v>
      </c>
      <c r="G1148">
        <f>_xlfn.XLOOKUP(F1148,'Wk no''s'!B:B,'Wk no''s'!C:C,0)</f>
        <v>22</v>
      </c>
    </row>
    <row r="1149" spans="1:7" x14ac:dyDescent="0.3">
      <c r="A1149" t="s">
        <v>3941</v>
      </c>
      <c r="B1149" t="s">
        <v>3942</v>
      </c>
      <c r="C1149" t="s">
        <v>3943</v>
      </c>
      <c r="D1149">
        <v>0</v>
      </c>
      <c r="E1149">
        <v>1</v>
      </c>
      <c r="F1149" s="1">
        <v>45805</v>
      </c>
      <c r="G1149">
        <f>_xlfn.XLOOKUP(F1149,'Wk no''s'!B:B,'Wk no''s'!C:C,0)</f>
        <v>22</v>
      </c>
    </row>
    <row r="1150" spans="1:7" x14ac:dyDescent="0.3">
      <c r="A1150" t="s">
        <v>3944</v>
      </c>
      <c r="B1150" t="s">
        <v>3945</v>
      </c>
      <c r="C1150" t="s">
        <v>3042</v>
      </c>
      <c r="D1150">
        <v>10</v>
      </c>
      <c r="E1150">
        <v>0</v>
      </c>
      <c r="F1150" s="1">
        <v>45805</v>
      </c>
      <c r="G1150">
        <f>_xlfn.XLOOKUP(F1150,'Wk no''s'!B:B,'Wk no''s'!C:C,0)</f>
        <v>22</v>
      </c>
    </row>
    <row r="1151" spans="1:7" x14ac:dyDescent="0.3">
      <c r="A1151" t="s">
        <v>3946</v>
      </c>
      <c r="B1151" t="s">
        <v>3947</v>
      </c>
      <c r="C1151" t="s">
        <v>407</v>
      </c>
      <c r="D1151">
        <v>0</v>
      </c>
      <c r="E1151">
        <v>1</v>
      </c>
      <c r="F1151" s="1">
        <v>45805</v>
      </c>
      <c r="G1151">
        <f>_xlfn.XLOOKUP(F1151,'Wk no''s'!B:B,'Wk no''s'!C:C,0)</f>
        <v>22</v>
      </c>
    </row>
    <row r="1152" spans="1:7" x14ac:dyDescent="0.3">
      <c r="A1152" t="s">
        <v>3948</v>
      </c>
      <c r="B1152" t="s">
        <v>3949</v>
      </c>
      <c r="C1152" t="s">
        <v>3950</v>
      </c>
      <c r="D1152">
        <v>0</v>
      </c>
      <c r="E1152">
        <v>1</v>
      </c>
      <c r="F1152" s="1">
        <v>45805</v>
      </c>
      <c r="G1152">
        <f>_xlfn.XLOOKUP(F1152,'Wk no''s'!B:B,'Wk no''s'!C:C,0)</f>
        <v>22</v>
      </c>
    </row>
    <row r="1153" spans="1:7" x14ac:dyDescent="0.3">
      <c r="A1153" t="s">
        <v>3951</v>
      </c>
      <c r="B1153" t="s">
        <v>3952</v>
      </c>
      <c r="C1153" t="s">
        <v>562</v>
      </c>
      <c r="D1153">
        <v>7</v>
      </c>
      <c r="E1153">
        <v>0</v>
      </c>
      <c r="F1153" s="1">
        <v>45805</v>
      </c>
      <c r="G1153">
        <f>_xlfn.XLOOKUP(F1153,'Wk no''s'!B:B,'Wk no''s'!C:C,0)</f>
        <v>22</v>
      </c>
    </row>
    <row r="1154" spans="1:7" x14ac:dyDescent="0.3">
      <c r="A1154" t="s">
        <v>3953</v>
      </c>
      <c r="B1154" t="s">
        <v>3954</v>
      </c>
      <c r="C1154" t="s">
        <v>3955</v>
      </c>
      <c r="D1154">
        <v>1</v>
      </c>
      <c r="E1154">
        <v>1</v>
      </c>
      <c r="F1154" s="1">
        <v>45805</v>
      </c>
      <c r="G1154">
        <f>_xlfn.XLOOKUP(F1154,'Wk no''s'!B:B,'Wk no''s'!C:C,0)</f>
        <v>22</v>
      </c>
    </row>
    <row r="1155" spans="1:7" x14ac:dyDescent="0.3">
      <c r="A1155" t="s">
        <v>3956</v>
      </c>
      <c r="B1155" t="s">
        <v>3957</v>
      </c>
      <c r="C1155" t="s">
        <v>33</v>
      </c>
      <c r="D1155">
        <v>15</v>
      </c>
      <c r="E1155">
        <v>0</v>
      </c>
      <c r="F1155" s="1">
        <v>45805</v>
      </c>
      <c r="G1155">
        <f>_xlfn.XLOOKUP(F1155,'Wk no''s'!B:B,'Wk no''s'!C:C,0)</f>
        <v>22</v>
      </c>
    </row>
    <row r="1156" spans="1:7" x14ac:dyDescent="0.3">
      <c r="A1156" t="s">
        <v>3958</v>
      </c>
      <c r="B1156" t="s">
        <v>3959</v>
      </c>
      <c r="C1156" t="s">
        <v>3960</v>
      </c>
      <c r="D1156">
        <v>15</v>
      </c>
      <c r="E1156">
        <v>0</v>
      </c>
      <c r="F1156" s="1">
        <v>45805</v>
      </c>
      <c r="G1156">
        <f>_xlfn.XLOOKUP(F1156,'Wk no''s'!B:B,'Wk no''s'!C:C,0)</f>
        <v>22</v>
      </c>
    </row>
    <row r="1157" spans="1:7" x14ac:dyDescent="0.3">
      <c r="A1157" t="s">
        <v>3961</v>
      </c>
      <c r="B1157" t="s">
        <v>3962</v>
      </c>
      <c r="C1157" t="s">
        <v>2451</v>
      </c>
      <c r="D1157">
        <v>0</v>
      </c>
      <c r="E1157">
        <v>1</v>
      </c>
      <c r="F1157" s="1">
        <v>45805</v>
      </c>
      <c r="G1157">
        <f>_xlfn.XLOOKUP(F1157,'Wk no''s'!B:B,'Wk no''s'!C:C,0)</f>
        <v>22</v>
      </c>
    </row>
    <row r="1158" spans="1:7" x14ac:dyDescent="0.3">
      <c r="A1158" t="s">
        <v>3963</v>
      </c>
      <c r="B1158" t="s">
        <v>3964</v>
      </c>
      <c r="C1158" t="s">
        <v>3965</v>
      </c>
      <c r="D1158">
        <v>1</v>
      </c>
      <c r="E1158">
        <v>1</v>
      </c>
      <c r="F1158" s="1">
        <v>45806</v>
      </c>
      <c r="G1158">
        <f>_xlfn.XLOOKUP(F1158,'Wk no''s'!B:B,'Wk no''s'!C:C,0)</f>
        <v>22</v>
      </c>
    </row>
    <row r="1159" spans="1:7" x14ac:dyDescent="0.3">
      <c r="A1159" t="s">
        <v>3966</v>
      </c>
      <c r="B1159" t="s">
        <v>3967</v>
      </c>
      <c r="C1159" t="s">
        <v>3968</v>
      </c>
      <c r="D1159">
        <v>4</v>
      </c>
      <c r="E1159">
        <v>0</v>
      </c>
      <c r="F1159" s="1">
        <v>45806</v>
      </c>
      <c r="G1159">
        <f>_xlfn.XLOOKUP(F1159,'Wk no''s'!B:B,'Wk no''s'!C:C,0)</f>
        <v>22</v>
      </c>
    </row>
    <row r="1160" spans="1:7" x14ac:dyDescent="0.3">
      <c r="A1160" t="s">
        <v>3969</v>
      </c>
      <c r="B1160" t="s">
        <v>3970</v>
      </c>
      <c r="C1160" t="s">
        <v>3971</v>
      </c>
      <c r="D1160">
        <v>9</v>
      </c>
      <c r="E1160">
        <v>0</v>
      </c>
      <c r="F1160" s="1">
        <v>45806</v>
      </c>
      <c r="G1160">
        <f>_xlfn.XLOOKUP(F1160,'Wk no''s'!B:B,'Wk no''s'!C:C,0)</f>
        <v>22</v>
      </c>
    </row>
    <row r="1161" spans="1:7" x14ac:dyDescent="0.3">
      <c r="A1161" t="s">
        <v>3972</v>
      </c>
      <c r="B1161" t="s">
        <v>3973</v>
      </c>
      <c r="C1161" t="s">
        <v>1693</v>
      </c>
      <c r="D1161">
        <v>0</v>
      </c>
      <c r="E1161">
        <v>1</v>
      </c>
      <c r="F1161" s="1">
        <v>45806</v>
      </c>
      <c r="G1161">
        <f>_xlfn.XLOOKUP(F1161,'Wk no''s'!B:B,'Wk no''s'!C:C,0)</f>
        <v>22</v>
      </c>
    </row>
    <row r="1162" spans="1:7" x14ac:dyDescent="0.3">
      <c r="A1162" t="s">
        <v>3974</v>
      </c>
      <c r="B1162" t="s">
        <v>3975</v>
      </c>
      <c r="C1162" t="s">
        <v>2946</v>
      </c>
      <c r="D1162">
        <v>15</v>
      </c>
      <c r="E1162">
        <v>0</v>
      </c>
      <c r="F1162" s="1">
        <v>45806</v>
      </c>
      <c r="G1162">
        <f>_xlfn.XLOOKUP(F1162,'Wk no''s'!B:B,'Wk no''s'!C:C,0)</f>
        <v>22</v>
      </c>
    </row>
    <row r="1163" spans="1:7" x14ac:dyDescent="0.3">
      <c r="A1163" t="s">
        <v>3976</v>
      </c>
      <c r="B1163" t="s">
        <v>3977</v>
      </c>
      <c r="C1163" t="s">
        <v>3978</v>
      </c>
      <c r="D1163">
        <v>1</v>
      </c>
      <c r="E1163">
        <v>1</v>
      </c>
      <c r="F1163" s="1">
        <v>45806</v>
      </c>
      <c r="G1163">
        <f>_xlfn.XLOOKUP(F1163,'Wk no''s'!B:B,'Wk no''s'!C:C,0)</f>
        <v>22</v>
      </c>
    </row>
    <row r="1164" spans="1:7" x14ac:dyDescent="0.3">
      <c r="A1164" t="s">
        <v>3979</v>
      </c>
      <c r="B1164" t="s">
        <v>3980</v>
      </c>
      <c r="C1164" t="s">
        <v>3981</v>
      </c>
      <c r="D1164">
        <v>1</v>
      </c>
      <c r="E1164">
        <v>1</v>
      </c>
      <c r="F1164" s="1">
        <v>45806</v>
      </c>
      <c r="G1164">
        <f>_xlfn.XLOOKUP(F1164,'Wk no''s'!B:B,'Wk no''s'!C:C,0)</f>
        <v>22</v>
      </c>
    </row>
    <row r="1165" spans="1:7" x14ac:dyDescent="0.3">
      <c r="A1165" t="s">
        <v>3982</v>
      </c>
      <c r="C1165" t="s">
        <v>3931</v>
      </c>
      <c r="D1165">
        <v>0</v>
      </c>
      <c r="E1165">
        <v>1</v>
      </c>
      <c r="F1165" s="1">
        <v>45806</v>
      </c>
      <c r="G1165">
        <f>_xlfn.XLOOKUP(F1165,'Wk no''s'!B:B,'Wk no''s'!C:C,0)</f>
        <v>22</v>
      </c>
    </row>
    <row r="1166" spans="1:7" x14ac:dyDescent="0.3">
      <c r="A1166" t="s">
        <v>3983</v>
      </c>
      <c r="B1166" t="s">
        <v>3984</v>
      </c>
      <c r="C1166" t="s">
        <v>2421</v>
      </c>
      <c r="D1166">
        <v>1</v>
      </c>
      <c r="E1166">
        <v>1</v>
      </c>
      <c r="F1166" s="1">
        <v>45806</v>
      </c>
      <c r="G1166">
        <f>_xlfn.XLOOKUP(F1166,'Wk no''s'!B:B,'Wk no''s'!C:C,0)</f>
        <v>22</v>
      </c>
    </row>
    <row r="1167" spans="1:7" x14ac:dyDescent="0.3">
      <c r="A1167" t="s">
        <v>3985</v>
      </c>
      <c r="B1167" t="s">
        <v>3986</v>
      </c>
      <c r="C1167" t="s">
        <v>3987</v>
      </c>
      <c r="D1167">
        <v>1</v>
      </c>
      <c r="E1167">
        <v>1</v>
      </c>
      <c r="F1167" s="1">
        <v>45806</v>
      </c>
      <c r="G1167">
        <f>_xlfn.XLOOKUP(F1167,'Wk no''s'!B:B,'Wk no''s'!C:C,0)</f>
        <v>22</v>
      </c>
    </row>
    <row r="1168" spans="1:7" x14ac:dyDescent="0.3">
      <c r="A1168" t="s">
        <v>3988</v>
      </c>
      <c r="B1168" t="s">
        <v>3989</v>
      </c>
      <c r="C1168" t="s">
        <v>3987</v>
      </c>
      <c r="D1168">
        <v>1</v>
      </c>
      <c r="E1168">
        <v>1</v>
      </c>
      <c r="F1168" s="1">
        <v>45806</v>
      </c>
      <c r="G1168">
        <f>_xlfn.XLOOKUP(F1168,'Wk no''s'!B:B,'Wk no''s'!C:C,0)</f>
        <v>22</v>
      </c>
    </row>
    <row r="1169" spans="1:7" x14ac:dyDescent="0.3">
      <c r="A1169" t="s">
        <v>3990</v>
      </c>
      <c r="B1169" t="s">
        <v>3991</v>
      </c>
      <c r="C1169" t="s">
        <v>10</v>
      </c>
      <c r="D1169">
        <v>0</v>
      </c>
      <c r="E1169">
        <v>1</v>
      </c>
      <c r="F1169" s="1">
        <v>45806</v>
      </c>
      <c r="G1169">
        <f>_xlfn.XLOOKUP(F1169,'Wk no''s'!B:B,'Wk no''s'!C:C,0)</f>
        <v>22</v>
      </c>
    </row>
    <row r="1170" spans="1:7" x14ac:dyDescent="0.3">
      <c r="A1170" t="s">
        <v>3992</v>
      </c>
      <c r="C1170" t="s">
        <v>3993</v>
      </c>
      <c r="D1170">
        <v>0</v>
      </c>
      <c r="E1170">
        <v>1</v>
      </c>
      <c r="F1170" s="1">
        <v>45806</v>
      </c>
      <c r="G1170">
        <f>_xlfn.XLOOKUP(F1170,'Wk no''s'!B:B,'Wk no''s'!C:C,0)</f>
        <v>22</v>
      </c>
    </row>
    <row r="1171" spans="1:7" x14ac:dyDescent="0.3">
      <c r="A1171" t="s">
        <v>3994</v>
      </c>
      <c r="B1171" t="s">
        <v>3995</v>
      </c>
      <c r="C1171" t="s">
        <v>2037</v>
      </c>
      <c r="D1171">
        <v>3</v>
      </c>
      <c r="E1171">
        <v>0</v>
      </c>
      <c r="F1171" s="1">
        <v>45807</v>
      </c>
      <c r="G1171">
        <f>_xlfn.XLOOKUP(F1171,'Wk no''s'!B:B,'Wk no''s'!C:C,0)</f>
        <v>22</v>
      </c>
    </row>
    <row r="1172" spans="1:7" x14ac:dyDescent="0.3">
      <c r="A1172" t="s">
        <v>3996</v>
      </c>
      <c r="B1172" t="s">
        <v>3997</v>
      </c>
      <c r="C1172" t="s">
        <v>3998</v>
      </c>
      <c r="D1172">
        <v>8</v>
      </c>
      <c r="E1172">
        <v>0</v>
      </c>
      <c r="F1172" s="1">
        <v>45807</v>
      </c>
      <c r="G1172">
        <f>_xlfn.XLOOKUP(F1172,'Wk no''s'!B:B,'Wk no''s'!C:C,0)</f>
        <v>22</v>
      </c>
    </row>
    <row r="1173" spans="1:7" x14ac:dyDescent="0.3">
      <c r="A1173" t="s">
        <v>3999</v>
      </c>
      <c r="B1173" t="s">
        <v>4000</v>
      </c>
      <c r="C1173" t="s">
        <v>1322</v>
      </c>
      <c r="D1173">
        <v>2</v>
      </c>
      <c r="E1173">
        <v>0</v>
      </c>
      <c r="F1173" s="1">
        <v>45807</v>
      </c>
      <c r="G1173">
        <f>_xlfn.XLOOKUP(F1173,'Wk no''s'!B:B,'Wk no''s'!C:C,0)</f>
        <v>22</v>
      </c>
    </row>
    <row r="1174" spans="1:7" x14ac:dyDescent="0.3">
      <c r="A1174" t="s">
        <v>4001</v>
      </c>
      <c r="B1174" t="s">
        <v>4002</v>
      </c>
      <c r="C1174" t="s">
        <v>3855</v>
      </c>
      <c r="D1174">
        <v>12</v>
      </c>
      <c r="E1174">
        <v>0</v>
      </c>
      <c r="F1174" s="1">
        <v>45807</v>
      </c>
      <c r="G1174">
        <f>_xlfn.XLOOKUP(F1174,'Wk no''s'!B:B,'Wk no''s'!C:C,0)</f>
        <v>22</v>
      </c>
    </row>
    <row r="1175" spans="1:7" x14ac:dyDescent="0.3">
      <c r="A1175" t="s">
        <v>4003</v>
      </c>
      <c r="B1175" t="s">
        <v>4004</v>
      </c>
      <c r="C1175" t="s">
        <v>2681</v>
      </c>
      <c r="D1175">
        <v>2</v>
      </c>
      <c r="E1175">
        <v>0</v>
      </c>
      <c r="F1175" s="1">
        <v>45807</v>
      </c>
      <c r="G1175">
        <f>_xlfn.XLOOKUP(F1175,'Wk no''s'!B:B,'Wk no''s'!C:C,0)</f>
        <v>22</v>
      </c>
    </row>
    <row r="1176" spans="1:7" x14ac:dyDescent="0.3">
      <c r="A1176" t="s">
        <v>4005</v>
      </c>
      <c r="B1176" t="s">
        <v>4006</v>
      </c>
      <c r="C1176" t="s">
        <v>4007</v>
      </c>
      <c r="D1176">
        <v>1</v>
      </c>
      <c r="E1176">
        <v>1</v>
      </c>
      <c r="F1176" s="1">
        <v>45807</v>
      </c>
      <c r="G1176">
        <f>_xlfn.XLOOKUP(F1176,'Wk no''s'!B:B,'Wk no''s'!C:C,0)</f>
        <v>22</v>
      </c>
    </row>
    <row r="1177" spans="1:7" x14ac:dyDescent="0.3">
      <c r="A1177" t="s">
        <v>4008</v>
      </c>
      <c r="B1177" t="s">
        <v>4009</v>
      </c>
      <c r="C1177" t="s">
        <v>315</v>
      </c>
      <c r="D1177">
        <v>0</v>
      </c>
      <c r="E1177">
        <v>1</v>
      </c>
      <c r="F1177" s="1">
        <v>45807</v>
      </c>
      <c r="G1177">
        <f>_xlfn.XLOOKUP(F1177,'Wk no''s'!B:B,'Wk no''s'!C:C,0)</f>
        <v>22</v>
      </c>
    </row>
    <row r="1178" spans="1:7" x14ac:dyDescent="0.3">
      <c r="A1178" t="s">
        <v>4010</v>
      </c>
      <c r="B1178" t="s">
        <v>4011</v>
      </c>
      <c r="C1178" t="s">
        <v>75</v>
      </c>
      <c r="D1178">
        <v>1</v>
      </c>
      <c r="E1178">
        <v>1</v>
      </c>
      <c r="F1178" s="1">
        <v>45807</v>
      </c>
      <c r="G1178">
        <f>_xlfn.XLOOKUP(F1178,'Wk no''s'!B:B,'Wk no''s'!C:C,0)</f>
        <v>22</v>
      </c>
    </row>
    <row r="1179" spans="1:7" x14ac:dyDescent="0.3">
      <c r="A1179" t="s">
        <v>4012</v>
      </c>
      <c r="B1179" t="s">
        <v>4013</v>
      </c>
      <c r="C1179" t="s">
        <v>6736</v>
      </c>
      <c r="D1179">
        <v>0</v>
      </c>
      <c r="E1179">
        <v>1</v>
      </c>
      <c r="F1179" s="1">
        <v>45807</v>
      </c>
      <c r="G1179">
        <f>_xlfn.XLOOKUP(F1179,'Wk no''s'!B:B,'Wk no''s'!C:C,0)</f>
        <v>22</v>
      </c>
    </row>
    <row r="1180" spans="1:7" x14ac:dyDescent="0.3">
      <c r="A1180" t="s">
        <v>4014</v>
      </c>
      <c r="B1180" t="s">
        <v>4015</v>
      </c>
      <c r="C1180" t="s">
        <v>1456</v>
      </c>
      <c r="D1180">
        <v>1</v>
      </c>
      <c r="E1180">
        <v>1</v>
      </c>
      <c r="F1180" s="1">
        <v>45807</v>
      </c>
      <c r="G1180">
        <f>_xlfn.XLOOKUP(F1180,'Wk no''s'!B:B,'Wk no''s'!C:C,0)</f>
        <v>22</v>
      </c>
    </row>
    <row r="1181" spans="1:7" x14ac:dyDescent="0.3">
      <c r="A1181" t="s">
        <v>4016</v>
      </c>
      <c r="B1181" t="s">
        <v>4017</v>
      </c>
      <c r="C1181" t="s">
        <v>4018</v>
      </c>
      <c r="D1181">
        <v>3</v>
      </c>
      <c r="E1181">
        <v>0</v>
      </c>
      <c r="F1181" s="1">
        <v>45807</v>
      </c>
      <c r="G1181">
        <f>_xlfn.XLOOKUP(F1181,'Wk no''s'!B:B,'Wk no''s'!C:C,0)</f>
        <v>22</v>
      </c>
    </row>
    <row r="1182" spans="1:7" x14ac:dyDescent="0.3">
      <c r="A1182" t="s">
        <v>4019</v>
      </c>
      <c r="B1182" t="s">
        <v>4020</v>
      </c>
      <c r="C1182" t="s">
        <v>5353</v>
      </c>
      <c r="D1182">
        <v>1</v>
      </c>
      <c r="E1182">
        <v>1</v>
      </c>
      <c r="F1182" s="1">
        <v>45807</v>
      </c>
      <c r="G1182">
        <f>_xlfn.XLOOKUP(F1182,'Wk no''s'!B:B,'Wk no''s'!C:C,0)</f>
        <v>22</v>
      </c>
    </row>
    <row r="1183" spans="1:7" x14ac:dyDescent="0.3">
      <c r="A1183" t="s">
        <v>4054</v>
      </c>
      <c r="B1183" t="s">
        <v>4055</v>
      </c>
      <c r="C1183" t="s">
        <v>2840</v>
      </c>
      <c r="D1183">
        <v>0</v>
      </c>
      <c r="E1183">
        <v>1</v>
      </c>
      <c r="F1183" s="1">
        <v>45810</v>
      </c>
      <c r="G1183">
        <f>_xlfn.XLOOKUP(F1183,'Wk no''s'!B:B,'Wk no''s'!C:C,0)</f>
        <v>23</v>
      </c>
    </row>
    <row r="1184" spans="1:7" x14ac:dyDescent="0.3">
      <c r="A1184" t="s">
        <v>4056</v>
      </c>
      <c r="B1184" t="s">
        <v>4057</v>
      </c>
      <c r="C1184" t="s">
        <v>3644</v>
      </c>
      <c r="D1184">
        <v>1</v>
      </c>
      <c r="E1184">
        <v>1</v>
      </c>
      <c r="F1184" s="1">
        <v>45810</v>
      </c>
      <c r="G1184">
        <f>_xlfn.XLOOKUP(F1184,'Wk no''s'!B:B,'Wk no''s'!C:C,0)</f>
        <v>23</v>
      </c>
    </row>
    <row r="1185" spans="1:7" x14ac:dyDescent="0.3">
      <c r="A1185" t="s">
        <v>4058</v>
      </c>
      <c r="B1185" t="s">
        <v>4059</v>
      </c>
      <c r="C1185" t="s">
        <v>1194</v>
      </c>
      <c r="D1185">
        <v>0</v>
      </c>
      <c r="E1185">
        <v>1</v>
      </c>
      <c r="F1185" s="1">
        <v>45810</v>
      </c>
      <c r="G1185">
        <f>_xlfn.XLOOKUP(F1185,'Wk no''s'!B:B,'Wk no''s'!C:C,0)</f>
        <v>23</v>
      </c>
    </row>
    <row r="1186" spans="1:7" x14ac:dyDescent="0.3">
      <c r="A1186" t="s">
        <v>4060</v>
      </c>
      <c r="B1186" t="s">
        <v>4061</v>
      </c>
      <c r="C1186" t="s">
        <v>4062</v>
      </c>
      <c r="D1186">
        <v>2</v>
      </c>
      <c r="E1186">
        <v>0</v>
      </c>
      <c r="F1186" s="1">
        <v>45811</v>
      </c>
      <c r="G1186">
        <f>_xlfn.XLOOKUP(F1186,'Wk no''s'!B:B,'Wk no''s'!C:C,0)</f>
        <v>23</v>
      </c>
    </row>
    <row r="1187" spans="1:7" x14ac:dyDescent="0.3">
      <c r="A1187" t="s">
        <v>4063</v>
      </c>
      <c r="B1187" t="s">
        <v>4064</v>
      </c>
      <c r="C1187" t="s">
        <v>3212</v>
      </c>
      <c r="D1187">
        <v>11</v>
      </c>
      <c r="E1187">
        <v>0</v>
      </c>
      <c r="F1187" s="1">
        <v>45811</v>
      </c>
      <c r="G1187">
        <f>_xlfn.XLOOKUP(F1187,'Wk no''s'!B:B,'Wk no''s'!C:C,0)</f>
        <v>23</v>
      </c>
    </row>
    <row r="1188" spans="1:7" x14ac:dyDescent="0.3">
      <c r="A1188" t="s">
        <v>4065</v>
      </c>
      <c r="B1188" t="s">
        <v>4066</v>
      </c>
      <c r="C1188" t="s">
        <v>39</v>
      </c>
      <c r="D1188">
        <v>0</v>
      </c>
      <c r="E1188">
        <v>1</v>
      </c>
      <c r="F1188" s="1">
        <v>45811</v>
      </c>
      <c r="G1188">
        <f>_xlfn.XLOOKUP(F1188,'Wk no''s'!B:B,'Wk no''s'!C:C,0)</f>
        <v>23</v>
      </c>
    </row>
    <row r="1189" spans="1:7" x14ac:dyDescent="0.3">
      <c r="A1189" t="s">
        <v>4067</v>
      </c>
      <c r="B1189" t="s">
        <v>4068</v>
      </c>
      <c r="C1189" t="s">
        <v>2270</v>
      </c>
      <c r="D1189">
        <v>7</v>
      </c>
      <c r="E1189">
        <v>0</v>
      </c>
      <c r="F1189" s="1">
        <v>45812</v>
      </c>
      <c r="G1189">
        <f>_xlfn.XLOOKUP(F1189,'Wk no''s'!B:B,'Wk no''s'!C:C,0)</f>
        <v>23</v>
      </c>
    </row>
    <row r="1190" spans="1:7" x14ac:dyDescent="0.3">
      <c r="A1190" t="s">
        <v>4069</v>
      </c>
      <c r="B1190" t="s">
        <v>4070</v>
      </c>
      <c r="C1190" t="s">
        <v>4071</v>
      </c>
      <c r="D1190">
        <v>4</v>
      </c>
      <c r="E1190">
        <v>0</v>
      </c>
      <c r="F1190" s="1">
        <v>45812</v>
      </c>
      <c r="G1190">
        <f>_xlfn.XLOOKUP(F1190,'Wk no''s'!B:B,'Wk no''s'!C:C,0)</f>
        <v>23</v>
      </c>
    </row>
    <row r="1191" spans="1:7" x14ac:dyDescent="0.3">
      <c r="A1191" t="s">
        <v>4072</v>
      </c>
      <c r="B1191" t="s">
        <v>4073</v>
      </c>
      <c r="C1191" t="s">
        <v>4074</v>
      </c>
      <c r="D1191">
        <v>3</v>
      </c>
      <c r="E1191">
        <v>0</v>
      </c>
      <c r="F1191" s="1">
        <v>45812</v>
      </c>
      <c r="G1191">
        <f>_xlfn.XLOOKUP(F1191,'Wk no''s'!B:B,'Wk no''s'!C:C,0)</f>
        <v>23</v>
      </c>
    </row>
    <row r="1192" spans="1:7" x14ac:dyDescent="0.3">
      <c r="A1192" t="s">
        <v>4075</v>
      </c>
      <c r="B1192" t="s">
        <v>4076</v>
      </c>
      <c r="C1192" t="s">
        <v>2630</v>
      </c>
      <c r="D1192">
        <v>5</v>
      </c>
      <c r="E1192">
        <v>0</v>
      </c>
      <c r="F1192" s="1">
        <v>45812</v>
      </c>
      <c r="G1192">
        <f>_xlfn.XLOOKUP(F1192,'Wk no''s'!B:B,'Wk no''s'!C:C,0)</f>
        <v>23</v>
      </c>
    </row>
    <row r="1193" spans="1:7" x14ac:dyDescent="0.3">
      <c r="A1193" t="s">
        <v>4077</v>
      </c>
      <c r="B1193" t="s">
        <v>4078</v>
      </c>
      <c r="C1193" t="s">
        <v>4079</v>
      </c>
      <c r="D1193">
        <v>8</v>
      </c>
      <c r="E1193">
        <v>0</v>
      </c>
      <c r="F1193" s="1">
        <v>45812</v>
      </c>
      <c r="G1193">
        <f>_xlfn.XLOOKUP(F1193,'Wk no''s'!B:B,'Wk no''s'!C:C,0)</f>
        <v>23</v>
      </c>
    </row>
    <row r="1194" spans="1:7" x14ac:dyDescent="0.3">
      <c r="A1194" t="s">
        <v>4080</v>
      </c>
      <c r="B1194" t="s">
        <v>4081</v>
      </c>
      <c r="C1194" t="s">
        <v>4082</v>
      </c>
      <c r="D1194">
        <v>0</v>
      </c>
      <c r="E1194">
        <v>1</v>
      </c>
      <c r="F1194" s="1">
        <v>45812</v>
      </c>
      <c r="G1194">
        <f>_xlfn.XLOOKUP(F1194,'Wk no''s'!B:B,'Wk no''s'!C:C,0)</f>
        <v>23</v>
      </c>
    </row>
    <row r="1195" spans="1:7" x14ac:dyDescent="0.3">
      <c r="A1195" t="s">
        <v>4083</v>
      </c>
      <c r="B1195" t="s">
        <v>4084</v>
      </c>
      <c r="C1195" t="s">
        <v>4085</v>
      </c>
      <c r="D1195">
        <v>1</v>
      </c>
      <c r="E1195">
        <v>1</v>
      </c>
      <c r="F1195" s="1">
        <v>45812</v>
      </c>
      <c r="G1195">
        <f>_xlfn.XLOOKUP(F1195,'Wk no''s'!B:B,'Wk no''s'!C:C,0)</f>
        <v>23</v>
      </c>
    </row>
    <row r="1196" spans="1:7" x14ac:dyDescent="0.3">
      <c r="A1196" t="s">
        <v>4086</v>
      </c>
      <c r="B1196" t="s">
        <v>4087</v>
      </c>
      <c r="C1196" t="s">
        <v>4088</v>
      </c>
      <c r="D1196">
        <v>0</v>
      </c>
      <c r="E1196">
        <v>1</v>
      </c>
      <c r="F1196" s="1">
        <v>45812</v>
      </c>
      <c r="G1196">
        <f>_xlfn.XLOOKUP(F1196,'Wk no''s'!B:B,'Wk no''s'!C:C,0)</f>
        <v>23</v>
      </c>
    </row>
    <row r="1197" spans="1:7" x14ac:dyDescent="0.3">
      <c r="A1197" t="s">
        <v>4089</v>
      </c>
      <c r="B1197" t="s">
        <v>4090</v>
      </c>
      <c r="C1197" t="s">
        <v>38</v>
      </c>
      <c r="D1197">
        <v>1</v>
      </c>
      <c r="E1197">
        <v>1</v>
      </c>
      <c r="F1197" s="1">
        <v>45812</v>
      </c>
      <c r="G1197">
        <f>_xlfn.XLOOKUP(F1197,'Wk no''s'!B:B,'Wk no''s'!C:C,0)</f>
        <v>23</v>
      </c>
    </row>
    <row r="1198" spans="1:7" x14ac:dyDescent="0.3">
      <c r="A1198" t="s">
        <v>4091</v>
      </c>
      <c r="B1198" t="s">
        <v>4092</v>
      </c>
      <c r="C1198" t="s">
        <v>4353</v>
      </c>
      <c r="D1198">
        <v>9</v>
      </c>
      <c r="E1198">
        <v>0</v>
      </c>
      <c r="F1198" s="1">
        <v>45812</v>
      </c>
      <c r="G1198">
        <f>_xlfn.XLOOKUP(F1198,'Wk no''s'!B:B,'Wk no''s'!C:C,0)</f>
        <v>23</v>
      </c>
    </row>
    <row r="1199" spans="1:7" x14ac:dyDescent="0.3">
      <c r="A1199" t="s">
        <v>4093</v>
      </c>
      <c r="B1199" t="s">
        <v>4094</v>
      </c>
      <c r="C1199" t="s">
        <v>4095</v>
      </c>
      <c r="D1199">
        <v>0</v>
      </c>
      <c r="E1199">
        <v>1</v>
      </c>
      <c r="F1199" s="1">
        <v>45813</v>
      </c>
      <c r="G1199">
        <f>_xlfn.XLOOKUP(F1199,'Wk no''s'!B:B,'Wk no''s'!C:C,0)</f>
        <v>23</v>
      </c>
    </row>
    <row r="1200" spans="1:7" x14ac:dyDescent="0.3">
      <c r="A1200" t="s">
        <v>4096</v>
      </c>
      <c r="B1200" t="s">
        <v>4097</v>
      </c>
      <c r="C1200" t="s">
        <v>4098</v>
      </c>
      <c r="D1200">
        <v>5</v>
      </c>
      <c r="E1200">
        <v>0</v>
      </c>
      <c r="F1200" s="1">
        <v>45813</v>
      </c>
      <c r="G1200">
        <f>_xlfn.XLOOKUP(F1200,'Wk no''s'!B:B,'Wk no''s'!C:C,0)</f>
        <v>23</v>
      </c>
    </row>
    <row r="1201" spans="1:7" x14ac:dyDescent="0.3">
      <c r="A1201" t="s">
        <v>4099</v>
      </c>
      <c r="C1201" t="s">
        <v>4100</v>
      </c>
      <c r="D1201">
        <v>0</v>
      </c>
      <c r="E1201">
        <v>1</v>
      </c>
      <c r="F1201" s="1">
        <v>45813</v>
      </c>
      <c r="G1201">
        <f>_xlfn.XLOOKUP(F1201,'Wk no''s'!B:B,'Wk no''s'!C:C,0)</f>
        <v>23</v>
      </c>
    </row>
    <row r="1202" spans="1:7" x14ac:dyDescent="0.3">
      <c r="A1202" t="s">
        <v>4101</v>
      </c>
      <c r="B1202" t="s">
        <v>4102</v>
      </c>
      <c r="C1202" t="s">
        <v>1224</v>
      </c>
      <c r="D1202">
        <v>0</v>
      </c>
      <c r="E1202">
        <v>1</v>
      </c>
      <c r="F1202" s="1">
        <v>45813</v>
      </c>
      <c r="G1202">
        <f>_xlfn.XLOOKUP(F1202,'Wk no''s'!B:B,'Wk no''s'!C:C,0)</f>
        <v>23</v>
      </c>
    </row>
    <row r="1203" spans="1:7" x14ac:dyDescent="0.3">
      <c r="A1203" t="s">
        <v>4103</v>
      </c>
      <c r="B1203" t="s">
        <v>4104</v>
      </c>
      <c r="C1203" t="s">
        <v>4105</v>
      </c>
      <c r="D1203">
        <v>2</v>
      </c>
      <c r="E1203">
        <v>0</v>
      </c>
      <c r="F1203" s="1">
        <v>45813</v>
      </c>
      <c r="G1203">
        <f>_xlfn.XLOOKUP(F1203,'Wk no''s'!B:B,'Wk no''s'!C:C,0)</f>
        <v>23</v>
      </c>
    </row>
    <row r="1204" spans="1:7" x14ac:dyDescent="0.3">
      <c r="A1204" t="s">
        <v>4106</v>
      </c>
      <c r="B1204" t="s">
        <v>4107</v>
      </c>
      <c r="C1204" t="s">
        <v>4108</v>
      </c>
      <c r="D1204">
        <v>5</v>
      </c>
      <c r="E1204">
        <v>0</v>
      </c>
      <c r="F1204" s="1">
        <v>45813</v>
      </c>
      <c r="G1204">
        <f>_xlfn.XLOOKUP(F1204,'Wk no''s'!B:B,'Wk no''s'!C:C,0)</f>
        <v>23</v>
      </c>
    </row>
    <row r="1205" spans="1:7" x14ac:dyDescent="0.3">
      <c r="A1205" t="s">
        <v>4109</v>
      </c>
      <c r="B1205" t="s">
        <v>4110</v>
      </c>
      <c r="C1205" t="s">
        <v>4111</v>
      </c>
      <c r="D1205">
        <v>1</v>
      </c>
      <c r="E1205">
        <v>1</v>
      </c>
      <c r="F1205" s="1">
        <v>45813</v>
      </c>
      <c r="G1205">
        <f>_xlfn.XLOOKUP(F1205,'Wk no''s'!B:B,'Wk no''s'!C:C,0)</f>
        <v>23</v>
      </c>
    </row>
    <row r="1206" spans="1:7" x14ac:dyDescent="0.3">
      <c r="A1206" t="s">
        <v>4112</v>
      </c>
      <c r="B1206" t="s">
        <v>4113</v>
      </c>
      <c r="C1206" t="s">
        <v>1544</v>
      </c>
      <c r="D1206">
        <v>5</v>
      </c>
      <c r="E1206">
        <v>0</v>
      </c>
      <c r="F1206" s="1">
        <v>45813</v>
      </c>
      <c r="G1206">
        <f>_xlfn.XLOOKUP(F1206,'Wk no''s'!B:B,'Wk no''s'!C:C,0)</f>
        <v>23</v>
      </c>
    </row>
    <row r="1207" spans="1:7" x14ac:dyDescent="0.3">
      <c r="A1207" t="s">
        <v>4114</v>
      </c>
      <c r="B1207" t="s">
        <v>4115</v>
      </c>
      <c r="C1207" t="s">
        <v>1194</v>
      </c>
      <c r="D1207">
        <v>3</v>
      </c>
      <c r="E1207">
        <v>0</v>
      </c>
      <c r="F1207" s="1">
        <v>45813</v>
      </c>
      <c r="G1207">
        <f>_xlfn.XLOOKUP(F1207,'Wk no''s'!B:B,'Wk no''s'!C:C,0)</f>
        <v>23</v>
      </c>
    </row>
    <row r="1208" spans="1:7" x14ac:dyDescent="0.3">
      <c r="A1208" t="s">
        <v>4116</v>
      </c>
      <c r="B1208" t="s">
        <v>4117</v>
      </c>
      <c r="C1208" t="s">
        <v>2270</v>
      </c>
      <c r="D1208">
        <v>6</v>
      </c>
      <c r="E1208">
        <v>0</v>
      </c>
      <c r="F1208" s="1">
        <v>45813</v>
      </c>
      <c r="G1208">
        <f>_xlfn.XLOOKUP(F1208,'Wk no''s'!B:B,'Wk no''s'!C:C,0)</f>
        <v>23</v>
      </c>
    </row>
    <row r="1209" spans="1:7" x14ac:dyDescent="0.3">
      <c r="A1209" t="s">
        <v>4118</v>
      </c>
      <c r="B1209" t="s">
        <v>4119</v>
      </c>
      <c r="C1209" t="s">
        <v>1693</v>
      </c>
      <c r="D1209">
        <v>0</v>
      </c>
      <c r="E1209">
        <v>1</v>
      </c>
      <c r="F1209" s="1">
        <v>45813</v>
      </c>
      <c r="G1209">
        <f>_xlfn.XLOOKUP(F1209,'Wk no''s'!B:B,'Wk no''s'!C:C,0)</f>
        <v>23</v>
      </c>
    </row>
    <row r="1210" spans="1:7" x14ac:dyDescent="0.3">
      <c r="A1210" t="s">
        <v>4120</v>
      </c>
      <c r="B1210" t="s">
        <v>4121</v>
      </c>
      <c r="C1210" t="s">
        <v>2259</v>
      </c>
      <c r="D1210">
        <v>0</v>
      </c>
      <c r="E1210">
        <v>1</v>
      </c>
      <c r="F1210" s="1">
        <v>45813</v>
      </c>
      <c r="G1210">
        <f>_xlfn.XLOOKUP(F1210,'Wk no''s'!B:B,'Wk no''s'!C:C,0)</f>
        <v>23</v>
      </c>
    </row>
    <row r="1211" spans="1:7" x14ac:dyDescent="0.3">
      <c r="A1211" t="s">
        <v>4122</v>
      </c>
      <c r="B1211" t="s">
        <v>4123</v>
      </c>
      <c r="C1211" t="s">
        <v>3285</v>
      </c>
      <c r="D1211">
        <v>2</v>
      </c>
      <c r="E1211">
        <v>0</v>
      </c>
      <c r="F1211" s="1">
        <v>45814</v>
      </c>
      <c r="G1211">
        <f>_xlfn.XLOOKUP(F1211,'Wk no''s'!B:B,'Wk no''s'!C:C,0)</f>
        <v>23</v>
      </c>
    </row>
    <row r="1212" spans="1:7" x14ac:dyDescent="0.3">
      <c r="A1212" t="s">
        <v>4124</v>
      </c>
      <c r="B1212" t="s">
        <v>4125</v>
      </c>
      <c r="C1212" t="s">
        <v>4126</v>
      </c>
      <c r="D1212">
        <v>0</v>
      </c>
      <c r="E1212">
        <v>1</v>
      </c>
      <c r="F1212" s="1">
        <v>45814</v>
      </c>
      <c r="G1212">
        <f>_xlfn.XLOOKUP(F1212,'Wk no''s'!B:B,'Wk no''s'!C:C,0)</f>
        <v>23</v>
      </c>
    </row>
    <row r="1213" spans="1:7" x14ac:dyDescent="0.3">
      <c r="A1213" t="s">
        <v>4129</v>
      </c>
      <c r="B1213" t="s">
        <v>4130</v>
      </c>
      <c r="C1213" t="s">
        <v>2832</v>
      </c>
      <c r="D1213">
        <v>1</v>
      </c>
      <c r="E1213">
        <v>1</v>
      </c>
      <c r="F1213" s="1">
        <v>45817</v>
      </c>
      <c r="G1213">
        <f>_xlfn.XLOOKUP(F1213,'Wk no''s'!B:B,'Wk no''s'!C:C,0)</f>
        <v>24</v>
      </c>
    </row>
    <row r="1214" spans="1:7" x14ac:dyDescent="0.3">
      <c r="A1214" t="s">
        <v>4131</v>
      </c>
      <c r="B1214" t="s">
        <v>4132</v>
      </c>
      <c r="C1214" t="s">
        <v>4133</v>
      </c>
      <c r="D1214">
        <v>2</v>
      </c>
      <c r="E1214">
        <v>0</v>
      </c>
      <c r="F1214" s="1">
        <v>45817</v>
      </c>
      <c r="G1214">
        <f>_xlfn.XLOOKUP(F1214,'Wk no''s'!B:B,'Wk no''s'!C:C,0)</f>
        <v>24</v>
      </c>
    </row>
    <row r="1215" spans="1:7" x14ac:dyDescent="0.3">
      <c r="A1215" t="s">
        <v>4134</v>
      </c>
      <c r="B1215" t="s">
        <v>4135</v>
      </c>
      <c r="C1215" t="s">
        <v>4136</v>
      </c>
      <c r="D1215">
        <v>0</v>
      </c>
      <c r="E1215">
        <v>1</v>
      </c>
      <c r="F1215" s="1">
        <v>45817</v>
      </c>
      <c r="G1215">
        <f>_xlfn.XLOOKUP(F1215,'Wk no''s'!B:B,'Wk no''s'!C:C,0)</f>
        <v>24</v>
      </c>
    </row>
    <row r="1216" spans="1:7" x14ac:dyDescent="0.3">
      <c r="A1216" t="s">
        <v>4137</v>
      </c>
      <c r="B1216" t="s">
        <v>4138</v>
      </c>
      <c r="C1216" t="s">
        <v>4139</v>
      </c>
      <c r="D1216">
        <v>0</v>
      </c>
      <c r="E1216">
        <v>1</v>
      </c>
      <c r="F1216" s="1">
        <v>45817</v>
      </c>
      <c r="G1216">
        <f>_xlfn.XLOOKUP(F1216,'Wk no''s'!B:B,'Wk no''s'!C:C,0)</f>
        <v>24</v>
      </c>
    </row>
    <row r="1217" spans="1:7" x14ac:dyDescent="0.3">
      <c r="A1217" t="s">
        <v>4140</v>
      </c>
      <c r="B1217" t="s">
        <v>4141</v>
      </c>
      <c r="C1217" t="s">
        <v>5653</v>
      </c>
      <c r="D1217">
        <v>3</v>
      </c>
      <c r="E1217">
        <v>0</v>
      </c>
      <c r="F1217" s="1">
        <v>45817</v>
      </c>
      <c r="G1217">
        <f>_xlfn.XLOOKUP(F1217,'Wk no''s'!B:B,'Wk no''s'!C:C,0)</f>
        <v>24</v>
      </c>
    </row>
    <row r="1218" spans="1:7" x14ac:dyDescent="0.3">
      <c r="A1218" t="s">
        <v>4142</v>
      </c>
      <c r="B1218" t="s">
        <v>4143</v>
      </c>
      <c r="C1218" t="s">
        <v>386</v>
      </c>
      <c r="D1218">
        <v>0</v>
      </c>
      <c r="E1218">
        <v>1</v>
      </c>
      <c r="F1218" s="1">
        <v>45817</v>
      </c>
      <c r="G1218">
        <f>_xlfn.XLOOKUP(F1218,'Wk no''s'!B:B,'Wk no''s'!C:C,0)</f>
        <v>24</v>
      </c>
    </row>
    <row r="1219" spans="1:7" x14ac:dyDescent="0.3">
      <c r="A1219" t="s">
        <v>4144</v>
      </c>
      <c r="B1219" t="s">
        <v>4145</v>
      </c>
      <c r="C1219" t="s">
        <v>2479</v>
      </c>
      <c r="D1219">
        <v>0</v>
      </c>
      <c r="E1219">
        <v>1</v>
      </c>
      <c r="F1219" s="1">
        <v>45817</v>
      </c>
      <c r="G1219">
        <f>_xlfn.XLOOKUP(F1219,'Wk no''s'!B:B,'Wk no''s'!C:C,0)</f>
        <v>24</v>
      </c>
    </row>
    <row r="1220" spans="1:7" x14ac:dyDescent="0.3">
      <c r="A1220" t="s">
        <v>4146</v>
      </c>
      <c r="B1220" t="s">
        <v>4147</v>
      </c>
      <c r="C1220" t="s">
        <v>4148</v>
      </c>
      <c r="D1220">
        <v>3</v>
      </c>
      <c r="E1220">
        <v>0</v>
      </c>
      <c r="F1220" s="1">
        <v>45817</v>
      </c>
      <c r="G1220">
        <f>_xlfn.XLOOKUP(F1220,'Wk no''s'!B:B,'Wk no''s'!C:C,0)</f>
        <v>24</v>
      </c>
    </row>
    <row r="1221" spans="1:7" x14ac:dyDescent="0.3">
      <c r="A1221" t="s">
        <v>4149</v>
      </c>
      <c r="B1221" t="s">
        <v>4150</v>
      </c>
      <c r="C1221" t="s">
        <v>407</v>
      </c>
      <c r="D1221">
        <v>4</v>
      </c>
      <c r="E1221">
        <v>0</v>
      </c>
      <c r="F1221" s="1">
        <v>45817</v>
      </c>
      <c r="G1221">
        <f>_xlfn.XLOOKUP(F1221,'Wk no''s'!B:B,'Wk no''s'!C:C,0)</f>
        <v>24</v>
      </c>
    </row>
    <row r="1222" spans="1:7" x14ac:dyDescent="0.3">
      <c r="A1222" t="s">
        <v>4151</v>
      </c>
      <c r="B1222" t="s">
        <v>4152</v>
      </c>
      <c r="C1222" t="s">
        <v>2789</v>
      </c>
      <c r="D1222">
        <v>81</v>
      </c>
      <c r="E1222">
        <v>0</v>
      </c>
      <c r="F1222" s="1">
        <v>45817</v>
      </c>
      <c r="G1222">
        <f>_xlfn.XLOOKUP(F1222,'Wk no''s'!B:B,'Wk no''s'!C:C,0)</f>
        <v>24</v>
      </c>
    </row>
    <row r="1223" spans="1:7" x14ac:dyDescent="0.3">
      <c r="A1223" t="s">
        <v>4153</v>
      </c>
      <c r="B1223" t="s">
        <v>4154</v>
      </c>
      <c r="C1223" t="s">
        <v>1446</v>
      </c>
      <c r="D1223">
        <v>0</v>
      </c>
      <c r="E1223">
        <v>1</v>
      </c>
      <c r="F1223" s="1">
        <v>45818</v>
      </c>
      <c r="G1223">
        <f>_xlfn.XLOOKUP(F1223,'Wk no''s'!B:B,'Wk no''s'!C:C,0)</f>
        <v>24</v>
      </c>
    </row>
    <row r="1224" spans="1:7" x14ac:dyDescent="0.3">
      <c r="A1224" t="s">
        <v>4155</v>
      </c>
      <c r="B1224" t="s">
        <v>4156</v>
      </c>
      <c r="C1224" t="s">
        <v>1343</v>
      </c>
      <c r="D1224">
        <v>0</v>
      </c>
      <c r="E1224">
        <v>1</v>
      </c>
      <c r="F1224" s="1">
        <v>45818</v>
      </c>
      <c r="G1224">
        <f>_xlfn.XLOOKUP(F1224,'Wk no''s'!B:B,'Wk no''s'!C:C,0)</f>
        <v>24</v>
      </c>
    </row>
    <row r="1225" spans="1:7" x14ac:dyDescent="0.3">
      <c r="A1225" t="s">
        <v>4157</v>
      </c>
      <c r="B1225" t="s">
        <v>4158</v>
      </c>
      <c r="C1225" t="s">
        <v>4353</v>
      </c>
      <c r="D1225">
        <v>0</v>
      </c>
      <c r="E1225">
        <v>1</v>
      </c>
      <c r="F1225" s="1">
        <v>45818</v>
      </c>
      <c r="G1225">
        <f>_xlfn.XLOOKUP(F1225,'Wk no''s'!B:B,'Wk no''s'!C:C,0)</f>
        <v>24</v>
      </c>
    </row>
    <row r="1226" spans="1:7" x14ac:dyDescent="0.3">
      <c r="A1226" t="s">
        <v>4159</v>
      </c>
      <c r="B1226" t="s">
        <v>4160</v>
      </c>
      <c r="C1226" t="s">
        <v>1343</v>
      </c>
      <c r="D1226">
        <v>0</v>
      </c>
      <c r="E1226">
        <v>1</v>
      </c>
      <c r="F1226" s="1">
        <v>45818</v>
      </c>
      <c r="G1226">
        <f>_xlfn.XLOOKUP(F1226,'Wk no''s'!B:B,'Wk no''s'!C:C,0)</f>
        <v>24</v>
      </c>
    </row>
    <row r="1227" spans="1:7" x14ac:dyDescent="0.3">
      <c r="A1227" t="s">
        <v>4161</v>
      </c>
      <c r="B1227" t="s">
        <v>4162</v>
      </c>
      <c r="C1227" t="s">
        <v>27</v>
      </c>
      <c r="D1227">
        <v>1</v>
      </c>
      <c r="E1227">
        <v>1</v>
      </c>
      <c r="F1227" s="1">
        <v>45818</v>
      </c>
      <c r="G1227">
        <f>_xlfn.XLOOKUP(F1227,'Wk no''s'!B:B,'Wk no''s'!C:C,0)</f>
        <v>24</v>
      </c>
    </row>
    <row r="1228" spans="1:7" x14ac:dyDescent="0.3">
      <c r="A1228" t="s">
        <v>4163</v>
      </c>
      <c r="B1228" t="s">
        <v>4164</v>
      </c>
      <c r="C1228" t="s">
        <v>4165</v>
      </c>
      <c r="D1228">
        <v>2</v>
      </c>
      <c r="E1228">
        <v>0</v>
      </c>
      <c r="F1228" s="1">
        <v>45818</v>
      </c>
      <c r="G1228">
        <f>_xlfn.XLOOKUP(F1228,'Wk no''s'!B:B,'Wk no''s'!C:C,0)</f>
        <v>24</v>
      </c>
    </row>
    <row r="1229" spans="1:7" x14ac:dyDescent="0.3">
      <c r="A1229" t="s">
        <v>4166</v>
      </c>
      <c r="B1229" t="s">
        <v>4167</v>
      </c>
      <c r="C1229" t="s">
        <v>4168</v>
      </c>
      <c r="D1229">
        <v>1</v>
      </c>
      <c r="E1229">
        <v>1</v>
      </c>
      <c r="F1229" s="1">
        <v>45818</v>
      </c>
      <c r="G1229">
        <f>_xlfn.XLOOKUP(F1229,'Wk no''s'!B:B,'Wk no''s'!C:C,0)</f>
        <v>24</v>
      </c>
    </row>
    <row r="1230" spans="1:7" x14ac:dyDescent="0.3">
      <c r="A1230" t="s">
        <v>4169</v>
      </c>
      <c r="B1230" t="s">
        <v>4170</v>
      </c>
      <c r="C1230" t="s">
        <v>3644</v>
      </c>
      <c r="D1230">
        <v>2</v>
      </c>
      <c r="E1230">
        <v>0</v>
      </c>
      <c r="F1230" s="1">
        <v>45818</v>
      </c>
      <c r="G1230">
        <f>_xlfn.XLOOKUP(F1230,'Wk no''s'!B:B,'Wk no''s'!C:C,0)</f>
        <v>24</v>
      </c>
    </row>
    <row r="1231" spans="1:7" x14ac:dyDescent="0.3">
      <c r="A1231" t="s">
        <v>4171</v>
      </c>
      <c r="B1231" t="s">
        <v>4172</v>
      </c>
      <c r="C1231" t="s">
        <v>4173</v>
      </c>
      <c r="D1231">
        <v>3</v>
      </c>
      <c r="E1231">
        <v>0</v>
      </c>
      <c r="F1231" s="1">
        <v>45818</v>
      </c>
      <c r="G1231">
        <f>_xlfn.XLOOKUP(F1231,'Wk no''s'!B:B,'Wk no''s'!C:C,0)</f>
        <v>24</v>
      </c>
    </row>
    <row r="1232" spans="1:7" x14ac:dyDescent="0.3">
      <c r="A1232" t="s">
        <v>4174</v>
      </c>
      <c r="B1232" t="s">
        <v>4175</v>
      </c>
      <c r="C1232" t="s">
        <v>3517</v>
      </c>
      <c r="D1232">
        <v>0</v>
      </c>
      <c r="E1232">
        <v>1</v>
      </c>
      <c r="F1232" s="1">
        <v>45818</v>
      </c>
      <c r="G1232">
        <f>_xlfn.XLOOKUP(F1232,'Wk no''s'!B:B,'Wk no''s'!C:C,0)</f>
        <v>24</v>
      </c>
    </row>
    <row r="1233" spans="1:7" x14ac:dyDescent="0.3">
      <c r="A1233" t="s">
        <v>4176</v>
      </c>
      <c r="B1233" t="s">
        <v>4177</v>
      </c>
      <c r="C1233" t="s">
        <v>2681</v>
      </c>
      <c r="D1233">
        <v>6</v>
      </c>
      <c r="E1233">
        <v>0</v>
      </c>
      <c r="F1233" s="1">
        <v>45818</v>
      </c>
      <c r="G1233">
        <f>_xlfn.XLOOKUP(F1233,'Wk no''s'!B:B,'Wk no''s'!C:C,0)</f>
        <v>24</v>
      </c>
    </row>
    <row r="1234" spans="1:7" x14ac:dyDescent="0.3">
      <c r="A1234" t="s">
        <v>4178</v>
      </c>
      <c r="B1234" t="s">
        <v>4179</v>
      </c>
      <c r="C1234" t="s">
        <v>4180</v>
      </c>
      <c r="D1234">
        <v>3</v>
      </c>
      <c r="E1234">
        <v>0</v>
      </c>
      <c r="F1234" s="1">
        <v>45818</v>
      </c>
      <c r="G1234">
        <f>_xlfn.XLOOKUP(F1234,'Wk no''s'!B:B,'Wk no''s'!C:C,0)</f>
        <v>24</v>
      </c>
    </row>
    <row r="1235" spans="1:7" x14ac:dyDescent="0.3">
      <c r="A1235" t="s">
        <v>4181</v>
      </c>
      <c r="B1235" t="s">
        <v>4182</v>
      </c>
      <c r="C1235" t="s">
        <v>4183</v>
      </c>
      <c r="D1235">
        <v>2</v>
      </c>
      <c r="E1235">
        <v>0</v>
      </c>
      <c r="F1235" s="1">
        <v>45819</v>
      </c>
      <c r="G1235">
        <f>_xlfn.XLOOKUP(F1235,'Wk no''s'!B:B,'Wk no''s'!C:C,0)</f>
        <v>24</v>
      </c>
    </row>
    <row r="1236" spans="1:7" x14ac:dyDescent="0.3">
      <c r="A1236" t="s">
        <v>4184</v>
      </c>
      <c r="B1236" t="s">
        <v>4185</v>
      </c>
      <c r="C1236" t="s">
        <v>1194</v>
      </c>
      <c r="D1236">
        <v>3</v>
      </c>
      <c r="E1236">
        <v>0</v>
      </c>
      <c r="F1236" s="1">
        <v>45819</v>
      </c>
      <c r="G1236">
        <f>_xlfn.XLOOKUP(F1236,'Wk no''s'!B:B,'Wk no''s'!C:C,0)</f>
        <v>24</v>
      </c>
    </row>
    <row r="1237" spans="1:7" x14ac:dyDescent="0.3">
      <c r="A1237" t="s">
        <v>4186</v>
      </c>
      <c r="B1237" t="s">
        <v>4187</v>
      </c>
      <c r="C1237" t="s">
        <v>4188</v>
      </c>
      <c r="D1237">
        <v>2</v>
      </c>
      <c r="E1237">
        <v>0</v>
      </c>
      <c r="F1237" s="1">
        <v>45819</v>
      </c>
      <c r="G1237">
        <f>_xlfn.XLOOKUP(F1237,'Wk no''s'!B:B,'Wk no''s'!C:C,0)</f>
        <v>24</v>
      </c>
    </row>
    <row r="1238" spans="1:7" x14ac:dyDescent="0.3">
      <c r="A1238" t="s">
        <v>4189</v>
      </c>
      <c r="B1238" t="s">
        <v>4190</v>
      </c>
      <c r="C1238" t="s">
        <v>4191</v>
      </c>
      <c r="D1238">
        <v>1</v>
      </c>
      <c r="E1238">
        <v>1</v>
      </c>
      <c r="F1238" s="1">
        <v>45819</v>
      </c>
      <c r="G1238">
        <f>_xlfn.XLOOKUP(F1238,'Wk no''s'!B:B,'Wk no''s'!C:C,0)</f>
        <v>24</v>
      </c>
    </row>
    <row r="1239" spans="1:7" x14ac:dyDescent="0.3">
      <c r="A1239" t="s">
        <v>4192</v>
      </c>
      <c r="B1239" t="s">
        <v>4193</v>
      </c>
      <c r="C1239" t="s">
        <v>4194</v>
      </c>
      <c r="D1239">
        <v>1</v>
      </c>
      <c r="E1239">
        <v>1</v>
      </c>
      <c r="F1239" s="1">
        <v>45819</v>
      </c>
      <c r="G1239">
        <f>_xlfn.XLOOKUP(F1239,'Wk no''s'!B:B,'Wk no''s'!C:C,0)</f>
        <v>24</v>
      </c>
    </row>
    <row r="1240" spans="1:7" x14ac:dyDescent="0.3">
      <c r="A1240" t="s">
        <v>4195</v>
      </c>
      <c r="B1240" t="s">
        <v>4196</v>
      </c>
      <c r="C1240" t="s">
        <v>1243</v>
      </c>
      <c r="D1240">
        <v>1</v>
      </c>
      <c r="E1240">
        <v>1</v>
      </c>
      <c r="F1240" s="1">
        <v>45819</v>
      </c>
      <c r="G1240">
        <f>_xlfn.XLOOKUP(F1240,'Wk no''s'!B:B,'Wk no''s'!C:C,0)</f>
        <v>24</v>
      </c>
    </row>
    <row r="1241" spans="1:7" x14ac:dyDescent="0.3">
      <c r="A1241" t="s">
        <v>4197</v>
      </c>
      <c r="B1241" t="s">
        <v>4198</v>
      </c>
      <c r="C1241" t="s">
        <v>228</v>
      </c>
      <c r="D1241">
        <v>5</v>
      </c>
      <c r="E1241">
        <v>0</v>
      </c>
      <c r="F1241" s="1">
        <v>45819</v>
      </c>
      <c r="G1241">
        <f>_xlfn.XLOOKUP(F1241,'Wk no''s'!B:B,'Wk no''s'!C:C,0)</f>
        <v>24</v>
      </c>
    </row>
    <row r="1242" spans="1:7" x14ac:dyDescent="0.3">
      <c r="A1242" t="s">
        <v>4199</v>
      </c>
      <c r="B1242" t="s">
        <v>4200</v>
      </c>
      <c r="C1242" t="s">
        <v>2421</v>
      </c>
      <c r="D1242">
        <v>1</v>
      </c>
      <c r="E1242">
        <v>1</v>
      </c>
      <c r="F1242" s="1">
        <v>45819</v>
      </c>
      <c r="G1242">
        <f>_xlfn.XLOOKUP(F1242,'Wk no''s'!B:B,'Wk no''s'!C:C,0)</f>
        <v>24</v>
      </c>
    </row>
    <row r="1243" spans="1:7" x14ac:dyDescent="0.3">
      <c r="A1243" t="s">
        <v>4201</v>
      </c>
      <c r="B1243" t="s">
        <v>4202</v>
      </c>
      <c r="C1243" t="s">
        <v>4203</v>
      </c>
      <c r="D1243">
        <v>2</v>
      </c>
      <c r="E1243">
        <v>0</v>
      </c>
      <c r="F1243" s="1">
        <v>45819</v>
      </c>
      <c r="G1243">
        <f>_xlfn.XLOOKUP(F1243,'Wk no''s'!B:B,'Wk no''s'!C:C,0)</f>
        <v>24</v>
      </c>
    </row>
    <row r="1244" spans="1:7" x14ac:dyDescent="0.3">
      <c r="A1244" t="s">
        <v>4204</v>
      </c>
      <c r="B1244" t="s">
        <v>4205</v>
      </c>
      <c r="C1244" t="s">
        <v>530</v>
      </c>
      <c r="D1244">
        <v>5</v>
      </c>
      <c r="E1244">
        <v>0</v>
      </c>
      <c r="F1244" s="1">
        <v>45819</v>
      </c>
      <c r="G1244">
        <f>_xlfn.XLOOKUP(F1244,'Wk no''s'!B:B,'Wk no''s'!C:C,0)</f>
        <v>24</v>
      </c>
    </row>
    <row r="1245" spans="1:7" x14ac:dyDescent="0.3">
      <c r="A1245" t="s">
        <v>4206</v>
      </c>
      <c r="B1245" t="s">
        <v>4207</v>
      </c>
      <c r="C1245" t="s">
        <v>1248</v>
      </c>
      <c r="D1245">
        <v>1</v>
      </c>
      <c r="E1245">
        <v>1</v>
      </c>
      <c r="F1245" s="1">
        <v>45819</v>
      </c>
      <c r="G1245">
        <f>_xlfn.XLOOKUP(F1245,'Wk no''s'!B:B,'Wk no''s'!C:C,0)</f>
        <v>24</v>
      </c>
    </row>
    <row r="1246" spans="1:7" x14ac:dyDescent="0.3">
      <c r="A1246" t="s">
        <v>4208</v>
      </c>
      <c r="B1246" t="s">
        <v>4209</v>
      </c>
      <c r="C1246" t="s">
        <v>4210</v>
      </c>
      <c r="D1246">
        <v>0</v>
      </c>
      <c r="E1246">
        <v>1</v>
      </c>
      <c r="F1246" s="1">
        <v>45820</v>
      </c>
      <c r="G1246">
        <f>_xlfn.XLOOKUP(F1246,'Wk no''s'!B:B,'Wk no''s'!C:C,0)</f>
        <v>24</v>
      </c>
    </row>
    <row r="1247" spans="1:7" x14ac:dyDescent="0.3">
      <c r="A1247" t="s">
        <v>4211</v>
      </c>
      <c r="B1247" t="s">
        <v>4212</v>
      </c>
      <c r="C1247" t="s">
        <v>1298</v>
      </c>
      <c r="D1247">
        <v>2</v>
      </c>
      <c r="E1247">
        <v>0</v>
      </c>
      <c r="F1247" s="1">
        <v>45820</v>
      </c>
      <c r="G1247">
        <f>_xlfn.XLOOKUP(F1247,'Wk no''s'!B:B,'Wk no''s'!C:C,0)</f>
        <v>24</v>
      </c>
    </row>
    <row r="1248" spans="1:7" x14ac:dyDescent="0.3">
      <c r="A1248" t="s">
        <v>4213</v>
      </c>
      <c r="B1248" t="s">
        <v>4214</v>
      </c>
      <c r="C1248" t="s">
        <v>4215</v>
      </c>
      <c r="D1248">
        <v>8</v>
      </c>
      <c r="E1248">
        <v>0</v>
      </c>
      <c r="F1248" s="1">
        <v>45820</v>
      </c>
      <c r="G1248">
        <f>_xlfn.XLOOKUP(F1248,'Wk no''s'!B:B,'Wk no''s'!C:C,0)</f>
        <v>24</v>
      </c>
    </row>
    <row r="1249" spans="1:7" x14ac:dyDescent="0.3">
      <c r="A1249" t="s">
        <v>4216</v>
      </c>
      <c r="B1249" t="s">
        <v>4217</v>
      </c>
      <c r="C1249" t="s">
        <v>1544</v>
      </c>
      <c r="D1249">
        <v>0</v>
      </c>
      <c r="E1249">
        <v>1</v>
      </c>
      <c r="F1249" s="1">
        <v>45820</v>
      </c>
      <c r="G1249">
        <f>_xlfn.XLOOKUP(F1249,'Wk no''s'!B:B,'Wk no''s'!C:C,0)</f>
        <v>24</v>
      </c>
    </row>
    <row r="1250" spans="1:7" x14ac:dyDescent="0.3">
      <c r="A1250" t="s">
        <v>4218</v>
      </c>
      <c r="B1250" t="s">
        <v>4219</v>
      </c>
      <c r="C1250" t="s">
        <v>3993</v>
      </c>
      <c r="D1250">
        <v>0</v>
      </c>
      <c r="E1250">
        <v>1</v>
      </c>
      <c r="F1250" s="1">
        <v>45820</v>
      </c>
      <c r="G1250">
        <f>_xlfn.XLOOKUP(F1250,'Wk no''s'!B:B,'Wk no''s'!C:C,0)</f>
        <v>24</v>
      </c>
    </row>
    <row r="1251" spans="1:7" x14ac:dyDescent="0.3">
      <c r="A1251" t="s">
        <v>4220</v>
      </c>
      <c r="B1251" t="s">
        <v>4221</v>
      </c>
      <c r="C1251" t="s">
        <v>2870</v>
      </c>
      <c r="D1251">
        <v>1</v>
      </c>
      <c r="E1251">
        <v>1</v>
      </c>
      <c r="F1251" s="1">
        <v>45820</v>
      </c>
      <c r="G1251">
        <f>_xlfn.XLOOKUP(F1251,'Wk no''s'!B:B,'Wk no''s'!C:C,0)</f>
        <v>24</v>
      </c>
    </row>
    <row r="1252" spans="1:7" x14ac:dyDescent="0.3">
      <c r="A1252" t="s">
        <v>4222</v>
      </c>
      <c r="B1252" t="s">
        <v>4223</v>
      </c>
      <c r="C1252" t="s">
        <v>4224</v>
      </c>
      <c r="D1252">
        <v>0</v>
      </c>
      <c r="E1252">
        <v>1</v>
      </c>
      <c r="F1252" s="1">
        <v>45820</v>
      </c>
      <c r="G1252">
        <f>_xlfn.XLOOKUP(F1252,'Wk no''s'!B:B,'Wk no''s'!C:C,0)</f>
        <v>24</v>
      </c>
    </row>
    <row r="1253" spans="1:7" x14ac:dyDescent="0.3">
      <c r="A1253" t="s">
        <v>4225</v>
      </c>
      <c r="B1253" t="s">
        <v>4226</v>
      </c>
      <c r="C1253" t="s">
        <v>4227</v>
      </c>
      <c r="D1253">
        <v>1</v>
      </c>
      <c r="E1253">
        <v>1</v>
      </c>
      <c r="F1253" s="1">
        <v>45820</v>
      </c>
      <c r="G1253">
        <f>_xlfn.XLOOKUP(F1253,'Wk no''s'!B:B,'Wk no''s'!C:C,0)</f>
        <v>24</v>
      </c>
    </row>
    <row r="1254" spans="1:7" x14ac:dyDescent="0.3">
      <c r="A1254" t="s">
        <v>4228</v>
      </c>
      <c r="B1254" t="s">
        <v>4229</v>
      </c>
      <c r="C1254" t="s">
        <v>1169</v>
      </c>
      <c r="D1254">
        <v>5</v>
      </c>
      <c r="E1254">
        <v>0</v>
      </c>
      <c r="F1254" s="1">
        <v>45820</v>
      </c>
      <c r="G1254">
        <f>_xlfn.XLOOKUP(F1254,'Wk no''s'!B:B,'Wk no''s'!C:C,0)</f>
        <v>24</v>
      </c>
    </row>
    <row r="1255" spans="1:7" x14ac:dyDescent="0.3">
      <c r="A1255" t="s">
        <v>4230</v>
      </c>
      <c r="B1255" t="s">
        <v>4231</v>
      </c>
      <c r="C1255" t="s">
        <v>4232</v>
      </c>
      <c r="D1255">
        <v>5</v>
      </c>
      <c r="E1255">
        <v>0</v>
      </c>
      <c r="F1255" s="1">
        <v>45820</v>
      </c>
      <c r="G1255">
        <f>_xlfn.XLOOKUP(F1255,'Wk no''s'!B:B,'Wk no''s'!C:C,0)</f>
        <v>24</v>
      </c>
    </row>
    <row r="1256" spans="1:7" x14ac:dyDescent="0.3">
      <c r="A1256" t="s">
        <v>4233</v>
      </c>
      <c r="B1256" t="s">
        <v>4234</v>
      </c>
      <c r="C1256" t="s">
        <v>1995</v>
      </c>
      <c r="D1256">
        <v>0</v>
      </c>
      <c r="E1256">
        <v>1</v>
      </c>
      <c r="F1256" s="1">
        <v>45820</v>
      </c>
      <c r="G1256">
        <f>_xlfn.XLOOKUP(F1256,'Wk no''s'!B:B,'Wk no''s'!C:C,0)</f>
        <v>24</v>
      </c>
    </row>
    <row r="1257" spans="1:7" x14ac:dyDescent="0.3">
      <c r="A1257" t="s">
        <v>4235</v>
      </c>
      <c r="B1257" t="s">
        <v>4236</v>
      </c>
      <c r="C1257" t="s">
        <v>2789</v>
      </c>
      <c r="D1257">
        <v>2</v>
      </c>
      <c r="E1257">
        <v>0</v>
      </c>
      <c r="F1257" s="1">
        <v>45820</v>
      </c>
      <c r="G1257">
        <f>_xlfn.XLOOKUP(F1257,'Wk no''s'!B:B,'Wk no''s'!C:C,0)</f>
        <v>24</v>
      </c>
    </row>
    <row r="1258" spans="1:7" x14ac:dyDescent="0.3">
      <c r="A1258" t="s">
        <v>4237</v>
      </c>
      <c r="B1258" t="s">
        <v>4238</v>
      </c>
      <c r="C1258" t="s">
        <v>197</v>
      </c>
      <c r="D1258">
        <v>4</v>
      </c>
      <c r="E1258">
        <v>0</v>
      </c>
      <c r="F1258" s="1">
        <v>45821</v>
      </c>
      <c r="G1258">
        <f>_xlfn.XLOOKUP(F1258,'Wk no''s'!B:B,'Wk no''s'!C:C,0)</f>
        <v>24</v>
      </c>
    </row>
    <row r="1259" spans="1:7" x14ac:dyDescent="0.3">
      <c r="A1259" t="s">
        <v>4239</v>
      </c>
      <c r="B1259" t="s">
        <v>4240</v>
      </c>
      <c r="C1259" t="s">
        <v>4241</v>
      </c>
      <c r="D1259">
        <v>0</v>
      </c>
      <c r="E1259">
        <v>1</v>
      </c>
      <c r="F1259" s="1">
        <v>45821</v>
      </c>
      <c r="G1259">
        <f>_xlfn.XLOOKUP(F1259,'Wk no''s'!B:B,'Wk no''s'!C:C,0)</f>
        <v>24</v>
      </c>
    </row>
    <row r="1260" spans="1:7" x14ac:dyDescent="0.3">
      <c r="A1260" t="s">
        <v>4242</v>
      </c>
      <c r="B1260" t="s">
        <v>4243</v>
      </c>
      <c r="C1260" t="s">
        <v>4244</v>
      </c>
      <c r="D1260">
        <v>2</v>
      </c>
      <c r="E1260">
        <v>0</v>
      </c>
      <c r="F1260" s="1">
        <v>45821</v>
      </c>
      <c r="G1260">
        <f>_xlfn.XLOOKUP(F1260,'Wk no''s'!B:B,'Wk no''s'!C:C,0)</f>
        <v>24</v>
      </c>
    </row>
    <row r="1261" spans="1:7" x14ac:dyDescent="0.3">
      <c r="A1261" t="s">
        <v>4245</v>
      </c>
      <c r="B1261" t="s">
        <v>4246</v>
      </c>
      <c r="C1261" t="s">
        <v>4247</v>
      </c>
      <c r="D1261">
        <v>0</v>
      </c>
      <c r="E1261">
        <v>1</v>
      </c>
      <c r="F1261" s="1">
        <v>45821</v>
      </c>
      <c r="G1261">
        <f>_xlfn.XLOOKUP(F1261,'Wk no''s'!B:B,'Wk no''s'!C:C,0)</f>
        <v>24</v>
      </c>
    </row>
    <row r="1262" spans="1:7" x14ac:dyDescent="0.3">
      <c r="A1262" t="s">
        <v>4248</v>
      </c>
      <c r="B1262" t="s">
        <v>4249</v>
      </c>
      <c r="C1262" t="s">
        <v>4250</v>
      </c>
      <c r="D1262">
        <v>4</v>
      </c>
      <c r="E1262">
        <v>0</v>
      </c>
      <c r="F1262" s="1">
        <v>45821</v>
      </c>
      <c r="G1262">
        <f>_xlfn.XLOOKUP(F1262,'Wk no''s'!B:B,'Wk no''s'!C:C,0)</f>
        <v>24</v>
      </c>
    </row>
    <row r="1263" spans="1:7" x14ac:dyDescent="0.3">
      <c r="A1263" t="s">
        <v>4251</v>
      </c>
      <c r="B1263" t="s">
        <v>4252</v>
      </c>
      <c r="C1263" t="s">
        <v>2451</v>
      </c>
      <c r="D1263">
        <v>0</v>
      </c>
      <c r="E1263">
        <v>1</v>
      </c>
      <c r="F1263" s="1">
        <v>45821</v>
      </c>
      <c r="G1263">
        <f>_xlfn.XLOOKUP(F1263,'Wk no''s'!B:B,'Wk no''s'!C:C,0)</f>
        <v>24</v>
      </c>
    </row>
    <row r="1264" spans="1:7" x14ac:dyDescent="0.3">
      <c r="A1264" t="s">
        <v>4253</v>
      </c>
      <c r="B1264" t="s">
        <v>4254</v>
      </c>
      <c r="C1264" t="s">
        <v>4255</v>
      </c>
      <c r="D1264">
        <v>2</v>
      </c>
      <c r="E1264">
        <v>0</v>
      </c>
      <c r="F1264" s="1">
        <v>45821</v>
      </c>
      <c r="G1264">
        <f>_xlfn.XLOOKUP(F1264,'Wk no''s'!B:B,'Wk no''s'!C:C,0)</f>
        <v>24</v>
      </c>
    </row>
    <row r="1265" spans="1:7" x14ac:dyDescent="0.3">
      <c r="A1265" t="s">
        <v>4256</v>
      </c>
      <c r="B1265" t="s">
        <v>4257</v>
      </c>
      <c r="C1265" t="s">
        <v>4258</v>
      </c>
      <c r="D1265">
        <v>4</v>
      </c>
      <c r="E1265">
        <v>0</v>
      </c>
      <c r="F1265" s="1">
        <v>45821</v>
      </c>
      <c r="G1265">
        <f>_xlfn.XLOOKUP(F1265,'Wk no''s'!B:B,'Wk no''s'!C:C,0)</f>
        <v>24</v>
      </c>
    </row>
    <row r="1266" spans="1:7" x14ac:dyDescent="0.3">
      <c r="A1266" t="s">
        <v>4259</v>
      </c>
      <c r="B1266" t="s">
        <v>4260</v>
      </c>
      <c r="C1266" t="s">
        <v>4261</v>
      </c>
      <c r="D1266">
        <v>3</v>
      </c>
      <c r="E1266">
        <v>0</v>
      </c>
      <c r="F1266" s="1">
        <v>45821</v>
      </c>
      <c r="G1266">
        <f>_xlfn.XLOOKUP(F1266,'Wk no''s'!B:B,'Wk no''s'!C:C,0)</f>
        <v>24</v>
      </c>
    </row>
    <row r="1267" spans="1:7" x14ac:dyDescent="0.3">
      <c r="A1267" t="s">
        <v>4262</v>
      </c>
      <c r="B1267" t="s">
        <v>4263</v>
      </c>
      <c r="C1267" t="s">
        <v>4264</v>
      </c>
      <c r="D1267">
        <v>0</v>
      </c>
      <c r="E1267">
        <v>1</v>
      </c>
      <c r="F1267" s="1">
        <v>45821</v>
      </c>
      <c r="G1267">
        <f>_xlfn.XLOOKUP(F1267,'Wk no''s'!B:B,'Wk no''s'!C:C,0)</f>
        <v>24</v>
      </c>
    </row>
    <row r="1268" spans="1:7" x14ac:dyDescent="0.3">
      <c r="A1268" t="s">
        <v>4354</v>
      </c>
      <c r="B1268" t="s">
        <v>4355</v>
      </c>
      <c r="C1268" t="s">
        <v>2540</v>
      </c>
      <c r="D1268">
        <v>0</v>
      </c>
      <c r="E1268">
        <v>1</v>
      </c>
      <c r="F1268" s="1">
        <v>45824</v>
      </c>
      <c r="G1268">
        <f>_xlfn.XLOOKUP(F1268,'Wk no''s'!B:B,'Wk no''s'!C:C,0)</f>
        <v>25</v>
      </c>
    </row>
    <row r="1269" spans="1:7" x14ac:dyDescent="0.3">
      <c r="A1269" t="s">
        <v>4356</v>
      </c>
      <c r="B1269" t="s">
        <v>4357</v>
      </c>
      <c r="C1269" t="s">
        <v>197</v>
      </c>
      <c r="D1269">
        <v>0</v>
      </c>
      <c r="E1269">
        <v>1</v>
      </c>
      <c r="F1269" s="1">
        <v>45824</v>
      </c>
      <c r="G1269">
        <f>_xlfn.XLOOKUP(F1269,'Wk no''s'!B:B,'Wk no''s'!C:C,0)</f>
        <v>25</v>
      </c>
    </row>
    <row r="1270" spans="1:7" x14ac:dyDescent="0.3">
      <c r="A1270" t="s">
        <v>4358</v>
      </c>
      <c r="B1270" t="s">
        <v>4359</v>
      </c>
      <c r="C1270" t="s">
        <v>5049</v>
      </c>
      <c r="D1270">
        <v>1</v>
      </c>
      <c r="E1270">
        <v>1</v>
      </c>
      <c r="F1270" s="1">
        <v>45824</v>
      </c>
      <c r="G1270">
        <f>_xlfn.XLOOKUP(F1270,'Wk no''s'!B:B,'Wk no''s'!C:C,0)</f>
        <v>25</v>
      </c>
    </row>
    <row r="1271" spans="1:7" x14ac:dyDescent="0.3">
      <c r="A1271" t="s">
        <v>4360</v>
      </c>
      <c r="B1271" t="s">
        <v>4361</v>
      </c>
      <c r="C1271" t="s">
        <v>4168</v>
      </c>
      <c r="D1271">
        <v>1</v>
      </c>
      <c r="E1271">
        <v>1</v>
      </c>
      <c r="F1271" s="1">
        <v>45824</v>
      </c>
      <c r="G1271">
        <f>_xlfn.XLOOKUP(F1271,'Wk no''s'!B:B,'Wk no''s'!C:C,0)</f>
        <v>25</v>
      </c>
    </row>
    <row r="1272" spans="1:7" x14ac:dyDescent="0.3">
      <c r="A1272" t="s">
        <v>4362</v>
      </c>
      <c r="B1272" t="s">
        <v>4363</v>
      </c>
      <c r="C1272" t="s">
        <v>4168</v>
      </c>
      <c r="D1272">
        <v>1</v>
      </c>
      <c r="E1272">
        <v>1</v>
      </c>
      <c r="F1272" s="1">
        <v>45824</v>
      </c>
      <c r="G1272">
        <f>_xlfn.XLOOKUP(F1272,'Wk no''s'!B:B,'Wk no''s'!C:C,0)</f>
        <v>25</v>
      </c>
    </row>
    <row r="1273" spans="1:7" x14ac:dyDescent="0.3">
      <c r="A1273" t="s">
        <v>4364</v>
      </c>
      <c r="B1273" t="s">
        <v>4365</v>
      </c>
      <c r="C1273" t="s">
        <v>4168</v>
      </c>
      <c r="D1273">
        <v>3</v>
      </c>
      <c r="E1273">
        <v>0</v>
      </c>
      <c r="F1273" s="1">
        <v>45824</v>
      </c>
      <c r="G1273">
        <f>_xlfn.XLOOKUP(F1273,'Wk no''s'!B:B,'Wk no''s'!C:C,0)</f>
        <v>25</v>
      </c>
    </row>
    <row r="1274" spans="1:7" x14ac:dyDescent="0.3">
      <c r="A1274" t="s">
        <v>4366</v>
      </c>
      <c r="B1274" t="s">
        <v>4367</v>
      </c>
      <c r="C1274" t="s">
        <v>4368</v>
      </c>
      <c r="D1274">
        <v>0</v>
      </c>
      <c r="E1274">
        <v>1</v>
      </c>
      <c r="F1274" s="1">
        <v>45824</v>
      </c>
      <c r="G1274">
        <f>_xlfn.XLOOKUP(F1274,'Wk no''s'!B:B,'Wk no''s'!C:C,0)</f>
        <v>25</v>
      </c>
    </row>
    <row r="1275" spans="1:7" x14ac:dyDescent="0.3">
      <c r="A1275" t="s">
        <v>4369</v>
      </c>
      <c r="B1275" t="s">
        <v>4370</v>
      </c>
      <c r="C1275" t="s">
        <v>2421</v>
      </c>
      <c r="D1275">
        <v>1</v>
      </c>
      <c r="E1275">
        <v>1</v>
      </c>
      <c r="F1275" s="1">
        <v>45824</v>
      </c>
      <c r="G1275">
        <f>_xlfn.XLOOKUP(F1275,'Wk no''s'!B:B,'Wk no''s'!C:C,0)</f>
        <v>25</v>
      </c>
    </row>
    <row r="1276" spans="1:7" x14ac:dyDescent="0.3">
      <c r="A1276" t="s">
        <v>4371</v>
      </c>
      <c r="B1276" t="s">
        <v>4372</v>
      </c>
      <c r="C1276" t="s">
        <v>4373</v>
      </c>
      <c r="D1276">
        <v>3</v>
      </c>
      <c r="E1276">
        <v>0</v>
      </c>
      <c r="F1276" s="1">
        <v>45824</v>
      </c>
      <c r="G1276">
        <f>_xlfn.XLOOKUP(F1276,'Wk no''s'!B:B,'Wk no''s'!C:C,0)</f>
        <v>25</v>
      </c>
    </row>
    <row r="1277" spans="1:7" x14ac:dyDescent="0.3">
      <c r="A1277" t="s">
        <v>4374</v>
      </c>
      <c r="B1277" t="s">
        <v>4375</v>
      </c>
      <c r="C1277" t="s">
        <v>4376</v>
      </c>
      <c r="D1277">
        <v>0</v>
      </c>
      <c r="E1277">
        <v>1</v>
      </c>
      <c r="F1277" s="1">
        <v>45824</v>
      </c>
      <c r="G1277">
        <f>_xlfn.XLOOKUP(F1277,'Wk no''s'!B:B,'Wk no''s'!C:C,0)</f>
        <v>25</v>
      </c>
    </row>
    <row r="1278" spans="1:7" x14ac:dyDescent="0.3">
      <c r="A1278" t="s">
        <v>4377</v>
      </c>
      <c r="B1278" t="s">
        <v>4378</v>
      </c>
      <c r="C1278" t="s">
        <v>5183</v>
      </c>
      <c r="D1278">
        <v>1</v>
      </c>
      <c r="E1278">
        <v>1</v>
      </c>
      <c r="F1278" s="1">
        <v>45824</v>
      </c>
      <c r="G1278">
        <f>_xlfn.XLOOKUP(F1278,'Wk no''s'!B:B,'Wk no''s'!C:C,0)</f>
        <v>25</v>
      </c>
    </row>
    <row r="1279" spans="1:7" x14ac:dyDescent="0.3">
      <c r="A1279" t="s">
        <v>4379</v>
      </c>
      <c r="B1279" t="s">
        <v>4380</v>
      </c>
      <c r="C1279" t="s">
        <v>4381</v>
      </c>
      <c r="D1279">
        <v>0</v>
      </c>
      <c r="E1279">
        <v>1</v>
      </c>
      <c r="F1279" s="1">
        <v>45824</v>
      </c>
      <c r="G1279">
        <f>_xlfn.XLOOKUP(F1279,'Wk no''s'!B:B,'Wk no''s'!C:C,0)</f>
        <v>25</v>
      </c>
    </row>
    <row r="1280" spans="1:7" x14ac:dyDescent="0.3">
      <c r="A1280" t="s">
        <v>4382</v>
      </c>
      <c r="B1280" t="s">
        <v>4383</v>
      </c>
      <c r="C1280" t="s">
        <v>160</v>
      </c>
      <c r="D1280">
        <v>0</v>
      </c>
      <c r="E1280">
        <v>1</v>
      </c>
      <c r="F1280" s="1">
        <v>45824</v>
      </c>
      <c r="G1280">
        <f>_xlfn.XLOOKUP(F1280,'Wk no''s'!B:B,'Wk no''s'!C:C,0)</f>
        <v>25</v>
      </c>
    </row>
    <row r="1281" spans="1:7" x14ac:dyDescent="0.3">
      <c r="A1281" t="s">
        <v>4384</v>
      </c>
      <c r="B1281" t="s">
        <v>4385</v>
      </c>
      <c r="C1281" t="s">
        <v>4386</v>
      </c>
      <c r="D1281">
        <v>3</v>
      </c>
      <c r="E1281">
        <v>0</v>
      </c>
      <c r="F1281" s="1">
        <v>45824</v>
      </c>
      <c r="G1281">
        <f>_xlfn.XLOOKUP(F1281,'Wk no''s'!B:B,'Wk no''s'!C:C,0)</f>
        <v>25</v>
      </c>
    </row>
    <row r="1282" spans="1:7" x14ac:dyDescent="0.3">
      <c r="A1282" t="s">
        <v>4387</v>
      </c>
      <c r="B1282" t="s">
        <v>4388</v>
      </c>
      <c r="C1282" t="s">
        <v>1967</v>
      </c>
      <c r="D1282">
        <v>3</v>
      </c>
      <c r="E1282">
        <v>0</v>
      </c>
      <c r="F1282" s="1">
        <v>45824</v>
      </c>
      <c r="G1282">
        <f>_xlfn.XLOOKUP(F1282,'Wk no''s'!B:B,'Wk no''s'!C:C,0)</f>
        <v>25</v>
      </c>
    </row>
    <row r="1283" spans="1:7" x14ac:dyDescent="0.3">
      <c r="A1283" t="s">
        <v>4389</v>
      </c>
      <c r="B1283" t="s">
        <v>4390</v>
      </c>
      <c r="C1283" t="s">
        <v>29</v>
      </c>
      <c r="D1283">
        <v>2</v>
      </c>
      <c r="E1283">
        <v>0</v>
      </c>
      <c r="F1283" s="1">
        <v>45824</v>
      </c>
      <c r="G1283">
        <f>_xlfn.XLOOKUP(F1283,'Wk no''s'!B:B,'Wk no''s'!C:C,0)</f>
        <v>25</v>
      </c>
    </row>
    <row r="1284" spans="1:7" x14ac:dyDescent="0.3">
      <c r="A1284" t="s">
        <v>4391</v>
      </c>
      <c r="B1284" t="s">
        <v>4392</v>
      </c>
      <c r="C1284" t="s">
        <v>2596</v>
      </c>
      <c r="D1284">
        <v>0</v>
      </c>
      <c r="E1284">
        <v>1</v>
      </c>
      <c r="F1284" s="1">
        <v>45825</v>
      </c>
      <c r="G1284">
        <f>_xlfn.XLOOKUP(F1284,'Wk no''s'!B:B,'Wk no''s'!C:C,0)</f>
        <v>25</v>
      </c>
    </row>
    <row r="1285" spans="1:7" x14ac:dyDescent="0.3">
      <c r="A1285" t="s">
        <v>4393</v>
      </c>
      <c r="B1285" t="s">
        <v>4394</v>
      </c>
      <c r="C1285" t="s">
        <v>4395</v>
      </c>
      <c r="D1285">
        <v>0</v>
      </c>
      <c r="E1285">
        <v>1</v>
      </c>
      <c r="F1285" s="1">
        <v>45825</v>
      </c>
      <c r="G1285">
        <f>_xlfn.XLOOKUP(F1285,'Wk no''s'!B:B,'Wk no''s'!C:C,0)</f>
        <v>25</v>
      </c>
    </row>
    <row r="1286" spans="1:7" x14ac:dyDescent="0.3">
      <c r="A1286" t="s">
        <v>4396</v>
      </c>
      <c r="B1286" t="s">
        <v>4397</v>
      </c>
      <c r="C1286" t="s">
        <v>2596</v>
      </c>
      <c r="D1286">
        <v>0</v>
      </c>
      <c r="E1286">
        <v>1</v>
      </c>
      <c r="F1286" s="1">
        <v>45825</v>
      </c>
      <c r="G1286">
        <f>_xlfn.XLOOKUP(F1286,'Wk no''s'!B:B,'Wk no''s'!C:C,0)</f>
        <v>25</v>
      </c>
    </row>
    <row r="1287" spans="1:7" x14ac:dyDescent="0.3">
      <c r="A1287" t="s">
        <v>4398</v>
      </c>
      <c r="B1287" t="s">
        <v>4399</v>
      </c>
      <c r="C1287" t="s">
        <v>2596</v>
      </c>
      <c r="D1287">
        <v>0</v>
      </c>
      <c r="E1287">
        <v>1</v>
      </c>
      <c r="F1287" s="1">
        <v>45825</v>
      </c>
      <c r="G1287">
        <f>_xlfn.XLOOKUP(F1287,'Wk no''s'!B:B,'Wk no''s'!C:C,0)</f>
        <v>25</v>
      </c>
    </row>
    <row r="1288" spans="1:7" x14ac:dyDescent="0.3">
      <c r="A1288" t="s">
        <v>4400</v>
      </c>
      <c r="B1288" t="s">
        <v>4401</v>
      </c>
      <c r="C1288" t="s">
        <v>1456</v>
      </c>
      <c r="D1288">
        <v>2</v>
      </c>
      <c r="E1288">
        <v>0</v>
      </c>
      <c r="F1288" s="1">
        <v>45825</v>
      </c>
      <c r="G1288">
        <f>_xlfn.XLOOKUP(F1288,'Wk no''s'!B:B,'Wk no''s'!C:C,0)</f>
        <v>25</v>
      </c>
    </row>
    <row r="1289" spans="1:7" x14ac:dyDescent="0.3">
      <c r="A1289" t="s">
        <v>4402</v>
      </c>
      <c r="B1289" t="s">
        <v>4403</v>
      </c>
      <c r="C1289" t="s">
        <v>4404</v>
      </c>
      <c r="D1289">
        <v>2</v>
      </c>
      <c r="E1289">
        <v>0</v>
      </c>
      <c r="F1289" s="1">
        <v>45825</v>
      </c>
      <c r="G1289">
        <f>_xlfn.XLOOKUP(F1289,'Wk no''s'!B:B,'Wk no''s'!C:C,0)</f>
        <v>25</v>
      </c>
    </row>
    <row r="1290" spans="1:7" x14ac:dyDescent="0.3">
      <c r="A1290" t="s">
        <v>4405</v>
      </c>
      <c r="B1290" t="s">
        <v>4406</v>
      </c>
      <c r="C1290" t="s">
        <v>4407</v>
      </c>
      <c r="D1290">
        <v>2</v>
      </c>
      <c r="E1290">
        <v>0</v>
      </c>
      <c r="F1290" s="1">
        <v>45825</v>
      </c>
      <c r="G1290">
        <f>_xlfn.XLOOKUP(F1290,'Wk no''s'!B:B,'Wk no''s'!C:C,0)</f>
        <v>25</v>
      </c>
    </row>
    <row r="1291" spans="1:7" x14ac:dyDescent="0.3">
      <c r="A1291" t="s">
        <v>4408</v>
      </c>
      <c r="B1291" t="s">
        <v>4409</v>
      </c>
      <c r="C1291" t="s">
        <v>4410</v>
      </c>
      <c r="D1291">
        <v>6</v>
      </c>
      <c r="E1291">
        <v>0</v>
      </c>
      <c r="F1291" s="1">
        <v>45825</v>
      </c>
      <c r="G1291">
        <f>_xlfn.XLOOKUP(F1291,'Wk no''s'!B:B,'Wk no''s'!C:C,0)</f>
        <v>25</v>
      </c>
    </row>
    <row r="1292" spans="1:7" x14ac:dyDescent="0.3">
      <c r="A1292" t="s">
        <v>4411</v>
      </c>
      <c r="B1292" t="s">
        <v>4412</v>
      </c>
      <c r="C1292" t="s">
        <v>4413</v>
      </c>
      <c r="D1292">
        <v>2</v>
      </c>
      <c r="E1292">
        <v>0</v>
      </c>
      <c r="F1292" s="1">
        <v>45825</v>
      </c>
      <c r="G1292">
        <f>_xlfn.XLOOKUP(F1292,'Wk no''s'!B:B,'Wk no''s'!C:C,0)</f>
        <v>25</v>
      </c>
    </row>
    <row r="1293" spans="1:7" x14ac:dyDescent="0.3">
      <c r="A1293" t="s">
        <v>4414</v>
      </c>
      <c r="B1293" t="s">
        <v>4415</v>
      </c>
      <c r="C1293" t="s">
        <v>1639</v>
      </c>
      <c r="D1293">
        <v>0</v>
      </c>
      <c r="E1293">
        <v>1</v>
      </c>
      <c r="F1293" s="1">
        <v>45825</v>
      </c>
      <c r="G1293">
        <f>_xlfn.XLOOKUP(F1293,'Wk no''s'!B:B,'Wk no''s'!C:C,0)</f>
        <v>25</v>
      </c>
    </row>
    <row r="1294" spans="1:7" x14ac:dyDescent="0.3">
      <c r="A1294" t="s">
        <v>4416</v>
      </c>
      <c r="B1294" t="s">
        <v>4417</v>
      </c>
      <c r="C1294" t="s">
        <v>4418</v>
      </c>
      <c r="D1294">
        <v>3</v>
      </c>
      <c r="E1294">
        <v>0</v>
      </c>
      <c r="F1294" s="1">
        <v>45825</v>
      </c>
      <c r="G1294">
        <f>_xlfn.XLOOKUP(F1294,'Wk no''s'!B:B,'Wk no''s'!C:C,0)</f>
        <v>25</v>
      </c>
    </row>
    <row r="1295" spans="1:7" x14ac:dyDescent="0.3">
      <c r="A1295" t="s">
        <v>4419</v>
      </c>
      <c r="B1295" t="s">
        <v>4420</v>
      </c>
      <c r="C1295" t="s">
        <v>3163</v>
      </c>
      <c r="D1295">
        <v>2</v>
      </c>
      <c r="E1295">
        <v>0</v>
      </c>
      <c r="F1295" s="1">
        <v>45825</v>
      </c>
      <c r="G1295">
        <f>_xlfn.XLOOKUP(F1295,'Wk no''s'!B:B,'Wk no''s'!C:C,0)</f>
        <v>25</v>
      </c>
    </row>
    <row r="1296" spans="1:7" x14ac:dyDescent="0.3">
      <c r="A1296" t="s">
        <v>4421</v>
      </c>
      <c r="B1296" t="s">
        <v>4422</v>
      </c>
      <c r="C1296" t="s">
        <v>3855</v>
      </c>
      <c r="D1296">
        <v>2</v>
      </c>
      <c r="E1296">
        <v>0</v>
      </c>
      <c r="F1296" s="1">
        <v>45825</v>
      </c>
      <c r="G1296">
        <f>_xlfn.XLOOKUP(F1296,'Wk no''s'!B:B,'Wk no''s'!C:C,0)</f>
        <v>25</v>
      </c>
    </row>
    <row r="1297" spans="1:7" x14ac:dyDescent="0.3">
      <c r="A1297" t="s">
        <v>4423</v>
      </c>
      <c r="B1297" t="s">
        <v>4424</v>
      </c>
      <c r="C1297" t="s">
        <v>4074</v>
      </c>
      <c r="D1297">
        <v>2</v>
      </c>
      <c r="E1297">
        <v>0</v>
      </c>
      <c r="F1297" s="1">
        <v>45825</v>
      </c>
      <c r="G1297">
        <f>_xlfn.XLOOKUP(F1297,'Wk no''s'!B:B,'Wk no''s'!C:C,0)</f>
        <v>25</v>
      </c>
    </row>
    <row r="1298" spans="1:7" x14ac:dyDescent="0.3">
      <c r="A1298" t="s">
        <v>4425</v>
      </c>
      <c r="B1298" t="s">
        <v>4426</v>
      </c>
      <c r="C1298" t="s">
        <v>4111</v>
      </c>
      <c r="D1298">
        <v>9</v>
      </c>
      <c r="E1298">
        <v>0</v>
      </c>
      <c r="F1298" s="1">
        <v>45825</v>
      </c>
      <c r="G1298">
        <f>_xlfn.XLOOKUP(F1298,'Wk no''s'!B:B,'Wk no''s'!C:C,0)</f>
        <v>25</v>
      </c>
    </row>
    <row r="1299" spans="1:7" x14ac:dyDescent="0.3">
      <c r="A1299" t="s">
        <v>4427</v>
      </c>
      <c r="B1299" t="s">
        <v>4428</v>
      </c>
      <c r="C1299" t="s">
        <v>4429</v>
      </c>
      <c r="D1299">
        <v>0</v>
      </c>
      <c r="E1299">
        <v>1</v>
      </c>
      <c r="F1299" s="1">
        <v>45825</v>
      </c>
      <c r="G1299">
        <f>_xlfn.XLOOKUP(F1299,'Wk no''s'!B:B,'Wk no''s'!C:C,0)</f>
        <v>25</v>
      </c>
    </row>
    <row r="1300" spans="1:7" x14ac:dyDescent="0.3">
      <c r="A1300" t="s">
        <v>4430</v>
      </c>
      <c r="B1300" t="s">
        <v>4431</v>
      </c>
      <c r="C1300" t="s">
        <v>3609</v>
      </c>
      <c r="D1300">
        <v>2</v>
      </c>
      <c r="E1300">
        <v>0</v>
      </c>
      <c r="F1300" s="1">
        <v>45825</v>
      </c>
      <c r="G1300">
        <f>_xlfn.XLOOKUP(F1300,'Wk no''s'!B:B,'Wk no''s'!C:C,0)</f>
        <v>25</v>
      </c>
    </row>
    <row r="1301" spans="1:7" x14ac:dyDescent="0.3">
      <c r="A1301" t="s">
        <v>4432</v>
      </c>
      <c r="B1301" t="s">
        <v>4433</v>
      </c>
      <c r="C1301" t="s">
        <v>1194</v>
      </c>
      <c r="D1301">
        <v>1</v>
      </c>
      <c r="E1301">
        <v>1</v>
      </c>
      <c r="F1301" s="1">
        <v>45825</v>
      </c>
      <c r="G1301">
        <f>_xlfn.XLOOKUP(F1301,'Wk no''s'!B:B,'Wk no''s'!C:C,0)</f>
        <v>25</v>
      </c>
    </row>
    <row r="1302" spans="1:7" x14ac:dyDescent="0.3">
      <c r="A1302" t="s">
        <v>4434</v>
      </c>
      <c r="B1302" t="s">
        <v>4435</v>
      </c>
      <c r="C1302" t="s">
        <v>4436</v>
      </c>
      <c r="D1302">
        <v>2</v>
      </c>
      <c r="E1302">
        <v>0</v>
      </c>
      <c r="F1302" s="1">
        <v>45825</v>
      </c>
      <c r="G1302">
        <f>_xlfn.XLOOKUP(F1302,'Wk no''s'!B:B,'Wk no''s'!C:C,0)</f>
        <v>25</v>
      </c>
    </row>
    <row r="1303" spans="1:7" x14ac:dyDescent="0.3">
      <c r="A1303" t="s">
        <v>4437</v>
      </c>
      <c r="B1303" t="s">
        <v>4438</v>
      </c>
      <c r="C1303" t="s">
        <v>4439</v>
      </c>
      <c r="D1303">
        <v>0</v>
      </c>
      <c r="E1303">
        <v>1</v>
      </c>
      <c r="F1303" s="1">
        <v>45825</v>
      </c>
      <c r="G1303">
        <f>_xlfn.XLOOKUP(F1303,'Wk no''s'!B:B,'Wk no''s'!C:C,0)</f>
        <v>25</v>
      </c>
    </row>
    <row r="1304" spans="1:7" x14ac:dyDescent="0.3">
      <c r="A1304" t="s">
        <v>4440</v>
      </c>
      <c r="B1304" t="s">
        <v>4441</v>
      </c>
      <c r="C1304" t="s">
        <v>39</v>
      </c>
      <c r="D1304">
        <v>6</v>
      </c>
      <c r="E1304">
        <v>0</v>
      </c>
      <c r="F1304" s="1">
        <v>45826</v>
      </c>
      <c r="G1304">
        <f>_xlfn.XLOOKUP(F1304,'Wk no''s'!B:B,'Wk no''s'!C:C,0)</f>
        <v>25</v>
      </c>
    </row>
    <row r="1305" spans="1:7" x14ac:dyDescent="0.3">
      <c r="A1305" t="s">
        <v>4442</v>
      </c>
      <c r="B1305" t="s">
        <v>4443</v>
      </c>
      <c r="C1305" t="s">
        <v>39</v>
      </c>
      <c r="D1305">
        <v>24</v>
      </c>
      <c r="E1305">
        <v>0</v>
      </c>
      <c r="F1305" s="1">
        <v>45826</v>
      </c>
      <c r="G1305">
        <f>_xlfn.XLOOKUP(F1305,'Wk no''s'!B:B,'Wk no''s'!C:C,0)</f>
        <v>25</v>
      </c>
    </row>
    <row r="1306" spans="1:7" x14ac:dyDescent="0.3">
      <c r="A1306" t="s">
        <v>4444</v>
      </c>
      <c r="B1306" t="s">
        <v>4445</v>
      </c>
      <c r="C1306" t="s">
        <v>39</v>
      </c>
      <c r="D1306">
        <v>24</v>
      </c>
      <c r="E1306">
        <v>0</v>
      </c>
      <c r="F1306" s="1">
        <v>45826</v>
      </c>
      <c r="G1306">
        <f>_xlfn.XLOOKUP(F1306,'Wk no''s'!B:B,'Wk no''s'!C:C,0)</f>
        <v>25</v>
      </c>
    </row>
    <row r="1307" spans="1:7" x14ac:dyDescent="0.3">
      <c r="A1307" t="s">
        <v>4446</v>
      </c>
      <c r="B1307" t="s">
        <v>4447</v>
      </c>
      <c r="C1307" t="s">
        <v>39</v>
      </c>
      <c r="D1307">
        <v>26</v>
      </c>
      <c r="E1307">
        <v>0</v>
      </c>
      <c r="F1307" s="1">
        <v>45826</v>
      </c>
      <c r="G1307">
        <f>_xlfn.XLOOKUP(F1307,'Wk no''s'!B:B,'Wk no''s'!C:C,0)</f>
        <v>25</v>
      </c>
    </row>
    <row r="1308" spans="1:7" x14ac:dyDescent="0.3">
      <c r="A1308" t="s">
        <v>4448</v>
      </c>
      <c r="B1308" t="s">
        <v>4449</v>
      </c>
      <c r="C1308" t="s">
        <v>39</v>
      </c>
      <c r="D1308">
        <v>9</v>
      </c>
      <c r="E1308">
        <v>0</v>
      </c>
      <c r="F1308" s="1">
        <v>45826</v>
      </c>
      <c r="G1308">
        <f>_xlfn.XLOOKUP(F1308,'Wk no''s'!B:B,'Wk no''s'!C:C,0)</f>
        <v>25</v>
      </c>
    </row>
    <row r="1309" spans="1:7" x14ac:dyDescent="0.3">
      <c r="A1309" t="s">
        <v>4450</v>
      </c>
      <c r="B1309" t="s">
        <v>4451</v>
      </c>
      <c r="C1309" t="s">
        <v>39</v>
      </c>
      <c r="D1309">
        <v>15</v>
      </c>
      <c r="E1309">
        <v>0</v>
      </c>
      <c r="F1309" s="1">
        <v>45826</v>
      </c>
      <c r="G1309">
        <f>_xlfn.XLOOKUP(F1309,'Wk no''s'!B:B,'Wk no''s'!C:C,0)</f>
        <v>25</v>
      </c>
    </row>
    <row r="1310" spans="1:7" x14ac:dyDescent="0.3">
      <c r="A1310" t="s">
        <v>4452</v>
      </c>
      <c r="B1310" t="s">
        <v>4453</v>
      </c>
      <c r="C1310" t="s">
        <v>39</v>
      </c>
      <c r="D1310">
        <v>19</v>
      </c>
      <c r="E1310">
        <v>0</v>
      </c>
      <c r="F1310" s="1">
        <v>45826</v>
      </c>
      <c r="G1310">
        <f>_xlfn.XLOOKUP(F1310,'Wk no''s'!B:B,'Wk no''s'!C:C,0)</f>
        <v>25</v>
      </c>
    </row>
    <row r="1311" spans="1:7" x14ac:dyDescent="0.3">
      <c r="A1311" t="s">
        <v>4454</v>
      </c>
      <c r="B1311" t="s">
        <v>4455</v>
      </c>
      <c r="C1311" t="s">
        <v>1117</v>
      </c>
      <c r="D1311">
        <v>0</v>
      </c>
      <c r="E1311">
        <v>1</v>
      </c>
      <c r="F1311" s="1">
        <v>45826</v>
      </c>
      <c r="G1311">
        <f>_xlfn.XLOOKUP(F1311,'Wk no''s'!B:B,'Wk no''s'!C:C,0)</f>
        <v>25</v>
      </c>
    </row>
    <row r="1312" spans="1:7" x14ac:dyDescent="0.3">
      <c r="A1312" t="s">
        <v>4456</v>
      </c>
      <c r="B1312" t="s">
        <v>4457</v>
      </c>
      <c r="C1312" t="s">
        <v>4458</v>
      </c>
      <c r="D1312">
        <v>1</v>
      </c>
      <c r="E1312">
        <v>1</v>
      </c>
      <c r="F1312" s="1">
        <v>45826</v>
      </c>
      <c r="G1312">
        <f>_xlfn.XLOOKUP(F1312,'Wk no''s'!B:B,'Wk no''s'!C:C,0)</f>
        <v>25</v>
      </c>
    </row>
    <row r="1313" spans="1:7" x14ac:dyDescent="0.3">
      <c r="A1313" t="s">
        <v>4459</v>
      </c>
      <c r="B1313" t="s">
        <v>4460</v>
      </c>
      <c r="C1313" t="s">
        <v>4461</v>
      </c>
      <c r="D1313">
        <v>1</v>
      </c>
      <c r="E1313">
        <v>1</v>
      </c>
      <c r="F1313" s="1">
        <v>45826</v>
      </c>
      <c r="G1313">
        <f>_xlfn.XLOOKUP(F1313,'Wk no''s'!B:B,'Wk no''s'!C:C,0)</f>
        <v>25</v>
      </c>
    </row>
    <row r="1314" spans="1:7" x14ac:dyDescent="0.3">
      <c r="A1314" t="s">
        <v>4462</v>
      </c>
      <c r="B1314" t="s">
        <v>4463</v>
      </c>
      <c r="C1314" t="s">
        <v>6908</v>
      </c>
      <c r="D1314">
        <v>0</v>
      </c>
      <c r="E1314">
        <v>1</v>
      </c>
      <c r="F1314" s="1">
        <v>45827</v>
      </c>
      <c r="G1314">
        <f>_xlfn.XLOOKUP(F1314,'Wk no''s'!B:B,'Wk no''s'!C:C,0)</f>
        <v>25</v>
      </c>
    </row>
    <row r="1315" spans="1:7" x14ac:dyDescent="0.3">
      <c r="A1315" t="s">
        <v>4464</v>
      </c>
      <c r="B1315" t="s">
        <v>4465</v>
      </c>
      <c r="C1315" t="s">
        <v>2648</v>
      </c>
      <c r="D1315">
        <v>0</v>
      </c>
      <c r="E1315">
        <v>1</v>
      </c>
      <c r="F1315" s="1">
        <v>45827</v>
      </c>
      <c r="G1315">
        <f>_xlfn.XLOOKUP(F1315,'Wk no''s'!B:B,'Wk no''s'!C:C,0)</f>
        <v>25</v>
      </c>
    </row>
    <row r="1316" spans="1:7" x14ac:dyDescent="0.3">
      <c r="A1316" t="s">
        <v>4466</v>
      </c>
      <c r="B1316" t="s">
        <v>4467</v>
      </c>
      <c r="C1316" t="s">
        <v>1639</v>
      </c>
      <c r="D1316">
        <v>0</v>
      </c>
      <c r="E1316">
        <v>1</v>
      </c>
      <c r="F1316" s="1">
        <v>45827</v>
      </c>
      <c r="G1316">
        <f>_xlfn.XLOOKUP(F1316,'Wk no''s'!B:B,'Wk no''s'!C:C,0)</f>
        <v>25</v>
      </c>
    </row>
    <row r="1317" spans="1:7" x14ac:dyDescent="0.3">
      <c r="A1317" t="s">
        <v>4468</v>
      </c>
      <c r="B1317" t="s">
        <v>4469</v>
      </c>
      <c r="C1317" t="s">
        <v>4470</v>
      </c>
      <c r="D1317">
        <v>1</v>
      </c>
      <c r="E1317">
        <v>1</v>
      </c>
      <c r="F1317" s="1">
        <v>45827</v>
      </c>
      <c r="G1317">
        <f>_xlfn.XLOOKUP(F1317,'Wk no''s'!B:B,'Wk no''s'!C:C,0)</f>
        <v>25</v>
      </c>
    </row>
    <row r="1318" spans="1:7" x14ac:dyDescent="0.3">
      <c r="A1318" t="s">
        <v>4471</v>
      </c>
      <c r="C1318" t="s">
        <v>386</v>
      </c>
      <c r="D1318">
        <v>0</v>
      </c>
      <c r="E1318">
        <v>1</v>
      </c>
      <c r="F1318" s="1">
        <v>45827</v>
      </c>
      <c r="G1318">
        <f>_xlfn.XLOOKUP(F1318,'Wk no''s'!B:B,'Wk no''s'!C:C,0)</f>
        <v>25</v>
      </c>
    </row>
    <row r="1319" spans="1:7" x14ac:dyDescent="0.3">
      <c r="A1319" t="s">
        <v>4472</v>
      </c>
      <c r="B1319" t="s">
        <v>4473</v>
      </c>
      <c r="C1319" t="s">
        <v>4474</v>
      </c>
      <c r="D1319">
        <v>2</v>
      </c>
      <c r="E1319">
        <v>0</v>
      </c>
      <c r="F1319" s="1">
        <v>45827</v>
      </c>
      <c r="G1319">
        <f>_xlfn.XLOOKUP(F1319,'Wk no''s'!B:B,'Wk no''s'!C:C,0)</f>
        <v>25</v>
      </c>
    </row>
    <row r="1320" spans="1:7" x14ac:dyDescent="0.3">
      <c r="A1320" t="s">
        <v>4475</v>
      </c>
      <c r="B1320" t="s">
        <v>4476</v>
      </c>
      <c r="C1320" t="s">
        <v>1889</v>
      </c>
      <c r="D1320">
        <v>0</v>
      </c>
      <c r="E1320">
        <v>1</v>
      </c>
      <c r="F1320" s="1">
        <v>45827</v>
      </c>
      <c r="G1320">
        <f>_xlfn.XLOOKUP(F1320,'Wk no''s'!B:B,'Wk no''s'!C:C,0)</f>
        <v>25</v>
      </c>
    </row>
    <row r="1321" spans="1:7" x14ac:dyDescent="0.3">
      <c r="A1321" t="s">
        <v>4477</v>
      </c>
      <c r="C1321" t="s">
        <v>3993</v>
      </c>
      <c r="D1321">
        <v>0</v>
      </c>
      <c r="E1321">
        <v>1</v>
      </c>
      <c r="F1321" s="1">
        <v>45827</v>
      </c>
      <c r="G1321">
        <f>_xlfn.XLOOKUP(F1321,'Wk no''s'!B:B,'Wk no''s'!C:C,0)</f>
        <v>25</v>
      </c>
    </row>
    <row r="1322" spans="1:7" x14ac:dyDescent="0.3">
      <c r="A1322" t="s">
        <v>4478</v>
      </c>
      <c r="B1322" t="s">
        <v>4479</v>
      </c>
      <c r="C1322" t="s">
        <v>4480</v>
      </c>
      <c r="D1322">
        <v>0</v>
      </c>
      <c r="E1322">
        <v>1</v>
      </c>
      <c r="F1322" s="1">
        <v>45827</v>
      </c>
      <c r="G1322">
        <f>_xlfn.XLOOKUP(F1322,'Wk no''s'!B:B,'Wk no''s'!C:C,0)</f>
        <v>25</v>
      </c>
    </row>
    <row r="1323" spans="1:7" x14ac:dyDescent="0.3">
      <c r="A1323" t="s">
        <v>4481</v>
      </c>
      <c r="B1323" t="s">
        <v>4482</v>
      </c>
      <c r="C1323" t="s">
        <v>1587</v>
      </c>
      <c r="D1323">
        <v>0</v>
      </c>
      <c r="E1323">
        <v>1</v>
      </c>
      <c r="F1323" s="1">
        <v>45827</v>
      </c>
      <c r="G1323">
        <f>_xlfn.XLOOKUP(F1323,'Wk no''s'!B:B,'Wk no''s'!C:C,0)</f>
        <v>25</v>
      </c>
    </row>
    <row r="1324" spans="1:7" x14ac:dyDescent="0.3">
      <c r="A1324" t="s">
        <v>4483</v>
      </c>
      <c r="B1324" t="s">
        <v>4484</v>
      </c>
      <c r="C1324" t="s">
        <v>5494</v>
      </c>
      <c r="D1324">
        <v>3</v>
      </c>
      <c r="E1324">
        <v>0</v>
      </c>
      <c r="F1324" s="1">
        <v>45827</v>
      </c>
      <c r="G1324">
        <f>_xlfn.XLOOKUP(F1324,'Wk no''s'!B:B,'Wk no''s'!C:C,0)</f>
        <v>25</v>
      </c>
    </row>
    <row r="1325" spans="1:7" x14ac:dyDescent="0.3">
      <c r="A1325" t="s">
        <v>4485</v>
      </c>
      <c r="B1325" t="s">
        <v>4486</v>
      </c>
      <c r="C1325" t="s">
        <v>197</v>
      </c>
      <c r="D1325">
        <v>4</v>
      </c>
      <c r="E1325">
        <v>0</v>
      </c>
      <c r="F1325" s="1">
        <v>45827</v>
      </c>
      <c r="G1325">
        <f>_xlfn.XLOOKUP(F1325,'Wk no''s'!B:B,'Wk no''s'!C:C,0)</f>
        <v>25</v>
      </c>
    </row>
    <row r="1326" spans="1:7" x14ac:dyDescent="0.3">
      <c r="A1326" t="s">
        <v>4487</v>
      </c>
      <c r="B1326" t="s">
        <v>4488</v>
      </c>
      <c r="C1326" t="s">
        <v>3955</v>
      </c>
      <c r="D1326">
        <v>5</v>
      </c>
      <c r="E1326">
        <v>0</v>
      </c>
      <c r="F1326" s="1">
        <v>45827</v>
      </c>
      <c r="G1326">
        <f>_xlfn.XLOOKUP(F1326,'Wk no''s'!B:B,'Wk no''s'!C:C,0)</f>
        <v>25</v>
      </c>
    </row>
    <row r="1327" spans="1:7" x14ac:dyDescent="0.3">
      <c r="A1327" t="s">
        <v>4489</v>
      </c>
      <c r="B1327" t="s">
        <v>4383</v>
      </c>
      <c r="C1327" t="s">
        <v>160</v>
      </c>
      <c r="D1327">
        <v>0</v>
      </c>
      <c r="E1327">
        <v>1</v>
      </c>
      <c r="F1327" s="1">
        <v>45827</v>
      </c>
      <c r="G1327">
        <f>_xlfn.XLOOKUP(F1327,'Wk no''s'!B:B,'Wk no''s'!C:C,0)</f>
        <v>25</v>
      </c>
    </row>
    <row r="1328" spans="1:7" x14ac:dyDescent="0.3">
      <c r="A1328" t="s">
        <v>4490</v>
      </c>
      <c r="B1328" t="s">
        <v>4491</v>
      </c>
      <c r="C1328" t="s">
        <v>160</v>
      </c>
      <c r="D1328">
        <v>0</v>
      </c>
      <c r="E1328">
        <v>1</v>
      </c>
      <c r="F1328" s="1">
        <v>45827</v>
      </c>
      <c r="G1328">
        <f>_xlfn.XLOOKUP(F1328,'Wk no''s'!B:B,'Wk no''s'!C:C,0)</f>
        <v>25</v>
      </c>
    </row>
    <row r="1329" spans="1:7" x14ac:dyDescent="0.3">
      <c r="A1329" t="s">
        <v>4492</v>
      </c>
      <c r="B1329" t="s">
        <v>4493</v>
      </c>
      <c r="C1329" t="s">
        <v>4494</v>
      </c>
      <c r="D1329">
        <v>0</v>
      </c>
      <c r="E1329">
        <v>1</v>
      </c>
      <c r="F1329" s="1">
        <v>45828</v>
      </c>
      <c r="G1329">
        <f>_xlfn.XLOOKUP(F1329,'Wk no''s'!B:B,'Wk no''s'!C:C,0)</f>
        <v>25</v>
      </c>
    </row>
    <row r="1330" spans="1:7" x14ac:dyDescent="0.3">
      <c r="A1330" t="s">
        <v>4495</v>
      </c>
      <c r="B1330" t="s">
        <v>4496</v>
      </c>
      <c r="C1330" t="s">
        <v>75</v>
      </c>
      <c r="D1330">
        <v>1</v>
      </c>
      <c r="E1330">
        <v>1</v>
      </c>
      <c r="F1330" s="1">
        <v>45828</v>
      </c>
      <c r="G1330">
        <f>_xlfn.XLOOKUP(F1330,'Wk no''s'!B:B,'Wk no''s'!C:C,0)</f>
        <v>25</v>
      </c>
    </row>
    <row r="1331" spans="1:7" x14ac:dyDescent="0.3">
      <c r="A1331" t="s">
        <v>4497</v>
      </c>
      <c r="B1331" t="s">
        <v>4498</v>
      </c>
      <c r="C1331" t="s">
        <v>4499</v>
      </c>
      <c r="D1331">
        <v>6</v>
      </c>
      <c r="E1331">
        <v>0</v>
      </c>
      <c r="F1331" s="1">
        <v>45828</v>
      </c>
      <c r="G1331">
        <f>_xlfn.XLOOKUP(F1331,'Wk no''s'!B:B,'Wk no''s'!C:C,0)</f>
        <v>25</v>
      </c>
    </row>
    <row r="1332" spans="1:7" x14ac:dyDescent="0.3">
      <c r="A1332" t="s">
        <v>4500</v>
      </c>
      <c r="B1332" t="s">
        <v>4501</v>
      </c>
      <c r="C1332" t="s">
        <v>197</v>
      </c>
      <c r="D1332">
        <v>7</v>
      </c>
      <c r="E1332">
        <v>0</v>
      </c>
      <c r="F1332" s="1">
        <v>45828</v>
      </c>
      <c r="G1332">
        <f>_xlfn.XLOOKUP(F1332,'Wk no''s'!B:B,'Wk no''s'!C:C,0)</f>
        <v>25</v>
      </c>
    </row>
    <row r="1333" spans="1:7" x14ac:dyDescent="0.3">
      <c r="A1333" t="s">
        <v>4502</v>
      </c>
      <c r="B1333" t="s">
        <v>4503</v>
      </c>
      <c r="C1333" t="s">
        <v>550</v>
      </c>
      <c r="D1333">
        <v>0</v>
      </c>
      <c r="E1333">
        <v>1</v>
      </c>
      <c r="F1333" s="1">
        <v>45828</v>
      </c>
      <c r="G1333">
        <f>_xlfn.XLOOKUP(F1333,'Wk no''s'!B:B,'Wk no''s'!C:C,0)</f>
        <v>25</v>
      </c>
    </row>
    <row r="1334" spans="1:7" x14ac:dyDescent="0.3">
      <c r="A1334" t="s">
        <v>4545</v>
      </c>
      <c r="B1334" t="s">
        <v>4546</v>
      </c>
      <c r="C1334" t="s">
        <v>3855</v>
      </c>
      <c r="D1334">
        <v>18</v>
      </c>
      <c r="E1334">
        <v>0</v>
      </c>
      <c r="F1334" s="1">
        <v>45829</v>
      </c>
      <c r="G1334">
        <f>_xlfn.XLOOKUP(F1334,'Wk no''s'!B:B,'Wk no''s'!C:C,0)</f>
        <v>26</v>
      </c>
    </row>
    <row r="1335" spans="1:7" x14ac:dyDescent="0.3">
      <c r="A1335" t="s">
        <v>4547</v>
      </c>
      <c r="B1335" t="s">
        <v>4548</v>
      </c>
      <c r="C1335" t="s">
        <v>3716</v>
      </c>
      <c r="D1335">
        <v>1</v>
      </c>
      <c r="E1335">
        <v>1</v>
      </c>
      <c r="F1335" s="1">
        <v>45829</v>
      </c>
      <c r="G1335">
        <f>_xlfn.XLOOKUP(F1335,'Wk no''s'!B:B,'Wk no''s'!C:C,0)</f>
        <v>26</v>
      </c>
    </row>
    <row r="1336" spans="1:7" x14ac:dyDescent="0.3">
      <c r="A1336" t="s">
        <v>4549</v>
      </c>
      <c r="B1336" t="s">
        <v>4550</v>
      </c>
      <c r="C1336" t="s">
        <v>197</v>
      </c>
      <c r="D1336">
        <v>1</v>
      </c>
      <c r="E1336">
        <v>1</v>
      </c>
      <c r="F1336" s="1">
        <v>45829</v>
      </c>
      <c r="G1336">
        <f>_xlfn.XLOOKUP(F1336,'Wk no''s'!B:B,'Wk no''s'!C:C,0)</f>
        <v>26</v>
      </c>
    </row>
    <row r="1337" spans="1:7" x14ac:dyDescent="0.3">
      <c r="A1337" t="s">
        <v>4551</v>
      </c>
      <c r="B1337" t="s">
        <v>4552</v>
      </c>
      <c r="C1337" t="s">
        <v>75</v>
      </c>
      <c r="D1337">
        <v>1</v>
      </c>
      <c r="E1337">
        <v>1</v>
      </c>
      <c r="F1337" s="1">
        <v>45829</v>
      </c>
      <c r="G1337">
        <f>_xlfn.XLOOKUP(F1337,'Wk no''s'!B:B,'Wk no''s'!C:C,0)</f>
        <v>26</v>
      </c>
    </row>
    <row r="1338" spans="1:7" x14ac:dyDescent="0.3">
      <c r="A1338" t="s">
        <v>4553</v>
      </c>
      <c r="B1338" t="s">
        <v>4554</v>
      </c>
      <c r="C1338" t="s">
        <v>1619</v>
      </c>
      <c r="D1338">
        <v>2</v>
      </c>
      <c r="E1338">
        <v>0</v>
      </c>
      <c r="F1338" s="1">
        <v>45829</v>
      </c>
      <c r="G1338">
        <f>_xlfn.XLOOKUP(F1338,'Wk no''s'!B:B,'Wk no''s'!C:C,0)</f>
        <v>26</v>
      </c>
    </row>
    <row r="1339" spans="1:7" x14ac:dyDescent="0.3">
      <c r="A1339" t="s">
        <v>4555</v>
      </c>
      <c r="B1339" t="s">
        <v>4556</v>
      </c>
      <c r="C1339" t="s">
        <v>4557</v>
      </c>
      <c r="D1339">
        <v>11</v>
      </c>
      <c r="E1339">
        <v>0</v>
      </c>
      <c r="F1339" s="1">
        <v>45831</v>
      </c>
      <c r="G1339">
        <f>_xlfn.XLOOKUP(F1339,'Wk no''s'!B:B,'Wk no''s'!C:C,0)</f>
        <v>26</v>
      </c>
    </row>
    <row r="1340" spans="1:7" x14ac:dyDescent="0.3">
      <c r="A1340" t="s">
        <v>4558</v>
      </c>
      <c r="B1340" t="s">
        <v>4559</v>
      </c>
      <c r="C1340" t="s">
        <v>2291</v>
      </c>
      <c r="D1340">
        <v>1</v>
      </c>
      <c r="E1340">
        <v>1</v>
      </c>
      <c r="F1340" s="1">
        <v>45831</v>
      </c>
      <c r="G1340">
        <f>_xlfn.XLOOKUP(F1340,'Wk no''s'!B:B,'Wk no''s'!C:C,0)</f>
        <v>26</v>
      </c>
    </row>
    <row r="1341" spans="1:7" x14ac:dyDescent="0.3">
      <c r="A1341" t="s">
        <v>4560</v>
      </c>
      <c r="B1341" t="s">
        <v>4561</v>
      </c>
      <c r="C1341" t="s">
        <v>550</v>
      </c>
      <c r="D1341">
        <v>0</v>
      </c>
      <c r="E1341">
        <v>1</v>
      </c>
      <c r="F1341" s="1">
        <v>45831</v>
      </c>
      <c r="G1341">
        <f>_xlfn.XLOOKUP(F1341,'Wk no''s'!B:B,'Wk no''s'!C:C,0)</f>
        <v>26</v>
      </c>
    </row>
    <row r="1342" spans="1:7" x14ac:dyDescent="0.3">
      <c r="A1342" t="s">
        <v>4562</v>
      </c>
      <c r="B1342" t="s">
        <v>4563</v>
      </c>
      <c r="C1342" t="s">
        <v>4564</v>
      </c>
      <c r="D1342">
        <v>1</v>
      </c>
      <c r="E1342">
        <v>1</v>
      </c>
      <c r="F1342" s="1">
        <v>45831</v>
      </c>
      <c r="G1342">
        <f>_xlfn.XLOOKUP(F1342,'Wk no''s'!B:B,'Wk no''s'!C:C,0)</f>
        <v>26</v>
      </c>
    </row>
    <row r="1343" spans="1:7" x14ac:dyDescent="0.3">
      <c r="A1343" t="s">
        <v>4565</v>
      </c>
      <c r="B1343" t="s">
        <v>4566</v>
      </c>
      <c r="C1343" t="s">
        <v>75</v>
      </c>
      <c r="D1343">
        <v>3</v>
      </c>
      <c r="E1343">
        <v>0</v>
      </c>
      <c r="F1343" s="1">
        <v>45831</v>
      </c>
      <c r="G1343">
        <f>_xlfn.XLOOKUP(F1343,'Wk no''s'!B:B,'Wk no''s'!C:C,0)</f>
        <v>26</v>
      </c>
    </row>
    <row r="1344" spans="1:7" x14ac:dyDescent="0.3">
      <c r="A1344" t="s">
        <v>4567</v>
      </c>
      <c r="B1344" t="s">
        <v>4568</v>
      </c>
      <c r="C1344" t="s">
        <v>4569</v>
      </c>
      <c r="D1344">
        <v>3</v>
      </c>
      <c r="E1344">
        <v>0</v>
      </c>
      <c r="F1344" s="1">
        <v>45831</v>
      </c>
      <c r="G1344">
        <f>_xlfn.XLOOKUP(F1344,'Wk no''s'!B:B,'Wk no''s'!C:C,0)</f>
        <v>26</v>
      </c>
    </row>
    <row r="1345" spans="1:7" x14ac:dyDescent="0.3">
      <c r="A1345" t="s">
        <v>4570</v>
      </c>
      <c r="B1345" t="s">
        <v>4571</v>
      </c>
      <c r="C1345" t="s">
        <v>3794</v>
      </c>
      <c r="D1345">
        <v>4</v>
      </c>
      <c r="E1345">
        <v>0</v>
      </c>
      <c r="F1345" s="1">
        <v>45831</v>
      </c>
      <c r="G1345">
        <f>_xlfn.XLOOKUP(F1345,'Wk no''s'!B:B,'Wk no''s'!C:C,0)</f>
        <v>26</v>
      </c>
    </row>
    <row r="1346" spans="1:7" x14ac:dyDescent="0.3">
      <c r="A1346" t="s">
        <v>4572</v>
      </c>
      <c r="B1346" t="s">
        <v>4573</v>
      </c>
      <c r="C1346" t="s">
        <v>4574</v>
      </c>
      <c r="D1346">
        <v>2</v>
      </c>
      <c r="E1346">
        <v>0</v>
      </c>
      <c r="F1346" s="1">
        <v>45832</v>
      </c>
      <c r="G1346">
        <f>_xlfn.XLOOKUP(F1346,'Wk no''s'!B:B,'Wk no''s'!C:C,0)</f>
        <v>26</v>
      </c>
    </row>
    <row r="1347" spans="1:7" x14ac:dyDescent="0.3">
      <c r="A1347" t="s">
        <v>4575</v>
      </c>
      <c r="B1347" t="s">
        <v>4576</v>
      </c>
      <c r="C1347" t="s">
        <v>4577</v>
      </c>
      <c r="D1347">
        <v>0</v>
      </c>
      <c r="E1347">
        <v>1</v>
      </c>
      <c r="F1347" s="1">
        <v>45832</v>
      </c>
      <c r="G1347">
        <f>_xlfn.XLOOKUP(F1347,'Wk no''s'!B:B,'Wk no''s'!C:C,0)</f>
        <v>26</v>
      </c>
    </row>
    <row r="1348" spans="1:7" x14ac:dyDescent="0.3">
      <c r="A1348" t="s">
        <v>4578</v>
      </c>
      <c r="B1348" t="s">
        <v>4579</v>
      </c>
      <c r="C1348" t="s">
        <v>4168</v>
      </c>
      <c r="D1348">
        <v>0</v>
      </c>
      <c r="E1348">
        <v>1</v>
      </c>
      <c r="F1348" s="1">
        <v>45832</v>
      </c>
      <c r="G1348">
        <f>_xlfn.XLOOKUP(F1348,'Wk no''s'!B:B,'Wk no''s'!C:C,0)</f>
        <v>26</v>
      </c>
    </row>
    <row r="1349" spans="1:7" x14ac:dyDescent="0.3">
      <c r="A1349" t="s">
        <v>4580</v>
      </c>
      <c r="B1349" t="s">
        <v>4581</v>
      </c>
      <c r="C1349" t="s">
        <v>525</v>
      </c>
      <c r="D1349">
        <v>0</v>
      </c>
      <c r="E1349">
        <v>1</v>
      </c>
      <c r="F1349" s="1">
        <v>45832</v>
      </c>
      <c r="G1349">
        <f>_xlfn.XLOOKUP(F1349,'Wk no''s'!B:B,'Wk no''s'!C:C,0)</f>
        <v>26</v>
      </c>
    </row>
    <row r="1350" spans="1:7" x14ac:dyDescent="0.3">
      <c r="A1350" t="s">
        <v>4582</v>
      </c>
      <c r="B1350" t="s">
        <v>4583</v>
      </c>
      <c r="C1350" t="s">
        <v>2</v>
      </c>
      <c r="D1350">
        <v>1</v>
      </c>
      <c r="E1350">
        <v>1</v>
      </c>
      <c r="F1350" s="1">
        <v>45832</v>
      </c>
      <c r="G1350">
        <f>_xlfn.XLOOKUP(F1350,'Wk no''s'!B:B,'Wk no''s'!C:C,0)</f>
        <v>26</v>
      </c>
    </row>
    <row r="1351" spans="1:7" x14ac:dyDescent="0.3">
      <c r="A1351" t="s">
        <v>4584</v>
      </c>
      <c r="B1351" t="s">
        <v>4585</v>
      </c>
      <c r="C1351" t="s">
        <v>4586</v>
      </c>
      <c r="D1351">
        <v>1</v>
      </c>
      <c r="E1351">
        <v>1</v>
      </c>
      <c r="F1351" s="1">
        <v>45832</v>
      </c>
      <c r="G1351">
        <f>_xlfn.XLOOKUP(F1351,'Wk no''s'!B:B,'Wk no''s'!C:C,0)</f>
        <v>26</v>
      </c>
    </row>
    <row r="1352" spans="1:7" x14ac:dyDescent="0.3">
      <c r="A1352" t="s">
        <v>4587</v>
      </c>
      <c r="B1352" t="s">
        <v>4588</v>
      </c>
      <c r="C1352" t="s">
        <v>4404</v>
      </c>
      <c r="D1352">
        <v>2</v>
      </c>
      <c r="E1352">
        <v>0</v>
      </c>
      <c r="F1352" s="1">
        <v>45832</v>
      </c>
      <c r="G1352">
        <f>_xlfn.XLOOKUP(F1352,'Wk no''s'!B:B,'Wk no''s'!C:C,0)</f>
        <v>26</v>
      </c>
    </row>
    <row r="1353" spans="1:7" x14ac:dyDescent="0.3">
      <c r="A1353" t="s">
        <v>4589</v>
      </c>
      <c r="B1353" t="s">
        <v>4590</v>
      </c>
      <c r="C1353" t="s">
        <v>3517</v>
      </c>
      <c r="D1353">
        <v>1</v>
      </c>
      <c r="E1353">
        <v>1</v>
      </c>
      <c r="F1353" s="1">
        <v>45832</v>
      </c>
      <c r="G1353">
        <f>_xlfn.XLOOKUP(F1353,'Wk no''s'!B:B,'Wk no''s'!C:C,0)</f>
        <v>26</v>
      </c>
    </row>
    <row r="1354" spans="1:7" x14ac:dyDescent="0.3">
      <c r="A1354" t="s">
        <v>4591</v>
      </c>
      <c r="B1354" t="s">
        <v>2702</v>
      </c>
      <c r="D1354">
        <v>0</v>
      </c>
      <c r="E1354">
        <v>1</v>
      </c>
      <c r="F1354" s="1">
        <v>45832</v>
      </c>
      <c r="G1354">
        <f>_xlfn.XLOOKUP(F1354,'Wk no''s'!B:B,'Wk no''s'!C:C,0)</f>
        <v>26</v>
      </c>
    </row>
    <row r="1355" spans="1:7" x14ac:dyDescent="0.3">
      <c r="A1355" t="s">
        <v>4592</v>
      </c>
      <c r="B1355" t="s">
        <v>4593</v>
      </c>
      <c r="C1355" t="s">
        <v>4594</v>
      </c>
      <c r="D1355">
        <v>6</v>
      </c>
      <c r="E1355">
        <v>0</v>
      </c>
      <c r="F1355" s="1">
        <v>45832</v>
      </c>
      <c r="G1355">
        <f>_xlfn.XLOOKUP(F1355,'Wk no''s'!B:B,'Wk no''s'!C:C,0)</f>
        <v>26</v>
      </c>
    </row>
    <row r="1356" spans="1:7" x14ac:dyDescent="0.3">
      <c r="A1356" t="s">
        <v>4595</v>
      </c>
      <c r="B1356" t="s">
        <v>4596</v>
      </c>
      <c r="C1356" t="s">
        <v>4597</v>
      </c>
      <c r="D1356">
        <v>0</v>
      </c>
      <c r="E1356">
        <v>1</v>
      </c>
      <c r="F1356" s="1">
        <v>45832</v>
      </c>
      <c r="G1356">
        <f>_xlfn.XLOOKUP(F1356,'Wk no''s'!B:B,'Wk no''s'!C:C,0)</f>
        <v>26</v>
      </c>
    </row>
    <row r="1357" spans="1:7" x14ac:dyDescent="0.3">
      <c r="A1357" t="s">
        <v>4598</v>
      </c>
      <c r="B1357" t="s">
        <v>4599</v>
      </c>
      <c r="C1357" t="s">
        <v>4600</v>
      </c>
      <c r="D1357">
        <v>2</v>
      </c>
      <c r="E1357">
        <v>0</v>
      </c>
      <c r="F1357" s="1">
        <v>45832</v>
      </c>
      <c r="G1357">
        <f>_xlfn.XLOOKUP(F1357,'Wk no''s'!B:B,'Wk no''s'!C:C,0)</f>
        <v>26</v>
      </c>
    </row>
    <row r="1358" spans="1:7" x14ac:dyDescent="0.3">
      <c r="A1358" t="s">
        <v>4601</v>
      </c>
      <c r="B1358" t="s">
        <v>4602</v>
      </c>
      <c r="C1358" t="s">
        <v>36</v>
      </c>
      <c r="D1358">
        <v>4</v>
      </c>
      <c r="E1358">
        <v>0</v>
      </c>
      <c r="F1358" s="1">
        <v>45832</v>
      </c>
      <c r="G1358">
        <f>_xlfn.XLOOKUP(F1358,'Wk no''s'!B:B,'Wk no''s'!C:C,0)</f>
        <v>26</v>
      </c>
    </row>
    <row r="1359" spans="1:7" x14ac:dyDescent="0.3">
      <c r="A1359" t="s">
        <v>4603</v>
      </c>
      <c r="B1359" t="s">
        <v>4604</v>
      </c>
      <c r="C1359" t="s">
        <v>4605</v>
      </c>
      <c r="D1359">
        <v>0</v>
      </c>
      <c r="E1359">
        <v>1</v>
      </c>
      <c r="F1359" s="1">
        <v>45833</v>
      </c>
      <c r="G1359">
        <f>_xlfn.XLOOKUP(F1359,'Wk no''s'!B:B,'Wk no''s'!C:C,0)</f>
        <v>26</v>
      </c>
    </row>
    <row r="1360" spans="1:7" x14ac:dyDescent="0.3">
      <c r="A1360" t="s">
        <v>4606</v>
      </c>
      <c r="B1360" t="s">
        <v>4607</v>
      </c>
      <c r="C1360" t="s">
        <v>809</v>
      </c>
      <c r="D1360">
        <v>0</v>
      </c>
      <c r="E1360">
        <v>1</v>
      </c>
      <c r="F1360" s="1">
        <v>45833</v>
      </c>
      <c r="G1360">
        <f>_xlfn.XLOOKUP(F1360,'Wk no''s'!B:B,'Wk no''s'!C:C,0)</f>
        <v>26</v>
      </c>
    </row>
    <row r="1361" spans="1:7" x14ac:dyDescent="0.3">
      <c r="A1361" t="s">
        <v>4608</v>
      </c>
      <c r="B1361" t="s">
        <v>4609</v>
      </c>
      <c r="C1361" t="s">
        <v>1117</v>
      </c>
      <c r="D1361">
        <v>5</v>
      </c>
      <c r="E1361">
        <v>0</v>
      </c>
      <c r="F1361" s="1">
        <v>45833</v>
      </c>
      <c r="G1361">
        <f>_xlfn.XLOOKUP(F1361,'Wk no''s'!B:B,'Wk no''s'!C:C,0)</f>
        <v>26</v>
      </c>
    </row>
    <row r="1362" spans="1:7" x14ac:dyDescent="0.3">
      <c r="A1362" t="s">
        <v>4610</v>
      </c>
      <c r="B1362" t="s">
        <v>4611</v>
      </c>
      <c r="C1362" t="s">
        <v>15</v>
      </c>
      <c r="D1362">
        <v>0</v>
      </c>
      <c r="E1362">
        <v>1</v>
      </c>
      <c r="F1362" s="1">
        <v>45833</v>
      </c>
      <c r="G1362">
        <f>_xlfn.XLOOKUP(F1362,'Wk no''s'!B:B,'Wk no''s'!C:C,0)</f>
        <v>26</v>
      </c>
    </row>
    <row r="1363" spans="1:7" x14ac:dyDescent="0.3">
      <c r="A1363" t="s">
        <v>4612</v>
      </c>
      <c r="B1363" t="s">
        <v>4613</v>
      </c>
      <c r="C1363" t="s">
        <v>2474</v>
      </c>
      <c r="D1363">
        <v>2</v>
      </c>
      <c r="E1363">
        <v>0</v>
      </c>
      <c r="F1363" s="1">
        <v>45833</v>
      </c>
      <c r="G1363">
        <f>_xlfn.XLOOKUP(F1363,'Wk no''s'!B:B,'Wk no''s'!C:C,0)</f>
        <v>26</v>
      </c>
    </row>
    <row r="1364" spans="1:7" x14ac:dyDescent="0.3">
      <c r="A1364" t="s">
        <v>4614</v>
      </c>
      <c r="B1364" t="s">
        <v>4615</v>
      </c>
      <c r="C1364" t="s">
        <v>4616</v>
      </c>
      <c r="D1364">
        <v>2</v>
      </c>
      <c r="E1364">
        <v>0</v>
      </c>
      <c r="F1364" s="1">
        <v>45833</v>
      </c>
      <c r="G1364">
        <f>_xlfn.XLOOKUP(F1364,'Wk no''s'!B:B,'Wk no''s'!C:C,0)</f>
        <v>26</v>
      </c>
    </row>
    <row r="1365" spans="1:7" x14ac:dyDescent="0.3">
      <c r="A1365" t="s">
        <v>4617</v>
      </c>
      <c r="B1365" t="s">
        <v>4618</v>
      </c>
      <c r="C1365" t="s">
        <v>1856</v>
      </c>
      <c r="D1365">
        <v>0</v>
      </c>
      <c r="E1365">
        <v>1</v>
      </c>
      <c r="F1365" s="1">
        <v>45833</v>
      </c>
      <c r="G1365">
        <f>_xlfn.XLOOKUP(F1365,'Wk no''s'!B:B,'Wk no''s'!C:C,0)</f>
        <v>26</v>
      </c>
    </row>
    <row r="1366" spans="1:7" x14ac:dyDescent="0.3">
      <c r="A1366" t="s">
        <v>4619</v>
      </c>
      <c r="B1366" t="s">
        <v>4620</v>
      </c>
      <c r="C1366" t="s">
        <v>4621</v>
      </c>
      <c r="D1366">
        <v>3</v>
      </c>
      <c r="E1366">
        <v>0</v>
      </c>
      <c r="F1366" s="1">
        <v>45833</v>
      </c>
      <c r="G1366">
        <f>_xlfn.XLOOKUP(F1366,'Wk no''s'!B:B,'Wk no''s'!C:C,0)</f>
        <v>26</v>
      </c>
    </row>
    <row r="1367" spans="1:7" x14ac:dyDescent="0.3">
      <c r="A1367" t="s">
        <v>4622</v>
      </c>
      <c r="B1367" t="s">
        <v>4623</v>
      </c>
      <c r="C1367" t="s">
        <v>4624</v>
      </c>
      <c r="D1367">
        <v>4</v>
      </c>
      <c r="E1367">
        <v>0</v>
      </c>
      <c r="F1367" s="1">
        <v>45833</v>
      </c>
      <c r="G1367">
        <f>_xlfn.XLOOKUP(F1367,'Wk no''s'!B:B,'Wk no''s'!C:C,0)</f>
        <v>26</v>
      </c>
    </row>
    <row r="1368" spans="1:7" x14ac:dyDescent="0.3">
      <c r="A1368" t="s">
        <v>4625</v>
      </c>
      <c r="B1368" t="s">
        <v>4626</v>
      </c>
      <c r="C1368" t="s">
        <v>2789</v>
      </c>
      <c r="D1368">
        <v>1</v>
      </c>
      <c r="E1368">
        <v>1</v>
      </c>
      <c r="F1368" s="1">
        <v>45833</v>
      </c>
      <c r="G1368">
        <f>_xlfn.XLOOKUP(F1368,'Wk no''s'!B:B,'Wk no''s'!C:C,0)</f>
        <v>26</v>
      </c>
    </row>
    <row r="1369" spans="1:7" x14ac:dyDescent="0.3">
      <c r="A1369" t="s">
        <v>4627</v>
      </c>
      <c r="B1369" t="s">
        <v>4628</v>
      </c>
      <c r="C1369" t="s">
        <v>4629</v>
      </c>
      <c r="D1369">
        <v>0</v>
      </c>
      <c r="E1369">
        <v>1</v>
      </c>
      <c r="F1369" s="1">
        <v>45833</v>
      </c>
      <c r="G1369">
        <f>_xlfn.XLOOKUP(F1369,'Wk no''s'!B:B,'Wk no''s'!C:C,0)</f>
        <v>26</v>
      </c>
    </row>
    <row r="1370" spans="1:7" x14ac:dyDescent="0.3">
      <c r="A1370" t="s">
        <v>4630</v>
      </c>
      <c r="B1370" t="s">
        <v>4631</v>
      </c>
      <c r="C1370" t="s">
        <v>4632</v>
      </c>
      <c r="D1370">
        <v>1</v>
      </c>
      <c r="E1370">
        <v>1</v>
      </c>
      <c r="F1370" s="1">
        <v>45833</v>
      </c>
      <c r="G1370">
        <f>_xlfn.XLOOKUP(F1370,'Wk no''s'!B:B,'Wk no''s'!C:C,0)</f>
        <v>26</v>
      </c>
    </row>
    <row r="1371" spans="1:7" x14ac:dyDescent="0.3">
      <c r="A1371" t="s">
        <v>4633</v>
      </c>
      <c r="B1371" t="s">
        <v>4634</v>
      </c>
      <c r="C1371" t="s">
        <v>4635</v>
      </c>
      <c r="D1371">
        <v>0</v>
      </c>
      <c r="E1371">
        <v>1</v>
      </c>
      <c r="F1371" s="1">
        <v>45833</v>
      </c>
      <c r="G1371">
        <f>_xlfn.XLOOKUP(F1371,'Wk no''s'!B:B,'Wk no''s'!C:C,0)</f>
        <v>26</v>
      </c>
    </row>
    <row r="1372" spans="1:7" x14ac:dyDescent="0.3">
      <c r="A1372" t="s">
        <v>4636</v>
      </c>
      <c r="B1372" t="s">
        <v>4637</v>
      </c>
      <c r="C1372" t="s">
        <v>4638</v>
      </c>
      <c r="D1372">
        <v>1</v>
      </c>
      <c r="E1372">
        <v>1</v>
      </c>
      <c r="F1372" s="1">
        <v>45833</v>
      </c>
      <c r="G1372">
        <f>_xlfn.XLOOKUP(F1372,'Wk no''s'!B:B,'Wk no''s'!C:C,0)</f>
        <v>26</v>
      </c>
    </row>
    <row r="1373" spans="1:7" x14ac:dyDescent="0.3">
      <c r="A1373" t="s">
        <v>4639</v>
      </c>
      <c r="B1373" t="s">
        <v>4640</v>
      </c>
      <c r="C1373" t="s">
        <v>3943</v>
      </c>
      <c r="D1373">
        <v>12</v>
      </c>
      <c r="E1373">
        <v>0</v>
      </c>
      <c r="F1373" s="1">
        <v>45833</v>
      </c>
      <c r="G1373">
        <f>_xlfn.XLOOKUP(F1373,'Wk no''s'!B:B,'Wk no''s'!C:C,0)</f>
        <v>26</v>
      </c>
    </row>
    <row r="1374" spans="1:7" x14ac:dyDescent="0.3">
      <c r="A1374" t="s">
        <v>4641</v>
      </c>
      <c r="B1374" t="s">
        <v>4642</v>
      </c>
      <c r="C1374" t="s">
        <v>4074</v>
      </c>
      <c r="D1374">
        <v>0</v>
      </c>
      <c r="E1374">
        <v>1</v>
      </c>
      <c r="F1374" s="1">
        <v>45833</v>
      </c>
      <c r="G1374">
        <f>_xlfn.XLOOKUP(F1374,'Wk no''s'!B:B,'Wk no''s'!C:C,0)</f>
        <v>26</v>
      </c>
    </row>
    <row r="1375" spans="1:7" x14ac:dyDescent="0.3">
      <c r="A1375" t="s">
        <v>4643</v>
      </c>
      <c r="B1375" t="s">
        <v>4644</v>
      </c>
      <c r="C1375" t="s">
        <v>4645</v>
      </c>
      <c r="D1375">
        <v>5</v>
      </c>
      <c r="E1375">
        <v>0</v>
      </c>
      <c r="F1375" s="1">
        <v>45834</v>
      </c>
      <c r="G1375">
        <f>_xlfn.XLOOKUP(F1375,'Wk no''s'!B:B,'Wk no''s'!C:C,0)</f>
        <v>26</v>
      </c>
    </row>
    <row r="1376" spans="1:7" x14ac:dyDescent="0.3">
      <c r="A1376" t="s">
        <v>4646</v>
      </c>
      <c r="B1376" t="s">
        <v>4647</v>
      </c>
      <c r="C1376" t="s">
        <v>4648</v>
      </c>
      <c r="D1376">
        <v>0</v>
      </c>
      <c r="E1376">
        <v>1</v>
      </c>
      <c r="F1376" s="1">
        <v>45834</v>
      </c>
      <c r="G1376">
        <f>_xlfn.XLOOKUP(F1376,'Wk no''s'!B:B,'Wk no''s'!C:C,0)</f>
        <v>26</v>
      </c>
    </row>
    <row r="1377" spans="1:7" x14ac:dyDescent="0.3">
      <c r="A1377" t="s">
        <v>4649</v>
      </c>
      <c r="B1377" t="s">
        <v>4650</v>
      </c>
      <c r="C1377" t="s">
        <v>15</v>
      </c>
      <c r="D1377">
        <v>0</v>
      </c>
      <c r="E1377">
        <v>1</v>
      </c>
      <c r="F1377" s="1">
        <v>45834</v>
      </c>
      <c r="G1377">
        <f>_xlfn.XLOOKUP(F1377,'Wk no''s'!B:B,'Wk no''s'!C:C,0)</f>
        <v>26</v>
      </c>
    </row>
    <row r="1378" spans="1:7" x14ac:dyDescent="0.3">
      <c r="A1378" t="s">
        <v>4651</v>
      </c>
      <c r="B1378" t="s">
        <v>4652</v>
      </c>
      <c r="C1378" t="s">
        <v>2451</v>
      </c>
      <c r="D1378">
        <v>0</v>
      </c>
      <c r="E1378">
        <v>1</v>
      </c>
      <c r="F1378" s="1">
        <v>45834</v>
      </c>
      <c r="G1378">
        <f>_xlfn.XLOOKUP(F1378,'Wk no''s'!B:B,'Wk no''s'!C:C,0)</f>
        <v>26</v>
      </c>
    </row>
    <row r="1379" spans="1:7" x14ac:dyDescent="0.3">
      <c r="A1379" t="s">
        <v>4653</v>
      </c>
      <c r="B1379" t="s">
        <v>4654</v>
      </c>
      <c r="C1379" t="s">
        <v>3450</v>
      </c>
      <c r="D1379">
        <v>0</v>
      </c>
      <c r="E1379">
        <v>1</v>
      </c>
      <c r="F1379" s="1">
        <v>45834</v>
      </c>
      <c r="G1379">
        <f>_xlfn.XLOOKUP(F1379,'Wk no''s'!B:B,'Wk no''s'!C:C,0)</f>
        <v>26</v>
      </c>
    </row>
    <row r="1380" spans="1:7" x14ac:dyDescent="0.3">
      <c r="A1380" t="s">
        <v>4655</v>
      </c>
      <c r="B1380" t="s">
        <v>4656</v>
      </c>
      <c r="C1380" t="s">
        <v>1117</v>
      </c>
      <c r="D1380">
        <v>4</v>
      </c>
      <c r="E1380">
        <v>0</v>
      </c>
      <c r="F1380" s="1">
        <v>45834</v>
      </c>
      <c r="G1380">
        <f>_xlfn.XLOOKUP(F1380,'Wk no''s'!B:B,'Wk no''s'!C:C,0)</f>
        <v>26</v>
      </c>
    </row>
    <row r="1381" spans="1:7" x14ac:dyDescent="0.3">
      <c r="A1381" t="s">
        <v>4657</v>
      </c>
      <c r="B1381" t="s">
        <v>4658</v>
      </c>
      <c r="C1381" t="s">
        <v>4659</v>
      </c>
      <c r="D1381">
        <v>1</v>
      </c>
      <c r="E1381">
        <v>1</v>
      </c>
      <c r="F1381" s="1">
        <v>45835</v>
      </c>
      <c r="G1381">
        <f>_xlfn.XLOOKUP(F1381,'Wk no''s'!B:B,'Wk no''s'!C:C,0)</f>
        <v>26</v>
      </c>
    </row>
    <row r="1382" spans="1:7" x14ac:dyDescent="0.3">
      <c r="A1382" t="s">
        <v>4660</v>
      </c>
      <c r="B1382" t="s">
        <v>4661</v>
      </c>
      <c r="C1382" t="s">
        <v>1995</v>
      </c>
      <c r="D1382">
        <v>0</v>
      </c>
      <c r="E1382">
        <v>1</v>
      </c>
      <c r="F1382" s="1">
        <v>45835</v>
      </c>
      <c r="G1382">
        <f>_xlfn.XLOOKUP(F1382,'Wk no''s'!B:B,'Wk no''s'!C:C,0)</f>
        <v>26</v>
      </c>
    </row>
    <row r="1383" spans="1:7" x14ac:dyDescent="0.3">
      <c r="A1383" t="s">
        <v>4662</v>
      </c>
      <c r="B1383" t="s">
        <v>4663</v>
      </c>
      <c r="C1383" t="s">
        <v>386</v>
      </c>
      <c r="D1383">
        <v>1</v>
      </c>
      <c r="E1383">
        <v>1</v>
      </c>
      <c r="F1383" s="1">
        <v>45835</v>
      </c>
      <c r="G1383">
        <f>_xlfn.XLOOKUP(F1383,'Wk no''s'!B:B,'Wk no''s'!C:C,0)</f>
        <v>26</v>
      </c>
    </row>
    <row r="1384" spans="1:7" x14ac:dyDescent="0.3">
      <c r="A1384" t="s">
        <v>4664</v>
      </c>
      <c r="B1384" t="s">
        <v>4665</v>
      </c>
      <c r="C1384" t="s">
        <v>4666</v>
      </c>
      <c r="D1384">
        <v>0</v>
      </c>
      <c r="E1384">
        <v>1</v>
      </c>
      <c r="F1384" s="1">
        <v>45835</v>
      </c>
      <c r="G1384">
        <f>_xlfn.XLOOKUP(F1384,'Wk no''s'!B:B,'Wk no''s'!C:C,0)</f>
        <v>26</v>
      </c>
    </row>
    <row r="1385" spans="1:7" x14ac:dyDescent="0.3">
      <c r="A1385" t="s">
        <v>4667</v>
      </c>
      <c r="B1385" t="s">
        <v>4668</v>
      </c>
      <c r="C1385" t="s">
        <v>2703</v>
      </c>
      <c r="D1385">
        <v>0</v>
      </c>
      <c r="E1385">
        <v>1</v>
      </c>
      <c r="F1385" s="1">
        <v>45835</v>
      </c>
      <c r="G1385">
        <f>_xlfn.XLOOKUP(F1385,'Wk no''s'!B:B,'Wk no''s'!C:C,0)</f>
        <v>26</v>
      </c>
    </row>
    <row r="1386" spans="1:7" x14ac:dyDescent="0.3">
      <c r="A1386" t="s">
        <v>4669</v>
      </c>
      <c r="B1386" t="s">
        <v>4670</v>
      </c>
      <c r="C1386" t="s">
        <v>2141</v>
      </c>
      <c r="D1386">
        <v>0</v>
      </c>
      <c r="E1386">
        <v>1</v>
      </c>
      <c r="F1386" s="1">
        <v>45835</v>
      </c>
      <c r="G1386">
        <f>_xlfn.XLOOKUP(F1386,'Wk no''s'!B:B,'Wk no''s'!C:C,0)</f>
        <v>26</v>
      </c>
    </row>
    <row r="1387" spans="1:7" x14ac:dyDescent="0.3">
      <c r="A1387" t="s">
        <v>4671</v>
      </c>
      <c r="B1387" t="s">
        <v>4672</v>
      </c>
      <c r="C1387" t="s">
        <v>3672</v>
      </c>
      <c r="D1387">
        <v>0</v>
      </c>
      <c r="E1387">
        <v>1</v>
      </c>
      <c r="F1387" s="1">
        <v>45835</v>
      </c>
      <c r="G1387">
        <f>_xlfn.XLOOKUP(F1387,'Wk no''s'!B:B,'Wk no''s'!C:C,0)</f>
        <v>26</v>
      </c>
    </row>
    <row r="1388" spans="1:7" x14ac:dyDescent="0.3">
      <c r="A1388" t="s">
        <v>4673</v>
      </c>
      <c r="B1388" t="s">
        <v>4674</v>
      </c>
      <c r="C1388" t="s">
        <v>4675</v>
      </c>
      <c r="D1388">
        <v>0</v>
      </c>
      <c r="E1388">
        <v>1</v>
      </c>
      <c r="F1388" s="1">
        <v>45835</v>
      </c>
      <c r="G1388">
        <f>_xlfn.XLOOKUP(F1388,'Wk no''s'!B:B,'Wk no''s'!C:C,0)</f>
        <v>26</v>
      </c>
    </row>
    <row r="1389" spans="1:7" x14ac:dyDescent="0.3">
      <c r="A1389" t="s">
        <v>4676</v>
      </c>
      <c r="B1389" t="s">
        <v>4677</v>
      </c>
      <c r="C1389" t="s">
        <v>75</v>
      </c>
      <c r="D1389">
        <v>0</v>
      </c>
      <c r="E1389">
        <v>1</v>
      </c>
      <c r="F1389" s="1">
        <v>45835</v>
      </c>
      <c r="G1389">
        <f>_xlfn.XLOOKUP(F1389,'Wk no''s'!B:B,'Wk no''s'!C:C,0)</f>
        <v>26</v>
      </c>
    </row>
    <row r="1390" spans="1:7" x14ac:dyDescent="0.3">
      <c r="A1390" t="s">
        <v>4678</v>
      </c>
      <c r="B1390" t="s">
        <v>4679</v>
      </c>
      <c r="C1390" t="s">
        <v>4680</v>
      </c>
      <c r="D1390">
        <v>1</v>
      </c>
      <c r="E1390">
        <v>1</v>
      </c>
      <c r="F1390" s="1">
        <v>45835</v>
      </c>
      <c r="G1390">
        <f>_xlfn.XLOOKUP(F1390,'Wk no''s'!B:B,'Wk no''s'!C:C,0)</f>
        <v>26</v>
      </c>
    </row>
    <row r="1391" spans="1:7" x14ac:dyDescent="0.3">
      <c r="A1391" t="s">
        <v>4681</v>
      </c>
      <c r="B1391" t="s">
        <v>4682</v>
      </c>
      <c r="C1391" t="s">
        <v>1117</v>
      </c>
      <c r="D1391">
        <v>0</v>
      </c>
      <c r="E1391">
        <v>1</v>
      </c>
      <c r="F1391" s="1">
        <v>45835</v>
      </c>
      <c r="G1391">
        <f>_xlfn.XLOOKUP(F1391,'Wk no''s'!B:B,'Wk no''s'!C:C,0)</f>
        <v>26</v>
      </c>
    </row>
    <row r="1392" spans="1:7" x14ac:dyDescent="0.3">
      <c r="A1392" t="s">
        <v>4683</v>
      </c>
      <c r="B1392" t="s">
        <v>4684</v>
      </c>
      <c r="C1392" t="s">
        <v>2201</v>
      </c>
      <c r="D1392">
        <v>0</v>
      </c>
      <c r="E1392">
        <v>1</v>
      </c>
      <c r="F1392" s="1">
        <v>45835</v>
      </c>
      <c r="G1392">
        <f>_xlfn.XLOOKUP(F1392,'Wk no''s'!B:B,'Wk no''s'!C:C,0)</f>
        <v>26</v>
      </c>
    </row>
    <row r="1393" spans="1:7" x14ac:dyDescent="0.3">
      <c r="A1393" t="s">
        <v>4685</v>
      </c>
      <c r="B1393" t="s">
        <v>4686</v>
      </c>
      <c r="C1393" t="s">
        <v>4687</v>
      </c>
      <c r="D1393">
        <v>1</v>
      </c>
      <c r="E1393">
        <v>1</v>
      </c>
      <c r="F1393" s="1">
        <v>45835</v>
      </c>
      <c r="G1393">
        <f>_xlfn.XLOOKUP(F1393,'Wk no''s'!B:B,'Wk no''s'!C:C,0)</f>
        <v>26</v>
      </c>
    </row>
    <row r="1394" spans="1:7" x14ac:dyDescent="0.3">
      <c r="A1394" t="s">
        <v>4688</v>
      </c>
      <c r="B1394" t="s">
        <v>4689</v>
      </c>
      <c r="C1394" t="s">
        <v>3814</v>
      </c>
      <c r="D1394">
        <v>1</v>
      </c>
      <c r="E1394">
        <v>1</v>
      </c>
      <c r="F1394" s="1">
        <v>45835</v>
      </c>
      <c r="G1394">
        <f>_xlfn.XLOOKUP(F1394,'Wk no''s'!B:B,'Wk no''s'!C:C,0)</f>
        <v>26</v>
      </c>
    </row>
    <row r="1395" spans="1:7" x14ac:dyDescent="0.3">
      <c r="A1395" t="s">
        <v>4690</v>
      </c>
      <c r="B1395" t="s">
        <v>4691</v>
      </c>
      <c r="C1395" t="s">
        <v>2191</v>
      </c>
      <c r="D1395">
        <v>0</v>
      </c>
      <c r="E1395">
        <v>1</v>
      </c>
      <c r="F1395" s="1">
        <v>45835</v>
      </c>
      <c r="G1395">
        <f>_xlfn.XLOOKUP(F1395,'Wk no''s'!B:B,'Wk no''s'!C:C,0)</f>
        <v>26</v>
      </c>
    </row>
    <row r="1396" spans="1:7" x14ac:dyDescent="0.3">
      <c r="A1396" t="s">
        <v>4692</v>
      </c>
      <c r="B1396" t="s">
        <v>4693</v>
      </c>
      <c r="C1396" t="s">
        <v>432</v>
      </c>
      <c r="D1396">
        <v>0</v>
      </c>
      <c r="E1396">
        <v>1</v>
      </c>
      <c r="F1396" s="1">
        <v>45835</v>
      </c>
      <c r="G1396">
        <f>_xlfn.XLOOKUP(F1396,'Wk no''s'!B:B,'Wk no''s'!C:C,0)</f>
        <v>26</v>
      </c>
    </row>
    <row r="1397" spans="1:7" x14ac:dyDescent="0.3">
      <c r="A1397" t="s">
        <v>4694</v>
      </c>
      <c r="B1397" t="s">
        <v>4695</v>
      </c>
      <c r="C1397" t="s">
        <v>75</v>
      </c>
      <c r="D1397">
        <v>0</v>
      </c>
      <c r="E1397">
        <v>1</v>
      </c>
      <c r="F1397" s="1">
        <v>45835</v>
      </c>
      <c r="G1397">
        <f>_xlfn.XLOOKUP(F1397,'Wk no''s'!B:B,'Wk no''s'!C:C,0)</f>
        <v>26</v>
      </c>
    </row>
    <row r="1398" spans="1:7" x14ac:dyDescent="0.3">
      <c r="A1398" t="s">
        <v>4696</v>
      </c>
      <c r="B1398" t="s">
        <v>4697</v>
      </c>
      <c r="C1398" t="s">
        <v>2259</v>
      </c>
      <c r="D1398">
        <v>6</v>
      </c>
      <c r="E1398">
        <v>0</v>
      </c>
      <c r="F1398" s="1">
        <v>45838</v>
      </c>
      <c r="G1398">
        <f>_xlfn.XLOOKUP(F1398,'Wk no''s'!B:B,'Wk no''s'!C:C,0)</f>
        <v>27</v>
      </c>
    </row>
    <row r="1399" spans="1:7" x14ac:dyDescent="0.3">
      <c r="A1399" t="s">
        <v>4698</v>
      </c>
      <c r="B1399" t="s">
        <v>4699</v>
      </c>
      <c r="C1399" t="s">
        <v>2259</v>
      </c>
      <c r="D1399">
        <v>0</v>
      </c>
      <c r="E1399">
        <v>1</v>
      </c>
      <c r="F1399" s="1">
        <v>45838</v>
      </c>
      <c r="G1399">
        <f>_xlfn.XLOOKUP(F1399,'Wk no''s'!B:B,'Wk no''s'!C:C,0)</f>
        <v>27</v>
      </c>
    </row>
    <row r="1400" spans="1:7" x14ac:dyDescent="0.3">
      <c r="A1400" t="s">
        <v>4700</v>
      </c>
      <c r="B1400" t="s">
        <v>4701</v>
      </c>
      <c r="C1400" t="s">
        <v>2259</v>
      </c>
      <c r="D1400">
        <v>1</v>
      </c>
      <c r="E1400">
        <v>1</v>
      </c>
      <c r="F1400" s="1">
        <v>45838</v>
      </c>
      <c r="G1400">
        <f>_xlfn.XLOOKUP(F1400,'Wk no''s'!B:B,'Wk no''s'!C:C,0)</f>
        <v>27</v>
      </c>
    </row>
    <row r="1401" spans="1:7" x14ac:dyDescent="0.3">
      <c r="A1401" t="s">
        <v>4702</v>
      </c>
      <c r="B1401" t="s">
        <v>4703</v>
      </c>
      <c r="C1401" t="s">
        <v>5495</v>
      </c>
      <c r="D1401">
        <v>0</v>
      </c>
      <c r="E1401">
        <v>1</v>
      </c>
      <c r="F1401" s="1">
        <v>45838</v>
      </c>
      <c r="G1401">
        <f>_xlfn.XLOOKUP(F1401,'Wk no''s'!B:B,'Wk no''s'!C:C,0)</f>
        <v>27</v>
      </c>
    </row>
    <row r="1402" spans="1:7" x14ac:dyDescent="0.3">
      <c r="A1402" t="s">
        <v>4704</v>
      </c>
      <c r="B1402" t="s">
        <v>4705</v>
      </c>
      <c r="C1402" t="s">
        <v>4706</v>
      </c>
      <c r="D1402">
        <v>0</v>
      </c>
      <c r="E1402">
        <v>1</v>
      </c>
      <c r="F1402" s="1">
        <v>45838</v>
      </c>
      <c r="G1402">
        <f>_xlfn.XLOOKUP(F1402,'Wk no''s'!B:B,'Wk no''s'!C:C,0)</f>
        <v>27</v>
      </c>
    </row>
    <row r="1403" spans="1:7" x14ac:dyDescent="0.3">
      <c r="A1403" t="s">
        <v>4707</v>
      </c>
      <c r="B1403" t="s">
        <v>4708</v>
      </c>
      <c r="C1403" t="s">
        <v>4709</v>
      </c>
      <c r="D1403">
        <v>3</v>
      </c>
      <c r="E1403">
        <v>0</v>
      </c>
      <c r="F1403" s="1">
        <v>45838</v>
      </c>
      <c r="G1403">
        <f>_xlfn.XLOOKUP(F1403,'Wk no''s'!B:B,'Wk no''s'!C:C,0)</f>
        <v>27</v>
      </c>
    </row>
    <row r="1404" spans="1:7" x14ac:dyDescent="0.3">
      <c r="A1404" t="s">
        <v>4710</v>
      </c>
      <c r="B1404" t="s">
        <v>4711</v>
      </c>
      <c r="C1404" t="s">
        <v>3462</v>
      </c>
      <c r="D1404">
        <v>0</v>
      </c>
      <c r="E1404">
        <v>1</v>
      </c>
      <c r="F1404" s="1">
        <v>45838</v>
      </c>
      <c r="G1404">
        <f>_xlfn.XLOOKUP(F1404,'Wk no''s'!B:B,'Wk no''s'!C:C,0)</f>
        <v>27</v>
      </c>
    </row>
    <row r="1405" spans="1:7" x14ac:dyDescent="0.3">
      <c r="A1405" t="s">
        <v>4712</v>
      </c>
      <c r="B1405" t="s">
        <v>4713</v>
      </c>
      <c r="C1405" t="s">
        <v>3462</v>
      </c>
      <c r="D1405">
        <v>2</v>
      </c>
      <c r="E1405">
        <v>0</v>
      </c>
      <c r="F1405" s="1">
        <v>45838</v>
      </c>
      <c r="G1405">
        <f>_xlfn.XLOOKUP(F1405,'Wk no''s'!B:B,'Wk no''s'!C:C,0)</f>
        <v>27</v>
      </c>
    </row>
    <row r="1406" spans="1:7" x14ac:dyDescent="0.3">
      <c r="A1406" t="s">
        <v>4714</v>
      </c>
      <c r="B1406" t="s">
        <v>4715</v>
      </c>
      <c r="C1406" t="s">
        <v>3462</v>
      </c>
      <c r="D1406">
        <v>2</v>
      </c>
      <c r="E1406">
        <v>0</v>
      </c>
      <c r="F1406" s="1">
        <v>45838</v>
      </c>
      <c r="G1406">
        <f>_xlfn.XLOOKUP(F1406,'Wk no''s'!B:B,'Wk no''s'!C:C,0)</f>
        <v>27</v>
      </c>
    </row>
    <row r="1407" spans="1:7" x14ac:dyDescent="0.3">
      <c r="A1407" t="s">
        <v>4716</v>
      </c>
      <c r="B1407" t="s">
        <v>4717</v>
      </c>
      <c r="C1407" t="s">
        <v>3462</v>
      </c>
      <c r="D1407">
        <v>2</v>
      </c>
      <c r="E1407">
        <v>0</v>
      </c>
      <c r="F1407" s="1">
        <v>45838</v>
      </c>
      <c r="G1407">
        <f>_xlfn.XLOOKUP(F1407,'Wk no''s'!B:B,'Wk no''s'!C:C,0)</f>
        <v>27</v>
      </c>
    </row>
    <row r="1408" spans="1:7" x14ac:dyDescent="0.3">
      <c r="A1408" t="s">
        <v>4718</v>
      </c>
      <c r="B1408" t="s">
        <v>4719</v>
      </c>
      <c r="C1408" t="s">
        <v>3462</v>
      </c>
      <c r="D1408">
        <v>2</v>
      </c>
      <c r="E1408">
        <v>0</v>
      </c>
      <c r="F1408" s="1">
        <v>45838</v>
      </c>
      <c r="G1408">
        <f>_xlfn.XLOOKUP(F1408,'Wk no''s'!B:B,'Wk no''s'!C:C,0)</f>
        <v>27</v>
      </c>
    </row>
    <row r="1409" spans="1:7" x14ac:dyDescent="0.3">
      <c r="A1409" t="s">
        <v>4720</v>
      </c>
      <c r="B1409" t="s">
        <v>4721</v>
      </c>
      <c r="C1409" t="s">
        <v>3462</v>
      </c>
      <c r="D1409">
        <v>2</v>
      </c>
      <c r="E1409">
        <v>0</v>
      </c>
      <c r="F1409" s="1">
        <v>45838</v>
      </c>
      <c r="G1409">
        <f>_xlfn.XLOOKUP(F1409,'Wk no''s'!B:B,'Wk no''s'!C:C,0)</f>
        <v>27</v>
      </c>
    </row>
    <row r="1410" spans="1:7" x14ac:dyDescent="0.3">
      <c r="A1410" t="s">
        <v>4722</v>
      </c>
      <c r="B1410" t="s">
        <v>4723</v>
      </c>
      <c r="C1410" t="s">
        <v>3462</v>
      </c>
      <c r="D1410">
        <v>2</v>
      </c>
      <c r="E1410">
        <v>0</v>
      </c>
      <c r="F1410" s="1">
        <v>45838</v>
      </c>
      <c r="G1410">
        <f>_xlfn.XLOOKUP(F1410,'Wk no''s'!B:B,'Wk no''s'!C:C,0)</f>
        <v>27</v>
      </c>
    </row>
    <row r="1411" spans="1:7" x14ac:dyDescent="0.3">
      <c r="A1411" t="s">
        <v>4724</v>
      </c>
      <c r="B1411" t="s">
        <v>4725</v>
      </c>
      <c r="C1411" t="s">
        <v>4726</v>
      </c>
      <c r="D1411">
        <v>3</v>
      </c>
      <c r="E1411">
        <v>0</v>
      </c>
      <c r="F1411" s="1">
        <v>45838</v>
      </c>
      <c r="G1411">
        <f>_xlfn.XLOOKUP(F1411,'Wk no''s'!B:B,'Wk no''s'!C:C,0)</f>
        <v>27</v>
      </c>
    </row>
    <row r="1412" spans="1:7" x14ac:dyDescent="0.3">
      <c r="A1412" t="s">
        <v>4727</v>
      </c>
      <c r="B1412" t="s">
        <v>4728</v>
      </c>
      <c r="C1412" t="s">
        <v>1194</v>
      </c>
      <c r="D1412">
        <v>2</v>
      </c>
      <c r="E1412">
        <v>0</v>
      </c>
      <c r="F1412" s="1">
        <v>45838</v>
      </c>
      <c r="G1412">
        <f>_xlfn.XLOOKUP(F1412,'Wk no''s'!B:B,'Wk no''s'!C:C,0)</f>
        <v>27</v>
      </c>
    </row>
    <row r="1413" spans="1:7" x14ac:dyDescent="0.3">
      <c r="A1413" t="s">
        <v>4729</v>
      </c>
      <c r="B1413" t="s">
        <v>4730</v>
      </c>
      <c r="C1413" t="s">
        <v>2270</v>
      </c>
      <c r="D1413">
        <v>1</v>
      </c>
      <c r="E1413">
        <v>1</v>
      </c>
      <c r="F1413" s="1">
        <v>45838</v>
      </c>
      <c r="G1413">
        <f>_xlfn.XLOOKUP(F1413,'Wk no''s'!B:B,'Wk no''s'!C:C,0)</f>
        <v>27</v>
      </c>
    </row>
    <row r="1414" spans="1:7" x14ac:dyDescent="0.3">
      <c r="A1414" t="s">
        <v>4731</v>
      </c>
      <c r="B1414" t="s">
        <v>4732</v>
      </c>
      <c r="C1414" t="s">
        <v>28</v>
      </c>
      <c r="D1414">
        <v>1</v>
      </c>
      <c r="E1414">
        <v>1</v>
      </c>
      <c r="F1414" s="1">
        <v>45838</v>
      </c>
      <c r="G1414">
        <f>_xlfn.XLOOKUP(F1414,'Wk no''s'!B:B,'Wk no''s'!C:C,0)</f>
        <v>27</v>
      </c>
    </row>
    <row r="1415" spans="1:7" x14ac:dyDescent="0.3">
      <c r="A1415" t="s">
        <v>4733</v>
      </c>
      <c r="B1415" t="s">
        <v>4734</v>
      </c>
      <c r="C1415" t="s">
        <v>31</v>
      </c>
      <c r="D1415">
        <v>0</v>
      </c>
      <c r="E1415">
        <v>1</v>
      </c>
      <c r="F1415" s="1">
        <v>45839</v>
      </c>
      <c r="G1415">
        <f>_xlfn.XLOOKUP(F1415,'Wk no''s'!B:B,'Wk no''s'!C:C,0)</f>
        <v>27</v>
      </c>
    </row>
    <row r="1416" spans="1:7" x14ac:dyDescent="0.3">
      <c r="A1416" t="s">
        <v>4735</v>
      </c>
      <c r="B1416" t="s">
        <v>4736</v>
      </c>
      <c r="C1416" t="s">
        <v>2066</v>
      </c>
      <c r="D1416">
        <v>0</v>
      </c>
      <c r="E1416">
        <v>1</v>
      </c>
      <c r="F1416" s="1">
        <v>45839</v>
      </c>
      <c r="G1416">
        <f>_xlfn.XLOOKUP(F1416,'Wk no''s'!B:B,'Wk no''s'!C:C,0)</f>
        <v>27</v>
      </c>
    </row>
    <row r="1417" spans="1:7" x14ac:dyDescent="0.3">
      <c r="A1417" t="s">
        <v>4737</v>
      </c>
      <c r="B1417" t="s">
        <v>4738</v>
      </c>
      <c r="C1417" t="s">
        <v>4739</v>
      </c>
      <c r="D1417">
        <v>0</v>
      </c>
      <c r="E1417">
        <v>1</v>
      </c>
      <c r="F1417" s="1">
        <v>45839</v>
      </c>
      <c r="G1417">
        <f>_xlfn.XLOOKUP(F1417,'Wk no''s'!B:B,'Wk no''s'!C:C,0)</f>
        <v>27</v>
      </c>
    </row>
    <row r="1418" spans="1:7" x14ac:dyDescent="0.3">
      <c r="A1418" t="s">
        <v>4740</v>
      </c>
      <c r="B1418" t="s">
        <v>4741</v>
      </c>
      <c r="C1418" t="s">
        <v>3226</v>
      </c>
      <c r="D1418">
        <v>0</v>
      </c>
      <c r="E1418">
        <v>1</v>
      </c>
      <c r="F1418" s="1">
        <v>45839</v>
      </c>
      <c r="G1418">
        <f>_xlfn.XLOOKUP(F1418,'Wk no''s'!B:B,'Wk no''s'!C:C,0)</f>
        <v>27</v>
      </c>
    </row>
    <row r="1419" spans="1:7" x14ac:dyDescent="0.3">
      <c r="A1419" t="s">
        <v>4742</v>
      </c>
      <c r="B1419" t="s">
        <v>4743</v>
      </c>
      <c r="C1419" t="s">
        <v>550</v>
      </c>
      <c r="D1419">
        <v>0</v>
      </c>
      <c r="E1419">
        <v>1</v>
      </c>
      <c r="F1419" s="1">
        <v>45839</v>
      </c>
      <c r="G1419">
        <f>_xlfn.XLOOKUP(F1419,'Wk no''s'!B:B,'Wk no''s'!C:C,0)</f>
        <v>27</v>
      </c>
    </row>
    <row r="1420" spans="1:7" x14ac:dyDescent="0.3">
      <c r="A1420" t="s">
        <v>4744</v>
      </c>
      <c r="B1420" t="s">
        <v>4745</v>
      </c>
      <c r="C1420" t="s">
        <v>4746</v>
      </c>
      <c r="D1420">
        <v>0</v>
      </c>
      <c r="E1420">
        <v>1</v>
      </c>
      <c r="F1420" s="1">
        <v>45839</v>
      </c>
      <c r="G1420">
        <f>_xlfn.XLOOKUP(F1420,'Wk no''s'!B:B,'Wk no''s'!C:C,0)</f>
        <v>27</v>
      </c>
    </row>
    <row r="1421" spans="1:7" x14ac:dyDescent="0.3">
      <c r="A1421" t="s">
        <v>4747</v>
      </c>
      <c r="B1421" t="s">
        <v>4748</v>
      </c>
      <c r="C1421" t="s">
        <v>4168</v>
      </c>
      <c r="D1421">
        <v>0</v>
      </c>
      <c r="E1421">
        <v>1</v>
      </c>
      <c r="F1421" s="1">
        <v>45839</v>
      </c>
      <c r="G1421">
        <f>_xlfn.XLOOKUP(F1421,'Wk no''s'!B:B,'Wk no''s'!C:C,0)</f>
        <v>27</v>
      </c>
    </row>
    <row r="1422" spans="1:7" x14ac:dyDescent="0.3">
      <c r="A1422" t="s">
        <v>4749</v>
      </c>
      <c r="B1422" t="s">
        <v>4750</v>
      </c>
      <c r="C1422" t="s">
        <v>113</v>
      </c>
      <c r="D1422">
        <v>0</v>
      </c>
      <c r="E1422">
        <v>1</v>
      </c>
      <c r="F1422" s="1">
        <v>45839</v>
      </c>
      <c r="G1422">
        <f>_xlfn.XLOOKUP(F1422,'Wk no''s'!B:B,'Wk no''s'!C:C,0)</f>
        <v>27</v>
      </c>
    </row>
    <row r="1423" spans="1:7" x14ac:dyDescent="0.3">
      <c r="A1423" t="s">
        <v>4751</v>
      </c>
      <c r="B1423" t="s">
        <v>4752</v>
      </c>
      <c r="C1423" t="s">
        <v>75</v>
      </c>
      <c r="D1423">
        <v>0</v>
      </c>
      <c r="E1423">
        <v>1</v>
      </c>
      <c r="F1423" s="1">
        <v>45839</v>
      </c>
      <c r="G1423">
        <f>_xlfn.XLOOKUP(F1423,'Wk no''s'!B:B,'Wk no''s'!C:C,0)</f>
        <v>27</v>
      </c>
    </row>
    <row r="1424" spans="1:7" x14ac:dyDescent="0.3">
      <c r="A1424" t="s">
        <v>4753</v>
      </c>
      <c r="B1424" t="s">
        <v>4754</v>
      </c>
      <c r="C1424" t="s">
        <v>3450</v>
      </c>
      <c r="D1424">
        <v>0</v>
      </c>
      <c r="E1424">
        <v>1</v>
      </c>
      <c r="F1424" s="1">
        <v>45839</v>
      </c>
      <c r="G1424">
        <f>_xlfn.XLOOKUP(F1424,'Wk no''s'!B:B,'Wk no''s'!C:C,0)</f>
        <v>27</v>
      </c>
    </row>
    <row r="1425" spans="1:7" x14ac:dyDescent="0.3">
      <c r="A1425" t="s">
        <v>4755</v>
      </c>
      <c r="B1425" t="s">
        <v>4756</v>
      </c>
      <c r="C1425" t="s">
        <v>4757</v>
      </c>
      <c r="D1425">
        <v>1</v>
      </c>
      <c r="E1425">
        <v>1</v>
      </c>
      <c r="F1425" s="1">
        <v>45839</v>
      </c>
      <c r="G1425">
        <f>_xlfn.XLOOKUP(F1425,'Wk no''s'!B:B,'Wk no''s'!C:C,0)</f>
        <v>27</v>
      </c>
    </row>
    <row r="1426" spans="1:7" x14ac:dyDescent="0.3">
      <c r="A1426" t="s">
        <v>4758</v>
      </c>
      <c r="B1426" t="s">
        <v>4759</v>
      </c>
      <c r="C1426" t="s">
        <v>3644</v>
      </c>
      <c r="D1426">
        <v>0</v>
      </c>
      <c r="E1426">
        <v>1</v>
      </c>
      <c r="F1426" s="1">
        <v>45839</v>
      </c>
      <c r="G1426">
        <f>_xlfn.XLOOKUP(F1426,'Wk no''s'!B:B,'Wk no''s'!C:C,0)</f>
        <v>27</v>
      </c>
    </row>
    <row r="1427" spans="1:7" x14ac:dyDescent="0.3">
      <c r="A1427" t="s">
        <v>4760</v>
      </c>
      <c r="B1427" t="s">
        <v>4761</v>
      </c>
      <c r="C1427" t="s">
        <v>4762</v>
      </c>
      <c r="D1427">
        <v>2</v>
      </c>
      <c r="E1427">
        <v>0</v>
      </c>
      <c r="F1427" s="1">
        <v>45840</v>
      </c>
      <c r="G1427">
        <f>_xlfn.XLOOKUP(F1427,'Wk no''s'!B:B,'Wk no''s'!C:C,0)</f>
        <v>27</v>
      </c>
    </row>
    <row r="1428" spans="1:7" x14ac:dyDescent="0.3">
      <c r="A1428" t="s">
        <v>4763</v>
      </c>
      <c r="B1428" t="s">
        <v>4764</v>
      </c>
      <c r="C1428" t="s">
        <v>1343</v>
      </c>
      <c r="D1428">
        <v>0</v>
      </c>
      <c r="E1428">
        <v>1</v>
      </c>
      <c r="F1428" s="1">
        <v>45840</v>
      </c>
      <c r="G1428">
        <f>_xlfn.XLOOKUP(F1428,'Wk no''s'!B:B,'Wk no''s'!C:C,0)</f>
        <v>27</v>
      </c>
    </row>
    <row r="1429" spans="1:7" x14ac:dyDescent="0.3">
      <c r="A1429" t="s">
        <v>4765</v>
      </c>
      <c r="C1429" t="s">
        <v>4766</v>
      </c>
      <c r="D1429">
        <v>0</v>
      </c>
      <c r="E1429">
        <v>1</v>
      </c>
      <c r="F1429" s="1">
        <v>45840</v>
      </c>
      <c r="G1429">
        <f>_xlfn.XLOOKUP(F1429,'Wk no''s'!B:B,'Wk no''s'!C:C,0)</f>
        <v>27</v>
      </c>
    </row>
    <row r="1430" spans="1:7" x14ac:dyDescent="0.3">
      <c r="A1430" t="s">
        <v>4767</v>
      </c>
      <c r="B1430" t="s">
        <v>4768</v>
      </c>
      <c r="C1430" t="s">
        <v>4769</v>
      </c>
      <c r="D1430">
        <v>0</v>
      </c>
      <c r="E1430">
        <v>1</v>
      </c>
      <c r="F1430" s="1">
        <v>45840</v>
      </c>
      <c r="G1430">
        <f>_xlfn.XLOOKUP(F1430,'Wk no''s'!B:B,'Wk no''s'!C:C,0)</f>
        <v>27</v>
      </c>
    </row>
    <row r="1431" spans="1:7" x14ac:dyDescent="0.3">
      <c r="A1431" t="s">
        <v>4770</v>
      </c>
      <c r="B1431" t="s">
        <v>4771</v>
      </c>
      <c r="C1431" t="s">
        <v>4772</v>
      </c>
      <c r="D1431">
        <v>0</v>
      </c>
      <c r="E1431">
        <v>1</v>
      </c>
      <c r="F1431" s="1">
        <v>45840</v>
      </c>
      <c r="G1431">
        <f>_xlfn.XLOOKUP(F1431,'Wk no''s'!B:B,'Wk no''s'!C:C,0)</f>
        <v>27</v>
      </c>
    </row>
    <row r="1432" spans="1:7" x14ac:dyDescent="0.3">
      <c r="A1432" t="s">
        <v>4773</v>
      </c>
      <c r="B1432" t="s">
        <v>4774</v>
      </c>
      <c r="C1432" t="s">
        <v>4775</v>
      </c>
      <c r="D1432">
        <v>1</v>
      </c>
      <c r="E1432">
        <v>1</v>
      </c>
      <c r="F1432" s="1">
        <v>45840</v>
      </c>
      <c r="G1432">
        <f>_xlfn.XLOOKUP(F1432,'Wk no''s'!B:B,'Wk no''s'!C:C,0)</f>
        <v>27</v>
      </c>
    </row>
    <row r="1433" spans="1:7" x14ac:dyDescent="0.3">
      <c r="A1433" t="s">
        <v>4776</v>
      </c>
      <c r="B1433" t="s">
        <v>4777</v>
      </c>
      <c r="C1433" t="s">
        <v>4778</v>
      </c>
      <c r="D1433">
        <v>0</v>
      </c>
      <c r="E1433">
        <v>1</v>
      </c>
      <c r="F1433" s="1">
        <v>45840</v>
      </c>
      <c r="G1433">
        <f>_xlfn.XLOOKUP(F1433,'Wk no''s'!B:B,'Wk no''s'!C:C,0)</f>
        <v>27</v>
      </c>
    </row>
    <row r="1434" spans="1:7" x14ac:dyDescent="0.3">
      <c r="A1434" t="s">
        <v>4779</v>
      </c>
      <c r="B1434" t="s">
        <v>4780</v>
      </c>
      <c r="C1434" t="s">
        <v>5182</v>
      </c>
      <c r="D1434">
        <v>0</v>
      </c>
      <c r="E1434">
        <v>1</v>
      </c>
      <c r="F1434" s="1">
        <v>45840</v>
      </c>
      <c r="G1434">
        <f>_xlfn.XLOOKUP(F1434,'Wk no''s'!B:B,'Wk no''s'!C:C,0)</f>
        <v>27</v>
      </c>
    </row>
    <row r="1435" spans="1:7" x14ac:dyDescent="0.3">
      <c r="A1435" t="s">
        <v>4781</v>
      </c>
      <c r="B1435" t="s">
        <v>4782</v>
      </c>
      <c r="C1435" t="s">
        <v>4783</v>
      </c>
      <c r="D1435">
        <v>1</v>
      </c>
      <c r="E1435">
        <v>1</v>
      </c>
      <c r="F1435" s="1">
        <v>45840</v>
      </c>
      <c r="G1435">
        <f>_xlfn.XLOOKUP(F1435,'Wk no''s'!B:B,'Wk no''s'!C:C,0)</f>
        <v>27</v>
      </c>
    </row>
    <row r="1436" spans="1:7" x14ac:dyDescent="0.3">
      <c r="A1436" t="s">
        <v>4784</v>
      </c>
      <c r="B1436" t="s">
        <v>4785</v>
      </c>
      <c r="C1436" t="s">
        <v>3987</v>
      </c>
      <c r="D1436">
        <v>7</v>
      </c>
      <c r="E1436">
        <v>0</v>
      </c>
      <c r="F1436" s="1">
        <v>45841</v>
      </c>
      <c r="G1436">
        <f>_xlfn.XLOOKUP(F1436,'Wk no''s'!B:B,'Wk no''s'!C:C,0)</f>
        <v>27</v>
      </c>
    </row>
    <row r="1437" spans="1:7" x14ac:dyDescent="0.3">
      <c r="A1437" t="s">
        <v>4786</v>
      </c>
      <c r="B1437" t="s">
        <v>4787</v>
      </c>
      <c r="C1437" t="s">
        <v>3544</v>
      </c>
      <c r="D1437">
        <v>0</v>
      </c>
      <c r="E1437">
        <v>1</v>
      </c>
      <c r="F1437" s="1">
        <v>45841</v>
      </c>
      <c r="G1437">
        <f>_xlfn.XLOOKUP(F1437,'Wk no''s'!B:B,'Wk no''s'!C:C,0)</f>
        <v>27</v>
      </c>
    </row>
    <row r="1438" spans="1:7" x14ac:dyDescent="0.3">
      <c r="A1438" t="s">
        <v>4788</v>
      </c>
      <c r="B1438" t="s">
        <v>4789</v>
      </c>
      <c r="C1438" t="s">
        <v>69</v>
      </c>
      <c r="D1438">
        <v>3</v>
      </c>
      <c r="E1438">
        <v>0</v>
      </c>
      <c r="F1438" s="1">
        <v>45841</v>
      </c>
      <c r="G1438">
        <f>_xlfn.XLOOKUP(F1438,'Wk no''s'!B:B,'Wk no''s'!C:C,0)</f>
        <v>27</v>
      </c>
    </row>
    <row r="1439" spans="1:7" x14ac:dyDescent="0.3">
      <c r="A1439" t="s">
        <v>4790</v>
      </c>
      <c r="B1439" t="s">
        <v>4791</v>
      </c>
      <c r="C1439" t="s">
        <v>1495</v>
      </c>
      <c r="D1439">
        <v>2</v>
      </c>
      <c r="E1439">
        <v>0</v>
      </c>
      <c r="F1439" s="1">
        <v>45841</v>
      </c>
      <c r="G1439">
        <f>_xlfn.XLOOKUP(F1439,'Wk no''s'!B:B,'Wk no''s'!C:C,0)</f>
        <v>27</v>
      </c>
    </row>
    <row r="1440" spans="1:7" x14ac:dyDescent="0.3">
      <c r="A1440" t="s">
        <v>4792</v>
      </c>
      <c r="B1440" t="s">
        <v>4793</v>
      </c>
      <c r="C1440" t="s">
        <v>3931</v>
      </c>
      <c r="D1440">
        <v>5</v>
      </c>
      <c r="E1440">
        <v>0</v>
      </c>
      <c r="F1440" s="1">
        <v>45841</v>
      </c>
      <c r="G1440">
        <f>_xlfn.XLOOKUP(F1440,'Wk no''s'!B:B,'Wk no''s'!C:C,0)</f>
        <v>27</v>
      </c>
    </row>
    <row r="1441" spans="1:7" x14ac:dyDescent="0.3">
      <c r="A1441" t="s">
        <v>4794</v>
      </c>
      <c r="B1441" t="s">
        <v>4795</v>
      </c>
      <c r="C1441" t="s">
        <v>4796</v>
      </c>
      <c r="D1441">
        <v>12</v>
      </c>
      <c r="E1441">
        <v>0</v>
      </c>
      <c r="F1441" s="1">
        <v>45841</v>
      </c>
      <c r="G1441">
        <f>_xlfn.XLOOKUP(F1441,'Wk no''s'!B:B,'Wk no''s'!C:C,0)</f>
        <v>27</v>
      </c>
    </row>
    <row r="1442" spans="1:7" x14ac:dyDescent="0.3">
      <c r="A1442" t="s">
        <v>4797</v>
      </c>
      <c r="B1442" t="s">
        <v>4798</v>
      </c>
      <c r="C1442" t="s">
        <v>4638</v>
      </c>
      <c r="D1442">
        <v>8</v>
      </c>
      <c r="E1442">
        <v>0</v>
      </c>
      <c r="F1442" s="1">
        <v>45841</v>
      </c>
      <c r="G1442">
        <f>_xlfn.XLOOKUP(F1442,'Wk no''s'!B:B,'Wk no''s'!C:C,0)</f>
        <v>27</v>
      </c>
    </row>
    <row r="1443" spans="1:7" x14ac:dyDescent="0.3">
      <c r="A1443" t="s">
        <v>4799</v>
      </c>
      <c r="B1443" t="s">
        <v>4800</v>
      </c>
      <c r="C1443" t="s">
        <v>4638</v>
      </c>
      <c r="D1443">
        <v>8</v>
      </c>
      <c r="E1443">
        <v>0</v>
      </c>
      <c r="F1443" s="1">
        <v>45841</v>
      </c>
      <c r="G1443">
        <f>_xlfn.XLOOKUP(F1443,'Wk no''s'!B:B,'Wk no''s'!C:C,0)</f>
        <v>27</v>
      </c>
    </row>
    <row r="1444" spans="1:7" x14ac:dyDescent="0.3">
      <c r="A1444" t="s">
        <v>4801</v>
      </c>
      <c r="C1444" t="s">
        <v>4802</v>
      </c>
      <c r="D1444">
        <v>0</v>
      </c>
      <c r="E1444">
        <v>1</v>
      </c>
      <c r="F1444" s="1">
        <v>45841</v>
      </c>
      <c r="G1444">
        <f>_xlfn.XLOOKUP(F1444,'Wk no''s'!B:B,'Wk no''s'!C:C,0)</f>
        <v>27</v>
      </c>
    </row>
    <row r="1445" spans="1:7" x14ac:dyDescent="0.3">
      <c r="A1445" t="s">
        <v>4803</v>
      </c>
      <c r="B1445" t="s">
        <v>4804</v>
      </c>
      <c r="C1445" t="s">
        <v>4805</v>
      </c>
      <c r="D1445">
        <v>2</v>
      </c>
      <c r="E1445">
        <v>0</v>
      </c>
      <c r="F1445" s="1">
        <v>45842</v>
      </c>
      <c r="G1445">
        <f>_xlfn.XLOOKUP(F1445,'Wk no''s'!B:B,'Wk no''s'!C:C,0)</f>
        <v>27</v>
      </c>
    </row>
    <row r="1446" spans="1:7" x14ac:dyDescent="0.3">
      <c r="A1446" t="s">
        <v>4806</v>
      </c>
      <c r="B1446" t="s">
        <v>4807</v>
      </c>
      <c r="C1446" t="s">
        <v>1224</v>
      </c>
      <c r="D1446">
        <v>1</v>
      </c>
      <c r="E1446">
        <v>1</v>
      </c>
      <c r="F1446" s="1">
        <v>45842</v>
      </c>
      <c r="G1446">
        <f>_xlfn.XLOOKUP(F1446,'Wk no''s'!B:B,'Wk no''s'!C:C,0)</f>
        <v>27</v>
      </c>
    </row>
    <row r="1447" spans="1:7" x14ac:dyDescent="0.3">
      <c r="A1447" t="s">
        <v>4808</v>
      </c>
      <c r="B1447" t="s">
        <v>4809</v>
      </c>
      <c r="C1447" t="s">
        <v>2818</v>
      </c>
      <c r="D1447">
        <v>0</v>
      </c>
      <c r="E1447">
        <v>1</v>
      </c>
      <c r="F1447" s="1">
        <v>45842</v>
      </c>
      <c r="G1447">
        <f>_xlfn.XLOOKUP(F1447,'Wk no''s'!B:B,'Wk no''s'!C:C,0)</f>
        <v>27</v>
      </c>
    </row>
    <row r="1448" spans="1:7" x14ac:dyDescent="0.3">
      <c r="A1448" t="s">
        <v>4810</v>
      </c>
      <c r="B1448" t="s">
        <v>4811</v>
      </c>
      <c r="C1448" t="s">
        <v>4812</v>
      </c>
      <c r="D1448">
        <v>0</v>
      </c>
      <c r="E1448">
        <v>1</v>
      </c>
      <c r="F1448" s="1">
        <v>45842</v>
      </c>
      <c r="G1448">
        <f>_xlfn.XLOOKUP(F1448,'Wk no''s'!B:B,'Wk no''s'!C:C,0)</f>
        <v>27</v>
      </c>
    </row>
    <row r="1449" spans="1:7" x14ac:dyDescent="0.3">
      <c r="A1449" t="s">
        <v>4813</v>
      </c>
      <c r="B1449" t="s">
        <v>4814</v>
      </c>
      <c r="C1449" t="s">
        <v>4815</v>
      </c>
      <c r="D1449">
        <v>2</v>
      </c>
      <c r="E1449">
        <v>0</v>
      </c>
      <c r="F1449" s="1">
        <v>45842</v>
      </c>
      <c r="G1449">
        <f>_xlfn.XLOOKUP(F1449,'Wk no''s'!B:B,'Wk no''s'!C:C,0)</f>
        <v>27</v>
      </c>
    </row>
    <row r="1450" spans="1:7" x14ac:dyDescent="0.3">
      <c r="A1450" t="s">
        <v>4816</v>
      </c>
      <c r="B1450" t="s">
        <v>4817</v>
      </c>
      <c r="C1450" t="s">
        <v>1224</v>
      </c>
      <c r="D1450">
        <v>0</v>
      </c>
      <c r="E1450">
        <v>1</v>
      </c>
      <c r="F1450" s="1">
        <v>45842</v>
      </c>
      <c r="G1450">
        <f>_xlfn.XLOOKUP(F1450,'Wk no''s'!B:B,'Wk no''s'!C:C,0)</f>
        <v>27</v>
      </c>
    </row>
    <row r="1451" spans="1:7" x14ac:dyDescent="0.3">
      <c r="A1451" t="s">
        <v>4818</v>
      </c>
      <c r="C1451" t="s">
        <v>3544</v>
      </c>
      <c r="D1451">
        <v>57</v>
      </c>
      <c r="E1451">
        <v>0</v>
      </c>
      <c r="F1451" s="1">
        <v>45842</v>
      </c>
      <c r="G1451">
        <f>_xlfn.XLOOKUP(F1451,'Wk no''s'!B:B,'Wk no''s'!C:C,0)</f>
        <v>27</v>
      </c>
    </row>
    <row r="1452" spans="1:7" x14ac:dyDescent="0.3">
      <c r="A1452" t="s">
        <v>4923</v>
      </c>
      <c r="B1452" t="s">
        <v>4924</v>
      </c>
      <c r="C1452" t="s">
        <v>3310</v>
      </c>
      <c r="D1452">
        <v>0</v>
      </c>
      <c r="E1452">
        <v>1</v>
      </c>
      <c r="F1452" s="1">
        <v>45845</v>
      </c>
      <c r="G1452">
        <f>_xlfn.XLOOKUP(F1452,'Wk no''s'!B:B,'Wk no''s'!C:C,0)</f>
        <v>28</v>
      </c>
    </row>
    <row r="1453" spans="1:7" x14ac:dyDescent="0.3">
      <c r="A1453" t="s">
        <v>4925</v>
      </c>
      <c r="B1453" t="s">
        <v>4926</v>
      </c>
      <c r="C1453" t="s">
        <v>4244</v>
      </c>
      <c r="D1453">
        <v>4</v>
      </c>
      <c r="E1453">
        <v>0</v>
      </c>
      <c r="F1453" s="1">
        <v>45845</v>
      </c>
      <c r="G1453">
        <f>_xlfn.XLOOKUP(F1453,'Wk no''s'!B:B,'Wk no''s'!C:C,0)</f>
        <v>28</v>
      </c>
    </row>
    <row r="1454" spans="1:7" x14ac:dyDescent="0.3">
      <c r="A1454" t="s">
        <v>4927</v>
      </c>
      <c r="B1454" t="s">
        <v>4928</v>
      </c>
      <c r="C1454" t="s">
        <v>69</v>
      </c>
      <c r="D1454">
        <v>6</v>
      </c>
      <c r="E1454">
        <v>0</v>
      </c>
      <c r="F1454" s="1">
        <v>45845</v>
      </c>
      <c r="G1454">
        <f>_xlfn.XLOOKUP(F1454,'Wk no''s'!B:B,'Wk no''s'!C:C,0)</f>
        <v>28</v>
      </c>
    </row>
    <row r="1455" spans="1:7" x14ac:dyDescent="0.3">
      <c r="A1455" t="s">
        <v>4929</v>
      </c>
      <c r="B1455" t="s">
        <v>4930</v>
      </c>
      <c r="C1455" t="s">
        <v>4931</v>
      </c>
      <c r="D1455">
        <v>0</v>
      </c>
      <c r="E1455">
        <v>1</v>
      </c>
      <c r="F1455" s="1">
        <v>45845</v>
      </c>
      <c r="G1455">
        <f>_xlfn.XLOOKUP(F1455,'Wk no''s'!B:B,'Wk no''s'!C:C,0)</f>
        <v>28</v>
      </c>
    </row>
    <row r="1456" spans="1:7" x14ac:dyDescent="0.3">
      <c r="A1456" t="s">
        <v>4932</v>
      </c>
      <c r="B1456" t="s">
        <v>4933</v>
      </c>
      <c r="C1456" t="s">
        <v>29</v>
      </c>
      <c r="D1456">
        <v>1</v>
      </c>
      <c r="E1456">
        <v>1</v>
      </c>
      <c r="F1456" s="1">
        <v>45845</v>
      </c>
      <c r="G1456">
        <f>_xlfn.XLOOKUP(F1456,'Wk no''s'!B:B,'Wk no''s'!C:C,0)</f>
        <v>28</v>
      </c>
    </row>
    <row r="1457" spans="1:7" x14ac:dyDescent="0.3">
      <c r="A1457" t="s">
        <v>4934</v>
      </c>
      <c r="B1457" t="s">
        <v>4935</v>
      </c>
      <c r="C1457" t="s">
        <v>4936</v>
      </c>
      <c r="D1457">
        <v>1</v>
      </c>
      <c r="E1457">
        <v>1</v>
      </c>
      <c r="F1457" s="1">
        <v>45845</v>
      </c>
      <c r="G1457">
        <f>_xlfn.XLOOKUP(F1457,'Wk no''s'!B:B,'Wk no''s'!C:C,0)</f>
        <v>28</v>
      </c>
    </row>
    <row r="1458" spans="1:7" x14ac:dyDescent="0.3">
      <c r="A1458" t="s">
        <v>4937</v>
      </c>
      <c r="B1458" t="s">
        <v>4938</v>
      </c>
      <c r="C1458" t="s">
        <v>6026</v>
      </c>
      <c r="D1458">
        <v>1</v>
      </c>
      <c r="E1458">
        <v>1</v>
      </c>
      <c r="F1458" s="1">
        <v>45845</v>
      </c>
      <c r="G1458">
        <f>_xlfn.XLOOKUP(F1458,'Wk no''s'!B:B,'Wk no''s'!C:C,0)</f>
        <v>28</v>
      </c>
    </row>
    <row r="1459" spans="1:7" x14ac:dyDescent="0.3">
      <c r="A1459" t="s">
        <v>4939</v>
      </c>
      <c r="B1459" t="s">
        <v>4940</v>
      </c>
      <c r="C1459" t="s">
        <v>4941</v>
      </c>
      <c r="D1459">
        <v>0</v>
      </c>
      <c r="E1459">
        <v>1</v>
      </c>
      <c r="F1459" s="1">
        <v>45845</v>
      </c>
      <c r="G1459">
        <f>_xlfn.XLOOKUP(F1459,'Wk no''s'!B:B,'Wk no''s'!C:C,0)</f>
        <v>28</v>
      </c>
    </row>
    <row r="1460" spans="1:7" x14ac:dyDescent="0.3">
      <c r="A1460" t="s">
        <v>4942</v>
      </c>
      <c r="B1460" t="s">
        <v>4943</v>
      </c>
      <c r="C1460" t="s">
        <v>4944</v>
      </c>
      <c r="D1460">
        <v>0</v>
      </c>
      <c r="E1460">
        <v>1</v>
      </c>
      <c r="F1460" s="1">
        <v>45846</v>
      </c>
      <c r="G1460">
        <f>_xlfn.XLOOKUP(F1460,'Wk no''s'!B:B,'Wk no''s'!C:C,0)</f>
        <v>28</v>
      </c>
    </row>
    <row r="1461" spans="1:7" x14ac:dyDescent="0.3">
      <c r="A1461" t="s">
        <v>4945</v>
      </c>
      <c r="B1461" t="s">
        <v>4946</v>
      </c>
      <c r="C1461" t="s">
        <v>4224</v>
      </c>
      <c r="D1461">
        <v>0</v>
      </c>
      <c r="E1461">
        <v>1</v>
      </c>
      <c r="F1461" s="1">
        <v>45846</v>
      </c>
      <c r="G1461">
        <f>_xlfn.XLOOKUP(F1461,'Wk no''s'!B:B,'Wk no''s'!C:C,0)</f>
        <v>28</v>
      </c>
    </row>
    <row r="1462" spans="1:7" x14ac:dyDescent="0.3">
      <c r="A1462" t="s">
        <v>4947</v>
      </c>
      <c r="B1462" t="s">
        <v>4948</v>
      </c>
      <c r="C1462" t="s">
        <v>3517</v>
      </c>
      <c r="D1462">
        <v>0</v>
      </c>
      <c r="E1462">
        <v>1</v>
      </c>
      <c r="F1462" s="1">
        <v>45846</v>
      </c>
      <c r="G1462">
        <f>_xlfn.XLOOKUP(F1462,'Wk no''s'!B:B,'Wk no''s'!C:C,0)</f>
        <v>28</v>
      </c>
    </row>
    <row r="1463" spans="1:7" x14ac:dyDescent="0.3">
      <c r="A1463" t="s">
        <v>4949</v>
      </c>
      <c r="B1463" t="s">
        <v>4950</v>
      </c>
      <c r="C1463" t="s">
        <v>4951</v>
      </c>
      <c r="D1463">
        <v>0</v>
      </c>
      <c r="E1463">
        <v>1</v>
      </c>
      <c r="F1463" s="1">
        <v>45846</v>
      </c>
      <c r="G1463">
        <f>_xlfn.XLOOKUP(F1463,'Wk no''s'!B:B,'Wk no''s'!C:C,0)</f>
        <v>28</v>
      </c>
    </row>
    <row r="1464" spans="1:7" x14ac:dyDescent="0.3">
      <c r="A1464" t="s">
        <v>4952</v>
      </c>
      <c r="B1464" t="s">
        <v>4953</v>
      </c>
      <c r="C1464" t="s">
        <v>4954</v>
      </c>
      <c r="D1464">
        <v>5</v>
      </c>
      <c r="E1464">
        <v>0</v>
      </c>
      <c r="F1464" s="1">
        <v>45846</v>
      </c>
      <c r="G1464">
        <f>_xlfn.XLOOKUP(F1464,'Wk no''s'!B:B,'Wk no''s'!C:C,0)</f>
        <v>28</v>
      </c>
    </row>
    <row r="1465" spans="1:7" x14ac:dyDescent="0.3">
      <c r="A1465" t="s">
        <v>4955</v>
      </c>
      <c r="B1465" t="s">
        <v>4956</v>
      </c>
      <c r="C1465" t="s">
        <v>4957</v>
      </c>
      <c r="D1465">
        <v>1</v>
      </c>
      <c r="E1465">
        <v>1</v>
      </c>
      <c r="F1465" s="1">
        <v>45846</v>
      </c>
      <c r="G1465">
        <f>_xlfn.XLOOKUP(F1465,'Wk no''s'!B:B,'Wk no''s'!C:C,0)</f>
        <v>28</v>
      </c>
    </row>
    <row r="1466" spans="1:7" x14ac:dyDescent="0.3">
      <c r="A1466" t="s">
        <v>4958</v>
      </c>
      <c r="B1466" t="s">
        <v>4959</v>
      </c>
      <c r="C1466" t="s">
        <v>4960</v>
      </c>
      <c r="D1466">
        <v>5</v>
      </c>
      <c r="E1466">
        <v>0</v>
      </c>
      <c r="F1466" s="1">
        <v>45846</v>
      </c>
      <c r="G1466">
        <f>_xlfn.XLOOKUP(F1466,'Wk no''s'!B:B,'Wk no''s'!C:C,0)</f>
        <v>28</v>
      </c>
    </row>
    <row r="1467" spans="1:7" x14ac:dyDescent="0.3">
      <c r="A1467" t="s">
        <v>4961</v>
      </c>
      <c r="B1467" t="s">
        <v>4962</v>
      </c>
      <c r="C1467" t="s">
        <v>4963</v>
      </c>
      <c r="D1467">
        <v>6</v>
      </c>
      <c r="E1467">
        <v>0</v>
      </c>
      <c r="F1467" s="1">
        <v>45846</v>
      </c>
      <c r="G1467">
        <f>_xlfn.XLOOKUP(F1467,'Wk no''s'!B:B,'Wk no''s'!C:C,0)</f>
        <v>28</v>
      </c>
    </row>
    <row r="1468" spans="1:7" x14ac:dyDescent="0.3">
      <c r="A1468" t="s">
        <v>4964</v>
      </c>
      <c r="B1468" t="s">
        <v>4965</v>
      </c>
      <c r="C1468" t="s">
        <v>407</v>
      </c>
      <c r="D1468">
        <v>0</v>
      </c>
      <c r="E1468">
        <v>1</v>
      </c>
      <c r="F1468" s="1">
        <v>45846</v>
      </c>
      <c r="G1468">
        <f>_xlfn.XLOOKUP(F1468,'Wk no''s'!B:B,'Wk no''s'!C:C,0)</f>
        <v>28</v>
      </c>
    </row>
    <row r="1469" spans="1:7" x14ac:dyDescent="0.3">
      <c r="A1469" t="s">
        <v>4966</v>
      </c>
      <c r="B1469" t="s">
        <v>4967</v>
      </c>
      <c r="C1469" t="s">
        <v>386</v>
      </c>
      <c r="D1469">
        <v>7</v>
      </c>
      <c r="E1469">
        <v>0</v>
      </c>
      <c r="F1469" s="1">
        <v>45846</v>
      </c>
      <c r="G1469">
        <f>_xlfn.XLOOKUP(F1469,'Wk no''s'!B:B,'Wk no''s'!C:C,0)</f>
        <v>28</v>
      </c>
    </row>
    <row r="1470" spans="1:7" x14ac:dyDescent="0.3">
      <c r="A1470" t="s">
        <v>4968</v>
      </c>
      <c r="B1470" t="s">
        <v>4969</v>
      </c>
      <c r="C1470" t="s">
        <v>4970</v>
      </c>
      <c r="D1470">
        <v>8</v>
      </c>
      <c r="E1470">
        <v>0</v>
      </c>
      <c r="F1470" s="1">
        <v>45847</v>
      </c>
      <c r="G1470">
        <f>_xlfn.XLOOKUP(F1470,'Wk no''s'!B:B,'Wk no''s'!C:C,0)</f>
        <v>28</v>
      </c>
    </row>
    <row r="1471" spans="1:7" x14ac:dyDescent="0.3">
      <c r="A1471" t="s">
        <v>4971</v>
      </c>
      <c r="B1471" t="s">
        <v>4972</v>
      </c>
      <c r="C1471" t="s">
        <v>36</v>
      </c>
      <c r="D1471">
        <v>8</v>
      </c>
      <c r="E1471">
        <v>0</v>
      </c>
      <c r="F1471" s="1">
        <v>45847</v>
      </c>
      <c r="G1471">
        <f>_xlfn.XLOOKUP(F1471,'Wk no''s'!B:B,'Wk no''s'!C:C,0)</f>
        <v>28</v>
      </c>
    </row>
    <row r="1472" spans="1:7" x14ac:dyDescent="0.3">
      <c r="A1472" t="s">
        <v>4973</v>
      </c>
      <c r="B1472" t="s">
        <v>4974</v>
      </c>
      <c r="C1472" t="s">
        <v>4975</v>
      </c>
      <c r="D1472">
        <v>0</v>
      </c>
      <c r="E1472">
        <v>1</v>
      </c>
      <c r="F1472" s="1">
        <v>45847</v>
      </c>
      <c r="G1472">
        <f>_xlfn.XLOOKUP(F1472,'Wk no''s'!B:B,'Wk no''s'!C:C,0)</f>
        <v>28</v>
      </c>
    </row>
    <row r="1473" spans="1:7" x14ac:dyDescent="0.3">
      <c r="A1473" t="s">
        <v>4976</v>
      </c>
      <c r="B1473" t="s">
        <v>4977</v>
      </c>
      <c r="C1473" t="s">
        <v>4978</v>
      </c>
      <c r="D1473">
        <v>0</v>
      </c>
      <c r="E1473">
        <v>1</v>
      </c>
      <c r="F1473" s="1">
        <v>45847</v>
      </c>
      <c r="G1473">
        <f>_xlfn.XLOOKUP(F1473,'Wk no''s'!B:B,'Wk no''s'!C:C,0)</f>
        <v>28</v>
      </c>
    </row>
    <row r="1474" spans="1:7" x14ac:dyDescent="0.3">
      <c r="A1474" t="s">
        <v>4979</v>
      </c>
      <c r="B1474" t="s">
        <v>4980</v>
      </c>
      <c r="C1474" t="s">
        <v>4981</v>
      </c>
      <c r="D1474">
        <v>4</v>
      </c>
      <c r="E1474">
        <v>0</v>
      </c>
      <c r="F1474" s="1">
        <v>45847</v>
      </c>
      <c r="G1474">
        <f>_xlfn.XLOOKUP(F1474,'Wk no''s'!B:B,'Wk no''s'!C:C,0)</f>
        <v>28</v>
      </c>
    </row>
    <row r="1475" spans="1:7" x14ac:dyDescent="0.3">
      <c r="A1475" t="s">
        <v>4982</v>
      </c>
      <c r="B1475" t="s">
        <v>4983</v>
      </c>
      <c r="C1475" t="s">
        <v>1097</v>
      </c>
      <c r="D1475">
        <v>3</v>
      </c>
      <c r="E1475">
        <v>0</v>
      </c>
      <c r="F1475" s="1">
        <v>45847</v>
      </c>
      <c r="G1475">
        <f>_xlfn.XLOOKUP(F1475,'Wk no''s'!B:B,'Wk no''s'!C:C,0)</f>
        <v>28</v>
      </c>
    </row>
    <row r="1476" spans="1:7" x14ac:dyDescent="0.3">
      <c r="A1476" t="s">
        <v>4984</v>
      </c>
      <c r="B1476" t="s">
        <v>4985</v>
      </c>
      <c r="C1476" t="s">
        <v>4247</v>
      </c>
      <c r="D1476">
        <v>4</v>
      </c>
      <c r="E1476">
        <v>0</v>
      </c>
      <c r="F1476" s="1">
        <v>45847</v>
      </c>
      <c r="G1476">
        <f>_xlfn.XLOOKUP(F1476,'Wk no''s'!B:B,'Wk no''s'!C:C,0)</f>
        <v>28</v>
      </c>
    </row>
    <row r="1477" spans="1:7" x14ac:dyDescent="0.3">
      <c r="A1477" t="s">
        <v>4986</v>
      </c>
      <c r="B1477" t="s">
        <v>4987</v>
      </c>
      <c r="C1477" t="s">
        <v>4988</v>
      </c>
      <c r="D1477">
        <v>0</v>
      </c>
      <c r="E1477">
        <v>1</v>
      </c>
      <c r="F1477" s="1">
        <v>45847</v>
      </c>
      <c r="G1477">
        <f>_xlfn.XLOOKUP(F1477,'Wk no''s'!B:B,'Wk no''s'!C:C,0)</f>
        <v>28</v>
      </c>
    </row>
    <row r="1478" spans="1:7" x14ac:dyDescent="0.3">
      <c r="A1478" t="s">
        <v>4989</v>
      </c>
      <c r="B1478" t="s">
        <v>4990</v>
      </c>
      <c r="C1478" t="s">
        <v>1194</v>
      </c>
      <c r="D1478">
        <v>2</v>
      </c>
      <c r="E1478">
        <v>0</v>
      </c>
      <c r="F1478" s="1">
        <v>45847</v>
      </c>
      <c r="G1478">
        <f>_xlfn.XLOOKUP(F1478,'Wk no''s'!B:B,'Wk no''s'!C:C,0)</f>
        <v>28</v>
      </c>
    </row>
    <row r="1479" spans="1:7" x14ac:dyDescent="0.3">
      <c r="A1479" t="s">
        <v>4991</v>
      </c>
      <c r="B1479" t="s">
        <v>4992</v>
      </c>
      <c r="C1479" t="s">
        <v>1194</v>
      </c>
      <c r="D1479">
        <v>0</v>
      </c>
      <c r="E1479">
        <v>1</v>
      </c>
      <c r="F1479" s="1">
        <v>45847</v>
      </c>
      <c r="G1479">
        <f>_xlfn.XLOOKUP(F1479,'Wk no''s'!B:B,'Wk no''s'!C:C,0)</f>
        <v>28</v>
      </c>
    </row>
    <row r="1480" spans="1:7" x14ac:dyDescent="0.3">
      <c r="A1480" t="s">
        <v>4993</v>
      </c>
      <c r="B1480" t="s">
        <v>4994</v>
      </c>
      <c r="C1480" t="s">
        <v>4995</v>
      </c>
      <c r="D1480">
        <v>0</v>
      </c>
      <c r="E1480">
        <v>1</v>
      </c>
      <c r="F1480" s="1">
        <v>45847</v>
      </c>
      <c r="G1480">
        <f>_xlfn.XLOOKUP(F1480,'Wk no''s'!B:B,'Wk no''s'!C:C,0)</f>
        <v>28</v>
      </c>
    </row>
    <row r="1481" spans="1:7" x14ac:dyDescent="0.3">
      <c r="A1481" t="s">
        <v>4996</v>
      </c>
      <c r="B1481" t="s">
        <v>4997</v>
      </c>
      <c r="C1481" t="s">
        <v>4998</v>
      </c>
      <c r="D1481">
        <v>0</v>
      </c>
      <c r="E1481">
        <v>1</v>
      </c>
      <c r="F1481" s="1">
        <v>45848</v>
      </c>
      <c r="G1481">
        <f>_xlfn.XLOOKUP(F1481,'Wk no''s'!B:B,'Wk no''s'!C:C,0)</f>
        <v>28</v>
      </c>
    </row>
    <row r="1482" spans="1:7" x14ac:dyDescent="0.3">
      <c r="A1482" t="s">
        <v>4999</v>
      </c>
      <c r="B1482" t="s">
        <v>5000</v>
      </c>
      <c r="C1482" t="s">
        <v>2270</v>
      </c>
      <c r="D1482">
        <v>1</v>
      </c>
      <c r="E1482">
        <v>1</v>
      </c>
      <c r="F1482" s="1">
        <v>45848</v>
      </c>
      <c r="G1482">
        <f>_xlfn.XLOOKUP(F1482,'Wk no''s'!B:B,'Wk no''s'!C:C,0)</f>
        <v>28</v>
      </c>
    </row>
    <row r="1483" spans="1:7" x14ac:dyDescent="0.3">
      <c r="A1483" t="s">
        <v>5001</v>
      </c>
      <c r="B1483" t="s">
        <v>5002</v>
      </c>
      <c r="C1483" t="s">
        <v>1456</v>
      </c>
      <c r="D1483">
        <v>4</v>
      </c>
      <c r="E1483">
        <v>0</v>
      </c>
      <c r="F1483" s="1">
        <v>45848</v>
      </c>
      <c r="G1483">
        <f>_xlfn.XLOOKUP(F1483,'Wk no''s'!B:B,'Wk no''s'!C:C,0)</f>
        <v>28</v>
      </c>
    </row>
    <row r="1484" spans="1:7" x14ac:dyDescent="0.3">
      <c r="A1484" t="s">
        <v>5003</v>
      </c>
      <c r="B1484" t="s">
        <v>5004</v>
      </c>
      <c r="C1484" t="s">
        <v>5005</v>
      </c>
      <c r="D1484">
        <v>1</v>
      </c>
      <c r="E1484">
        <v>1</v>
      </c>
      <c r="F1484" s="1">
        <v>45848</v>
      </c>
      <c r="G1484">
        <f>_xlfn.XLOOKUP(F1484,'Wk no''s'!B:B,'Wk no''s'!C:C,0)</f>
        <v>28</v>
      </c>
    </row>
    <row r="1485" spans="1:7" x14ac:dyDescent="0.3">
      <c r="A1485" t="s">
        <v>5006</v>
      </c>
      <c r="B1485" t="s">
        <v>5007</v>
      </c>
      <c r="C1485" t="s">
        <v>2596</v>
      </c>
      <c r="D1485">
        <v>1</v>
      </c>
      <c r="E1485">
        <v>1</v>
      </c>
      <c r="F1485" s="1">
        <v>45848</v>
      </c>
      <c r="G1485">
        <f>_xlfn.XLOOKUP(F1485,'Wk no''s'!B:B,'Wk no''s'!C:C,0)</f>
        <v>28</v>
      </c>
    </row>
    <row r="1486" spans="1:7" x14ac:dyDescent="0.3">
      <c r="A1486" t="s">
        <v>5008</v>
      </c>
      <c r="B1486" t="s">
        <v>5009</v>
      </c>
      <c r="C1486" t="s">
        <v>5010</v>
      </c>
      <c r="D1486">
        <v>0</v>
      </c>
      <c r="E1486">
        <v>1</v>
      </c>
      <c r="F1486" s="1">
        <v>45848</v>
      </c>
      <c r="G1486">
        <f>_xlfn.XLOOKUP(F1486,'Wk no''s'!B:B,'Wk no''s'!C:C,0)</f>
        <v>28</v>
      </c>
    </row>
    <row r="1487" spans="1:7" x14ac:dyDescent="0.3">
      <c r="A1487" t="s">
        <v>5011</v>
      </c>
      <c r="B1487" t="s">
        <v>5012</v>
      </c>
      <c r="C1487" t="s">
        <v>5013</v>
      </c>
      <c r="D1487">
        <v>3</v>
      </c>
      <c r="E1487">
        <v>0</v>
      </c>
      <c r="F1487" s="1">
        <v>45848</v>
      </c>
      <c r="G1487">
        <f>_xlfn.XLOOKUP(F1487,'Wk no''s'!B:B,'Wk no''s'!C:C,0)</f>
        <v>28</v>
      </c>
    </row>
    <row r="1488" spans="1:7" x14ac:dyDescent="0.3">
      <c r="A1488" t="s">
        <v>5014</v>
      </c>
      <c r="B1488" t="s">
        <v>5015</v>
      </c>
      <c r="C1488" t="s">
        <v>5016</v>
      </c>
      <c r="D1488">
        <v>0</v>
      </c>
      <c r="E1488">
        <v>1</v>
      </c>
      <c r="F1488" s="1">
        <v>45848</v>
      </c>
      <c r="G1488">
        <f>_xlfn.XLOOKUP(F1488,'Wk no''s'!B:B,'Wk no''s'!C:C,0)</f>
        <v>28</v>
      </c>
    </row>
    <row r="1489" spans="1:7" x14ac:dyDescent="0.3">
      <c r="A1489" t="s">
        <v>5017</v>
      </c>
      <c r="B1489" t="s">
        <v>5018</v>
      </c>
      <c r="C1489" t="s">
        <v>5019</v>
      </c>
      <c r="D1489">
        <v>0</v>
      </c>
      <c r="E1489">
        <v>1</v>
      </c>
      <c r="F1489" s="1">
        <v>45848</v>
      </c>
      <c r="G1489">
        <f>_xlfn.XLOOKUP(F1489,'Wk no''s'!B:B,'Wk no''s'!C:C,0)</f>
        <v>28</v>
      </c>
    </row>
    <row r="1490" spans="1:7" x14ac:dyDescent="0.3">
      <c r="A1490" t="s">
        <v>5020</v>
      </c>
      <c r="B1490" t="s">
        <v>5021</v>
      </c>
      <c r="C1490" t="s">
        <v>5022</v>
      </c>
      <c r="D1490">
        <v>0</v>
      </c>
      <c r="E1490">
        <v>1</v>
      </c>
      <c r="F1490" s="1">
        <v>45848</v>
      </c>
      <c r="G1490">
        <f>_xlfn.XLOOKUP(F1490,'Wk no''s'!B:B,'Wk no''s'!C:C,0)</f>
        <v>28</v>
      </c>
    </row>
    <row r="1491" spans="1:7" x14ac:dyDescent="0.3">
      <c r="A1491" t="s">
        <v>5023</v>
      </c>
      <c r="B1491" t="s">
        <v>5024</v>
      </c>
      <c r="C1491" t="s">
        <v>5025</v>
      </c>
      <c r="D1491">
        <v>0</v>
      </c>
      <c r="E1491">
        <v>1</v>
      </c>
      <c r="F1491" s="1">
        <v>45849</v>
      </c>
      <c r="G1491">
        <f>_xlfn.XLOOKUP(F1491,'Wk no''s'!B:B,'Wk no''s'!C:C,0)</f>
        <v>28</v>
      </c>
    </row>
    <row r="1492" spans="1:7" x14ac:dyDescent="0.3">
      <c r="A1492" t="s">
        <v>5026</v>
      </c>
      <c r="B1492" t="s">
        <v>5027</v>
      </c>
      <c r="C1492" t="s">
        <v>386</v>
      </c>
      <c r="D1492">
        <v>0</v>
      </c>
      <c r="E1492">
        <v>1</v>
      </c>
      <c r="F1492" s="1">
        <v>45849</v>
      </c>
      <c r="G1492">
        <f>_xlfn.XLOOKUP(F1492,'Wk no''s'!B:B,'Wk no''s'!C:C,0)</f>
        <v>28</v>
      </c>
    </row>
    <row r="1493" spans="1:7" x14ac:dyDescent="0.3">
      <c r="A1493" t="s">
        <v>5028</v>
      </c>
      <c r="B1493" t="s">
        <v>5029</v>
      </c>
      <c r="C1493" t="s">
        <v>5030</v>
      </c>
      <c r="D1493">
        <v>0</v>
      </c>
      <c r="E1493">
        <v>1</v>
      </c>
      <c r="F1493" s="1">
        <v>45849</v>
      </c>
      <c r="G1493">
        <f>_xlfn.XLOOKUP(F1493,'Wk no''s'!B:B,'Wk no''s'!C:C,0)</f>
        <v>28</v>
      </c>
    </row>
    <row r="1494" spans="1:7" x14ac:dyDescent="0.3">
      <c r="A1494" t="s">
        <v>5031</v>
      </c>
      <c r="B1494" t="s">
        <v>5032</v>
      </c>
      <c r="C1494" t="s">
        <v>5033</v>
      </c>
      <c r="D1494">
        <v>6</v>
      </c>
      <c r="E1494">
        <v>0</v>
      </c>
      <c r="F1494" s="1">
        <v>45849</v>
      </c>
      <c r="G1494">
        <f>_xlfn.XLOOKUP(F1494,'Wk no''s'!B:B,'Wk no''s'!C:C,0)</f>
        <v>28</v>
      </c>
    </row>
    <row r="1495" spans="1:7" x14ac:dyDescent="0.3">
      <c r="A1495" t="s">
        <v>5034</v>
      </c>
      <c r="B1495" t="s">
        <v>5035</v>
      </c>
      <c r="C1495" t="s">
        <v>5036</v>
      </c>
      <c r="D1495">
        <v>0</v>
      </c>
      <c r="E1495">
        <v>1</v>
      </c>
      <c r="F1495" s="1">
        <v>45849</v>
      </c>
      <c r="G1495">
        <f>_xlfn.XLOOKUP(F1495,'Wk no''s'!B:B,'Wk no''s'!C:C,0)</f>
        <v>28</v>
      </c>
    </row>
    <row r="1496" spans="1:7" x14ac:dyDescent="0.3">
      <c r="A1496" t="s">
        <v>5037</v>
      </c>
      <c r="B1496" t="s">
        <v>5038</v>
      </c>
      <c r="C1496" t="s">
        <v>1117</v>
      </c>
      <c r="D1496">
        <v>6</v>
      </c>
      <c r="E1496">
        <v>0</v>
      </c>
      <c r="F1496" s="1">
        <v>45849</v>
      </c>
      <c r="G1496">
        <f>_xlfn.XLOOKUP(F1496,'Wk no''s'!B:B,'Wk no''s'!C:C,0)</f>
        <v>28</v>
      </c>
    </row>
    <row r="1497" spans="1:7" x14ac:dyDescent="0.3">
      <c r="A1497" t="s">
        <v>5039</v>
      </c>
      <c r="B1497" t="s">
        <v>5040</v>
      </c>
      <c r="C1497" t="s">
        <v>2309</v>
      </c>
      <c r="D1497">
        <v>0</v>
      </c>
      <c r="E1497">
        <v>1</v>
      </c>
      <c r="F1497" s="1">
        <v>45849</v>
      </c>
      <c r="G1497">
        <f>_xlfn.XLOOKUP(F1497,'Wk no''s'!B:B,'Wk no''s'!C:C,0)</f>
        <v>28</v>
      </c>
    </row>
    <row r="1498" spans="1:7" x14ac:dyDescent="0.3">
      <c r="A1498" t="s">
        <v>5041</v>
      </c>
      <c r="B1498" t="s">
        <v>5042</v>
      </c>
      <c r="C1498" t="s">
        <v>5043</v>
      </c>
      <c r="D1498">
        <v>0</v>
      </c>
      <c r="E1498">
        <v>1</v>
      </c>
      <c r="F1498" s="1">
        <v>45849</v>
      </c>
      <c r="G1498">
        <f>_xlfn.XLOOKUP(F1498,'Wk no''s'!B:B,'Wk no''s'!C:C,0)</f>
        <v>28</v>
      </c>
    </row>
    <row r="1499" spans="1:7" x14ac:dyDescent="0.3">
      <c r="A1499" t="s">
        <v>5044</v>
      </c>
      <c r="B1499" t="s">
        <v>5045</v>
      </c>
      <c r="C1499" t="s">
        <v>5046</v>
      </c>
      <c r="D1499">
        <v>0</v>
      </c>
      <c r="E1499">
        <v>1</v>
      </c>
      <c r="F1499" s="1">
        <v>45849</v>
      </c>
      <c r="G1499">
        <f>_xlfn.XLOOKUP(F1499,'Wk no''s'!B:B,'Wk no''s'!C:C,0)</f>
        <v>28</v>
      </c>
    </row>
    <row r="1500" spans="1:7" x14ac:dyDescent="0.3">
      <c r="A1500" t="s">
        <v>5047</v>
      </c>
      <c r="B1500" t="s">
        <v>5048</v>
      </c>
      <c r="C1500" t="s">
        <v>1765</v>
      </c>
      <c r="D1500">
        <v>1</v>
      </c>
      <c r="E1500">
        <v>1</v>
      </c>
      <c r="F1500" s="1">
        <v>45849</v>
      </c>
      <c r="G1500">
        <f>_xlfn.XLOOKUP(F1500,'Wk no''s'!B:B,'Wk no''s'!C:C,0)</f>
        <v>28</v>
      </c>
    </row>
    <row r="1501" spans="1:7" x14ac:dyDescent="0.3">
      <c r="A1501" t="s">
        <v>5050</v>
      </c>
      <c r="B1501" t="s">
        <v>5051</v>
      </c>
      <c r="C1501" t="s">
        <v>4687</v>
      </c>
      <c r="D1501">
        <v>3</v>
      </c>
      <c r="E1501">
        <v>0</v>
      </c>
      <c r="F1501" s="1">
        <v>45852</v>
      </c>
      <c r="G1501">
        <f>_xlfn.XLOOKUP(F1501,'Wk no''s'!B:B,'Wk no''s'!C:C,0)</f>
        <v>29</v>
      </c>
    </row>
    <row r="1502" spans="1:7" x14ac:dyDescent="0.3">
      <c r="A1502" t="s">
        <v>5052</v>
      </c>
      <c r="B1502" t="s">
        <v>5053</v>
      </c>
      <c r="C1502" t="s">
        <v>4687</v>
      </c>
      <c r="D1502">
        <v>3</v>
      </c>
      <c r="E1502">
        <v>0</v>
      </c>
      <c r="F1502" s="1">
        <v>45852</v>
      </c>
      <c r="G1502">
        <f>_xlfn.XLOOKUP(F1502,'Wk no''s'!B:B,'Wk no''s'!C:C,0)</f>
        <v>29</v>
      </c>
    </row>
    <row r="1503" spans="1:7" x14ac:dyDescent="0.3">
      <c r="A1503" t="s">
        <v>5054</v>
      </c>
      <c r="B1503" t="s">
        <v>5055</v>
      </c>
      <c r="C1503" t="s">
        <v>38</v>
      </c>
      <c r="D1503">
        <v>5</v>
      </c>
      <c r="E1503">
        <v>0</v>
      </c>
      <c r="F1503" s="1">
        <v>45852</v>
      </c>
      <c r="G1503">
        <f>_xlfn.XLOOKUP(F1503,'Wk no''s'!B:B,'Wk no''s'!C:C,0)</f>
        <v>29</v>
      </c>
    </row>
    <row r="1504" spans="1:7" x14ac:dyDescent="0.3">
      <c r="A1504" t="s">
        <v>5056</v>
      </c>
      <c r="B1504" t="s">
        <v>5057</v>
      </c>
      <c r="C1504" t="s">
        <v>1251</v>
      </c>
      <c r="D1504">
        <v>3</v>
      </c>
      <c r="E1504">
        <v>0</v>
      </c>
      <c r="F1504" s="1">
        <v>45852</v>
      </c>
      <c r="G1504">
        <f>_xlfn.XLOOKUP(F1504,'Wk no''s'!B:B,'Wk no''s'!C:C,0)</f>
        <v>29</v>
      </c>
    </row>
    <row r="1505" spans="1:7" x14ac:dyDescent="0.3">
      <c r="A1505" t="s">
        <v>5058</v>
      </c>
      <c r="B1505" t="s">
        <v>5059</v>
      </c>
      <c r="C1505" t="s">
        <v>3549</v>
      </c>
      <c r="D1505">
        <v>0</v>
      </c>
      <c r="E1505">
        <v>1</v>
      </c>
      <c r="F1505" s="1">
        <v>45852</v>
      </c>
      <c r="G1505">
        <f>_xlfn.XLOOKUP(F1505,'Wk no''s'!B:B,'Wk no''s'!C:C,0)</f>
        <v>29</v>
      </c>
    </row>
    <row r="1506" spans="1:7" x14ac:dyDescent="0.3">
      <c r="A1506" t="s">
        <v>5060</v>
      </c>
      <c r="B1506" t="s">
        <v>5061</v>
      </c>
      <c r="C1506" t="s">
        <v>4168</v>
      </c>
      <c r="D1506">
        <v>3</v>
      </c>
      <c r="E1506">
        <v>0</v>
      </c>
      <c r="F1506" s="1">
        <v>45852</v>
      </c>
      <c r="G1506">
        <f>_xlfn.XLOOKUP(F1506,'Wk no''s'!B:B,'Wk no''s'!C:C,0)</f>
        <v>29</v>
      </c>
    </row>
    <row r="1507" spans="1:7" x14ac:dyDescent="0.3">
      <c r="A1507" t="s">
        <v>5062</v>
      </c>
      <c r="B1507" t="s">
        <v>5063</v>
      </c>
      <c r="C1507" t="s">
        <v>4168</v>
      </c>
      <c r="D1507">
        <v>3</v>
      </c>
      <c r="E1507">
        <v>0</v>
      </c>
      <c r="F1507" s="1">
        <v>45852</v>
      </c>
      <c r="G1507">
        <f>_xlfn.XLOOKUP(F1507,'Wk no''s'!B:B,'Wk no''s'!C:C,0)</f>
        <v>29</v>
      </c>
    </row>
    <row r="1508" spans="1:7" x14ac:dyDescent="0.3">
      <c r="A1508" t="s">
        <v>5064</v>
      </c>
      <c r="B1508" t="s">
        <v>5065</v>
      </c>
      <c r="C1508" t="s">
        <v>3987</v>
      </c>
      <c r="D1508">
        <v>3</v>
      </c>
      <c r="E1508">
        <v>0</v>
      </c>
      <c r="F1508" s="1">
        <v>45852</v>
      </c>
      <c r="G1508">
        <f>_xlfn.XLOOKUP(F1508,'Wk no''s'!B:B,'Wk no''s'!C:C,0)</f>
        <v>29</v>
      </c>
    </row>
    <row r="1509" spans="1:7" x14ac:dyDescent="0.3">
      <c r="A1509" t="s">
        <v>5066</v>
      </c>
      <c r="B1509" t="s">
        <v>5067</v>
      </c>
      <c r="C1509" t="s">
        <v>5068</v>
      </c>
      <c r="D1509">
        <v>0</v>
      </c>
      <c r="E1509">
        <v>1</v>
      </c>
      <c r="F1509" s="1">
        <v>45853</v>
      </c>
      <c r="G1509">
        <f>_xlfn.XLOOKUP(F1509,'Wk no''s'!B:B,'Wk no''s'!C:C,0)</f>
        <v>29</v>
      </c>
    </row>
    <row r="1510" spans="1:7" x14ac:dyDescent="0.3">
      <c r="A1510" t="s">
        <v>5069</v>
      </c>
      <c r="B1510" t="s">
        <v>5070</v>
      </c>
      <c r="C1510" t="s">
        <v>5071</v>
      </c>
      <c r="D1510">
        <v>0</v>
      </c>
      <c r="E1510">
        <v>1</v>
      </c>
      <c r="F1510" s="1">
        <v>45853</v>
      </c>
      <c r="G1510">
        <f>_xlfn.XLOOKUP(F1510,'Wk no''s'!B:B,'Wk no''s'!C:C,0)</f>
        <v>29</v>
      </c>
    </row>
    <row r="1511" spans="1:7" x14ac:dyDescent="0.3">
      <c r="A1511" t="s">
        <v>5072</v>
      </c>
      <c r="B1511" t="s">
        <v>5073</v>
      </c>
      <c r="C1511" t="s">
        <v>5074</v>
      </c>
      <c r="D1511">
        <v>0</v>
      </c>
      <c r="E1511">
        <v>1</v>
      </c>
      <c r="F1511" s="1">
        <v>45853</v>
      </c>
      <c r="G1511">
        <f>_xlfn.XLOOKUP(F1511,'Wk no''s'!B:B,'Wk no''s'!C:C,0)</f>
        <v>29</v>
      </c>
    </row>
    <row r="1512" spans="1:7" x14ac:dyDescent="0.3">
      <c r="A1512" t="s">
        <v>5075</v>
      </c>
      <c r="B1512" t="s">
        <v>5076</v>
      </c>
      <c r="C1512" t="s">
        <v>1889</v>
      </c>
      <c r="D1512">
        <v>2</v>
      </c>
      <c r="E1512">
        <v>0</v>
      </c>
      <c r="F1512" s="1">
        <v>45853</v>
      </c>
      <c r="G1512">
        <f>_xlfn.XLOOKUP(F1512,'Wk no''s'!B:B,'Wk no''s'!C:C,0)</f>
        <v>29</v>
      </c>
    </row>
    <row r="1513" spans="1:7" x14ac:dyDescent="0.3">
      <c r="A1513" t="s">
        <v>5077</v>
      </c>
      <c r="C1513" t="s">
        <v>5078</v>
      </c>
      <c r="D1513">
        <v>1</v>
      </c>
      <c r="E1513">
        <v>1</v>
      </c>
      <c r="F1513" s="1">
        <v>45853</v>
      </c>
      <c r="G1513">
        <f>_xlfn.XLOOKUP(F1513,'Wk no''s'!B:B,'Wk no''s'!C:C,0)</f>
        <v>29</v>
      </c>
    </row>
    <row r="1514" spans="1:7" x14ac:dyDescent="0.3">
      <c r="A1514" t="s">
        <v>5079</v>
      </c>
      <c r="B1514" t="s">
        <v>5080</v>
      </c>
      <c r="C1514" t="s">
        <v>2474</v>
      </c>
      <c r="D1514">
        <v>0</v>
      </c>
      <c r="E1514">
        <v>1</v>
      </c>
      <c r="F1514" s="1">
        <v>45853</v>
      </c>
      <c r="G1514">
        <f>_xlfn.XLOOKUP(F1514,'Wk no''s'!B:B,'Wk no''s'!C:C,0)</f>
        <v>29</v>
      </c>
    </row>
    <row r="1515" spans="1:7" x14ac:dyDescent="0.3">
      <c r="A1515" t="s">
        <v>5081</v>
      </c>
      <c r="B1515" t="s">
        <v>5082</v>
      </c>
      <c r="C1515" t="s">
        <v>3987</v>
      </c>
      <c r="D1515">
        <v>17</v>
      </c>
      <c r="E1515">
        <v>0</v>
      </c>
      <c r="F1515" s="1">
        <v>45854</v>
      </c>
      <c r="G1515">
        <f>_xlfn.XLOOKUP(F1515,'Wk no''s'!B:B,'Wk no''s'!C:C,0)</f>
        <v>29</v>
      </c>
    </row>
    <row r="1516" spans="1:7" x14ac:dyDescent="0.3">
      <c r="A1516" t="s">
        <v>5083</v>
      </c>
      <c r="B1516" t="s">
        <v>5084</v>
      </c>
      <c r="C1516" t="s">
        <v>3987</v>
      </c>
      <c r="D1516">
        <v>14</v>
      </c>
      <c r="E1516">
        <v>0</v>
      </c>
      <c r="F1516" s="1">
        <v>45854</v>
      </c>
      <c r="G1516">
        <f>_xlfn.XLOOKUP(F1516,'Wk no''s'!B:B,'Wk no''s'!C:C,0)</f>
        <v>29</v>
      </c>
    </row>
    <row r="1517" spans="1:7" x14ac:dyDescent="0.3">
      <c r="A1517" t="s">
        <v>5085</v>
      </c>
      <c r="B1517" t="s">
        <v>5086</v>
      </c>
      <c r="C1517" t="s">
        <v>3987</v>
      </c>
      <c r="D1517">
        <v>4</v>
      </c>
      <c r="E1517">
        <v>0</v>
      </c>
      <c r="F1517" s="1">
        <v>45854</v>
      </c>
      <c r="G1517">
        <f>_xlfn.XLOOKUP(F1517,'Wk no''s'!B:B,'Wk no''s'!C:C,0)</f>
        <v>29</v>
      </c>
    </row>
    <row r="1518" spans="1:7" x14ac:dyDescent="0.3">
      <c r="A1518" t="s">
        <v>5087</v>
      </c>
      <c r="B1518" t="s">
        <v>5088</v>
      </c>
      <c r="C1518" t="s">
        <v>5089</v>
      </c>
      <c r="D1518">
        <v>0</v>
      </c>
      <c r="E1518">
        <v>1</v>
      </c>
      <c r="F1518" s="1">
        <v>45854</v>
      </c>
      <c r="G1518">
        <f>_xlfn.XLOOKUP(F1518,'Wk no''s'!B:B,'Wk no''s'!C:C,0)</f>
        <v>29</v>
      </c>
    </row>
    <row r="1519" spans="1:7" x14ac:dyDescent="0.3">
      <c r="A1519" t="s">
        <v>5090</v>
      </c>
      <c r="B1519" t="s">
        <v>5091</v>
      </c>
      <c r="C1519" t="s">
        <v>5092</v>
      </c>
      <c r="D1519">
        <v>0</v>
      </c>
      <c r="E1519">
        <v>1</v>
      </c>
      <c r="F1519" s="1">
        <v>45854</v>
      </c>
      <c r="G1519">
        <f>_xlfn.XLOOKUP(F1519,'Wk no''s'!B:B,'Wk no''s'!C:C,0)</f>
        <v>29</v>
      </c>
    </row>
    <row r="1520" spans="1:7" x14ac:dyDescent="0.3">
      <c r="A1520" t="s">
        <v>5093</v>
      </c>
      <c r="B1520" t="s">
        <v>5094</v>
      </c>
      <c r="C1520" t="s">
        <v>407</v>
      </c>
      <c r="D1520">
        <v>3</v>
      </c>
      <c r="E1520">
        <v>0</v>
      </c>
      <c r="F1520" s="1">
        <v>45854</v>
      </c>
      <c r="G1520">
        <f>_xlfn.XLOOKUP(F1520,'Wk no''s'!B:B,'Wk no''s'!C:C,0)</f>
        <v>29</v>
      </c>
    </row>
    <row r="1521" spans="1:7" x14ac:dyDescent="0.3">
      <c r="A1521" t="s">
        <v>5095</v>
      </c>
      <c r="B1521" t="s">
        <v>5096</v>
      </c>
      <c r="C1521" t="s">
        <v>525</v>
      </c>
      <c r="D1521">
        <v>0</v>
      </c>
      <c r="E1521">
        <v>1</v>
      </c>
      <c r="F1521" s="1">
        <v>45854</v>
      </c>
      <c r="G1521">
        <f>_xlfn.XLOOKUP(F1521,'Wk no''s'!B:B,'Wk no''s'!C:C,0)</f>
        <v>29</v>
      </c>
    </row>
    <row r="1522" spans="1:7" x14ac:dyDescent="0.3">
      <c r="A1522" t="s">
        <v>5097</v>
      </c>
      <c r="B1522" t="s">
        <v>5098</v>
      </c>
      <c r="C1522" t="s">
        <v>4963</v>
      </c>
      <c r="D1522">
        <v>15</v>
      </c>
      <c r="E1522">
        <v>0</v>
      </c>
      <c r="F1522" s="1">
        <v>45854</v>
      </c>
      <c r="G1522">
        <f>_xlfn.XLOOKUP(F1522,'Wk no''s'!B:B,'Wk no''s'!C:C,0)</f>
        <v>29</v>
      </c>
    </row>
    <row r="1523" spans="1:7" x14ac:dyDescent="0.3">
      <c r="A1523" t="s">
        <v>5099</v>
      </c>
      <c r="B1523" t="s">
        <v>5100</v>
      </c>
      <c r="C1523" t="s">
        <v>1343</v>
      </c>
      <c r="D1523">
        <v>2</v>
      </c>
      <c r="E1523">
        <v>0</v>
      </c>
      <c r="F1523" s="1">
        <v>45855</v>
      </c>
      <c r="G1523">
        <f>_xlfn.XLOOKUP(F1523,'Wk no''s'!B:B,'Wk no''s'!C:C,0)</f>
        <v>29</v>
      </c>
    </row>
    <row r="1524" spans="1:7" x14ac:dyDescent="0.3">
      <c r="A1524" t="s">
        <v>5101</v>
      </c>
      <c r="B1524" t="s">
        <v>5102</v>
      </c>
      <c r="C1524" t="s">
        <v>4247</v>
      </c>
      <c r="D1524">
        <v>0</v>
      </c>
      <c r="E1524">
        <v>1</v>
      </c>
      <c r="F1524" s="1">
        <v>45855</v>
      </c>
      <c r="G1524">
        <f>_xlfn.XLOOKUP(F1524,'Wk no''s'!B:B,'Wk no''s'!C:C,0)</f>
        <v>29</v>
      </c>
    </row>
    <row r="1525" spans="1:7" x14ac:dyDescent="0.3">
      <c r="A1525" t="s">
        <v>5103</v>
      </c>
      <c r="B1525" t="s">
        <v>5104</v>
      </c>
      <c r="C1525" t="s">
        <v>4687</v>
      </c>
      <c r="D1525">
        <v>0</v>
      </c>
      <c r="E1525">
        <v>1</v>
      </c>
      <c r="F1525" s="1">
        <v>45855</v>
      </c>
      <c r="G1525">
        <f>_xlfn.XLOOKUP(F1525,'Wk no''s'!B:B,'Wk no''s'!C:C,0)</f>
        <v>29</v>
      </c>
    </row>
    <row r="1526" spans="1:7" x14ac:dyDescent="0.3">
      <c r="A1526" t="s">
        <v>5105</v>
      </c>
      <c r="B1526" t="s">
        <v>5106</v>
      </c>
      <c r="C1526" t="s">
        <v>1706</v>
      </c>
      <c r="D1526">
        <v>0</v>
      </c>
      <c r="E1526">
        <v>1</v>
      </c>
      <c r="F1526" s="1">
        <v>45855</v>
      </c>
      <c r="G1526">
        <f>_xlfn.XLOOKUP(F1526,'Wk no''s'!B:B,'Wk no''s'!C:C,0)</f>
        <v>29</v>
      </c>
    </row>
    <row r="1527" spans="1:7" x14ac:dyDescent="0.3">
      <c r="A1527" t="s">
        <v>5107</v>
      </c>
      <c r="B1527" t="s">
        <v>5108</v>
      </c>
      <c r="C1527" t="s">
        <v>127</v>
      </c>
      <c r="D1527">
        <v>0</v>
      </c>
      <c r="E1527">
        <v>1</v>
      </c>
      <c r="F1527" s="1">
        <v>45855</v>
      </c>
      <c r="G1527">
        <f>_xlfn.XLOOKUP(F1527,'Wk no''s'!B:B,'Wk no''s'!C:C,0)</f>
        <v>29</v>
      </c>
    </row>
    <row r="1528" spans="1:7" x14ac:dyDescent="0.3">
      <c r="A1528" t="s">
        <v>5109</v>
      </c>
      <c r="B1528" t="s">
        <v>5110</v>
      </c>
      <c r="C1528" t="s">
        <v>4247</v>
      </c>
      <c r="D1528">
        <v>23</v>
      </c>
      <c r="E1528">
        <v>0</v>
      </c>
      <c r="F1528" s="1">
        <v>45855</v>
      </c>
      <c r="G1528">
        <f>_xlfn.XLOOKUP(F1528,'Wk no''s'!B:B,'Wk no''s'!C:C,0)</f>
        <v>29</v>
      </c>
    </row>
    <row r="1529" spans="1:7" x14ac:dyDescent="0.3">
      <c r="A1529" t="s">
        <v>5111</v>
      </c>
      <c r="B1529" t="s">
        <v>5112</v>
      </c>
      <c r="C1529" t="s">
        <v>2471</v>
      </c>
      <c r="D1529">
        <v>22</v>
      </c>
      <c r="E1529">
        <v>0</v>
      </c>
      <c r="F1529" s="1">
        <v>45855</v>
      </c>
      <c r="G1529">
        <f>_xlfn.XLOOKUP(F1529,'Wk no''s'!B:B,'Wk no''s'!C:C,0)</f>
        <v>29</v>
      </c>
    </row>
    <row r="1530" spans="1:7" x14ac:dyDescent="0.3">
      <c r="A1530" t="s">
        <v>5113</v>
      </c>
      <c r="B1530" t="s">
        <v>5114</v>
      </c>
      <c r="C1530" t="s">
        <v>550</v>
      </c>
      <c r="D1530">
        <v>0</v>
      </c>
      <c r="E1530">
        <v>1</v>
      </c>
      <c r="F1530" s="1">
        <v>45855</v>
      </c>
      <c r="G1530">
        <f>_xlfn.XLOOKUP(F1530,'Wk no''s'!B:B,'Wk no''s'!C:C,0)</f>
        <v>29</v>
      </c>
    </row>
    <row r="1531" spans="1:7" x14ac:dyDescent="0.3">
      <c r="A1531" t="s">
        <v>5115</v>
      </c>
      <c r="C1531" t="s">
        <v>1747</v>
      </c>
      <c r="D1531">
        <v>1</v>
      </c>
      <c r="E1531">
        <v>1</v>
      </c>
      <c r="F1531" s="1">
        <v>45855</v>
      </c>
      <c r="G1531">
        <f>_xlfn.XLOOKUP(F1531,'Wk no''s'!B:B,'Wk no''s'!C:C,0)</f>
        <v>29</v>
      </c>
    </row>
    <row r="1532" spans="1:7" x14ac:dyDescent="0.3">
      <c r="A1532" t="s">
        <v>5116</v>
      </c>
      <c r="B1532" t="s">
        <v>5117</v>
      </c>
      <c r="C1532" t="s">
        <v>386</v>
      </c>
      <c r="D1532">
        <v>5</v>
      </c>
      <c r="E1532">
        <v>0</v>
      </c>
      <c r="F1532" s="1">
        <v>45855</v>
      </c>
      <c r="G1532">
        <f>_xlfn.XLOOKUP(F1532,'Wk no''s'!B:B,'Wk no''s'!C:C,0)</f>
        <v>29</v>
      </c>
    </row>
    <row r="1533" spans="1:7" x14ac:dyDescent="0.3">
      <c r="A1533" t="s">
        <v>5118</v>
      </c>
      <c r="B1533" t="s">
        <v>5119</v>
      </c>
      <c r="C1533" t="s">
        <v>1208</v>
      </c>
      <c r="D1533">
        <v>1</v>
      </c>
      <c r="E1533">
        <v>1</v>
      </c>
      <c r="F1533" s="1">
        <v>45855</v>
      </c>
      <c r="G1533">
        <f>_xlfn.XLOOKUP(F1533,'Wk no''s'!B:B,'Wk no''s'!C:C,0)</f>
        <v>29</v>
      </c>
    </row>
    <row r="1534" spans="1:7" x14ac:dyDescent="0.3">
      <c r="A1534" t="s">
        <v>5120</v>
      </c>
      <c r="B1534" t="s">
        <v>5121</v>
      </c>
      <c r="C1534" t="s">
        <v>2972</v>
      </c>
      <c r="D1534">
        <v>0</v>
      </c>
      <c r="E1534">
        <v>1</v>
      </c>
      <c r="F1534" s="1">
        <v>45856</v>
      </c>
      <c r="G1534">
        <f>_xlfn.XLOOKUP(F1534,'Wk no''s'!B:B,'Wk no''s'!C:C,0)</f>
        <v>29</v>
      </c>
    </row>
    <row r="1535" spans="1:7" x14ac:dyDescent="0.3">
      <c r="A1535" t="s">
        <v>5122</v>
      </c>
      <c r="C1535" t="s">
        <v>3459</v>
      </c>
      <c r="D1535">
        <v>47</v>
      </c>
      <c r="E1535">
        <v>0</v>
      </c>
      <c r="F1535" s="1">
        <v>45856</v>
      </c>
      <c r="G1535">
        <f>_xlfn.XLOOKUP(F1535,'Wk no''s'!B:B,'Wk no''s'!C:C,0)</f>
        <v>29</v>
      </c>
    </row>
    <row r="1536" spans="1:7" x14ac:dyDescent="0.3">
      <c r="A1536" t="s">
        <v>5123</v>
      </c>
      <c r="B1536" t="s">
        <v>5124</v>
      </c>
      <c r="C1536" t="s">
        <v>2681</v>
      </c>
      <c r="D1536">
        <v>3</v>
      </c>
      <c r="E1536">
        <v>0</v>
      </c>
      <c r="F1536" s="1">
        <v>45856</v>
      </c>
      <c r="G1536">
        <f>_xlfn.XLOOKUP(F1536,'Wk no''s'!B:B,'Wk no''s'!C:C,0)</f>
        <v>29</v>
      </c>
    </row>
    <row r="1537" spans="1:7" x14ac:dyDescent="0.3">
      <c r="A1537" t="s">
        <v>5125</v>
      </c>
      <c r="B1537" t="s">
        <v>5126</v>
      </c>
      <c r="C1537" t="s">
        <v>5068</v>
      </c>
      <c r="D1537">
        <v>3</v>
      </c>
      <c r="E1537">
        <v>0</v>
      </c>
      <c r="F1537" s="1">
        <v>45856</v>
      </c>
      <c r="G1537">
        <f>_xlfn.XLOOKUP(F1537,'Wk no''s'!B:B,'Wk no''s'!C:C,0)</f>
        <v>29</v>
      </c>
    </row>
    <row r="1538" spans="1:7" x14ac:dyDescent="0.3">
      <c r="A1538" t="s">
        <v>5127</v>
      </c>
      <c r="B1538" t="s">
        <v>5128</v>
      </c>
      <c r="C1538" t="s">
        <v>1224</v>
      </c>
      <c r="D1538">
        <v>2</v>
      </c>
      <c r="E1538">
        <v>0</v>
      </c>
      <c r="F1538" s="1">
        <v>45856</v>
      </c>
      <c r="G1538">
        <f>_xlfn.XLOOKUP(F1538,'Wk no''s'!B:B,'Wk no''s'!C:C,0)</f>
        <v>29</v>
      </c>
    </row>
    <row r="1539" spans="1:7" x14ac:dyDescent="0.3">
      <c r="A1539" t="s">
        <v>5129</v>
      </c>
      <c r="C1539" t="s">
        <v>2730</v>
      </c>
      <c r="D1539">
        <v>47</v>
      </c>
      <c r="E1539">
        <v>0</v>
      </c>
      <c r="F1539" s="1">
        <v>45856</v>
      </c>
      <c r="G1539">
        <f>_xlfn.XLOOKUP(F1539,'Wk no''s'!B:B,'Wk no''s'!C:C,0)</f>
        <v>29</v>
      </c>
    </row>
    <row r="1540" spans="1:7" x14ac:dyDescent="0.3">
      <c r="A1540" t="s">
        <v>5184</v>
      </c>
      <c r="B1540" t="s">
        <v>5185</v>
      </c>
      <c r="C1540" t="s">
        <v>5186</v>
      </c>
      <c r="D1540">
        <v>0</v>
      </c>
      <c r="E1540">
        <v>1</v>
      </c>
      <c r="F1540" s="1">
        <v>45859</v>
      </c>
      <c r="G1540">
        <f>_xlfn.XLOOKUP(F1540,'Wk no''s'!B:B,'Wk no''s'!C:C,0)</f>
        <v>30</v>
      </c>
    </row>
    <row r="1541" spans="1:7" x14ac:dyDescent="0.3">
      <c r="A1541" t="s">
        <v>5187</v>
      </c>
      <c r="B1541" t="s">
        <v>5188</v>
      </c>
      <c r="C1541" t="s">
        <v>4766</v>
      </c>
      <c r="D1541">
        <v>1</v>
      </c>
      <c r="E1541">
        <v>1</v>
      </c>
      <c r="F1541" s="1">
        <v>45859</v>
      </c>
      <c r="G1541">
        <f>_xlfn.XLOOKUP(F1541,'Wk no''s'!B:B,'Wk no''s'!C:C,0)</f>
        <v>30</v>
      </c>
    </row>
    <row r="1542" spans="1:7" x14ac:dyDescent="0.3">
      <c r="A1542" t="s">
        <v>5189</v>
      </c>
      <c r="B1542" t="s">
        <v>5190</v>
      </c>
      <c r="C1542" t="s">
        <v>4247</v>
      </c>
      <c r="D1542">
        <v>2</v>
      </c>
      <c r="E1542">
        <v>0</v>
      </c>
      <c r="F1542" s="1">
        <v>45859</v>
      </c>
      <c r="G1542">
        <f>_xlfn.XLOOKUP(F1542,'Wk no''s'!B:B,'Wk no''s'!C:C,0)</f>
        <v>30</v>
      </c>
    </row>
    <row r="1543" spans="1:7" x14ac:dyDescent="0.3">
      <c r="A1543" t="s">
        <v>5191</v>
      </c>
      <c r="B1543" t="s">
        <v>5192</v>
      </c>
      <c r="C1543" t="s">
        <v>1097</v>
      </c>
      <c r="D1543">
        <v>0</v>
      </c>
      <c r="E1543">
        <v>1</v>
      </c>
      <c r="F1543" s="1">
        <v>45859</v>
      </c>
      <c r="G1543">
        <f>_xlfn.XLOOKUP(F1543,'Wk no''s'!B:B,'Wk no''s'!C:C,0)</f>
        <v>30</v>
      </c>
    </row>
    <row r="1544" spans="1:7" x14ac:dyDescent="0.3">
      <c r="A1544" t="s">
        <v>5193</v>
      </c>
      <c r="B1544" t="s">
        <v>5194</v>
      </c>
      <c r="C1544" t="s">
        <v>1639</v>
      </c>
      <c r="D1544">
        <v>5</v>
      </c>
      <c r="E1544">
        <v>0</v>
      </c>
      <c r="F1544" s="1">
        <v>45859</v>
      </c>
      <c r="G1544">
        <f>_xlfn.XLOOKUP(F1544,'Wk no''s'!B:B,'Wk no''s'!C:C,0)</f>
        <v>30</v>
      </c>
    </row>
    <row r="1545" spans="1:7" x14ac:dyDescent="0.3">
      <c r="A1545" t="s">
        <v>5195</v>
      </c>
      <c r="B1545" t="s">
        <v>5196</v>
      </c>
      <c r="C1545" t="s">
        <v>4970</v>
      </c>
      <c r="D1545">
        <v>12</v>
      </c>
      <c r="E1545">
        <v>0</v>
      </c>
      <c r="F1545" s="1">
        <v>45859</v>
      </c>
      <c r="G1545">
        <f>_xlfn.XLOOKUP(F1545,'Wk no''s'!B:B,'Wk no''s'!C:C,0)</f>
        <v>30</v>
      </c>
    </row>
    <row r="1546" spans="1:7" x14ac:dyDescent="0.3">
      <c r="A1546" t="s">
        <v>5197</v>
      </c>
      <c r="B1546" t="s">
        <v>5198</v>
      </c>
      <c r="C1546" t="s">
        <v>4407</v>
      </c>
      <c r="D1546">
        <v>1</v>
      </c>
      <c r="E1546">
        <v>1</v>
      </c>
      <c r="F1546" s="1">
        <v>45859</v>
      </c>
      <c r="G1546">
        <f>_xlfn.XLOOKUP(F1546,'Wk no''s'!B:B,'Wk no''s'!C:C,0)</f>
        <v>30</v>
      </c>
    </row>
    <row r="1547" spans="1:7" x14ac:dyDescent="0.3">
      <c r="A1547" t="s">
        <v>5199</v>
      </c>
      <c r="B1547" t="s">
        <v>5200</v>
      </c>
      <c r="C1547" t="s">
        <v>4247</v>
      </c>
      <c r="D1547">
        <v>3</v>
      </c>
      <c r="E1547">
        <v>0</v>
      </c>
      <c r="F1547" s="1">
        <v>45859</v>
      </c>
      <c r="G1547">
        <f>_xlfn.XLOOKUP(F1547,'Wk no''s'!B:B,'Wk no''s'!C:C,0)</f>
        <v>30</v>
      </c>
    </row>
    <row r="1548" spans="1:7" x14ac:dyDescent="0.3">
      <c r="A1548" t="s">
        <v>5201</v>
      </c>
      <c r="B1548" t="s">
        <v>5202</v>
      </c>
      <c r="C1548" t="s">
        <v>5203</v>
      </c>
      <c r="D1548">
        <v>2</v>
      </c>
      <c r="E1548">
        <v>0</v>
      </c>
      <c r="F1548" s="1">
        <v>45859</v>
      </c>
      <c r="G1548">
        <f>_xlfn.XLOOKUP(F1548,'Wk no''s'!B:B,'Wk no''s'!C:C,0)</f>
        <v>30</v>
      </c>
    </row>
    <row r="1549" spans="1:7" x14ac:dyDescent="0.3">
      <c r="A1549" t="s">
        <v>5204</v>
      </c>
      <c r="B1549" t="s">
        <v>5205</v>
      </c>
      <c r="C1549" t="s">
        <v>5182</v>
      </c>
      <c r="D1549">
        <v>1</v>
      </c>
      <c r="E1549">
        <v>1</v>
      </c>
      <c r="F1549" s="1">
        <v>45859</v>
      </c>
      <c r="G1549">
        <f>_xlfn.XLOOKUP(F1549,'Wk no''s'!B:B,'Wk no''s'!C:C,0)</f>
        <v>30</v>
      </c>
    </row>
    <row r="1550" spans="1:7" x14ac:dyDescent="0.3">
      <c r="A1550" t="s">
        <v>5206</v>
      </c>
      <c r="B1550" t="s">
        <v>5207</v>
      </c>
      <c r="C1550" t="s">
        <v>39</v>
      </c>
      <c r="D1550">
        <v>0</v>
      </c>
      <c r="E1550">
        <v>1</v>
      </c>
      <c r="F1550" s="1">
        <v>45859</v>
      </c>
      <c r="G1550">
        <f>_xlfn.XLOOKUP(F1550,'Wk no''s'!B:B,'Wk no''s'!C:C,0)</f>
        <v>30</v>
      </c>
    </row>
    <row r="1551" spans="1:7" x14ac:dyDescent="0.3">
      <c r="A1551" t="s">
        <v>5208</v>
      </c>
      <c r="B1551" t="s">
        <v>5209</v>
      </c>
      <c r="C1551" t="s">
        <v>4645</v>
      </c>
      <c r="D1551">
        <v>0</v>
      </c>
      <c r="E1551">
        <v>1</v>
      </c>
      <c r="F1551" s="1">
        <v>45860</v>
      </c>
      <c r="G1551">
        <f>_xlfn.XLOOKUP(F1551,'Wk no''s'!B:B,'Wk no''s'!C:C,0)</f>
        <v>30</v>
      </c>
    </row>
    <row r="1552" spans="1:7" x14ac:dyDescent="0.3">
      <c r="A1552" t="s">
        <v>5210</v>
      </c>
      <c r="B1552" t="s">
        <v>5211</v>
      </c>
      <c r="C1552" t="s">
        <v>1781</v>
      </c>
      <c r="D1552">
        <v>0</v>
      </c>
      <c r="E1552">
        <v>1</v>
      </c>
      <c r="F1552" s="1">
        <v>45860</v>
      </c>
      <c r="G1552">
        <f>_xlfn.XLOOKUP(F1552,'Wk no''s'!B:B,'Wk no''s'!C:C,0)</f>
        <v>30</v>
      </c>
    </row>
    <row r="1553" spans="1:7" x14ac:dyDescent="0.3">
      <c r="A1553" t="s">
        <v>5212</v>
      </c>
      <c r="B1553" t="s">
        <v>5213</v>
      </c>
      <c r="C1553" t="s">
        <v>4605</v>
      </c>
      <c r="D1553">
        <v>0</v>
      </c>
      <c r="E1553">
        <v>1</v>
      </c>
      <c r="F1553" s="1">
        <v>45860</v>
      </c>
      <c r="G1553">
        <f>_xlfn.XLOOKUP(F1553,'Wk no''s'!B:B,'Wk no''s'!C:C,0)</f>
        <v>30</v>
      </c>
    </row>
    <row r="1554" spans="1:7" x14ac:dyDescent="0.3">
      <c r="A1554" t="s">
        <v>5214</v>
      </c>
      <c r="B1554" t="s">
        <v>5215</v>
      </c>
      <c r="C1554" t="s">
        <v>1224</v>
      </c>
      <c r="D1554">
        <v>1</v>
      </c>
      <c r="E1554">
        <v>1</v>
      </c>
      <c r="F1554" s="1">
        <v>45860</v>
      </c>
      <c r="G1554">
        <f>_xlfn.XLOOKUP(F1554,'Wk no''s'!B:B,'Wk no''s'!C:C,0)</f>
        <v>30</v>
      </c>
    </row>
    <row r="1555" spans="1:7" x14ac:dyDescent="0.3">
      <c r="A1555" t="s">
        <v>5216</v>
      </c>
      <c r="B1555" t="s">
        <v>5217</v>
      </c>
      <c r="C1555" t="s">
        <v>197</v>
      </c>
      <c r="D1555">
        <v>7</v>
      </c>
      <c r="E1555">
        <v>0</v>
      </c>
      <c r="F1555" s="1">
        <v>45860</v>
      </c>
      <c r="G1555">
        <f>_xlfn.XLOOKUP(F1555,'Wk no''s'!B:B,'Wk no''s'!C:C,0)</f>
        <v>30</v>
      </c>
    </row>
    <row r="1556" spans="1:7" x14ac:dyDescent="0.3">
      <c r="A1556" t="s">
        <v>5218</v>
      </c>
      <c r="B1556" t="s">
        <v>5219</v>
      </c>
      <c r="C1556" t="s">
        <v>4988</v>
      </c>
      <c r="D1556">
        <v>1</v>
      </c>
      <c r="E1556">
        <v>1</v>
      </c>
      <c r="F1556" s="1">
        <v>45860</v>
      </c>
      <c r="G1556">
        <f>_xlfn.XLOOKUP(F1556,'Wk no''s'!B:B,'Wk no''s'!C:C,0)</f>
        <v>30</v>
      </c>
    </row>
    <row r="1557" spans="1:7" x14ac:dyDescent="0.3">
      <c r="A1557" t="s">
        <v>5220</v>
      </c>
      <c r="B1557" t="s">
        <v>5221</v>
      </c>
      <c r="C1557" t="s">
        <v>5222</v>
      </c>
      <c r="D1557">
        <v>0</v>
      </c>
      <c r="E1557">
        <v>1</v>
      </c>
      <c r="F1557" s="1">
        <v>45860</v>
      </c>
      <c r="G1557">
        <f>_xlfn.XLOOKUP(F1557,'Wk no''s'!B:B,'Wk no''s'!C:C,0)</f>
        <v>30</v>
      </c>
    </row>
    <row r="1558" spans="1:7" x14ac:dyDescent="0.3">
      <c r="A1558" t="s">
        <v>5223</v>
      </c>
      <c r="B1558" t="s">
        <v>5224</v>
      </c>
      <c r="C1558" t="s">
        <v>3644</v>
      </c>
      <c r="D1558">
        <v>1</v>
      </c>
      <c r="E1558">
        <v>1</v>
      </c>
      <c r="F1558" s="1">
        <v>45861</v>
      </c>
      <c r="G1558">
        <f>_xlfn.XLOOKUP(F1558,'Wk no''s'!B:B,'Wk no''s'!C:C,0)</f>
        <v>30</v>
      </c>
    </row>
    <row r="1559" spans="1:7" x14ac:dyDescent="0.3">
      <c r="A1559" t="s">
        <v>5225</v>
      </c>
      <c r="B1559" t="s">
        <v>5226</v>
      </c>
      <c r="C1559" t="s">
        <v>2911</v>
      </c>
      <c r="D1559">
        <v>2</v>
      </c>
      <c r="E1559">
        <v>0</v>
      </c>
      <c r="F1559" s="1">
        <v>45861</v>
      </c>
      <c r="G1559">
        <f>_xlfn.XLOOKUP(F1559,'Wk no''s'!B:B,'Wk no''s'!C:C,0)</f>
        <v>30</v>
      </c>
    </row>
    <row r="1560" spans="1:7" x14ac:dyDescent="0.3">
      <c r="A1560" t="s">
        <v>5227</v>
      </c>
      <c r="B1560" t="s">
        <v>5228</v>
      </c>
      <c r="C1560" t="s">
        <v>3089</v>
      </c>
      <c r="D1560">
        <v>0</v>
      </c>
      <c r="E1560">
        <v>1</v>
      </c>
      <c r="F1560" s="1">
        <v>45861</v>
      </c>
      <c r="G1560">
        <f>_xlfn.XLOOKUP(F1560,'Wk no''s'!B:B,'Wk no''s'!C:C,0)</f>
        <v>30</v>
      </c>
    </row>
    <row r="1561" spans="1:7" x14ac:dyDescent="0.3">
      <c r="A1561" t="s">
        <v>5229</v>
      </c>
      <c r="B1561" t="s">
        <v>5230</v>
      </c>
      <c r="C1561" t="s">
        <v>186</v>
      </c>
      <c r="D1561">
        <v>3</v>
      </c>
      <c r="E1561">
        <v>0</v>
      </c>
      <c r="F1561" s="1">
        <v>45861</v>
      </c>
      <c r="G1561">
        <f>_xlfn.XLOOKUP(F1561,'Wk no''s'!B:B,'Wk no''s'!C:C,0)</f>
        <v>30</v>
      </c>
    </row>
    <row r="1562" spans="1:7" x14ac:dyDescent="0.3">
      <c r="A1562" t="s">
        <v>5231</v>
      </c>
      <c r="B1562" t="s">
        <v>5232</v>
      </c>
      <c r="C1562" t="s">
        <v>1544</v>
      </c>
      <c r="D1562">
        <v>0</v>
      </c>
      <c r="E1562">
        <v>1</v>
      </c>
      <c r="F1562" s="1">
        <v>45861</v>
      </c>
      <c r="G1562">
        <f>_xlfn.XLOOKUP(F1562,'Wk no''s'!B:B,'Wk no''s'!C:C,0)</f>
        <v>30</v>
      </c>
    </row>
    <row r="1563" spans="1:7" x14ac:dyDescent="0.3">
      <c r="A1563" t="s">
        <v>5233</v>
      </c>
      <c r="B1563" t="s">
        <v>5234</v>
      </c>
      <c r="C1563" t="s">
        <v>4191</v>
      </c>
      <c r="D1563">
        <v>2</v>
      </c>
      <c r="E1563">
        <v>0</v>
      </c>
      <c r="F1563" s="1">
        <v>45861</v>
      </c>
      <c r="G1563">
        <f>_xlfn.XLOOKUP(F1563,'Wk no''s'!B:B,'Wk no''s'!C:C,0)</f>
        <v>30</v>
      </c>
    </row>
    <row r="1564" spans="1:7" x14ac:dyDescent="0.3">
      <c r="A1564" t="s">
        <v>5235</v>
      </c>
      <c r="B1564" t="s">
        <v>5236</v>
      </c>
      <c r="C1564" t="s">
        <v>5237</v>
      </c>
      <c r="D1564">
        <v>1</v>
      </c>
      <c r="E1564">
        <v>1</v>
      </c>
      <c r="F1564" s="1">
        <v>45861</v>
      </c>
      <c r="G1564">
        <f>_xlfn.XLOOKUP(F1564,'Wk no''s'!B:B,'Wk no''s'!C:C,0)</f>
        <v>30</v>
      </c>
    </row>
    <row r="1565" spans="1:7" x14ac:dyDescent="0.3">
      <c r="A1565" t="s">
        <v>5238</v>
      </c>
      <c r="B1565" t="s">
        <v>5239</v>
      </c>
      <c r="C1565" t="s">
        <v>197</v>
      </c>
      <c r="D1565">
        <v>2</v>
      </c>
      <c r="E1565">
        <v>0</v>
      </c>
      <c r="F1565" s="1">
        <v>45861</v>
      </c>
      <c r="G1565">
        <f>_xlfn.XLOOKUP(F1565,'Wk no''s'!B:B,'Wk no''s'!C:C,0)</f>
        <v>30</v>
      </c>
    </row>
    <row r="1566" spans="1:7" x14ac:dyDescent="0.3">
      <c r="A1566" t="s">
        <v>5240</v>
      </c>
      <c r="B1566" t="s">
        <v>5241</v>
      </c>
      <c r="C1566" t="s">
        <v>550</v>
      </c>
      <c r="D1566">
        <v>6</v>
      </c>
      <c r="E1566">
        <v>0</v>
      </c>
      <c r="F1566" s="1">
        <v>45861</v>
      </c>
      <c r="G1566">
        <f>_xlfn.XLOOKUP(F1566,'Wk no''s'!B:B,'Wk no''s'!C:C,0)</f>
        <v>30</v>
      </c>
    </row>
    <row r="1567" spans="1:7" x14ac:dyDescent="0.3">
      <c r="A1567" t="s">
        <v>5242</v>
      </c>
      <c r="C1567" t="s">
        <v>2471</v>
      </c>
      <c r="D1567">
        <v>0</v>
      </c>
      <c r="E1567">
        <v>1</v>
      </c>
      <c r="F1567" s="1">
        <v>45861</v>
      </c>
      <c r="G1567">
        <f>_xlfn.XLOOKUP(F1567,'Wk no''s'!B:B,'Wk no''s'!C:C,0)</f>
        <v>30</v>
      </c>
    </row>
    <row r="1568" spans="1:7" x14ac:dyDescent="0.3">
      <c r="A1568" t="s">
        <v>5243</v>
      </c>
      <c r="B1568" t="s">
        <v>5244</v>
      </c>
      <c r="C1568" t="s">
        <v>4739</v>
      </c>
      <c r="D1568">
        <v>1</v>
      </c>
      <c r="E1568">
        <v>1</v>
      </c>
      <c r="F1568" s="1">
        <v>45861</v>
      </c>
      <c r="G1568">
        <f>_xlfn.XLOOKUP(F1568,'Wk no''s'!B:B,'Wk no''s'!C:C,0)</f>
        <v>30</v>
      </c>
    </row>
    <row r="1569" spans="1:7" x14ac:dyDescent="0.3">
      <c r="A1569" t="s">
        <v>5245</v>
      </c>
      <c r="B1569" t="s">
        <v>5246</v>
      </c>
      <c r="C1569" t="s">
        <v>2730</v>
      </c>
      <c r="D1569">
        <v>0</v>
      </c>
      <c r="E1569">
        <v>1</v>
      </c>
      <c r="F1569" s="1">
        <v>45861</v>
      </c>
      <c r="G1569">
        <f>_xlfn.XLOOKUP(F1569,'Wk no''s'!B:B,'Wk no''s'!C:C,0)</f>
        <v>30</v>
      </c>
    </row>
    <row r="1570" spans="1:7" x14ac:dyDescent="0.3">
      <c r="A1570" t="s">
        <v>5247</v>
      </c>
      <c r="B1570" t="s">
        <v>5248</v>
      </c>
      <c r="C1570" t="s">
        <v>3034</v>
      </c>
      <c r="D1570">
        <v>0</v>
      </c>
      <c r="E1570">
        <v>1</v>
      </c>
      <c r="F1570" s="1">
        <v>45861</v>
      </c>
      <c r="G1570">
        <f>_xlfn.XLOOKUP(F1570,'Wk no''s'!B:B,'Wk no''s'!C:C,0)</f>
        <v>30</v>
      </c>
    </row>
    <row r="1571" spans="1:7" x14ac:dyDescent="0.3">
      <c r="A1571" t="s">
        <v>5249</v>
      </c>
      <c r="B1571" t="s">
        <v>5250</v>
      </c>
      <c r="C1571" t="s">
        <v>5251</v>
      </c>
      <c r="D1571">
        <v>0</v>
      </c>
      <c r="E1571">
        <v>1</v>
      </c>
      <c r="F1571" s="1">
        <v>45861</v>
      </c>
      <c r="G1571">
        <f>_xlfn.XLOOKUP(F1571,'Wk no''s'!B:B,'Wk no''s'!C:C,0)</f>
        <v>30</v>
      </c>
    </row>
    <row r="1572" spans="1:7" x14ac:dyDescent="0.3">
      <c r="A1572" t="s">
        <v>5252</v>
      </c>
      <c r="B1572" t="s">
        <v>5253</v>
      </c>
      <c r="C1572" t="s">
        <v>4726</v>
      </c>
      <c r="D1572">
        <v>0</v>
      </c>
      <c r="E1572">
        <v>1</v>
      </c>
      <c r="F1572" s="1">
        <v>45861</v>
      </c>
      <c r="G1572">
        <f>_xlfn.XLOOKUP(F1572,'Wk no''s'!B:B,'Wk no''s'!C:C,0)</f>
        <v>30</v>
      </c>
    </row>
    <row r="1573" spans="1:7" x14ac:dyDescent="0.3">
      <c r="A1573" t="s">
        <v>5254</v>
      </c>
      <c r="B1573" t="s">
        <v>5255</v>
      </c>
      <c r="C1573" t="s">
        <v>3840</v>
      </c>
      <c r="D1573">
        <v>3</v>
      </c>
      <c r="E1573">
        <v>0</v>
      </c>
      <c r="F1573" s="1">
        <v>45861</v>
      </c>
      <c r="G1573">
        <f>_xlfn.XLOOKUP(F1573,'Wk no''s'!B:B,'Wk no''s'!C:C,0)</f>
        <v>30</v>
      </c>
    </row>
    <row r="1574" spans="1:7" x14ac:dyDescent="0.3">
      <c r="A1574" t="s">
        <v>5256</v>
      </c>
      <c r="B1574" t="s">
        <v>5257</v>
      </c>
      <c r="C1574" t="s">
        <v>5258</v>
      </c>
      <c r="D1574">
        <v>0</v>
      </c>
      <c r="E1574">
        <v>1</v>
      </c>
      <c r="F1574" s="1">
        <v>45861</v>
      </c>
      <c r="G1574">
        <f>_xlfn.XLOOKUP(F1574,'Wk no''s'!B:B,'Wk no''s'!C:C,0)</f>
        <v>30</v>
      </c>
    </row>
    <row r="1575" spans="1:7" x14ac:dyDescent="0.3">
      <c r="A1575" t="s">
        <v>5259</v>
      </c>
      <c r="B1575" t="s">
        <v>5260</v>
      </c>
      <c r="C1575" t="s">
        <v>809</v>
      </c>
      <c r="D1575">
        <v>0</v>
      </c>
      <c r="E1575">
        <v>1</v>
      </c>
      <c r="F1575" s="1">
        <v>45861</v>
      </c>
      <c r="G1575">
        <f>_xlfn.XLOOKUP(F1575,'Wk no''s'!B:B,'Wk no''s'!C:C,0)</f>
        <v>30</v>
      </c>
    </row>
    <row r="1576" spans="1:7" x14ac:dyDescent="0.3">
      <c r="A1576" t="s">
        <v>5261</v>
      </c>
      <c r="B1576" t="s">
        <v>5262</v>
      </c>
      <c r="C1576" t="s">
        <v>3226</v>
      </c>
      <c r="D1576">
        <v>0</v>
      </c>
      <c r="E1576">
        <v>1</v>
      </c>
      <c r="F1576" s="1">
        <v>45862</v>
      </c>
      <c r="G1576">
        <f>_xlfn.XLOOKUP(F1576,'Wk no''s'!B:B,'Wk no''s'!C:C,0)</f>
        <v>30</v>
      </c>
    </row>
    <row r="1577" spans="1:7" x14ac:dyDescent="0.3">
      <c r="A1577" t="s">
        <v>5263</v>
      </c>
      <c r="B1577" t="s">
        <v>5264</v>
      </c>
      <c r="C1577" t="s">
        <v>5265</v>
      </c>
      <c r="D1577">
        <v>3</v>
      </c>
      <c r="E1577">
        <v>0</v>
      </c>
      <c r="F1577" s="1">
        <v>45862</v>
      </c>
      <c r="G1577">
        <f>_xlfn.XLOOKUP(F1577,'Wk no''s'!B:B,'Wk no''s'!C:C,0)</f>
        <v>30</v>
      </c>
    </row>
    <row r="1578" spans="1:7" x14ac:dyDescent="0.3">
      <c r="A1578" t="s">
        <v>5266</v>
      </c>
      <c r="B1578" t="s">
        <v>5267</v>
      </c>
      <c r="C1578" t="s">
        <v>2270</v>
      </c>
      <c r="D1578">
        <v>3</v>
      </c>
      <c r="E1578">
        <v>0</v>
      </c>
      <c r="F1578" s="1">
        <v>45862</v>
      </c>
      <c r="G1578">
        <f>_xlfn.XLOOKUP(F1578,'Wk no''s'!B:B,'Wk no''s'!C:C,0)</f>
        <v>30</v>
      </c>
    </row>
    <row r="1579" spans="1:7" x14ac:dyDescent="0.3">
      <c r="A1579" t="s">
        <v>5268</v>
      </c>
      <c r="B1579" t="s">
        <v>5269</v>
      </c>
      <c r="C1579" t="s">
        <v>3981</v>
      </c>
      <c r="D1579">
        <v>4</v>
      </c>
      <c r="E1579">
        <v>0</v>
      </c>
      <c r="F1579" s="1">
        <v>45862</v>
      </c>
      <c r="G1579">
        <f>_xlfn.XLOOKUP(F1579,'Wk no''s'!B:B,'Wk no''s'!C:C,0)</f>
        <v>30</v>
      </c>
    </row>
    <row r="1580" spans="1:7" x14ac:dyDescent="0.3">
      <c r="A1580" t="s">
        <v>5270</v>
      </c>
      <c r="B1580" t="s">
        <v>5271</v>
      </c>
      <c r="C1580" t="s">
        <v>2429</v>
      </c>
      <c r="D1580">
        <v>1</v>
      </c>
      <c r="E1580">
        <v>1</v>
      </c>
      <c r="F1580" s="1">
        <v>45862</v>
      </c>
      <c r="G1580">
        <f>_xlfn.XLOOKUP(F1580,'Wk no''s'!B:B,'Wk no''s'!C:C,0)</f>
        <v>30</v>
      </c>
    </row>
    <row r="1581" spans="1:7" x14ac:dyDescent="0.3">
      <c r="A1581" t="s">
        <v>5272</v>
      </c>
      <c r="B1581" t="s">
        <v>5273</v>
      </c>
      <c r="C1581" t="s">
        <v>197</v>
      </c>
      <c r="D1581">
        <v>1</v>
      </c>
      <c r="E1581">
        <v>1</v>
      </c>
      <c r="F1581" s="1">
        <v>45862</v>
      </c>
      <c r="G1581">
        <f>_xlfn.XLOOKUP(F1581,'Wk no''s'!B:B,'Wk no''s'!C:C,0)</f>
        <v>30</v>
      </c>
    </row>
    <row r="1582" spans="1:7" x14ac:dyDescent="0.3">
      <c r="A1582" t="s">
        <v>5274</v>
      </c>
      <c r="B1582" t="s">
        <v>5275</v>
      </c>
      <c r="C1582" t="s">
        <v>5276</v>
      </c>
      <c r="D1582">
        <v>0</v>
      </c>
      <c r="E1582">
        <v>1</v>
      </c>
      <c r="F1582" s="1">
        <v>45862</v>
      </c>
      <c r="G1582">
        <f>_xlfn.XLOOKUP(F1582,'Wk no''s'!B:B,'Wk no''s'!C:C,0)</f>
        <v>30</v>
      </c>
    </row>
    <row r="1583" spans="1:7" x14ac:dyDescent="0.3">
      <c r="A1583" t="s">
        <v>5277</v>
      </c>
      <c r="B1583" t="s">
        <v>5278</v>
      </c>
      <c r="C1583" t="s">
        <v>4470</v>
      </c>
      <c r="D1583">
        <v>18</v>
      </c>
      <c r="E1583">
        <v>0</v>
      </c>
      <c r="F1583" s="1">
        <v>45862</v>
      </c>
      <c r="G1583">
        <f>_xlfn.XLOOKUP(F1583,'Wk no''s'!B:B,'Wk no''s'!C:C,0)</f>
        <v>30</v>
      </c>
    </row>
    <row r="1584" spans="1:7" x14ac:dyDescent="0.3">
      <c r="A1584" t="s">
        <v>5279</v>
      </c>
      <c r="B1584" t="s">
        <v>5280</v>
      </c>
      <c r="C1584" t="s">
        <v>1224</v>
      </c>
      <c r="D1584">
        <v>1</v>
      </c>
      <c r="E1584">
        <v>1</v>
      </c>
      <c r="F1584" s="1">
        <v>45862</v>
      </c>
      <c r="G1584">
        <f>_xlfn.XLOOKUP(F1584,'Wk no''s'!B:B,'Wk no''s'!C:C,0)</f>
        <v>30</v>
      </c>
    </row>
    <row r="1585" spans="1:7" x14ac:dyDescent="0.3">
      <c r="A1585" t="s">
        <v>5281</v>
      </c>
      <c r="B1585" t="s">
        <v>5282</v>
      </c>
      <c r="C1585" t="s">
        <v>302</v>
      </c>
      <c r="D1585">
        <v>0</v>
      </c>
      <c r="E1585">
        <v>1</v>
      </c>
      <c r="F1585" s="1">
        <v>45862</v>
      </c>
      <c r="G1585">
        <f>_xlfn.XLOOKUP(F1585,'Wk no''s'!B:B,'Wk no''s'!C:C,0)</f>
        <v>30</v>
      </c>
    </row>
    <row r="1586" spans="1:7" x14ac:dyDescent="0.3">
      <c r="A1586" t="s">
        <v>5283</v>
      </c>
      <c r="B1586" t="s">
        <v>5284</v>
      </c>
      <c r="C1586" t="s">
        <v>1194</v>
      </c>
      <c r="D1586">
        <v>0</v>
      </c>
      <c r="E1586">
        <v>1</v>
      </c>
      <c r="F1586" s="1">
        <v>45862</v>
      </c>
      <c r="G1586">
        <f>_xlfn.XLOOKUP(F1586,'Wk no''s'!B:B,'Wk no''s'!C:C,0)</f>
        <v>30</v>
      </c>
    </row>
    <row r="1587" spans="1:7" x14ac:dyDescent="0.3">
      <c r="A1587" t="s">
        <v>5285</v>
      </c>
      <c r="B1587" t="s">
        <v>5286</v>
      </c>
      <c r="C1587" t="s">
        <v>407</v>
      </c>
      <c r="D1587">
        <v>0</v>
      </c>
      <c r="E1587">
        <v>1</v>
      </c>
      <c r="F1587" s="1">
        <v>45862</v>
      </c>
      <c r="G1587">
        <f>_xlfn.XLOOKUP(F1587,'Wk no''s'!B:B,'Wk no''s'!C:C,0)</f>
        <v>30</v>
      </c>
    </row>
    <row r="1588" spans="1:7" x14ac:dyDescent="0.3">
      <c r="A1588" t="s">
        <v>5287</v>
      </c>
      <c r="B1588" t="s">
        <v>5288</v>
      </c>
      <c r="C1588" t="s">
        <v>1747</v>
      </c>
      <c r="D1588">
        <v>3</v>
      </c>
      <c r="E1588">
        <v>0</v>
      </c>
      <c r="F1588" s="1">
        <v>45863</v>
      </c>
      <c r="G1588">
        <f>_xlfn.XLOOKUP(F1588,'Wk no''s'!B:B,'Wk no''s'!C:C,0)</f>
        <v>30</v>
      </c>
    </row>
    <row r="1589" spans="1:7" x14ac:dyDescent="0.3">
      <c r="A1589" t="s">
        <v>5289</v>
      </c>
      <c r="B1589" t="s">
        <v>5290</v>
      </c>
      <c r="C1589" t="s">
        <v>1298</v>
      </c>
      <c r="D1589">
        <v>0</v>
      </c>
      <c r="E1589">
        <v>1</v>
      </c>
      <c r="F1589" s="1">
        <v>45863</v>
      </c>
      <c r="G1589">
        <f>_xlfn.XLOOKUP(F1589,'Wk no''s'!B:B,'Wk no''s'!C:C,0)</f>
        <v>30</v>
      </c>
    </row>
    <row r="1590" spans="1:7" x14ac:dyDescent="0.3">
      <c r="A1590" t="s">
        <v>5291</v>
      </c>
      <c r="B1590" t="s">
        <v>5292</v>
      </c>
      <c r="C1590" t="s">
        <v>2270</v>
      </c>
      <c r="D1590">
        <v>0</v>
      </c>
      <c r="E1590">
        <v>1</v>
      </c>
      <c r="F1590" s="1">
        <v>45863</v>
      </c>
      <c r="G1590">
        <f>_xlfn.XLOOKUP(F1590,'Wk no''s'!B:B,'Wk no''s'!C:C,0)</f>
        <v>30</v>
      </c>
    </row>
    <row r="1591" spans="1:7" x14ac:dyDescent="0.3">
      <c r="A1591" t="s">
        <v>5293</v>
      </c>
      <c r="B1591" t="s">
        <v>5294</v>
      </c>
      <c r="C1591" t="s">
        <v>2270</v>
      </c>
      <c r="D1591">
        <v>17</v>
      </c>
      <c r="E1591">
        <v>0</v>
      </c>
      <c r="F1591" s="1">
        <v>45863</v>
      </c>
      <c r="G1591">
        <f>_xlfn.XLOOKUP(F1591,'Wk no''s'!B:B,'Wk no''s'!C:C,0)</f>
        <v>30</v>
      </c>
    </row>
    <row r="1592" spans="1:7" x14ac:dyDescent="0.3">
      <c r="A1592" t="s">
        <v>5295</v>
      </c>
      <c r="B1592" t="s">
        <v>5296</v>
      </c>
      <c r="C1592" t="s">
        <v>5297</v>
      </c>
      <c r="D1592">
        <v>0</v>
      </c>
      <c r="E1592">
        <v>1</v>
      </c>
      <c r="F1592" s="1">
        <v>45863</v>
      </c>
      <c r="G1592">
        <f>_xlfn.XLOOKUP(F1592,'Wk no''s'!B:B,'Wk no''s'!C:C,0)</f>
        <v>30</v>
      </c>
    </row>
    <row r="1593" spans="1:7" x14ac:dyDescent="0.3">
      <c r="A1593" t="s">
        <v>5298</v>
      </c>
      <c r="B1593" t="s">
        <v>5299</v>
      </c>
      <c r="C1593" t="s">
        <v>5300</v>
      </c>
      <c r="D1593">
        <v>2</v>
      </c>
      <c r="E1593">
        <v>0</v>
      </c>
      <c r="F1593" s="1">
        <v>45863</v>
      </c>
      <c r="G1593">
        <f>_xlfn.XLOOKUP(F1593,'Wk no''s'!B:B,'Wk no''s'!C:C,0)</f>
        <v>30</v>
      </c>
    </row>
    <row r="1594" spans="1:7" x14ac:dyDescent="0.3">
      <c r="A1594" t="s">
        <v>5301</v>
      </c>
      <c r="B1594" t="s">
        <v>5302</v>
      </c>
      <c r="C1594" t="s">
        <v>3788</v>
      </c>
      <c r="D1594">
        <v>26</v>
      </c>
      <c r="E1594">
        <v>0</v>
      </c>
      <c r="F1594" s="1">
        <v>45863</v>
      </c>
      <c r="G1594">
        <f>_xlfn.XLOOKUP(F1594,'Wk no''s'!B:B,'Wk no''s'!C:C,0)</f>
        <v>30</v>
      </c>
    </row>
    <row r="1595" spans="1:7" x14ac:dyDescent="0.3">
      <c r="A1595" t="s">
        <v>5303</v>
      </c>
      <c r="B1595" t="s">
        <v>5304</v>
      </c>
      <c r="C1595" t="s">
        <v>3898</v>
      </c>
      <c r="D1595">
        <v>0</v>
      </c>
      <c r="E1595">
        <v>1</v>
      </c>
      <c r="F1595" s="1">
        <v>45863</v>
      </c>
      <c r="G1595">
        <f>_xlfn.XLOOKUP(F1595,'Wk no''s'!B:B,'Wk no''s'!C:C,0)</f>
        <v>30</v>
      </c>
    </row>
    <row r="1596" spans="1:7" x14ac:dyDescent="0.3">
      <c r="A1596" t="s">
        <v>5305</v>
      </c>
      <c r="B1596" t="s">
        <v>5306</v>
      </c>
      <c r="C1596" t="s">
        <v>2625</v>
      </c>
      <c r="D1596">
        <v>1</v>
      </c>
      <c r="E1596">
        <v>1</v>
      </c>
      <c r="F1596" s="1">
        <v>45863</v>
      </c>
      <c r="G1596">
        <f>_xlfn.XLOOKUP(F1596,'Wk no''s'!B:B,'Wk no''s'!C:C,0)</f>
        <v>30</v>
      </c>
    </row>
    <row r="1597" spans="1:7" x14ac:dyDescent="0.3">
      <c r="A1597" t="s">
        <v>5354</v>
      </c>
      <c r="B1597" t="s">
        <v>5355</v>
      </c>
      <c r="C1597" t="s">
        <v>5022</v>
      </c>
      <c r="D1597">
        <v>3</v>
      </c>
      <c r="E1597">
        <v>0</v>
      </c>
      <c r="F1597" s="1">
        <v>45866</v>
      </c>
      <c r="G1597">
        <f>_xlfn.XLOOKUP(F1597,'Wk no''s'!B:B,'Wk no''s'!C:C,0)</f>
        <v>31</v>
      </c>
    </row>
    <row r="1598" spans="1:7" x14ac:dyDescent="0.3">
      <c r="A1598" t="s">
        <v>5356</v>
      </c>
      <c r="B1598" t="s">
        <v>5357</v>
      </c>
      <c r="C1598" t="s">
        <v>5358</v>
      </c>
      <c r="D1598">
        <v>0</v>
      </c>
      <c r="E1598">
        <v>1</v>
      </c>
      <c r="F1598" s="1">
        <v>45866</v>
      </c>
      <c r="G1598">
        <f>_xlfn.XLOOKUP(F1598,'Wk no''s'!B:B,'Wk no''s'!C:C,0)</f>
        <v>31</v>
      </c>
    </row>
    <row r="1599" spans="1:7" x14ac:dyDescent="0.3">
      <c r="A1599" t="s">
        <v>5359</v>
      </c>
      <c r="B1599" t="s">
        <v>5360</v>
      </c>
      <c r="C1599" t="s">
        <v>2</v>
      </c>
      <c r="D1599">
        <v>5</v>
      </c>
      <c r="E1599">
        <v>0</v>
      </c>
      <c r="F1599" s="1">
        <v>45866</v>
      </c>
      <c r="G1599">
        <f>_xlfn.XLOOKUP(F1599,'Wk no''s'!B:B,'Wk no''s'!C:C,0)</f>
        <v>31</v>
      </c>
    </row>
    <row r="1600" spans="1:7" x14ac:dyDescent="0.3">
      <c r="A1600" t="s">
        <v>5361</v>
      </c>
      <c r="B1600" t="s">
        <v>5362</v>
      </c>
      <c r="C1600" t="s">
        <v>5363</v>
      </c>
      <c r="D1600">
        <v>0</v>
      </c>
      <c r="E1600">
        <v>1</v>
      </c>
      <c r="F1600" s="1">
        <v>45866</v>
      </c>
      <c r="G1600">
        <f>_xlfn.XLOOKUP(F1600,'Wk no''s'!B:B,'Wk no''s'!C:C,0)</f>
        <v>31</v>
      </c>
    </row>
    <row r="1601" spans="1:7" x14ac:dyDescent="0.3">
      <c r="A1601" t="s">
        <v>5364</v>
      </c>
      <c r="B1601" t="s">
        <v>5365</v>
      </c>
      <c r="C1601" t="s">
        <v>1194</v>
      </c>
      <c r="D1601">
        <v>5</v>
      </c>
      <c r="E1601">
        <v>0</v>
      </c>
      <c r="F1601" s="1">
        <v>45866</v>
      </c>
      <c r="G1601">
        <f>_xlfn.XLOOKUP(F1601,'Wk no''s'!B:B,'Wk no''s'!C:C,0)</f>
        <v>31</v>
      </c>
    </row>
    <row r="1602" spans="1:7" x14ac:dyDescent="0.3">
      <c r="A1602" t="s">
        <v>5366</v>
      </c>
      <c r="B1602" t="s">
        <v>5367</v>
      </c>
      <c r="C1602" t="s">
        <v>5368</v>
      </c>
      <c r="D1602">
        <v>0</v>
      </c>
      <c r="E1602">
        <v>1</v>
      </c>
      <c r="F1602" s="1">
        <v>45866</v>
      </c>
      <c r="G1602">
        <f>_xlfn.XLOOKUP(F1602,'Wk no''s'!B:B,'Wk no''s'!C:C,0)</f>
        <v>31</v>
      </c>
    </row>
    <row r="1603" spans="1:7" x14ac:dyDescent="0.3">
      <c r="A1603" t="s">
        <v>5369</v>
      </c>
      <c r="B1603" t="s">
        <v>5370</v>
      </c>
      <c r="C1603" t="s">
        <v>2100</v>
      </c>
      <c r="D1603">
        <v>1</v>
      </c>
      <c r="E1603">
        <v>1</v>
      </c>
      <c r="F1603" s="1">
        <v>45866</v>
      </c>
      <c r="G1603">
        <f>_xlfn.XLOOKUP(F1603,'Wk no''s'!B:B,'Wk no''s'!C:C,0)</f>
        <v>31</v>
      </c>
    </row>
    <row r="1604" spans="1:7" x14ac:dyDescent="0.3">
      <c r="A1604" t="s">
        <v>5371</v>
      </c>
      <c r="B1604" t="s">
        <v>5372</v>
      </c>
      <c r="C1604" t="s">
        <v>6026</v>
      </c>
      <c r="D1604">
        <v>0</v>
      </c>
      <c r="E1604">
        <v>1</v>
      </c>
      <c r="F1604" s="1">
        <v>45867</v>
      </c>
      <c r="G1604">
        <f>_xlfn.XLOOKUP(F1604,'Wk no''s'!B:B,'Wk no''s'!C:C,0)</f>
        <v>31</v>
      </c>
    </row>
    <row r="1605" spans="1:7" x14ac:dyDescent="0.3">
      <c r="A1605" t="s">
        <v>5373</v>
      </c>
      <c r="B1605" t="s">
        <v>5374</v>
      </c>
      <c r="C1605" t="s">
        <v>1544</v>
      </c>
      <c r="D1605">
        <v>9</v>
      </c>
      <c r="E1605">
        <v>0</v>
      </c>
      <c r="F1605" s="1">
        <v>45867</v>
      </c>
      <c r="G1605">
        <f>_xlfn.XLOOKUP(F1605,'Wk no''s'!B:B,'Wk no''s'!C:C,0)</f>
        <v>31</v>
      </c>
    </row>
    <row r="1606" spans="1:7" x14ac:dyDescent="0.3">
      <c r="A1606" t="s">
        <v>5375</v>
      </c>
      <c r="B1606" t="s">
        <v>5376</v>
      </c>
      <c r="C1606" t="s">
        <v>5496</v>
      </c>
      <c r="D1606">
        <v>0</v>
      </c>
      <c r="E1606">
        <v>1</v>
      </c>
      <c r="F1606" s="1">
        <v>45867</v>
      </c>
      <c r="G1606">
        <f>_xlfn.XLOOKUP(F1606,'Wk no''s'!B:B,'Wk no''s'!C:C,0)</f>
        <v>31</v>
      </c>
    </row>
    <row r="1607" spans="1:7" x14ac:dyDescent="0.3">
      <c r="A1607" t="s">
        <v>5377</v>
      </c>
      <c r="B1607" t="s">
        <v>5378</v>
      </c>
      <c r="C1607" t="s">
        <v>5379</v>
      </c>
      <c r="D1607">
        <v>0</v>
      </c>
      <c r="E1607">
        <v>1</v>
      </c>
      <c r="F1607" s="1">
        <v>45867</v>
      </c>
      <c r="G1607">
        <f>_xlfn.XLOOKUP(F1607,'Wk no''s'!B:B,'Wk no''s'!C:C,0)</f>
        <v>31</v>
      </c>
    </row>
    <row r="1608" spans="1:7" x14ac:dyDescent="0.3">
      <c r="A1608" t="s">
        <v>5380</v>
      </c>
      <c r="C1608" t="s">
        <v>5381</v>
      </c>
      <c r="D1608">
        <v>40</v>
      </c>
      <c r="E1608">
        <v>0</v>
      </c>
      <c r="F1608" s="1">
        <v>45867</v>
      </c>
      <c r="G1608">
        <f>_xlfn.XLOOKUP(F1608,'Wk no''s'!B:B,'Wk no''s'!C:C,0)</f>
        <v>31</v>
      </c>
    </row>
    <row r="1609" spans="1:7" x14ac:dyDescent="0.3">
      <c r="A1609" t="s">
        <v>5382</v>
      </c>
      <c r="B1609" t="s">
        <v>5383</v>
      </c>
      <c r="C1609" t="s">
        <v>4353</v>
      </c>
      <c r="D1609">
        <v>29</v>
      </c>
      <c r="E1609">
        <v>0</v>
      </c>
      <c r="F1609" s="1">
        <v>45867</v>
      </c>
      <c r="G1609">
        <f>_xlfn.XLOOKUP(F1609,'Wk no''s'!B:B,'Wk no''s'!C:C,0)</f>
        <v>31</v>
      </c>
    </row>
    <row r="1610" spans="1:7" x14ac:dyDescent="0.3">
      <c r="A1610" t="s">
        <v>5384</v>
      </c>
      <c r="B1610" t="s">
        <v>5385</v>
      </c>
      <c r="C1610" t="s">
        <v>5381</v>
      </c>
      <c r="D1610">
        <v>2</v>
      </c>
      <c r="E1610">
        <v>0</v>
      </c>
      <c r="F1610" s="1">
        <v>45867</v>
      </c>
      <c r="G1610">
        <f>_xlfn.XLOOKUP(F1610,'Wk no''s'!B:B,'Wk no''s'!C:C,0)</f>
        <v>31</v>
      </c>
    </row>
    <row r="1611" spans="1:7" x14ac:dyDescent="0.3">
      <c r="A1611" t="s">
        <v>5386</v>
      </c>
      <c r="B1611" t="s">
        <v>5387</v>
      </c>
      <c r="C1611" t="s">
        <v>5388</v>
      </c>
      <c r="D1611">
        <v>0</v>
      </c>
      <c r="E1611">
        <v>1</v>
      </c>
      <c r="F1611" s="1">
        <v>45867</v>
      </c>
      <c r="G1611">
        <f>_xlfn.XLOOKUP(F1611,'Wk no''s'!B:B,'Wk no''s'!C:C,0)</f>
        <v>31</v>
      </c>
    </row>
    <row r="1612" spans="1:7" x14ac:dyDescent="0.3">
      <c r="A1612" t="s">
        <v>5389</v>
      </c>
      <c r="B1612" t="s">
        <v>5390</v>
      </c>
      <c r="C1612" t="s">
        <v>3925</v>
      </c>
      <c r="D1612">
        <v>0</v>
      </c>
      <c r="E1612">
        <v>1</v>
      </c>
      <c r="F1612" s="1">
        <v>45868</v>
      </c>
      <c r="G1612">
        <f>_xlfn.XLOOKUP(F1612,'Wk no''s'!B:B,'Wk no''s'!C:C,0)</f>
        <v>31</v>
      </c>
    </row>
    <row r="1613" spans="1:7" x14ac:dyDescent="0.3">
      <c r="A1613" t="s">
        <v>5391</v>
      </c>
      <c r="B1613" t="s">
        <v>5392</v>
      </c>
      <c r="C1613" t="s">
        <v>3955</v>
      </c>
      <c r="D1613">
        <v>9</v>
      </c>
      <c r="E1613">
        <v>0</v>
      </c>
      <c r="F1613" s="1">
        <v>45868</v>
      </c>
      <c r="G1613">
        <f>_xlfn.XLOOKUP(F1613,'Wk no''s'!B:B,'Wk no''s'!C:C,0)</f>
        <v>31</v>
      </c>
    </row>
    <row r="1614" spans="1:7" x14ac:dyDescent="0.3">
      <c r="A1614" t="s">
        <v>5393</v>
      </c>
      <c r="B1614" t="s">
        <v>5394</v>
      </c>
      <c r="C1614" t="s">
        <v>4709</v>
      </c>
      <c r="D1614">
        <v>2</v>
      </c>
      <c r="E1614">
        <v>0</v>
      </c>
      <c r="F1614" s="1">
        <v>45868</v>
      </c>
      <c r="G1614">
        <f>_xlfn.XLOOKUP(F1614,'Wk no''s'!B:B,'Wk no''s'!C:C,0)</f>
        <v>31</v>
      </c>
    </row>
    <row r="1615" spans="1:7" x14ac:dyDescent="0.3">
      <c r="A1615" t="s">
        <v>5395</v>
      </c>
      <c r="B1615" t="s">
        <v>5396</v>
      </c>
      <c r="C1615" t="s">
        <v>1892</v>
      </c>
      <c r="D1615">
        <v>5</v>
      </c>
      <c r="E1615">
        <v>0</v>
      </c>
      <c r="F1615" s="1">
        <v>45868</v>
      </c>
      <c r="G1615">
        <f>_xlfn.XLOOKUP(F1615,'Wk no''s'!B:B,'Wk no''s'!C:C,0)</f>
        <v>31</v>
      </c>
    </row>
    <row r="1616" spans="1:7" x14ac:dyDescent="0.3">
      <c r="A1616" t="s">
        <v>5397</v>
      </c>
      <c r="C1616" t="s">
        <v>5398</v>
      </c>
      <c r="D1616">
        <v>5</v>
      </c>
      <c r="E1616">
        <v>0</v>
      </c>
      <c r="F1616" s="1">
        <v>45868</v>
      </c>
      <c r="G1616">
        <f>_xlfn.XLOOKUP(F1616,'Wk no''s'!B:B,'Wk no''s'!C:C,0)</f>
        <v>31</v>
      </c>
    </row>
    <row r="1617" spans="1:7" x14ac:dyDescent="0.3">
      <c r="A1617" t="s">
        <v>5399</v>
      </c>
      <c r="B1617" t="s">
        <v>5400</v>
      </c>
      <c r="C1617" t="s">
        <v>5401</v>
      </c>
      <c r="D1617">
        <v>0</v>
      </c>
      <c r="E1617">
        <v>1</v>
      </c>
      <c r="F1617" s="1">
        <v>45868</v>
      </c>
      <c r="G1617">
        <f>_xlfn.XLOOKUP(F1617,'Wk no''s'!B:B,'Wk no''s'!C:C,0)</f>
        <v>31</v>
      </c>
    </row>
    <row r="1618" spans="1:7" x14ac:dyDescent="0.3">
      <c r="A1618" t="s">
        <v>5402</v>
      </c>
      <c r="B1618" t="s">
        <v>5403</v>
      </c>
      <c r="C1618" t="s">
        <v>5404</v>
      </c>
      <c r="D1618">
        <v>3</v>
      </c>
      <c r="E1618">
        <v>0</v>
      </c>
      <c r="F1618" s="1">
        <v>45868</v>
      </c>
      <c r="G1618">
        <f>_xlfn.XLOOKUP(F1618,'Wk no''s'!B:B,'Wk no''s'!C:C,0)</f>
        <v>31</v>
      </c>
    </row>
    <row r="1619" spans="1:7" x14ac:dyDescent="0.3">
      <c r="A1619" t="s">
        <v>5405</v>
      </c>
      <c r="B1619" t="s">
        <v>5406</v>
      </c>
      <c r="C1619" t="s">
        <v>5407</v>
      </c>
      <c r="D1619">
        <v>1</v>
      </c>
      <c r="E1619">
        <v>1</v>
      </c>
      <c r="F1619" s="1">
        <v>45868</v>
      </c>
      <c r="G1619">
        <f>_xlfn.XLOOKUP(F1619,'Wk no''s'!B:B,'Wk no''s'!C:C,0)</f>
        <v>31</v>
      </c>
    </row>
    <row r="1620" spans="1:7" x14ac:dyDescent="0.3">
      <c r="A1620" t="s">
        <v>5408</v>
      </c>
      <c r="B1620" t="s">
        <v>5409</v>
      </c>
      <c r="C1620" t="s">
        <v>5410</v>
      </c>
      <c r="D1620">
        <v>6</v>
      </c>
      <c r="E1620">
        <v>0</v>
      </c>
      <c r="F1620" s="1">
        <v>45868</v>
      </c>
      <c r="G1620">
        <f>_xlfn.XLOOKUP(F1620,'Wk no''s'!B:B,'Wk no''s'!C:C,0)</f>
        <v>31</v>
      </c>
    </row>
    <row r="1621" spans="1:7" x14ac:dyDescent="0.3">
      <c r="A1621" t="s">
        <v>5411</v>
      </c>
      <c r="B1621" t="s">
        <v>5412</v>
      </c>
      <c r="C1621" t="s">
        <v>4569</v>
      </c>
      <c r="D1621">
        <v>11</v>
      </c>
      <c r="E1621">
        <v>0</v>
      </c>
      <c r="F1621" s="1">
        <v>45868</v>
      </c>
      <c r="G1621">
        <f>_xlfn.XLOOKUP(F1621,'Wk no''s'!B:B,'Wk no''s'!C:C,0)</f>
        <v>31</v>
      </c>
    </row>
    <row r="1622" spans="1:7" x14ac:dyDescent="0.3">
      <c r="A1622" t="s">
        <v>5413</v>
      </c>
      <c r="B1622" t="s">
        <v>5414</v>
      </c>
      <c r="C1622" t="s">
        <v>550</v>
      </c>
      <c r="D1622">
        <v>1</v>
      </c>
      <c r="E1622">
        <v>1</v>
      </c>
      <c r="F1622" s="1">
        <v>45869</v>
      </c>
      <c r="G1622">
        <f>_xlfn.XLOOKUP(F1622,'Wk no''s'!B:B,'Wk no''s'!C:C,0)</f>
        <v>31</v>
      </c>
    </row>
    <row r="1623" spans="1:7" x14ac:dyDescent="0.3">
      <c r="A1623" t="s">
        <v>5415</v>
      </c>
      <c r="B1623" t="s">
        <v>5416</v>
      </c>
      <c r="C1623" t="s">
        <v>3019</v>
      </c>
      <c r="D1623">
        <v>0</v>
      </c>
      <c r="E1623">
        <v>1</v>
      </c>
      <c r="F1623" s="1">
        <v>45869</v>
      </c>
      <c r="G1623">
        <f>_xlfn.XLOOKUP(F1623,'Wk no''s'!B:B,'Wk no''s'!C:C,0)</f>
        <v>31</v>
      </c>
    </row>
    <row r="1624" spans="1:7" x14ac:dyDescent="0.3">
      <c r="A1624" t="s">
        <v>5417</v>
      </c>
      <c r="B1624" t="s">
        <v>5418</v>
      </c>
      <c r="C1624" t="s">
        <v>1224</v>
      </c>
      <c r="D1624">
        <v>1</v>
      </c>
      <c r="E1624">
        <v>1</v>
      </c>
      <c r="F1624" s="1">
        <v>45869</v>
      </c>
      <c r="G1624">
        <f>_xlfn.XLOOKUP(F1624,'Wk no''s'!B:B,'Wk no''s'!C:C,0)</f>
        <v>31</v>
      </c>
    </row>
    <row r="1625" spans="1:7" x14ac:dyDescent="0.3">
      <c r="A1625" t="s">
        <v>5419</v>
      </c>
      <c r="B1625" t="s">
        <v>5420</v>
      </c>
      <c r="C1625" t="s">
        <v>5421</v>
      </c>
      <c r="D1625">
        <v>0</v>
      </c>
      <c r="E1625">
        <v>1</v>
      </c>
      <c r="F1625" s="1">
        <v>45869</v>
      </c>
      <c r="G1625">
        <f>_xlfn.XLOOKUP(F1625,'Wk no''s'!B:B,'Wk no''s'!C:C,0)</f>
        <v>31</v>
      </c>
    </row>
    <row r="1626" spans="1:7" x14ac:dyDescent="0.3">
      <c r="A1626" t="s">
        <v>5422</v>
      </c>
      <c r="B1626" t="s">
        <v>5423</v>
      </c>
      <c r="C1626" t="s">
        <v>5424</v>
      </c>
      <c r="D1626">
        <v>0</v>
      </c>
      <c r="E1626">
        <v>1</v>
      </c>
      <c r="F1626" s="1">
        <v>45869</v>
      </c>
      <c r="G1626">
        <f>_xlfn.XLOOKUP(F1626,'Wk no''s'!B:B,'Wk no''s'!C:C,0)</f>
        <v>31</v>
      </c>
    </row>
    <row r="1627" spans="1:7" x14ac:dyDescent="0.3">
      <c r="A1627" t="s">
        <v>5425</v>
      </c>
      <c r="B1627" t="s">
        <v>5426</v>
      </c>
      <c r="C1627" t="s">
        <v>5427</v>
      </c>
      <c r="D1627">
        <v>0</v>
      </c>
      <c r="E1627">
        <v>1</v>
      </c>
      <c r="F1627" s="1">
        <v>45869</v>
      </c>
      <c r="G1627">
        <f>_xlfn.XLOOKUP(F1627,'Wk no''s'!B:B,'Wk no''s'!C:C,0)</f>
        <v>31</v>
      </c>
    </row>
    <row r="1628" spans="1:7" x14ac:dyDescent="0.3">
      <c r="A1628" t="s">
        <v>5428</v>
      </c>
      <c r="B1628" t="s">
        <v>5429</v>
      </c>
      <c r="C1628" t="s">
        <v>4960</v>
      </c>
      <c r="D1628">
        <v>0</v>
      </c>
      <c r="E1628">
        <v>1</v>
      </c>
      <c r="F1628" s="1">
        <v>45869</v>
      </c>
      <c r="G1628">
        <f>_xlfn.XLOOKUP(F1628,'Wk no''s'!B:B,'Wk no''s'!C:C,0)</f>
        <v>31</v>
      </c>
    </row>
    <row r="1629" spans="1:7" x14ac:dyDescent="0.3">
      <c r="A1629" t="s">
        <v>5430</v>
      </c>
      <c r="B1629" t="s">
        <v>5431</v>
      </c>
      <c r="C1629" t="s">
        <v>5432</v>
      </c>
      <c r="D1629">
        <v>0</v>
      </c>
      <c r="E1629">
        <v>1</v>
      </c>
      <c r="F1629" s="1">
        <v>45869</v>
      </c>
      <c r="G1629">
        <f>_xlfn.XLOOKUP(F1629,'Wk no''s'!B:B,'Wk no''s'!C:C,0)</f>
        <v>31</v>
      </c>
    </row>
    <row r="1630" spans="1:7" x14ac:dyDescent="0.3">
      <c r="A1630" t="s">
        <v>5433</v>
      </c>
      <c r="B1630" t="s">
        <v>5434</v>
      </c>
      <c r="C1630" t="s">
        <v>4941</v>
      </c>
      <c r="D1630">
        <v>0</v>
      </c>
      <c r="E1630">
        <v>1</v>
      </c>
      <c r="F1630" s="1">
        <v>45869</v>
      </c>
      <c r="G1630">
        <f>_xlfn.XLOOKUP(F1630,'Wk no''s'!B:B,'Wk no''s'!C:C,0)</f>
        <v>31</v>
      </c>
    </row>
    <row r="1631" spans="1:7" x14ac:dyDescent="0.3">
      <c r="A1631" t="s">
        <v>5435</v>
      </c>
      <c r="B1631" t="s">
        <v>5436</v>
      </c>
      <c r="C1631" t="s">
        <v>5437</v>
      </c>
      <c r="D1631">
        <v>0</v>
      </c>
      <c r="E1631">
        <v>1</v>
      </c>
      <c r="F1631" s="1">
        <v>45869</v>
      </c>
      <c r="G1631">
        <f>_xlfn.XLOOKUP(F1631,'Wk no''s'!B:B,'Wk no''s'!C:C,0)</f>
        <v>31</v>
      </c>
    </row>
    <row r="1632" spans="1:7" x14ac:dyDescent="0.3">
      <c r="A1632" t="s">
        <v>5438</v>
      </c>
      <c r="B1632" t="s">
        <v>5439</v>
      </c>
      <c r="C1632" t="s">
        <v>5320</v>
      </c>
      <c r="D1632">
        <v>3</v>
      </c>
      <c r="E1632">
        <v>0</v>
      </c>
      <c r="F1632" s="1">
        <v>45869</v>
      </c>
      <c r="G1632">
        <f>_xlfn.XLOOKUP(F1632,'Wk no''s'!B:B,'Wk no''s'!C:C,0)</f>
        <v>31</v>
      </c>
    </row>
    <row r="1633" spans="1:7" x14ac:dyDescent="0.3">
      <c r="A1633" t="s">
        <v>5440</v>
      </c>
      <c r="B1633" t="s">
        <v>5441</v>
      </c>
      <c r="C1633" t="s">
        <v>5078</v>
      </c>
      <c r="D1633">
        <v>0</v>
      </c>
      <c r="E1633">
        <v>1</v>
      </c>
      <c r="F1633" s="1">
        <v>45869</v>
      </c>
      <c r="G1633">
        <f>_xlfn.XLOOKUP(F1633,'Wk no''s'!B:B,'Wk no''s'!C:C,0)</f>
        <v>31</v>
      </c>
    </row>
    <row r="1634" spans="1:7" x14ac:dyDescent="0.3">
      <c r="A1634" t="s">
        <v>5442</v>
      </c>
      <c r="B1634" t="s">
        <v>5443</v>
      </c>
      <c r="C1634" t="s">
        <v>5078</v>
      </c>
      <c r="D1634">
        <v>0</v>
      </c>
      <c r="E1634">
        <v>1</v>
      </c>
      <c r="F1634" s="1">
        <v>45869</v>
      </c>
      <c r="G1634">
        <f>_xlfn.XLOOKUP(F1634,'Wk no''s'!B:B,'Wk no''s'!C:C,0)</f>
        <v>31</v>
      </c>
    </row>
    <row r="1635" spans="1:7" x14ac:dyDescent="0.3">
      <c r="A1635" t="s">
        <v>5444</v>
      </c>
      <c r="B1635" t="s">
        <v>5445</v>
      </c>
      <c r="C1635" t="s">
        <v>4353</v>
      </c>
      <c r="D1635">
        <v>0</v>
      </c>
      <c r="E1635">
        <v>1</v>
      </c>
      <c r="F1635" s="1">
        <v>45869</v>
      </c>
      <c r="G1635">
        <f>_xlfn.XLOOKUP(F1635,'Wk no''s'!B:B,'Wk no''s'!C:C,0)</f>
        <v>31</v>
      </c>
    </row>
    <row r="1636" spans="1:7" x14ac:dyDescent="0.3">
      <c r="A1636" t="s">
        <v>5446</v>
      </c>
      <c r="B1636" t="s">
        <v>5447</v>
      </c>
      <c r="C1636" t="s">
        <v>5448</v>
      </c>
      <c r="D1636">
        <v>4</v>
      </c>
      <c r="E1636">
        <v>0</v>
      </c>
      <c r="F1636" s="1">
        <v>45870</v>
      </c>
      <c r="G1636">
        <f>_xlfn.XLOOKUP(F1636,'Wk no''s'!B:B,'Wk no''s'!C:C,0)</f>
        <v>31</v>
      </c>
    </row>
    <row r="1637" spans="1:7" x14ac:dyDescent="0.3">
      <c r="A1637" t="s">
        <v>5449</v>
      </c>
      <c r="B1637" t="s">
        <v>5450</v>
      </c>
      <c r="C1637" t="s">
        <v>3582</v>
      </c>
      <c r="D1637">
        <v>3</v>
      </c>
      <c r="E1637">
        <v>0</v>
      </c>
      <c r="F1637" s="1">
        <v>45870</v>
      </c>
      <c r="G1637">
        <f>_xlfn.XLOOKUP(F1637,'Wk no''s'!B:B,'Wk no''s'!C:C,0)</f>
        <v>31</v>
      </c>
    </row>
    <row r="1638" spans="1:7" x14ac:dyDescent="0.3">
      <c r="A1638" t="s">
        <v>5451</v>
      </c>
      <c r="B1638" t="s">
        <v>5452</v>
      </c>
      <c r="C1638" t="s">
        <v>5453</v>
      </c>
      <c r="D1638">
        <v>7</v>
      </c>
      <c r="E1638">
        <v>0</v>
      </c>
      <c r="F1638" s="1">
        <v>45870</v>
      </c>
      <c r="G1638">
        <f>_xlfn.XLOOKUP(F1638,'Wk no''s'!B:B,'Wk no''s'!C:C,0)</f>
        <v>31</v>
      </c>
    </row>
    <row r="1639" spans="1:7" x14ac:dyDescent="0.3">
      <c r="A1639" t="s">
        <v>5454</v>
      </c>
      <c r="B1639" t="s">
        <v>5455</v>
      </c>
      <c r="C1639" t="s">
        <v>5456</v>
      </c>
      <c r="D1639">
        <v>9</v>
      </c>
      <c r="E1639">
        <v>0</v>
      </c>
      <c r="F1639" s="1">
        <v>45870</v>
      </c>
      <c r="G1639">
        <f>_xlfn.XLOOKUP(F1639,'Wk no''s'!B:B,'Wk no''s'!C:C,0)</f>
        <v>31</v>
      </c>
    </row>
    <row r="1640" spans="1:7" x14ac:dyDescent="0.3">
      <c r="A1640" t="s">
        <v>5457</v>
      </c>
      <c r="B1640" t="s">
        <v>5458</v>
      </c>
      <c r="C1640" t="s">
        <v>5410</v>
      </c>
      <c r="D1640">
        <v>1</v>
      </c>
      <c r="E1640">
        <v>1</v>
      </c>
      <c r="F1640" s="1">
        <v>45870</v>
      </c>
      <c r="G1640">
        <f>_xlfn.XLOOKUP(F1640,'Wk no''s'!B:B,'Wk no''s'!C:C,0)</f>
        <v>31</v>
      </c>
    </row>
    <row r="1641" spans="1:7" x14ac:dyDescent="0.3">
      <c r="A1641" t="s">
        <v>5459</v>
      </c>
      <c r="B1641" t="s">
        <v>5460</v>
      </c>
      <c r="C1641" t="s">
        <v>5461</v>
      </c>
      <c r="D1641">
        <v>0</v>
      </c>
      <c r="E1641">
        <v>1</v>
      </c>
      <c r="F1641" s="1">
        <v>45870</v>
      </c>
      <c r="G1641">
        <f>_xlfn.XLOOKUP(F1641,'Wk no''s'!B:B,'Wk no''s'!C:C,0)</f>
        <v>31</v>
      </c>
    </row>
    <row r="1642" spans="1:7" x14ac:dyDescent="0.3">
      <c r="A1642" t="s">
        <v>5462</v>
      </c>
      <c r="B1642" t="s">
        <v>5463</v>
      </c>
      <c r="C1642" t="s">
        <v>39</v>
      </c>
      <c r="D1642">
        <v>3</v>
      </c>
      <c r="E1642">
        <v>0</v>
      </c>
      <c r="F1642" s="1">
        <v>45870</v>
      </c>
      <c r="G1642">
        <f>_xlfn.XLOOKUP(F1642,'Wk no''s'!B:B,'Wk no''s'!C:C,0)</f>
        <v>31</v>
      </c>
    </row>
    <row r="1643" spans="1:7" x14ac:dyDescent="0.3">
      <c r="A1643" t="s">
        <v>5497</v>
      </c>
      <c r="B1643" t="s">
        <v>5498</v>
      </c>
      <c r="C1643" t="s">
        <v>39</v>
      </c>
      <c r="D1643">
        <v>0</v>
      </c>
      <c r="E1643">
        <v>1</v>
      </c>
      <c r="F1643" s="1">
        <v>45873</v>
      </c>
      <c r="G1643">
        <f>_xlfn.XLOOKUP(F1643,'Wk no''s'!B:B,'Wk no''s'!C:C,0)</f>
        <v>32</v>
      </c>
    </row>
    <row r="1644" spans="1:7" x14ac:dyDescent="0.3">
      <c r="A1644" t="s">
        <v>5499</v>
      </c>
      <c r="B1644" t="s">
        <v>5500</v>
      </c>
      <c r="C1644" t="s">
        <v>39</v>
      </c>
      <c r="D1644">
        <v>0</v>
      </c>
      <c r="E1644">
        <v>1</v>
      </c>
      <c r="F1644" s="1">
        <v>45873</v>
      </c>
      <c r="G1644">
        <f>_xlfn.XLOOKUP(F1644,'Wk no''s'!B:B,'Wk no''s'!C:C,0)</f>
        <v>32</v>
      </c>
    </row>
    <row r="1645" spans="1:7" x14ac:dyDescent="0.3">
      <c r="A1645" t="s">
        <v>5501</v>
      </c>
      <c r="B1645" t="s">
        <v>5502</v>
      </c>
      <c r="C1645" t="s">
        <v>5503</v>
      </c>
      <c r="D1645">
        <v>0</v>
      </c>
      <c r="E1645">
        <v>1</v>
      </c>
      <c r="F1645" s="1">
        <v>45873</v>
      </c>
      <c r="G1645">
        <f>_xlfn.XLOOKUP(F1645,'Wk no''s'!B:B,'Wk no''s'!C:C,0)</f>
        <v>32</v>
      </c>
    </row>
    <row r="1646" spans="1:7" x14ac:dyDescent="0.3">
      <c r="A1646" t="s">
        <v>5504</v>
      </c>
      <c r="B1646" t="s">
        <v>5505</v>
      </c>
      <c r="C1646" t="s">
        <v>2451</v>
      </c>
      <c r="D1646">
        <v>3</v>
      </c>
      <c r="E1646">
        <v>0</v>
      </c>
      <c r="F1646" s="1">
        <v>45873</v>
      </c>
      <c r="G1646">
        <f>_xlfn.XLOOKUP(F1646,'Wk no''s'!B:B,'Wk no''s'!C:C,0)</f>
        <v>32</v>
      </c>
    </row>
    <row r="1647" spans="1:7" x14ac:dyDescent="0.3">
      <c r="A1647" t="s">
        <v>5506</v>
      </c>
      <c r="B1647" t="s">
        <v>5507</v>
      </c>
      <c r="C1647" t="s">
        <v>5508</v>
      </c>
      <c r="D1647">
        <v>1</v>
      </c>
      <c r="E1647">
        <v>1</v>
      </c>
      <c r="F1647" s="1">
        <v>45873</v>
      </c>
      <c r="G1647">
        <f>_xlfn.XLOOKUP(F1647,'Wk no''s'!B:B,'Wk no''s'!C:C,0)</f>
        <v>32</v>
      </c>
    </row>
    <row r="1648" spans="1:7" x14ac:dyDescent="0.3">
      <c r="A1648" t="s">
        <v>5509</v>
      </c>
      <c r="B1648" t="s">
        <v>5510</v>
      </c>
      <c r="C1648" t="s">
        <v>5511</v>
      </c>
      <c r="D1648">
        <v>9</v>
      </c>
      <c r="E1648">
        <v>0</v>
      </c>
      <c r="F1648" s="1">
        <v>45874</v>
      </c>
      <c r="G1648">
        <f>_xlfn.XLOOKUP(F1648,'Wk no''s'!B:B,'Wk no''s'!C:C,0)</f>
        <v>32</v>
      </c>
    </row>
    <row r="1649" spans="1:7" x14ac:dyDescent="0.3">
      <c r="A1649" t="s">
        <v>5512</v>
      </c>
      <c r="B1649" t="s">
        <v>5513</v>
      </c>
      <c r="C1649" t="s">
        <v>5514</v>
      </c>
      <c r="D1649">
        <v>2</v>
      </c>
      <c r="E1649">
        <v>0</v>
      </c>
      <c r="F1649" s="1">
        <v>45874</v>
      </c>
      <c r="G1649">
        <f>_xlfn.XLOOKUP(F1649,'Wk no''s'!B:B,'Wk no''s'!C:C,0)</f>
        <v>32</v>
      </c>
    </row>
    <row r="1650" spans="1:7" x14ac:dyDescent="0.3">
      <c r="A1650" t="s">
        <v>5515</v>
      </c>
      <c r="B1650" t="s">
        <v>5516</v>
      </c>
      <c r="C1650" t="s">
        <v>4018</v>
      </c>
      <c r="D1650">
        <v>0</v>
      </c>
      <c r="E1650">
        <v>1</v>
      </c>
      <c r="F1650" s="1">
        <v>45874</v>
      </c>
      <c r="G1650">
        <f>_xlfn.XLOOKUP(F1650,'Wk no''s'!B:B,'Wk no''s'!C:C,0)</f>
        <v>32</v>
      </c>
    </row>
    <row r="1651" spans="1:7" x14ac:dyDescent="0.3">
      <c r="A1651" t="s">
        <v>5517</v>
      </c>
      <c r="B1651" t="s">
        <v>5518</v>
      </c>
      <c r="C1651" t="s">
        <v>5519</v>
      </c>
      <c r="D1651">
        <v>0</v>
      </c>
      <c r="E1651">
        <v>1</v>
      </c>
      <c r="F1651" s="1">
        <v>45874</v>
      </c>
      <c r="G1651">
        <f>_xlfn.XLOOKUP(F1651,'Wk no''s'!B:B,'Wk no''s'!C:C,0)</f>
        <v>32</v>
      </c>
    </row>
    <row r="1652" spans="1:7" x14ac:dyDescent="0.3">
      <c r="A1652" t="s">
        <v>5520</v>
      </c>
      <c r="B1652" t="s">
        <v>5521</v>
      </c>
      <c r="C1652" t="s">
        <v>407</v>
      </c>
      <c r="D1652">
        <v>0</v>
      </c>
      <c r="E1652">
        <v>1</v>
      </c>
      <c r="F1652" s="1">
        <v>45874</v>
      </c>
      <c r="G1652">
        <f>_xlfn.XLOOKUP(F1652,'Wk no''s'!B:B,'Wk no''s'!C:C,0)</f>
        <v>32</v>
      </c>
    </row>
    <row r="1653" spans="1:7" x14ac:dyDescent="0.3">
      <c r="A1653" t="s">
        <v>5522</v>
      </c>
      <c r="B1653" t="s">
        <v>5523</v>
      </c>
      <c r="C1653" t="s">
        <v>5654</v>
      </c>
      <c r="D1653">
        <v>1</v>
      </c>
      <c r="E1653">
        <v>1</v>
      </c>
      <c r="F1653" s="1">
        <v>45874</v>
      </c>
      <c r="G1653">
        <f>_xlfn.XLOOKUP(F1653,'Wk no''s'!B:B,'Wk no''s'!C:C,0)</f>
        <v>32</v>
      </c>
    </row>
    <row r="1654" spans="1:7" x14ac:dyDescent="0.3">
      <c r="A1654" t="s">
        <v>5524</v>
      </c>
      <c r="B1654" t="s">
        <v>5525</v>
      </c>
      <c r="C1654" t="s">
        <v>550</v>
      </c>
      <c r="D1654">
        <v>10</v>
      </c>
      <c r="E1654">
        <v>0</v>
      </c>
      <c r="F1654" s="1">
        <v>45874</v>
      </c>
      <c r="G1654">
        <f>_xlfn.XLOOKUP(F1654,'Wk no''s'!B:B,'Wk no''s'!C:C,0)</f>
        <v>32</v>
      </c>
    </row>
    <row r="1655" spans="1:7" x14ac:dyDescent="0.3">
      <c r="A1655" t="s">
        <v>5526</v>
      </c>
      <c r="B1655" t="s">
        <v>5527</v>
      </c>
      <c r="C1655" t="s">
        <v>5528</v>
      </c>
      <c r="D1655">
        <v>0</v>
      </c>
      <c r="E1655">
        <v>1</v>
      </c>
      <c r="F1655" s="1">
        <v>45874</v>
      </c>
      <c r="G1655">
        <f>_xlfn.XLOOKUP(F1655,'Wk no''s'!B:B,'Wk no''s'!C:C,0)</f>
        <v>32</v>
      </c>
    </row>
    <row r="1656" spans="1:7" x14ac:dyDescent="0.3">
      <c r="A1656" t="s">
        <v>5529</v>
      </c>
      <c r="B1656" t="s">
        <v>5530</v>
      </c>
      <c r="C1656" t="s">
        <v>2279</v>
      </c>
      <c r="D1656">
        <v>1</v>
      </c>
      <c r="E1656">
        <v>1</v>
      </c>
      <c r="F1656" s="1">
        <v>45874</v>
      </c>
      <c r="G1656">
        <f>_xlfn.XLOOKUP(F1656,'Wk no''s'!B:B,'Wk no''s'!C:C,0)</f>
        <v>32</v>
      </c>
    </row>
    <row r="1657" spans="1:7" x14ac:dyDescent="0.3">
      <c r="A1657" t="s">
        <v>5531</v>
      </c>
      <c r="B1657" t="s">
        <v>5532</v>
      </c>
      <c r="C1657" t="s">
        <v>5533</v>
      </c>
      <c r="D1657">
        <v>0</v>
      </c>
      <c r="E1657">
        <v>1</v>
      </c>
      <c r="F1657" s="1">
        <v>45874</v>
      </c>
      <c r="G1657">
        <f>_xlfn.XLOOKUP(F1657,'Wk no''s'!B:B,'Wk no''s'!C:C,0)</f>
        <v>32</v>
      </c>
    </row>
    <row r="1658" spans="1:7" x14ac:dyDescent="0.3">
      <c r="A1658" t="s">
        <v>5534</v>
      </c>
      <c r="B1658" t="s">
        <v>5535</v>
      </c>
      <c r="C1658" t="s">
        <v>5536</v>
      </c>
      <c r="D1658">
        <v>10</v>
      </c>
      <c r="E1658">
        <v>0</v>
      </c>
      <c r="F1658" s="1">
        <v>45874</v>
      </c>
      <c r="G1658">
        <f>_xlfn.XLOOKUP(F1658,'Wk no''s'!B:B,'Wk no''s'!C:C,0)</f>
        <v>32</v>
      </c>
    </row>
    <row r="1659" spans="1:7" x14ac:dyDescent="0.3">
      <c r="A1659" t="s">
        <v>5537</v>
      </c>
      <c r="B1659" t="s">
        <v>5538</v>
      </c>
      <c r="C1659" t="s">
        <v>3922</v>
      </c>
      <c r="D1659">
        <v>0</v>
      </c>
      <c r="E1659">
        <v>1</v>
      </c>
      <c r="F1659" s="1">
        <v>45874</v>
      </c>
      <c r="G1659">
        <f>_xlfn.XLOOKUP(F1659,'Wk no''s'!B:B,'Wk no''s'!C:C,0)</f>
        <v>32</v>
      </c>
    </row>
    <row r="1660" spans="1:7" x14ac:dyDescent="0.3">
      <c r="A1660" t="s">
        <v>5539</v>
      </c>
      <c r="B1660" t="s">
        <v>5540</v>
      </c>
      <c r="C1660" t="s">
        <v>3444</v>
      </c>
      <c r="D1660">
        <v>6</v>
      </c>
      <c r="E1660">
        <v>0</v>
      </c>
      <c r="F1660" s="1">
        <v>45874</v>
      </c>
      <c r="G1660">
        <f>_xlfn.XLOOKUP(F1660,'Wk no''s'!B:B,'Wk no''s'!C:C,0)</f>
        <v>32</v>
      </c>
    </row>
    <row r="1661" spans="1:7" x14ac:dyDescent="0.3">
      <c r="A1661" t="s">
        <v>5541</v>
      </c>
      <c r="B1661" t="s">
        <v>5542</v>
      </c>
      <c r="C1661" t="s">
        <v>3444</v>
      </c>
      <c r="D1661">
        <v>6</v>
      </c>
      <c r="E1661">
        <v>0</v>
      </c>
      <c r="F1661" s="1">
        <v>45874</v>
      </c>
      <c r="G1661">
        <f>_xlfn.XLOOKUP(F1661,'Wk no''s'!B:B,'Wk no''s'!C:C,0)</f>
        <v>32</v>
      </c>
    </row>
    <row r="1662" spans="1:7" x14ac:dyDescent="0.3">
      <c r="A1662" t="s">
        <v>5543</v>
      </c>
      <c r="B1662" t="s">
        <v>5544</v>
      </c>
      <c r="C1662" t="s">
        <v>3444</v>
      </c>
      <c r="D1662">
        <v>6</v>
      </c>
      <c r="E1662">
        <v>0</v>
      </c>
      <c r="F1662" s="1">
        <v>45874</v>
      </c>
      <c r="G1662">
        <f>_xlfn.XLOOKUP(F1662,'Wk no''s'!B:B,'Wk no''s'!C:C,0)</f>
        <v>32</v>
      </c>
    </row>
    <row r="1663" spans="1:7" x14ac:dyDescent="0.3">
      <c r="A1663" t="s">
        <v>5545</v>
      </c>
      <c r="B1663" t="s">
        <v>5546</v>
      </c>
      <c r="C1663" t="s">
        <v>4100</v>
      </c>
      <c r="D1663">
        <v>0</v>
      </c>
      <c r="E1663">
        <v>1</v>
      </c>
      <c r="F1663" s="1">
        <v>45875</v>
      </c>
      <c r="G1663">
        <f>_xlfn.XLOOKUP(F1663,'Wk no''s'!B:B,'Wk no''s'!C:C,0)</f>
        <v>32</v>
      </c>
    </row>
    <row r="1664" spans="1:7" x14ac:dyDescent="0.3">
      <c r="A1664" t="s">
        <v>5547</v>
      </c>
      <c r="B1664" t="s">
        <v>5548</v>
      </c>
      <c r="C1664" t="s">
        <v>4100</v>
      </c>
      <c r="D1664">
        <v>0</v>
      </c>
      <c r="E1664">
        <v>1</v>
      </c>
      <c r="F1664" s="1">
        <v>45875</v>
      </c>
      <c r="G1664">
        <f>_xlfn.XLOOKUP(F1664,'Wk no''s'!B:B,'Wk no''s'!C:C,0)</f>
        <v>32</v>
      </c>
    </row>
    <row r="1665" spans="1:7" x14ac:dyDescent="0.3">
      <c r="A1665" t="s">
        <v>5549</v>
      </c>
      <c r="B1665" t="s">
        <v>5550</v>
      </c>
      <c r="C1665" t="s">
        <v>5551</v>
      </c>
      <c r="D1665">
        <v>0</v>
      </c>
      <c r="E1665">
        <v>1</v>
      </c>
      <c r="F1665" s="1">
        <v>45875</v>
      </c>
      <c r="G1665">
        <f>_xlfn.XLOOKUP(F1665,'Wk no''s'!B:B,'Wk no''s'!C:C,0)</f>
        <v>32</v>
      </c>
    </row>
    <row r="1666" spans="1:7" x14ac:dyDescent="0.3">
      <c r="A1666" t="s">
        <v>5552</v>
      </c>
      <c r="B1666" t="s">
        <v>5553</v>
      </c>
      <c r="C1666" t="s">
        <v>5494</v>
      </c>
      <c r="D1666">
        <v>0</v>
      </c>
      <c r="E1666">
        <v>1</v>
      </c>
      <c r="F1666" s="1">
        <v>45875</v>
      </c>
      <c r="G1666">
        <f>_xlfn.XLOOKUP(F1666,'Wk no''s'!B:B,'Wk no''s'!C:C,0)</f>
        <v>32</v>
      </c>
    </row>
    <row r="1667" spans="1:7" x14ac:dyDescent="0.3">
      <c r="A1667" t="s">
        <v>5554</v>
      </c>
      <c r="B1667" t="s">
        <v>5546</v>
      </c>
      <c r="C1667" t="s">
        <v>4100</v>
      </c>
      <c r="D1667">
        <v>0</v>
      </c>
      <c r="E1667">
        <v>1</v>
      </c>
      <c r="F1667" s="1">
        <v>45875</v>
      </c>
      <c r="G1667">
        <f>_xlfn.XLOOKUP(F1667,'Wk no''s'!B:B,'Wk no''s'!C:C,0)</f>
        <v>32</v>
      </c>
    </row>
    <row r="1668" spans="1:7" x14ac:dyDescent="0.3">
      <c r="A1668" t="s">
        <v>5555</v>
      </c>
      <c r="B1668" t="s">
        <v>5556</v>
      </c>
      <c r="C1668" t="s">
        <v>2451</v>
      </c>
      <c r="D1668">
        <v>3</v>
      </c>
      <c r="E1668">
        <v>0</v>
      </c>
      <c r="F1668" s="1">
        <v>45875</v>
      </c>
      <c r="G1668">
        <f>_xlfn.XLOOKUP(F1668,'Wk no''s'!B:B,'Wk no''s'!C:C,0)</f>
        <v>32</v>
      </c>
    </row>
    <row r="1669" spans="1:7" x14ac:dyDescent="0.3">
      <c r="A1669" t="s">
        <v>5557</v>
      </c>
      <c r="B1669" t="s">
        <v>5558</v>
      </c>
      <c r="C1669" t="s">
        <v>4165</v>
      </c>
      <c r="D1669">
        <v>7</v>
      </c>
      <c r="E1669">
        <v>0</v>
      </c>
      <c r="F1669" s="1">
        <v>45875</v>
      </c>
      <c r="G1669">
        <f>_xlfn.XLOOKUP(F1669,'Wk no''s'!B:B,'Wk no''s'!C:C,0)</f>
        <v>32</v>
      </c>
    </row>
    <row r="1670" spans="1:7" x14ac:dyDescent="0.3">
      <c r="A1670" t="s">
        <v>5559</v>
      </c>
      <c r="B1670" t="s">
        <v>5560</v>
      </c>
      <c r="C1670" t="s">
        <v>5561</v>
      </c>
      <c r="D1670">
        <v>7</v>
      </c>
      <c r="E1670">
        <v>0</v>
      </c>
      <c r="F1670" s="1">
        <v>45875</v>
      </c>
      <c r="G1670">
        <f>_xlfn.XLOOKUP(F1670,'Wk no''s'!B:B,'Wk no''s'!C:C,0)</f>
        <v>32</v>
      </c>
    </row>
    <row r="1671" spans="1:7" x14ac:dyDescent="0.3">
      <c r="A1671" t="s">
        <v>5562</v>
      </c>
      <c r="B1671" t="s">
        <v>5563</v>
      </c>
      <c r="C1671" t="s">
        <v>3444</v>
      </c>
      <c r="D1671">
        <v>5</v>
      </c>
      <c r="E1671">
        <v>0</v>
      </c>
      <c r="F1671" s="1">
        <v>45875</v>
      </c>
      <c r="G1671">
        <f>_xlfn.XLOOKUP(F1671,'Wk no''s'!B:B,'Wk no''s'!C:C,0)</f>
        <v>32</v>
      </c>
    </row>
    <row r="1672" spans="1:7" x14ac:dyDescent="0.3">
      <c r="A1672" t="s">
        <v>5564</v>
      </c>
      <c r="B1672" t="s">
        <v>5565</v>
      </c>
      <c r="C1672" t="s">
        <v>3444</v>
      </c>
      <c r="D1672">
        <v>5</v>
      </c>
      <c r="E1672">
        <v>0</v>
      </c>
      <c r="F1672" s="1">
        <v>45875</v>
      </c>
      <c r="G1672">
        <f>_xlfn.XLOOKUP(F1672,'Wk no''s'!B:B,'Wk no''s'!C:C,0)</f>
        <v>32</v>
      </c>
    </row>
    <row r="1673" spans="1:7" x14ac:dyDescent="0.3">
      <c r="A1673" t="s">
        <v>5566</v>
      </c>
      <c r="B1673" t="s">
        <v>5567</v>
      </c>
      <c r="C1673" t="s">
        <v>3444</v>
      </c>
      <c r="D1673">
        <v>5</v>
      </c>
      <c r="E1673">
        <v>0</v>
      </c>
      <c r="F1673" s="1">
        <v>45875</v>
      </c>
      <c r="G1673">
        <f>_xlfn.XLOOKUP(F1673,'Wk no''s'!B:B,'Wk no''s'!C:C,0)</f>
        <v>32</v>
      </c>
    </row>
    <row r="1674" spans="1:7" x14ac:dyDescent="0.3">
      <c r="A1674" t="s">
        <v>5568</v>
      </c>
      <c r="B1674" t="s">
        <v>5569</v>
      </c>
      <c r="C1674" t="s">
        <v>3444</v>
      </c>
      <c r="D1674">
        <v>5</v>
      </c>
      <c r="E1674">
        <v>0</v>
      </c>
      <c r="F1674" s="1">
        <v>45875</v>
      </c>
      <c r="G1674">
        <f>_xlfn.XLOOKUP(F1674,'Wk no''s'!B:B,'Wk no''s'!C:C,0)</f>
        <v>32</v>
      </c>
    </row>
    <row r="1675" spans="1:7" x14ac:dyDescent="0.3">
      <c r="A1675" t="s">
        <v>5570</v>
      </c>
      <c r="B1675" t="s">
        <v>5571</v>
      </c>
      <c r="C1675" t="s">
        <v>4244</v>
      </c>
      <c r="D1675">
        <v>9</v>
      </c>
      <c r="E1675">
        <v>0</v>
      </c>
      <c r="F1675" s="1">
        <v>45875</v>
      </c>
      <c r="G1675">
        <f>_xlfn.XLOOKUP(F1675,'Wk no''s'!B:B,'Wk no''s'!C:C,0)</f>
        <v>32</v>
      </c>
    </row>
    <row r="1676" spans="1:7" x14ac:dyDescent="0.3">
      <c r="A1676" t="s">
        <v>5572</v>
      </c>
      <c r="B1676" t="s">
        <v>5573</v>
      </c>
      <c r="C1676" t="s">
        <v>5493</v>
      </c>
      <c r="D1676">
        <v>8</v>
      </c>
      <c r="E1676">
        <v>0</v>
      </c>
      <c r="F1676" s="1">
        <v>45876</v>
      </c>
      <c r="G1676">
        <f>_xlfn.XLOOKUP(F1676,'Wk no''s'!B:B,'Wk no''s'!C:C,0)</f>
        <v>32</v>
      </c>
    </row>
    <row r="1677" spans="1:7" x14ac:dyDescent="0.3">
      <c r="A1677" t="s">
        <v>5574</v>
      </c>
      <c r="B1677" t="s">
        <v>5575</v>
      </c>
      <c r="C1677" t="s">
        <v>1224</v>
      </c>
      <c r="D1677">
        <v>10</v>
      </c>
      <c r="E1677">
        <v>0</v>
      </c>
      <c r="F1677" s="1">
        <v>45876</v>
      </c>
      <c r="G1677">
        <f>_xlfn.XLOOKUP(F1677,'Wk no''s'!B:B,'Wk no''s'!C:C,0)</f>
        <v>32</v>
      </c>
    </row>
    <row r="1678" spans="1:7" x14ac:dyDescent="0.3">
      <c r="A1678" t="s">
        <v>5576</v>
      </c>
      <c r="B1678" t="s">
        <v>5577</v>
      </c>
      <c r="C1678" t="s">
        <v>1544</v>
      </c>
      <c r="D1678">
        <v>2</v>
      </c>
      <c r="E1678">
        <v>0</v>
      </c>
      <c r="F1678" s="1">
        <v>45876</v>
      </c>
      <c r="G1678">
        <f>_xlfn.XLOOKUP(F1678,'Wk no''s'!B:B,'Wk no''s'!C:C,0)</f>
        <v>32</v>
      </c>
    </row>
    <row r="1679" spans="1:7" x14ac:dyDescent="0.3">
      <c r="A1679" t="s">
        <v>5578</v>
      </c>
      <c r="B1679" t="s">
        <v>5579</v>
      </c>
      <c r="C1679" t="s">
        <v>3549</v>
      </c>
      <c r="D1679">
        <v>0</v>
      </c>
      <c r="E1679">
        <v>1</v>
      </c>
      <c r="F1679" s="1">
        <v>45876</v>
      </c>
      <c r="G1679">
        <f>_xlfn.XLOOKUP(F1679,'Wk no''s'!B:B,'Wk no''s'!C:C,0)</f>
        <v>32</v>
      </c>
    </row>
    <row r="1680" spans="1:7" x14ac:dyDescent="0.3">
      <c r="A1680" t="s">
        <v>5580</v>
      </c>
      <c r="B1680" t="s">
        <v>5581</v>
      </c>
      <c r="C1680" t="s">
        <v>4203</v>
      </c>
      <c r="D1680">
        <v>2</v>
      </c>
      <c r="E1680">
        <v>0</v>
      </c>
      <c r="F1680" s="1">
        <v>45876</v>
      </c>
      <c r="G1680">
        <f>_xlfn.XLOOKUP(F1680,'Wk no''s'!B:B,'Wk no''s'!C:C,0)</f>
        <v>32</v>
      </c>
    </row>
    <row r="1681" spans="1:7" x14ac:dyDescent="0.3">
      <c r="A1681" t="s">
        <v>5582</v>
      </c>
      <c r="B1681" t="s">
        <v>5583</v>
      </c>
      <c r="C1681" t="s">
        <v>5584</v>
      </c>
      <c r="D1681">
        <v>4</v>
      </c>
      <c r="E1681">
        <v>0</v>
      </c>
      <c r="F1681" s="1">
        <v>45876</v>
      </c>
      <c r="G1681">
        <f>_xlfn.XLOOKUP(F1681,'Wk no''s'!B:B,'Wk no''s'!C:C,0)</f>
        <v>32</v>
      </c>
    </row>
    <row r="1682" spans="1:7" x14ac:dyDescent="0.3">
      <c r="A1682" t="s">
        <v>5585</v>
      </c>
      <c r="B1682" t="s">
        <v>5586</v>
      </c>
      <c r="C1682" t="s">
        <v>5587</v>
      </c>
      <c r="D1682">
        <v>1</v>
      </c>
      <c r="E1682">
        <v>1</v>
      </c>
      <c r="F1682" s="1">
        <v>45876</v>
      </c>
      <c r="G1682">
        <f>_xlfn.XLOOKUP(F1682,'Wk no''s'!B:B,'Wk no''s'!C:C,0)</f>
        <v>32</v>
      </c>
    </row>
    <row r="1683" spans="1:7" x14ac:dyDescent="0.3">
      <c r="A1683" t="s">
        <v>5588</v>
      </c>
      <c r="B1683" t="s">
        <v>5589</v>
      </c>
      <c r="C1683" t="s">
        <v>197</v>
      </c>
      <c r="D1683">
        <v>2</v>
      </c>
      <c r="E1683">
        <v>0</v>
      </c>
      <c r="F1683" s="1">
        <v>45876</v>
      </c>
      <c r="G1683">
        <f>_xlfn.XLOOKUP(F1683,'Wk no''s'!B:B,'Wk no''s'!C:C,0)</f>
        <v>32</v>
      </c>
    </row>
    <row r="1684" spans="1:7" x14ac:dyDescent="0.3">
      <c r="A1684" t="s">
        <v>5590</v>
      </c>
      <c r="B1684" t="s">
        <v>5591</v>
      </c>
      <c r="C1684" t="s">
        <v>2958</v>
      </c>
      <c r="D1684">
        <v>3</v>
      </c>
      <c r="E1684">
        <v>0</v>
      </c>
      <c r="F1684" s="1">
        <v>45876</v>
      </c>
      <c r="G1684">
        <f>_xlfn.XLOOKUP(F1684,'Wk no''s'!B:B,'Wk no''s'!C:C,0)</f>
        <v>32</v>
      </c>
    </row>
    <row r="1685" spans="1:7" x14ac:dyDescent="0.3">
      <c r="A1685" t="s">
        <v>5592</v>
      </c>
      <c r="B1685" t="s">
        <v>5593</v>
      </c>
      <c r="C1685" t="s">
        <v>1194</v>
      </c>
      <c r="D1685">
        <v>1</v>
      </c>
      <c r="E1685">
        <v>1</v>
      </c>
      <c r="F1685" s="1">
        <v>45876</v>
      </c>
      <c r="G1685">
        <f>_xlfn.XLOOKUP(F1685,'Wk no''s'!B:B,'Wk no''s'!C:C,0)</f>
        <v>32</v>
      </c>
    </row>
    <row r="1686" spans="1:7" x14ac:dyDescent="0.3">
      <c r="A1686" t="s">
        <v>5594</v>
      </c>
      <c r="B1686" t="s">
        <v>5595</v>
      </c>
      <c r="C1686" t="s">
        <v>3955</v>
      </c>
      <c r="D1686">
        <v>3</v>
      </c>
      <c r="E1686">
        <v>0</v>
      </c>
      <c r="F1686" s="1">
        <v>45876</v>
      </c>
      <c r="G1686">
        <f>_xlfn.XLOOKUP(F1686,'Wk no''s'!B:B,'Wk no''s'!C:C,0)</f>
        <v>32</v>
      </c>
    </row>
    <row r="1687" spans="1:7" x14ac:dyDescent="0.3">
      <c r="A1687" t="s">
        <v>5596</v>
      </c>
      <c r="B1687" t="s">
        <v>5597</v>
      </c>
      <c r="C1687" t="s">
        <v>3955</v>
      </c>
      <c r="D1687">
        <v>3</v>
      </c>
      <c r="E1687">
        <v>0</v>
      </c>
      <c r="F1687" s="1">
        <v>45876</v>
      </c>
      <c r="G1687">
        <f>_xlfn.XLOOKUP(F1687,'Wk no''s'!B:B,'Wk no''s'!C:C,0)</f>
        <v>32</v>
      </c>
    </row>
    <row r="1688" spans="1:7" x14ac:dyDescent="0.3">
      <c r="A1688" t="s">
        <v>5598</v>
      </c>
      <c r="B1688" t="s">
        <v>5599</v>
      </c>
      <c r="C1688" t="s">
        <v>5600</v>
      </c>
      <c r="D1688">
        <v>1</v>
      </c>
      <c r="E1688">
        <v>1</v>
      </c>
      <c r="F1688" s="1">
        <v>45877</v>
      </c>
      <c r="G1688">
        <f>_xlfn.XLOOKUP(F1688,'Wk no''s'!B:B,'Wk no''s'!C:C,0)</f>
        <v>32</v>
      </c>
    </row>
    <row r="1689" spans="1:7" x14ac:dyDescent="0.3">
      <c r="A1689" t="s">
        <v>5601</v>
      </c>
      <c r="B1689" t="s">
        <v>5602</v>
      </c>
      <c r="C1689" t="s">
        <v>5603</v>
      </c>
      <c r="D1689">
        <v>1</v>
      </c>
      <c r="E1689">
        <v>1</v>
      </c>
      <c r="F1689" s="1">
        <v>45877</v>
      </c>
      <c r="G1689">
        <f>_xlfn.XLOOKUP(F1689,'Wk no''s'!B:B,'Wk no''s'!C:C,0)</f>
        <v>32</v>
      </c>
    </row>
    <row r="1690" spans="1:7" x14ac:dyDescent="0.3">
      <c r="A1690" t="s">
        <v>5604</v>
      </c>
      <c r="B1690" t="s">
        <v>5605</v>
      </c>
      <c r="C1690" t="s">
        <v>2681</v>
      </c>
      <c r="D1690">
        <v>7</v>
      </c>
      <c r="E1690">
        <v>0</v>
      </c>
      <c r="F1690" s="1">
        <v>45877</v>
      </c>
      <c r="G1690">
        <f>_xlfn.XLOOKUP(F1690,'Wk no''s'!B:B,'Wk no''s'!C:C,0)</f>
        <v>32</v>
      </c>
    </row>
    <row r="1691" spans="1:7" x14ac:dyDescent="0.3">
      <c r="A1691" t="s">
        <v>5606</v>
      </c>
      <c r="B1691" t="s">
        <v>5607</v>
      </c>
      <c r="C1691" t="s">
        <v>5608</v>
      </c>
      <c r="D1691">
        <v>1</v>
      </c>
      <c r="E1691">
        <v>1</v>
      </c>
      <c r="F1691" s="1">
        <v>45877</v>
      </c>
      <c r="G1691">
        <f>_xlfn.XLOOKUP(F1691,'Wk no''s'!B:B,'Wk no''s'!C:C,0)</f>
        <v>32</v>
      </c>
    </row>
    <row r="1692" spans="1:7" x14ac:dyDescent="0.3">
      <c r="A1692" t="s">
        <v>5655</v>
      </c>
      <c r="B1692" t="s">
        <v>5656</v>
      </c>
      <c r="C1692" t="s">
        <v>407</v>
      </c>
      <c r="D1692">
        <v>1</v>
      </c>
      <c r="E1692">
        <v>1</v>
      </c>
      <c r="F1692" s="1">
        <v>45880</v>
      </c>
      <c r="G1692">
        <f>_xlfn.XLOOKUP(F1692,'Wk no''s'!B:B,'Wk no''s'!C:C,0)</f>
        <v>33</v>
      </c>
    </row>
    <row r="1693" spans="1:7" x14ac:dyDescent="0.3">
      <c r="A1693" t="s">
        <v>5657</v>
      </c>
      <c r="B1693" t="s">
        <v>5658</v>
      </c>
      <c r="C1693" t="s">
        <v>302</v>
      </c>
      <c r="D1693">
        <v>3</v>
      </c>
      <c r="E1693">
        <v>0</v>
      </c>
      <c r="F1693" s="1">
        <v>45880</v>
      </c>
      <c r="G1693">
        <f>_xlfn.XLOOKUP(F1693,'Wk no''s'!B:B,'Wk no''s'!C:C,0)</f>
        <v>33</v>
      </c>
    </row>
    <row r="1694" spans="1:7" x14ac:dyDescent="0.3">
      <c r="A1694" t="s">
        <v>5659</v>
      </c>
      <c r="B1694" t="s">
        <v>5660</v>
      </c>
      <c r="C1694" t="s">
        <v>1544</v>
      </c>
      <c r="D1694">
        <v>4</v>
      </c>
      <c r="E1694">
        <v>0</v>
      </c>
      <c r="F1694" s="1">
        <v>45880</v>
      </c>
      <c r="G1694">
        <f>_xlfn.XLOOKUP(F1694,'Wk no''s'!B:B,'Wk no''s'!C:C,0)</f>
        <v>33</v>
      </c>
    </row>
    <row r="1695" spans="1:7" x14ac:dyDescent="0.3">
      <c r="A1695" t="s">
        <v>5661</v>
      </c>
      <c r="C1695" t="s">
        <v>5662</v>
      </c>
      <c r="D1695">
        <v>0</v>
      </c>
      <c r="E1695">
        <v>1</v>
      </c>
      <c r="F1695" s="1">
        <v>45880</v>
      </c>
      <c r="G1695">
        <f>_xlfn.XLOOKUP(F1695,'Wk no''s'!B:B,'Wk no''s'!C:C,0)</f>
        <v>33</v>
      </c>
    </row>
    <row r="1696" spans="1:7" x14ac:dyDescent="0.3">
      <c r="A1696" t="s">
        <v>5663</v>
      </c>
      <c r="B1696" t="s">
        <v>5664</v>
      </c>
      <c r="C1696" t="s">
        <v>2762</v>
      </c>
      <c r="D1696">
        <v>0</v>
      </c>
      <c r="E1696">
        <v>1</v>
      </c>
      <c r="F1696" s="1">
        <v>45880</v>
      </c>
      <c r="G1696">
        <f>_xlfn.XLOOKUP(F1696,'Wk no''s'!B:B,'Wk no''s'!C:C,0)</f>
        <v>33</v>
      </c>
    </row>
    <row r="1697" spans="1:7" x14ac:dyDescent="0.3">
      <c r="A1697" t="s">
        <v>5665</v>
      </c>
      <c r="B1697" t="s">
        <v>5666</v>
      </c>
      <c r="C1697" t="s">
        <v>302</v>
      </c>
      <c r="D1697">
        <v>0</v>
      </c>
      <c r="E1697">
        <v>1</v>
      </c>
      <c r="F1697" s="1">
        <v>45880</v>
      </c>
      <c r="G1697">
        <f>_xlfn.XLOOKUP(F1697,'Wk no''s'!B:B,'Wk no''s'!C:C,0)</f>
        <v>33</v>
      </c>
    </row>
    <row r="1698" spans="1:7" x14ac:dyDescent="0.3">
      <c r="A1698" t="s">
        <v>5667</v>
      </c>
      <c r="B1698" t="s">
        <v>5668</v>
      </c>
      <c r="C1698" t="s">
        <v>5669</v>
      </c>
      <c r="D1698">
        <v>4</v>
      </c>
      <c r="E1698">
        <v>0</v>
      </c>
      <c r="F1698" s="1">
        <v>45880</v>
      </c>
      <c r="G1698">
        <f>_xlfn.XLOOKUP(F1698,'Wk no''s'!B:B,'Wk no''s'!C:C,0)</f>
        <v>33</v>
      </c>
    </row>
    <row r="1699" spans="1:7" x14ac:dyDescent="0.3">
      <c r="A1699" t="s">
        <v>5670</v>
      </c>
      <c r="B1699" t="s">
        <v>5671</v>
      </c>
      <c r="C1699" t="s">
        <v>1889</v>
      </c>
      <c r="D1699">
        <v>3</v>
      </c>
      <c r="E1699">
        <v>0</v>
      </c>
      <c r="F1699" s="1">
        <v>45880</v>
      </c>
      <c r="G1699">
        <f>_xlfn.XLOOKUP(F1699,'Wk no''s'!B:B,'Wk no''s'!C:C,0)</f>
        <v>33</v>
      </c>
    </row>
    <row r="1700" spans="1:7" x14ac:dyDescent="0.3">
      <c r="A1700" t="s">
        <v>5672</v>
      </c>
      <c r="B1700" t="s">
        <v>5673</v>
      </c>
      <c r="C1700" t="s">
        <v>4247</v>
      </c>
      <c r="D1700">
        <v>0</v>
      </c>
      <c r="E1700">
        <v>1</v>
      </c>
      <c r="F1700" s="1">
        <v>45880</v>
      </c>
      <c r="G1700">
        <f>_xlfn.XLOOKUP(F1700,'Wk no''s'!B:B,'Wk no''s'!C:C,0)</f>
        <v>33</v>
      </c>
    </row>
    <row r="1701" spans="1:7" x14ac:dyDescent="0.3">
      <c r="A1701" t="s">
        <v>5674</v>
      </c>
      <c r="B1701" t="s">
        <v>5675</v>
      </c>
      <c r="C1701" t="s">
        <v>5676</v>
      </c>
      <c r="D1701">
        <v>25</v>
      </c>
      <c r="E1701">
        <v>0</v>
      </c>
      <c r="F1701" s="1">
        <v>45881</v>
      </c>
      <c r="G1701">
        <f>_xlfn.XLOOKUP(F1701,'Wk no''s'!B:B,'Wk no''s'!C:C,0)</f>
        <v>33</v>
      </c>
    </row>
    <row r="1702" spans="1:7" x14ac:dyDescent="0.3">
      <c r="A1702" t="s">
        <v>5677</v>
      </c>
      <c r="B1702" t="s">
        <v>5678</v>
      </c>
      <c r="C1702" t="s">
        <v>1889</v>
      </c>
      <c r="D1702">
        <v>0</v>
      </c>
      <c r="E1702">
        <v>1</v>
      </c>
      <c r="F1702" s="1">
        <v>45881</v>
      </c>
      <c r="G1702">
        <f>_xlfn.XLOOKUP(F1702,'Wk no''s'!B:B,'Wk no''s'!C:C,0)</f>
        <v>33</v>
      </c>
    </row>
    <row r="1703" spans="1:7" x14ac:dyDescent="0.3">
      <c r="A1703" t="s">
        <v>5679</v>
      </c>
      <c r="B1703" t="s">
        <v>5680</v>
      </c>
      <c r="C1703" t="s">
        <v>5681</v>
      </c>
      <c r="D1703">
        <v>4</v>
      </c>
      <c r="E1703">
        <v>0</v>
      </c>
      <c r="F1703" s="1">
        <v>45881</v>
      </c>
      <c r="G1703">
        <f>_xlfn.XLOOKUP(F1703,'Wk no''s'!B:B,'Wk no''s'!C:C,0)</f>
        <v>33</v>
      </c>
    </row>
    <row r="1704" spans="1:7" x14ac:dyDescent="0.3">
      <c r="A1704" t="s">
        <v>5682</v>
      </c>
      <c r="B1704" t="s">
        <v>5683</v>
      </c>
      <c r="C1704" t="s">
        <v>2887</v>
      </c>
      <c r="D1704">
        <v>3</v>
      </c>
      <c r="E1704">
        <v>0</v>
      </c>
      <c r="F1704" s="1">
        <v>45881</v>
      </c>
      <c r="G1704">
        <f>_xlfn.XLOOKUP(F1704,'Wk no''s'!B:B,'Wk no''s'!C:C,0)</f>
        <v>33</v>
      </c>
    </row>
    <row r="1705" spans="1:7" x14ac:dyDescent="0.3">
      <c r="A1705" t="s">
        <v>5684</v>
      </c>
      <c r="B1705" t="s">
        <v>5685</v>
      </c>
      <c r="C1705" t="s">
        <v>2159</v>
      </c>
      <c r="D1705">
        <v>1</v>
      </c>
      <c r="E1705">
        <v>1</v>
      </c>
      <c r="F1705" s="1">
        <v>45881</v>
      </c>
      <c r="G1705">
        <f>_xlfn.XLOOKUP(F1705,'Wk no''s'!B:B,'Wk no''s'!C:C,0)</f>
        <v>33</v>
      </c>
    </row>
    <row r="1706" spans="1:7" x14ac:dyDescent="0.3">
      <c r="A1706" t="s">
        <v>5686</v>
      </c>
      <c r="B1706" t="s">
        <v>5687</v>
      </c>
      <c r="C1706" t="s">
        <v>1363</v>
      </c>
      <c r="D1706">
        <v>11</v>
      </c>
      <c r="E1706">
        <v>0</v>
      </c>
      <c r="F1706" s="1">
        <v>45881</v>
      </c>
      <c r="G1706">
        <f>_xlfn.XLOOKUP(F1706,'Wk no''s'!B:B,'Wk no''s'!C:C,0)</f>
        <v>33</v>
      </c>
    </row>
    <row r="1707" spans="1:7" x14ac:dyDescent="0.3">
      <c r="A1707" t="s">
        <v>5688</v>
      </c>
      <c r="B1707" t="s">
        <v>5689</v>
      </c>
      <c r="C1707" t="s">
        <v>5690</v>
      </c>
      <c r="D1707">
        <v>0</v>
      </c>
      <c r="E1707">
        <v>1</v>
      </c>
      <c r="F1707" s="1">
        <v>45881</v>
      </c>
      <c r="G1707">
        <f>_xlfn.XLOOKUP(F1707,'Wk no''s'!B:B,'Wk no''s'!C:C,0)</f>
        <v>33</v>
      </c>
    </row>
    <row r="1708" spans="1:7" x14ac:dyDescent="0.3">
      <c r="A1708" t="s">
        <v>5691</v>
      </c>
      <c r="B1708" t="s">
        <v>5692</v>
      </c>
      <c r="C1708" t="s">
        <v>2908</v>
      </c>
      <c r="D1708">
        <v>3</v>
      </c>
      <c r="E1708">
        <v>0</v>
      </c>
      <c r="F1708" s="1">
        <v>45881</v>
      </c>
      <c r="G1708">
        <f>_xlfn.XLOOKUP(F1708,'Wk no''s'!B:B,'Wk no''s'!C:C,0)</f>
        <v>33</v>
      </c>
    </row>
    <row r="1709" spans="1:7" x14ac:dyDescent="0.3">
      <c r="A1709" t="s">
        <v>5693</v>
      </c>
      <c r="B1709" t="s">
        <v>5694</v>
      </c>
      <c r="C1709" t="s">
        <v>3955</v>
      </c>
      <c r="D1709">
        <v>4</v>
      </c>
      <c r="E1709">
        <v>0</v>
      </c>
      <c r="F1709" s="1">
        <v>45881</v>
      </c>
      <c r="G1709">
        <f>_xlfn.XLOOKUP(F1709,'Wk no''s'!B:B,'Wk no''s'!C:C,0)</f>
        <v>33</v>
      </c>
    </row>
    <row r="1710" spans="1:7" x14ac:dyDescent="0.3">
      <c r="A1710" t="s">
        <v>5695</v>
      </c>
      <c r="B1710" t="s">
        <v>5696</v>
      </c>
      <c r="C1710" t="s">
        <v>197</v>
      </c>
      <c r="D1710">
        <v>3</v>
      </c>
      <c r="E1710">
        <v>0</v>
      </c>
      <c r="F1710" s="1">
        <v>45881</v>
      </c>
      <c r="G1710">
        <f>_xlfn.XLOOKUP(F1710,'Wk no''s'!B:B,'Wk no''s'!C:C,0)</f>
        <v>33</v>
      </c>
    </row>
    <row r="1711" spans="1:7" x14ac:dyDescent="0.3">
      <c r="A1711" t="s">
        <v>5697</v>
      </c>
      <c r="B1711" t="s">
        <v>5698</v>
      </c>
      <c r="C1711" t="s">
        <v>4247</v>
      </c>
      <c r="D1711">
        <v>4</v>
      </c>
      <c r="E1711">
        <v>0</v>
      </c>
      <c r="F1711" s="1">
        <v>45881</v>
      </c>
      <c r="G1711">
        <f>_xlfn.XLOOKUP(F1711,'Wk no''s'!B:B,'Wk no''s'!C:C,0)</f>
        <v>33</v>
      </c>
    </row>
    <row r="1712" spans="1:7" x14ac:dyDescent="0.3">
      <c r="A1712" t="s">
        <v>5699</v>
      </c>
      <c r="B1712" t="s">
        <v>5700</v>
      </c>
      <c r="C1712" t="s">
        <v>1902</v>
      </c>
      <c r="D1712">
        <v>0</v>
      </c>
      <c r="E1712">
        <v>1</v>
      </c>
      <c r="F1712" s="1">
        <v>45881</v>
      </c>
      <c r="G1712">
        <f>_xlfn.XLOOKUP(F1712,'Wk no''s'!B:B,'Wk no''s'!C:C,0)</f>
        <v>33</v>
      </c>
    </row>
    <row r="1713" spans="1:7" x14ac:dyDescent="0.3">
      <c r="A1713" t="s">
        <v>5701</v>
      </c>
      <c r="B1713" t="s">
        <v>5702</v>
      </c>
      <c r="C1713" t="s">
        <v>3840</v>
      </c>
      <c r="D1713">
        <v>2</v>
      </c>
      <c r="E1713">
        <v>0</v>
      </c>
      <c r="F1713" s="1">
        <v>45881</v>
      </c>
      <c r="G1713">
        <f>_xlfn.XLOOKUP(F1713,'Wk no''s'!B:B,'Wk no''s'!C:C,0)</f>
        <v>33</v>
      </c>
    </row>
    <row r="1714" spans="1:7" x14ac:dyDescent="0.3">
      <c r="A1714" t="s">
        <v>5703</v>
      </c>
      <c r="B1714" t="s">
        <v>5704</v>
      </c>
      <c r="C1714" t="s">
        <v>5705</v>
      </c>
      <c r="D1714">
        <v>2</v>
      </c>
      <c r="E1714">
        <v>0</v>
      </c>
      <c r="F1714" s="1">
        <v>45881</v>
      </c>
      <c r="G1714">
        <f>_xlfn.XLOOKUP(F1714,'Wk no''s'!B:B,'Wk no''s'!C:C,0)</f>
        <v>33</v>
      </c>
    </row>
    <row r="1715" spans="1:7" x14ac:dyDescent="0.3">
      <c r="A1715" t="s">
        <v>5706</v>
      </c>
      <c r="B1715" t="s">
        <v>5707</v>
      </c>
      <c r="C1715" t="s">
        <v>2471</v>
      </c>
      <c r="D1715">
        <v>0</v>
      </c>
      <c r="E1715">
        <v>1</v>
      </c>
      <c r="F1715" s="1">
        <v>45882</v>
      </c>
      <c r="G1715">
        <f>_xlfn.XLOOKUP(F1715,'Wk no''s'!B:B,'Wk no''s'!C:C,0)</f>
        <v>33</v>
      </c>
    </row>
    <row r="1716" spans="1:7" x14ac:dyDescent="0.3">
      <c r="A1716" t="s">
        <v>5708</v>
      </c>
      <c r="B1716" t="s">
        <v>5709</v>
      </c>
      <c r="C1716" t="s">
        <v>5710</v>
      </c>
      <c r="D1716">
        <v>0</v>
      </c>
      <c r="E1716">
        <v>1</v>
      </c>
      <c r="F1716" s="1">
        <v>45882</v>
      </c>
      <c r="G1716">
        <f>_xlfn.XLOOKUP(F1716,'Wk no''s'!B:B,'Wk no''s'!C:C,0)</f>
        <v>33</v>
      </c>
    </row>
    <row r="1717" spans="1:7" x14ac:dyDescent="0.3">
      <c r="A1717" t="s">
        <v>5711</v>
      </c>
      <c r="B1717" t="s">
        <v>5712</v>
      </c>
      <c r="C1717" t="s">
        <v>1097</v>
      </c>
      <c r="D1717">
        <v>1</v>
      </c>
      <c r="E1717">
        <v>1</v>
      </c>
      <c r="F1717" s="1">
        <v>45882</v>
      </c>
      <c r="G1717">
        <f>_xlfn.XLOOKUP(F1717,'Wk no''s'!B:B,'Wk no''s'!C:C,0)</f>
        <v>33</v>
      </c>
    </row>
    <row r="1718" spans="1:7" x14ac:dyDescent="0.3">
      <c r="A1718" t="s">
        <v>5713</v>
      </c>
      <c r="B1718" t="s">
        <v>5714</v>
      </c>
      <c r="C1718" t="s">
        <v>5715</v>
      </c>
      <c r="D1718">
        <v>0</v>
      </c>
      <c r="E1718">
        <v>1</v>
      </c>
      <c r="F1718" s="1">
        <v>45882</v>
      </c>
      <c r="G1718">
        <f>_xlfn.XLOOKUP(F1718,'Wk no''s'!B:B,'Wk no''s'!C:C,0)</f>
        <v>33</v>
      </c>
    </row>
    <row r="1719" spans="1:7" x14ac:dyDescent="0.3">
      <c r="A1719" t="s">
        <v>5716</v>
      </c>
      <c r="B1719" t="s">
        <v>5717</v>
      </c>
      <c r="C1719" t="s">
        <v>5690</v>
      </c>
      <c r="D1719">
        <v>0</v>
      </c>
      <c r="E1719">
        <v>1</v>
      </c>
      <c r="F1719" s="1">
        <v>45882</v>
      </c>
      <c r="G1719">
        <f>_xlfn.XLOOKUP(F1719,'Wk no''s'!B:B,'Wk no''s'!C:C,0)</f>
        <v>33</v>
      </c>
    </row>
    <row r="1720" spans="1:7" x14ac:dyDescent="0.3">
      <c r="A1720" t="s">
        <v>5718</v>
      </c>
      <c r="B1720" t="s">
        <v>5719</v>
      </c>
      <c r="C1720" t="s">
        <v>5720</v>
      </c>
      <c r="D1720">
        <v>1</v>
      </c>
      <c r="E1720">
        <v>1</v>
      </c>
      <c r="F1720" s="1">
        <v>45882</v>
      </c>
      <c r="G1720">
        <f>_xlfn.XLOOKUP(F1720,'Wk no''s'!B:B,'Wk no''s'!C:C,0)</f>
        <v>33</v>
      </c>
    </row>
    <row r="1721" spans="1:7" x14ac:dyDescent="0.3">
      <c r="A1721" t="s">
        <v>5721</v>
      </c>
      <c r="B1721" t="s">
        <v>5722</v>
      </c>
      <c r="C1721" t="s">
        <v>1224</v>
      </c>
      <c r="D1721">
        <v>5</v>
      </c>
      <c r="E1721">
        <v>0</v>
      </c>
      <c r="F1721" s="1">
        <v>45882</v>
      </c>
      <c r="G1721">
        <f>_xlfn.XLOOKUP(F1721,'Wk no''s'!B:B,'Wk no''s'!C:C,0)</f>
        <v>33</v>
      </c>
    </row>
    <row r="1722" spans="1:7" x14ac:dyDescent="0.3">
      <c r="A1722" t="s">
        <v>5723</v>
      </c>
      <c r="B1722" t="s">
        <v>5724</v>
      </c>
      <c r="C1722" t="s">
        <v>432</v>
      </c>
      <c r="D1722">
        <v>1</v>
      </c>
      <c r="E1722">
        <v>1</v>
      </c>
      <c r="F1722" s="1">
        <v>45882</v>
      </c>
      <c r="G1722">
        <f>_xlfn.XLOOKUP(F1722,'Wk no''s'!B:B,'Wk no''s'!C:C,0)</f>
        <v>33</v>
      </c>
    </row>
    <row r="1723" spans="1:7" x14ac:dyDescent="0.3">
      <c r="A1723" t="s">
        <v>5725</v>
      </c>
      <c r="B1723" t="s">
        <v>5726</v>
      </c>
      <c r="C1723" t="s">
        <v>4244</v>
      </c>
      <c r="D1723">
        <v>4</v>
      </c>
      <c r="E1723">
        <v>0</v>
      </c>
      <c r="F1723" s="1">
        <v>45882</v>
      </c>
      <c r="G1723">
        <f>_xlfn.XLOOKUP(F1723,'Wk no''s'!B:B,'Wk no''s'!C:C,0)</f>
        <v>33</v>
      </c>
    </row>
    <row r="1724" spans="1:7" x14ac:dyDescent="0.3">
      <c r="A1724" t="s">
        <v>5727</v>
      </c>
      <c r="B1724" t="s">
        <v>5728</v>
      </c>
      <c r="C1724" t="s">
        <v>4244</v>
      </c>
      <c r="D1724">
        <v>4</v>
      </c>
      <c r="E1724">
        <v>0</v>
      </c>
      <c r="F1724" s="1">
        <v>45882</v>
      </c>
      <c r="G1724">
        <f>_xlfn.XLOOKUP(F1724,'Wk no''s'!B:B,'Wk no''s'!C:C,0)</f>
        <v>33</v>
      </c>
    </row>
    <row r="1725" spans="1:7" x14ac:dyDescent="0.3">
      <c r="A1725" t="s">
        <v>5729</v>
      </c>
      <c r="B1725" t="s">
        <v>5730</v>
      </c>
      <c r="C1725" t="s">
        <v>4244</v>
      </c>
      <c r="D1725">
        <v>4</v>
      </c>
      <c r="E1725">
        <v>0</v>
      </c>
      <c r="F1725" s="1">
        <v>45882</v>
      </c>
      <c r="G1725">
        <f>_xlfn.XLOOKUP(F1725,'Wk no''s'!B:B,'Wk no''s'!C:C,0)</f>
        <v>33</v>
      </c>
    </row>
    <row r="1726" spans="1:7" x14ac:dyDescent="0.3">
      <c r="A1726" t="s">
        <v>5731</v>
      </c>
      <c r="B1726" t="s">
        <v>5732</v>
      </c>
      <c r="C1726" t="s">
        <v>4244</v>
      </c>
      <c r="D1726">
        <v>4</v>
      </c>
      <c r="E1726">
        <v>0</v>
      </c>
      <c r="F1726" s="1">
        <v>45882</v>
      </c>
      <c r="G1726">
        <f>_xlfn.XLOOKUP(F1726,'Wk no''s'!B:B,'Wk no''s'!C:C,0)</f>
        <v>33</v>
      </c>
    </row>
    <row r="1727" spans="1:7" x14ac:dyDescent="0.3">
      <c r="A1727" t="s">
        <v>5733</v>
      </c>
      <c r="B1727" t="s">
        <v>5734</v>
      </c>
      <c r="C1727" t="s">
        <v>5735</v>
      </c>
      <c r="D1727">
        <v>0</v>
      </c>
      <c r="E1727">
        <v>1</v>
      </c>
      <c r="F1727" s="1">
        <v>45883</v>
      </c>
      <c r="G1727">
        <f>_xlfn.XLOOKUP(F1727,'Wk no''s'!B:B,'Wk no''s'!C:C,0)</f>
        <v>33</v>
      </c>
    </row>
    <row r="1728" spans="1:7" x14ac:dyDescent="0.3">
      <c r="A1728" t="s">
        <v>5736</v>
      </c>
      <c r="B1728" t="s">
        <v>5737</v>
      </c>
      <c r="C1728" t="s">
        <v>5738</v>
      </c>
      <c r="D1728">
        <v>0</v>
      </c>
      <c r="E1728">
        <v>1</v>
      </c>
      <c r="F1728" s="1">
        <v>45883</v>
      </c>
      <c r="G1728">
        <f>_xlfn.XLOOKUP(F1728,'Wk no''s'!B:B,'Wk no''s'!C:C,0)</f>
        <v>33</v>
      </c>
    </row>
    <row r="1729" spans="1:7" x14ac:dyDescent="0.3">
      <c r="A1729" t="s">
        <v>5739</v>
      </c>
      <c r="B1729" t="s">
        <v>5740</v>
      </c>
      <c r="C1729" t="s">
        <v>4244</v>
      </c>
      <c r="D1729">
        <v>1</v>
      </c>
      <c r="E1729">
        <v>1</v>
      </c>
      <c r="F1729" s="1">
        <v>45883</v>
      </c>
      <c r="G1729">
        <f>_xlfn.XLOOKUP(F1729,'Wk no''s'!B:B,'Wk no''s'!C:C,0)</f>
        <v>33</v>
      </c>
    </row>
    <row r="1730" spans="1:7" x14ac:dyDescent="0.3">
      <c r="A1730" t="s">
        <v>5741</v>
      </c>
      <c r="B1730" t="s">
        <v>5742</v>
      </c>
      <c r="C1730" t="s">
        <v>5743</v>
      </c>
      <c r="D1730">
        <v>0</v>
      </c>
      <c r="E1730">
        <v>1</v>
      </c>
      <c r="F1730" s="1">
        <v>45883</v>
      </c>
      <c r="G1730">
        <f>_xlfn.XLOOKUP(F1730,'Wk no''s'!B:B,'Wk no''s'!C:C,0)</f>
        <v>33</v>
      </c>
    </row>
    <row r="1731" spans="1:7" x14ac:dyDescent="0.3">
      <c r="A1731" t="s">
        <v>5744</v>
      </c>
      <c r="B1731" t="s">
        <v>5745</v>
      </c>
      <c r="C1731" t="s">
        <v>5746</v>
      </c>
      <c r="D1731">
        <v>0</v>
      </c>
      <c r="E1731">
        <v>1</v>
      </c>
      <c r="F1731" s="1">
        <v>45883</v>
      </c>
      <c r="G1731">
        <f>_xlfn.XLOOKUP(F1731,'Wk no''s'!B:B,'Wk no''s'!C:C,0)</f>
        <v>33</v>
      </c>
    </row>
    <row r="1732" spans="1:7" x14ac:dyDescent="0.3">
      <c r="A1732" t="s">
        <v>5747</v>
      </c>
      <c r="B1732" t="s">
        <v>5748</v>
      </c>
      <c r="C1732" t="s">
        <v>5749</v>
      </c>
      <c r="D1732">
        <v>2</v>
      </c>
      <c r="E1732">
        <v>0</v>
      </c>
      <c r="F1732" s="1">
        <v>45883</v>
      </c>
      <c r="G1732">
        <f>_xlfn.XLOOKUP(F1732,'Wk no''s'!B:B,'Wk no''s'!C:C,0)</f>
        <v>33</v>
      </c>
    </row>
    <row r="1733" spans="1:7" x14ac:dyDescent="0.3">
      <c r="A1733" t="s">
        <v>5750</v>
      </c>
      <c r="B1733" t="s">
        <v>5751</v>
      </c>
      <c r="C1733" t="s">
        <v>5130</v>
      </c>
      <c r="D1733">
        <v>9</v>
      </c>
      <c r="E1733">
        <v>0</v>
      </c>
      <c r="F1733" s="1">
        <v>45884</v>
      </c>
      <c r="G1733">
        <f>_xlfn.XLOOKUP(F1733,'Wk no''s'!B:B,'Wk no''s'!C:C,0)</f>
        <v>33</v>
      </c>
    </row>
    <row r="1734" spans="1:7" x14ac:dyDescent="0.3">
      <c r="A1734" t="s">
        <v>5752</v>
      </c>
      <c r="B1734" t="s">
        <v>5753</v>
      </c>
      <c r="C1734" t="s">
        <v>1544</v>
      </c>
      <c r="D1734">
        <v>4</v>
      </c>
      <c r="E1734">
        <v>0</v>
      </c>
      <c r="F1734" s="1">
        <v>45884</v>
      </c>
      <c r="G1734">
        <f>_xlfn.XLOOKUP(F1734,'Wk no''s'!B:B,'Wk no''s'!C:C,0)</f>
        <v>33</v>
      </c>
    </row>
    <row r="1735" spans="1:7" x14ac:dyDescent="0.3">
      <c r="A1735" t="s">
        <v>5754</v>
      </c>
      <c r="B1735" t="s">
        <v>5755</v>
      </c>
      <c r="C1735" t="s">
        <v>809</v>
      </c>
      <c r="D1735">
        <v>0</v>
      </c>
      <c r="E1735">
        <v>1</v>
      </c>
      <c r="F1735" s="1">
        <v>45884</v>
      </c>
      <c r="G1735">
        <f>_xlfn.XLOOKUP(F1735,'Wk no''s'!B:B,'Wk no''s'!C:C,0)</f>
        <v>33</v>
      </c>
    </row>
    <row r="1736" spans="1:7" x14ac:dyDescent="0.3">
      <c r="A1736" t="s">
        <v>5756</v>
      </c>
      <c r="B1736" t="s">
        <v>5757</v>
      </c>
      <c r="C1736" t="s">
        <v>5758</v>
      </c>
      <c r="D1736">
        <v>2</v>
      </c>
      <c r="E1736">
        <v>0</v>
      </c>
      <c r="F1736" s="1">
        <v>45884</v>
      </c>
      <c r="G1736">
        <f>_xlfn.XLOOKUP(F1736,'Wk no''s'!B:B,'Wk no''s'!C:C,0)</f>
        <v>33</v>
      </c>
    </row>
    <row r="1737" spans="1:7" x14ac:dyDescent="0.3">
      <c r="A1737" t="s">
        <v>5785</v>
      </c>
      <c r="B1737" t="s">
        <v>5786</v>
      </c>
      <c r="C1737" t="s">
        <v>31</v>
      </c>
      <c r="D1737">
        <v>0</v>
      </c>
      <c r="E1737">
        <v>1</v>
      </c>
      <c r="F1737" s="1">
        <v>45887</v>
      </c>
      <c r="G1737">
        <f>_xlfn.XLOOKUP(F1737,'Wk no''s'!B:B,'Wk no''s'!C:C,0)</f>
        <v>34</v>
      </c>
    </row>
    <row r="1738" spans="1:7" x14ac:dyDescent="0.3">
      <c r="A1738" t="s">
        <v>5787</v>
      </c>
      <c r="B1738" t="s">
        <v>5788</v>
      </c>
      <c r="C1738" t="s">
        <v>5789</v>
      </c>
      <c r="D1738">
        <v>0</v>
      </c>
      <c r="E1738">
        <v>1</v>
      </c>
      <c r="F1738" s="1">
        <v>45887</v>
      </c>
      <c r="G1738">
        <f>_xlfn.XLOOKUP(F1738,'Wk no''s'!B:B,'Wk no''s'!C:C,0)</f>
        <v>34</v>
      </c>
    </row>
    <row r="1739" spans="1:7" x14ac:dyDescent="0.3">
      <c r="A1739" t="s">
        <v>5790</v>
      </c>
      <c r="B1739" t="s">
        <v>5791</v>
      </c>
      <c r="C1739" t="s">
        <v>1544</v>
      </c>
      <c r="D1739">
        <v>6</v>
      </c>
      <c r="E1739">
        <v>0</v>
      </c>
      <c r="F1739" s="1">
        <v>45887</v>
      </c>
      <c r="G1739">
        <f>_xlfn.XLOOKUP(F1739,'Wk no''s'!B:B,'Wk no''s'!C:C,0)</f>
        <v>34</v>
      </c>
    </row>
    <row r="1740" spans="1:7" x14ac:dyDescent="0.3">
      <c r="A1740" t="s">
        <v>5792</v>
      </c>
      <c r="B1740" t="s">
        <v>5793</v>
      </c>
      <c r="C1740" t="s">
        <v>5794</v>
      </c>
      <c r="D1740">
        <v>0</v>
      </c>
      <c r="E1740">
        <v>1</v>
      </c>
      <c r="F1740" s="1">
        <v>45887</v>
      </c>
      <c r="G1740">
        <f>_xlfn.XLOOKUP(F1740,'Wk no''s'!B:B,'Wk no''s'!C:C,0)</f>
        <v>34</v>
      </c>
    </row>
    <row r="1741" spans="1:7" x14ac:dyDescent="0.3">
      <c r="A1741" t="s">
        <v>5795</v>
      </c>
      <c r="C1741" t="s">
        <v>1224</v>
      </c>
      <c r="D1741">
        <v>26</v>
      </c>
      <c r="E1741">
        <v>0</v>
      </c>
      <c r="F1741" s="1">
        <v>45887</v>
      </c>
      <c r="G1741">
        <f>_xlfn.XLOOKUP(F1741,'Wk no''s'!B:B,'Wk no''s'!C:C,0)</f>
        <v>34</v>
      </c>
    </row>
    <row r="1742" spans="1:7" x14ac:dyDescent="0.3">
      <c r="A1742" t="s">
        <v>5796</v>
      </c>
      <c r="B1742" t="s">
        <v>5797</v>
      </c>
      <c r="C1742" t="s">
        <v>1322</v>
      </c>
      <c r="D1742">
        <v>2</v>
      </c>
      <c r="E1742">
        <v>0</v>
      </c>
      <c r="F1742" s="1">
        <v>45887</v>
      </c>
      <c r="G1742">
        <f>_xlfn.XLOOKUP(F1742,'Wk no''s'!B:B,'Wk no''s'!C:C,0)</f>
        <v>34</v>
      </c>
    </row>
    <row r="1743" spans="1:7" x14ac:dyDescent="0.3">
      <c r="A1743" t="s">
        <v>5798</v>
      </c>
      <c r="B1743" t="s">
        <v>5799</v>
      </c>
      <c r="C1743" t="s">
        <v>75</v>
      </c>
      <c r="D1743">
        <v>1</v>
      </c>
      <c r="E1743">
        <v>1</v>
      </c>
      <c r="F1743" s="1">
        <v>45887</v>
      </c>
      <c r="G1743">
        <f>_xlfn.XLOOKUP(F1743,'Wk no''s'!B:B,'Wk no''s'!C:C,0)</f>
        <v>34</v>
      </c>
    </row>
    <row r="1744" spans="1:7" x14ac:dyDescent="0.3">
      <c r="A1744" t="s">
        <v>5800</v>
      </c>
      <c r="B1744" t="s">
        <v>5801</v>
      </c>
      <c r="C1744" t="s">
        <v>1685</v>
      </c>
      <c r="D1744">
        <v>1</v>
      </c>
      <c r="E1744">
        <v>1</v>
      </c>
      <c r="F1744" s="1">
        <v>45888</v>
      </c>
      <c r="G1744">
        <f>_xlfn.XLOOKUP(F1744,'Wk no''s'!B:B,'Wk no''s'!C:C,0)</f>
        <v>34</v>
      </c>
    </row>
    <row r="1745" spans="1:7" x14ac:dyDescent="0.3">
      <c r="A1745" t="s">
        <v>5802</v>
      </c>
      <c r="B1745" t="s">
        <v>5803</v>
      </c>
      <c r="C1745" t="s">
        <v>4085</v>
      </c>
      <c r="D1745">
        <v>0</v>
      </c>
      <c r="E1745">
        <v>1</v>
      </c>
      <c r="F1745" s="1">
        <v>45888</v>
      </c>
      <c r="G1745">
        <f>_xlfn.XLOOKUP(F1745,'Wk no''s'!B:B,'Wk no''s'!C:C,0)</f>
        <v>34</v>
      </c>
    </row>
    <row r="1746" spans="1:7" x14ac:dyDescent="0.3">
      <c r="A1746" t="s">
        <v>5804</v>
      </c>
      <c r="B1746" t="s">
        <v>5805</v>
      </c>
      <c r="C1746" t="s">
        <v>5806</v>
      </c>
      <c r="D1746">
        <v>2</v>
      </c>
      <c r="E1746">
        <v>0</v>
      </c>
      <c r="F1746" s="1">
        <v>45888</v>
      </c>
      <c r="G1746">
        <f>_xlfn.XLOOKUP(F1746,'Wk no''s'!B:B,'Wk no''s'!C:C,0)</f>
        <v>34</v>
      </c>
    </row>
    <row r="1747" spans="1:7" x14ac:dyDescent="0.3">
      <c r="A1747" t="s">
        <v>5807</v>
      </c>
      <c r="B1747" t="s">
        <v>5808</v>
      </c>
      <c r="C1747" t="s">
        <v>3669</v>
      </c>
      <c r="D1747">
        <v>1</v>
      </c>
      <c r="E1747">
        <v>1</v>
      </c>
      <c r="F1747" s="1">
        <v>45888</v>
      </c>
      <c r="G1747">
        <f>_xlfn.XLOOKUP(F1747,'Wk no''s'!B:B,'Wk no''s'!C:C,0)</f>
        <v>34</v>
      </c>
    </row>
    <row r="1748" spans="1:7" x14ac:dyDescent="0.3">
      <c r="A1748" t="s">
        <v>5809</v>
      </c>
      <c r="C1748" t="s">
        <v>3669</v>
      </c>
      <c r="D1748">
        <v>25</v>
      </c>
      <c r="E1748">
        <v>0</v>
      </c>
      <c r="F1748" s="1">
        <v>45888</v>
      </c>
      <c r="G1748">
        <f>_xlfn.XLOOKUP(F1748,'Wk no''s'!B:B,'Wk no''s'!C:C,0)</f>
        <v>34</v>
      </c>
    </row>
    <row r="1749" spans="1:7" x14ac:dyDescent="0.3">
      <c r="A1749" t="s">
        <v>5810</v>
      </c>
      <c r="B1749" t="s">
        <v>5811</v>
      </c>
      <c r="C1749" t="s">
        <v>407</v>
      </c>
      <c r="D1749">
        <v>0</v>
      </c>
      <c r="E1749">
        <v>1</v>
      </c>
      <c r="F1749" s="1">
        <v>45888</v>
      </c>
      <c r="G1749">
        <f>_xlfn.XLOOKUP(F1749,'Wk no''s'!B:B,'Wk no''s'!C:C,0)</f>
        <v>34</v>
      </c>
    </row>
    <row r="1750" spans="1:7" x14ac:dyDescent="0.3">
      <c r="A1750" t="s">
        <v>5812</v>
      </c>
      <c r="B1750" t="s">
        <v>5813</v>
      </c>
      <c r="C1750" t="s">
        <v>5814</v>
      </c>
      <c r="D1750">
        <v>14</v>
      </c>
      <c r="E1750">
        <v>0</v>
      </c>
      <c r="F1750" s="1">
        <v>45888</v>
      </c>
      <c r="G1750">
        <f>_xlfn.XLOOKUP(F1750,'Wk no''s'!B:B,'Wk no''s'!C:C,0)</f>
        <v>34</v>
      </c>
    </row>
    <row r="1751" spans="1:7" x14ac:dyDescent="0.3">
      <c r="A1751" t="s">
        <v>5815</v>
      </c>
      <c r="C1751" t="s">
        <v>5816</v>
      </c>
      <c r="D1751">
        <v>0</v>
      </c>
      <c r="E1751">
        <v>1</v>
      </c>
      <c r="F1751" s="1">
        <v>45888</v>
      </c>
      <c r="G1751">
        <f>_xlfn.XLOOKUP(F1751,'Wk no''s'!B:B,'Wk no''s'!C:C,0)</f>
        <v>34</v>
      </c>
    </row>
    <row r="1752" spans="1:7" x14ac:dyDescent="0.3">
      <c r="A1752" t="s">
        <v>5817</v>
      </c>
      <c r="B1752" t="s">
        <v>5818</v>
      </c>
      <c r="C1752" t="s">
        <v>5819</v>
      </c>
      <c r="D1752">
        <v>25</v>
      </c>
      <c r="E1752">
        <v>0</v>
      </c>
      <c r="F1752" s="1">
        <v>45888</v>
      </c>
      <c r="G1752">
        <f>_xlfn.XLOOKUP(F1752,'Wk no''s'!B:B,'Wk no''s'!C:C,0)</f>
        <v>34</v>
      </c>
    </row>
    <row r="1753" spans="1:7" x14ac:dyDescent="0.3">
      <c r="A1753" t="s">
        <v>5820</v>
      </c>
      <c r="B1753" t="s">
        <v>5821</v>
      </c>
      <c r="C1753" t="s">
        <v>5398</v>
      </c>
      <c r="D1753">
        <v>1</v>
      </c>
      <c r="E1753">
        <v>1</v>
      </c>
      <c r="F1753" s="1">
        <v>45888</v>
      </c>
      <c r="G1753">
        <f>_xlfn.XLOOKUP(F1753,'Wk no''s'!B:B,'Wk no''s'!C:C,0)</f>
        <v>34</v>
      </c>
    </row>
    <row r="1754" spans="1:7" x14ac:dyDescent="0.3">
      <c r="A1754" t="s">
        <v>5822</v>
      </c>
      <c r="B1754" t="s">
        <v>5823</v>
      </c>
      <c r="C1754" t="s">
        <v>75</v>
      </c>
      <c r="D1754">
        <v>3</v>
      </c>
      <c r="E1754">
        <v>0</v>
      </c>
      <c r="F1754" s="1">
        <v>45888</v>
      </c>
      <c r="G1754">
        <f>_xlfn.XLOOKUP(F1754,'Wk no''s'!B:B,'Wk no''s'!C:C,0)</f>
        <v>34</v>
      </c>
    </row>
    <row r="1755" spans="1:7" x14ac:dyDescent="0.3">
      <c r="A1755" t="s">
        <v>5824</v>
      </c>
      <c r="B1755" t="s">
        <v>5825</v>
      </c>
      <c r="C1755" t="s">
        <v>1685</v>
      </c>
      <c r="D1755">
        <v>1</v>
      </c>
      <c r="E1755">
        <v>1</v>
      </c>
      <c r="F1755" s="1">
        <v>45888</v>
      </c>
      <c r="G1755">
        <f>_xlfn.XLOOKUP(F1755,'Wk no''s'!B:B,'Wk no''s'!C:C,0)</f>
        <v>34</v>
      </c>
    </row>
    <row r="1756" spans="1:7" x14ac:dyDescent="0.3">
      <c r="A1756" t="s">
        <v>5826</v>
      </c>
      <c r="B1756" t="s">
        <v>5827</v>
      </c>
      <c r="C1756" t="s">
        <v>3672</v>
      </c>
      <c r="D1756">
        <v>0</v>
      </c>
      <c r="E1756">
        <v>1</v>
      </c>
      <c r="F1756" s="1">
        <v>45889</v>
      </c>
      <c r="G1756">
        <f>_xlfn.XLOOKUP(F1756,'Wk no''s'!B:B,'Wk no''s'!C:C,0)</f>
        <v>34</v>
      </c>
    </row>
    <row r="1757" spans="1:7" x14ac:dyDescent="0.3">
      <c r="A1757" t="s">
        <v>5828</v>
      </c>
      <c r="B1757" t="s">
        <v>5829</v>
      </c>
      <c r="C1757" t="s">
        <v>5830</v>
      </c>
      <c r="D1757">
        <v>2</v>
      </c>
      <c r="E1757">
        <v>0</v>
      </c>
      <c r="F1757" s="1">
        <v>45889</v>
      </c>
      <c r="G1757">
        <f>_xlfn.XLOOKUP(F1757,'Wk no''s'!B:B,'Wk no''s'!C:C,0)</f>
        <v>34</v>
      </c>
    </row>
    <row r="1758" spans="1:7" x14ac:dyDescent="0.3">
      <c r="A1758" t="s">
        <v>5831</v>
      </c>
      <c r="B1758" t="s">
        <v>5832</v>
      </c>
      <c r="C1758" t="s">
        <v>5398</v>
      </c>
      <c r="D1758">
        <v>1</v>
      </c>
      <c r="E1758">
        <v>1</v>
      </c>
      <c r="F1758" s="1">
        <v>45889</v>
      </c>
      <c r="G1758">
        <f>_xlfn.XLOOKUP(F1758,'Wk no''s'!B:B,'Wk no''s'!C:C,0)</f>
        <v>34</v>
      </c>
    </row>
    <row r="1759" spans="1:7" x14ac:dyDescent="0.3">
      <c r="A1759" t="s">
        <v>5833</v>
      </c>
      <c r="B1759" t="s">
        <v>5834</v>
      </c>
      <c r="C1759" t="s">
        <v>5398</v>
      </c>
      <c r="D1759">
        <v>1</v>
      </c>
      <c r="E1759">
        <v>1</v>
      </c>
      <c r="F1759" s="1">
        <v>45889</v>
      </c>
      <c r="G1759">
        <f>_xlfn.XLOOKUP(F1759,'Wk no''s'!B:B,'Wk no''s'!C:C,0)</f>
        <v>34</v>
      </c>
    </row>
    <row r="1760" spans="1:7" x14ac:dyDescent="0.3">
      <c r="A1760" t="s">
        <v>5835</v>
      </c>
      <c r="B1760" t="s">
        <v>5836</v>
      </c>
      <c r="C1760" t="s">
        <v>5398</v>
      </c>
      <c r="D1760">
        <v>1</v>
      </c>
      <c r="E1760">
        <v>1</v>
      </c>
      <c r="F1760" s="1">
        <v>45889</v>
      </c>
      <c r="G1760">
        <f>_xlfn.XLOOKUP(F1760,'Wk no''s'!B:B,'Wk no''s'!C:C,0)</f>
        <v>34</v>
      </c>
    </row>
    <row r="1761" spans="1:7" x14ac:dyDescent="0.3">
      <c r="A1761" t="s">
        <v>5837</v>
      </c>
      <c r="B1761" t="s">
        <v>5838</v>
      </c>
      <c r="C1761" t="s">
        <v>5398</v>
      </c>
      <c r="D1761">
        <v>1</v>
      </c>
      <c r="E1761">
        <v>1</v>
      </c>
      <c r="F1761" s="1">
        <v>45889</v>
      </c>
      <c r="G1761">
        <f>_xlfn.XLOOKUP(F1761,'Wk no''s'!B:B,'Wk no''s'!C:C,0)</f>
        <v>34</v>
      </c>
    </row>
    <row r="1762" spans="1:7" x14ac:dyDescent="0.3">
      <c r="A1762" t="s">
        <v>5839</v>
      </c>
      <c r="B1762" t="s">
        <v>5840</v>
      </c>
      <c r="C1762" t="s">
        <v>5738</v>
      </c>
      <c r="D1762">
        <v>8</v>
      </c>
      <c r="E1762">
        <v>0</v>
      </c>
      <c r="F1762" s="1">
        <v>45889</v>
      </c>
      <c r="G1762">
        <f>_xlfn.XLOOKUP(F1762,'Wk no''s'!B:B,'Wk no''s'!C:C,0)</f>
        <v>34</v>
      </c>
    </row>
    <row r="1763" spans="1:7" x14ac:dyDescent="0.3">
      <c r="A1763" t="s">
        <v>5841</v>
      </c>
      <c r="B1763" t="s">
        <v>5842</v>
      </c>
      <c r="C1763" t="s">
        <v>1343</v>
      </c>
      <c r="D1763">
        <v>0</v>
      </c>
      <c r="E1763">
        <v>1</v>
      </c>
      <c r="F1763" s="1">
        <v>45889</v>
      </c>
      <c r="G1763">
        <f>_xlfn.XLOOKUP(F1763,'Wk no''s'!B:B,'Wk no''s'!C:C,0)</f>
        <v>34</v>
      </c>
    </row>
    <row r="1764" spans="1:7" x14ac:dyDescent="0.3">
      <c r="A1764" t="s">
        <v>5843</v>
      </c>
      <c r="B1764" t="s">
        <v>5844</v>
      </c>
      <c r="C1764" t="s">
        <v>5845</v>
      </c>
      <c r="D1764">
        <v>4</v>
      </c>
      <c r="E1764">
        <v>0</v>
      </c>
      <c r="F1764" s="1">
        <v>45889</v>
      </c>
      <c r="G1764">
        <f>_xlfn.XLOOKUP(F1764,'Wk no''s'!B:B,'Wk no''s'!C:C,0)</f>
        <v>34</v>
      </c>
    </row>
    <row r="1765" spans="1:7" x14ac:dyDescent="0.3">
      <c r="A1765" t="s">
        <v>5846</v>
      </c>
      <c r="B1765" t="s">
        <v>5847</v>
      </c>
      <c r="C1765" t="s">
        <v>197</v>
      </c>
      <c r="D1765">
        <v>1</v>
      </c>
      <c r="E1765">
        <v>1</v>
      </c>
      <c r="F1765" s="1">
        <v>45889</v>
      </c>
      <c r="G1765">
        <f>_xlfn.XLOOKUP(F1765,'Wk no''s'!B:B,'Wk no''s'!C:C,0)</f>
        <v>34</v>
      </c>
    </row>
    <row r="1766" spans="1:7" x14ac:dyDescent="0.3">
      <c r="A1766" t="s">
        <v>5848</v>
      </c>
      <c r="B1766" t="s">
        <v>5849</v>
      </c>
      <c r="C1766" t="s">
        <v>809</v>
      </c>
      <c r="D1766">
        <v>1</v>
      </c>
      <c r="E1766">
        <v>1</v>
      </c>
      <c r="F1766" s="1">
        <v>45889</v>
      </c>
      <c r="G1766">
        <f>_xlfn.XLOOKUP(F1766,'Wk no''s'!B:B,'Wk no''s'!C:C,0)</f>
        <v>34</v>
      </c>
    </row>
    <row r="1767" spans="1:7" x14ac:dyDescent="0.3">
      <c r="A1767" t="s">
        <v>5850</v>
      </c>
      <c r="B1767" t="s">
        <v>5851</v>
      </c>
      <c r="C1767" t="s">
        <v>3552</v>
      </c>
      <c r="D1767">
        <v>3</v>
      </c>
      <c r="E1767">
        <v>0</v>
      </c>
      <c r="F1767" s="1">
        <v>45890</v>
      </c>
      <c r="G1767">
        <f>_xlfn.XLOOKUP(F1767,'Wk no''s'!B:B,'Wk no''s'!C:C,0)</f>
        <v>34</v>
      </c>
    </row>
    <row r="1768" spans="1:7" x14ac:dyDescent="0.3">
      <c r="A1768" t="s">
        <v>5852</v>
      </c>
      <c r="B1768" t="s">
        <v>5853</v>
      </c>
      <c r="C1768" t="s">
        <v>15</v>
      </c>
      <c r="D1768">
        <v>0</v>
      </c>
      <c r="E1768">
        <v>1</v>
      </c>
      <c r="F1768" s="1">
        <v>45890</v>
      </c>
      <c r="G1768">
        <f>_xlfn.XLOOKUP(F1768,'Wk no''s'!B:B,'Wk no''s'!C:C,0)</f>
        <v>34</v>
      </c>
    </row>
    <row r="1769" spans="1:7" x14ac:dyDescent="0.3">
      <c r="A1769" t="s">
        <v>5854</v>
      </c>
      <c r="B1769" t="s">
        <v>5855</v>
      </c>
      <c r="C1769" t="s">
        <v>566</v>
      </c>
      <c r="D1769">
        <v>6</v>
      </c>
      <c r="E1769">
        <v>0</v>
      </c>
      <c r="F1769" s="1">
        <v>45890</v>
      </c>
      <c r="G1769">
        <f>_xlfn.XLOOKUP(F1769,'Wk no''s'!B:B,'Wk no''s'!C:C,0)</f>
        <v>34</v>
      </c>
    </row>
    <row r="1770" spans="1:7" x14ac:dyDescent="0.3">
      <c r="A1770" t="s">
        <v>5856</v>
      </c>
      <c r="B1770" t="s">
        <v>5857</v>
      </c>
      <c r="C1770" t="s">
        <v>5858</v>
      </c>
      <c r="D1770">
        <v>0</v>
      </c>
      <c r="E1770">
        <v>1</v>
      </c>
      <c r="F1770" s="1">
        <v>45890</v>
      </c>
      <c r="G1770">
        <f>_xlfn.XLOOKUP(F1770,'Wk no''s'!B:B,'Wk no''s'!C:C,0)</f>
        <v>34</v>
      </c>
    </row>
    <row r="1771" spans="1:7" x14ac:dyDescent="0.3">
      <c r="A1771" t="s">
        <v>5859</v>
      </c>
      <c r="B1771" t="s">
        <v>5860</v>
      </c>
      <c r="C1771" t="s">
        <v>5363</v>
      </c>
      <c r="D1771">
        <v>7</v>
      </c>
      <c r="E1771">
        <v>0</v>
      </c>
      <c r="F1771" s="1">
        <v>45890</v>
      </c>
      <c r="G1771">
        <f>_xlfn.XLOOKUP(F1771,'Wk no''s'!B:B,'Wk no''s'!C:C,0)</f>
        <v>34</v>
      </c>
    </row>
    <row r="1772" spans="1:7" x14ac:dyDescent="0.3">
      <c r="A1772" t="s">
        <v>5861</v>
      </c>
      <c r="B1772" t="s">
        <v>5862</v>
      </c>
      <c r="C1772" t="s">
        <v>5863</v>
      </c>
      <c r="D1772">
        <v>0</v>
      </c>
      <c r="E1772">
        <v>1</v>
      </c>
      <c r="F1772" s="1">
        <v>45890</v>
      </c>
      <c r="G1772">
        <f>_xlfn.XLOOKUP(F1772,'Wk no''s'!B:B,'Wk no''s'!C:C,0)</f>
        <v>34</v>
      </c>
    </row>
    <row r="1773" spans="1:7" x14ac:dyDescent="0.3">
      <c r="A1773" t="s">
        <v>5864</v>
      </c>
      <c r="B1773" t="s">
        <v>5865</v>
      </c>
      <c r="C1773" t="s">
        <v>1343</v>
      </c>
      <c r="D1773">
        <v>7</v>
      </c>
      <c r="E1773">
        <v>0</v>
      </c>
      <c r="F1773" s="1">
        <v>45890</v>
      </c>
      <c r="G1773">
        <f>_xlfn.XLOOKUP(F1773,'Wk no''s'!B:B,'Wk no''s'!C:C,0)</f>
        <v>34</v>
      </c>
    </row>
    <row r="1774" spans="1:7" x14ac:dyDescent="0.3">
      <c r="A1774" t="s">
        <v>5866</v>
      </c>
      <c r="B1774" t="s">
        <v>5867</v>
      </c>
      <c r="C1774" t="s">
        <v>5868</v>
      </c>
      <c r="D1774">
        <v>7</v>
      </c>
      <c r="E1774">
        <v>0</v>
      </c>
      <c r="F1774" s="1">
        <v>45890</v>
      </c>
      <c r="G1774">
        <f>_xlfn.XLOOKUP(F1774,'Wk no''s'!B:B,'Wk no''s'!C:C,0)</f>
        <v>34</v>
      </c>
    </row>
    <row r="1775" spans="1:7" x14ac:dyDescent="0.3">
      <c r="A1775" t="s">
        <v>5869</v>
      </c>
      <c r="B1775" t="s">
        <v>5870</v>
      </c>
      <c r="C1775" t="s">
        <v>1544</v>
      </c>
      <c r="D1775">
        <v>2</v>
      </c>
      <c r="E1775">
        <v>0</v>
      </c>
      <c r="F1775" s="1">
        <v>45891</v>
      </c>
      <c r="G1775">
        <f>_xlfn.XLOOKUP(F1775,'Wk no''s'!B:B,'Wk no''s'!C:C,0)</f>
        <v>34</v>
      </c>
    </row>
    <row r="1776" spans="1:7" x14ac:dyDescent="0.3">
      <c r="A1776" t="s">
        <v>5871</v>
      </c>
      <c r="B1776" t="s">
        <v>5872</v>
      </c>
      <c r="C1776" t="s">
        <v>3300</v>
      </c>
      <c r="D1776">
        <v>0</v>
      </c>
      <c r="E1776">
        <v>1</v>
      </c>
      <c r="F1776" s="1">
        <v>45891</v>
      </c>
      <c r="G1776">
        <f>_xlfn.XLOOKUP(F1776,'Wk no''s'!B:B,'Wk no''s'!C:C,0)</f>
        <v>34</v>
      </c>
    </row>
    <row r="1777" spans="1:7" x14ac:dyDescent="0.3">
      <c r="A1777" t="s">
        <v>5873</v>
      </c>
      <c r="B1777" t="s">
        <v>5874</v>
      </c>
      <c r="C1777" t="s">
        <v>2204</v>
      </c>
      <c r="D1777">
        <v>2</v>
      </c>
      <c r="E1777">
        <v>0</v>
      </c>
      <c r="F1777" s="1">
        <v>45891</v>
      </c>
      <c r="G1777">
        <f>_xlfn.XLOOKUP(F1777,'Wk no''s'!B:B,'Wk no''s'!C:C,0)</f>
        <v>34</v>
      </c>
    </row>
    <row r="1778" spans="1:7" x14ac:dyDescent="0.3">
      <c r="A1778" t="s">
        <v>5875</v>
      </c>
      <c r="B1778" t="s">
        <v>5876</v>
      </c>
      <c r="C1778" t="s">
        <v>5877</v>
      </c>
      <c r="D1778">
        <v>0</v>
      </c>
      <c r="E1778">
        <v>1</v>
      </c>
      <c r="F1778" s="1">
        <v>45891</v>
      </c>
      <c r="G1778">
        <f>_xlfn.XLOOKUP(F1778,'Wk no''s'!B:B,'Wk no''s'!C:C,0)</f>
        <v>34</v>
      </c>
    </row>
    <row r="1779" spans="1:7" x14ac:dyDescent="0.3">
      <c r="A1779" t="s">
        <v>5878</v>
      </c>
      <c r="B1779" t="s">
        <v>5879</v>
      </c>
      <c r="C1779" t="s">
        <v>1194</v>
      </c>
      <c r="D1779">
        <v>0</v>
      </c>
      <c r="E1779">
        <v>1</v>
      </c>
      <c r="F1779" s="1">
        <v>45891</v>
      </c>
      <c r="G1779">
        <f>_xlfn.XLOOKUP(F1779,'Wk no''s'!B:B,'Wk no''s'!C:C,0)</f>
        <v>34</v>
      </c>
    </row>
    <row r="1780" spans="1:7" x14ac:dyDescent="0.3">
      <c r="A1780" t="s">
        <v>5880</v>
      </c>
      <c r="B1780" t="s">
        <v>5881</v>
      </c>
      <c r="C1780" t="s">
        <v>5882</v>
      </c>
      <c r="D1780">
        <v>2</v>
      </c>
      <c r="E1780">
        <v>0</v>
      </c>
      <c r="F1780" s="1">
        <v>45891</v>
      </c>
      <c r="G1780">
        <f>_xlfn.XLOOKUP(F1780,'Wk no''s'!B:B,'Wk no''s'!C:C,0)</f>
        <v>34</v>
      </c>
    </row>
    <row r="1781" spans="1:7" x14ac:dyDescent="0.3">
      <c r="A1781" t="s">
        <v>5883</v>
      </c>
      <c r="B1781" t="s">
        <v>5884</v>
      </c>
      <c r="C1781" t="s">
        <v>1194</v>
      </c>
      <c r="D1781">
        <v>4</v>
      </c>
      <c r="E1781">
        <v>0</v>
      </c>
      <c r="F1781" s="1">
        <v>45891</v>
      </c>
      <c r="G1781">
        <f>_xlfn.XLOOKUP(F1781,'Wk no''s'!B:B,'Wk no''s'!C:C,0)</f>
        <v>34</v>
      </c>
    </row>
    <row r="1782" spans="1:7" x14ac:dyDescent="0.3">
      <c r="A1782" t="s">
        <v>5885</v>
      </c>
      <c r="B1782" t="s">
        <v>5886</v>
      </c>
      <c r="C1782" t="s">
        <v>5887</v>
      </c>
      <c r="D1782">
        <v>0</v>
      </c>
      <c r="E1782">
        <v>1</v>
      </c>
      <c r="F1782" s="1">
        <v>45891</v>
      </c>
      <c r="G1782">
        <f>_xlfn.XLOOKUP(F1782,'Wk no''s'!B:B,'Wk no''s'!C:C,0)</f>
        <v>34</v>
      </c>
    </row>
    <row r="1783" spans="1:7" x14ac:dyDescent="0.3">
      <c r="A1783" t="s">
        <v>5888</v>
      </c>
      <c r="B1783" t="s">
        <v>5889</v>
      </c>
      <c r="C1783" t="s">
        <v>5890</v>
      </c>
      <c r="D1783">
        <v>2</v>
      </c>
      <c r="E1783">
        <v>0</v>
      </c>
      <c r="F1783" s="1">
        <v>45891</v>
      </c>
      <c r="G1783">
        <f>_xlfn.XLOOKUP(F1783,'Wk no''s'!B:B,'Wk no''s'!C:C,0)</f>
        <v>34</v>
      </c>
    </row>
    <row r="1784" spans="1:7" x14ac:dyDescent="0.3">
      <c r="A1784" t="s">
        <v>5913</v>
      </c>
      <c r="B1784" t="s">
        <v>5914</v>
      </c>
      <c r="C1784" t="s">
        <v>5915</v>
      </c>
      <c r="D1784">
        <v>4</v>
      </c>
      <c r="E1784">
        <v>0</v>
      </c>
      <c r="F1784" s="1">
        <v>45895</v>
      </c>
      <c r="G1784">
        <f>_xlfn.XLOOKUP(F1784,'Wk no''s'!B:B,'Wk no''s'!C:C,0)</f>
        <v>35</v>
      </c>
    </row>
    <row r="1785" spans="1:7" x14ac:dyDescent="0.3">
      <c r="A1785" t="s">
        <v>5916</v>
      </c>
      <c r="B1785" t="s">
        <v>5917</v>
      </c>
      <c r="C1785" t="s">
        <v>5918</v>
      </c>
      <c r="D1785">
        <v>0</v>
      </c>
      <c r="E1785">
        <v>1</v>
      </c>
      <c r="F1785" s="1">
        <v>45895</v>
      </c>
      <c r="G1785">
        <f>_xlfn.XLOOKUP(F1785,'Wk no''s'!B:B,'Wk no''s'!C:C,0)</f>
        <v>35</v>
      </c>
    </row>
    <row r="1786" spans="1:7" x14ac:dyDescent="0.3">
      <c r="A1786" t="s">
        <v>5919</v>
      </c>
      <c r="B1786" t="s">
        <v>5920</v>
      </c>
      <c r="C1786" t="s">
        <v>5921</v>
      </c>
      <c r="D1786">
        <v>4</v>
      </c>
      <c r="E1786">
        <v>0</v>
      </c>
      <c r="F1786" s="1">
        <v>45895</v>
      </c>
      <c r="G1786">
        <f>_xlfn.XLOOKUP(F1786,'Wk no''s'!B:B,'Wk no''s'!C:C,0)</f>
        <v>35</v>
      </c>
    </row>
    <row r="1787" spans="1:7" x14ac:dyDescent="0.3">
      <c r="A1787" t="s">
        <v>5922</v>
      </c>
      <c r="B1787" t="s">
        <v>5923</v>
      </c>
      <c r="C1787" t="s">
        <v>5924</v>
      </c>
      <c r="D1787">
        <v>0</v>
      </c>
      <c r="E1787">
        <v>1</v>
      </c>
      <c r="F1787" s="1">
        <v>45895</v>
      </c>
      <c r="G1787">
        <f>_xlfn.XLOOKUP(F1787,'Wk no''s'!B:B,'Wk no''s'!C:C,0)</f>
        <v>35</v>
      </c>
    </row>
    <row r="1788" spans="1:7" x14ac:dyDescent="0.3">
      <c r="A1788" t="s">
        <v>5925</v>
      </c>
      <c r="B1788" t="s">
        <v>5926</v>
      </c>
      <c r="C1788" t="s">
        <v>5927</v>
      </c>
      <c r="D1788">
        <v>4</v>
      </c>
      <c r="E1788">
        <v>0</v>
      </c>
      <c r="F1788" s="1">
        <v>45895</v>
      </c>
      <c r="G1788">
        <f>_xlfn.XLOOKUP(F1788,'Wk no''s'!B:B,'Wk no''s'!C:C,0)</f>
        <v>35</v>
      </c>
    </row>
    <row r="1789" spans="1:7" x14ac:dyDescent="0.3">
      <c r="A1789" t="s">
        <v>5928</v>
      </c>
      <c r="B1789" t="s">
        <v>5929</v>
      </c>
      <c r="C1789" t="s">
        <v>4458</v>
      </c>
      <c r="D1789">
        <v>0</v>
      </c>
      <c r="E1789">
        <v>1</v>
      </c>
      <c r="F1789" s="1">
        <v>45895</v>
      </c>
      <c r="G1789">
        <f>_xlfn.XLOOKUP(F1789,'Wk no''s'!B:B,'Wk no''s'!C:C,0)</f>
        <v>35</v>
      </c>
    </row>
    <row r="1790" spans="1:7" x14ac:dyDescent="0.3">
      <c r="A1790" t="s">
        <v>5930</v>
      </c>
      <c r="B1790" t="s">
        <v>5931</v>
      </c>
      <c r="C1790" t="s">
        <v>4461</v>
      </c>
      <c r="D1790">
        <v>0</v>
      </c>
      <c r="E1790">
        <v>1</v>
      </c>
      <c r="F1790" s="1">
        <v>45895</v>
      </c>
      <c r="G1790">
        <f>_xlfn.XLOOKUP(F1790,'Wk no''s'!B:B,'Wk no''s'!C:C,0)</f>
        <v>35</v>
      </c>
    </row>
    <row r="1791" spans="1:7" x14ac:dyDescent="0.3">
      <c r="A1791" t="s">
        <v>5932</v>
      </c>
      <c r="B1791" t="s">
        <v>5933</v>
      </c>
      <c r="C1791" t="s">
        <v>2066</v>
      </c>
      <c r="D1791">
        <v>1</v>
      </c>
      <c r="E1791">
        <v>1</v>
      </c>
      <c r="F1791" s="1">
        <v>45895</v>
      </c>
      <c r="G1791">
        <f>_xlfn.XLOOKUP(F1791,'Wk no''s'!B:B,'Wk no''s'!C:C,0)</f>
        <v>35</v>
      </c>
    </row>
    <row r="1792" spans="1:7" x14ac:dyDescent="0.3">
      <c r="A1792" t="s">
        <v>5934</v>
      </c>
      <c r="B1792" t="s">
        <v>5935</v>
      </c>
      <c r="C1792" t="s">
        <v>4461</v>
      </c>
      <c r="D1792">
        <v>0</v>
      </c>
      <c r="E1792">
        <v>1</v>
      </c>
      <c r="F1792" s="1">
        <v>45895</v>
      </c>
      <c r="G1792">
        <f>_xlfn.XLOOKUP(F1792,'Wk no''s'!B:B,'Wk no''s'!C:C,0)</f>
        <v>35</v>
      </c>
    </row>
    <row r="1793" spans="1:7" x14ac:dyDescent="0.3">
      <c r="A1793" t="s">
        <v>5936</v>
      </c>
      <c r="B1793" t="s">
        <v>5937</v>
      </c>
      <c r="C1793" t="s">
        <v>75</v>
      </c>
      <c r="D1793">
        <v>2</v>
      </c>
      <c r="E1793">
        <v>0</v>
      </c>
      <c r="F1793" s="1">
        <v>45895</v>
      </c>
      <c r="G1793">
        <f>_xlfn.XLOOKUP(F1793,'Wk no''s'!B:B,'Wk no''s'!C:C,0)</f>
        <v>35</v>
      </c>
    </row>
    <row r="1794" spans="1:7" x14ac:dyDescent="0.3">
      <c r="A1794" t="s">
        <v>5938</v>
      </c>
      <c r="B1794" t="s">
        <v>5939</v>
      </c>
      <c r="C1794" t="s">
        <v>5940</v>
      </c>
      <c r="D1794">
        <v>0</v>
      </c>
      <c r="E1794">
        <v>1</v>
      </c>
      <c r="F1794" s="1">
        <v>45896</v>
      </c>
      <c r="G1794">
        <f>_xlfn.XLOOKUP(F1794,'Wk no''s'!B:B,'Wk no''s'!C:C,0)</f>
        <v>35</v>
      </c>
    </row>
    <row r="1795" spans="1:7" x14ac:dyDescent="0.3">
      <c r="A1795" t="s">
        <v>5941</v>
      </c>
      <c r="B1795" t="s">
        <v>5942</v>
      </c>
      <c r="C1795" t="s">
        <v>4258</v>
      </c>
      <c r="D1795">
        <v>0</v>
      </c>
      <c r="E1795">
        <v>1</v>
      </c>
      <c r="F1795" s="1">
        <v>45896</v>
      </c>
      <c r="G1795">
        <f>_xlfn.XLOOKUP(F1795,'Wk no''s'!B:B,'Wk no''s'!C:C,0)</f>
        <v>35</v>
      </c>
    </row>
    <row r="1796" spans="1:7" x14ac:dyDescent="0.3">
      <c r="A1796" t="s">
        <v>5943</v>
      </c>
      <c r="B1796" t="s">
        <v>5944</v>
      </c>
      <c r="C1796" t="s">
        <v>3981</v>
      </c>
      <c r="D1796">
        <v>1</v>
      </c>
      <c r="E1796">
        <v>1</v>
      </c>
      <c r="F1796" s="1">
        <v>45896</v>
      </c>
      <c r="G1796">
        <f>_xlfn.XLOOKUP(F1796,'Wk no''s'!B:B,'Wk no''s'!C:C,0)</f>
        <v>35</v>
      </c>
    </row>
    <row r="1797" spans="1:7" x14ac:dyDescent="0.3">
      <c r="A1797" t="s">
        <v>5945</v>
      </c>
      <c r="B1797" t="s">
        <v>5946</v>
      </c>
      <c r="C1797" t="s">
        <v>4739</v>
      </c>
      <c r="D1797">
        <v>3</v>
      </c>
      <c r="E1797">
        <v>0</v>
      </c>
      <c r="F1797" s="1">
        <v>45896</v>
      </c>
      <c r="G1797">
        <f>_xlfn.XLOOKUP(F1797,'Wk no''s'!B:B,'Wk no''s'!C:C,0)</f>
        <v>35</v>
      </c>
    </row>
    <row r="1798" spans="1:7" x14ac:dyDescent="0.3">
      <c r="A1798" t="s">
        <v>5947</v>
      </c>
      <c r="B1798" t="s">
        <v>5948</v>
      </c>
      <c r="C1798" t="s">
        <v>3177</v>
      </c>
      <c r="D1798">
        <v>0</v>
      </c>
      <c r="E1798">
        <v>1</v>
      </c>
      <c r="F1798" s="1">
        <v>45896</v>
      </c>
      <c r="G1798">
        <f>_xlfn.XLOOKUP(F1798,'Wk no''s'!B:B,'Wk no''s'!C:C,0)</f>
        <v>35</v>
      </c>
    </row>
    <row r="1799" spans="1:7" x14ac:dyDescent="0.3">
      <c r="A1799" t="s">
        <v>5949</v>
      </c>
      <c r="B1799" t="s">
        <v>5950</v>
      </c>
      <c r="C1799" t="s">
        <v>5951</v>
      </c>
      <c r="D1799">
        <v>1</v>
      </c>
      <c r="E1799">
        <v>1</v>
      </c>
      <c r="F1799" s="1">
        <v>45896</v>
      </c>
      <c r="G1799">
        <f>_xlfn.XLOOKUP(F1799,'Wk no''s'!B:B,'Wk no''s'!C:C,0)</f>
        <v>35</v>
      </c>
    </row>
    <row r="1800" spans="1:7" x14ac:dyDescent="0.3">
      <c r="A1800" t="s">
        <v>5952</v>
      </c>
      <c r="C1800" t="s">
        <v>75</v>
      </c>
      <c r="D1800">
        <v>1</v>
      </c>
      <c r="E1800">
        <v>1</v>
      </c>
      <c r="F1800" s="1">
        <v>45896</v>
      </c>
      <c r="G1800">
        <f>_xlfn.XLOOKUP(F1800,'Wk no''s'!B:B,'Wk no''s'!C:C,0)</f>
        <v>35</v>
      </c>
    </row>
    <row r="1801" spans="1:7" x14ac:dyDescent="0.3">
      <c r="A1801" t="s">
        <v>5953</v>
      </c>
      <c r="B1801" t="s">
        <v>5954</v>
      </c>
      <c r="C1801" t="s">
        <v>5955</v>
      </c>
      <c r="D1801">
        <v>2</v>
      </c>
      <c r="E1801">
        <v>0</v>
      </c>
      <c r="F1801" s="1">
        <v>45897</v>
      </c>
      <c r="G1801">
        <f>_xlfn.XLOOKUP(F1801,'Wk no''s'!B:B,'Wk no''s'!C:C,0)</f>
        <v>35</v>
      </c>
    </row>
    <row r="1802" spans="1:7" x14ac:dyDescent="0.3">
      <c r="A1802" t="s">
        <v>5956</v>
      </c>
      <c r="B1802" t="s">
        <v>5957</v>
      </c>
      <c r="C1802" t="s">
        <v>1544</v>
      </c>
      <c r="D1802">
        <v>0</v>
      </c>
      <c r="E1802">
        <v>1</v>
      </c>
      <c r="F1802" s="1">
        <v>45897</v>
      </c>
      <c r="G1802">
        <f>_xlfn.XLOOKUP(F1802,'Wk no''s'!B:B,'Wk no''s'!C:C,0)</f>
        <v>35</v>
      </c>
    </row>
    <row r="1803" spans="1:7" x14ac:dyDescent="0.3">
      <c r="A1803" t="s">
        <v>5958</v>
      </c>
      <c r="B1803" t="s">
        <v>5959</v>
      </c>
      <c r="C1803" t="s">
        <v>5960</v>
      </c>
      <c r="D1803">
        <v>1</v>
      </c>
      <c r="E1803">
        <v>1</v>
      </c>
      <c r="F1803" s="1">
        <v>45897</v>
      </c>
      <c r="G1803">
        <f>_xlfn.XLOOKUP(F1803,'Wk no''s'!B:B,'Wk no''s'!C:C,0)</f>
        <v>35</v>
      </c>
    </row>
    <row r="1804" spans="1:7" x14ac:dyDescent="0.3">
      <c r="A1804" t="s">
        <v>5961</v>
      </c>
      <c r="B1804" t="s">
        <v>5962</v>
      </c>
      <c r="C1804" t="s">
        <v>3791</v>
      </c>
      <c r="D1804">
        <v>0</v>
      </c>
      <c r="E1804">
        <v>1</v>
      </c>
      <c r="F1804" s="1">
        <v>45897</v>
      </c>
      <c r="G1804">
        <f>_xlfn.XLOOKUP(F1804,'Wk no''s'!B:B,'Wk no''s'!C:C,0)</f>
        <v>35</v>
      </c>
    </row>
    <row r="1805" spans="1:7" x14ac:dyDescent="0.3">
      <c r="A1805" t="s">
        <v>5963</v>
      </c>
      <c r="B1805" t="s">
        <v>5964</v>
      </c>
      <c r="C1805" t="s">
        <v>2159</v>
      </c>
      <c r="D1805">
        <v>2</v>
      </c>
      <c r="E1805">
        <v>0</v>
      </c>
      <c r="F1805" s="1">
        <v>45897</v>
      </c>
      <c r="G1805">
        <f>_xlfn.XLOOKUP(F1805,'Wk no''s'!B:B,'Wk no''s'!C:C,0)</f>
        <v>35</v>
      </c>
    </row>
    <row r="1806" spans="1:7" x14ac:dyDescent="0.3">
      <c r="A1806" t="s">
        <v>5965</v>
      </c>
      <c r="B1806" t="s">
        <v>5966</v>
      </c>
      <c r="C1806" t="s">
        <v>4244</v>
      </c>
      <c r="D1806">
        <v>0</v>
      </c>
      <c r="E1806">
        <v>1</v>
      </c>
      <c r="F1806" s="1">
        <v>45897</v>
      </c>
      <c r="G1806">
        <f>_xlfn.XLOOKUP(F1806,'Wk no''s'!B:B,'Wk no''s'!C:C,0)</f>
        <v>35</v>
      </c>
    </row>
    <row r="1807" spans="1:7" x14ac:dyDescent="0.3">
      <c r="A1807" t="s">
        <v>5967</v>
      </c>
      <c r="B1807" t="s">
        <v>5968</v>
      </c>
      <c r="C1807" t="s">
        <v>386</v>
      </c>
      <c r="D1807">
        <v>0</v>
      </c>
      <c r="E1807">
        <v>1</v>
      </c>
      <c r="F1807" s="1">
        <v>45897</v>
      </c>
      <c r="G1807">
        <f>_xlfn.XLOOKUP(F1807,'Wk no''s'!B:B,'Wk no''s'!C:C,0)</f>
        <v>35</v>
      </c>
    </row>
    <row r="1808" spans="1:7" x14ac:dyDescent="0.3">
      <c r="A1808" t="s">
        <v>5969</v>
      </c>
      <c r="B1808" t="s">
        <v>5970</v>
      </c>
      <c r="C1808" t="s">
        <v>5971</v>
      </c>
      <c r="D1808">
        <v>18</v>
      </c>
      <c r="E1808">
        <v>0</v>
      </c>
      <c r="F1808" s="1">
        <v>45897</v>
      </c>
      <c r="G1808">
        <f>_xlfn.XLOOKUP(F1808,'Wk no''s'!B:B,'Wk no''s'!C:C,0)</f>
        <v>35</v>
      </c>
    </row>
    <row r="1809" spans="1:7" x14ac:dyDescent="0.3">
      <c r="A1809" t="s">
        <v>5972</v>
      </c>
      <c r="B1809" t="s">
        <v>5973</v>
      </c>
      <c r="C1809" t="s">
        <v>5078</v>
      </c>
      <c r="D1809">
        <v>0</v>
      </c>
      <c r="E1809">
        <v>1</v>
      </c>
      <c r="F1809" s="1">
        <v>45897</v>
      </c>
      <c r="G1809">
        <f>_xlfn.XLOOKUP(F1809,'Wk no''s'!B:B,'Wk no''s'!C:C,0)</f>
        <v>35</v>
      </c>
    </row>
    <row r="1810" spans="1:7" x14ac:dyDescent="0.3">
      <c r="A1810" t="s">
        <v>5974</v>
      </c>
      <c r="B1810" t="s">
        <v>5975</v>
      </c>
      <c r="C1810" t="s">
        <v>2368</v>
      </c>
      <c r="D1810">
        <v>0</v>
      </c>
      <c r="E1810">
        <v>1</v>
      </c>
      <c r="F1810" s="1">
        <v>45897</v>
      </c>
      <c r="G1810">
        <f>_xlfn.XLOOKUP(F1810,'Wk no''s'!B:B,'Wk no''s'!C:C,0)</f>
        <v>35</v>
      </c>
    </row>
    <row r="1811" spans="1:7" x14ac:dyDescent="0.3">
      <c r="A1811" t="s">
        <v>5976</v>
      </c>
      <c r="B1811" t="s">
        <v>5977</v>
      </c>
      <c r="C1811" t="s">
        <v>5978</v>
      </c>
      <c r="D1811">
        <v>2</v>
      </c>
      <c r="E1811">
        <v>0</v>
      </c>
      <c r="F1811" s="1">
        <v>45897</v>
      </c>
      <c r="G1811">
        <f>_xlfn.XLOOKUP(F1811,'Wk no''s'!B:B,'Wk no''s'!C:C,0)</f>
        <v>35</v>
      </c>
    </row>
    <row r="1812" spans="1:7" x14ac:dyDescent="0.3">
      <c r="A1812" t="s">
        <v>5979</v>
      </c>
      <c r="B1812" t="s">
        <v>5980</v>
      </c>
      <c r="C1812" t="s">
        <v>5981</v>
      </c>
      <c r="D1812">
        <v>18</v>
      </c>
      <c r="E1812">
        <v>0</v>
      </c>
      <c r="F1812" s="1">
        <v>45897</v>
      </c>
      <c r="G1812">
        <f>_xlfn.XLOOKUP(F1812,'Wk no''s'!B:B,'Wk no''s'!C:C,0)</f>
        <v>35</v>
      </c>
    </row>
    <row r="1813" spans="1:7" x14ac:dyDescent="0.3">
      <c r="A1813" t="s">
        <v>5982</v>
      </c>
      <c r="B1813" t="s">
        <v>5983</v>
      </c>
      <c r="C1813" t="s">
        <v>5705</v>
      </c>
      <c r="D1813">
        <v>1</v>
      </c>
      <c r="E1813">
        <v>1</v>
      </c>
      <c r="F1813" s="1">
        <v>45898</v>
      </c>
      <c r="G1813">
        <f>_xlfn.XLOOKUP(F1813,'Wk no''s'!B:B,'Wk no''s'!C:C,0)</f>
        <v>35</v>
      </c>
    </row>
    <row r="1814" spans="1:7" x14ac:dyDescent="0.3">
      <c r="A1814" t="s">
        <v>5984</v>
      </c>
      <c r="B1814" t="s">
        <v>5985</v>
      </c>
      <c r="C1814" t="s">
        <v>3922</v>
      </c>
      <c r="D1814">
        <v>7</v>
      </c>
      <c r="E1814">
        <v>0</v>
      </c>
      <c r="F1814" s="1">
        <v>45898</v>
      </c>
      <c r="G1814">
        <f>_xlfn.XLOOKUP(F1814,'Wk no''s'!B:B,'Wk no''s'!C:C,0)</f>
        <v>35</v>
      </c>
    </row>
    <row r="1815" spans="1:7" x14ac:dyDescent="0.3">
      <c r="A1815" t="s">
        <v>5986</v>
      </c>
      <c r="B1815" t="s">
        <v>5987</v>
      </c>
      <c r="C1815" t="s">
        <v>1251</v>
      </c>
      <c r="D1815">
        <v>0</v>
      </c>
      <c r="E1815">
        <v>1</v>
      </c>
      <c r="F1815" s="1">
        <v>45898</v>
      </c>
      <c r="G1815">
        <f>_xlfn.XLOOKUP(F1815,'Wk no''s'!B:B,'Wk no''s'!C:C,0)</f>
        <v>35</v>
      </c>
    </row>
    <row r="1816" spans="1:7" x14ac:dyDescent="0.3">
      <c r="A1816" t="s">
        <v>5988</v>
      </c>
      <c r="B1816" t="s">
        <v>5989</v>
      </c>
      <c r="C1816" t="s">
        <v>1224</v>
      </c>
      <c r="D1816">
        <v>1</v>
      </c>
      <c r="E1816">
        <v>1</v>
      </c>
      <c r="F1816" s="1">
        <v>45898</v>
      </c>
      <c r="G1816">
        <f>_xlfn.XLOOKUP(F1816,'Wk no''s'!B:B,'Wk no''s'!C:C,0)</f>
        <v>35</v>
      </c>
    </row>
    <row r="1817" spans="1:7" x14ac:dyDescent="0.3">
      <c r="A1817" t="s">
        <v>5990</v>
      </c>
      <c r="B1817" t="s">
        <v>5991</v>
      </c>
      <c r="C1817" t="s">
        <v>1224</v>
      </c>
      <c r="D1817">
        <v>1</v>
      </c>
      <c r="E1817">
        <v>1</v>
      </c>
      <c r="F1817" s="1">
        <v>45898</v>
      </c>
      <c r="G1817">
        <f>_xlfn.XLOOKUP(F1817,'Wk no''s'!B:B,'Wk no''s'!C:C,0)</f>
        <v>35</v>
      </c>
    </row>
    <row r="1818" spans="1:7" x14ac:dyDescent="0.3">
      <c r="A1818" t="s">
        <v>5992</v>
      </c>
      <c r="B1818" t="s">
        <v>5993</v>
      </c>
      <c r="C1818" t="s">
        <v>2159</v>
      </c>
      <c r="D1818">
        <v>1</v>
      </c>
      <c r="E1818">
        <v>1</v>
      </c>
      <c r="F1818" s="1">
        <v>45898</v>
      </c>
      <c r="G1818">
        <f>_xlfn.XLOOKUP(F1818,'Wk no''s'!B:B,'Wk no''s'!C:C,0)</f>
        <v>35</v>
      </c>
    </row>
    <row r="1819" spans="1:7" x14ac:dyDescent="0.3">
      <c r="A1819" t="s">
        <v>5994</v>
      </c>
      <c r="B1819" t="s">
        <v>5995</v>
      </c>
      <c r="C1819" t="s">
        <v>3310</v>
      </c>
      <c r="D1819">
        <v>1</v>
      </c>
      <c r="E1819">
        <v>1</v>
      </c>
      <c r="F1819" s="1">
        <v>45898</v>
      </c>
      <c r="G1819">
        <f>_xlfn.XLOOKUP(F1819,'Wk no''s'!B:B,'Wk no''s'!C:C,0)</f>
        <v>35</v>
      </c>
    </row>
    <row r="1820" spans="1:7" x14ac:dyDescent="0.3">
      <c r="A1820" t="s">
        <v>6027</v>
      </c>
      <c r="B1820" t="s">
        <v>6028</v>
      </c>
      <c r="C1820" t="s">
        <v>5955</v>
      </c>
      <c r="D1820">
        <v>0</v>
      </c>
      <c r="E1820">
        <v>1</v>
      </c>
      <c r="F1820" s="1">
        <v>45901</v>
      </c>
      <c r="G1820">
        <f>_xlfn.XLOOKUP(F1820,'Wk no''s'!B:B,'Wk no''s'!C:C,0)</f>
        <v>36</v>
      </c>
    </row>
    <row r="1821" spans="1:7" x14ac:dyDescent="0.3">
      <c r="A1821" t="s">
        <v>6029</v>
      </c>
      <c r="B1821" t="s">
        <v>6030</v>
      </c>
      <c r="C1821" t="s">
        <v>1544</v>
      </c>
      <c r="D1821">
        <v>0</v>
      </c>
      <c r="E1821">
        <v>1</v>
      </c>
      <c r="F1821" s="1">
        <v>45901</v>
      </c>
      <c r="G1821">
        <f>_xlfn.XLOOKUP(F1821,'Wk no''s'!B:B,'Wk no''s'!C:C,0)</f>
        <v>36</v>
      </c>
    </row>
    <row r="1822" spans="1:7" x14ac:dyDescent="0.3">
      <c r="A1822" t="s">
        <v>6031</v>
      </c>
      <c r="B1822" t="s">
        <v>6032</v>
      </c>
      <c r="C1822" t="s">
        <v>1194</v>
      </c>
      <c r="D1822">
        <v>0</v>
      </c>
      <c r="E1822">
        <v>1</v>
      </c>
      <c r="F1822" s="1">
        <v>45901</v>
      </c>
      <c r="G1822">
        <f>_xlfn.XLOOKUP(F1822,'Wk no''s'!B:B,'Wk no''s'!C:C,0)</f>
        <v>36</v>
      </c>
    </row>
    <row r="1823" spans="1:7" x14ac:dyDescent="0.3">
      <c r="A1823" t="s">
        <v>6033</v>
      </c>
      <c r="B1823" t="s">
        <v>6034</v>
      </c>
      <c r="C1823" t="s">
        <v>28</v>
      </c>
      <c r="D1823">
        <v>0</v>
      </c>
      <c r="E1823">
        <v>1</v>
      </c>
      <c r="F1823" s="1">
        <v>45901</v>
      </c>
      <c r="G1823">
        <f>_xlfn.XLOOKUP(F1823,'Wk no''s'!B:B,'Wk no''s'!C:C,0)</f>
        <v>36</v>
      </c>
    </row>
    <row r="1824" spans="1:7" x14ac:dyDescent="0.3">
      <c r="A1824" t="s">
        <v>6035</v>
      </c>
      <c r="B1824" t="s">
        <v>6036</v>
      </c>
      <c r="C1824" t="s">
        <v>6037</v>
      </c>
      <c r="D1824">
        <v>0</v>
      </c>
      <c r="E1824">
        <v>1</v>
      </c>
      <c r="F1824" s="1">
        <v>45901</v>
      </c>
      <c r="G1824">
        <f>_xlfn.XLOOKUP(F1824,'Wk no''s'!B:B,'Wk no''s'!C:C,0)</f>
        <v>36</v>
      </c>
    </row>
    <row r="1825" spans="1:7" x14ac:dyDescent="0.3">
      <c r="A1825" t="s">
        <v>6038</v>
      </c>
      <c r="B1825" t="s">
        <v>6039</v>
      </c>
      <c r="C1825" t="s">
        <v>3612</v>
      </c>
      <c r="D1825">
        <v>0</v>
      </c>
      <c r="E1825">
        <v>1</v>
      </c>
      <c r="F1825" s="1">
        <v>45901</v>
      </c>
      <c r="G1825">
        <f>_xlfn.XLOOKUP(F1825,'Wk no''s'!B:B,'Wk no''s'!C:C,0)</f>
        <v>36</v>
      </c>
    </row>
    <row r="1826" spans="1:7" x14ac:dyDescent="0.3">
      <c r="A1826" t="s">
        <v>6040</v>
      </c>
      <c r="B1826" t="s">
        <v>6041</v>
      </c>
      <c r="C1826" t="s">
        <v>3832</v>
      </c>
      <c r="D1826">
        <v>0</v>
      </c>
      <c r="E1826">
        <v>1</v>
      </c>
      <c r="F1826" s="1">
        <v>45902</v>
      </c>
      <c r="G1826">
        <f>_xlfn.XLOOKUP(F1826,'Wk no''s'!B:B,'Wk no''s'!C:C,0)</f>
        <v>36</v>
      </c>
    </row>
    <row r="1827" spans="1:7" x14ac:dyDescent="0.3">
      <c r="A1827" t="s">
        <v>6042</v>
      </c>
      <c r="B1827" t="s">
        <v>6043</v>
      </c>
      <c r="C1827" t="s">
        <v>39</v>
      </c>
      <c r="D1827">
        <v>0</v>
      </c>
      <c r="E1827">
        <v>1</v>
      </c>
      <c r="F1827" s="1">
        <v>45902</v>
      </c>
      <c r="G1827">
        <f>_xlfn.XLOOKUP(F1827,'Wk no''s'!B:B,'Wk no''s'!C:C,0)</f>
        <v>36</v>
      </c>
    </row>
    <row r="1828" spans="1:7" x14ac:dyDescent="0.3">
      <c r="A1828" t="s">
        <v>6044</v>
      </c>
      <c r="B1828" t="s">
        <v>6045</v>
      </c>
      <c r="C1828" t="s">
        <v>1544</v>
      </c>
      <c r="D1828">
        <v>0</v>
      </c>
      <c r="E1828">
        <v>1</v>
      </c>
      <c r="F1828" s="1">
        <v>45902</v>
      </c>
      <c r="G1828">
        <f>_xlfn.XLOOKUP(F1828,'Wk no''s'!B:B,'Wk no''s'!C:C,0)</f>
        <v>36</v>
      </c>
    </row>
    <row r="1829" spans="1:7" x14ac:dyDescent="0.3">
      <c r="A1829" t="s">
        <v>6046</v>
      </c>
      <c r="B1829" t="s">
        <v>6047</v>
      </c>
      <c r="C1829" t="s">
        <v>197</v>
      </c>
      <c r="D1829">
        <v>0</v>
      </c>
      <c r="E1829">
        <v>1</v>
      </c>
      <c r="F1829" s="1">
        <v>45902</v>
      </c>
      <c r="G1829">
        <f>_xlfn.XLOOKUP(F1829,'Wk no''s'!B:B,'Wk no''s'!C:C,0)</f>
        <v>36</v>
      </c>
    </row>
    <row r="1830" spans="1:7" x14ac:dyDescent="0.3">
      <c r="A1830" t="s">
        <v>6048</v>
      </c>
      <c r="B1830" t="s">
        <v>6049</v>
      </c>
      <c r="C1830" t="s">
        <v>1544</v>
      </c>
      <c r="D1830">
        <v>0</v>
      </c>
      <c r="E1830">
        <v>1</v>
      </c>
      <c r="F1830" s="1">
        <v>45902</v>
      </c>
      <c r="G1830">
        <f>_xlfn.XLOOKUP(F1830,'Wk no''s'!B:B,'Wk no''s'!C:C,0)</f>
        <v>36</v>
      </c>
    </row>
    <row r="1831" spans="1:7" x14ac:dyDescent="0.3">
      <c r="A1831" t="s">
        <v>6050</v>
      </c>
      <c r="C1831" t="s">
        <v>6051</v>
      </c>
      <c r="D1831">
        <v>0</v>
      </c>
      <c r="E1831">
        <v>1</v>
      </c>
      <c r="F1831" s="1">
        <v>45902</v>
      </c>
      <c r="G1831">
        <f>_xlfn.XLOOKUP(F1831,'Wk no''s'!B:B,'Wk no''s'!C:C,0)</f>
        <v>36</v>
      </c>
    </row>
    <row r="1832" spans="1:7" x14ac:dyDescent="0.3">
      <c r="A1832" t="s">
        <v>6052</v>
      </c>
      <c r="B1832" t="s">
        <v>6053</v>
      </c>
      <c r="C1832" t="s">
        <v>6054</v>
      </c>
      <c r="D1832">
        <v>0</v>
      </c>
      <c r="E1832">
        <v>1</v>
      </c>
      <c r="F1832" s="1">
        <v>45903</v>
      </c>
      <c r="G1832">
        <f>_xlfn.XLOOKUP(F1832,'Wk no''s'!B:B,'Wk no''s'!C:C,0)</f>
        <v>36</v>
      </c>
    </row>
    <row r="1833" spans="1:7" x14ac:dyDescent="0.3">
      <c r="A1833" t="s">
        <v>6055</v>
      </c>
      <c r="B1833" t="s">
        <v>6056</v>
      </c>
      <c r="C1833" t="s">
        <v>550</v>
      </c>
      <c r="D1833">
        <v>0</v>
      </c>
      <c r="E1833">
        <v>1</v>
      </c>
      <c r="F1833" s="1">
        <v>45903</v>
      </c>
      <c r="G1833">
        <f>_xlfn.XLOOKUP(F1833,'Wk no''s'!B:B,'Wk no''s'!C:C,0)</f>
        <v>36</v>
      </c>
    </row>
    <row r="1834" spans="1:7" x14ac:dyDescent="0.3">
      <c r="A1834" t="s">
        <v>6057</v>
      </c>
      <c r="B1834" t="s">
        <v>6058</v>
      </c>
      <c r="C1834" t="s">
        <v>550</v>
      </c>
      <c r="D1834">
        <v>0</v>
      </c>
      <c r="E1834">
        <v>1</v>
      </c>
      <c r="F1834" s="1">
        <v>45903</v>
      </c>
      <c r="G1834">
        <f>_xlfn.XLOOKUP(F1834,'Wk no''s'!B:B,'Wk no''s'!C:C,0)</f>
        <v>36</v>
      </c>
    </row>
    <row r="1835" spans="1:7" x14ac:dyDescent="0.3">
      <c r="A1835" t="s">
        <v>6059</v>
      </c>
      <c r="B1835" t="s">
        <v>3831</v>
      </c>
      <c r="C1835" t="s">
        <v>3832</v>
      </c>
      <c r="D1835">
        <v>0</v>
      </c>
      <c r="E1835">
        <v>1</v>
      </c>
      <c r="F1835" s="1">
        <v>45903</v>
      </c>
      <c r="G1835">
        <f>_xlfn.XLOOKUP(F1835,'Wk no''s'!B:B,'Wk no''s'!C:C,0)</f>
        <v>36</v>
      </c>
    </row>
    <row r="1836" spans="1:7" x14ac:dyDescent="0.3">
      <c r="A1836" t="s">
        <v>6060</v>
      </c>
      <c r="B1836" t="s">
        <v>6061</v>
      </c>
      <c r="C1836" t="s">
        <v>6062</v>
      </c>
      <c r="D1836">
        <v>16</v>
      </c>
      <c r="E1836">
        <v>0</v>
      </c>
      <c r="F1836" s="1">
        <v>45903</v>
      </c>
      <c r="G1836">
        <f>_xlfn.XLOOKUP(F1836,'Wk no''s'!B:B,'Wk no''s'!C:C,0)</f>
        <v>36</v>
      </c>
    </row>
    <row r="1837" spans="1:7" x14ac:dyDescent="0.3">
      <c r="A1837" t="s">
        <v>6063</v>
      </c>
      <c r="B1837" t="s">
        <v>6064</v>
      </c>
      <c r="C1837" t="s">
        <v>6065</v>
      </c>
      <c r="D1837">
        <v>0</v>
      </c>
      <c r="E1837">
        <v>1</v>
      </c>
      <c r="F1837" s="1">
        <v>45903</v>
      </c>
      <c r="G1837">
        <f>_xlfn.XLOOKUP(F1837,'Wk no''s'!B:B,'Wk no''s'!C:C,0)</f>
        <v>36</v>
      </c>
    </row>
    <row r="1838" spans="1:7" x14ac:dyDescent="0.3">
      <c r="A1838" t="s">
        <v>6066</v>
      </c>
      <c r="B1838" t="s">
        <v>6067</v>
      </c>
      <c r="C1838" t="s">
        <v>5603</v>
      </c>
      <c r="D1838">
        <v>11</v>
      </c>
      <c r="E1838">
        <v>0</v>
      </c>
      <c r="F1838" s="1">
        <v>45903</v>
      </c>
      <c r="G1838">
        <f>_xlfn.XLOOKUP(F1838,'Wk no''s'!B:B,'Wk no''s'!C:C,0)</f>
        <v>36</v>
      </c>
    </row>
    <row r="1839" spans="1:7" x14ac:dyDescent="0.3">
      <c r="A1839" t="s">
        <v>6068</v>
      </c>
      <c r="B1839" t="s">
        <v>6069</v>
      </c>
      <c r="C1839" t="s">
        <v>1544</v>
      </c>
      <c r="D1839">
        <v>0</v>
      </c>
      <c r="E1839">
        <v>1</v>
      </c>
      <c r="F1839" s="1">
        <v>45903</v>
      </c>
      <c r="G1839">
        <f>_xlfn.XLOOKUP(F1839,'Wk no''s'!B:B,'Wk no''s'!C:C,0)</f>
        <v>36</v>
      </c>
    </row>
    <row r="1840" spans="1:7" x14ac:dyDescent="0.3">
      <c r="A1840" t="s">
        <v>6070</v>
      </c>
      <c r="B1840" t="s">
        <v>6071</v>
      </c>
      <c r="C1840" t="s">
        <v>6072</v>
      </c>
      <c r="D1840">
        <v>6</v>
      </c>
      <c r="E1840">
        <v>0</v>
      </c>
      <c r="F1840" s="1">
        <v>45903</v>
      </c>
      <c r="G1840">
        <f>_xlfn.XLOOKUP(F1840,'Wk no''s'!B:B,'Wk no''s'!C:C,0)</f>
        <v>36</v>
      </c>
    </row>
    <row r="1841" spans="1:7" x14ac:dyDescent="0.3">
      <c r="A1841" t="s">
        <v>6073</v>
      </c>
      <c r="B1841" t="s">
        <v>6074</v>
      </c>
      <c r="C1841" t="s">
        <v>6075</v>
      </c>
      <c r="D1841">
        <v>0</v>
      </c>
      <c r="E1841">
        <v>1</v>
      </c>
      <c r="F1841" s="1">
        <v>45903</v>
      </c>
      <c r="G1841">
        <f>_xlfn.XLOOKUP(F1841,'Wk no''s'!B:B,'Wk no''s'!C:C,0)</f>
        <v>36</v>
      </c>
    </row>
    <row r="1842" spans="1:7" x14ac:dyDescent="0.3">
      <c r="A1842" t="s">
        <v>6076</v>
      </c>
      <c r="B1842" t="s">
        <v>6077</v>
      </c>
      <c r="C1842" t="s">
        <v>39</v>
      </c>
      <c r="D1842">
        <v>0</v>
      </c>
      <c r="E1842">
        <v>1</v>
      </c>
      <c r="F1842" s="1">
        <v>45903</v>
      </c>
      <c r="G1842">
        <f>_xlfn.XLOOKUP(F1842,'Wk no''s'!B:B,'Wk no''s'!C:C,0)</f>
        <v>36</v>
      </c>
    </row>
    <row r="1843" spans="1:7" x14ac:dyDescent="0.3">
      <c r="A1843" t="s">
        <v>6078</v>
      </c>
      <c r="B1843" t="s">
        <v>6079</v>
      </c>
      <c r="C1843" t="s">
        <v>6080</v>
      </c>
      <c r="D1843">
        <v>3</v>
      </c>
      <c r="E1843">
        <v>0</v>
      </c>
      <c r="F1843" s="1">
        <v>45903</v>
      </c>
      <c r="G1843">
        <f>_xlfn.XLOOKUP(F1843,'Wk no''s'!B:B,'Wk no''s'!C:C,0)</f>
        <v>36</v>
      </c>
    </row>
    <row r="1844" spans="1:7" x14ac:dyDescent="0.3">
      <c r="A1844" t="s">
        <v>6081</v>
      </c>
      <c r="B1844" t="s">
        <v>6082</v>
      </c>
      <c r="C1844" t="s">
        <v>6083</v>
      </c>
      <c r="D1844">
        <v>0</v>
      </c>
      <c r="E1844">
        <v>1</v>
      </c>
      <c r="F1844" s="1">
        <v>45903</v>
      </c>
      <c r="G1844">
        <f>_xlfn.XLOOKUP(F1844,'Wk no''s'!B:B,'Wk no''s'!C:C,0)</f>
        <v>36</v>
      </c>
    </row>
    <row r="1845" spans="1:7" x14ac:dyDescent="0.3">
      <c r="A1845" t="s">
        <v>6084</v>
      </c>
      <c r="B1845" t="s">
        <v>6085</v>
      </c>
      <c r="C1845" t="s">
        <v>6086</v>
      </c>
      <c r="D1845">
        <v>0</v>
      </c>
      <c r="E1845">
        <v>1</v>
      </c>
      <c r="F1845" s="1">
        <v>45903</v>
      </c>
      <c r="G1845">
        <f>_xlfn.XLOOKUP(F1845,'Wk no''s'!B:B,'Wk no''s'!C:C,0)</f>
        <v>36</v>
      </c>
    </row>
    <row r="1846" spans="1:7" x14ac:dyDescent="0.3">
      <c r="A1846" t="s">
        <v>6087</v>
      </c>
      <c r="B1846" t="s">
        <v>6088</v>
      </c>
      <c r="C1846" t="s">
        <v>5432</v>
      </c>
      <c r="D1846">
        <v>16</v>
      </c>
      <c r="E1846">
        <v>0</v>
      </c>
      <c r="F1846" s="1">
        <v>45904</v>
      </c>
      <c r="G1846">
        <f>_xlfn.XLOOKUP(F1846,'Wk no''s'!B:B,'Wk no''s'!C:C,0)</f>
        <v>36</v>
      </c>
    </row>
    <row r="1847" spans="1:7" x14ac:dyDescent="0.3">
      <c r="A1847" t="s">
        <v>6089</v>
      </c>
      <c r="B1847" t="s">
        <v>6090</v>
      </c>
      <c r="C1847" t="s">
        <v>6091</v>
      </c>
      <c r="D1847">
        <v>0</v>
      </c>
      <c r="E1847">
        <v>1</v>
      </c>
      <c r="F1847" s="1">
        <v>45904</v>
      </c>
      <c r="G1847">
        <f>_xlfn.XLOOKUP(F1847,'Wk no''s'!B:B,'Wk no''s'!C:C,0)</f>
        <v>36</v>
      </c>
    </row>
    <row r="1848" spans="1:7" x14ac:dyDescent="0.3">
      <c r="A1848" t="s">
        <v>6092</v>
      </c>
      <c r="B1848" t="s">
        <v>6093</v>
      </c>
      <c r="C1848" t="s">
        <v>1685</v>
      </c>
      <c r="D1848">
        <v>0</v>
      </c>
      <c r="E1848">
        <v>1</v>
      </c>
      <c r="F1848" s="1">
        <v>45904</v>
      </c>
      <c r="G1848">
        <f>_xlfn.XLOOKUP(F1848,'Wk no''s'!B:B,'Wk no''s'!C:C,0)</f>
        <v>36</v>
      </c>
    </row>
    <row r="1849" spans="1:7" x14ac:dyDescent="0.3">
      <c r="A1849" t="s">
        <v>6094</v>
      </c>
      <c r="B1849" t="s">
        <v>6095</v>
      </c>
      <c r="C1849" t="s">
        <v>4621</v>
      </c>
      <c r="D1849">
        <v>0</v>
      </c>
      <c r="E1849">
        <v>1</v>
      </c>
      <c r="F1849" s="1">
        <v>45904</v>
      </c>
      <c r="G1849">
        <f>_xlfn.XLOOKUP(F1849,'Wk no''s'!B:B,'Wk no''s'!C:C,0)</f>
        <v>36</v>
      </c>
    </row>
    <row r="1850" spans="1:7" x14ac:dyDescent="0.3">
      <c r="A1850" t="s">
        <v>6096</v>
      </c>
      <c r="B1850" t="s">
        <v>6097</v>
      </c>
      <c r="C1850" t="s">
        <v>6098</v>
      </c>
      <c r="D1850">
        <v>0</v>
      </c>
      <c r="E1850">
        <v>1</v>
      </c>
      <c r="F1850" s="1">
        <v>45904</v>
      </c>
      <c r="G1850">
        <f>_xlfn.XLOOKUP(F1850,'Wk no''s'!B:B,'Wk no''s'!C:C,0)</f>
        <v>36</v>
      </c>
    </row>
    <row r="1851" spans="1:7" x14ac:dyDescent="0.3">
      <c r="A1851" t="s">
        <v>6099</v>
      </c>
      <c r="B1851" t="s">
        <v>6100</v>
      </c>
      <c r="C1851" t="s">
        <v>6101</v>
      </c>
      <c r="D1851">
        <v>0</v>
      </c>
      <c r="E1851">
        <v>1</v>
      </c>
      <c r="F1851" s="1">
        <v>45904</v>
      </c>
      <c r="G1851">
        <f>_xlfn.XLOOKUP(F1851,'Wk no''s'!B:B,'Wk no''s'!C:C,0)</f>
        <v>36</v>
      </c>
    </row>
    <row r="1852" spans="1:7" x14ac:dyDescent="0.3">
      <c r="A1852" t="s">
        <v>6102</v>
      </c>
      <c r="B1852" t="s">
        <v>6103</v>
      </c>
      <c r="C1852" t="s">
        <v>3644</v>
      </c>
      <c r="D1852">
        <v>0</v>
      </c>
      <c r="E1852">
        <v>1</v>
      </c>
      <c r="F1852" s="1">
        <v>45904</v>
      </c>
      <c r="G1852">
        <f>_xlfn.XLOOKUP(F1852,'Wk no''s'!B:B,'Wk no''s'!C:C,0)</f>
        <v>36</v>
      </c>
    </row>
    <row r="1853" spans="1:7" x14ac:dyDescent="0.3">
      <c r="A1853" t="s">
        <v>6104</v>
      </c>
      <c r="B1853" t="s">
        <v>6105</v>
      </c>
      <c r="C1853" t="s">
        <v>6072</v>
      </c>
      <c r="D1853">
        <v>5</v>
      </c>
      <c r="E1853">
        <v>0</v>
      </c>
      <c r="F1853" s="1">
        <v>45905</v>
      </c>
      <c r="G1853">
        <f>_xlfn.XLOOKUP(F1853,'Wk no''s'!B:B,'Wk no''s'!C:C,0)</f>
        <v>36</v>
      </c>
    </row>
    <row r="1854" spans="1:7" x14ac:dyDescent="0.3">
      <c r="A1854" t="s">
        <v>6106</v>
      </c>
      <c r="B1854" t="s">
        <v>6107</v>
      </c>
      <c r="C1854" t="s">
        <v>143</v>
      </c>
      <c r="D1854">
        <v>0</v>
      </c>
      <c r="E1854">
        <v>1</v>
      </c>
      <c r="F1854" s="1">
        <v>45905</v>
      </c>
      <c r="G1854">
        <f>_xlfn.XLOOKUP(F1854,'Wk no''s'!B:B,'Wk no''s'!C:C,0)</f>
        <v>36</v>
      </c>
    </row>
    <row r="1855" spans="1:7" x14ac:dyDescent="0.3">
      <c r="A1855" t="s">
        <v>6108</v>
      </c>
      <c r="B1855" t="s">
        <v>6109</v>
      </c>
      <c r="C1855" t="s">
        <v>6110</v>
      </c>
      <c r="D1855">
        <v>6</v>
      </c>
      <c r="E1855">
        <v>0</v>
      </c>
      <c r="F1855" s="1">
        <v>45905</v>
      </c>
      <c r="G1855">
        <f>_xlfn.XLOOKUP(F1855,'Wk no''s'!B:B,'Wk no''s'!C:C,0)</f>
        <v>36</v>
      </c>
    </row>
    <row r="1856" spans="1:7" x14ac:dyDescent="0.3">
      <c r="A1856" t="s">
        <v>6111</v>
      </c>
      <c r="B1856" t="s">
        <v>6112</v>
      </c>
      <c r="C1856" t="s">
        <v>6113</v>
      </c>
      <c r="D1856">
        <v>3</v>
      </c>
      <c r="E1856">
        <v>0</v>
      </c>
      <c r="F1856" s="1">
        <v>45905</v>
      </c>
      <c r="G1856">
        <f>_xlfn.XLOOKUP(F1856,'Wk no''s'!B:B,'Wk no''s'!C:C,0)</f>
        <v>36</v>
      </c>
    </row>
    <row r="1857" spans="1:7" x14ac:dyDescent="0.3">
      <c r="A1857" t="s">
        <v>6114</v>
      </c>
      <c r="B1857" t="s">
        <v>6115</v>
      </c>
      <c r="C1857" t="s">
        <v>6116</v>
      </c>
      <c r="D1857">
        <v>5</v>
      </c>
      <c r="E1857">
        <v>0</v>
      </c>
      <c r="F1857" s="1">
        <v>45905</v>
      </c>
      <c r="G1857">
        <f>_xlfn.XLOOKUP(F1857,'Wk no''s'!B:B,'Wk no''s'!C:C,0)</f>
        <v>36</v>
      </c>
    </row>
    <row r="1858" spans="1:7" x14ac:dyDescent="0.3">
      <c r="A1858" t="s">
        <v>6183</v>
      </c>
      <c r="B1858" t="s">
        <v>6184</v>
      </c>
      <c r="C1858" t="s">
        <v>6185</v>
      </c>
      <c r="D1858">
        <v>0</v>
      </c>
      <c r="E1858">
        <v>1</v>
      </c>
      <c r="F1858" s="1">
        <v>45908</v>
      </c>
      <c r="G1858">
        <f>_xlfn.XLOOKUP(F1858,'Wk no''s'!B:B,'Wk no''s'!C:C,0)</f>
        <v>37</v>
      </c>
    </row>
    <row r="1859" spans="1:7" x14ac:dyDescent="0.3">
      <c r="A1859" t="s">
        <v>6186</v>
      </c>
      <c r="B1859" t="s">
        <v>6187</v>
      </c>
      <c r="C1859" t="s">
        <v>353</v>
      </c>
      <c r="D1859">
        <v>1</v>
      </c>
      <c r="E1859">
        <v>1</v>
      </c>
      <c r="F1859" s="1">
        <v>45908</v>
      </c>
      <c r="G1859">
        <f>_xlfn.XLOOKUP(F1859,'Wk no''s'!B:B,'Wk no''s'!C:C,0)</f>
        <v>37</v>
      </c>
    </row>
    <row r="1860" spans="1:7" x14ac:dyDescent="0.3">
      <c r="A1860" t="s">
        <v>6188</v>
      </c>
      <c r="B1860" t="s">
        <v>6189</v>
      </c>
      <c r="C1860" t="s">
        <v>6190</v>
      </c>
      <c r="D1860">
        <v>0</v>
      </c>
      <c r="E1860">
        <v>1</v>
      </c>
      <c r="F1860" s="1">
        <v>45908</v>
      </c>
      <c r="G1860">
        <f>_xlfn.XLOOKUP(F1860,'Wk no''s'!B:B,'Wk no''s'!C:C,0)</f>
        <v>37</v>
      </c>
    </row>
    <row r="1861" spans="1:7" x14ac:dyDescent="0.3">
      <c r="A1861" t="s">
        <v>6191</v>
      </c>
      <c r="B1861" t="s">
        <v>6192</v>
      </c>
      <c r="C1861" t="s">
        <v>6193</v>
      </c>
      <c r="D1861">
        <v>1</v>
      </c>
      <c r="E1861">
        <v>1</v>
      </c>
      <c r="F1861" s="1">
        <v>45908</v>
      </c>
      <c r="G1861">
        <f>_xlfn.XLOOKUP(F1861,'Wk no''s'!B:B,'Wk no''s'!C:C,0)</f>
        <v>37</v>
      </c>
    </row>
    <row r="1862" spans="1:7" x14ac:dyDescent="0.3">
      <c r="A1862" t="s">
        <v>6194</v>
      </c>
      <c r="B1862" t="s">
        <v>6195</v>
      </c>
      <c r="C1862" t="s">
        <v>6196</v>
      </c>
      <c r="D1862">
        <v>5</v>
      </c>
      <c r="E1862">
        <v>0</v>
      </c>
      <c r="F1862" s="1">
        <v>45908</v>
      </c>
      <c r="G1862">
        <f>_xlfn.XLOOKUP(F1862,'Wk no''s'!B:B,'Wk no''s'!C:C,0)</f>
        <v>37</v>
      </c>
    </row>
    <row r="1863" spans="1:7" x14ac:dyDescent="0.3">
      <c r="A1863" t="s">
        <v>6197</v>
      </c>
      <c r="B1863" t="s">
        <v>6198</v>
      </c>
      <c r="C1863" t="s">
        <v>6199</v>
      </c>
      <c r="D1863">
        <v>0</v>
      </c>
      <c r="E1863">
        <v>1</v>
      </c>
      <c r="F1863" s="1">
        <v>45908</v>
      </c>
      <c r="G1863">
        <f>_xlfn.XLOOKUP(F1863,'Wk no''s'!B:B,'Wk no''s'!C:C,0)</f>
        <v>37</v>
      </c>
    </row>
    <row r="1864" spans="1:7" x14ac:dyDescent="0.3">
      <c r="A1864" t="s">
        <v>6200</v>
      </c>
      <c r="B1864" t="s">
        <v>6201</v>
      </c>
      <c r="C1864" t="s">
        <v>1693</v>
      </c>
      <c r="D1864">
        <v>6</v>
      </c>
      <c r="E1864">
        <v>0</v>
      </c>
      <c r="F1864" s="1">
        <v>45908</v>
      </c>
      <c r="G1864">
        <f>_xlfn.XLOOKUP(F1864,'Wk no''s'!B:B,'Wk no''s'!C:C,0)</f>
        <v>37</v>
      </c>
    </row>
    <row r="1865" spans="1:7" x14ac:dyDescent="0.3">
      <c r="A1865" t="s">
        <v>6202</v>
      </c>
      <c r="B1865" t="s">
        <v>6203</v>
      </c>
      <c r="C1865" t="s">
        <v>6204</v>
      </c>
      <c r="D1865">
        <v>16</v>
      </c>
      <c r="E1865">
        <v>0</v>
      </c>
      <c r="F1865" s="1">
        <v>45908</v>
      </c>
      <c r="G1865">
        <f>_xlfn.XLOOKUP(F1865,'Wk no''s'!B:B,'Wk no''s'!C:C,0)</f>
        <v>37</v>
      </c>
    </row>
    <row r="1866" spans="1:7" x14ac:dyDescent="0.3">
      <c r="A1866" t="s">
        <v>6205</v>
      </c>
      <c r="B1866" t="s">
        <v>6206</v>
      </c>
      <c r="C1866" t="s">
        <v>2908</v>
      </c>
      <c r="D1866">
        <v>4</v>
      </c>
      <c r="E1866">
        <v>0</v>
      </c>
      <c r="F1866" s="1">
        <v>45909</v>
      </c>
      <c r="G1866">
        <f>_xlfn.XLOOKUP(F1866,'Wk no''s'!B:B,'Wk no''s'!C:C,0)</f>
        <v>37</v>
      </c>
    </row>
    <row r="1867" spans="1:7" x14ac:dyDescent="0.3">
      <c r="A1867" t="s">
        <v>6207</v>
      </c>
      <c r="B1867" t="s">
        <v>6208</v>
      </c>
      <c r="C1867" t="s">
        <v>1117</v>
      </c>
      <c r="D1867">
        <v>4</v>
      </c>
      <c r="E1867">
        <v>0</v>
      </c>
      <c r="F1867" s="1">
        <v>45909</v>
      </c>
      <c r="G1867">
        <f>_xlfn.XLOOKUP(F1867,'Wk no''s'!B:B,'Wk no''s'!C:C,0)</f>
        <v>37</v>
      </c>
    </row>
    <row r="1868" spans="1:7" x14ac:dyDescent="0.3">
      <c r="A1868" t="s">
        <v>6209</v>
      </c>
      <c r="B1868" t="s">
        <v>6210</v>
      </c>
      <c r="C1868" t="s">
        <v>1117</v>
      </c>
      <c r="D1868">
        <v>4</v>
      </c>
      <c r="E1868">
        <v>0</v>
      </c>
      <c r="F1868" s="1">
        <v>45909</v>
      </c>
      <c r="G1868">
        <f>_xlfn.XLOOKUP(F1868,'Wk no''s'!B:B,'Wk no''s'!C:C,0)</f>
        <v>37</v>
      </c>
    </row>
    <row r="1869" spans="1:7" x14ac:dyDescent="0.3">
      <c r="A1869" t="s">
        <v>6211</v>
      </c>
      <c r="B1869" t="s">
        <v>6212</v>
      </c>
      <c r="C1869" t="s">
        <v>6213</v>
      </c>
      <c r="D1869">
        <v>0</v>
      </c>
      <c r="E1869">
        <v>1</v>
      </c>
      <c r="F1869" s="1">
        <v>45909</v>
      </c>
      <c r="G1869">
        <f>_xlfn.XLOOKUP(F1869,'Wk no''s'!B:B,'Wk no''s'!C:C,0)</f>
        <v>37</v>
      </c>
    </row>
    <row r="1870" spans="1:7" x14ac:dyDescent="0.3">
      <c r="A1870" t="s">
        <v>6214</v>
      </c>
      <c r="B1870" t="s">
        <v>6215</v>
      </c>
      <c r="C1870" t="s">
        <v>5363</v>
      </c>
      <c r="D1870">
        <v>2</v>
      </c>
      <c r="E1870">
        <v>0</v>
      </c>
      <c r="F1870" s="1">
        <v>45909</v>
      </c>
      <c r="G1870">
        <f>_xlfn.XLOOKUP(F1870,'Wk no''s'!B:B,'Wk no''s'!C:C,0)</f>
        <v>37</v>
      </c>
    </row>
    <row r="1871" spans="1:7" x14ac:dyDescent="0.3">
      <c r="A1871" t="s">
        <v>6216</v>
      </c>
      <c r="B1871" t="s">
        <v>6217</v>
      </c>
      <c r="C1871" t="s">
        <v>6218</v>
      </c>
      <c r="D1871">
        <v>7</v>
      </c>
      <c r="E1871">
        <v>0</v>
      </c>
      <c r="F1871" s="1">
        <v>45909</v>
      </c>
      <c r="G1871">
        <f>_xlfn.XLOOKUP(F1871,'Wk no''s'!B:B,'Wk no''s'!C:C,0)</f>
        <v>37</v>
      </c>
    </row>
    <row r="1872" spans="1:7" x14ac:dyDescent="0.3">
      <c r="A1872" t="s">
        <v>6219</v>
      </c>
      <c r="B1872" t="s">
        <v>6220</v>
      </c>
      <c r="C1872" t="s">
        <v>4812</v>
      </c>
      <c r="D1872">
        <v>1</v>
      </c>
      <c r="E1872">
        <v>1</v>
      </c>
      <c r="F1872" s="1">
        <v>45909</v>
      </c>
      <c r="G1872">
        <f>_xlfn.XLOOKUP(F1872,'Wk no''s'!B:B,'Wk no''s'!C:C,0)</f>
        <v>37</v>
      </c>
    </row>
    <row r="1873" spans="1:7" x14ac:dyDescent="0.3">
      <c r="A1873" t="s">
        <v>6221</v>
      </c>
      <c r="B1873" t="s">
        <v>6222</v>
      </c>
      <c r="C1873" t="s">
        <v>6223</v>
      </c>
      <c r="D1873">
        <v>0</v>
      </c>
      <c r="E1873">
        <v>1</v>
      </c>
      <c r="F1873" s="1">
        <v>45909</v>
      </c>
      <c r="G1873">
        <f>_xlfn.XLOOKUP(F1873,'Wk no''s'!B:B,'Wk no''s'!C:C,0)</f>
        <v>37</v>
      </c>
    </row>
    <row r="1874" spans="1:7" x14ac:dyDescent="0.3">
      <c r="A1874" t="s">
        <v>6224</v>
      </c>
      <c r="B1874" t="s">
        <v>6225</v>
      </c>
      <c r="C1874" t="s">
        <v>1224</v>
      </c>
      <c r="D1874">
        <v>3</v>
      </c>
      <c r="E1874">
        <v>0</v>
      </c>
      <c r="F1874" s="1">
        <v>45909</v>
      </c>
      <c r="G1874">
        <f>_xlfn.XLOOKUP(F1874,'Wk no''s'!B:B,'Wk no''s'!C:C,0)</f>
        <v>37</v>
      </c>
    </row>
    <row r="1875" spans="1:7" x14ac:dyDescent="0.3">
      <c r="A1875" t="s">
        <v>6226</v>
      </c>
      <c r="B1875" t="s">
        <v>6227</v>
      </c>
      <c r="C1875" t="s">
        <v>2840</v>
      </c>
      <c r="D1875">
        <v>0</v>
      </c>
      <c r="E1875">
        <v>1</v>
      </c>
      <c r="F1875" s="1">
        <v>45910</v>
      </c>
      <c r="G1875">
        <f>_xlfn.XLOOKUP(F1875,'Wk no''s'!B:B,'Wk no''s'!C:C,0)</f>
        <v>37</v>
      </c>
    </row>
    <row r="1876" spans="1:7" x14ac:dyDescent="0.3">
      <c r="A1876" t="s">
        <v>6228</v>
      </c>
      <c r="B1876" t="s">
        <v>6229</v>
      </c>
      <c r="C1876" t="s">
        <v>6165</v>
      </c>
      <c r="D1876">
        <v>0</v>
      </c>
      <c r="E1876">
        <v>1</v>
      </c>
      <c r="F1876" s="1">
        <v>45910</v>
      </c>
      <c r="G1876">
        <f>_xlfn.XLOOKUP(F1876,'Wk no''s'!B:B,'Wk no''s'!C:C,0)</f>
        <v>37</v>
      </c>
    </row>
    <row r="1877" spans="1:7" x14ac:dyDescent="0.3">
      <c r="A1877" t="s">
        <v>6230</v>
      </c>
      <c r="B1877" t="s">
        <v>6231</v>
      </c>
      <c r="C1877" t="s">
        <v>6165</v>
      </c>
      <c r="D1877">
        <v>0</v>
      </c>
      <c r="E1877">
        <v>1</v>
      </c>
      <c r="F1877" s="1">
        <v>45910</v>
      </c>
      <c r="G1877">
        <f>_xlfn.XLOOKUP(F1877,'Wk no''s'!B:B,'Wk no''s'!C:C,0)</f>
        <v>37</v>
      </c>
    </row>
    <row r="1878" spans="1:7" x14ac:dyDescent="0.3">
      <c r="A1878" t="s">
        <v>6232</v>
      </c>
      <c r="B1878" t="s">
        <v>6233</v>
      </c>
      <c r="C1878" t="s">
        <v>5046</v>
      </c>
      <c r="D1878">
        <v>1</v>
      </c>
      <c r="E1878">
        <v>1</v>
      </c>
      <c r="F1878" s="1">
        <v>45910</v>
      </c>
      <c r="G1878">
        <f>_xlfn.XLOOKUP(F1878,'Wk no''s'!B:B,'Wk no''s'!C:C,0)</f>
        <v>37</v>
      </c>
    </row>
    <row r="1879" spans="1:7" x14ac:dyDescent="0.3">
      <c r="A1879" t="s">
        <v>6234</v>
      </c>
      <c r="B1879" t="s">
        <v>6235</v>
      </c>
      <c r="C1879" t="s">
        <v>6236</v>
      </c>
      <c r="D1879">
        <v>1</v>
      </c>
      <c r="E1879">
        <v>1</v>
      </c>
      <c r="F1879" s="1">
        <v>45910</v>
      </c>
      <c r="G1879">
        <f>_xlfn.XLOOKUP(F1879,'Wk no''s'!B:B,'Wk no''s'!C:C,0)</f>
        <v>37</v>
      </c>
    </row>
    <row r="1880" spans="1:7" x14ac:dyDescent="0.3">
      <c r="A1880" t="s">
        <v>6237</v>
      </c>
      <c r="B1880" t="s">
        <v>6238</v>
      </c>
      <c r="C1880" t="s">
        <v>6239</v>
      </c>
      <c r="D1880">
        <v>1</v>
      </c>
      <c r="E1880">
        <v>1</v>
      </c>
      <c r="F1880" s="1">
        <v>45910</v>
      </c>
      <c r="G1880">
        <f>_xlfn.XLOOKUP(F1880,'Wk no''s'!B:B,'Wk no''s'!C:C,0)</f>
        <v>37</v>
      </c>
    </row>
    <row r="1881" spans="1:7" x14ac:dyDescent="0.3">
      <c r="A1881" t="s">
        <v>6240</v>
      </c>
      <c r="B1881" t="s">
        <v>6241</v>
      </c>
      <c r="C1881" t="s">
        <v>64</v>
      </c>
      <c r="D1881">
        <v>14</v>
      </c>
      <c r="E1881">
        <v>0</v>
      </c>
      <c r="F1881" s="1">
        <v>45910</v>
      </c>
      <c r="G1881">
        <f>_xlfn.XLOOKUP(F1881,'Wk no''s'!B:B,'Wk no''s'!C:C,0)</f>
        <v>37</v>
      </c>
    </row>
    <row r="1882" spans="1:7" x14ac:dyDescent="0.3">
      <c r="A1882" t="s">
        <v>6242</v>
      </c>
      <c r="B1882" t="s">
        <v>6243</v>
      </c>
      <c r="C1882" t="s">
        <v>2471</v>
      </c>
      <c r="D1882">
        <v>0</v>
      </c>
      <c r="E1882">
        <v>1</v>
      </c>
      <c r="F1882" s="1">
        <v>45911</v>
      </c>
      <c r="G1882">
        <f>_xlfn.XLOOKUP(F1882,'Wk no''s'!B:B,'Wk no''s'!C:C,0)</f>
        <v>37</v>
      </c>
    </row>
    <row r="1883" spans="1:7" x14ac:dyDescent="0.3">
      <c r="A1883" t="s">
        <v>6244</v>
      </c>
      <c r="B1883" t="s">
        <v>6245</v>
      </c>
      <c r="C1883" t="s">
        <v>2908</v>
      </c>
      <c r="D1883">
        <v>0</v>
      </c>
      <c r="E1883">
        <v>1</v>
      </c>
      <c r="F1883" s="1">
        <v>45911</v>
      </c>
      <c r="G1883">
        <f>_xlfn.XLOOKUP(F1883,'Wk no''s'!B:B,'Wk no''s'!C:C,0)</f>
        <v>37</v>
      </c>
    </row>
    <row r="1884" spans="1:7" x14ac:dyDescent="0.3">
      <c r="A1884" t="s">
        <v>6246</v>
      </c>
      <c r="B1884" t="s">
        <v>6247</v>
      </c>
      <c r="C1884" t="s">
        <v>6248</v>
      </c>
      <c r="D1884">
        <v>0</v>
      </c>
      <c r="E1884">
        <v>1</v>
      </c>
      <c r="F1884" s="1">
        <v>45911</v>
      </c>
      <c r="G1884">
        <f>_xlfn.XLOOKUP(F1884,'Wk no''s'!B:B,'Wk no''s'!C:C,0)</f>
        <v>37</v>
      </c>
    </row>
    <row r="1885" spans="1:7" x14ac:dyDescent="0.3">
      <c r="A1885" t="s">
        <v>6249</v>
      </c>
      <c r="B1885" t="s">
        <v>6250</v>
      </c>
      <c r="C1885" t="s">
        <v>6251</v>
      </c>
      <c r="D1885">
        <v>0</v>
      </c>
      <c r="E1885">
        <v>1</v>
      </c>
      <c r="F1885" s="1">
        <v>45911</v>
      </c>
      <c r="G1885">
        <f>_xlfn.XLOOKUP(F1885,'Wk no''s'!B:B,'Wk no''s'!C:C,0)</f>
        <v>37</v>
      </c>
    </row>
    <row r="1886" spans="1:7" x14ac:dyDescent="0.3">
      <c r="A1886" t="s">
        <v>6252</v>
      </c>
      <c r="B1886" t="s">
        <v>6253</v>
      </c>
      <c r="C1886" t="s">
        <v>6254</v>
      </c>
      <c r="D1886">
        <v>5</v>
      </c>
      <c r="E1886">
        <v>0</v>
      </c>
      <c r="F1886" s="1">
        <v>45911</v>
      </c>
      <c r="G1886">
        <f>_xlfn.XLOOKUP(F1886,'Wk no''s'!B:B,'Wk no''s'!C:C,0)</f>
        <v>37</v>
      </c>
    </row>
    <row r="1887" spans="1:7" x14ac:dyDescent="0.3">
      <c r="A1887" t="s">
        <v>6255</v>
      </c>
      <c r="B1887" t="s">
        <v>6256</v>
      </c>
      <c r="C1887" t="s">
        <v>6257</v>
      </c>
      <c r="D1887">
        <v>0</v>
      </c>
      <c r="E1887">
        <v>1</v>
      </c>
      <c r="F1887" s="1">
        <v>45911</v>
      </c>
      <c r="G1887">
        <f>_xlfn.XLOOKUP(F1887,'Wk no''s'!B:B,'Wk no''s'!C:C,0)</f>
        <v>37</v>
      </c>
    </row>
    <row r="1888" spans="1:7" x14ac:dyDescent="0.3">
      <c r="A1888" t="s">
        <v>6258</v>
      </c>
      <c r="B1888" t="s">
        <v>6259</v>
      </c>
      <c r="C1888" t="s">
        <v>6260</v>
      </c>
      <c r="D1888">
        <v>1</v>
      </c>
      <c r="E1888">
        <v>1</v>
      </c>
      <c r="F1888" s="1">
        <v>45911</v>
      </c>
      <c r="G1888">
        <f>_xlfn.XLOOKUP(F1888,'Wk no''s'!B:B,'Wk no''s'!C:C,0)</f>
        <v>37</v>
      </c>
    </row>
    <row r="1889" spans="1:7" x14ac:dyDescent="0.3">
      <c r="A1889" t="s">
        <v>6261</v>
      </c>
      <c r="B1889" t="s">
        <v>6262</v>
      </c>
      <c r="C1889" t="s">
        <v>2141</v>
      </c>
      <c r="D1889">
        <v>0</v>
      </c>
      <c r="E1889">
        <v>1</v>
      </c>
      <c r="F1889" s="1">
        <v>45911</v>
      </c>
      <c r="G1889">
        <f>_xlfn.XLOOKUP(F1889,'Wk no''s'!B:B,'Wk no''s'!C:C,0)</f>
        <v>37</v>
      </c>
    </row>
    <row r="1890" spans="1:7" x14ac:dyDescent="0.3">
      <c r="A1890" t="s">
        <v>6263</v>
      </c>
      <c r="B1890" t="s">
        <v>6264</v>
      </c>
      <c r="C1890" t="s">
        <v>6265</v>
      </c>
      <c r="D1890">
        <v>3</v>
      </c>
      <c r="E1890">
        <v>0</v>
      </c>
      <c r="F1890" s="1">
        <v>45911</v>
      </c>
      <c r="G1890">
        <f>_xlfn.XLOOKUP(F1890,'Wk no''s'!B:B,'Wk no''s'!C:C,0)</f>
        <v>37</v>
      </c>
    </row>
    <row r="1891" spans="1:7" x14ac:dyDescent="0.3">
      <c r="A1891" t="s">
        <v>6266</v>
      </c>
      <c r="B1891" t="s">
        <v>6267</v>
      </c>
      <c r="C1891" t="s">
        <v>5353</v>
      </c>
      <c r="D1891">
        <v>13</v>
      </c>
      <c r="E1891">
        <v>0</v>
      </c>
      <c r="F1891" s="1">
        <v>45911</v>
      </c>
      <c r="G1891">
        <f>_xlfn.XLOOKUP(F1891,'Wk no''s'!B:B,'Wk no''s'!C:C,0)</f>
        <v>37</v>
      </c>
    </row>
    <row r="1892" spans="1:7" x14ac:dyDescent="0.3">
      <c r="A1892" t="s">
        <v>6268</v>
      </c>
      <c r="B1892" t="s">
        <v>6269</v>
      </c>
      <c r="C1892" t="s">
        <v>6270</v>
      </c>
      <c r="D1892">
        <v>0</v>
      </c>
      <c r="E1892">
        <v>1</v>
      </c>
      <c r="F1892" s="1">
        <v>45911</v>
      </c>
      <c r="G1892">
        <f>_xlfn.XLOOKUP(F1892,'Wk no''s'!B:B,'Wk no''s'!C:C,0)</f>
        <v>37</v>
      </c>
    </row>
    <row r="1893" spans="1:7" x14ac:dyDescent="0.3">
      <c r="A1893" t="s">
        <v>6271</v>
      </c>
      <c r="B1893" t="s">
        <v>6272</v>
      </c>
      <c r="C1893" t="s">
        <v>6273</v>
      </c>
      <c r="D1893">
        <v>0</v>
      </c>
      <c r="E1893">
        <v>1</v>
      </c>
      <c r="F1893" s="1">
        <v>45911</v>
      </c>
      <c r="G1893">
        <f>_xlfn.XLOOKUP(F1893,'Wk no''s'!B:B,'Wk no''s'!C:C,0)</f>
        <v>37</v>
      </c>
    </row>
    <row r="1894" spans="1:7" x14ac:dyDescent="0.3">
      <c r="A1894" t="s">
        <v>6274</v>
      </c>
      <c r="B1894" t="s">
        <v>6275</v>
      </c>
      <c r="C1894" t="s">
        <v>3517</v>
      </c>
      <c r="D1894">
        <v>3</v>
      </c>
      <c r="E1894">
        <v>0</v>
      </c>
      <c r="F1894" s="1">
        <v>45911</v>
      </c>
      <c r="G1894">
        <f>_xlfn.XLOOKUP(F1894,'Wk no''s'!B:B,'Wk no''s'!C:C,0)</f>
        <v>37</v>
      </c>
    </row>
    <row r="1895" spans="1:7" x14ac:dyDescent="0.3">
      <c r="A1895" t="s">
        <v>6276</v>
      </c>
      <c r="B1895" t="s">
        <v>6277</v>
      </c>
      <c r="C1895" t="s">
        <v>3943</v>
      </c>
      <c r="D1895">
        <v>0</v>
      </c>
      <c r="E1895">
        <v>1</v>
      </c>
      <c r="F1895" s="1">
        <v>45911</v>
      </c>
      <c r="G1895">
        <f>_xlfn.XLOOKUP(F1895,'Wk no''s'!B:B,'Wk no''s'!C:C,0)</f>
        <v>37</v>
      </c>
    </row>
    <row r="1896" spans="1:7" x14ac:dyDescent="0.3">
      <c r="A1896" t="s">
        <v>6278</v>
      </c>
      <c r="B1896" t="s">
        <v>6279</v>
      </c>
      <c r="C1896" t="s">
        <v>4635</v>
      </c>
      <c r="D1896">
        <v>0</v>
      </c>
      <c r="E1896">
        <v>1</v>
      </c>
      <c r="F1896" s="1">
        <v>45911</v>
      </c>
      <c r="G1896">
        <f>_xlfn.XLOOKUP(F1896,'Wk no''s'!B:B,'Wk no''s'!C:C,0)</f>
        <v>37</v>
      </c>
    </row>
    <row r="1897" spans="1:7" x14ac:dyDescent="0.3">
      <c r="A1897" t="s">
        <v>6280</v>
      </c>
      <c r="B1897" t="s">
        <v>6281</v>
      </c>
      <c r="C1897" t="s">
        <v>6282</v>
      </c>
      <c r="D1897">
        <v>12</v>
      </c>
      <c r="E1897">
        <v>0</v>
      </c>
      <c r="F1897" s="1">
        <v>45912</v>
      </c>
      <c r="G1897">
        <f>_xlfn.XLOOKUP(F1897,'Wk no''s'!B:B,'Wk no''s'!C:C,0)</f>
        <v>37</v>
      </c>
    </row>
    <row r="1898" spans="1:7" x14ac:dyDescent="0.3">
      <c r="A1898" t="s">
        <v>6283</v>
      </c>
      <c r="B1898" t="s">
        <v>6284</v>
      </c>
      <c r="C1898" t="s">
        <v>6282</v>
      </c>
      <c r="D1898">
        <v>12</v>
      </c>
      <c r="E1898">
        <v>0</v>
      </c>
      <c r="F1898" s="1">
        <v>45912</v>
      </c>
      <c r="G1898">
        <f>_xlfn.XLOOKUP(F1898,'Wk no''s'!B:B,'Wk no''s'!C:C,0)</f>
        <v>37</v>
      </c>
    </row>
    <row r="1899" spans="1:7" x14ac:dyDescent="0.3">
      <c r="A1899" t="s">
        <v>6285</v>
      </c>
      <c r="B1899" t="s">
        <v>6286</v>
      </c>
      <c r="C1899" t="s">
        <v>4659</v>
      </c>
      <c r="D1899">
        <v>0</v>
      </c>
      <c r="E1899">
        <v>1</v>
      </c>
      <c r="F1899" s="1">
        <v>45912</v>
      </c>
      <c r="G1899">
        <f>_xlfn.XLOOKUP(F1899,'Wk no''s'!B:B,'Wk no''s'!C:C,0)</f>
        <v>37</v>
      </c>
    </row>
    <row r="1900" spans="1:7" x14ac:dyDescent="0.3">
      <c r="A1900" t="s">
        <v>6287</v>
      </c>
      <c r="B1900" t="s">
        <v>6288</v>
      </c>
      <c r="C1900" t="s">
        <v>6289</v>
      </c>
      <c r="D1900">
        <v>1</v>
      </c>
      <c r="E1900">
        <v>1</v>
      </c>
      <c r="F1900" s="1">
        <v>45912</v>
      </c>
      <c r="G1900">
        <f>_xlfn.XLOOKUP(F1900,'Wk no''s'!B:B,'Wk no''s'!C:C,0)</f>
        <v>37</v>
      </c>
    </row>
    <row r="1901" spans="1:7" x14ac:dyDescent="0.3">
      <c r="A1901" t="s">
        <v>6290</v>
      </c>
      <c r="B1901" t="s">
        <v>6291</v>
      </c>
      <c r="C1901" t="s">
        <v>6289</v>
      </c>
      <c r="D1901">
        <v>1</v>
      </c>
      <c r="E1901">
        <v>1</v>
      </c>
      <c r="F1901" s="1">
        <v>45912</v>
      </c>
      <c r="G1901">
        <f>_xlfn.XLOOKUP(F1901,'Wk no''s'!B:B,'Wk no''s'!C:C,0)</f>
        <v>37</v>
      </c>
    </row>
    <row r="1902" spans="1:7" x14ac:dyDescent="0.3">
      <c r="A1902" t="s">
        <v>6292</v>
      </c>
      <c r="B1902" t="s">
        <v>6293</v>
      </c>
      <c r="C1902" t="s">
        <v>6289</v>
      </c>
      <c r="D1902">
        <v>1</v>
      </c>
      <c r="E1902">
        <v>1</v>
      </c>
      <c r="F1902" s="1">
        <v>45912</v>
      </c>
      <c r="G1902">
        <f>_xlfn.XLOOKUP(F1902,'Wk no''s'!B:B,'Wk no''s'!C:C,0)</f>
        <v>37</v>
      </c>
    </row>
    <row r="1903" spans="1:7" x14ac:dyDescent="0.3">
      <c r="A1903" t="s">
        <v>6294</v>
      </c>
      <c r="B1903" t="s">
        <v>6295</v>
      </c>
      <c r="C1903" t="s">
        <v>4128</v>
      </c>
      <c r="D1903">
        <v>0</v>
      </c>
      <c r="E1903">
        <v>1</v>
      </c>
      <c r="F1903" s="1">
        <v>45912</v>
      </c>
      <c r="G1903">
        <f>_xlfn.XLOOKUP(F1903,'Wk no''s'!B:B,'Wk no''s'!C:C,0)</f>
        <v>37</v>
      </c>
    </row>
    <row r="1904" spans="1:7" x14ac:dyDescent="0.3">
      <c r="A1904" t="s">
        <v>6296</v>
      </c>
      <c r="B1904" t="s">
        <v>6297</v>
      </c>
      <c r="C1904" t="s">
        <v>5495</v>
      </c>
      <c r="D1904">
        <v>1</v>
      </c>
      <c r="E1904">
        <v>1</v>
      </c>
      <c r="F1904" s="1">
        <v>45912</v>
      </c>
      <c r="G1904">
        <f>_xlfn.XLOOKUP(F1904,'Wk no''s'!B:B,'Wk no''s'!C:C,0)</f>
        <v>37</v>
      </c>
    </row>
    <row r="1905" spans="1:7" x14ac:dyDescent="0.3">
      <c r="A1905" t="s">
        <v>6298</v>
      </c>
      <c r="B1905" t="s">
        <v>6299</v>
      </c>
      <c r="C1905" t="s">
        <v>3925</v>
      </c>
      <c r="D1905">
        <v>6</v>
      </c>
      <c r="E1905">
        <v>0</v>
      </c>
      <c r="F1905" s="1">
        <v>45915</v>
      </c>
      <c r="G1905">
        <f>_xlfn.XLOOKUP(F1905,'Wk no''s'!B:B,'Wk no''s'!C:C,0)</f>
        <v>38</v>
      </c>
    </row>
    <row r="1906" spans="1:7" x14ac:dyDescent="0.3">
      <c r="A1906" t="s">
        <v>6300</v>
      </c>
      <c r="B1906" t="s">
        <v>6301</v>
      </c>
      <c r="C1906" t="s">
        <v>6302</v>
      </c>
      <c r="D1906">
        <v>1</v>
      </c>
      <c r="E1906">
        <v>1</v>
      </c>
      <c r="F1906" s="1">
        <v>45915</v>
      </c>
      <c r="G1906">
        <f>_xlfn.XLOOKUP(F1906,'Wk no''s'!B:B,'Wk no''s'!C:C,0)</f>
        <v>38</v>
      </c>
    </row>
    <row r="1907" spans="1:7" x14ac:dyDescent="0.3">
      <c r="A1907" t="s">
        <v>6303</v>
      </c>
      <c r="B1907" t="s">
        <v>6304</v>
      </c>
      <c r="C1907" t="s">
        <v>6305</v>
      </c>
      <c r="D1907">
        <v>0</v>
      </c>
      <c r="E1907">
        <v>1</v>
      </c>
      <c r="F1907" s="1">
        <v>45915</v>
      </c>
      <c r="G1907">
        <f>_xlfn.XLOOKUP(F1907,'Wk no''s'!B:B,'Wk no''s'!C:C,0)</f>
        <v>38</v>
      </c>
    </row>
    <row r="1908" spans="1:7" x14ac:dyDescent="0.3">
      <c r="A1908" t="s">
        <v>6306</v>
      </c>
      <c r="B1908" t="s">
        <v>6307</v>
      </c>
      <c r="C1908" t="s">
        <v>6308</v>
      </c>
      <c r="D1908">
        <v>0</v>
      </c>
      <c r="E1908">
        <v>1</v>
      </c>
      <c r="F1908" s="1">
        <v>45915</v>
      </c>
      <c r="G1908">
        <f>_xlfn.XLOOKUP(F1908,'Wk no''s'!B:B,'Wk no''s'!C:C,0)</f>
        <v>38</v>
      </c>
    </row>
    <row r="1909" spans="1:7" x14ac:dyDescent="0.3">
      <c r="A1909" t="s">
        <v>6309</v>
      </c>
      <c r="B1909" t="s">
        <v>6310</v>
      </c>
      <c r="C1909" t="s">
        <v>1224</v>
      </c>
      <c r="D1909">
        <v>2</v>
      </c>
      <c r="E1909">
        <v>0</v>
      </c>
      <c r="F1909" s="1">
        <v>45915</v>
      </c>
      <c r="G1909">
        <f>_xlfn.XLOOKUP(F1909,'Wk no''s'!B:B,'Wk no''s'!C:C,0)</f>
        <v>38</v>
      </c>
    </row>
    <row r="1910" spans="1:7" x14ac:dyDescent="0.3">
      <c r="A1910" t="s">
        <v>6311</v>
      </c>
      <c r="B1910" t="s">
        <v>6312</v>
      </c>
      <c r="C1910" t="s">
        <v>254</v>
      </c>
      <c r="D1910">
        <v>2</v>
      </c>
      <c r="E1910">
        <v>0</v>
      </c>
      <c r="F1910" s="1">
        <v>45915</v>
      </c>
      <c r="G1910">
        <f>_xlfn.XLOOKUP(F1910,'Wk no''s'!B:B,'Wk no''s'!C:C,0)</f>
        <v>38</v>
      </c>
    </row>
    <row r="1911" spans="1:7" x14ac:dyDescent="0.3">
      <c r="A1911" t="s">
        <v>6313</v>
      </c>
      <c r="B1911" t="s">
        <v>6314</v>
      </c>
      <c r="C1911" t="s">
        <v>197</v>
      </c>
      <c r="D1911">
        <v>8</v>
      </c>
      <c r="E1911">
        <v>0</v>
      </c>
      <c r="F1911" s="1">
        <v>45915</v>
      </c>
      <c r="G1911">
        <f>_xlfn.XLOOKUP(F1911,'Wk no''s'!B:B,'Wk no''s'!C:C,0)</f>
        <v>38</v>
      </c>
    </row>
    <row r="1912" spans="1:7" x14ac:dyDescent="0.3">
      <c r="A1912" t="s">
        <v>6315</v>
      </c>
      <c r="B1912" t="s">
        <v>6316</v>
      </c>
      <c r="C1912" t="s">
        <v>3855</v>
      </c>
      <c r="D1912">
        <v>2</v>
      </c>
      <c r="E1912">
        <v>0</v>
      </c>
      <c r="F1912" s="1">
        <v>45916</v>
      </c>
      <c r="G1912">
        <f>_xlfn.XLOOKUP(F1912,'Wk no''s'!B:B,'Wk no''s'!C:C,0)</f>
        <v>38</v>
      </c>
    </row>
    <row r="1913" spans="1:7" x14ac:dyDescent="0.3">
      <c r="A1913" t="s">
        <v>6317</v>
      </c>
      <c r="B1913" t="s">
        <v>6318</v>
      </c>
      <c r="C1913" t="s">
        <v>2908</v>
      </c>
      <c r="D1913">
        <v>7</v>
      </c>
      <c r="E1913">
        <v>0</v>
      </c>
      <c r="F1913" s="1">
        <v>45916</v>
      </c>
      <c r="G1913">
        <f>_xlfn.XLOOKUP(F1913,'Wk no''s'!B:B,'Wk no''s'!C:C,0)</f>
        <v>38</v>
      </c>
    </row>
    <row r="1914" spans="1:7" x14ac:dyDescent="0.3">
      <c r="A1914" t="s">
        <v>6319</v>
      </c>
      <c r="B1914" t="s">
        <v>6320</v>
      </c>
      <c r="C1914" t="s">
        <v>6321</v>
      </c>
      <c r="D1914">
        <v>0</v>
      </c>
      <c r="E1914">
        <v>1</v>
      </c>
      <c r="F1914" s="1">
        <v>45916</v>
      </c>
      <c r="G1914">
        <f>_xlfn.XLOOKUP(F1914,'Wk no''s'!B:B,'Wk no''s'!C:C,0)</f>
        <v>38</v>
      </c>
    </row>
    <row r="1915" spans="1:7" x14ac:dyDescent="0.3">
      <c r="A1915" t="s">
        <v>6322</v>
      </c>
      <c r="B1915" t="s">
        <v>6323</v>
      </c>
      <c r="C1915" t="s">
        <v>4100</v>
      </c>
      <c r="D1915">
        <v>10</v>
      </c>
      <c r="E1915">
        <v>0</v>
      </c>
      <c r="F1915" s="1">
        <v>45916</v>
      </c>
      <c r="G1915">
        <f>_xlfn.XLOOKUP(F1915,'Wk no''s'!B:B,'Wk no''s'!C:C,0)</f>
        <v>38</v>
      </c>
    </row>
    <row r="1916" spans="1:7" x14ac:dyDescent="0.3">
      <c r="A1916" t="s">
        <v>6324</v>
      </c>
      <c r="B1916" t="s">
        <v>6325</v>
      </c>
      <c r="C1916" t="s">
        <v>6326</v>
      </c>
      <c r="D1916">
        <v>2</v>
      </c>
      <c r="E1916">
        <v>0</v>
      </c>
      <c r="F1916" s="1">
        <v>45916</v>
      </c>
      <c r="G1916">
        <f>_xlfn.XLOOKUP(F1916,'Wk no''s'!B:B,'Wk no''s'!C:C,0)</f>
        <v>38</v>
      </c>
    </row>
    <row r="1917" spans="1:7" x14ac:dyDescent="0.3">
      <c r="A1917" t="s">
        <v>6327</v>
      </c>
      <c r="B1917" t="s">
        <v>6328</v>
      </c>
      <c r="C1917" t="s">
        <v>6329</v>
      </c>
      <c r="D1917">
        <v>0</v>
      </c>
      <c r="E1917">
        <v>1</v>
      </c>
      <c r="F1917" s="1">
        <v>45916</v>
      </c>
      <c r="G1917">
        <f>_xlfn.XLOOKUP(F1917,'Wk no''s'!B:B,'Wk no''s'!C:C,0)</f>
        <v>38</v>
      </c>
    </row>
    <row r="1918" spans="1:7" x14ac:dyDescent="0.3">
      <c r="A1918" t="s">
        <v>6330</v>
      </c>
      <c r="B1918" t="s">
        <v>6331</v>
      </c>
      <c r="C1918" t="s">
        <v>2908</v>
      </c>
      <c r="D1918">
        <v>1</v>
      </c>
      <c r="E1918">
        <v>1</v>
      </c>
      <c r="F1918" s="1">
        <v>45916</v>
      </c>
      <c r="G1918">
        <f>_xlfn.XLOOKUP(F1918,'Wk no''s'!B:B,'Wk no''s'!C:C,0)</f>
        <v>38</v>
      </c>
    </row>
    <row r="1919" spans="1:7" x14ac:dyDescent="0.3">
      <c r="A1919" t="s">
        <v>6332</v>
      </c>
      <c r="B1919" t="s">
        <v>6333</v>
      </c>
      <c r="C1919" t="s">
        <v>6334</v>
      </c>
      <c r="D1919">
        <v>5</v>
      </c>
      <c r="E1919">
        <v>0</v>
      </c>
      <c r="F1919" s="1">
        <v>45917</v>
      </c>
      <c r="G1919">
        <f>_xlfn.XLOOKUP(F1919,'Wk no''s'!B:B,'Wk no''s'!C:C,0)</f>
        <v>38</v>
      </c>
    </row>
    <row r="1920" spans="1:7" x14ac:dyDescent="0.3">
      <c r="A1920" t="s">
        <v>6335</v>
      </c>
      <c r="B1920" t="s">
        <v>6336</v>
      </c>
      <c r="C1920" t="s">
        <v>75</v>
      </c>
      <c r="D1920">
        <v>5</v>
      </c>
      <c r="E1920">
        <v>0</v>
      </c>
      <c r="F1920" s="1">
        <v>45917</v>
      </c>
      <c r="G1920">
        <f>_xlfn.XLOOKUP(F1920,'Wk no''s'!B:B,'Wk no''s'!C:C,0)</f>
        <v>38</v>
      </c>
    </row>
    <row r="1921" spans="1:7" x14ac:dyDescent="0.3">
      <c r="A1921" t="s">
        <v>6337</v>
      </c>
      <c r="B1921" t="s">
        <v>6338</v>
      </c>
      <c r="C1921" t="s">
        <v>4194</v>
      </c>
      <c r="D1921">
        <v>0</v>
      </c>
      <c r="E1921">
        <v>1</v>
      </c>
      <c r="F1921" s="1">
        <v>45917</v>
      </c>
      <c r="G1921">
        <f>_xlfn.XLOOKUP(F1921,'Wk no''s'!B:B,'Wk no''s'!C:C,0)</f>
        <v>38</v>
      </c>
    </row>
    <row r="1922" spans="1:7" x14ac:dyDescent="0.3">
      <c r="A1922" t="s">
        <v>6339</v>
      </c>
      <c r="B1922" t="s">
        <v>6340</v>
      </c>
      <c r="C1922" t="s">
        <v>3751</v>
      </c>
      <c r="D1922">
        <v>5</v>
      </c>
      <c r="E1922">
        <v>0</v>
      </c>
      <c r="F1922" s="1">
        <v>45917</v>
      </c>
      <c r="G1922">
        <f>_xlfn.XLOOKUP(F1922,'Wk no''s'!B:B,'Wk no''s'!C:C,0)</f>
        <v>38</v>
      </c>
    </row>
    <row r="1923" spans="1:7" x14ac:dyDescent="0.3">
      <c r="A1923" t="s">
        <v>6341</v>
      </c>
      <c r="B1923" t="s">
        <v>6342</v>
      </c>
      <c r="C1923" t="s">
        <v>6343</v>
      </c>
      <c r="D1923">
        <v>1</v>
      </c>
      <c r="E1923">
        <v>1</v>
      </c>
      <c r="F1923" s="1">
        <v>45917</v>
      </c>
      <c r="G1923">
        <f>_xlfn.XLOOKUP(F1923,'Wk no''s'!B:B,'Wk no''s'!C:C,0)</f>
        <v>38</v>
      </c>
    </row>
    <row r="1924" spans="1:7" x14ac:dyDescent="0.3">
      <c r="A1924" t="s">
        <v>6344</v>
      </c>
      <c r="B1924" t="s">
        <v>6345</v>
      </c>
      <c r="C1924" t="s">
        <v>2596</v>
      </c>
      <c r="D1924">
        <v>6</v>
      </c>
      <c r="E1924">
        <v>0</v>
      </c>
      <c r="F1924" s="1">
        <v>45917</v>
      </c>
      <c r="G1924">
        <f>_xlfn.XLOOKUP(F1924,'Wk no''s'!B:B,'Wk no''s'!C:C,0)</f>
        <v>38</v>
      </c>
    </row>
    <row r="1925" spans="1:7" x14ac:dyDescent="0.3">
      <c r="A1925" t="s">
        <v>6346</v>
      </c>
      <c r="B1925" t="s">
        <v>6347</v>
      </c>
      <c r="C1925" t="s">
        <v>1685</v>
      </c>
      <c r="D1925">
        <v>2</v>
      </c>
      <c r="E1925">
        <v>0</v>
      </c>
      <c r="F1925" s="1">
        <v>45917</v>
      </c>
      <c r="G1925">
        <f>_xlfn.XLOOKUP(F1925,'Wk no''s'!B:B,'Wk no''s'!C:C,0)</f>
        <v>38</v>
      </c>
    </row>
    <row r="1926" spans="1:7" x14ac:dyDescent="0.3">
      <c r="A1926" t="s">
        <v>6348</v>
      </c>
      <c r="B1926" t="s">
        <v>6349</v>
      </c>
      <c r="C1926" t="s">
        <v>6350</v>
      </c>
      <c r="D1926">
        <v>0</v>
      </c>
      <c r="E1926">
        <v>1</v>
      </c>
      <c r="F1926" s="1">
        <v>45918</v>
      </c>
      <c r="G1926">
        <f>_xlfn.XLOOKUP(F1926,'Wk no''s'!B:B,'Wk no''s'!C:C,0)</f>
        <v>38</v>
      </c>
    </row>
    <row r="1927" spans="1:7" x14ac:dyDescent="0.3">
      <c r="A1927" t="s">
        <v>6351</v>
      </c>
      <c r="B1927" t="s">
        <v>6352</v>
      </c>
      <c r="C1927" t="s">
        <v>2855</v>
      </c>
      <c r="D1927">
        <v>8</v>
      </c>
      <c r="E1927">
        <v>0</v>
      </c>
      <c r="F1927" s="1">
        <v>45918</v>
      </c>
      <c r="G1927">
        <f>_xlfn.XLOOKUP(F1927,'Wk no''s'!B:B,'Wk no''s'!C:C,0)</f>
        <v>38</v>
      </c>
    </row>
    <row r="1928" spans="1:7" x14ac:dyDescent="0.3">
      <c r="A1928" t="s">
        <v>6353</v>
      </c>
      <c r="B1928" t="s">
        <v>6354</v>
      </c>
      <c r="C1928" t="s">
        <v>3462</v>
      </c>
      <c r="D1928">
        <v>0</v>
      </c>
      <c r="E1928">
        <v>1</v>
      </c>
      <c r="F1928" s="1">
        <v>45918</v>
      </c>
      <c r="G1928">
        <f>_xlfn.XLOOKUP(F1928,'Wk no''s'!B:B,'Wk no''s'!C:C,0)</f>
        <v>38</v>
      </c>
    </row>
    <row r="1929" spans="1:7" x14ac:dyDescent="0.3">
      <c r="A1929" t="s">
        <v>6355</v>
      </c>
      <c r="B1929" t="s">
        <v>6356</v>
      </c>
      <c r="C1929" t="s">
        <v>3855</v>
      </c>
      <c r="D1929">
        <v>5</v>
      </c>
      <c r="E1929">
        <v>0</v>
      </c>
      <c r="F1929" s="1">
        <v>45918</v>
      </c>
      <c r="G1929">
        <f>_xlfn.XLOOKUP(F1929,'Wk no''s'!B:B,'Wk no''s'!C:C,0)</f>
        <v>38</v>
      </c>
    </row>
    <row r="1930" spans="1:7" x14ac:dyDescent="0.3">
      <c r="A1930" t="s">
        <v>6357</v>
      </c>
      <c r="B1930" t="s">
        <v>6358</v>
      </c>
      <c r="C1930" t="s">
        <v>2421</v>
      </c>
      <c r="D1930">
        <v>2</v>
      </c>
      <c r="E1930">
        <v>0</v>
      </c>
      <c r="F1930" s="1">
        <v>45918</v>
      </c>
      <c r="G1930">
        <f>_xlfn.XLOOKUP(F1930,'Wk no''s'!B:B,'Wk no''s'!C:C,0)</f>
        <v>38</v>
      </c>
    </row>
    <row r="1931" spans="1:7" x14ac:dyDescent="0.3">
      <c r="A1931" t="s">
        <v>6359</v>
      </c>
      <c r="B1931" t="s">
        <v>6360</v>
      </c>
      <c r="C1931" t="s">
        <v>5379</v>
      </c>
      <c r="D1931">
        <v>8</v>
      </c>
      <c r="E1931">
        <v>0</v>
      </c>
      <c r="F1931" s="1">
        <v>45918</v>
      </c>
      <c r="G1931">
        <f>_xlfn.XLOOKUP(F1931,'Wk no''s'!B:B,'Wk no''s'!C:C,0)</f>
        <v>38</v>
      </c>
    </row>
    <row r="1932" spans="1:7" x14ac:dyDescent="0.3">
      <c r="A1932" t="s">
        <v>6361</v>
      </c>
      <c r="B1932" t="s">
        <v>6362</v>
      </c>
      <c r="C1932" t="s">
        <v>2471</v>
      </c>
      <c r="D1932">
        <v>0</v>
      </c>
      <c r="E1932">
        <v>1</v>
      </c>
      <c r="F1932" s="1">
        <v>45919</v>
      </c>
      <c r="G1932">
        <f>_xlfn.XLOOKUP(F1932,'Wk no''s'!B:B,'Wk no''s'!C:C,0)</f>
        <v>38</v>
      </c>
    </row>
    <row r="1933" spans="1:7" x14ac:dyDescent="0.3">
      <c r="A1933" t="s">
        <v>6363</v>
      </c>
      <c r="B1933" t="s">
        <v>6364</v>
      </c>
      <c r="C1933" t="s">
        <v>5182</v>
      </c>
      <c r="D1933">
        <v>0</v>
      </c>
      <c r="E1933">
        <v>1</v>
      </c>
      <c r="F1933" s="1">
        <v>45919</v>
      </c>
      <c r="G1933">
        <f>_xlfn.XLOOKUP(F1933,'Wk no''s'!B:B,'Wk no''s'!C:C,0)</f>
        <v>38</v>
      </c>
    </row>
    <row r="1934" spans="1:7" x14ac:dyDescent="0.3">
      <c r="A1934" t="s">
        <v>6365</v>
      </c>
      <c r="B1934" t="s">
        <v>6366</v>
      </c>
      <c r="C1934" t="s">
        <v>3669</v>
      </c>
      <c r="D1934">
        <v>4</v>
      </c>
      <c r="E1934">
        <v>0</v>
      </c>
      <c r="F1934" s="1">
        <v>45919</v>
      </c>
      <c r="G1934">
        <f>_xlfn.XLOOKUP(F1934,'Wk no''s'!B:B,'Wk no''s'!C:C,0)</f>
        <v>38</v>
      </c>
    </row>
    <row r="1935" spans="1:7" x14ac:dyDescent="0.3">
      <c r="A1935" t="s">
        <v>6367</v>
      </c>
      <c r="B1935" t="s">
        <v>6368</v>
      </c>
      <c r="C1935" t="s">
        <v>6369</v>
      </c>
      <c r="D1935">
        <v>2</v>
      </c>
      <c r="E1935">
        <v>0</v>
      </c>
      <c r="F1935" s="1">
        <v>45919</v>
      </c>
      <c r="G1935">
        <f>_xlfn.XLOOKUP(F1935,'Wk no''s'!B:B,'Wk no''s'!C:C,0)</f>
        <v>38</v>
      </c>
    </row>
    <row r="1936" spans="1:7" x14ac:dyDescent="0.3">
      <c r="A1936" t="s">
        <v>6455</v>
      </c>
      <c r="B1936" t="s">
        <v>6456</v>
      </c>
      <c r="C1936" t="s">
        <v>3199</v>
      </c>
      <c r="D1936">
        <v>0</v>
      </c>
      <c r="E1936">
        <v>1</v>
      </c>
      <c r="F1936" s="1">
        <v>45922</v>
      </c>
      <c r="G1936">
        <f>_xlfn.XLOOKUP(F1936,'Wk no''s'!B:B,'Wk no''s'!C:C,0)</f>
        <v>39</v>
      </c>
    </row>
    <row r="1937" spans="1:7" x14ac:dyDescent="0.3">
      <c r="A1937" t="s">
        <v>6457</v>
      </c>
      <c r="B1937" t="s">
        <v>6458</v>
      </c>
      <c r="C1937" t="s">
        <v>3544</v>
      </c>
      <c r="D1937">
        <v>0</v>
      </c>
      <c r="E1937">
        <v>1</v>
      </c>
      <c r="F1937" s="1">
        <v>45922</v>
      </c>
      <c r="G1937">
        <f>_xlfn.XLOOKUP(F1937,'Wk no''s'!B:B,'Wk no''s'!C:C,0)</f>
        <v>39</v>
      </c>
    </row>
    <row r="1938" spans="1:7" x14ac:dyDescent="0.3">
      <c r="A1938" t="s">
        <v>6459</v>
      </c>
      <c r="B1938" t="s">
        <v>6460</v>
      </c>
      <c r="C1938" t="s">
        <v>6461</v>
      </c>
      <c r="D1938">
        <v>0</v>
      </c>
      <c r="E1938">
        <v>1</v>
      </c>
      <c r="F1938" s="1">
        <v>45922</v>
      </c>
      <c r="G1938">
        <f>_xlfn.XLOOKUP(F1938,'Wk no''s'!B:B,'Wk no''s'!C:C,0)</f>
        <v>39</v>
      </c>
    </row>
    <row r="1939" spans="1:7" x14ac:dyDescent="0.3">
      <c r="A1939" t="s">
        <v>6462</v>
      </c>
      <c r="B1939" t="s">
        <v>6463</v>
      </c>
      <c r="C1939" t="s">
        <v>6464</v>
      </c>
      <c r="D1939">
        <v>1</v>
      </c>
      <c r="E1939">
        <v>1</v>
      </c>
      <c r="F1939" s="1">
        <v>45922</v>
      </c>
      <c r="G1939">
        <f>_xlfn.XLOOKUP(F1939,'Wk no''s'!B:B,'Wk no''s'!C:C,0)</f>
        <v>39</v>
      </c>
    </row>
    <row r="1940" spans="1:7" x14ac:dyDescent="0.3">
      <c r="A1940" t="s">
        <v>6465</v>
      </c>
      <c r="B1940" t="s">
        <v>6466</v>
      </c>
      <c r="C1940" t="s">
        <v>5603</v>
      </c>
      <c r="D1940">
        <v>0</v>
      </c>
      <c r="E1940">
        <v>1</v>
      </c>
      <c r="F1940" s="1">
        <v>45922</v>
      </c>
      <c r="G1940">
        <f>_xlfn.XLOOKUP(F1940,'Wk no''s'!B:B,'Wk no''s'!C:C,0)</f>
        <v>39</v>
      </c>
    </row>
    <row r="1941" spans="1:7" x14ac:dyDescent="0.3">
      <c r="A1941" t="s">
        <v>6467</v>
      </c>
      <c r="B1941" t="s">
        <v>6468</v>
      </c>
      <c r="C1941" t="s">
        <v>5398</v>
      </c>
      <c r="D1941">
        <v>3</v>
      </c>
      <c r="E1941">
        <v>0</v>
      </c>
      <c r="F1941" s="1">
        <v>45922</v>
      </c>
      <c r="G1941">
        <f>_xlfn.XLOOKUP(F1941,'Wk no''s'!B:B,'Wk no''s'!C:C,0)</f>
        <v>39</v>
      </c>
    </row>
    <row r="1942" spans="1:7" x14ac:dyDescent="0.3">
      <c r="A1942" t="s">
        <v>6469</v>
      </c>
      <c r="B1942" t="s">
        <v>6470</v>
      </c>
      <c r="C1942" t="s">
        <v>4168</v>
      </c>
      <c r="D1942">
        <v>0</v>
      </c>
      <c r="E1942">
        <v>1</v>
      </c>
      <c r="F1942" s="1">
        <v>45922</v>
      </c>
      <c r="G1942">
        <f>_xlfn.XLOOKUP(F1942,'Wk no''s'!B:B,'Wk no''s'!C:C,0)</f>
        <v>39</v>
      </c>
    </row>
    <row r="1943" spans="1:7" x14ac:dyDescent="0.3">
      <c r="A1943" t="s">
        <v>6471</v>
      </c>
      <c r="B1943" t="s">
        <v>6472</v>
      </c>
      <c r="C1943" t="s">
        <v>6736</v>
      </c>
      <c r="D1943">
        <v>0</v>
      </c>
      <c r="E1943">
        <v>1</v>
      </c>
      <c r="F1943" s="1">
        <v>45922</v>
      </c>
      <c r="G1943">
        <f>_xlfn.XLOOKUP(F1943,'Wk no''s'!B:B,'Wk no''s'!C:C,0)</f>
        <v>39</v>
      </c>
    </row>
    <row r="1944" spans="1:7" x14ac:dyDescent="0.3">
      <c r="A1944" t="s">
        <v>6473</v>
      </c>
      <c r="B1944" t="s">
        <v>6474</v>
      </c>
      <c r="C1944" t="s">
        <v>3549</v>
      </c>
      <c r="D1944">
        <v>2</v>
      </c>
      <c r="E1944">
        <v>0</v>
      </c>
      <c r="F1944" s="1">
        <v>45922</v>
      </c>
      <c r="G1944">
        <f>_xlfn.XLOOKUP(F1944,'Wk no''s'!B:B,'Wk no''s'!C:C,0)</f>
        <v>39</v>
      </c>
    </row>
    <row r="1945" spans="1:7" x14ac:dyDescent="0.3">
      <c r="A1945" t="s">
        <v>6475</v>
      </c>
      <c r="B1945" t="s">
        <v>6476</v>
      </c>
      <c r="C1945" t="s">
        <v>407</v>
      </c>
      <c r="D1945">
        <v>0</v>
      </c>
      <c r="E1945">
        <v>1</v>
      </c>
      <c r="F1945" s="1">
        <v>45922</v>
      </c>
      <c r="G1945">
        <f>_xlfn.XLOOKUP(F1945,'Wk no''s'!B:B,'Wk no''s'!C:C,0)</f>
        <v>39</v>
      </c>
    </row>
    <row r="1946" spans="1:7" x14ac:dyDescent="0.3">
      <c r="A1946" t="s">
        <v>6477</v>
      </c>
      <c r="B1946" t="s">
        <v>6478</v>
      </c>
      <c r="C1946" t="s">
        <v>2451</v>
      </c>
      <c r="D1946">
        <v>2</v>
      </c>
      <c r="E1946">
        <v>0</v>
      </c>
      <c r="F1946" s="1">
        <v>45922</v>
      </c>
      <c r="G1946">
        <f>_xlfn.XLOOKUP(F1946,'Wk no''s'!B:B,'Wk no''s'!C:C,0)</f>
        <v>39</v>
      </c>
    </row>
    <row r="1947" spans="1:7" x14ac:dyDescent="0.3">
      <c r="A1947" t="s">
        <v>6479</v>
      </c>
      <c r="B1947" t="s">
        <v>6480</v>
      </c>
      <c r="C1947" t="s">
        <v>2010</v>
      </c>
      <c r="D1947">
        <v>0</v>
      </c>
      <c r="E1947">
        <v>1</v>
      </c>
      <c r="F1947" s="1">
        <v>45922</v>
      </c>
      <c r="G1947">
        <f>_xlfn.XLOOKUP(F1947,'Wk no''s'!B:B,'Wk no''s'!C:C,0)</f>
        <v>39</v>
      </c>
    </row>
    <row r="1948" spans="1:7" x14ac:dyDescent="0.3">
      <c r="A1948" t="s">
        <v>6481</v>
      </c>
      <c r="B1948" t="s">
        <v>6482</v>
      </c>
      <c r="C1948" t="s">
        <v>6483</v>
      </c>
      <c r="D1948">
        <v>0</v>
      </c>
      <c r="E1948">
        <v>1</v>
      </c>
      <c r="F1948" s="1">
        <v>45923</v>
      </c>
      <c r="G1948">
        <f>_xlfn.XLOOKUP(F1948,'Wk no''s'!B:B,'Wk no''s'!C:C,0)</f>
        <v>39</v>
      </c>
    </row>
    <row r="1949" spans="1:7" x14ac:dyDescent="0.3">
      <c r="A1949" t="s">
        <v>6484</v>
      </c>
      <c r="B1949" t="s">
        <v>6485</v>
      </c>
      <c r="C1949" t="s">
        <v>39</v>
      </c>
      <c r="D1949">
        <v>0</v>
      </c>
      <c r="E1949">
        <v>1</v>
      </c>
      <c r="F1949" s="1">
        <v>45923</v>
      </c>
      <c r="G1949">
        <f>_xlfn.XLOOKUP(F1949,'Wk no''s'!B:B,'Wk no''s'!C:C,0)</f>
        <v>39</v>
      </c>
    </row>
    <row r="1950" spans="1:7" x14ac:dyDescent="0.3">
      <c r="A1950" t="s">
        <v>6486</v>
      </c>
      <c r="B1950" t="s">
        <v>6487</v>
      </c>
      <c r="C1950" t="s">
        <v>6488</v>
      </c>
      <c r="D1950">
        <v>0</v>
      </c>
      <c r="E1950">
        <v>1</v>
      </c>
      <c r="F1950" s="1">
        <v>45923</v>
      </c>
      <c r="G1950">
        <f>_xlfn.XLOOKUP(F1950,'Wk no''s'!B:B,'Wk no''s'!C:C,0)</f>
        <v>39</v>
      </c>
    </row>
    <row r="1951" spans="1:7" x14ac:dyDescent="0.3">
      <c r="A1951" t="s">
        <v>6489</v>
      </c>
      <c r="B1951" t="s">
        <v>6490</v>
      </c>
      <c r="C1951" t="s">
        <v>1224</v>
      </c>
      <c r="D1951">
        <v>2</v>
      </c>
      <c r="E1951">
        <v>0</v>
      </c>
      <c r="F1951" s="1">
        <v>45923</v>
      </c>
      <c r="G1951">
        <f>_xlfn.XLOOKUP(F1951,'Wk no''s'!B:B,'Wk no''s'!C:C,0)</f>
        <v>39</v>
      </c>
    </row>
    <row r="1952" spans="1:7" x14ac:dyDescent="0.3">
      <c r="A1952" t="s">
        <v>6491</v>
      </c>
      <c r="B1952" t="s">
        <v>6492</v>
      </c>
      <c r="C1952" t="s">
        <v>6062</v>
      </c>
      <c r="D1952">
        <v>5</v>
      </c>
      <c r="E1952">
        <v>0</v>
      </c>
      <c r="F1952" s="1">
        <v>45923</v>
      </c>
      <c r="G1952">
        <f>_xlfn.XLOOKUP(F1952,'Wk no''s'!B:B,'Wk no''s'!C:C,0)</f>
        <v>39</v>
      </c>
    </row>
    <row r="1953" spans="1:7" x14ac:dyDescent="0.3">
      <c r="A1953" t="s">
        <v>6493</v>
      </c>
      <c r="B1953" t="s">
        <v>6494</v>
      </c>
      <c r="C1953" t="s">
        <v>6495</v>
      </c>
      <c r="D1953">
        <v>5</v>
      </c>
      <c r="E1953">
        <v>0</v>
      </c>
      <c r="F1953" s="1">
        <v>45923</v>
      </c>
      <c r="G1953">
        <f>_xlfn.XLOOKUP(F1953,'Wk no''s'!B:B,'Wk no''s'!C:C,0)</f>
        <v>39</v>
      </c>
    </row>
    <row r="1954" spans="1:7" x14ac:dyDescent="0.3">
      <c r="A1954" t="s">
        <v>6496</v>
      </c>
      <c r="B1954" t="s">
        <v>6497</v>
      </c>
      <c r="C1954" t="s">
        <v>2497</v>
      </c>
      <c r="D1954">
        <v>2</v>
      </c>
      <c r="E1954">
        <v>0</v>
      </c>
      <c r="F1954" s="1">
        <v>45923</v>
      </c>
      <c r="G1954">
        <f>_xlfn.XLOOKUP(F1954,'Wk no''s'!B:B,'Wk no''s'!C:C,0)</f>
        <v>39</v>
      </c>
    </row>
    <row r="1955" spans="1:7" x14ac:dyDescent="0.3">
      <c r="A1955" t="s">
        <v>6498</v>
      </c>
      <c r="B1955" t="s">
        <v>6499</v>
      </c>
      <c r="C1955" t="s">
        <v>5130</v>
      </c>
      <c r="D1955">
        <v>0</v>
      </c>
      <c r="E1955">
        <v>1</v>
      </c>
      <c r="F1955" s="1">
        <v>45923</v>
      </c>
      <c r="G1955">
        <f>_xlfn.XLOOKUP(F1955,'Wk no''s'!B:B,'Wk no''s'!C:C,0)</f>
        <v>39</v>
      </c>
    </row>
    <row r="1956" spans="1:7" x14ac:dyDescent="0.3">
      <c r="A1956" t="s">
        <v>6500</v>
      </c>
      <c r="B1956" t="s">
        <v>6501</v>
      </c>
      <c r="C1956" t="s">
        <v>6502</v>
      </c>
      <c r="D1956">
        <v>5</v>
      </c>
      <c r="E1956">
        <v>0</v>
      </c>
      <c r="F1956" s="1">
        <v>45923</v>
      </c>
      <c r="G1956">
        <f>_xlfn.XLOOKUP(F1956,'Wk no''s'!B:B,'Wk no''s'!C:C,0)</f>
        <v>39</v>
      </c>
    </row>
    <row r="1957" spans="1:7" x14ac:dyDescent="0.3">
      <c r="A1957" t="s">
        <v>6503</v>
      </c>
      <c r="B1957" t="s">
        <v>6504</v>
      </c>
      <c r="C1957" t="s">
        <v>3855</v>
      </c>
      <c r="D1957">
        <v>0</v>
      </c>
      <c r="E1957">
        <v>1</v>
      </c>
      <c r="F1957" s="1">
        <v>45924</v>
      </c>
      <c r="G1957">
        <f>_xlfn.XLOOKUP(F1957,'Wk no''s'!B:B,'Wk no''s'!C:C,0)</f>
        <v>39</v>
      </c>
    </row>
    <row r="1958" spans="1:7" x14ac:dyDescent="0.3">
      <c r="A1958" t="s">
        <v>6505</v>
      </c>
      <c r="B1958" t="s">
        <v>6506</v>
      </c>
      <c r="C1958" t="s">
        <v>6507</v>
      </c>
      <c r="D1958">
        <v>3</v>
      </c>
      <c r="E1958">
        <v>0</v>
      </c>
      <c r="F1958" s="1">
        <v>45924</v>
      </c>
      <c r="G1958">
        <f>_xlfn.XLOOKUP(F1958,'Wk no''s'!B:B,'Wk no''s'!C:C,0)</f>
        <v>39</v>
      </c>
    </row>
    <row r="1959" spans="1:7" x14ac:dyDescent="0.3">
      <c r="A1959" t="s">
        <v>6508</v>
      </c>
      <c r="B1959" t="s">
        <v>6509</v>
      </c>
      <c r="C1959" t="s">
        <v>5353</v>
      </c>
      <c r="D1959">
        <v>0</v>
      </c>
      <c r="E1959">
        <v>1</v>
      </c>
      <c r="F1959" s="1">
        <v>45924</v>
      </c>
      <c r="G1959">
        <f>_xlfn.XLOOKUP(F1959,'Wk no''s'!B:B,'Wk no''s'!C:C,0)</f>
        <v>39</v>
      </c>
    </row>
    <row r="1960" spans="1:7" x14ac:dyDescent="0.3">
      <c r="A1960" t="s">
        <v>6510</v>
      </c>
      <c r="B1960" t="s">
        <v>6511</v>
      </c>
      <c r="C1960" t="s">
        <v>6512</v>
      </c>
      <c r="D1960">
        <v>0</v>
      </c>
      <c r="E1960">
        <v>1</v>
      </c>
      <c r="F1960" s="1">
        <v>45924</v>
      </c>
      <c r="G1960">
        <f>_xlfn.XLOOKUP(F1960,'Wk no''s'!B:B,'Wk no''s'!C:C,0)</f>
        <v>39</v>
      </c>
    </row>
    <row r="1961" spans="1:7" x14ac:dyDescent="0.3">
      <c r="A1961" t="s">
        <v>6513</v>
      </c>
      <c r="B1961" t="s">
        <v>6514</v>
      </c>
      <c r="C1961" t="s">
        <v>3549</v>
      </c>
      <c r="D1961">
        <v>0</v>
      </c>
      <c r="E1961">
        <v>1</v>
      </c>
      <c r="F1961" s="1">
        <v>45924</v>
      </c>
      <c r="G1961">
        <f>_xlfn.XLOOKUP(F1961,'Wk no''s'!B:B,'Wk no''s'!C:C,0)</f>
        <v>39</v>
      </c>
    </row>
    <row r="1962" spans="1:7" x14ac:dyDescent="0.3">
      <c r="A1962" t="s">
        <v>6515</v>
      </c>
      <c r="B1962" t="s">
        <v>6516</v>
      </c>
      <c r="C1962" t="s">
        <v>6140</v>
      </c>
      <c r="D1962">
        <v>0</v>
      </c>
      <c r="E1962">
        <v>1</v>
      </c>
      <c r="F1962" s="1">
        <v>45924</v>
      </c>
      <c r="G1962">
        <f>_xlfn.XLOOKUP(F1962,'Wk no''s'!B:B,'Wk no''s'!C:C,0)</f>
        <v>39</v>
      </c>
    </row>
    <row r="1963" spans="1:7" x14ac:dyDescent="0.3">
      <c r="A1963" t="s">
        <v>6517</v>
      </c>
      <c r="B1963" t="s">
        <v>6518</v>
      </c>
      <c r="C1963" t="s">
        <v>6519</v>
      </c>
      <c r="D1963">
        <v>4</v>
      </c>
      <c r="E1963">
        <v>0</v>
      </c>
      <c r="F1963" s="1">
        <v>45924</v>
      </c>
      <c r="G1963">
        <f>_xlfn.XLOOKUP(F1963,'Wk no''s'!B:B,'Wk no''s'!C:C,0)</f>
        <v>39</v>
      </c>
    </row>
    <row r="1964" spans="1:7" x14ac:dyDescent="0.3">
      <c r="A1964" t="s">
        <v>6520</v>
      </c>
      <c r="B1964" t="s">
        <v>6521</v>
      </c>
      <c r="C1964" t="s">
        <v>6522</v>
      </c>
      <c r="D1964">
        <v>4</v>
      </c>
      <c r="E1964">
        <v>0</v>
      </c>
      <c r="F1964" s="1">
        <v>45924</v>
      </c>
      <c r="G1964">
        <f>_xlfn.XLOOKUP(F1964,'Wk no''s'!B:B,'Wk no''s'!C:C,0)</f>
        <v>39</v>
      </c>
    </row>
    <row r="1965" spans="1:7" x14ac:dyDescent="0.3">
      <c r="A1965" t="s">
        <v>6523</v>
      </c>
      <c r="B1965" t="s">
        <v>6524</v>
      </c>
      <c r="C1965" t="s">
        <v>4126</v>
      </c>
      <c r="D1965">
        <v>0</v>
      </c>
      <c r="E1965">
        <v>1</v>
      </c>
      <c r="F1965" s="1">
        <v>45924</v>
      </c>
      <c r="G1965">
        <f>_xlfn.XLOOKUP(F1965,'Wk no''s'!B:B,'Wk no''s'!C:C,0)</f>
        <v>39</v>
      </c>
    </row>
    <row r="1966" spans="1:7" x14ac:dyDescent="0.3">
      <c r="A1966" t="s">
        <v>6525</v>
      </c>
      <c r="B1966" t="s">
        <v>6526</v>
      </c>
      <c r="C1966" t="s">
        <v>4210</v>
      </c>
      <c r="D1966">
        <v>1</v>
      </c>
      <c r="E1966">
        <v>1</v>
      </c>
      <c r="F1966" s="1">
        <v>45924</v>
      </c>
      <c r="G1966">
        <f>_xlfn.XLOOKUP(F1966,'Wk no''s'!B:B,'Wk no''s'!C:C,0)</f>
        <v>39</v>
      </c>
    </row>
    <row r="1967" spans="1:7" x14ac:dyDescent="0.3">
      <c r="A1967" t="s">
        <v>6527</v>
      </c>
      <c r="B1967" t="s">
        <v>6528</v>
      </c>
      <c r="C1967" t="s">
        <v>2681</v>
      </c>
      <c r="D1967">
        <v>4</v>
      </c>
      <c r="E1967">
        <v>0</v>
      </c>
      <c r="F1967" s="1">
        <v>45924</v>
      </c>
      <c r="G1967">
        <f>_xlfn.XLOOKUP(F1967,'Wk no''s'!B:B,'Wk no''s'!C:C,0)</f>
        <v>39</v>
      </c>
    </row>
    <row r="1968" spans="1:7" x14ac:dyDescent="0.3">
      <c r="A1968" t="s">
        <v>6529</v>
      </c>
      <c r="B1968" t="s">
        <v>6530</v>
      </c>
      <c r="C1968" t="s">
        <v>6531</v>
      </c>
      <c r="D1968">
        <v>4</v>
      </c>
      <c r="E1968">
        <v>0</v>
      </c>
      <c r="F1968" s="1">
        <v>45924</v>
      </c>
      <c r="G1968">
        <f>_xlfn.XLOOKUP(F1968,'Wk no''s'!B:B,'Wk no''s'!C:C,0)</f>
        <v>39</v>
      </c>
    </row>
    <row r="1969" spans="1:7" x14ac:dyDescent="0.3">
      <c r="A1969" t="s">
        <v>6532</v>
      </c>
      <c r="B1969" t="s">
        <v>6533</v>
      </c>
      <c r="C1969" t="s">
        <v>2188</v>
      </c>
      <c r="D1969">
        <v>2</v>
      </c>
      <c r="E1969">
        <v>0</v>
      </c>
      <c r="F1969" s="1">
        <v>45925</v>
      </c>
      <c r="G1969">
        <f>_xlfn.XLOOKUP(F1969,'Wk no''s'!B:B,'Wk no''s'!C:C,0)</f>
        <v>39</v>
      </c>
    </row>
    <row r="1970" spans="1:7" x14ac:dyDescent="0.3">
      <c r="A1970" t="s">
        <v>6534</v>
      </c>
      <c r="B1970" t="s">
        <v>6535</v>
      </c>
      <c r="C1970" t="s">
        <v>6536</v>
      </c>
      <c r="D1970">
        <v>2</v>
      </c>
      <c r="E1970">
        <v>0</v>
      </c>
      <c r="F1970" s="1">
        <v>45925</v>
      </c>
      <c r="G1970">
        <f>_xlfn.XLOOKUP(F1970,'Wk no''s'!B:B,'Wk no''s'!C:C,0)</f>
        <v>39</v>
      </c>
    </row>
    <row r="1971" spans="1:7" x14ac:dyDescent="0.3">
      <c r="A1971" t="s">
        <v>6537</v>
      </c>
      <c r="B1971" t="s">
        <v>6538</v>
      </c>
      <c r="C1971" t="s">
        <v>6539</v>
      </c>
      <c r="D1971">
        <v>0</v>
      </c>
      <c r="E1971">
        <v>1</v>
      </c>
      <c r="F1971" s="1">
        <v>45925</v>
      </c>
      <c r="G1971">
        <f>_xlfn.XLOOKUP(F1971,'Wk no''s'!B:B,'Wk no''s'!C:C,0)</f>
        <v>39</v>
      </c>
    </row>
    <row r="1972" spans="1:7" x14ac:dyDescent="0.3">
      <c r="A1972" t="s">
        <v>6540</v>
      </c>
      <c r="B1972" t="s">
        <v>6541</v>
      </c>
      <c r="C1972" t="s">
        <v>4709</v>
      </c>
      <c r="D1972">
        <v>0</v>
      </c>
      <c r="E1972">
        <v>1</v>
      </c>
      <c r="F1972" s="1">
        <v>45925</v>
      </c>
      <c r="G1972">
        <f>_xlfn.XLOOKUP(F1972,'Wk no''s'!B:B,'Wk no''s'!C:C,0)</f>
        <v>39</v>
      </c>
    </row>
    <row r="1973" spans="1:7" x14ac:dyDescent="0.3">
      <c r="A1973" t="s">
        <v>6542</v>
      </c>
      <c r="B1973" t="s">
        <v>6543</v>
      </c>
      <c r="C1973" t="s">
        <v>6544</v>
      </c>
      <c r="D1973">
        <v>0</v>
      </c>
      <c r="E1973">
        <v>1</v>
      </c>
      <c r="F1973" s="1">
        <v>45925</v>
      </c>
      <c r="G1973">
        <f>_xlfn.XLOOKUP(F1973,'Wk no''s'!B:B,'Wk no''s'!C:C,0)</f>
        <v>39</v>
      </c>
    </row>
    <row r="1974" spans="1:7" x14ac:dyDescent="0.3">
      <c r="A1974" t="s">
        <v>6545</v>
      </c>
      <c r="B1974" t="s">
        <v>6546</v>
      </c>
      <c r="C1974" t="s">
        <v>17</v>
      </c>
      <c r="D1974">
        <v>2</v>
      </c>
      <c r="E1974">
        <v>0</v>
      </c>
      <c r="F1974" s="1">
        <v>45925</v>
      </c>
      <c r="G1974">
        <f>_xlfn.XLOOKUP(F1974,'Wk no''s'!B:B,'Wk no''s'!C:C,0)</f>
        <v>39</v>
      </c>
    </row>
    <row r="1975" spans="1:7" x14ac:dyDescent="0.3">
      <c r="A1975" t="s">
        <v>6547</v>
      </c>
      <c r="B1975" t="s">
        <v>6548</v>
      </c>
      <c r="C1975" t="s">
        <v>6549</v>
      </c>
      <c r="D1975">
        <v>3</v>
      </c>
      <c r="E1975">
        <v>0</v>
      </c>
      <c r="F1975" s="1">
        <v>45925</v>
      </c>
      <c r="G1975">
        <f>_xlfn.XLOOKUP(F1975,'Wk no''s'!B:B,'Wk no''s'!C:C,0)</f>
        <v>39</v>
      </c>
    </row>
    <row r="1976" spans="1:7" x14ac:dyDescent="0.3">
      <c r="A1976" t="s">
        <v>6550</v>
      </c>
      <c r="B1976" t="s">
        <v>6551</v>
      </c>
      <c r="C1976" t="s">
        <v>3147</v>
      </c>
      <c r="D1976">
        <v>0</v>
      </c>
      <c r="E1976">
        <v>1</v>
      </c>
      <c r="F1976" s="1">
        <v>45925</v>
      </c>
      <c r="G1976">
        <f>_xlfn.XLOOKUP(F1976,'Wk no''s'!B:B,'Wk no''s'!C:C,0)</f>
        <v>39</v>
      </c>
    </row>
    <row r="1977" spans="1:7" x14ac:dyDescent="0.3">
      <c r="A1977" t="s">
        <v>6552</v>
      </c>
      <c r="B1977" t="s">
        <v>6553</v>
      </c>
      <c r="C1977" t="s">
        <v>1224</v>
      </c>
      <c r="D1977">
        <v>3</v>
      </c>
      <c r="E1977">
        <v>0</v>
      </c>
      <c r="F1977" s="1">
        <v>45925</v>
      </c>
      <c r="G1977">
        <f>_xlfn.XLOOKUP(F1977,'Wk no''s'!B:B,'Wk no''s'!C:C,0)</f>
        <v>39</v>
      </c>
    </row>
    <row r="1978" spans="1:7" x14ac:dyDescent="0.3">
      <c r="A1978" t="s">
        <v>6554</v>
      </c>
      <c r="B1978" t="s">
        <v>6555</v>
      </c>
      <c r="C1978" t="s">
        <v>6556</v>
      </c>
      <c r="D1978">
        <v>2</v>
      </c>
      <c r="E1978">
        <v>0</v>
      </c>
      <c r="F1978" s="1">
        <v>45925</v>
      </c>
      <c r="G1978">
        <f>_xlfn.XLOOKUP(F1978,'Wk no''s'!B:B,'Wk no''s'!C:C,0)</f>
        <v>39</v>
      </c>
    </row>
    <row r="1979" spans="1:7" x14ac:dyDescent="0.3">
      <c r="A1979" t="s">
        <v>6557</v>
      </c>
      <c r="B1979" t="s">
        <v>6558</v>
      </c>
      <c r="C1979" t="s">
        <v>3925</v>
      </c>
      <c r="D1979">
        <v>0</v>
      </c>
      <c r="E1979">
        <v>1</v>
      </c>
      <c r="F1979" s="1">
        <v>45925</v>
      </c>
      <c r="G1979">
        <f>_xlfn.XLOOKUP(F1979,'Wk no''s'!B:B,'Wk no''s'!C:C,0)</f>
        <v>39</v>
      </c>
    </row>
    <row r="1980" spans="1:7" x14ac:dyDescent="0.3">
      <c r="A1980" t="s">
        <v>6559</v>
      </c>
      <c r="B1980" t="s">
        <v>6560</v>
      </c>
      <c r="C1980" t="s">
        <v>3928</v>
      </c>
      <c r="D1980">
        <v>2</v>
      </c>
      <c r="E1980">
        <v>0</v>
      </c>
      <c r="F1980" s="1">
        <v>45925</v>
      </c>
      <c r="G1980">
        <f>_xlfn.XLOOKUP(F1980,'Wk no''s'!B:B,'Wk no''s'!C:C,0)</f>
        <v>39</v>
      </c>
    </row>
    <row r="1981" spans="1:7" x14ac:dyDescent="0.3">
      <c r="A1981" t="s">
        <v>6561</v>
      </c>
      <c r="B1981" t="s">
        <v>6562</v>
      </c>
      <c r="C1981" t="s">
        <v>4100</v>
      </c>
      <c r="D1981">
        <v>1</v>
      </c>
      <c r="E1981">
        <v>1</v>
      </c>
      <c r="F1981" s="1">
        <v>45925</v>
      </c>
      <c r="G1981">
        <f>_xlfn.XLOOKUP(F1981,'Wk no''s'!B:B,'Wk no''s'!C:C,0)</f>
        <v>39</v>
      </c>
    </row>
    <row r="1982" spans="1:7" x14ac:dyDescent="0.3">
      <c r="A1982" t="s">
        <v>6563</v>
      </c>
      <c r="B1982" t="s">
        <v>6564</v>
      </c>
      <c r="C1982" t="s">
        <v>4470</v>
      </c>
      <c r="D1982">
        <v>1</v>
      </c>
      <c r="E1982">
        <v>1</v>
      </c>
      <c r="F1982" s="1">
        <v>45926</v>
      </c>
      <c r="G1982">
        <f>_xlfn.XLOOKUP(F1982,'Wk no''s'!B:B,'Wk no''s'!C:C,0)</f>
        <v>39</v>
      </c>
    </row>
    <row r="1983" spans="1:7" x14ac:dyDescent="0.3">
      <c r="A1983" t="s">
        <v>6565</v>
      </c>
      <c r="B1983" t="s">
        <v>6566</v>
      </c>
      <c r="C1983" t="s">
        <v>4616</v>
      </c>
      <c r="D1983">
        <v>2</v>
      </c>
      <c r="E1983">
        <v>0</v>
      </c>
      <c r="F1983" s="1">
        <v>45926</v>
      </c>
      <c r="G1983">
        <f>_xlfn.XLOOKUP(F1983,'Wk no''s'!B:B,'Wk no''s'!C:C,0)</f>
        <v>39</v>
      </c>
    </row>
    <row r="1984" spans="1:7" x14ac:dyDescent="0.3">
      <c r="A1984" t="s">
        <v>6567</v>
      </c>
      <c r="B1984" t="s">
        <v>6568</v>
      </c>
      <c r="C1984" t="s">
        <v>36</v>
      </c>
      <c r="D1984">
        <v>0</v>
      </c>
      <c r="E1984">
        <v>1</v>
      </c>
      <c r="F1984" s="1">
        <v>45926</v>
      </c>
      <c r="G1984">
        <f>_xlfn.XLOOKUP(F1984,'Wk no''s'!B:B,'Wk no''s'!C:C,0)</f>
        <v>39</v>
      </c>
    </row>
    <row r="1985" spans="1:7" x14ac:dyDescent="0.3">
      <c r="A1985" t="s">
        <v>6569</v>
      </c>
      <c r="B1985" t="s">
        <v>6570</v>
      </c>
      <c r="C1985" t="s">
        <v>6165</v>
      </c>
      <c r="D1985">
        <v>0</v>
      </c>
      <c r="E1985">
        <v>1</v>
      </c>
      <c r="F1985" s="1">
        <v>45926</v>
      </c>
      <c r="G1985">
        <f>_xlfn.XLOOKUP(F1985,'Wk no''s'!B:B,'Wk no''s'!C:C,0)</f>
        <v>39</v>
      </c>
    </row>
    <row r="1986" spans="1:7" x14ac:dyDescent="0.3">
      <c r="A1986" t="s">
        <v>6571</v>
      </c>
      <c r="B1986" t="s">
        <v>6572</v>
      </c>
      <c r="C1986" t="s">
        <v>4128</v>
      </c>
      <c r="D1986">
        <v>2</v>
      </c>
      <c r="E1986">
        <v>0</v>
      </c>
      <c r="F1986" s="1">
        <v>45926</v>
      </c>
      <c r="G1986">
        <f>_xlfn.XLOOKUP(F1986,'Wk no''s'!B:B,'Wk no''s'!C:C,0)</f>
        <v>39</v>
      </c>
    </row>
    <row r="1987" spans="1:7" x14ac:dyDescent="0.3">
      <c r="A1987" t="s">
        <v>6573</v>
      </c>
      <c r="B1987" t="s">
        <v>6574</v>
      </c>
      <c r="C1987" t="s">
        <v>6575</v>
      </c>
      <c r="D1987">
        <v>1</v>
      </c>
      <c r="E1987">
        <v>1</v>
      </c>
      <c r="F1987" s="1">
        <v>45926</v>
      </c>
      <c r="G1987">
        <f>_xlfn.XLOOKUP(F1987,'Wk no''s'!B:B,'Wk no''s'!C:C,0)</f>
        <v>39</v>
      </c>
    </row>
    <row r="1988" spans="1:7" x14ac:dyDescent="0.3">
      <c r="A1988" t="s">
        <v>6622</v>
      </c>
      <c r="B1988" t="s">
        <v>6623</v>
      </c>
      <c r="C1988" t="s">
        <v>5508</v>
      </c>
      <c r="D1988">
        <v>0</v>
      </c>
      <c r="E1988">
        <v>1</v>
      </c>
      <c r="F1988" s="1">
        <v>45929</v>
      </c>
      <c r="G1988">
        <f>_xlfn.XLOOKUP(F1988,'Wk no''s'!B:B,'Wk no''s'!C:C,0)</f>
        <v>40</v>
      </c>
    </row>
    <row r="1989" spans="1:7" x14ac:dyDescent="0.3">
      <c r="A1989" t="s">
        <v>6624</v>
      </c>
      <c r="B1989" t="s">
        <v>6625</v>
      </c>
      <c r="C1989" t="s">
        <v>407</v>
      </c>
      <c r="D1989">
        <v>1</v>
      </c>
      <c r="E1989">
        <v>1</v>
      </c>
      <c r="F1989" s="1">
        <v>45929</v>
      </c>
      <c r="G1989">
        <f>_xlfn.XLOOKUP(F1989,'Wk no''s'!B:B,'Wk no''s'!C:C,0)</f>
        <v>40</v>
      </c>
    </row>
    <row r="1990" spans="1:7" x14ac:dyDescent="0.3">
      <c r="A1990" t="s">
        <v>6626</v>
      </c>
      <c r="B1990" t="s">
        <v>6627</v>
      </c>
      <c r="C1990" t="s">
        <v>6628</v>
      </c>
      <c r="D1990">
        <v>1</v>
      </c>
      <c r="E1990">
        <v>1</v>
      </c>
      <c r="F1990" s="1">
        <v>45929</v>
      </c>
      <c r="G1990">
        <f>_xlfn.XLOOKUP(F1990,'Wk no''s'!B:B,'Wk no''s'!C:C,0)</f>
        <v>40</v>
      </c>
    </row>
    <row r="1991" spans="1:7" x14ac:dyDescent="0.3">
      <c r="A1991" t="s">
        <v>6629</v>
      </c>
      <c r="B1991" t="s">
        <v>6630</v>
      </c>
      <c r="C1991" t="s">
        <v>6631</v>
      </c>
      <c r="D1991">
        <v>1</v>
      </c>
      <c r="E1991">
        <v>1</v>
      </c>
      <c r="F1991" s="1">
        <v>45929</v>
      </c>
      <c r="G1991">
        <f>_xlfn.XLOOKUP(F1991,'Wk no''s'!B:B,'Wk no''s'!C:C,0)</f>
        <v>40</v>
      </c>
    </row>
    <row r="1992" spans="1:7" x14ac:dyDescent="0.3">
      <c r="A1992" t="s">
        <v>6632</v>
      </c>
      <c r="B1992" t="s">
        <v>6633</v>
      </c>
      <c r="C1992" t="s">
        <v>4597</v>
      </c>
      <c r="D1992">
        <v>0</v>
      </c>
      <c r="E1992">
        <v>1</v>
      </c>
      <c r="F1992" s="1">
        <v>45929</v>
      </c>
      <c r="G1992">
        <f>_xlfn.XLOOKUP(F1992,'Wk no''s'!B:B,'Wk no''s'!C:C,0)</f>
        <v>40</v>
      </c>
    </row>
    <row r="1993" spans="1:7" x14ac:dyDescent="0.3">
      <c r="A1993" t="s">
        <v>6634</v>
      </c>
      <c r="B1993" t="s">
        <v>6635</v>
      </c>
      <c r="C1993" t="s">
        <v>4168</v>
      </c>
      <c r="D1993">
        <v>1</v>
      </c>
      <c r="E1993">
        <v>1</v>
      </c>
      <c r="F1993" s="1">
        <v>45929</v>
      </c>
      <c r="G1993">
        <f>_xlfn.XLOOKUP(F1993,'Wk no''s'!B:B,'Wk no''s'!C:C,0)</f>
        <v>40</v>
      </c>
    </row>
    <row r="1994" spans="1:7" x14ac:dyDescent="0.3">
      <c r="A1994" t="s">
        <v>6636</v>
      </c>
      <c r="B1994" t="s">
        <v>6637</v>
      </c>
      <c r="C1994" t="s">
        <v>6638</v>
      </c>
      <c r="D1994">
        <v>1</v>
      </c>
      <c r="E1994">
        <v>1</v>
      </c>
      <c r="F1994" s="1">
        <v>45929</v>
      </c>
      <c r="G1994">
        <f>_xlfn.XLOOKUP(F1994,'Wk no''s'!B:B,'Wk no''s'!C:C,0)</f>
        <v>40</v>
      </c>
    </row>
    <row r="1995" spans="1:7" x14ac:dyDescent="0.3">
      <c r="A1995" t="s">
        <v>6639</v>
      </c>
      <c r="B1995" t="s">
        <v>6640</v>
      </c>
      <c r="C1995" t="s">
        <v>5078</v>
      </c>
      <c r="D1995">
        <v>1</v>
      </c>
      <c r="E1995">
        <v>1</v>
      </c>
      <c r="F1995" s="1">
        <v>45929</v>
      </c>
      <c r="G1995">
        <f>_xlfn.XLOOKUP(F1995,'Wk no''s'!B:B,'Wk no''s'!C:C,0)</f>
        <v>40</v>
      </c>
    </row>
    <row r="1996" spans="1:7" x14ac:dyDescent="0.3">
      <c r="A1996" t="s">
        <v>6641</v>
      </c>
      <c r="B1996" t="s">
        <v>6642</v>
      </c>
      <c r="C1996" t="s">
        <v>4168</v>
      </c>
      <c r="D1996">
        <v>0</v>
      </c>
      <c r="E1996">
        <v>1</v>
      </c>
      <c r="F1996" s="1">
        <v>45929</v>
      </c>
      <c r="G1996">
        <f>_xlfn.XLOOKUP(F1996,'Wk no''s'!B:B,'Wk no''s'!C:C,0)</f>
        <v>40</v>
      </c>
    </row>
    <row r="1997" spans="1:7" x14ac:dyDescent="0.3">
      <c r="A1997" t="s">
        <v>6643</v>
      </c>
      <c r="B1997" t="s">
        <v>6644</v>
      </c>
      <c r="C1997" t="s">
        <v>6645</v>
      </c>
      <c r="D1997">
        <v>1</v>
      </c>
      <c r="E1997">
        <v>1</v>
      </c>
      <c r="F1997" s="1">
        <v>45929</v>
      </c>
      <c r="G1997">
        <f>_xlfn.XLOOKUP(F1997,'Wk no''s'!B:B,'Wk no''s'!C:C,0)</f>
        <v>40</v>
      </c>
    </row>
    <row r="1998" spans="1:7" x14ac:dyDescent="0.3">
      <c r="A1998" t="s">
        <v>6646</v>
      </c>
      <c r="B1998" t="s">
        <v>6647</v>
      </c>
      <c r="C1998" t="s">
        <v>39</v>
      </c>
      <c r="D1998">
        <v>0</v>
      </c>
      <c r="E1998">
        <v>1</v>
      </c>
      <c r="F1998" s="1">
        <v>45930</v>
      </c>
      <c r="G1998">
        <f>_xlfn.XLOOKUP(F1998,'Wk no''s'!B:B,'Wk no''s'!C:C,0)</f>
        <v>40</v>
      </c>
    </row>
    <row r="1999" spans="1:7" x14ac:dyDescent="0.3">
      <c r="A1999" t="s">
        <v>6648</v>
      </c>
      <c r="B1999" t="s">
        <v>6649</v>
      </c>
      <c r="C1999" t="s">
        <v>6650</v>
      </c>
      <c r="D1999">
        <v>0</v>
      </c>
      <c r="E1999">
        <v>1</v>
      </c>
      <c r="F1999" s="1">
        <v>45930</v>
      </c>
      <c r="G1999">
        <f>_xlfn.XLOOKUP(F1999,'Wk no''s'!B:B,'Wk no''s'!C:C,0)</f>
        <v>40</v>
      </c>
    </row>
    <row r="2000" spans="1:7" x14ac:dyDescent="0.3">
      <c r="A2000" t="s">
        <v>6651</v>
      </c>
      <c r="B2000" t="s">
        <v>6652</v>
      </c>
      <c r="C2000" t="s">
        <v>6653</v>
      </c>
      <c r="D2000">
        <v>0</v>
      </c>
      <c r="E2000">
        <v>1</v>
      </c>
      <c r="F2000" s="1">
        <v>45930</v>
      </c>
      <c r="G2000">
        <f>_xlfn.XLOOKUP(F2000,'Wk no''s'!B:B,'Wk no''s'!C:C,0)</f>
        <v>40</v>
      </c>
    </row>
    <row r="2001" spans="1:7" x14ac:dyDescent="0.3">
      <c r="A2001" t="s">
        <v>6654</v>
      </c>
      <c r="B2001" t="s">
        <v>6655</v>
      </c>
      <c r="C2001" t="s">
        <v>6653</v>
      </c>
      <c r="D2001">
        <v>0</v>
      </c>
      <c r="E2001">
        <v>1</v>
      </c>
      <c r="F2001" s="1">
        <v>45930</v>
      </c>
      <c r="G2001">
        <f>_xlfn.XLOOKUP(F2001,'Wk no''s'!B:B,'Wk no''s'!C:C,0)</f>
        <v>40</v>
      </c>
    </row>
    <row r="2002" spans="1:7" x14ac:dyDescent="0.3">
      <c r="A2002" t="s">
        <v>6656</v>
      </c>
      <c r="B2002" t="s">
        <v>6657</v>
      </c>
      <c r="C2002" t="s">
        <v>6653</v>
      </c>
      <c r="D2002">
        <v>0</v>
      </c>
      <c r="E2002">
        <v>1</v>
      </c>
      <c r="F2002" s="1">
        <v>45930</v>
      </c>
      <c r="G2002">
        <f>_xlfn.XLOOKUP(F2002,'Wk no''s'!B:B,'Wk no''s'!C:C,0)</f>
        <v>40</v>
      </c>
    </row>
    <row r="2003" spans="1:7" x14ac:dyDescent="0.3">
      <c r="A2003" t="s">
        <v>6658</v>
      </c>
      <c r="B2003" t="s">
        <v>6659</v>
      </c>
      <c r="C2003" t="s">
        <v>4074</v>
      </c>
      <c r="D2003">
        <v>0</v>
      </c>
      <c r="E2003">
        <v>1</v>
      </c>
      <c r="F2003" s="1">
        <v>45930</v>
      </c>
      <c r="G2003">
        <f>_xlfn.XLOOKUP(F2003,'Wk no''s'!B:B,'Wk no''s'!C:C,0)</f>
        <v>40</v>
      </c>
    </row>
    <row r="2004" spans="1:7" x14ac:dyDescent="0.3">
      <c r="A2004" t="s">
        <v>6660</v>
      </c>
      <c r="C2004" t="s">
        <v>6661</v>
      </c>
      <c r="D2004">
        <v>0</v>
      </c>
      <c r="E2004">
        <v>1</v>
      </c>
      <c r="F2004" s="1">
        <v>45930</v>
      </c>
      <c r="G2004">
        <f>_xlfn.XLOOKUP(F2004,'Wk no''s'!B:B,'Wk no''s'!C:C,0)</f>
        <v>40</v>
      </c>
    </row>
    <row r="2005" spans="1:7" x14ac:dyDescent="0.3">
      <c r="A2005" t="s">
        <v>6662</v>
      </c>
      <c r="B2005" t="s">
        <v>6663</v>
      </c>
      <c r="C2005" t="s">
        <v>6664</v>
      </c>
      <c r="D2005">
        <v>0</v>
      </c>
      <c r="E2005">
        <v>1</v>
      </c>
      <c r="F2005" s="1">
        <v>45930</v>
      </c>
      <c r="G2005">
        <f>_xlfn.XLOOKUP(F2005,'Wk no''s'!B:B,'Wk no''s'!C:C,0)</f>
        <v>40</v>
      </c>
    </row>
    <row r="2006" spans="1:7" x14ac:dyDescent="0.3">
      <c r="A2006" t="s">
        <v>6665</v>
      </c>
      <c r="B2006" t="s">
        <v>6666</v>
      </c>
      <c r="C2006" t="s">
        <v>6661</v>
      </c>
      <c r="D2006">
        <v>0</v>
      </c>
      <c r="E2006">
        <v>1</v>
      </c>
      <c r="F2006" s="1">
        <v>45930</v>
      </c>
      <c r="G2006">
        <f>_xlfn.XLOOKUP(F2006,'Wk no''s'!B:B,'Wk no''s'!C:C,0)</f>
        <v>40</v>
      </c>
    </row>
    <row r="2007" spans="1:7" x14ac:dyDescent="0.3">
      <c r="A2007" t="s">
        <v>6667</v>
      </c>
      <c r="B2007" t="s">
        <v>6668</v>
      </c>
      <c r="C2007" t="s">
        <v>2291</v>
      </c>
      <c r="D2007">
        <v>0</v>
      </c>
      <c r="E2007">
        <v>1</v>
      </c>
      <c r="F2007" s="1">
        <v>45931</v>
      </c>
      <c r="G2007">
        <f>_xlfn.XLOOKUP(F2007,'Wk no''s'!B:B,'Wk no''s'!C:C,0)</f>
        <v>40</v>
      </c>
    </row>
    <row r="2008" spans="1:7" x14ac:dyDescent="0.3">
      <c r="A2008" t="s">
        <v>6669</v>
      </c>
      <c r="B2008" t="s">
        <v>6670</v>
      </c>
      <c r="C2008" t="s">
        <v>2291</v>
      </c>
      <c r="D2008">
        <v>0</v>
      </c>
      <c r="E2008">
        <v>1</v>
      </c>
      <c r="F2008" s="1">
        <v>45931</v>
      </c>
      <c r="G2008">
        <f>_xlfn.XLOOKUP(F2008,'Wk no''s'!B:B,'Wk no''s'!C:C,0)</f>
        <v>40</v>
      </c>
    </row>
    <row r="2009" spans="1:7" x14ac:dyDescent="0.3">
      <c r="A2009" t="s">
        <v>6671</v>
      </c>
      <c r="B2009" t="s">
        <v>6672</v>
      </c>
      <c r="C2009" t="s">
        <v>3447</v>
      </c>
      <c r="D2009">
        <v>0</v>
      </c>
      <c r="E2009">
        <v>1</v>
      </c>
      <c r="F2009" s="1">
        <v>45931</v>
      </c>
      <c r="G2009">
        <f>_xlfn.XLOOKUP(F2009,'Wk no''s'!B:B,'Wk no''s'!C:C,0)</f>
        <v>40</v>
      </c>
    </row>
    <row r="2010" spans="1:7" x14ac:dyDescent="0.3">
      <c r="A2010" t="s">
        <v>6673</v>
      </c>
      <c r="B2010" t="s">
        <v>6674</v>
      </c>
      <c r="C2010" t="s">
        <v>6675</v>
      </c>
      <c r="D2010">
        <v>0</v>
      </c>
      <c r="E2010">
        <v>1</v>
      </c>
      <c r="F2010" s="1">
        <v>45931</v>
      </c>
      <c r="G2010">
        <f>_xlfn.XLOOKUP(F2010,'Wk no''s'!B:B,'Wk no''s'!C:C,0)</f>
        <v>40</v>
      </c>
    </row>
    <row r="2011" spans="1:7" x14ac:dyDescent="0.3">
      <c r="A2011" t="s">
        <v>6676</v>
      </c>
      <c r="B2011" t="s">
        <v>6677</v>
      </c>
      <c r="C2011" t="s">
        <v>2778</v>
      </c>
      <c r="D2011">
        <v>0</v>
      </c>
      <c r="E2011">
        <v>1</v>
      </c>
      <c r="F2011" s="1">
        <v>45931</v>
      </c>
      <c r="G2011">
        <f>_xlfn.XLOOKUP(F2011,'Wk no''s'!B:B,'Wk no''s'!C:C,0)</f>
        <v>40</v>
      </c>
    </row>
    <row r="2012" spans="1:7" x14ac:dyDescent="0.3">
      <c r="A2012" t="s">
        <v>6678</v>
      </c>
      <c r="B2012" t="s">
        <v>6679</v>
      </c>
      <c r="C2012" t="s">
        <v>2267</v>
      </c>
      <c r="D2012">
        <v>0</v>
      </c>
      <c r="E2012">
        <v>1</v>
      </c>
      <c r="F2012" s="1">
        <v>45931</v>
      </c>
      <c r="G2012">
        <f>_xlfn.XLOOKUP(F2012,'Wk no''s'!B:B,'Wk no''s'!C:C,0)</f>
        <v>40</v>
      </c>
    </row>
    <row r="2013" spans="1:7" x14ac:dyDescent="0.3">
      <c r="A2013" t="s">
        <v>6680</v>
      </c>
      <c r="B2013" t="s">
        <v>6681</v>
      </c>
      <c r="C2013" t="s">
        <v>3549</v>
      </c>
      <c r="D2013">
        <v>0</v>
      </c>
      <c r="E2013">
        <v>1</v>
      </c>
      <c r="F2013" s="1">
        <v>45931</v>
      </c>
      <c r="G2013">
        <f>_xlfn.XLOOKUP(F2013,'Wk no''s'!B:B,'Wk no''s'!C:C,0)</f>
        <v>40</v>
      </c>
    </row>
    <row r="2014" spans="1:7" x14ac:dyDescent="0.3">
      <c r="A2014" t="s">
        <v>6682</v>
      </c>
      <c r="B2014" t="s">
        <v>6683</v>
      </c>
      <c r="C2014" t="s">
        <v>5320</v>
      </c>
      <c r="D2014">
        <v>0</v>
      </c>
      <c r="E2014">
        <v>1</v>
      </c>
      <c r="F2014" s="1">
        <v>45931</v>
      </c>
      <c r="G2014">
        <f>_xlfn.XLOOKUP(F2014,'Wk no''s'!B:B,'Wk no''s'!C:C,0)</f>
        <v>40</v>
      </c>
    </row>
    <row r="2015" spans="1:7" x14ac:dyDescent="0.3">
      <c r="A2015" t="s">
        <v>6684</v>
      </c>
      <c r="B2015" t="s">
        <v>6685</v>
      </c>
      <c r="C2015" t="s">
        <v>1194</v>
      </c>
      <c r="D2015">
        <v>0</v>
      </c>
      <c r="E2015">
        <v>1</v>
      </c>
      <c r="F2015" s="1">
        <v>45931</v>
      </c>
      <c r="G2015">
        <f>_xlfn.XLOOKUP(F2015,'Wk no''s'!B:B,'Wk no''s'!C:C,0)</f>
        <v>40</v>
      </c>
    </row>
    <row r="2016" spans="1:7" x14ac:dyDescent="0.3">
      <c r="A2016" t="s">
        <v>6686</v>
      </c>
      <c r="B2016" t="s">
        <v>6687</v>
      </c>
      <c r="C2016" t="s">
        <v>2789</v>
      </c>
      <c r="D2016">
        <v>0</v>
      </c>
      <c r="E2016">
        <v>1</v>
      </c>
      <c r="F2016" s="1">
        <v>45931</v>
      </c>
      <c r="G2016">
        <f>_xlfn.XLOOKUP(F2016,'Wk no''s'!B:B,'Wk no''s'!C:C,0)</f>
        <v>40</v>
      </c>
    </row>
    <row r="2017" spans="1:7" x14ac:dyDescent="0.3">
      <c r="A2017" t="s">
        <v>6688</v>
      </c>
      <c r="B2017" t="s">
        <v>6689</v>
      </c>
      <c r="C2017" t="s">
        <v>6690</v>
      </c>
      <c r="D2017">
        <v>0</v>
      </c>
      <c r="E2017">
        <v>1</v>
      </c>
      <c r="F2017" s="1">
        <v>45932</v>
      </c>
      <c r="G2017">
        <f>_xlfn.XLOOKUP(F2017,'Wk no''s'!B:B,'Wk no''s'!C:C,0)</f>
        <v>40</v>
      </c>
    </row>
    <row r="2018" spans="1:7" x14ac:dyDescent="0.3">
      <c r="A2018" t="s">
        <v>6691</v>
      </c>
      <c r="B2018" t="s">
        <v>6692</v>
      </c>
      <c r="C2018" t="s">
        <v>6693</v>
      </c>
      <c r="D2018">
        <v>0</v>
      </c>
      <c r="E2018">
        <v>1</v>
      </c>
      <c r="F2018" s="1">
        <v>45932</v>
      </c>
      <c r="G2018">
        <f>_xlfn.XLOOKUP(F2018,'Wk no''s'!B:B,'Wk no''s'!C:C,0)</f>
        <v>40</v>
      </c>
    </row>
    <row r="2019" spans="1:7" x14ac:dyDescent="0.3">
      <c r="A2019" t="s">
        <v>6694</v>
      </c>
      <c r="B2019" t="s">
        <v>6695</v>
      </c>
      <c r="C2019" t="s">
        <v>3310</v>
      </c>
      <c r="D2019">
        <v>0</v>
      </c>
      <c r="E2019">
        <v>1</v>
      </c>
      <c r="F2019" s="1">
        <v>45932</v>
      </c>
      <c r="G2019">
        <f>_xlfn.XLOOKUP(F2019,'Wk no''s'!B:B,'Wk no''s'!C:C,0)</f>
        <v>40</v>
      </c>
    </row>
    <row r="2020" spans="1:7" x14ac:dyDescent="0.3">
      <c r="A2020" t="s">
        <v>6696</v>
      </c>
      <c r="B2020" t="s">
        <v>6697</v>
      </c>
      <c r="C2020" t="s">
        <v>6698</v>
      </c>
      <c r="D2020">
        <v>0</v>
      </c>
      <c r="E2020">
        <v>1</v>
      </c>
      <c r="F2020" s="1">
        <v>45932</v>
      </c>
      <c r="G2020">
        <f>_xlfn.XLOOKUP(F2020,'Wk no''s'!B:B,'Wk no''s'!C:C,0)</f>
        <v>40</v>
      </c>
    </row>
    <row r="2021" spans="1:7" x14ac:dyDescent="0.3">
      <c r="A2021" t="s">
        <v>6699</v>
      </c>
      <c r="B2021" t="s">
        <v>6700</v>
      </c>
      <c r="C2021" t="s">
        <v>3034</v>
      </c>
      <c r="D2021">
        <v>0</v>
      </c>
      <c r="E2021">
        <v>1</v>
      </c>
      <c r="F2021" s="1">
        <v>45932</v>
      </c>
      <c r="G2021">
        <f>_xlfn.XLOOKUP(F2021,'Wk no''s'!B:B,'Wk no''s'!C:C,0)</f>
        <v>40</v>
      </c>
    </row>
    <row r="2022" spans="1:7" x14ac:dyDescent="0.3">
      <c r="A2022" t="s">
        <v>6701</v>
      </c>
      <c r="B2022" t="s">
        <v>6702</v>
      </c>
      <c r="C2022" t="s">
        <v>6703</v>
      </c>
      <c r="D2022">
        <v>0</v>
      </c>
      <c r="E2022">
        <v>1</v>
      </c>
      <c r="F2022" s="1">
        <v>45932</v>
      </c>
      <c r="G2022">
        <f>_xlfn.XLOOKUP(F2022,'Wk no''s'!B:B,'Wk no''s'!C:C,0)</f>
        <v>40</v>
      </c>
    </row>
    <row r="2023" spans="1:7" x14ac:dyDescent="0.3">
      <c r="A2023" t="s">
        <v>6704</v>
      </c>
      <c r="B2023" t="s">
        <v>6705</v>
      </c>
      <c r="C2023" t="s">
        <v>6706</v>
      </c>
      <c r="D2023">
        <v>0</v>
      </c>
      <c r="E2023">
        <v>1</v>
      </c>
      <c r="F2023" s="1">
        <v>45932</v>
      </c>
      <c r="G2023">
        <f>_xlfn.XLOOKUP(F2023,'Wk no''s'!B:B,'Wk no''s'!C:C,0)</f>
        <v>40</v>
      </c>
    </row>
    <row r="2024" spans="1:7" x14ac:dyDescent="0.3">
      <c r="A2024" t="s">
        <v>6707</v>
      </c>
      <c r="B2024" t="s">
        <v>6708</v>
      </c>
      <c r="C2024" t="s">
        <v>3987</v>
      </c>
      <c r="D2024">
        <v>0</v>
      </c>
      <c r="E2024">
        <v>1</v>
      </c>
      <c r="F2024" s="1">
        <v>45932</v>
      </c>
      <c r="G2024">
        <f>_xlfn.XLOOKUP(F2024,'Wk no''s'!B:B,'Wk no''s'!C:C,0)</f>
        <v>40</v>
      </c>
    </row>
    <row r="2025" spans="1:7" x14ac:dyDescent="0.3">
      <c r="A2025" t="s">
        <v>6709</v>
      </c>
      <c r="B2025" t="s">
        <v>6710</v>
      </c>
      <c r="C2025" t="s">
        <v>4404</v>
      </c>
      <c r="D2025">
        <v>0</v>
      </c>
      <c r="E2025">
        <v>1</v>
      </c>
      <c r="F2025" s="1">
        <v>45932</v>
      </c>
      <c r="G2025">
        <f>_xlfn.XLOOKUP(F2025,'Wk no''s'!B:B,'Wk no''s'!C:C,0)</f>
        <v>40</v>
      </c>
    </row>
    <row r="2026" spans="1:7" x14ac:dyDescent="0.3">
      <c r="A2026" t="s">
        <v>6711</v>
      </c>
      <c r="B2026" t="s">
        <v>6712</v>
      </c>
      <c r="C2026" t="s">
        <v>4951</v>
      </c>
      <c r="D2026">
        <v>0</v>
      </c>
      <c r="E2026">
        <v>1</v>
      </c>
      <c r="F2026" s="1">
        <v>45932</v>
      </c>
      <c r="G2026">
        <f>_xlfn.XLOOKUP(F2026,'Wk no''s'!B:B,'Wk no''s'!C:C,0)</f>
        <v>40</v>
      </c>
    </row>
    <row r="2027" spans="1:7" x14ac:dyDescent="0.3">
      <c r="A2027" t="s">
        <v>6713</v>
      </c>
      <c r="B2027" t="s">
        <v>6714</v>
      </c>
      <c r="C2027" t="s">
        <v>6715</v>
      </c>
      <c r="D2027">
        <v>0</v>
      </c>
      <c r="E2027">
        <v>1</v>
      </c>
      <c r="F2027" s="1">
        <v>45933</v>
      </c>
      <c r="G2027">
        <f>_xlfn.XLOOKUP(F2027,'Wk no''s'!B:B,'Wk no''s'!C:C,0)</f>
        <v>40</v>
      </c>
    </row>
    <row r="2028" spans="1:7" x14ac:dyDescent="0.3">
      <c r="A2028" t="s">
        <v>6716</v>
      </c>
      <c r="B2028" t="s">
        <v>6717</v>
      </c>
      <c r="C2028" t="s">
        <v>3552</v>
      </c>
      <c r="D2028">
        <v>0</v>
      </c>
      <c r="E2028">
        <v>1</v>
      </c>
      <c r="F2028" s="1">
        <v>45933</v>
      </c>
      <c r="G2028">
        <f>_xlfn.XLOOKUP(F2028,'Wk no''s'!B:B,'Wk no''s'!C:C,0)</f>
        <v>40</v>
      </c>
    </row>
    <row r="2029" spans="1:7" x14ac:dyDescent="0.3">
      <c r="A2029" t="s">
        <v>6718</v>
      </c>
      <c r="B2029" t="s">
        <v>6719</v>
      </c>
      <c r="C2029" t="s">
        <v>302</v>
      </c>
      <c r="D2029">
        <v>0</v>
      </c>
      <c r="E2029">
        <v>1</v>
      </c>
      <c r="F2029" s="1">
        <v>45933</v>
      </c>
      <c r="G2029">
        <f>_xlfn.XLOOKUP(F2029,'Wk no''s'!B:B,'Wk no''s'!C:C,0)</f>
        <v>40</v>
      </c>
    </row>
    <row r="2030" spans="1:7" x14ac:dyDescent="0.3">
      <c r="A2030" t="s">
        <v>6720</v>
      </c>
      <c r="B2030" t="s">
        <v>6721</v>
      </c>
      <c r="C2030" t="s">
        <v>113</v>
      </c>
      <c r="D2030">
        <v>0</v>
      </c>
      <c r="E2030">
        <v>1</v>
      </c>
      <c r="F2030" s="1">
        <v>45933</v>
      </c>
      <c r="G2030">
        <f>_xlfn.XLOOKUP(F2030,'Wk no''s'!B:B,'Wk no''s'!C:C,0)</f>
        <v>40</v>
      </c>
    </row>
    <row r="2031" spans="1:7" x14ac:dyDescent="0.3">
      <c r="A2031" t="s">
        <v>6722</v>
      </c>
      <c r="B2031" t="s">
        <v>6723</v>
      </c>
      <c r="C2031" t="s">
        <v>6724</v>
      </c>
      <c r="D2031">
        <v>0</v>
      </c>
      <c r="E2031">
        <v>1</v>
      </c>
      <c r="F2031" s="1">
        <v>45933</v>
      </c>
      <c r="G2031">
        <f>_xlfn.XLOOKUP(F2031,'Wk no''s'!B:B,'Wk no''s'!C:C,0)</f>
        <v>40</v>
      </c>
    </row>
    <row r="2032" spans="1:7" x14ac:dyDescent="0.3">
      <c r="A2032" t="s">
        <v>6725</v>
      </c>
      <c r="B2032" t="s">
        <v>6726</v>
      </c>
      <c r="C2032" t="s">
        <v>6727</v>
      </c>
      <c r="D2032">
        <v>0</v>
      </c>
      <c r="E2032">
        <v>1</v>
      </c>
      <c r="F2032" s="1">
        <v>45933</v>
      </c>
      <c r="G2032">
        <f>_xlfn.XLOOKUP(F2032,'Wk no''s'!B:B,'Wk no''s'!C:C,0)</f>
        <v>40</v>
      </c>
    </row>
    <row r="2033" spans="1:7" x14ac:dyDescent="0.3">
      <c r="A2033" t="s">
        <v>6728</v>
      </c>
      <c r="B2033" t="s">
        <v>6729</v>
      </c>
      <c r="C2033" t="s">
        <v>6730</v>
      </c>
      <c r="D2033">
        <v>0</v>
      </c>
      <c r="E2033">
        <v>1</v>
      </c>
      <c r="F2033" s="1">
        <v>45933</v>
      </c>
      <c r="G2033">
        <f>_xlfn.XLOOKUP(F2033,'Wk no''s'!B:B,'Wk no''s'!C:C,0)</f>
        <v>40</v>
      </c>
    </row>
    <row r="2034" spans="1:7" x14ac:dyDescent="0.3">
      <c r="A2034" t="s">
        <v>6731</v>
      </c>
      <c r="B2034" t="s">
        <v>6732</v>
      </c>
      <c r="C2034" t="s">
        <v>6733</v>
      </c>
      <c r="D2034">
        <v>0</v>
      </c>
      <c r="E2034">
        <v>1</v>
      </c>
      <c r="F2034" s="1">
        <v>45933</v>
      </c>
      <c r="G2034">
        <f>_xlfn.XLOOKUP(F2034,'Wk no''s'!B:B,'Wk no''s'!C:C,0)</f>
        <v>40</v>
      </c>
    </row>
    <row r="2035" spans="1:7" x14ac:dyDescent="0.3">
      <c r="A2035" t="s">
        <v>6734</v>
      </c>
      <c r="B2035" t="s">
        <v>6735</v>
      </c>
      <c r="C2035" t="s">
        <v>4709</v>
      </c>
      <c r="D2035">
        <v>0</v>
      </c>
      <c r="E2035">
        <v>1</v>
      </c>
      <c r="F2035" s="1">
        <v>45933</v>
      </c>
      <c r="G2035">
        <f>_xlfn.XLOOKUP(F2035,'Wk no''s'!B:B,'Wk no''s'!C:C,0)</f>
        <v>40</v>
      </c>
    </row>
    <row r="2036" spans="1:7" x14ac:dyDescent="0.3">
      <c r="A2036" t="s">
        <v>6737</v>
      </c>
      <c r="B2036" t="s">
        <v>6738</v>
      </c>
      <c r="C2036" t="s">
        <v>1902</v>
      </c>
      <c r="D2036">
        <v>0</v>
      </c>
      <c r="E2036">
        <v>1</v>
      </c>
      <c r="F2036" s="1">
        <v>45936</v>
      </c>
      <c r="G2036">
        <f>_xlfn.XLOOKUP(F2036,'Wk no''s'!B:B,'Wk no''s'!C:C,0)</f>
        <v>41</v>
      </c>
    </row>
    <row r="2037" spans="1:7" x14ac:dyDescent="0.3">
      <c r="A2037" t="s">
        <v>6739</v>
      </c>
      <c r="B2037" t="s">
        <v>6740</v>
      </c>
      <c r="C2037" t="s">
        <v>3177</v>
      </c>
      <c r="D2037">
        <v>0</v>
      </c>
      <c r="E2037">
        <v>1</v>
      </c>
      <c r="F2037" s="1">
        <v>45936</v>
      </c>
      <c r="G2037">
        <f>_xlfn.XLOOKUP(F2037,'Wk no''s'!B:B,'Wk no''s'!C:C,0)</f>
        <v>41</v>
      </c>
    </row>
    <row r="2038" spans="1:7" x14ac:dyDescent="0.3">
      <c r="A2038" t="s">
        <v>6741</v>
      </c>
      <c r="B2038" t="s">
        <v>6742</v>
      </c>
      <c r="C2038" t="s">
        <v>6531</v>
      </c>
      <c r="D2038">
        <v>0</v>
      </c>
      <c r="E2038">
        <v>1</v>
      </c>
      <c r="F2038" s="1">
        <v>45936</v>
      </c>
      <c r="G2038">
        <f>_xlfn.XLOOKUP(F2038,'Wk no''s'!B:B,'Wk no''s'!C:C,0)</f>
        <v>41</v>
      </c>
    </row>
    <row r="2039" spans="1:7" x14ac:dyDescent="0.3">
      <c r="A2039" t="s">
        <v>6743</v>
      </c>
      <c r="B2039" t="s">
        <v>6744</v>
      </c>
      <c r="C2039" t="s">
        <v>1343</v>
      </c>
      <c r="D2039">
        <v>0</v>
      </c>
      <c r="E2039">
        <v>1</v>
      </c>
      <c r="F2039" s="1">
        <v>45936</v>
      </c>
      <c r="G2039">
        <f>_xlfn.XLOOKUP(F2039,'Wk no''s'!B:B,'Wk no''s'!C:C,0)</f>
        <v>41</v>
      </c>
    </row>
    <row r="2040" spans="1:7" x14ac:dyDescent="0.3">
      <c r="A2040" t="s">
        <v>6745</v>
      </c>
      <c r="B2040" t="s">
        <v>6746</v>
      </c>
      <c r="C2040" t="s">
        <v>3034</v>
      </c>
      <c r="D2040">
        <v>0</v>
      </c>
      <c r="E2040">
        <v>1</v>
      </c>
      <c r="F2040" s="1">
        <v>45936</v>
      </c>
      <c r="G2040">
        <f>_xlfn.XLOOKUP(F2040,'Wk no''s'!B:B,'Wk no''s'!C:C,0)</f>
        <v>41</v>
      </c>
    </row>
    <row r="2041" spans="1:7" x14ac:dyDescent="0.3">
      <c r="A2041" t="s">
        <v>6747</v>
      </c>
      <c r="B2041" t="s">
        <v>6748</v>
      </c>
      <c r="C2041" t="s">
        <v>6749</v>
      </c>
      <c r="D2041">
        <v>0</v>
      </c>
      <c r="E2041">
        <v>1</v>
      </c>
      <c r="F2041" s="1">
        <v>45936</v>
      </c>
      <c r="G2041">
        <f>_xlfn.XLOOKUP(F2041,'Wk no''s'!B:B,'Wk no''s'!C:C,0)</f>
        <v>41</v>
      </c>
    </row>
    <row r="2042" spans="1:7" x14ac:dyDescent="0.3">
      <c r="A2042" t="s">
        <v>6750</v>
      </c>
      <c r="B2042" t="s">
        <v>6751</v>
      </c>
      <c r="C2042" t="s">
        <v>6752</v>
      </c>
      <c r="D2042">
        <v>0</v>
      </c>
      <c r="E2042">
        <v>1</v>
      </c>
      <c r="F2042" s="1">
        <v>45936</v>
      </c>
      <c r="G2042">
        <f>_xlfn.XLOOKUP(F2042,'Wk no''s'!B:B,'Wk no''s'!C:C,0)</f>
        <v>41</v>
      </c>
    </row>
    <row r="2043" spans="1:7" x14ac:dyDescent="0.3">
      <c r="A2043" t="s">
        <v>6753</v>
      </c>
      <c r="B2043" t="s">
        <v>6754</v>
      </c>
      <c r="C2043" t="s">
        <v>2291</v>
      </c>
      <c r="D2043">
        <v>0</v>
      </c>
      <c r="E2043">
        <v>1</v>
      </c>
      <c r="F2043" s="1">
        <v>45936</v>
      </c>
      <c r="G2043">
        <f>_xlfn.XLOOKUP(F2043,'Wk no''s'!B:B,'Wk no''s'!C:C,0)</f>
        <v>41</v>
      </c>
    </row>
    <row r="2044" spans="1:7" x14ac:dyDescent="0.3">
      <c r="A2044" t="s">
        <v>6755</v>
      </c>
      <c r="B2044" t="s">
        <v>6756</v>
      </c>
      <c r="C2044" t="s">
        <v>6757</v>
      </c>
      <c r="D2044">
        <v>0</v>
      </c>
      <c r="E2044">
        <v>1</v>
      </c>
      <c r="F2044" s="1">
        <v>45936</v>
      </c>
      <c r="G2044">
        <f>_xlfn.XLOOKUP(F2044,'Wk no''s'!B:B,'Wk no''s'!C:C,0)</f>
        <v>41</v>
      </c>
    </row>
    <row r="2045" spans="1:7" x14ac:dyDescent="0.3">
      <c r="A2045" t="s">
        <v>6758</v>
      </c>
      <c r="B2045" t="s">
        <v>6759</v>
      </c>
      <c r="C2045" t="s">
        <v>2471</v>
      </c>
      <c r="D2045">
        <v>0</v>
      </c>
      <c r="E2045">
        <v>1</v>
      </c>
      <c r="F2045" s="1">
        <v>45936</v>
      </c>
      <c r="G2045">
        <f>_xlfn.XLOOKUP(F2045,'Wk no''s'!B:B,'Wk no''s'!C:C,0)</f>
        <v>41</v>
      </c>
    </row>
    <row r="2046" spans="1:7" x14ac:dyDescent="0.3">
      <c r="A2046" t="s">
        <v>6760</v>
      </c>
      <c r="B2046" t="s">
        <v>6761</v>
      </c>
      <c r="C2046" t="s">
        <v>4775</v>
      </c>
      <c r="D2046">
        <v>0</v>
      </c>
      <c r="E2046">
        <v>1</v>
      </c>
      <c r="F2046" s="1">
        <v>45937</v>
      </c>
      <c r="G2046">
        <f>_xlfn.XLOOKUP(F2046,'Wk no''s'!B:B,'Wk no''s'!C:C,0)</f>
        <v>41</v>
      </c>
    </row>
    <row r="2047" spans="1:7" x14ac:dyDescent="0.3">
      <c r="A2047" t="s">
        <v>6762</v>
      </c>
      <c r="B2047" t="s">
        <v>6763</v>
      </c>
      <c r="C2047" t="s">
        <v>550</v>
      </c>
      <c r="D2047">
        <v>0</v>
      </c>
      <c r="E2047">
        <v>1</v>
      </c>
      <c r="F2047" s="1">
        <v>45937</v>
      </c>
      <c r="G2047">
        <f>_xlfn.XLOOKUP(F2047,'Wk no''s'!B:B,'Wk no''s'!C:C,0)</f>
        <v>41</v>
      </c>
    </row>
    <row r="2048" spans="1:7" x14ac:dyDescent="0.3">
      <c r="A2048" t="s">
        <v>6764</v>
      </c>
      <c r="B2048" t="s">
        <v>6765</v>
      </c>
      <c r="C2048" t="s">
        <v>1772</v>
      </c>
      <c r="D2048">
        <v>0</v>
      </c>
      <c r="E2048">
        <v>1</v>
      </c>
      <c r="F2048" s="1">
        <v>45937</v>
      </c>
      <c r="G2048">
        <f>_xlfn.XLOOKUP(F2048,'Wk no''s'!B:B,'Wk no''s'!C:C,0)</f>
        <v>41</v>
      </c>
    </row>
    <row r="2049" spans="1:7" x14ac:dyDescent="0.3">
      <c r="A2049" t="s">
        <v>6766</v>
      </c>
      <c r="B2049" t="s">
        <v>6767</v>
      </c>
      <c r="C2049" t="s">
        <v>39</v>
      </c>
      <c r="D2049">
        <v>0</v>
      </c>
      <c r="E2049">
        <v>1</v>
      </c>
      <c r="F2049" s="1">
        <v>45937</v>
      </c>
      <c r="G2049">
        <f>_xlfn.XLOOKUP(F2049,'Wk no''s'!B:B,'Wk no''s'!C:C,0)</f>
        <v>41</v>
      </c>
    </row>
    <row r="2050" spans="1:7" x14ac:dyDescent="0.3">
      <c r="A2050" t="s">
        <v>6768</v>
      </c>
      <c r="B2050" t="s">
        <v>6769</v>
      </c>
      <c r="C2050" t="s">
        <v>4775</v>
      </c>
      <c r="D2050">
        <v>0</v>
      </c>
      <c r="E2050">
        <v>1</v>
      </c>
      <c r="F2050" s="1">
        <v>45937</v>
      </c>
      <c r="G2050">
        <f>_xlfn.XLOOKUP(F2050,'Wk no''s'!B:B,'Wk no''s'!C:C,0)</f>
        <v>41</v>
      </c>
    </row>
    <row r="2051" spans="1:7" x14ac:dyDescent="0.3">
      <c r="A2051" t="s">
        <v>6770</v>
      </c>
      <c r="B2051" t="s">
        <v>6771</v>
      </c>
      <c r="C2051" t="s">
        <v>809</v>
      </c>
      <c r="D2051">
        <v>0</v>
      </c>
      <c r="E2051">
        <v>1</v>
      </c>
      <c r="F2051" s="1">
        <v>45937</v>
      </c>
      <c r="G2051">
        <f>_xlfn.XLOOKUP(F2051,'Wk no''s'!B:B,'Wk no''s'!C:C,0)</f>
        <v>41</v>
      </c>
    </row>
    <row r="2052" spans="1:7" x14ac:dyDescent="0.3">
      <c r="A2052" t="s">
        <v>6772</v>
      </c>
      <c r="B2052" t="s">
        <v>6773</v>
      </c>
      <c r="C2052" t="s">
        <v>6774</v>
      </c>
      <c r="D2052">
        <v>0</v>
      </c>
      <c r="E2052">
        <v>1</v>
      </c>
      <c r="F2052" s="1">
        <v>45937</v>
      </c>
      <c r="G2052">
        <f>_xlfn.XLOOKUP(F2052,'Wk no''s'!B:B,'Wk no''s'!C:C,0)</f>
        <v>41</v>
      </c>
    </row>
    <row r="2053" spans="1:7" x14ac:dyDescent="0.3">
      <c r="A2053" t="s">
        <v>6775</v>
      </c>
      <c r="B2053" t="s">
        <v>6776</v>
      </c>
      <c r="C2053" t="s">
        <v>2840</v>
      </c>
      <c r="D2053">
        <v>0</v>
      </c>
      <c r="E2053">
        <v>1</v>
      </c>
      <c r="F2053" s="1">
        <v>45937</v>
      </c>
      <c r="G2053">
        <f>_xlfn.XLOOKUP(F2053,'Wk no''s'!B:B,'Wk no''s'!C:C,0)</f>
        <v>41</v>
      </c>
    </row>
    <row r="2054" spans="1:7" x14ac:dyDescent="0.3">
      <c r="A2054" t="s">
        <v>6777</v>
      </c>
      <c r="B2054" t="s">
        <v>6778</v>
      </c>
      <c r="C2054" t="s">
        <v>6779</v>
      </c>
      <c r="D2054">
        <v>0</v>
      </c>
      <c r="E2054">
        <v>1</v>
      </c>
      <c r="F2054" s="1">
        <v>45937</v>
      </c>
      <c r="G2054">
        <f>_xlfn.XLOOKUP(F2054,'Wk no''s'!B:B,'Wk no''s'!C:C,0)</f>
        <v>41</v>
      </c>
    </row>
    <row r="2055" spans="1:7" x14ac:dyDescent="0.3">
      <c r="A2055" t="s">
        <v>6780</v>
      </c>
      <c r="B2055" t="s">
        <v>6781</v>
      </c>
      <c r="C2055" t="s">
        <v>6664</v>
      </c>
      <c r="D2055">
        <v>0</v>
      </c>
      <c r="E2055">
        <v>1</v>
      </c>
      <c r="F2055" s="1">
        <v>45937</v>
      </c>
      <c r="G2055">
        <f>_xlfn.XLOOKUP(F2055,'Wk no''s'!B:B,'Wk no''s'!C:C,0)</f>
        <v>41</v>
      </c>
    </row>
    <row r="2056" spans="1:7" x14ac:dyDescent="0.3">
      <c r="A2056" t="s">
        <v>6782</v>
      </c>
      <c r="B2056" t="s">
        <v>6783</v>
      </c>
      <c r="C2056" t="s">
        <v>4981</v>
      </c>
      <c r="D2056">
        <v>0</v>
      </c>
      <c r="E2056">
        <v>1</v>
      </c>
      <c r="F2056" s="1">
        <v>45937</v>
      </c>
      <c r="G2056">
        <f>_xlfn.XLOOKUP(F2056,'Wk no''s'!B:B,'Wk no''s'!C:C,0)</f>
        <v>41</v>
      </c>
    </row>
    <row r="2057" spans="1:7" x14ac:dyDescent="0.3">
      <c r="A2057" t="s">
        <v>6784</v>
      </c>
      <c r="B2057" t="s">
        <v>6785</v>
      </c>
      <c r="C2057" t="s">
        <v>2770</v>
      </c>
      <c r="D2057">
        <v>0</v>
      </c>
      <c r="E2057">
        <v>1</v>
      </c>
      <c r="F2057" s="1">
        <v>45937</v>
      </c>
      <c r="G2057">
        <f>_xlfn.XLOOKUP(F2057,'Wk no''s'!B:B,'Wk no''s'!C:C,0)</f>
        <v>41</v>
      </c>
    </row>
    <row r="2058" spans="1:7" x14ac:dyDescent="0.3">
      <c r="A2058" t="s">
        <v>6786</v>
      </c>
      <c r="B2058" t="s">
        <v>6787</v>
      </c>
      <c r="C2058" t="s">
        <v>1902</v>
      </c>
      <c r="D2058">
        <v>0</v>
      </c>
      <c r="E2058">
        <v>1</v>
      </c>
      <c r="F2058" s="1">
        <v>45937</v>
      </c>
      <c r="G2058">
        <f>_xlfn.XLOOKUP(F2058,'Wk no''s'!B:B,'Wk no''s'!C:C,0)</f>
        <v>41</v>
      </c>
    </row>
    <row r="2059" spans="1:7" x14ac:dyDescent="0.3">
      <c r="A2059" t="s">
        <v>6788</v>
      </c>
      <c r="B2059" t="s">
        <v>6789</v>
      </c>
      <c r="C2059" t="s">
        <v>1902</v>
      </c>
      <c r="D2059">
        <v>0</v>
      </c>
      <c r="E2059">
        <v>1</v>
      </c>
      <c r="F2059" s="1">
        <v>45937</v>
      </c>
      <c r="G2059">
        <f>_xlfn.XLOOKUP(F2059,'Wk no''s'!B:B,'Wk no''s'!C:C,0)</f>
        <v>41</v>
      </c>
    </row>
    <row r="2060" spans="1:7" x14ac:dyDescent="0.3">
      <c r="A2060" t="s">
        <v>6790</v>
      </c>
      <c r="B2060" t="s">
        <v>6791</v>
      </c>
      <c r="C2060" t="s">
        <v>5237</v>
      </c>
      <c r="D2060">
        <v>0</v>
      </c>
      <c r="E2060">
        <v>1</v>
      </c>
      <c r="F2060" s="1">
        <v>45937</v>
      </c>
      <c r="G2060">
        <f>_xlfn.XLOOKUP(F2060,'Wk no''s'!B:B,'Wk no''s'!C:C,0)</f>
        <v>41</v>
      </c>
    </row>
    <row r="2061" spans="1:7" x14ac:dyDescent="0.3">
      <c r="A2061" t="s">
        <v>6792</v>
      </c>
      <c r="B2061" t="s">
        <v>6793</v>
      </c>
      <c r="C2061" t="s">
        <v>6794</v>
      </c>
      <c r="D2061">
        <v>0</v>
      </c>
      <c r="E2061">
        <v>1</v>
      </c>
      <c r="F2061" s="1">
        <v>45937</v>
      </c>
      <c r="G2061">
        <f>_xlfn.XLOOKUP(F2061,'Wk no''s'!B:B,'Wk no''s'!C:C,0)</f>
        <v>41</v>
      </c>
    </row>
    <row r="2062" spans="1:7" x14ac:dyDescent="0.3">
      <c r="A2062" t="s">
        <v>6795</v>
      </c>
      <c r="B2062" t="s">
        <v>6796</v>
      </c>
      <c r="C2062" t="s">
        <v>1437</v>
      </c>
      <c r="D2062">
        <v>0</v>
      </c>
      <c r="E2062">
        <v>1</v>
      </c>
      <c r="F2062" s="1">
        <v>45937</v>
      </c>
      <c r="G2062">
        <f>_xlfn.XLOOKUP(F2062,'Wk no''s'!B:B,'Wk no''s'!C:C,0)</f>
        <v>41</v>
      </c>
    </row>
    <row r="2063" spans="1:7" x14ac:dyDescent="0.3">
      <c r="A2063" t="s">
        <v>6797</v>
      </c>
      <c r="B2063" t="s">
        <v>6798</v>
      </c>
      <c r="C2063" t="s">
        <v>6799</v>
      </c>
      <c r="D2063">
        <v>0</v>
      </c>
      <c r="E2063">
        <v>1</v>
      </c>
      <c r="F2063" s="1">
        <v>45938</v>
      </c>
      <c r="G2063">
        <f>_xlfn.XLOOKUP(F2063,'Wk no''s'!B:B,'Wk no''s'!C:C,0)</f>
        <v>41</v>
      </c>
    </row>
    <row r="2064" spans="1:7" x14ac:dyDescent="0.3">
      <c r="A2064" t="s">
        <v>6800</v>
      </c>
      <c r="B2064" t="s">
        <v>6801</v>
      </c>
      <c r="C2064" t="s">
        <v>6802</v>
      </c>
      <c r="D2064">
        <v>0</v>
      </c>
      <c r="E2064">
        <v>1</v>
      </c>
      <c r="F2064" s="1">
        <v>45938</v>
      </c>
      <c r="G2064">
        <f>_xlfn.XLOOKUP(F2064,'Wk no''s'!B:B,'Wk no''s'!C:C,0)</f>
        <v>41</v>
      </c>
    </row>
    <row r="2065" spans="1:7" x14ac:dyDescent="0.3">
      <c r="A2065" t="s">
        <v>6803</v>
      </c>
      <c r="B2065" t="s">
        <v>6804</v>
      </c>
      <c r="C2065" t="s">
        <v>2291</v>
      </c>
      <c r="D2065">
        <v>0</v>
      </c>
      <c r="E2065">
        <v>1</v>
      </c>
      <c r="F2065" s="1">
        <v>45938</v>
      </c>
      <c r="G2065">
        <f>_xlfn.XLOOKUP(F2065,'Wk no''s'!B:B,'Wk no''s'!C:C,0)</f>
        <v>41</v>
      </c>
    </row>
    <row r="2066" spans="1:7" x14ac:dyDescent="0.3">
      <c r="A2066" t="s">
        <v>6805</v>
      </c>
      <c r="B2066" t="s">
        <v>6806</v>
      </c>
      <c r="C2066" t="s">
        <v>2291</v>
      </c>
      <c r="D2066">
        <v>0</v>
      </c>
      <c r="E2066">
        <v>1</v>
      </c>
      <c r="F2066" s="1">
        <v>45938</v>
      </c>
      <c r="G2066">
        <f>_xlfn.XLOOKUP(F2066,'Wk no''s'!B:B,'Wk no''s'!C:C,0)</f>
        <v>41</v>
      </c>
    </row>
    <row r="2067" spans="1:7" x14ac:dyDescent="0.3">
      <c r="A2067" t="s">
        <v>6807</v>
      </c>
      <c r="B2067" t="s">
        <v>6808</v>
      </c>
      <c r="C2067" t="s">
        <v>6809</v>
      </c>
      <c r="D2067">
        <v>0</v>
      </c>
      <c r="E2067">
        <v>1</v>
      </c>
      <c r="F2067" s="1">
        <v>45938</v>
      </c>
      <c r="G2067">
        <f>_xlfn.XLOOKUP(F2067,'Wk no''s'!B:B,'Wk no''s'!C:C,0)</f>
        <v>41</v>
      </c>
    </row>
    <row r="2068" spans="1:7" x14ac:dyDescent="0.3">
      <c r="A2068" t="s">
        <v>6810</v>
      </c>
      <c r="B2068" t="s">
        <v>6811</v>
      </c>
      <c r="C2068" t="s">
        <v>809</v>
      </c>
      <c r="D2068">
        <v>0</v>
      </c>
      <c r="E2068">
        <v>1</v>
      </c>
      <c r="F2068" s="1">
        <v>45938</v>
      </c>
      <c r="G2068">
        <f>_xlfn.XLOOKUP(F2068,'Wk no''s'!B:B,'Wk no''s'!C:C,0)</f>
        <v>41</v>
      </c>
    </row>
    <row r="2069" spans="1:7" x14ac:dyDescent="0.3">
      <c r="A2069" t="s">
        <v>6812</v>
      </c>
      <c r="B2069" t="s">
        <v>6813</v>
      </c>
      <c r="C2069" t="s">
        <v>38</v>
      </c>
      <c r="D2069">
        <v>0</v>
      </c>
      <c r="E2069">
        <v>1</v>
      </c>
      <c r="F2069" s="1">
        <v>45938</v>
      </c>
      <c r="G2069">
        <f>_xlfn.XLOOKUP(F2069,'Wk no''s'!B:B,'Wk no''s'!C:C,0)</f>
        <v>41</v>
      </c>
    </row>
    <row r="2070" spans="1:7" x14ac:dyDescent="0.3">
      <c r="A2070" t="s">
        <v>6814</v>
      </c>
      <c r="B2070" t="s">
        <v>6815</v>
      </c>
      <c r="C2070" t="s">
        <v>2429</v>
      </c>
      <c r="D2070">
        <v>0</v>
      </c>
      <c r="E2070">
        <v>1</v>
      </c>
      <c r="F2070" s="1">
        <v>45939</v>
      </c>
      <c r="G2070">
        <f>_xlfn.XLOOKUP(F2070,'Wk no''s'!B:B,'Wk no''s'!C:C,0)</f>
        <v>41</v>
      </c>
    </row>
    <row r="2071" spans="1:7" x14ac:dyDescent="0.3">
      <c r="A2071" t="s">
        <v>6816</v>
      </c>
      <c r="B2071" t="s">
        <v>6817</v>
      </c>
      <c r="C2071" t="s">
        <v>6818</v>
      </c>
      <c r="D2071">
        <v>0</v>
      </c>
      <c r="E2071">
        <v>1</v>
      </c>
      <c r="F2071" s="1">
        <v>45939</v>
      </c>
      <c r="G2071">
        <f>_xlfn.XLOOKUP(F2071,'Wk no''s'!B:B,'Wk no''s'!C:C,0)</f>
        <v>41</v>
      </c>
    </row>
    <row r="2072" spans="1:7" x14ac:dyDescent="0.3">
      <c r="A2072" t="s">
        <v>6819</v>
      </c>
      <c r="B2072" t="s">
        <v>6820</v>
      </c>
      <c r="C2072" t="s">
        <v>6821</v>
      </c>
      <c r="D2072">
        <v>0</v>
      </c>
      <c r="E2072">
        <v>1</v>
      </c>
      <c r="F2072" s="1">
        <v>45939</v>
      </c>
      <c r="G2072">
        <f>_xlfn.XLOOKUP(F2072,'Wk no''s'!B:B,'Wk no''s'!C:C,0)</f>
        <v>41</v>
      </c>
    </row>
    <row r="2073" spans="1:7" x14ac:dyDescent="0.3">
      <c r="A2073" t="s">
        <v>6822</v>
      </c>
      <c r="B2073" t="s">
        <v>6823</v>
      </c>
      <c r="C2073" t="s">
        <v>1224</v>
      </c>
      <c r="D2073">
        <v>0</v>
      </c>
      <c r="E2073">
        <v>1</v>
      </c>
      <c r="F2073" s="1">
        <v>45939</v>
      </c>
      <c r="G2073">
        <f>_xlfn.XLOOKUP(F2073,'Wk no''s'!B:B,'Wk no''s'!C:C,0)</f>
        <v>41</v>
      </c>
    </row>
    <row r="2074" spans="1:7" x14ac:dyDescent="0.3">
      <c r="A2074" t="s">
        <v>6824</v>
      </c>
      <c r="B2074" t="s">
        <v>6825</v>
      </c>
      <c r="C2074" t="s">
        <v>6826</v>
      </c>
      <c r="D2074">
        <v>0</v>
      </c>
      <c r="E2074">
        <v>1</v>
      </c>
      <c r="F2074" s="1">
        <v>45939</v>
      </c>
      <c r="G2074">
        <f>_xlfn.XLOOKUP(F2074,'Wk no''s'!B:B,'Wk no''s'!C:C,0)</f>
        <v>41</v>
      </c>
    </row>
    <row r="2075" spans="1:7" x14ac:dyDescent="0.3">
      <c r="A2075" t="s">
        <v>6827</v>
      </c>
      <c r="B2075" t="s">
        <v>6828</v>
      </c>
      <c r="C2075" t="s">
        <v>6829</v>
      </c>
      <c r="D2075">
        <v>0</v>
      </c>
      <c r="E2075">
        <v>1</v>
      </c>
      <c r="F2075" s="1">
        <v>45939</v>
      </c>
      <c r="G2075">
        <f>_xlfn.XLOOKUP(F2075,'Wk no''s'!B:B,'Wk no''s'!C:C,0)</f>
        <v>41</v>
      </c>
    </row>
    <row r="2076" spans="1:7" x14ac:dyDescent="0.3">
      <c r="A2076" t="s">
        <v>6830</v>
      </c>
      <c r="B2076" t="s">
        <v>6831</v>
      </c>
      <c r="C2076" t="s">
        <v>6832</v>
      </c>
      <c r="D2076">
        <v>0</v>
      </c>
      <c r="E2076">
        <v>1</v>
      </c>
      <c r="F2076" s="1">
        <v>45939</v>
      </c>
      <c r="G2076">
        <f>_xlfn.XLOOKUP(F2076,'Wk no''s'!B:B,'Wk no''s'!C:C,0)</f>
        <v>41</v>
      </c>
    </row>
    <row r="2077" spans="1:7" x14ac:dyDescent="0.3">
      <c r="A2077" t="s">
        <v>6833</v>
      </c>
      <c r="B2077" t="s">
        <v>6834</v>
      </c>
      <c r="C2077" t="s">
        <v>6835</v>
      </c>
      <c r="D2077">
        <v>0</v>
      </c>
      <c r="E2077">
        <v>1</v>
      </c>
      <c r="F2077" s="1">
        <v>45939</v>
      </c>
      <c r="G2077">
        <f>_xlfn.XLOOKUP(F2077,'Wk no''s'!B:B,'Wk no''s'!C:C,0)</f>
        <v>41</v>
      </c>
    </row>
    <row r="2078" spans="1:7" x14ac:dyDescent="0.3">
      <c r="A2078" t="s">
        <v>6836</v>
      </c>
      <c r="B2078" t="s">
        <v>6837</v>
      </c>
      <c r="C2078" t="s">
        <v>407</v>
      </c>
      <c r="D2078">
        <v>0</v>
      </c>
      <c r="E2078">
        <v>1</v>
      </c>
      <c r="F2078" s="1">
        <v>45939</v>
      </c>
      <c r="G2078">
        <f>_xlfn.XLOOKUP(F2078,'Wk no''s'!B:B,'Wk no''s'!C:C,0)</f>
        <v>41</v>
      </c>
    </row>
    <row r="2079" spans="1:7" x14ac:dyDescent="0.3">
      <c r="A2079" t="s">
        <v>6838</v>
      </c>
      <c r="B2079" t="s">
        <v>6839</v>
      </c>
      <c r="C2079" t="s">
        <v>4136</v>
      </c>
      <c r="D2079">
        <v>0</v>
      </c>
      <c r="E2079">
        <v>1</v>
      </c>
      <c r="F2079" s="1">
        <v>45939</v>
      </c>
      <c r="G2079">
        <f>_xlfn.XLOOKUP(F2079,'Wk no''s'!B:B,'Wk no''s'!C:C,0)</f>
        <v>41</v>
      </c>
    </row>
    <row r="2080" spans="1:7" x14ac:dyDescent="0.3">
      <c r="A2080" t="s">
        <v>6840</v>
      </c>
      <c r="B2080" t="s">
        <v>6841</v>
      </c>
      <c r="C2080" t="s">
        <v>6842</v>
      </c>
      <c r="D2080">
        <v>0</v>
      </c>
      <c r="E2080">
        <v>1</v>
      </c>
      <c r="F2080" s="1">
        <v>45939</v>
      </c>
      <c r="G2080">
        <f>_xlfn.XLOOKUP(F2080,'Wk no''s'!B:B,'Wk no''s'!C:C,0)</f>
        <v>41</v>
      </c>
    </row>
    <row r="2081" spans="1:7" x14ac:dyDescent="0.3">
      <c r="A2081" t="s">
        <v>6843</v>
      </c>
      <c r="B2081" t="s">
        <v>6844</v>
      </c>
      <c r="C2081" t="s">
        <v>3462</v>
      </c>
      <c r="D2081">
        <v>0</v>
      </c>
      <c r="E2081">
        <v>1</v>
      </c>
      <c r="F2081" s="1">
        <v>45939</v>
      </c>
      <c r="G2081">
        <f>_xlfn.XLOOKUP(F2081,'Wk no''s'!B:B,'Wk no''s'!C:C,0)</f>
        <v>41</v>
      </c>
    </row>
    <row r="2082" spans="1:7" x14ac:dyDescent="0.3">
      <c r="A2082" t="s">
        <v>6845</v>
      </c>
      <c r="B2082" t="s">
        <v>6846</v>
      </c>
      <c r="C2082" t="s">
        <v>3462</v>
      </c>
      <c r="D2082">
        <v>0</v>
      </c>
      <c r="E2082">
        <v>1</v>
      </c>
      <c r="F2082" s="1">
        <v>45939</v>
      </c>
      <c r="G2082">
        <f>_xlfn.XLOOKUP(F2082,'Wk no''s'!B:B,'Wk no''s'!C:C,0)</f>
        <v>41</v>
      </c>
    </row>
    <row r="2083" spans="1:7" x14ac:dyDescent="0.3">
      <c r="A2083" t="s">
        <v>6847</v>
      </c>
      <c r="B2083" t="s">
        <v>6848</v>
      </c>
      <c r="C2083" t="s">
        <v>3462</v>
      </c>
      <c r="D2083">
        <v>0</v>
      </c>
      <c r="E2083">
        <v>1</v>
      </c>
      <c r="F2083" s="1">
        <v>45939</v>
      </c>
      <c r="G2083">
        <f>_xlfn.XLOOKUP(F2083,'Wk no''s'!B:B,'Wk no''s'!C:C,0)</f>
        <v>41</v>
      </c>
    </row>
    <row r="2084" spans="1:7" x14ac:dyDescent="0.3">
      <c r="A2084" t="s">
        <v>6849</v>
      </c>
      <c r="B2084" t="s">
        <v>6850</v>
      </c>
      <c r="C2084" t="s">
        <v>6026</v>
      </c>
      <c r="D2084">
        <v>0</v>
      </c>
      <c r="E2084">
        <v>1</v>
      </c>
      <c r="F2084" s="1">
        <v>45940</v>
      </c>
      <c r="G2084">
        <f>_xlfn.XLOOKUP(F2084,'Wk no''s'!B:B,'Wk no''s'!C:C,0)</f>
        <v>41</v>
      </c>
    </row>
    <row r="2085" spans="1:7" x14ac:dyDescent="0.3">
      <c r="A2085" t="s">
        <v>6851</v>
      </c>
      <c r="B2085" t="s">
        <v>6852</v>
      </c>
      <c r="C2085" t="s">
        <v>4128</v>
      </c>
      <c r="D2085">
        <v>0</v>
      </c>
      <c r="E2085">
        <v>1</v>
      </c>
      <c r="F2085" s="1">
        <v>45940</v>
      </c>
      <c r="G2085">
        <f>_xlfn.XLOOKUP(F2085,'Wk no''s'!B:B,'Wk no''s'!C:C,0)</f>
        <v>41</v>
      </c>
    </row>
    <row r="2086" spans="1:7" x14ac:dyDescent="0.3">
      <c r="A2086" t="s">
        <v>6853</v>
      </c>
      <c r="B2086" t="s">
        <v>6854</v>
      </c>
      <c r="C2086" t="s">
        <v>3199</v>
      </c>
      <c r="D2086">
        <v>0</v>
      </c>
      <c r="E2086">
        <v>1</v>
      </c>
      <c r="F2086" s="1">
        <v>45940</v>
      </c>
      <c r="G2086">
        <f>_xlfn.XLOOKUP(F2086,'Wk no''s'!B:B,'Wk no''s'!C:C,0)</f>
        <v>41</v>
      </c>
    </row>
    <row r="2087" spans="1:7" x14ac:dyDescent="0.3">
      <c r="A2087" t="s">
        <v>6855</v>
      </c>
      <c r="B2087" t="s">
        <v>6856</v>
      </c>
      <c r="C2087" t="s">
        <v>809</v>
      </c>
      <c r="D2087">
        <v>0</v>
      </c>
      <c r="E2087">
        <v>1</v>
      </c>
      <c r="F2087" s="1">
        <v>45940</v>
      </c>
      <c r="G2087">
        <f>_xlfn.XLOOKUP(F2087,'Wk no''s'!B:B,'Wk no''s'!C:C,0)</f>
        <v>41</v>
      </c>
    </row>
    <row r="2088" spans="1:7" x14ac:dyDescent="0.3">
      <c r="A2088" t="s">
        <v>6857</v>
      </c>
      <c r="B2088" t="s">
        <v>6858</v>
      </c>
      <c r="C2088" t="s">
        <v>3591</v>
      </c>
      <c r="D2088">
        <v>0</v>
      </c>
      <c r="E2088">
        <v>1</v>
      </c>
      <c r="F2088" s="1">
        <v>45940</v>
      </c>
      <c r="G2088">
        <f>_xlfn.XLOOKUP(F2088,'Wk no''s'!B:B,'Wk no''s'!C:C,0)</f>
        <v>41</v>
      </c>
    </row>
    <row r="2089" spans="1:7" x14ac:dyDescent="0.3">
      <c r="A2089" t="s">
        <v>6859</v>
      </c>
      <c r="B2089" t="s">
        <v>6860</v>
      </c>
      <c r="C2089" t="s">
        <v>3199</v>
      </c>
      <c r="D2089">
        <v>0</v>
      </c>
      <c r="E2089">
        <v>1</v>
      </c>
      <c r="F2089" s="1">
        <v>45940</v>
      </c>
      <c r="G2089">
        <f>_xlfn.XLOOKUP(F2089,'Wk no''s'!B:B,'Wk no''s'!C:C,0)</f>
        <v>41</v>
      </c>
    </row>
    <row r="2090" spans="1:7" x14ac:dyDescent="0.3">
      <c r="A2090" t="s">
        <v>6861</v>
      </c>
      <c r="B2090" t="s">
        <v>6862</v>
      </c>
      <c r="C2090" t="s">
        <v>3199</v>
      </c>
      <c r="D2090">
        <v>0</v>
      </c>
      <c r="E2090">
        <v>1</v>
      </c>
      <c r="F2090" s="1">
        <v>45940</v>
      </c>
      <c r="G2090">
        <f>_xlfn.XLOOKUP(F2090,'Wk no''s'!B:B,'Wk no''s'!C:C,0)</f>
        <v>41</v>
      </c>
    </row>
    <row r="2091" spans="1:7" x14ac:dyDescent="0.3">
      <c r="A2091" t="s">
        <v>6863</v>
      </c>
      <c r="B2091" t="s">
        <v>6864</v>
      </c>
      <c r="C2091" t="s">
        <v>3199</v>
      </c>
      <c r="D2091">
        <v>0</v>
      </c>
      <c r="E2091">
        <v>1</v>
      </c>
      <c r="F2091" s="1">
        <v>45940</v>
      </c>
      <c r="G2091">
        <f>_xlfn.XLOOKUP(F2091,'Wk no''s'!B:B,'Wk no''s'!C:C,0)</f>
        <v>41</v>
      </c>
    </row>
    <row r="2092" spans="1:7" x14ac:dyDescent="0.3">
      <c r="A2092" t="s">
        <v>6909</v>
      </c>
      <c r="B2092" t="s">
        <v>6910</v>
      </c>
      <c r="C2092" t="s">
        <v>3034</v>
      </c>
      <c r="D2092">
        <v>0</v>
      </c>
      <c r="E2092">
        <v>1</v>
      </c>
      <c r="F2092" s="1">
        <v>45943</v>
      </c>
      <c r="G2092">
        <f>_xlfn.XLOOKUP(F2092,'Wk no''s'!B:B,'Wk no''s'!C:C,0)</f>
        <v>42</v>
      </c>
    </row>
    <row r="2093" spans="1:7" x14ac:dyDescent="0.3">
      <c r="A2093" t="s">
        <v>6911</v>
      </c>
      <c r="B2093" t="s">
        <v>6912</v>
      </c>
      <c r="C2093" t="s">
        <v>3055</v>
      </c>
      <c r="D2093">
        <v>0</v>
      </c>
      <c r="E2093">
        <v>1</v>
      </c>
      <c r="F2093" s="1">
        <v>45943</v>
      </c>
      <c r="G2093">
        <f>_xlfn.XLOOKUP(F2093,'Wk no''s'!B:B,'Wk no''s'!C:C,0)</f>
        <v>42</v>
      </c>
    </row>
    <row r="2094" spans="1:7" x14ac:dyDescent="0.3">
      <c r="A2094" t="s">
        <v>6913</v>
      </c>
      <c r="B2094" t="s">
        <v>6914</v>
      </c>
      <c r="C2094" t="s">
        <v>197</v>
      </c>
      <c r="D2094">
        <v>0</v>
      </c>
      <c r="E2094">
        <v>1</v>
      </c>
      <c r="F2094" s="1">
        <v>45943</v>
      </c>
      <c r="G2094">
        <f>_xlfn.XLOOKUP(F2094,'Wk no''s'!B:B,'Wk no''s'!C:C,0)</f>
        <v>42</v>
      </c>
    </row>
    <row r="2095" spans="1:7" x14ac:dyDescent="0.3">
      <c r="A2095" t="s">
        <v>6915</v>
      </c>
      <c r="B2095" t="s">
        <v>6916</v>
      </c>
      <c r="C2095" t="s">
        <v>3544</v>
      </c>
      <c r="D2095">
        <v>0</v>
      </c>
      <c r="E2095">
        <v>1</v>
      </c>
      <c r="F2095" s="1">
        <v>45943</v>
      </c>
      <c r="G2095">
        <f>_xlfn.XLOOKUP(F2095,'Wk no''s'!B:B,'Wk no''s'!C:C,0)</f>
        <v>42</v>
      </c>
    </row>
    <row r="2096" spans="1:7" x14ac:dyDescent="0.3">
      <c r="A2096" t="s">
        <v>6917</v>
      </c>
      <c r="B2096" t="s">
        <v>6918</v>
      </c>
      <c r="C2096" t="s">
        <v>5940</v>
      </c>
      <c r="D2096">
        <v>0</v>
      </c>
      <c r="E2096">
        <v>1</v>
      </c>
      <c r="F2096" s="1">
        <v>45944</v>
      </c>
      <c r="G2096">
        <f>_xlfn.XLOOKUP(F2096,'Wk no''s'!B:B,'Wk no''s'!C:C,0)</f>
        <v>42</v>
      </c>
    </row>
    <row r="2097" spans="1:7" x14ac:dyDescent="0.3">
      <c r="A2097" t="s">
        <v>6919</v>
      </c>
      <c r="B2097" t="s">
        <v>6920</v>
      </c>
      <c r="C2097" t="s">
        <v>6921</v>
      </c>
      <c r="D2097">
        <v>0</v>
      </c>
      <c r="E2097">
        <v>1</v>
      </c>
      <c r="F2097" s="1">
        <v>45944</v>
      </c>
      <c r="G2097">
        <f>_xlfn.XLOOKUP(F2097,'Wk no''s'!B:B,'Wk no''s'!C:C,0)</f>
        <v>42</v>
      </c>
    </row>
    <row r="2098" spans="1:7" x14ac:dyDescent="0.3">
      <c r="A2098" t="s">
        <v>6922</v>
      </c>
      <c r="B2098" t="s">
        <v>6923</v>
      </c>
      <c r="C2098" t="s">
        <v>3226</v>
      </c>
      <c r="D2098">
        <v>0</v>
      </c>
      <c r="E2098">
        <v>1</v>
      </c>
      <c r="F2098" s="1">
        <v>45944</v>
      </c>
      <c r="G2098">
        <f>_xlfn.XLOOKUP(F2098,'Wk no''s'!B:B,'Wk no''s'!C:C,0)</f>
        <v>42</v>
      </c>
    </row>
    <row r="2099" spans="1:7" x14ac:dyDescent="0.3">
      <c r="A2099" t="s">
        <v>6924</v>
      </c>
      <c r="B2099" t="s">
        <v>6925</v>
      </c>
      <c r="C2099" t="s">
        <v>2593</v>
      </c>
      <c r="D2099">
        <v>0</v>
      </c>
      <c r="E2099">
        <v>1</v>
      </c>
      <c r="F2099" s="1">
        <v>45944</v>
      </c>
      <c r="G2099">
        <f>_xlfn.XLOOKUP(F2099,'Wk no''s'!B:B,'Wk no''s'!C:C,0)</f>
        <v>42</v>
      </c>
    </row>
    <row r="2100" spans="1:7" x14ac:dyDescent="0.3">
      <c r="A2100" t="s">
        <v>6926</v>
      </c>
      <c r="B2100" t="s">
        <v>6927</v>
      </c>
      <c r="C2100" t="s">
        <v>6928</v>
      </c>
      <c r="D2100">
        <v>0</v>
      </c>
      <c r="E2100">
        <v>1</v>
      </c>
      <c r="F2100" s="1">
        <v>45944</v>
      </c>
      <c r="G2100">
        <f>_xlfn.XLOOKUP(F2100,'Wk no''s'!B:B,'Wk no''s'!C:C,0)</f>
        <v>42</v>
      </c>
    </row>
    <row r="2101" spans="1:7" x14ac:dyDescent="0.3">
      <c r="A2101" t="s">
        <v>6929</v>
      </c>
      <c r="B2101" t="s">
        <v>6930</v>
      </c>
      <c r="C2101" t="s">
        <v>6931</v>
      </c>
      <c r="D2101">
        <v>0</v>
      </c>
      <c r="E2101">
        <v>1</v>
      </c>
      <c r="F2101" s="1">
        <v>45944</v>
      </c>
      <c r="G2101">
        <f>_xlfn.XLOOKUP(F2101,'Wk no''s'!B:B,'Wk no''s'!C:C,0)</f>
        <v>42</v>
      </c>
    </row>
    <row r="2102" spans="1:7" x14ac:dyDescent="0.3">
      <c r="A2102" t="s">
        <v>6932</v>
      </c>
      <c r="B2102" t="s">
        <v>6933</v>
      </c>
      <c r="C2102" t="s">
        <v>2855</v>
      </c>
      <c r="D2102">
        <v>0</v>
      </c>
      <c r="E2102">
        <v>1</v>
      </c>
      <c r="F2102" s="1">
        <v>45944</v>
      </c>
      <c r="G2102">
        <f>_xlfn.XLOOKUP(F2102,'Wk no''s'!B:B,'Wk no''s'!C:C,0)</f>
        <v>42</v>
      </c>
    </row>
    <row r="2103" spans="1:7" x14ac:dyDescent="0.3">
      <c r="A2103" t="s">
        <v>6934</v>
      </c>
      <c r="B2103" t="s">
        <v>6935</v>
      </c>
      <c r="C2103" t="s">
        <v>6936</v>
      </c>
      <c r="D2103">
        <v>0</v>
      </c>
      <c r="E2103">
        <v>1</v>
      </c>
      <c r="F2103" s="1">
        <v>45944</v>
      </c>
      <c r="G2103">
        <f>_xlfn.XLOOKUP(F2103,'Wk no''s'!B:B,'Wk no''s'!C:C,0)</f>
        <v>42</v>
      </c>
    </row>
    <row r="2104" spans="1:7" x14ac:dyDescent="0.3">
      <c r="A2104" t="s">
        <v>6937</v>
      </c>
      <c r="B2104" t="s">
        <v>6938</v>
      </c>
      <c r="C2104" t="s">
        <v>6939</v>
      </c>
      <c r="D2104">
        <v>0</v>
      </c>
      <c r="E2104">
        <v>1</v>
      </c>
      <c r="F2104" s="1">
        <v>45944</v>
      </c>
      <c r="G2104">
        <f>_xlfn.XLOOKUP(F2104,'Wk no''s'!B:B,'Wk no''s'!C:C,0)</f>
        <v>42</v>
      </c>
    </row>
    <row r="2105" spans="1:7" x14ac:dyDescent="0.3">
      <c r="A2105" t="s">
        <v>6940</v>
      </c>
      <c r="B2105" t="s">
        <v>6941</v>
      </c>
      <c r="C2105" t="s">
        <v>2451</v>
      </c>
      <c r="D2105">
        <v>0</v>
      </c>
      <c r="E2105">
        <v>1</v>
      </c>
      <c r="F2105" s="1">
        <v>45944</v>
      </c>
      <c r="G2105">
        <f>_xlfn.XLOOKUP(F2105,'Wk no''s'!B:B,'Wk no''s'!C:C,0)</f>
        <v>42</v>
      </c>
    </row>
    <row r="2106" spans="1:7" x14ac:dyDescent="0.3">
      <c r="A2106" t="s">
        <v>6942</v>
      </c>
      <c r="B2106" t="s">
        <v>6943</v>
      </c>
      <c r="C2106" t="s">
        <v>6101</v>
      </c>
      <c r="D2106">
        <v>0</v>
      </c>
      <c r="E2106">
        <v>1</v>
      </c>
      <c r="F2106" s="1">
        <v>45944</v>
      </c>
      <c r="G2106">
        <f>_xlfn.XLOOKUP(F2106,'Wk no''s'!B:B,'Wk no''s'!C:C,0)</f>
        <v>42</v>
      </c>
    </row>
    <row r="2107" spans="1:7" x14ac:dyDescent="0.3">
      <c r="A2107" t="s">
        <v>6944</v>
      </c>
      <c r="B2107" t="s">
        <v>6945</v>
      </c>
      <c r="C2107" t="s">
        <v>6946</v>
      </c>
      <c r="D2107">
        <v>0</v>
      </c>
      <c r="E2107">
        <v>1</v>
      </c>
      <c r="F2107" s="1">
        <v>45944</v>
      </c>
      <c r="G2107">
        <f>_xlfn.XLOOKUP(F2107,'Wk no''s'!B:B,'Wk no''s'!C:C,0)</f>
        <v>42</v>
      </c>
    </row>
    <row r="2108" spans="1:7" x14ac:dyDescent="0.3">
      <c r="A2108" t="s">
        <v>6947</v>
      </c>
      <c r="B2108" t="s">
        <v>6948</v>
      </c>
      <c r="C2108" t="s">
        <v>6949</v>
      </c>
      <c r="D2108">
        <v>0</v>
      </c>
      <c r="E2108">
        <v>1</v>
      </c>
      <c r="F2108" s="1">
        <v>45944</v>
      </c>
      <c r="G2108">
        <f>_xlfn.XLOOKUP(F2108,'Wk no''s'!B:B,'Wk no''s'!C:C,0)</f>
        <v>42</v>
      </c>
    </row>
    <row r="2109" spans="1:7" x14ac:dyDescent="0.3">
      <c r="A2109" t="s">
        <v>6950</v>
      </c>
      <c r="B2109" t="s">
        <v>6951</v>
      </c>
      <c r="C2109" t="s">
        <v>3034</v>
      </c>
      <c r="D2109">
        <v>0</v>
      </c>
      <c r="E2109">
        <v>1</v>
      </c>
      <c r="F2109" s="1">
        <v>45944</v>
      </c>
      <c r="G2109">
        <f>_xlfn.XLOOKUP(F2109,'Wk no''s'!B:B,'Wk no''s'!C:C,0)</f>
        <v>42</v>
      </c>
    </row>
    <row r="2110" spans="1:7" x14ac:dyDescent="0.3">
      <c r="A2110" t="s">
        <v>6952</v>
      </c>
      <c r="B2110" t="s">
        <v>6953</v>
      </c>
      <c r="C2110" t="s">
        <v>36</v>
      </c>
      <c r="D2110">
        <v>0</v>
      </c>
      <c r="E2110">
        <v>1</v>
      </c>
      <c r="F2110" s="1">
        <v>45944</v>
      </c>
      <c r="G2110">
        <f>_xlfn.XLOOKUP(F2110,'Wk no''s'!B:B,'Wk no''s'!C:C,0)</f>
        <v>42</v>
      </c>
    </row>
    <row r="2111" spans="1:7" x14ac:dyDescent="0.3">
      <c r="A2111" t="s">
        <v>6954</v>
      </c>
      <c r="B2111" t="s">
        <v>6955</v>
      </c>
      <c r="C2111" t="s">
        <v>3107</v>
      </c>
      <c r="D2111">
        <v>0</v>
      </c>
      <c r="E2111">
        <v>1</v>
      </c>
      <c r="F2111" s="1">
        <v>45945</v>
      </c>
      <c r="G2111">
        <f>_xlfn.XLOOKUP(F2111,'Wk no''s'!B:B,'Wk no''s'!C:C,0)</f>
        <v>42</v>
      </c>
    </row>
    <row r="2112" spans="1:7" x14ac:dyDescent="0.3">
      <c r="A2112" t="s">
        <v>6956</v>
      </c>
      <c r="B2112" t="s">
        <v>6957</v>
      </c>
      <c r="C2112" t="s">
        <v>6958</v>
      </c>
      <c r="D2112">
        <v>0</v>
      </c>
      <c r="E2112">
        <v>1</v>
      </c>
      <c r="F2112" s="1">
        <v>45945</v>
      </c>
      <c r="G2112">
        <f>_xlfn.XLOOKUP(F2112,'Wk no''s'!B:B,'Wk no''s'!C:C,0)</f>
        <v>42</v>
      </c>
    </row>
    <row r="2113" spans="1:7" x14ac:dyDescent="0.3">
      <c r="A2113" t="s">
        <v>6959</v>
      </c>
      <c r="B2113" t="s">
        <v>6960</v>
      </c>
      <c r="C2113" t="s">
        <v>6961</v>
      </c>
      <c r="D2113">
        <v>0</v>
      </c>
      <c r="E2113">
        <v>1</v>
      </c>
      <c r="F2113" s="1">
        <v>45945</v>
      </c>
      <c r="G2113">
        <f>_xlfn.XLOOKUP(F2113,'Wk no''s'!B:B,'Wk no''s'!C:C,0)</f>
        <v>42</v>
      </c>
    </row>
    <row r="2114" spans="1:7" x14ac:dyDescent="0.3">
      <c r="A2114" t="s">
        <v>6962</v>
      </c>
      <c r="B2114" t="s">
        <v>6963</v>
      </c>
      <c r="C2114" t="s">
        <v>1224</v>
      </c>
      <c r="D2114">
        <v>0</v>
      </c>
      <c r="E2114">
        <v>1</v>
      </c>
      <c r="F2114" s="1">
        <v>45945</v>
      </c>
      <c r="G2114">
        <f>_xlfn.XLOOKUP(F2114,'Wk no''s'!B:B,'Wk no''s'!C:C,0)</f>
        <v>42</v>
      </c>
    </row>
    <row r="2115" spans="1:7" x14ac:dyDescent="0.3">
      <c r="A2115" t="s">
        <v>6964</v>
      </c>
      <c r="B2115" t="s">
        <v>6965</v>
      </c>
      <c r="C2115" t="s">
        <v>143</v>
      </c>
      <c r="D2115">
        <v>0</v>
      </c>
      <c r="E2115">
        <v>1</v>
      </c>
      <c r="F2115" s="1">
        <v>45945</v>
      </c>
      <c r="G2115">
        <f>_xlfn.XLOOKUP(F2115,'Wk no''s'!B:B,'Wk no''s'!C:C,0)</f>
        <v>42</v>
      </c>
    </row>
    <row r="2116" spans="1:7" x14ac:dyDescent="0.3">
      <c r="A2116" t="s">
        <v>6966</v>
      </c>
      <c r="B2116" t="s">
        <v>6967</v>
      </c>
      <c r="C2116" t="s">
        <v>6949</v>
      </c>
      <c r="D2116">
        <v>0</v>
      </c>
      <c r="E2116">
        <v>1</v>
      </c>
      <c r="F2116" s="1">
        <v>45945</v>
      </c>
      <c r="G2116">
        <f>_xlfn.XLOOKUP(F2116,'Wk no''s'!B:B,'Wk no''s'!C:C,0)</f>
        <v>42</v>
      </c>
    </row>
    <row r="2117" spans="1:7" x14ac:dyDescent="0.3">
      <c r="A2117" t="s">
        <v>6968</v>
      </c>
      <c r="B2117" t="s">
        <v>6969</v>
      </c>
      <c r="C2117" t="s">
        <v>6970</v>
      </c>
      <c r="D2117">
        <v>0</v>
      </c>
      <c r="E2117">
        <v>1</v>
      </c>
      <c r="F2117" s="1">
        <v>45945</v>
      </c>
      <c r="G2117">
        <f>_xlfn.XLOOKUP(F2117,'Wk no''s'!B:B,'Wk no''s'!C:C,0)</f>
        <v>42</v>
      </c>
    </row>
    <row r="2118" spans="1:7" x14ac:dyDescent="0.3">
      <c r="A2118" t="s">
        <v>6971</v>
      </c>
      <c r="B2118" t="s">
        <v>6972</v>
      </c>
      <c r="C2118" t="s">
        <v>6973</v>
      </c>
      <c r="D2118">
        <v>0</v>
      </c>
      <c r="E2118">
        <v>1</v>
      </c>
      <c r="F2118" s="1">
        <v>45945</v>
      </c>
      <c r="G2118">
        <f>_xlfn.XLOOKUP(F2118,'Wk no''s'!B:B,'Wk no''s'!C:C,0)</f>
        <v>42</v>
      </c>
    </row>
    <row r="2119" spans="1:7" x14ac:dyDescent="0.3">
      <c r="A2119" t="s">
        <v>6974</v>
      </c>
      <c r="B2119" t="s">
        <v>6975</v>
      </c>
      <c r="C2119" t="s">
        <v>3606</v>
      </c>
      <c r="D2119">
        <v>0</v>
      </c>
      <c r="E2119">
        <v>1</v>
      </c>
      <c r="F2119" s="1">
        <v>45945</v>
      </c>
      <c r="G2119">
        <f>_xlfn.XLOOKUP(F2119,'Wk no''s'!B:B,'Wk no''s'!C:C,0)</f>
        <v>42</v>
      </c>
    </row>
    <row r="2120" spans="1:7" x14ac:dyDescent="0.3">
      <c r="A2120" t="s">
        <v>6976</v>
      </c>
      <c r="B2120" t="s">
        <v>6977</v>
      </c>
      <c r="C2120" t="s">
        <v>6978</v>
      </c>
      <c r="D2120">
        <v>0</v>
      </c>
      <c r="E2120">
        <v>1</v>
      </c>
      <c r="F2120" s="1">
        <v>45945</v>
      </c>
      <c r="G2120">
        <f>_xlfn.XLOOKUP(F2120,'Wk no''s'!B:B,'Wk no''s'!C:C,0)</f>
        <v>42</v>
      </c>
    </row>
    <row r="2121" spans="1:7" x14ac:dyDescent="0.3">
      <c r="A2121" t="s">
        <v>6979</v>
      </c>
      <c r="B2121" t="s">
        <v>6980</v>
      </c>
      <c r="C2121" t="s">
        <v>6981</v>
      </c>
      <c r="D2121">
        <v>0</v>
      </c>
      <c r="E2121">
        <v>1</v>
      </c>
      <c r="F2121" s="1">
        <v>45945</v>
      </c>
      <c r="G2121">
        <f>_xlfn.XLOOKUP(F2121,'Wk no''s'!B:B,'Wk no''s'!C:C,0)</f>
        <v>42</v>
      </c>
    </row>
    <row r="2122" spans="1:7" x14ac:dyDescent="0.3">
      <c r="A2122" t="s">
        <v>6982</v>
      </c>
      <c r="B2122" t="s">
        <v>6983</v>
      </c>
      <c r="C2122" t="s">
        <v>2288</v>
      </c>
      <c r="D2122">
        <v>0</v>
      </c>
      <c r="E2122">
        <v>1</v>
      </c>
      <c r="F2122" s="1">
        <v>45945</v>
      </c>
      <c r="G2122">
        <f>_xlfn.XLOOKUP(F2122,'Wk no''s'!B:B,'Wk no''s'!C:C,0)</f>
        <v>42</v>
      </c>
    </row>
    <row r="2123" spans="1:7" x14ac:dyDescent="0.3">
      <c r="A2123" t="s">
        <v>6984</v>
      </c>
      <c r="B2123" t="s">
        <v>6985</v>
      </c>
      <c r="C2123" t="s">
        <v>6986</v>
      </c>
      <c r="D2123">
        <v>0</v>
      </c>
      <c r="E2123">
        <v>1</v>
      </c>
      <c r="F2123" s="1">
        <v>45945</v>
      </c>
      <c r="G2123">
        <f>_xlfn.XLOOKUP(F2123,'Wk no''s'!B:B,'Wk no''s'!C:C,0)</f>
        <v>42</v>
      </c>
    </row>
    <row r="2124" spans="1:7" x14ac:dyDescent="0.3">
      <c r="A2124" t="s">
        <v>6987</v>
      </c>
      <c r="B2124" t="s">
        <v>6988</v>
      </c>
      <c r="C2124" t="s">
        <v>6989</v>
      </c>
      <c r="D2124">
        <v>0</v>
      </c>
      <c r="E2124">
        <v>1</v>
      </c>
      <c r="F2124" s="1">
        <v>45946</v>
      </c>
      <c r="G2124">
        <f>_xlfn.XLOOKUP(F2124,'Wk no''s'!B:B,'Wk no''s'!C:C,0)</f>
        <v>42</v>
      </c>
    </row>
    <row r="2125" spans="1:7" x14ac:dyDescent="0.3">
      <c r="A2125" t="s">
        <v>6990</v>
      </c>
      <c r="B2125" t="s">
        <v>6991</v>
      </c>
      <c r="C2125" t="s">
        <v>6992</v>
      </c>
      <c r="D2125">
        <v>0</v>
      </c>
      <c r="E2125">
        <v>1</v>
      </c>
      <c r="F2125" s="1">
        <v>45946</v>
      </c>
      <c r="G2125">
        <f>_xlfn.XLOOKUP(F2125,'Wk no''s'!B:B,'Wk no''s'!C:C,0)</f>
        <v>42</v>
      </c>
    </row>
    <row r="2126" spans="1:7" x14ac:dyDescent="0.3">
      <c r="A2126" t="s">
        <v>6993</v>
      </c>
      <c r="B2126" t="s">
        <v>6994</v>
      </c>
      <c r="C2126" t="s">
        <v>6995</v>
      </c>
      <c r="D2126">
        <v>0</v>
      </c>
      <c r="E2126">
        <v>1</v>
      </c>
      <c r="F2126" s="1">
        <v>45946</v>
      </c>
      <c r="G2126">
        <f>_xlfn.XLOOKUP(F2126,'Wk no''s'!B:B,'Wk no''s'!C:C,0)</f>
        <v>42</v>
      </c>
    </row>
    <row r="2127" spans="1:7" x14ac:dyDescent="0.3">
      <c r="A2127" t="s">
        <v>6996</v>
      </c>
      <c r="B2127" t="s">
        <v>6997</v>
      </c>
      <c r="C2127" t="s">
        <v>3703</v>
      </c>
      <c r="D2127">
        <v>0</v>
      </c>
      <c r="E2127">
        <v>1</v>
      </c>
      <c r="F2127" s="1">
        <v>45946</v>
      </c>
      <c r="G2127">
        <f>_xlfn.XLOOKUP(F2127,'Wk no''s'!B:B,'Wk no''s'!C:C,0)</f>
        <v>42</v>
      </c>
    </row>
    <row r="2128" spans="1:7" x14ac:dyDescent="0.3">
      <c r="A2128" t="s">
        <v>6998</v>
      </c>
      <c r="B2128" t="s">
        <v>6999</v>
      </c>
      <c r="C2128" t="s">
        <v>550</v>
      </c>
      <c r="D2128">
        <v>0</v>
      </c>
      <c r="E2128">
        <v>1</v>
      </c>
      <c r="F2128" s="1">
        <v>45946</v>
      </c>
      <c r="G2128">
        <f>_xlfn.XLOOKUP(F2128,'Wk no''s'!B:B,'Wk no''s'!C:C,0)</f>
        <v>42</v>
      </c>
    </row>
    <row r="2129" spans="1:7" x14ac:dyDescent="0.3">
      <c r="A2129" t="s">
        <v>7000</v>
      </c>
      <c r="B2129" t="s">
        <v>7001</v>
      </c>
      <c r="C2129" t="s">
        <v>6832</v>
      </c>
      <c r="D2129">
        <v>0</v>
      </c>
      <c r="E2129">
        <v>1</v>
      </c>
      <c r="F2129" s="1">
        <v>45946</v>
      </c>
      <c r="G2129">
        <f>_xlfn.XLOOKUP(F2129,'Wk no''s'!B:B,'Wk no''s'!C:C,0)</f>
        <v>42</v>
      </c>
    </row>
    <row r="2130" spans="1:7" x14ac:dyDescent="0.3">
      <c r="A2130" t="s">
        <v>7002</v>
      </c>
      <c r="B2130" t="s">
        <v>7003</v>
      </c>
      <c r="C2130" t="s">
        <v>7004</v>
      </c>
      <c r="D2130">
        <v>0</v>
      </c>
      <c r="E2130">
        <v>1</v>
      </c>
      <c r="F2130" s="1">
        <v>45946</v>
      </c>
      <c r="G2130">
        <f>_xlfn.XLOOKUP(F2130,'Wk no''s'!B:B,'Wk no''s'!C:C,0)</f>
        <v>42</v>
      </c>
    </row>
    <row r="2131" spans="1:7" x14ac:dyDescent="0.3">
      <c r="A2131" t="s">
        <v>7005</v>
      </c>
      <c r="B2131" t="s">
        <v>7006</v>
      </c>
      <c r="C2131" t="s">
        <v>228</v>
      </c>
      <c r="D2131">
        <v>0</v>
      </c>
      <c r="E2131">
        <v>1</v>
      </c>
      <c r="F2131" s="1">
        <v>45946</v>
      </c>
      <c r="G2131">
        <f>_xlfn.XLOOKUP(F2131,'Wk no''s'!B:B,'Wk no''s'!C:C,0)</f>
        <v>42</v>
      </c>
    </row>
    <row r="2132" spans="1:7" x14ac:dyDescent="0.3">
      <c r="A2132" t="s">
        <v>7007</v>
      </c>
      <c r="B2132" t="s">
        <v>7008</v>
      </c>
      <c r="C2132" t="s">
        <v>7009</v>
      </c>
      <c r="D2132">
        <v>0</v>
      </c>
      <c r="E2132">
        <v>1</v>
      </c>
      <c r="F2132" s="1">
        <v>45946</v>
      </c>
      <c r="G2132">
        <f>_xlfn.XLOOKUP(F2132,'Wk no''s'!B:B,'Wk no''s'!C:C,0)</f>
        <v>42</v>
      </c>
    </row>
    <row r="2133" spans="1:7" x14ac:dyDescent="0.3">
      <c r="A2133" t="s">
        <v>7010</v>
      </c>
      <c r="B2133" t="s">
        <v>7011</v>
      </c>
      <c r="C2133" t="s">
        <v>7012</v>
      </c>
      <c r="D2133">
        <v>0</v>
      </c>
      <c r="E2133">
        <v>1</v>
      </c>
      <c r="F2133" s="1">
        <v>45946</v>
      </c>
      <c r="G2133">
        <f>_xlfn.XLOOKUP(F2133,'Wk no''s'!B:B,'Wk no''s'!C:C,0)</f>
        <v>42</v>
      </c>
    </row>
    <row r="2134" spans="1:7" x14ac:dyDescent="0.3">
      <c r="A2134" t="s">
        <v>7013</v>
      </c>
      <c r="C2134" t="s">
        <v>4802</v>
      </c>
      <c r="D2134">
        <v>0</v>
      </c>
      <c r="E2134">
        <v>1</v>
      </c>
      <c r="F2134" s="1">
        <v>45947</v>
      </c>
      <c r="G2134">
        <f>_xlfn.XLOOKUP(F2134,'Wk no''s'!B:B,'Wk no''s'!C:C,0)</f>
        <v>42</v>
      </c>
    </row>
    <row r="2135" spans="1:7" x14ac:dyDescent="0.3">
      <c r="A2135" t="s">
        <v>7014</v>
      </c>
      <c r="B2135" t="s">
        <v>7015</v>
      </c>
      <c r="C2135" t="s">
        <v>1902</v>
      </c>
      <c r="D2135">
        <v>0</v>
      </c>
      <c r="E2135">
        <v>1</v>
      </c>
      <c r="F2135" s="1">
        <v>45947</v>
      </c>
      <c r="G2135">
        <f>_xlfn.XLOOKUP(F2135,'Wk no''s'!B:B,'Wk no''s'!C:C,0)</f>
        <v>42</v>
      </c>
    </row>
    <row r="2136" spans="1:7" x14ac:dyDescent="0.3">
      <c r="A2136" t="s">
        <v>7016</v>
      </c>
      <c r="B2136" t="s">
        <v>7017</v>
      </c>
      <c r="C2136" t="s">
        <v>7018</v>
      </c>
      <c r="D2136">
        <v>0</v>
      </c>
      <c r="E2136">
        <v>1</v>
      </c>
      <c r="F2136" s="1">
        <v>45947</v>
      </c>
      <c r="G2136">
        <f>_xlfn.XLOOKUP(F2136,'Wk no''s'!B:B,'Wk no''s'!C:C,0)</f>
        <v>42</v>
      </c>
    </row>
    <row r="2137" spans="1:7" x14ac:dyDescent="0.3">
      <c r="A2137" t="s">
        <v>7019</v>
      </c>
      <c r="B2137" t="s">
        <v>7020</v>
      </c>
      <c r="C2137" t="s">
        <v>7021</v>
      </c>
      <c r="D2137">
        <v>0</v>
      </c>
      <c r="E2137">
        <v>1</v>
      </c>
      <c r="F2137" s="1">
        <v>45947</v>
      </c>
      <c r="G2137">
        <f>_xlfn.XLOOKUP(F2137,'Wk no''s'!B:B,'Wk no''s'!C:C,0)</f>
        <v>42</v>
      </c>
    </row>
    <row r="2138" spans="1:7" x14ac:dyDescent="0.3">
      <c r="A2138" t="s">
        <v>7022</v>
      </c>
      <c r="B2138" t="s">
        <v>7023</v>
      </c>
      <c r="C2138" t="s">
        <v>3444</v>
      </c>
      <c r="D2138">
        <v>0</v>
      </c>
      <c r="E2138">
        <v>1</v>
      </c>
      <c r="F2138" s="1">
        <v>45947</v>
      </c>
      <c r="G2138">
        <f>_xlfn.XLOOKUP(F2138,'Wk no''s'!B:B,'Wk no''s'!C:C,0)</f>
        <v>42</v>
      </c>
    </row>
    <row r="2139" spans="1:7" x14ac:dyDescent="0.3">
      <c r="A2139" t="s">
        <v>7024</v>
      </c>
      <c r="B2139" t="s">
        <v>7025</v>
      </c>
      <c r="C2139" t="s">
        <v>220</v>
      </c>
      <c r="D2139">
        <v>0</v>
      </c>
      <c r="E2139">
        <v>1</v>
      </c>
      <c r="F2139" s="1">
        <v>45947</v>
      </c>
      <c r="G2139">
        <f>_xlfn.XLOOKUP(F2139,'Wk no''s'!B:B,'Wk no''s'!C:C,0)</f>
        <v>42</v>
      </c>
    </row>
    <row r="2140" spans="1:7" x14ac:dyDescent="0.3">
      <c r="A2140" t="s">
        <v>7026</v>
      </c>
      <c r="B2140" t="s">
        <v>7027</v>
      </c>
      <c r="C2140" t="s">
        <v>220</v>
      </c>
      <c r="D2140">
        <v>0</v>
      </c>
      <c r="E2140">
        <v>1</v>
      </c>
      <c r="F2140" s="1">
        <v>45947</v>
      </c>
      <c r="G2140">
        <f>_xlfn.XLOOKUP(F2140,'Wk no''s'!B:B,'Wk no''s'!C:C,0)</f>
        <v>42</v>
      </c>
    </row>
    <row r="2141" spans="1:7" x14ac:dyDescent="0.3">
      <c r="A2141" t="s">
        <v>7028</v>
      </c>
      <c r="B2141" t="s">
        <v>7029</v>
      </c>
      <c r="C2141" t="s">
        <v>2270</v>
      </c>
      <c r="D2141">
        <v>0</v>
      </c>
      <c r="E2141">
        <v>1</v>
      </c>
      <c r="F2141" s="1">
        <v>45947</v>
      </c>
      <c r="G2141">
        <f>_xlfn.XLOOKUP(F2141,'Wk no''s'!B:B,'Wk no''s'!C:C,0)</f>
        <v>42</v>
      </c>
    </row>
    <row r="2142" spans="1:7" x14ac:dyDescent="0.3">
      <c r="A2142" t="s">
        <v>7030</v>
      </c>
      <c r="B2142" t="s">
        <v>7031</v>
      </c>
      <c r="C2142" t="s">
        <v>809</v>
      </c>
      <c r="D2142">
        <v>0</v>
      </c>
      <c r="E2142">
        <v>1</v>
      </c>
      <c r="F2142" s="1">
        <v>45947</v>
      </c>
      <c r="G2142">
        <f>_xlfn.XLOOKUP(F2142,'Wk no''s'!B:B,'Wk no''s'!C:C,0)</f>
        <v>42</v>
      </c>
    </row>
  </sheetData>
  <autoFilter ref="A1:G1452" xr:uid="{6B8F7EF7-3E8C-4587-9C71-CC4A9141B243}"/>
  <pageMargins left="0.7" right="0.7" top="0.75" bottom="0.75" header="0.3" footer="0.3"/>
  <headerFooter>
    <oddFooter>&amp;C_x000D_&amp;1#&amp;"Aptos"&amp;10&amp;K000000 Classification: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5327-B5CC-4D95-86A6-DEDFF3DB5D39}">
  <dimension ref="A1:G2142"/>
  <sheetViews>
    <sheetView workbookViewId="0">
      <selection activeCell="C6" sqref="C6"/>
    </sheetView>
  </sheetViews>
  <sheetFormatPr defaultRowHeight="14.4" x14ac:dyDescent="0.3"/>
  <cols>
    <col min="1" max="1" width="34" bestFit="1" customWidth="1"/>
    <col min="2" max="2" width="22.109375" bestFit="1" customWidth="1"/>
    <col min="3" max="3" width="68.6640625" bestFit="1" customWidth="1"/>
    <col min="4" max="4" width="26.109375" bestFit="1" customWidth="1"/>
    <col min="5" max="5" width="10.5546875" bestFit="1" customWidth="1"/>
    <col min="6" max="6" width="29" bestFit="1" customWidth="1"/>
    <col min="7" max="7" width="11" bestFit="1" customWidth="1"/>
  </cols>
  <sheetData>
    <row r="1" spans="1:7" x14ac:dyDescent="0.3">
      <c r="A1" t="s">
        <v>1181</v>
      </c>
      <c r="B1" t="s">
        <v>1182</v>
      </c>
      <c r="C1" t="s">
        <v>745</v>
      </c>
      <c r="D1" t="s">
        <v>4021</v>
      </c>
      <c r="E1" t="s">
        <v>1184</v>
      </c>
      <c r="F1" t="s">
        <v>1185</v>
      </c>
      <c r="G1" s="8" t="s">
        <v>754</v>
      </c>
    </row>
    <row r="2" spans="1:7" x14ac:dyDescent="0.3">
      <c r="A2" t="s">
        <v>1186</v>
      </c>
      <c r="B2" t="s">
        <v>1187</v>
      </c>
      <c r="C2" t="s">
        <v>1188</v>
      </c>
      <c r="D2">
        <v>0</v>
      </c>
      <c r="E2">
        <v>1</v>
      </c>
      <c r="F2" s="1">
        <v>45663</v>
      </c>
      <c r="G2">
        <f>_xlfn.XLOOKUP(F2,'Wk no''s'!B:B,'Wk no''s'!C:C,0)</f>
        <v>2</v>
      </c>
    </row>
    <row r="3" spans="1:7" x14ac:dyDescent="0.3">
      <c r="A3" t="s">
        <v>1189</v>
      </c>
      <c r="B3" t="s">
        <v>1190</v>
      </c>
      <c r="C3" t="s">
        <v>1191</v>
      </c>
      <c r="D3">
        <v>0</v>
      </c>
      <c r="E3">
        <v>1</v>
      </c>
      <c r="F3" s="1">
        <v>45663</v>
      </c>
      <c r="G3">
        <f>_xlfn.XLOOKUP(F3,'Wk no''s'!B:B,'Wk no''s'!C:C,0)</f>
        <v>2</v>
      </c>
    </row>
    <row r="4" spans="1:7" x14ac:dyDescent="0.3">
      <c r="A4" t="s">
        <v>1192</v>
      </c>
      <c r="B4" t="s">
        <v>1193</v>
      </c>
      <c r="C4" t="s">
        <v>1194</v>
      </c>
      <c r="D4">
        <v>0</v>
      </c>
      <c r="E4">
        <v>1</v>
      </c>
      <c r="F4" s="1">
        <v>45663</v>
      </c>
      <c r="G4">
        <f>_xlfn.XLOOKUP(F4,'Wk no''s'!B:B,'Wk no''s'!C:C,0)</f>
        <v>2</v>
      </c>
    </row>
    <row r="5" spans="1:7" x14ac:dyDescent="0.3">
      <c r="A5" t="s">
        <v>1195</v>
      </c>
      <c r="B5" t="s">
        <v>1196</v>
      </c>
      <c r="C5" t="s">
        <v>566</v>
      </c>
      <c r="D5">
        <v>0</v>
      </c>
      <c r="E5">
        <v>1</v>
      </c>
      <c r="F5" s="1">
        <v>45663</v>
      </c>
      <c r="G5">
        <f>_xlfn.XLOOKUP(F5,'Wk no''s'!B:B,'Wk no''s'!C:C,0)</f>
        <v>2</v>
      </c>
    </row>
    <row r="6" spans="1:7" x14ac:dyDescent="0.3">
      <c r="A6" t="s">
        <v>1197</v>
      </c>
      <c r="B6" t="s">
        <v>1198</v>
      </c>
      <c r="C6" t="s">
        <v>1199</v>
      </c>
      <c r="D6">
        <v>0</v>
      </c>
      <c r="E6">
        <v>1</v>
      </c>
      <c r="F6" s="1">
        <v>45663</v>
      </c>
      <c r="G6">
        <f>_xlfn.XLOOKUP(F6,'Wk no''s'!B:B,'Wk no''s'!C:C,0)</f>
        <v>2</v>
      </c>
    </row>
    <row r="7" spans="1:7" x14ac:dyDescent="0.3">
      <c r="A7" t="s">
        <v>1200</v>
      </c>
      <c r="B7" t="s">
        <v>1201</v>
      </c>
      <c r="C7" t="s">
        <v>407</v>
      </c>
      <c r="D7">
        <v>0</v>
      </c>
      <c r="E7">
        <v>1</v>
      </c>
      <c r="F7" s="1">
        <v>45663</v>
      </c>
      <c r="G7">
        <f>_xlfn.XLOOKUP(F7,'Wk no''s'!B:B,'Wk no''s'!C:C,0)</f>
        <v>2</v>
      </c>
    </row>
    <row r="8" spans="1:7" x14ac:dyDescent="0.3">
      <c r="A8" t="s">
        <v>1202</v>
      </c>
      <c r="B8" t="s">
        <v>1203</v>
      </c>
      <c r="C8" t="s">
        <v>407</v>
      </c>
      <c r="D8">
        <v>0</v>
      </c>
      <c r="E8">
        <v>1</v>
      </c>
      <c r="F8" s="1">
        <v>45663</v>
      </c>
      <c r="G8">
        <f>_xlfn.XLOOKUP(F8,'Wk no''s'!B:B,'Wk no''s'!C:C,0)</f>
        <v>2</v>
      </c>
    </row>
    <row r="9" spans="1:7" x14ac:dyDescent="0.3">
      <c r="A9" t="s">
        <v>1204</v>
      </c>
      <c r="B9" t="s">
        <v>1205</v>
      </c>
      <c r="C9" t="s">
        <v>4352</v>
      </c>
      <c r="D9">
        <v>0</v>
      </c>
      <c r="E9">
        <v>1</v>
      </c>
      <c r="F9" s="1">
        <v>45663</v>
      </c>
      <c r="G9">
        <f>_xlfn.XLOOKUP(F9,'Wk no''s'!B:B,'Wk no''s'!C:C,0)</f>
        <v>2</v>
      </c>
    </row>
    <row r="10" spans="1:7" x14ac:dyDescent="0.3">
      <c r="A10" t="s">
        <v>1206</v>
      </c>
      <c r="B10" t="s">
        <v>1207</v>
      </c>
      <c r="C10" t="s">
        <v>1208</v>
      </c>
      <c r="D10">
        <v>0</v>
      </c>
      <c r="E10">
        <v>1</v>
      </c>
      <c r="F10" s="1">
        <v>45663</v>
      </c>
      <c r="G10">
        <f>_xlfn.XLOOKUP(F10,'Wk no''s'!B:B,'Wk no''s'!C:C,0)</f>
        <v>2</v>
      </c>
    </row>
    <row r="11" spans="1:7" x14ac:dyDescent="0.3">
      <c r="A11" t="s">
        <v>1209</v>
      </c>
      <c r="B11" t="s">
        <v>1210</v>
      </c>
      <c r="C11" t="s">
        <v>566</v>
      </c>
      <c r="D11">
        <v>0</v>
      </c>
      <c r="E11">
        <v>1</v>
      </c>
      <c r="F11" s="1">
        <v>45663</v>
      </c>
      <c r="G11">
        <f>_xlfn.XLOOKUP(F11,'Wk no''s'!B:B,'Wk no''s'!C:C,0)</f>
        <v>2</v>
      </c>
    </row>
    <row r="12" spans="1:7" x14ac:dyDescent="0.3">
      <c r="A12" t="s">
        <v>1211</v>
      </c>
      <c r="B12" t="s">
        <v>1212</v>
      </c>
      <c r="C12" t="s">
        <v>16</v>
      </c>
      <c r="D12">
        <v>6</v>
      </c>
      <c r="E12">
        <v>0</v>
      </c>
      <c r="F12" s="1">
        <v>45663</v>
      </c>
      <c r="G12">
        <f>_xlfn.XLOOKUP(F12,'Wk no''s'!B:B,'Wk no''s'!C:C,0)</f>
        <v>2</v>
      </c>
    </row>
    <row r="13" spans="1:7" x14ac:dyDescent="0.3">
      <c r="A13" t="s">
        <v>1213</v>
      </c>
      <c r="B13" t="s">
        <v>1214</v>
      </c>
      <c r="C13" t="s">
        <v>1215</v>
      </c>
      <c r="D13">
        <v>0</v>
      </c>
      <c r="E13">
        <v>1</v>
      </c>
      <c r="F13" s="1">
        <v>45663</v>
      </c>
      <c r="G13">
        <f>_xlfn.XLOOKUP(F13,'Wk no''s'!B:B,'Wk no''s'!C:C,0)</f>
        <v>2</v>
      </c>
    </row>
    <row r="14" spans="1:7" x14ac:dyDescent="0.3">
      <c r="A14" t="s">
        <v>1216</v>
      </c>
      <c r="B14" t="s">
        <v>1217</v>
      </c>
      <c r="C14" t="s">
        <v>1218</v>
      </c>
      <c r="D14">
        <v>11</v>
      </c>
      <c r="E14">
        <v>0</v>
      </c>
      <c r="F14" s="1">
        <v>45663</v>
      </c>
      <c r="G14">
        <f>_xlfn.XLOOKUP(F14,'Wk no''s'!B:B,'Wk no''s'!C:C,0)</f>
        <v>2</v>
      </c>
    </row>
    <row r="15" spans="1:7" x14ac:dyDescent="0.3">
      <c r="A15" t="s">
        <v>1219</v>
      </c>
      <c r="B15" t="s">
        <v>1220</v>
      </c>
      <c r="C15" t="s">
        <v>1221</v>
      </c>
      <c r="D15">
        <v>1</v>
      </c>
      <c r="E15">
        <v>1</v>
      </c>
      <c r="F15" s="1">
        <v>45663</v>
      </c>
      <c r="G15">
        <f>_xlfn.XLOOKUP(F15,'Wk no''s'!B:B,'Wk no''s'!C:C,0)</f>
        <v>2</v>
      </c>
    </row>
    <row r="16" spans="1:7" x14ac:dyDescent="0.3">
      <c r="A16" t="s">
        <v>1222</v>
      </c>
      <c r="B16" t="s">
        <v>1223</v>
      </c>
      <c r="C16" t="s">
        <v>1224</v>
      </c>
      <c r="D16">
        <v>0</v>
      </c>
      <c r="E16">
        <v>1</v>
      </c>
      <c r="F16" s="1">
        <v>45663</v>
      </c>
      <c r="G16">
        <f>_xlfn.XLOOKUP(F16,'Wk no''s'!B:B,'Wk no''s'!C:C,0)</f>
        <v>2</v>
      </c>
    </row>
    <row r="17" spans="1:7" x14ac:dyDescent="0.3">
      <c r="A17" t="s">
        <v>1225</v>
      </c>
      <c r="B17" t="s">
        <v>1226</v>
      </c>
      <c r="C17" t="s">
        <v>75</v>
      </c>
      <c r="D17">
        <v>0</v>
      </c>
      <c r="E17">
        <v>1</v>
      </c>
      <c r="F17" s="1">
        <v>45663</v>
      </c>
      <c r="G17">
        <f>_xlfn.XLOOKUP(F17,'Wk no''s'!B:B,'Wk no''s'!C:C,0)</f>
        <v>2</v>
      </c>
    </row>
    <row r="18" spans="1:7" x14ac:dyDescent="0.3">
      <c r="A18" t="s">
        <v>1227</v>
      </c>
      <c r="B18" t="s">
        <v>1228</v>
      </c>
      <c r="C18" t="s">
        <v>550</v>
      </c>
      <c r="D18">
        <v>0</v>
      </c>
      <c r="E18">
        <v>1</v>
      </c>
      <c r="F18" s="1">
        <v>45663</v>
      </c>
      <c r="G18">
        <f>_xlfn.XLOOKUP(F18,'Wk no''s'!B:B,'Wk no''s'!C:C,0)</f>
        <v>2</v>
      </c>
    </row>
    <row r="19" spans="1:7" x14ac:dyDescent="0.3">
      <c r="A19" t="s">
        <v>1229</v>
      </c>
      <c r="B19" t="s">
        <v>1230</v>
      </c>
      <c r="C19" t="s">
        <v>1231</v>
      </c>
      <c r="D19">
        <v>18</v>
      </c>
      <c r="E19">
        <v>0</v>
      </c>
      <c r="F19" s="1">
        <v>45663</v>
      </c>
      <c r="G19">
        <f>_xlfn.XLOOKUP(F19,'Wk no''s'!B:B,'Wk no''s'!C:C,0)</f>
        <v>2</v>
      </c>
    </row>
    <row r="20" spans="1:7" x14ac:dyDescent="0.3">
      <c r="A20" t="s">
        <v>1232</v>
      </c>
      <c r="B20" t="s">
        <v>1233</v>
      </c>
      <c r="C20" t="s">
        <v>1231</v>
      </c>
      <c r="D20">
        <v>13</v>
      </c>
      <c r="E20">
        <v>0</v>
      </c>
      <c r="F20" s="1">
        <v>45663</v>
      </c>
      <c r="G20">
        <f>_xlfn.XLOOKUP(F20,'Wk no''s'!B:B,'Wk no''s'!C:C,0)</f>
        <v>2</v>
      </c>
    </row>
    <row r="21" spans="1:7" x14ac:dyDescent="0.3">
      <c r="A21" t="s">
        <v>1234</v>
      </c>
      <c r="B21" t="s">
        <v>1235</v>
      </c>
      <c r="C21" t="s">
        <v>1224</v>
      </c>
      <c r="D21">
        <v>0</v>
      </c>
      <c r="E21">
        <v>1</v>
      </c>
      <c r="F21" s="1">
        <v>45663</v>
      </c>
      <c r="G21">
        <f>_xlfn.XLOOKUP(F21,'Wk no''s'!B:B,'Wk no''s'!C:C,0)</f>
        <v>2</v>
      </c>
    </row>
    <row r="22" spans="1:7" x14ac:dyDescent="0.3">
      <c r="A22" t="s">
        <v>1236</v>
      </c>
      <c r="B22" t="s">
        <v>1237</v>
      </c>
      <c r="C22" t="s">
        <v>339</v>
      </c>
      <c r="D22">
        <v>0</v>
      </c>
      <c r="E22">
        <v>1</v>
      </c>
      <c r="F22" s="1">
        <v>45663</v>
      </c>
      <c r="G22">
        <f>_xlfn.XLOOKUP(F22,'Wk no''s'!B:B,'Wk no''s'!C:C,0)</f>
        <v>2</v>
      </c>
    </row>
    <row r="23" spans="1:7" x14ac:dyDescent="0.3">
      <c r="A23" t="s">
        <v>1238</v>
      </c>
      <c r="B23" t="s">
        <v>1239</v>
      </c>
      <c r="C23" t="s">
        <v>1240</v>
      </c>
      <c r="D23">
        <v>0</v>
      </c>
      <c r="E23">
        <v>1</v>
      </c>
      <c r="F23" s="1">
        <v>45663</v>
      </c>
      <c r="G23">
        <f>_xlfn.XLOOKUP(F23,'Wk no''s'!B:B,'Wk no''s'!C:C,0)</f>
        <v>2</v>
      </c>
    </row>
    <row r="24" spans="1:7" x14ac:dyDescent="0.3">
      <c r="A24" t="s">
        <v>1241</v>
      </c>
      <c r="B24" t="s">
        <v>1242</v>
      </c>
      <c r="C24" t="s">
        <v>1243</v>
      </c>
      <c r="D24">
        <v>0</v>
      </c>
      <c r="E24">
        <v>1</v>
      </c>
      <c r="F24" s="1">
        <v>45663</v>
      </c>
      <c r="G24">
        <f>_xlfn.XLOOKUP(F24,'Wk no''s'!B:B,'Wk no''s'!C:C,0)</f>
        <v>2</v>
      </c>
    </row>
    <row r="25" spans="1:7" x14ac:dyDescent="0.3">
      <c r="A25" t="s">
        <v>1244</v>
      </c>
      <c r="B25" t="s">
        <v>1245</v>
      </c>
      <c r="C25" t="s">
        <v>1246</v>
      </c>
      <c r="D25">
        <v>0</v>
      </c>
      <c r="E25">
        <v>1</v>
      </c>
      <c r="F25" s="1">
        <v>45663</v>
      </c>
      <c r="G25">
        <f>_xlfn.XLOOKUP(F25,'Wk no''s'!B:B,'Wk no''s'!C:C,0)</f>
        <v>2</v>
      </c>
    </row>
    <row r="26" spans="1:7" x14ac:dyDescent="0.3">
      <c r="A26" t="s">
        <v>1247</v>
      </c>
      <c r="C26" t="s">
        <v>1248</v>
      </c>
      <c r="D26">
        <v>52</v>
      </c>
      <c r="E26">
        <v>0</v>
      </c>
      <c r="F26" s="1">
        <v>45663</v>
      </c>
      <c r="G26">
        <f>_xlfn.XLOOKUP(F26,'Wk no''s'!B:B,'Wk no''s'!C:C,0)</f>
        <v>2</v>
      </c>
    </row>
    <row r="27" spans="1:7" x14ac:dyDescent="0.3">
      <c r="A27" t="s">
        <v>1249</v>
      </c>
      <c r="B27" t="s">
        <v>1250</v>
      </c>
      <c r="C27" t="s">
        <v>1251</v>
      </c>
      <c r="D27">
        <v>0</v>
      </c>
      <c r="E27">
        <v>1</v>
      </c>
      <c r="F27" s="1">
        <v>45663</v>
      </c>
      <c r="G27">
        <f>_xlfn.XLOOKUP(F27,'Wk no''s'!B:B,'Wk no''s'!C:C,0)</f>
        <v>2</v>
      </c>
    </row>
    <row r="28" spans="1:7" x14ac:dyDescent="0.3">
      <c r="A28" t="s">
        <v>1252</v>
      </c>
      <c r="B28" t="s">
        <v>1253</v>
      </c>
      <c r="C28" t="s">
        <v>197</v>
      </c>
      <c r="D28">
        <v>0</v>
      </c>
      <c r="E28">
        <v>1</v>
      </c>
      <c r="F28" s="1">
        <v>45663</v>
      </c>
      <c r="G28">
        <f>_xlfn.XLOOKUP(F28,'Wk no''s'!B:B,'Wk no''s'!C:C,0)</f>
        <v>2</v>
      </c>
    </row>
    <row r="29" spans="1:7" x14ac:dyDescent="0.3">
      <c r="A29" t="s">
        <v>1254</v>
      </c>
      <c r="B29" t="s">
        <v>1255</v>
      </c>
      <c r="C29" t="s">
        <v>1256</v>
      </c>
      <c r="D29">
        <v>0</v>
      </c>
      <c r="E29">
        <v>1</v>
      </c>
      <c r="F29" s="1">
        <v>45664</v>
      </c>
      <c r="G29">
        <f>_xlfn.XLOOKUP(F29,'Wk no''s'!B:B,'Wk no''s'!C:C,0)</f>
        <v>2</v>
      </c>
    </row>
    <row r="30" spans="1:7" x14ac:dyDescent="0.3">
      <c r="A30" t="s">
        <v>1257</v>
      </c>
      <c r="B30" t="s">
        <v>1258</v>
      </c>
      <c r="C30" t="s">
        <v>1246</v>
      </c>
      <c r="D30">
        <v>0</v>
      </c>
      <c r="E30">
        <v>1</v>
      </c>
      <c r="F30" s="1">
        <v>45664</v>
      </c>
      <c r="G30">
        <f>_xlfn.XLOOKUP(F30,'Wk no''s'!B:B,'Wk no''s'!C:C,0)</f>
        <v>2</v>
      </c>
    </row>
    <row r="31" spans="1:7" x14ac:dyDescent="0.3">
      <c r="A31" t="s">
        <v>1259</v>
      </c>
      <c r="B31" t="s">
        <v>1260</v>
      </c>
      <c r="C31" t="s">
        <v>1246</v>
      </c>
      <c r="D31">
        <v>0</v>
      </c>
      <c r="E31">
        <v>1</v>
      </c>
      <c r="F31" s="1">
        <v>45664</v>
      </c>
      <c r="G31">
        <f>_xlfn.XLOOKUP(F31,'Wk no''s'!B:B,'Wk no''s'!C:C,0)</f>
        <v>2</v>
      </c>
    </row>
    <row r="32" spans="1:7" x14ac:dyDescent="0.3">
      <c r="A32" t="s">
        <v>1261</v>
      </c>
      <c r="B32" t="s">
        <v>1262</v>
      </c>
      <c r="C32" t="s">
        <v>75</v>
      </c>
      <c r="D32">
        <v>0</v>
      </c>
      <c r="E32">
        <v>1</v>
      </c>
      <c r="F32" s="1">
        <v>45664</v>
      </c>
      <c r="G32">
        <f>_xlfn.XLOOKUP(F32,'Wk no''s'!B:B,'Wk no''s'!C:C,0)</f>
        <v>2</v>
      </c>
    </row>
    <row r="33" spans="1:7" x14ac:dyDescent="0.3">
      <c r="A33" t="s">
        <v>1263</v>
      </c>
      <c r="B33" t="s">
        <v>1264</v>
      </c>
      <c r="C33" t="s">
        <v>273</v>
      </c>
      <c r="D33">
        <v>1</v>
      </c>
      <c r="E33">
        <v>1</v>
      </c>
      <c r="F33" s="1">
        <v>45664</v>
      </c>
      <c r="G33">
        <f>_xlfn.XLOOKUP(F33,'Wk no''s'!B:B,'Wk no''s'!C:C,0)</f>
        <v>2</v>
      </c>
    </row>
    <row r="34" spans="1:7" x14ac:dyDescent="0.3">
      <c r="A34" t="s">
        <v>1265</v>
      </c>
      <c r="B34" t="s">
        <v>1266</v>
      </c>
      <c r="C34" t="s">
        <v>353</v>
      </c>
      <c r="D34">
        <v>0</v>
      </c>
      <c r="E34">
        <v>1</v>
      </c>
      <c r="F34" s="1">
        <v>45664</v>
      </c>
      <c r="G34">
        <f>_xlfn.XLOOKUP(F34,'Wk no''s'!B:B,'Wk no''s'!C:C,0)</f>
        <v>2</v>
      </c>
    </row>
    <row r="35" spans="1:7" x14ac:dyDescent="0.3">
      <c r="A35" t="s">
        <v>1267</v>
      </c>
      <c r="B35" t="s">
        <v>1268</v>
      </c>
      <c r="C35" t="s">
        <v>1269</v>
      </c>
      <c r="D35">
        <v>0</v>
      </c>
      <c r="E35">
        <v>1</v>
      </c>
      <c r="F35" s="1">
        <v>45664</v>
      </c>
      <c r="G35">
        <f>_xlfn.XLOOKUP(F35,'Wk no''s'!B:B,'Wk no''s'!C:C,0)</f>
        <v>2</v>
      </c>
    </row>
    <row r="36" spans="1:7" x14ac:dyDescent="0.3">
      <c r="A36" t="s">
        <v>1270</v>
      </c>
      <c r="B36" t="s">
        <v>1271</v>
      </c>
      <c r="C36" t="s">
        <v>682</v>
      </c>
      <c r="D36">
        <v>0</v>
      </c>
      <c r="E36">
        <v>1</v>
      </c>
      <c r="F36" s="1">
        <v>45664</v>
      </c>
      <c r="G36">
        <f>_xlfn.XLOOKUP(F36,'Wk no''s'!B:B,'Wk no''s'!C:C,0)</f>
        <v>2</v>
      </c>
    </row>
    <row r="37" spans="1:7" x14ac:dyDescent="0.3">
      <c r="A37" t="s">
        <v>1272</v>
      </c>
      <c r="B37" t="s">
        <v>1273</v>
      </c>
      <c r="C37" t="s">
        <v>1274</v>
      </c>
      <c r="D37">
        <v>0</v>
      </c>
      <c r="E37">
        <v>1</v>
      </c>
      <c r="F37" s="1">
        <v>45664</v>
      </c>
      <c r="G37">
        <f>_xlfn.XLOOKUP(F37,'Wk no''s'!B:B,'Wk no''s'!C:C,0)</f>
        <v>2</v>
      </c>
    </row>
    <row r="38" spans="1:7" x14ac:dyDescent="0.3">
      <c r="A38" t="s">
        <v>1275</v>
      </c>
      <c r="B38" t="s">
        <v>1276</v>
      </c>
      <c r="C38" t="s">
        <v>550</v>
      </c>
      <c r="D38">
        <v>0</v>
      </c>
      <c r="E38">
        <v>1</v>
      </c>
      <c r="F38" s="1">
        <v>45664</v>
      </c>
      <c r="G38">
        <f>_xlfn.XLOOKUP(F38,'Wk no''s'!B:B,'Wk no''s'!C:C,0)</f>
        <v>2</v>
      </c>
    </row>
    <row r="39" spans="1:7" x14ac:dyDescent="0.3">
      <c r="A39" t="s">
        <v>1277</v>
      </c>
      <c r="B39" t="s">
        <v>1278</v>
      </c>
      <c r="C39" t="s">
        <v>1279</v>
      </c>
      <c r="D39">
        <v>0</v>
      </c>
      <c r="E39">
        <v>1</v>
      </c>
      <c r="F39" s="1">
        <v>45664</v>
      </c>
      <c r="G39">
        <f>_xlfn.XLOOKUP(F39,'Wk no''s'!B:B,'Wk no''s'!C:C,0)</f>
        <v>2</v>
      </c>
    </row>
    <row r="40" spans="1:7" x14ac:dyDescent="0.3">
      <c r="A40" t="s">
        <v>1280</v>
      </c>
      <c r="B40" t="s">
        <v>1281</v>
      </c>
      <c r="C40" t="s">
        <v>1246</v>
      </c>
      <c r="D40">
        <v>0</v>
      </c>
      <c r="E40">
        <v>1</v>
      </c>
      <c r="F40" s="1">
        <v>45664</v>
      </c>
      <c r="G40">
        <f>_xlfn.XLOOKUP(F40,'Wk no''s'!B:B,'Wk no''s'!C:C,0)</f>
        <v>2</v>
      </c>
    </row>
    <row r="41" spans="1:7" x14ac:dyDescent="0.3">
      <c r="A41" t="s">
        <v>1282</v>
      </c>
      <c r="B41" t="s">
        <v>1283</v>
      </c>
      <c r="C41" t="s">
        <v>403</v>
      </c>
      <c r="D41">
        <v>2</v>
      </c>
      <c r="E41">
        <v>1</v>
      </c>
      <c r="F41" s="1">
        <v>45664</v>
      </c>
      <c r="G41">
        <f>_xlfn.XLOOKUP(F41,'Wk no''s'!B:B,'Wk no''s'!C:C,0)</f>
        <v>2</v>
      </c>
    </row>
    <row r="42" spans="1:7" x14ac:dyDescent="0.3">
      <c r="A42" t="s">
        <v>1284</v>
      </c>
      <c r="B42" t="s">
        <v>1285</v>
      </c>
      <c r="C42" t="s">
        <v>323</v>
      </c>
      <c r="D42">
        <v>2</v>
      </c>
      <c r="E42">
        <v>1</v>
      </c>
      <c r="F42" s="1">
        <v>45664</v>
      </c>
      <c r="G42">
        <f>_xlfn.XLOOKUP(F42,'Wk no''s'!B:B,'Wk no''s'!C:C,0)</f>
        <v>2</v>
      </c>
    </row>
    <row r="43" spans="1:7" x14ac:dyDescent="0.3">
      <c r="A43" t="s">
        <v>1286</v>
      </c>
      <c r="B43" t="s">
        <v>1287</v>
      </c>
      <c r="C43" t="s">
        <v>1246</v>
      </c>
      <c r="D43">
        <v>0</v>
      </c>
      <c r="E43">
        <v>1</v>
      </c>
      <c r="F43" s="1">
        <v>45664</v>
      </c>
      <c r="G43">
        <f>_xlfn.XLOOKUP(F43,'Wk no''s'!B:B,'Wk no''s'!C:C,0)</f>
        <v>2</v>
      </c>
    </row>
    <row r="44" spans="1:7" x14ac:dyDescent="0.3">
      <c r="A44" t="s">
        <v>1288</v>
      </c>
      <c r="B44" t="s">
        <v>1289</v>
      </c>
      <c r="C44" t="s">
        <v>1246</v>
      </c>
      <c r="D44">
        <v>0</v>
      </c>
      <c r="E44">
        <v>1</v>
      </c>
      <c r="F44" s="1">
        <v>45664</v>
      </c>
      <c r="G44">
        <f>_xlfn.XLOOKUP(F44,'Wk no''s'!B:B,'Wk no''s'!C:C,0)</f>
        <v>2</v>
      </c>
    </row>
    <row r="45" spans="1:7" x14ac:dyDescent="0.3">
      <c r="A45" t="s">
        <v>1290</v>
      </c>
      <c r="B45" t="s">
        <v>1291</v>
      </c>
      <c r="C45" t="s">
        <v>1246</v>
      </c>
      <c r="D45">
        <v>0</v>
      </c>
      <c r="E45">
        <v>1</v>
      </c>
      <c r="F45" s="1">
        <v>45664</v>
      </c>
      <c r="G45">
        <f>_xlfn.XLOOKUP(F45,'Wk no''s'!B:B,'Wk no''s'!C:C,0)</f>
        <v>2</v>
      </c>
    </row>
    <row r="46" spans="1:7" x14ac:dyDescent="0.3">
      <c r="A46" t="s">
        <v>1292</v>
      </c>
      <c r="B46" t="s">
        <v>1293</v>
      </c>
      <c r="C46" t="s">
        <v>1246</v>
      </c>
      <c r="D46">
        <v>0</v>
      </c>
      <c r="E46">
        <v>1</v>
      </c>
      <c r="F46" s="1">
        <v>45664</v>
      </c>
      <c r="G46">
        <f>_xlfn.XLOOKUP(F46,'Wk no''s'!B:B,'Wk no''s'!C:C,0)</f>
        <v>2</v>
      </c>
    </row>
    <row r="47" spans="1:7" x14ac:dyDescent="0.3">
      <c r="A47" t="s">
        <v>1294</v>
      </c>
      <c r="B47" t="s">
        <v>1295</v>
      </c>
      <c r="C47" t="s">
        <v>738</v>
      </c>
      <c r="D47">
        <v>0</v>
      </c>
      <c r="E47">
        <v>1</v>
      </c>
      <c r="F47" s="1">
        <v>45664</v>
      </c>
      <c r="G47">
        <f>_xlfn.XLOOKUP(F47,'Wk no''s'!B:B,'Wk no''s'!C:C,0)</f>
        <v>2</v>
      </c>
    </row>
    <row r="48" spans="1:7" x14ac:dyDescent="0.3">
      <c r="A48" t="s">
        <v>1296</v>
      </c>
      <c r="B48" t="s">
        <v>1297</v>
      </c>
      <c r="C48" t="s">
        <v>1298</v>
      </c>
      <c r="D48">
        <v>0</v>
      </c>
      <c r="E48">
        <v>1</v>
      </c>
      <c r="F48" s="1">
        <v>45664</v>
      </c>
      <c r="G48">
        <f>_xlfn.XLOOKUP(F48,'Wk no''s'!B:B,'Wk no''s'!C:C,0)</f>
        <v>2</v>
      </c>
    </row>
    <row r="49" spans="1:7" x14ac:dyDescent="0.3">
      <c r="A49" t="s">
        <v>1299</v>
      </c>
      <c r="B49" t="s">
        <v>1300</v>
      </c>
      <c r="C49" t="s">
        <v>1298</v>
      </c>
      <c r="D49">
        <v>0</v>
      </c>
      <c r="E49">
        <v>1</v>
      </c>
      <c r="F49" s="1">
        <v>45664</v>
      </c>
      <c r="G49">
        <f>_xlfn.XLOOKUP(F49,'Wk no''s'!B:B,'Wk no''s'!C:C,0)</f>
        <v>2</v>
      </c>
    </row>
    <row r="50" spans="1:7" x14ac:dyDescent="0.3">
      <c r="A50" t="s">
        <v>1301</v>
      </c>
      <c r="B50" t="s">
        <v>1302</v>
      </c>
      <c r="C50" t="s">
        <v>1298</v>
      </c>
      <c r="D50">
        <v>0</v>
      </c>
      <c r="E50">
        <v>1</v>
      </c>
      <c r="F50" s="1">
        <v>45664</v>
      </c>
      <c r="G50">
        <f>_xlfn.XLOOKUP(F50,'Wk no''s'!B:B,'Wk no''s'!C:C,0)</f>
        <v>2</v>
      </c>
    </row>
    <row r="51" spans="1:7" x14ac:dyDescent="0.3">
      <c r="A51" t="s">
        <v>1303</v>
      </c>
      <c r="B51" t="s">
        <v>1304</v>
      </c>
      <c r="C51" t="s">
        <v>1298</v>
      </c>
      <c r="D51">
        <v>0</v>
      </c>
      <c r="E51">
        <v>1</v>
      </c>
      <c r="F51" s="1">
        <v>45664</v>
      </c>
      <c r="G51">
        <f>_xlfn.XLOOKUP(F51,'Wk no''s'!B:B,'Wk no''s'!C:C,0)</f>
        <v>2</v>
      </c>
    </row>
    <row r="52" spans="1:7" x14ac:dyDescent="0.3">
      <c r="A52" t="s">
        <v>1305</v>
      </c>
      <c r="B52" t="s">
        <v>1306</v>
      </c>
      <c r="C52" t="s">
        <v>1298</v>
      </c>
      <c r="D52">
        <v>0</v>
      </c>
      <c r="E52">
        <v>1</v>
      </c>
      <c r="F52" s="1">
        <v>45664</v>
      </c>
      <c r="G52">
        <f>_xlfn.XLOOKUP(F52,'Wk no''s'!B:B,'Wk no''s'!C:C,0)</f>
        <v>2</v>
      </c>
    </row>
    <row r="53" spans="1:7" x14ac:dyDescent="0.3">
      <c r="A53" t="s">
        <v>1307</v>
      </c>
      <c r="B53" t="s">
        <v>1308</v>
      </c>
      <c r="C53" t="s">
        <v>197</v>
      </c>
      <c r="D53">
        <v>1</v>
      </c>
      <c r="E53">
        <v>1</v>
      </c>
      <c r="F53" s="1">
        <v>45664</v>
      </c>
      <c r="G53">
        <f>_xlfn.XLOOKUP(F53,'Wk no''s'!B:B,'Wk no''s'!C:C,0)</f>
        <v>2</v>
      </c>
    </row>
    <row r="54" spans="1:7" x14ac:dyDescent="0.3">
      <c r="A54" t="s">
        <v>1309</v>
      </c>
      <c r="B54" t="s">
        <v>1310</v>
      </c>
      <c r="C54" t="s">
        <v>1311</v>
      </c>
      <c r="D54">
        <v>2</v>
      </c>
      <c r="E54">
        <v>1</v>
      </c>
      <c r="F54" s="1">
        <v>45664</v>
      </c>
      <c r="G54">
        <f>_xlfn.XLOOKUP(F54,'Wk no''s'!B:B,'Wk no''s'!C:C,0)</f>
        <v>2</v>
      </c>
    </row>
    <row r="55" spans="1:7" x14ac:dyDescent="0.3">
      <c r="A55" t="s">
        <v>1312</v>
      </c>
      <c r="B55" t="s">
        <v>1313</v>
      </c>
      <c r="C55" t="s">
        <v>1314</v>
      </c>
      <c r="D55">
        <v>4</v>
      </c>
      <c r="E55">
        <v>1</v>
      </c>
      <c r="F55" s="1">
        <v>45664</v>
      </c>
      <c r="G55">
        <f>_xlfn.XLOOKUP(F55,'Wk no''s'!B:B,'Wk no''s'!C:C,0)</f>
        <v>2</v>
      </c>
    </row>
    <row r="56" spans="1:7" x14ac:dyDescent="0.3">
      <c r="A56" t="s">
        <v>1315</v>
      </c>
      <c r="B56" t="s">
        <v>1316</v>
      </c>
      <c r="C56" t="s">
        <v>1317</v>
      </c>
      <c r="D56">
        <v>0</v>
      </c>
      <c r="E56">
        <v>1</v>
      </c>
      <c r="F56" s="1">
        <v>45664</v>
      </c>
      <c r="G56">
        <f>_xlfn.XLOOKUP(F56,'Wk no''s'!B:B,'Wk no''s'!C:C,0)</f>
        <v>2</v>
      </c>
    </row>
    <row r="57" spans="1:7" x14ac:dyDescent="0.3">
      <c r="A57" t="s">
        <v>1318</v>
      </c>
      <c r="B57" t="s">
        <v>1319</v>
      </c>
      <c r="C57" t="s">
        <v>75</v>
      </c>
      <c r="D57">
        <v>0</v>
      </c>
      <c r="E57">
        <v>1</v>
      </c>
      <c r="F57" s="1">
        <v>45664</v>
      </c>
      <c r="G57">
        <f>_xlfn.XLOOKUP(F57,'Wk no''s'!B:B,'Wk no''s'!C:C,0)</f>
        <v>2</v>
      </c>
    </row>
    <row r="58" spans="1:7" x14ac:dyDescent="0.3">
      <c r="A58" t="s">
        <v>1320</v>
      </c>
      <c r="B58" t="s">
        <v>1321</v>
      </c>
      <c r="C58" t="s">
        <v>1322</v>
      </c>
      <c r="D58">
        <v>0</v>
      </c>
      <c r="E58">
        <v>1</v>
      </c>
      <c r="F58" s="1">
        <v>45664</v>
      </c>
      <c r="G58">
        <f>_xlfn.XLOOKUP(F58,'Wk no''s'!B:B,'Wk no''s'!C:C,0)</f>
        <v>2</v>
      </c>
    </row>
    <row r="59" spans="1:7" x14ac:dyDescent="0.3">
      <c r="A59" t="s">
        <v>1323</v>
      </c>
      <c r="B59" t="s">
        <v>1324</v>
      </c>
      <c r="C59" t="s">
        <v>1224</v>
      </c>
      <c r="D59">
        <v>0</v>
      </c>
      <c r="E59">
        <v>1</v>
      </c>
      <c r="F59" s="1">
        <v>45664</v>
      </c>
      <c r="G59">
        <f>_xlfn.XLOOKUP(F59,'Wk no''s'!B:B,'Wk no''s'!C:C,0)</f>
        <v>2</v>
      </c>
    </row>
    <row r="60" spans="1:7" x14ac:dyDescent="0.3">
      <c r="A60" t="s">
        <v>1325</v>
      </c>
      <c r="B60" t="s">
        <v>1326</v>
      </c>
      <c r="C60" t="s">
        <v>1327</v>
      </c>
      <c r="D60">
        <v>1</v>
      </c>
      <c r="E60">
        <v>1</v>
      </c>
      <c r="F60" s="1">
        <v>45664</v>
      </c>
      <c r="G60">
        <f>_xlfn.XLOOKUP(F60,'Wk no''s'!B:B,'Wk no''s'!C:C,0)</f>
        <v>2</v>
      </c>
    </row>
    <row r="61" spans="1:7" x14ac:dyDescent="0.3">
      <c r="A61" t="s">
        <v>1328</v>
      </c>
      <c r="B61" t="s">
        <v>1329</v>
      </c>
      <c r="C61" t="s">
        <v>540</v>
      </c>
      <c r="D61">
        <v>0</v>
      </c>
      <c r="E61">
        <v>1</v>
      </c>
      <c r="F61" s="1">
        <v>45665</v>
      </c>
      <c r="G61">
        <f>_xlfn.XLOOKUP(F61,'Wk no''s'!B:B,'Wk no''s'!C:C,0)</f>
        <v>2</v>
      </c>
    </row>
    <row r="62" spans="1:7" x14ac:dyDescent="0.3">
      <c r="A62" t="s">
        <v>1330</v>
      </c>
      <c r="B62" t="s">
        <v>1331</v>
      </c>
      <c r="C62" t="s">
        <v>1332</v>
      </c>
      <c r="D62">
        <v>0</v>
      </c>
      <c r="E62">
        <v>1</v>
      </c>
      <c r="F62" s="1">
        <v>45665</v>
      </c>
      <c r="G62">
        <f>_xlfn.XLOOKUP(F62,'Wk no''s'!B:B,'Wk no''s'!C:C,0)</f>
        <v>2</v>
      </c>
    </row>
    <row r="63" spans="1:7" x14ac:dyDescent="0.3">
      <c r="A63" t="s">
        <v>1333</v>
      </c>
      <c r="B63" t="s">
        <v>1334</v>
      </c>
      <c r="C63" t="s">
        <v>1194</v>
      </c>
      <c r="D63">
        <v>0</v>
      </c>
      <c r="E63">
        <v>1</v>
      </c>
      <c r="F63" s="1">
        <v>45665</v>
      </c>
      <c r="G63">
        <f>_xlfn.XLOOKUP(F63,'Wk no''s'!B:B,'Wk no''s'!C:C,0)</f>
        <v>2</v>
      </c>
    </row>
    <row r="64" spans="1:7" x14ac:dyDescent="0.3">
      <c r="A64" t="s">
        <v>1335</v>
      </c>
      <c r="B64" t="s">
        <v>1336</v>
      </c>
      <c r="C64" t="s">
        <v>1337</v>
      </c>
      <c r="D64">
        <v>0</v>
      </c>
      <c r="E64">
        <v>1</v>
      </c>
      <c r="F64" s="1">
        <v>45665</v>
      </c>
      <c r="G64">
        <f>_xlfn.XLOOKUP(F64,'Wk no''s'!B:B,'Wk no''s'!C:C,0)</f>
        <v>2</v>
      </c>
    </row>
    <row r="65" spans="1:7" x14ac:dyDescent="0.3">
      <c r="A65" t="s">
        <v>1338</v>
      </c>
      <c r="B65" t="s">
        <v>1339</v>
      </c>
      <c r="C65" t="s">
        <v>1340</v>
      </c>
      <c r="D65">
        <v>4</v>
      </c>
      <c r="E65">
        <v>1</v>
      </c>
      <c r="F65" s="1">
        <v>45665</v>
      </c>
      <c r="G65">
        <f>_xlfn.XLOOKUP(F65,'Wk no''s'!B:B,'Wk no''s'!C:C,0)</f>
        <v>2</v>
      </c>
    </row>
    <row r="66" spans="1:7" x14ac:dyDescent="0.3">
      <c r="A66" t="s">
        <v>1341</v>
      </c>
      <c r="B66" t="s">
        <v>1342</v>
      </c>
      <c r="C66" t="s">
        <v>1343</v>
      </c>
      <c r="D66">
        <v>0</v>
      </c>
      <c r="E66">
        <v>1</v>
      </c>
      <c r="F66" s="1">
        <v>45665</v>
      </c>
      <c r="G66">
        <f>_xlfn.XLOOKUP(F66,'Wk no''s'!B:B,'Wk no''s'!C:C,0)</f>
        <v>2</v>
      </c>
    </row>
    <row r="67" spans="1:7" x14ac:dyDescent="0.3">
      <c r="A67" t="s">
        <v>1344</v>
      </c>
      <c r="B67" t="s">
        <v>1345</v>
      </c>
      <c r="C67" t="s">
        <v>353</v>
      </c>
      <c r="D67">
        <v>0</v>
      </c>
      <c r="E67">
        <v>1</v>
      </c>
      <c r="F67" s="1">
        <v>45665</v>
      </c>
      <c r="G67">
        <f>_xlfn.XLOOKUP(F67,'Wk no''s'!B:B,'Wk no''s'!C:C,0)</f>
        <v>2</v>
      </c>
    </row>
    <row r="68" spans="1:7" x14ac:dyDescent="0.3">
      <c r="A68" t="s">
        <v>1346</v>
      </c>
      <c r="B68" t="s">
        <v>1347</v>
      </c>
      <c r="C68" t="s">
        <v>258</v>
      </c>
      <c r="D68">
        <v>0</v>
      </c>
      <c r="E68">
        <v>1</v>
      </c>
      <c r="F68" s="1">
        <v>45665</v>
      </c>
      <c r="G68">
        <f>_xlfn.XLOOKUP(F68,'Wk no''s'!B:B,'Wk no''s'!C:C,0)</f>
        <v>2</v>
      </c>
    </row>
    <row r="69" spans="1:7" x14ac:dyDescent="0.3">
      <c r="A69" t="s">
        <v>1348</v>
      </c>
      <c r="B69" t="s">
        <v>1349</v>
      </c>
      <c r="C69" t="s">
        <v>666</v>
      </c>
      <c r="D69">
        <v>0</v>
      </c>
      <c r="E69">
        <v>1</v>
      </c>
      <c r="F69" s="1">
        <v>45665</v>
      </c>
      <c r="G69">
        <f>_xlfn.XLOOKUP(F69,'Wk no''s'!B:B,'Wk no''s'!C:C,0)</f>
        <v>2</v>
      </c>
    </row>
    <row r="70" spans="1:7" x14ac:dyDescent="0.3">
      <c r="A70" t="s">
        <v>1350</v>
      </c>
      <c r="B70" t="s">
        <v>1351</v>
      </c>
      <c r="C70" t="s">
        <v>1352</v>
      </c>
      <c r="D70">
        <v>0</v>
      </c>
      <c r="E70">
        <v>1</v>
      </c>
      <c r="F70" s="1">
        <v>45665</v>
      </c>
      <c r="G70">
        <f>_xlfn.XLOOKUP(F70,'Wk no''s'!B:B,'Wk no''s'!C:C,0)</f>
        <v>2</v>
      </c>
    </row>
    <row r="71" spans="1:7" x14ac:dyDescent="0.3">
      <c r="A71" t="s">
        <v>1353</v>
      </c>
      <c r="B71" t="s">
        <v>1354</v>
      </c>
      <c r="C71" t="s">
        <v>1355</v>
      </c>
      <c r="D71">
        <v>15</v>
      </c>
      <c r="E71">
        <v>0</v>
      </c>
      <c r="F71" s="1">
        <v>45665</v>
      </c>
      <c r="G71">
        <f>_xlfn.XLOOKUP(F71,'Wk no''s'!B:B,'Wk no''s'!C:C,0)</f>
        <v>2</v>
      </c>
    </row>
    <row r="72" spans="1:7" x14ac:dyDescent="0.3">
      <c r="A72" t="s">
        <v>1356</v>
      </c>
      <c r="B72" t="s">
        <v>1357</v>
      </c>
      <c r="C72" t="s">
        <v>1358</v>
      </c>
      <c r="D72">
        <v>0</v>
      </c>
      <c r="E72">
        <v>1</v>
      </c>
      <c r="F72" s="1">
        <v>45665</v>
      </c>
      <c r="G72">
        <f>_xlfn.XLOOKUP(F72,'Wk no''s'!B:B,'Wk no''s'!C:C,0)</f>
        <v>2</v>
      </c>
    </row>
    <row r="73" spans="1:7" x14ac:dyDescent="0.3">
      <c r="A73" t="s">
        <v>1359</v>
      </c>
      <c r="B73" t="s">
        <v>1360</v>
      </c>
      <c r="C73" t="s">
        <v>36</v>
      </c>
      <c r="D73">
        <v>0</v>
      </c>
      <c r="E73">
        <v>1</v>
      </c>
      <c r="F73" s="1">
        <v>45665</v>
      </c>
      <c r="G73">
        <f>_xlfn.XLOOKUP(F73,'Wk no''s'!B:B,'Wk no''s'!C:C,0)</f>
        <v>2</v>
      </c>
    </row>
    <row r="74" spans="1:7" x14ac:dyDescent="0.3">
      <c r="A74" t="s">
        <v>1361</v>
      </c>
      <c r="B74" t="s">
        <v>1362</v>
      </c>
      <c r="C74" t="s">
        <v>1363</v>
      </c>
      <c r="D74">
        <v>0</v>
      </c>
      <c r="E74">
        <v>1</v>
      </c>
      <c r="F74" s="1">
        <v>45665</v>
      </c>
      <c r="G74">
        <f>_xlfn.XLOOKUP(F74,'Wk no''s'!B:B,'Wk no''s'!C:C,0)</f>
        <v>2</v>
      </c>
    </row>
    <row r="75" spans="1:7" x14ac:dyDescent="0.3">
      <c r="A75" t="s">
        <v>1364</v>
      </c>
      <c r="B75" t="s">
        <v>1365</v>
      </c>
      <c r="C75" t="s">
        <v>344</v>
      </c>
      <c r="D75">
        <v>9</v>
      </c>
      <c r="E75">
        <v>0</v>
      </c>
      <c r="F75" s="1">
        <v>45665</v>
      </c>
      <c r="G75">
        <f>_xlfn.XLOOKUP(F75,'Wk no''s'!B:B,'Wk no''s'!C:C,0)</f>
        <v>2</v>
      </c>
    </row>
    <row r="76" spans="1:7" x14ac:dyDescent="0.3">
      <c r="A76" t="s">
        <v>1366</v>
      </c>
      <c r="B76" t="s">
        <v>1367</v>
      </c>
      <c r="C76" t="s">
        <v>1368</v>
      </c>
      <c r="D76">
        <v>14</v>
      </c>
      <c r="E76">
        <v>0</v>
      </c>
      <c r="F76" s="1">
        <v>45665</v>
      </c>
      <c r="G76">
        <f>_xlfn.XLOOKUP(F76,'Wk no''s'!B:B,'Wk no''s'!C:C,0)</f>
        <v>2</v>
      </c>
    </row>
    <row r="77" spans="1:7" x14ac:dyDescent="0.3">
      <c r="A77" t="s">
        <v>1369</v>
      </c>
      <c r="B77" t="s">
        <v>1370</v>
      </c>
      <c r="C77" t="s">
        <v>1371</v>
      </c>
      <c r="D77">
        <v>0</v>
      </c>
      <c r="E77">
        <v>1</v>
      </c>
      <c r="F77" s="1">
        <v>45665</v>
      </c>
      <c r="G77">
        <f>_xlfn.XLOOKUP(F77,'Wk no''s'!B:B,'Wk no''s'!C:C,0)</f>
        <v>2</v>
      </c>
    </row>
    <row r="78" spans="1:7" x14ac:dyDescent="0.3">
      <c r="A78" t="s">
        <v>1372</v>
      </c>
      <c r="B78" t="s">
        <v>1373</v>
      </c>
      <c r="C78" t="s">
        <v>197</v>
      </c>
      <c r="D78">
        <v>0</v>
      </c>
      <c r="E78">
        <v>1</v>
      </c>
      <c r="F78" s="1">
        <v>45665</v>
      </c>
      <c r="G78">
        <f>_xlfn.XLOOKUP(F78,'Wk no''s'!B:B,'Wk no''s'!C:C,0)</f>
        <v>2</v>
      </c>
    </row>
    <row r="79" spans="1:7" x14ac:dyDescent="0.3">
      <c r="A79" t="s">
        <v>1374</v>
      </c>
      <c r="B79" t="s">
        <v>1375</v>
      </c>
      <c r="C79" t="s">
        <v>1100</v>
      </c>
      <c r="D79">
        <v>0</v>
      </c>
      <c r="E79">
        <v>1</v>
      </c>
      <c r="F79" s="1">
        <v>45665</v>
      </c>
      <c r="G79">
        <f>_xlfn.XLOOKUP(F79,'Wk no''s'!B:B,'Wk no''s'!C:C,0)</f>
        <v>2</v>
      </c>
    </row>
    <row r="80" spans="1:7" x14ac:dyDescent="0.3">
      <c r="A80" t="s">
        <v>1376</v>
      </c>
      <c r="B80" t="s">
        <v>1377</v>
      </c>
      <c r="C80" t="s">
        <v>1378</v>
      </c>
      <c r="D80">
        <v>2</v>
      </c>
      <c r="E80">
        <v>1</v>
      </c>
      <c r="F80" s="1">
        <v>45665</v>
      </c>
      <c r="G80">
        <f>_xlfn.XLOOKUP(F80,'Wk no''s'!B:B,'Wk no''s'!C:C,0)</f>
        <v>2</v>
      </c>
    </row>
    <row r="81" spans="1:7" x14ac:dyDescent="0.3">
      <c r="A81" t="s">
        <v>1379</v>
      </c>
      <c r="B81" t="s">
        <v>1380</v>
      </c>
      <c r="C81" t="s">
        <v>1381</v>
      </c>
      <c r="D81">
        <v>0</v>
      </c>
      <c r="E81">
        <v>1</v>
      </c>
      <c r="F81" s="1">
        <v>45665</v>
      </c>
      <c r="G81">
        <f>_xlfn.XLOOKUP(F81,'Wk no''s'!B:B,'Wk no''s'!C:C,0)</f>
        <v>2</v>
      </c>
    </row>
    <row r="82" spans="1:7" x14ac:dyDescent="0.3">
      <c r="A82" t="s">
        <v>1382</v>
      </c>
      <c r="B82" t="s">
        <v>1383</v>
      </c>
      <c r="C82" t="s">
        <v>1384</v>
      </c>
      <c r="D82">
        <v>3</v>
      </c>
      <c r="E82">
        <v>1</v>
      </c>
      <c r="F82" s="1">
        <v>45665</v>
      </c>
      <c r="G82">
        <f>_xlfn.XLOOKUP(F82,'Wk no''s'!B:B,'Wk no''s'!C:C,0)</f>
        <v>2</v>
      </c>
    </row>
    <row r="83" spans="1:7" x14ac:dyDescent="0.3">
      <c r="A83" t="s">
        <v>1385</v>
      </c>
      <c r="B83" t="s">
        <v>1386</v>
      </c>
      <c r="C83" t="s">
        <v>1387</v>
      </c>
      <c r="D83">
        <v>0</v>
      </c>
      <c r="E83">
        <v>1</v>
      </c>
      <c r="F83" s="1">
        <v>45665</v>
      </c>
      <c r="G83">
        <f>_xlfn.XLOOKUP(F83,'Wk no''s'!B:B,'Wk no''s'!C:C,0)</f>
        <v>2</v>
      </c>
    </row>
    <row r="84" spans="1:7" x14ac:dyDescent="0.3">
      <c r="A84" t="s">
        <v>1388</v>
      </c>
      <c r="B84" t="s">
        <v>1389</v>
      </c>
      <c r="C84" t="s">
        <v>1390</v>
      </c>
      <c r="D84">
        <v>19</v>
      </c>
      <c r="E84">
        <v>0</v>
      </c>
      <c r="F84" s="1">
        <v>45665</v>
      </c>
      <c r="G84">
        <f>_xlfn.XLOOKUP(F84,'Wk no''s'!B:B,'Wk no''s'!C:C,0)</f>
        <v>2</v>
      </c>
    </row>
    <row r="85" spans="1:7" x14ac:dyDescent="0.3">
      <c r="A85" t="s">
        <v>1391</v>
      </c>
      <c r="B85" t="s">
        <v>1392</v>
      </c>
      <c r="C85" t="s">
        <v>1393</v>
      </c>
      <c r="D85">
        <v>12</v>
      </c>
      <c r="E85">
        <v>0</v>
      </c>
      <c r="F85" s="1">
        <v>45665</v>
      </c>
      <c r="G85">
        <f>_xlfn.XLOOKUP(F85,'Wk no''s'!B:B,'Wk no''s'!C:C,0)</f>
        <v>2</v>
      </c>
    </row>
    <row r="86" spans="1:7" x14ac:dyDescent="0.3">
      <c r="A86" t="s">
        <v>1394</v>
      </c>
      <c r="B86" t="s">
        <v>1395</v>
      </c>
      <c r="C86" t="s">
        <v>308</v>
      </c>
      <c r="D86">
        <v>0</v>
      </c>
      <c r="E86">
        <v>1</v>
      </c>
      <c r="F86" s="1">
        <v>45665</v>
      </c>
      <c r="G86">
        <f>_xlfn.XLOOKUP(F86,'Wk no''s'!B:B,'Wk no''s'!C:C,0)</f>
        <v>2</v>
      </c>
    </row>
    <row r="87" spans="1:7" x14ac:dyDescent="0.3">
      <c r="A87" t="s">
        <v>1396</v>
      </c>
      <c r="B87" t="s">
        <v>1397</v>
      </c>
      <c r="C87" t="s">
        <v>1398</v>
      </c>
      <c r="D87">
        <v>0</v>
      </c>
      <c r="E87">
        <v>1</v>
      </c>
      <c r="F87" s="1">
        <v>45665</v>
      </c>
      <c r="G87">
        <f>_xlfn.XLOOKUP(F87,'Wk no''s'!B:B,'Wk no''s'!C:C,0)</f>
        <v>2</v>
      </c>
    </row>
    <row r="88" spans="1:7" x14ac:dyDescent="0.3">
      <c r="A88" t="s">
        <v>1399</v>
      </c>
      <c r="B88" t="s">
        <v>1400</v>
      </c>
      <c r="C88" t="s">
        <v>1401</v>
      </c>
      <c r="D88">
        <v>13</v>
      </c>
      <c r="E88">
        <v>0</v>
      </c>
      <c r="F88" s="1">
        <v>45665</v>
      </c>
      <c r="G88">
        <f>_xlfn.XLOOKUP(F88,'Wk no''s'!B:B,'Wk no''s'!C:C,0)</f>
        <v>2</v>
      </c>
    </row>
    <row r="89" spans="1:7" x14ac:dyDescent="0.3">
      <c r="A89" t="s">
        <v>1402</v>
      </c>
      <c r="B89" t="s">
        <v>1403</v>
      </c>
      <c r="C89" t="s">
        <v>1404</v>
      </c>
      <c r="D89">
        <v>0</v>
      </c>
      <c r="E89">
        <v>1</v>
      </c>
      <c r="F89" s="1">
        <v>45665</v>
      </c>
      <c r="G89">
        <f>_xlfn.XLOOKUP(F89,'Wk no''s'!B:B,'Wk no''s'!C:C,0)</f>
        <v>2</v>
      </c>
    </row>
    <row r="90" spans="1:7" x14ac:dyDescent="0.3">
      <c r="A90" t="s">
        <v>1405</v>
      </c>
      <c r="B90" t="s">
        <v>1406</v>
      </c>
      <c r="C90" t="s">
        <v>197</v>
      </c>
      <c r="D90">
        <v>0</v>
      </c>
      <c r="E90">
        <v>1</v>
      </c>
      <c r="F90" s="1">
        <v>45665</v>
      </c>
      <c r="G90">
        <f>_xlfn.XLOOKUP(F90,'Wk no''s'!B:B,'Wk no''s'!C:C,0)</f>
        <v>2</v>
      </c>
    </row>
    <row r="91" spans="1:7" x14ac:dyDescent="0.3">
      <c r="A91" t="s">
        <v>1407</v>
      </c>
      <c r="B91" t="s">
        <v>1408</v>
      </c>
      <c r="C91" t="s">
        <v>432</v>
      </c>
      <c r="D91">
        <v>0</v>
      </c>
      <c r="E91">
        <v>1</v>
      </c>
      <c r="F91" s="1">
        <v>45665</v>
      </c>
      <c r="G91">
        <f>_xlfn.XLOOKUP(F91,'Wk no''s'!B:B,'Wk no''s'!C:C,0)</f>
        <v>2</v>
      </c>
    </row>
    <row r="92" spans="1:7" x14ac:dyDescent="0.3">
      <c r="A92" t="s">
        <v>1409</v>
      </c>
      <c r="B92" t="s">
        <v>1410</v>
      </c>
      <c r="C92" t="s">
        <v>595</v>
      </c>
      <c r="D92">
        <v>0</v>
      </c>
      <c r="E92">
        <v>1</v>
      </c>
      <c r="F92" s="1">
        <v>45665</v>
      </c>
      <c r="G92">
        <f>_xlfn.XLOOKUP(F92,'Wk no''s'!B:B,'Wk no''s'!C:C,0)</f>
        <v>2</v>
      </c>
    </row>
    <row r="93" spans="1:7" x14ac:dyDescent="0.3">
      <c r="A93" t="s">
        <v>1411</v>
      </c>
      <c r="B93" t="s">
        <v>1412</v>
      </c>
      <c r="C93" t="s">
        <v>1413</v>
      </c>
      <c r="D93">
        <v>0</v>
      </c>
      <c r="E93">
        <v>1</v>
      </c>
      <c r="F93" s="1">
        <v>45665</v>
      </c>
      <c r="G93">
        <f>_xlfn.XLOOKUP(F93,'Wk no''s'!B:B,'Wk no''s'!C:C,0)</f>
        <v>2</v>
      </c>
    </row>
    <row r="94" spans="1:7" x14ac:dyDescent="0.3">
      <c r="A94" t="s">
        <v>1414</v>
      </c>
      <c r="B94" t="s">
        <v>1415</v>
      </c>
      <c r="C94" t="s">
        <v>244</v>
      </c>
      <c r="D94">
        <v>8</v>
      </c>
      <c r="E94">
        <v>0</v>
      </c>
      <c r="F94" s="1">
        <v>45665</v>
      </c>
      <c r="G94">
        <f>_xlfn.XLOOKUP(F94,'Wk no''s'!B:B,'Wk no''s'!C:C,0)</f>
        <v>2</v>
      </c>
    </row>
    <row r="95" spans="1:7" x14ac:dyDescent="0.3">
      <c r="A95" t="s">
        <v>1416</v>
      </c>
      <c r="B95" t="s">
        <v>1417</v>
      </c>
      <c r="C95" t="s">
        <v>1418</v>
      </c>
      <c r="D95">
        <v>0</v>
      </c>
      <c r="E95">
        <v>1</v>
      </c>
      <c r="F95" s="1">
        <v>45665</v>
      </c>
      <c r="G95">
        <f>_xlfn.XLOOKUP(F95,'Wk no''s'!B:B,'Wk no''s'!C:C,0)</f>
        <v>2</v>
      </c>
    </row>
    <row r="96" spans="1:7" x14ac:dyDescent="0.3">
      <c r="A96" t="s">
        <v>1419</v>
      </c>
      <c r="B96" t="s">
        <v>1420</v>
      </c>
      <c r="C96" t="s">
        <v>1421</v>
      </c>
      <c r="D96">
        <v>1</v>
      </c>
      <c r="E96">
        <v>1</v>
      </c>
      <c r="F96" s="1">
        <v>45665</v>
      </c>
      <c r="G96">
        <f>_xlfn.XLOOKUP(F96,'Wk no''s'!B:B,'Wk no''s'!C:C,0)</f>
        <v>2</v>
      </c>
    </row>
    <row r="97" spans="1:7" x14ac:dyDescent="0.3">
      <c r="A97" t="s">
        <v>1422</v>
      </c>
      <c r="B97" t="s">
        <v>1423</v>
      </c>
      <c r="C97" t="s">
        <v>1337</v>
      </c>
      <c r="D97">
        <v>0</v>
      </c>
      <c r="E97">
        <v>1</v>
      </c>
      <c r="F97" s="1">
        <v>45665</v>
      </c>
      <c r="G97">
        <f>_xlfn.XLOOKUP(F97,'Wk no''s'!B:B,'Wk no''s'!C:C,0)</f>
        <v>2</v>
      </c>
    </row>
    <row r="98" spans="1:7" x14ac:dyDescent="0.3">
      <c r="A98" t="s">
        <v>1424</v>
      </c>
      <c r="B98" t="s">
        <v>1425</v>
      </c>
      <c r="C98" t="s">
        <v>725</v>
      </c>
      <c r="D98">
        <v>0</v>
      </c>
      <c r="E98">
        <v>1</v>
      </c>
      <c r="F98" s="1">
        <v>45666</v>
      </c>
      <c r="G98">
        <f>_xlfn.XLOOKUP(F98,'Wk no''s'!B:B,'Wk no''s'!C:C,0)</f>
        <v>2</v>
      </c>
    </row>
    <row r="99" spans="1:7" x14ac:dyDescent="0.3">
      <c r="A99" t="s">
        <v>1426</v>
      </c>
      <c r="C99" t="s">
        <v>1368</v>
      </c>
      <c r="D99">
        <v>0</v>
      </c>
      <c r="E99">
        <v>1</v>
      </c>
      <c r="F99" s="1">
        <v>45666</v>
      </c>
      <c r="G99">
        <f>_xlfn.XLOOKUP(F99,'Wk no''s'!B:B,'Wk no''s'!C:C,0)</f>
        <v>2</v>
      </c>
    </row>
    <row r="100" spans="1:7" x14ac:dyDescent="0.3">
      <c r="A100" t="s">
        <v>1427</v>
      </c>
      <c r="B100" t="s">
        <v>1428</v>
      </c>
      <c r="C100" t="s">
        <v>487</v>
      </c>
      <c r="D100">
        <v>0</v>
      </c>
      <c r="E100">
        <v>1</v>
      </c>
      <c r="F100" s="1">
        <v>45666</v>
      </c>
      <c r="G100">
        <f>_xlfn.XLOOKUP(F100,'Wk no''s'!B:B,'Wk no''s'!C:C,0)</f>
        <v>2</v>
      </c>
    </row>
    <row r="101" spans="1:7" x14ac:dyDescent="0.3">
      <c r="A101" t="s">
        <v>1429</v>
      </c>
      <c r="B101" t="s">
        <v>1430</v>
      </c>
      <c r="C101" t="s">
        <v>1431</v>
      </c>
      <c r="D101">
        <v>0</v>
      </c>
      <c r="E101">
        <v>1</v>
      </c>
      <c r="F101" s="1">
        <v>45666</v>
      </c>
      <c r="G101">
        <f>_xlfn.XLOOKUP(F101,'Wk no''s'!B:B,'Wk no''s'!C:C,0)</f>
        <v>2</v>
      </c>
    </row>
    <row r="102" spans="1:7" x14ac:dyDescent="0.3">
      <c r="A102" t="s">
        <v>1432</v>
      </c>
      <c r="B102" t="s">
        <v>1433</v>
      </c>
      <c r="C102" t="s">
        <v>1434</v>
      </c>
      <c r="D102">
        <v>0</v>
      </c>
      <c r="E102">
        <v>1</v>
      </c>
      <c r="F102" s="1">
        <v>45666</v>
      </c>
      <c r="G102">
        <f>_xlfn.XLOOKUP(F102,'Wk no''s'!B:B,'Wk no''s'!C:C,0)</f>
        <v>2</v>
      </c>
    </row>
    <row r="103" spans="1:7" x14ac:dyDescent="0.3">
      <c r="A103" t="s">
        <v>1435</v>
      </c>
      <c r="B103" t="s">
        <v>1436</v>
      </c>
      <c r="C103" t="s">
        <v>1437</v>
      </c>
      <c r="D103">
        <v>20</v>
      </c>
      <c r="E103">
        <v>0</v>
      </c>
      <c r="F103" s="1">
        <v>45666</v>
      </c>
      <c r="G103">
        <f>_xlfn.XLOOKUP(F103,'Wk no''s'!B:B,'Wk no''s'!C:C,0)</f>
        <v>2</v>
      </c>
    </row>
    <row r="104" spans="1:7" x14ac:dyDescent="0.3">
      <c r="A104" t="s">
        <v>1438</v>
      </c>
      <c r="B104" t="s">
        <v>1439</v>
      </c>
      <c r="C104" t="s">
        <v>1440</v>
      </c>
      <c r="D104">
        <v>0</v>
      </c>
      <c r="E104">
        <v>1</v>
      </c>
      <c r="F104" s="1">
        <v>45666</v>
      </c>
      <c r="G104">
        <f>_xlfn.XLOOKUP(F104,'Wk no''s'!B:B,'Wk no''s'!C:C,0)</f>
        <v>2</v>
      </c>
    </row>
    <row r="105" spans="1:7" x14ac:dyDescent="0.3">
      <c r="A105" t="s">
        <v>1441</v>
      </c>
      <c r="B105" t="s">
        <v>1442</v>
      </c>
      <c r="C105" t="s">
        <v>1443</v>
      </c>
      <c r="D105">
        <v>20</v>
      </c>
      <c r="E105">
        <v>0</v>
      </c>
      <c r="F105" s="1">
        <v>45666</v>
      </c>
      <c r="G105">
        <f>_xlfn.XLOOKUP(F105,'Wk no''s'!B:B,'Wk no''s'!C:C,0)</f>
        <v>2</v>
      </c>
    </row>
    <row r="106" spans="1:7" x14ac:dyDescent="0.3">
      <c r="A106" t="s">
        <v>1444</v>
      </c>
      <c r="B106" t="s">
        <v>1445</v>
      </c>
      <c r="C106" t="s">
        <v>1446</v>
      </c>
      <c r="D106">
        <v>2</v>
      </c>
      <c r="E106">
        <v>1</v>
      </c>
      <c r="F106" s="1">
        <v>45666</v>
      </c>
      <c r="G106">
        <f>_xlfn.XLOOKUP(F106,'Wk no''s'!B:B,'Wk no''s'!C:C,0)</f>
        <v>2</v>
      </c>
    </row>
    <row r="107" spans="1:7" x14ac:dyDescent="0.3">
      <c r="A107" t="s">
        <v>1447</v>
      </c>
      <c r="B107" t="s">
        <v>1448</v>
      </c>
      <c r="C107" t="s">
        <v>1449</v>
      </c>
      <c r="D107">
        <v>76</v>
      </c>
      <c r="E107">
        <v>0</v>
      </c>
      <c r="F107" s="1">
        <v>45666</v>
      </c>
      <c r="G107">
        <f>_xlfn.XLOOKUP(F107,'Wk no''s'!B:B,'Wk no''s'!C:C,0)</f>
        <v>2</v>
      </c>
    </row>
    <row r="108" spans="1:7" x14ac:dyDescent="0.3">
      <c r="A108" t="s">
        <v>1450</v>
      </c>
      <c r="B108" t="s">
        <v>1451</v>
      </c>
      <c r="C108" t="s">
        <v>75</v>
      </c>
      <c r="D108">
        <v>0</v>
      </c>
      <c r="E108">
        <v>1</v>
      </c>
      <c r="F108" s="1">
        <v>45666</v>
      </c>
      <c r="G108">
        <f>_xlfn.XLOOKUP(F108,'Wk no''s'!B:B,'Wk no''s'!C:C,0)</f>
        <v>2</v>
      </c>
    </row>
    <row r="109" spans="1:7" x14ac:dyDescent="0.3">
      <c r="A109" t="s">
        <v>1452</v>
      </c>
      <c r="B109" t="s">
        <v>1453</v>
      </c>
      <c r="C109" t="s">
        <v>197</v>
      </c>
      <c r="D109">
        <v>0</v>
      </c>
      <c r="E109">
        <v>1</v>
      </c>
      <c r="F109" s="1">
        <v>45666</v>
      </c>
      <c r="G109">
        <f>_xlfn.XLOOKUP(F109,'Wk no''s'!B:B,'Wk no''s'!C:C,0)</f>
        <v>2</v>
      </c>
    </row>
    <row r="110" spans="1:7" x14ac:dyDescent="0.3">
      <c r="A110" t="s">
        <v>1454</v>
      </c>
      <c r="B110" t="s">
        <v>1455</v>
      </c>
      <c r="C110" t="s">
        <v>1456</v>
      </c>
      <c r="D110">
        <v>40</v>
      </c>
      <c r="E110">
        <v>0</v>
      </c>
      <c r="F110" s="1">
        <v>45666</v>
      </c>
      <c r="G110">
        <f>_xlfn.XLOOKUP(F110,'Wk no''s'!B:B,'Wk no''s'!C:C,0)</f>
        <v>2</v>
      </c>
    </row>
    <row r="111" spans="1:7" x14ac:dyDescent="0.3">
      <c r="A111" t="s">
        <v>1457</v>
      </c>
      <c r="B111" t="s">
        <v>1458</v>
      </c>
      <c r="C111" t="s">
        <v>1459</v>
      </c>
      <c r="D111">
        <v>0</v>
      </c>
      <c r="E111">
        <v>1</v>
      </c>
      <c r="F111" s="1">
        <v>45666</v>
      </c>
      <c r="G111">
        <f>_xlfn.XLOOKUP(F111,'Wk no''s'!B:B,'Wk no''s'!C:C,0)</f>
        <v>2</v>
      </c>
    </row>
    <row r="112" spans="1:7" x14ac:dyDescent="0.3">
      <c r="A112" t="s">
        <v>1460</v>
      </c>
      <c r="B112" t="s">
        <v>1461</v>
      </c>
      <c r="C112" t="s">
        <v>1456</v>
      </c>
      <c r="D112">
        <v>120</v>
      </c>
      <c r="E112">
        <v>0</v>
      </c>
      <c r="F112" s="1">
        <v>45666</v>
      </c>
      <c r="G112">
        <f>_xlfn.XLOOKUP(F112,'Wk no''s'!B:B,'Wk no''s'!C:C,0)</f>
        <v>2</v>
      </c>
    </row>
    <row r="113" spans="1:7" x14ac:dyDescent="0.3">
      <c r="A113" t="s">
        <v>1462</v>
      </c>
      <c r="B113" t="s">
        <v>1463</v>
      </c>
      <c r="C113" t="s">
        <v>1464</v>
      </c>
      <c r="D113">
        <v>0</v>
      </c>
      <c r="E113">
        <v>1</v>
      </c>
      <c r="F113" s="1">
        <v>45666</v>
      </c>
      <c r="G113">
        <f>_xlfn.XLOOKUP(F113,'Wk no''s'!B:B,'Wk no''s'!C:C,0)</f>
        <v>2</v>
      </c>
    </row>
    <row r="114" spans="1:7" x14ac:dyDescent="0.3">
      <c r="A114" t="s">
        <v>1465</v>
      </c>
      <c r="B114" t="s">
        <v>1466</v>
      </c>
      <c r="C114" t="s">
        <v>1224</v>
      </c>
      <c r="D114">
        <v>0</v>
      </c>
      <c r="E114">
        <v>1</v>
      </c>
      <c r="F114" s="1">
        <v>45666</v>
      </c>
      <c r="G114">
        <f>_xlfn.XLOOKUP(F114,'Wk no''s'!B:B,'Wk no''s'!C:C,0)</f>
        <v>2</v>
      </c>
    </row>
    <row r="115" spans="1:7" x14ac:dyDescent="0.3">
      <c r="A115" t="s">
        <v>1467</v>
      </c>
      <c r="B115" t="s">
        <v>1468</v>
      </c>
      <c r="C115" t="s">
        <v>1469</v>
      </c>
      <c r="D115">
        <v>0</v>
      </c>
      <c r="E115">
        <v>1</v>
      </c>
      <c r="F115" s="1">
        <v>45666</v>
      </c>
      <c r="G115">
        <f>_xlfn.XLOOKUP(F115,'Wk no''s'!B:B,'Wk no''s'!C:C,0)</f>
        <v>2</v>
      </c>
    </row>
    <row r="116" spans="1:7" x14ac:dyDescent="0.3">
      <c r="A116" t="s">
        <v>1470</v>
      </c>
      <c r="B116" t="s">
        <v>1471</v>
      </c>
      <c r="C116" t="s">
        <v>1472</v>
      </c>
      <c r="D116">
        <v>0</v>
      </c>
      <c r="E116">
        <v>1</v>
      </c>
      <c r="F116" s="1">
        <v>45666</v>
      </c>
      <c r="G116">
        <f>_xlfn.XLOOKUP(F116,'Wk no''s'!B:B,'Wk no''s'!C:C,0)</f>
        <v>2</v>
      </c>
    </row>
    <row r="117" spans="1:7" x14ac:dyDescent="0.3">
      <c r="A117" t="s">
        <v>1473</v>
      </c>
      <c r="B117" t="s">
        <v>1474</v>
      </c>
      <c r="C117" t="s">
        <v>1475</v>
      </c>
      <c r="D117">
        <v>0</v>
      </c>
      <c r="E117">
        <v>1</v>
      </c>
      <c r="F117" s="1">
        <v>45666</v>
      </c>
      <c r="G117">
        <f>_xlfn.XLOOKUP(F117,'Wk no''s'!B:B,'Wk no''s'!C:C,0)</f>
        <v>2</v>
      </c>
    </row>
    <row r="118" spans="1:7" x14ac:dyDescent="0.3">
      <c r="A118" t="s">
        <v>1476</v>
      </c>
      <c r="B118" t="s">
        <v>1477</v>
      </c>
      <c r="C118" t="s">
        <v>1478</v>
      </c>
      <c r="D118">
        <v>0</v>
      </c>
      <c r="E118">
        <v>1</v>
      </c>
      <c r="F118" s="1">
        <v>45666</v>
      </c>
      <c r="G118">
        <f>_xlfn.XLOOKUP(F118,'Wk no''s'!B:B,'Wk no''s'!C:C,0)</f>
        <v>2</v>
      </c>
    </row>
    <row r="119" spans="1:7" x14ac:dyDescent="0.3">
      <c r="A119" t="s">
        <v>1479</v>
      </c>
      <c r="B119" t="s">
        <v>1480</v>
      </c>
      <c r="C119" t="s">
        <v>1481</v>
      </c>
      <c r="D119">
        <v>0</v>
      </c>
      <c r="E119">
        <v>1</v>
      </c>
      <c r="F119" s="1">
        <v>45666</v>
      </c>
      <c r="G119">
        <f>_xlfn.XLOOKUP(F119,'Wk no''s'!B:B,'Wk no''s'!C:C,0)</f>
        <v>2</v>
      </c>
    </row>
    <row r="120" spans="1:7" x14ac:dyDescent="0.3">
      <c r="A120" t="s">
        <v>1482</v>
      </c>
      <c r="B120" t="s">
        <v>1483</v>
      </c>
      <c r="C120" t="s">
        <v>1337</v>
      </c>
      <c r="D120">
        <v>0</v>
      </c>
      <c r="E120">
        <v>1</v>
      </c>
      <c r="F120" s="1">
        <v>45666</v>
      </c>
      <c r="G120">
        <f>_xlfn.XLOOKUP(F120,'Wk no''s'!B:B,'Wk no''s'!C:C,0)</f>
        <v>2</v>
      </c>
    </row>
    <row r="121" spans="1:7" x14ac:dyDescent="0.3">
      <c r="A121" t="s">
        <v>1484</v>
      </c>
      <c r="B121" t="s">
        <v>1485</v>
      </c>
      <c r="C121" t="s">
        <v>36</v>
      </c>
      <c r="D121">
        <v>0</v>
      </c>
      <c r="E121">
        <v>1</v>
      </c>
      <c r="F121" s="1">
        <v>45666</v>
      </c>
      <c r="G121">
        <f>_xlfn.XLOOKUP(F121,'Wk no''s'!B:B,'Wk no''s'!C:C,0)</f>
        <v>2</v>
      </c>
    </row>
    <row r="122" spans="1:7" x14ac:dyDescent="0.3">
      <c r="A122" t="s">
        <v>1486</v>
      </c>
      <c r="B122" t="s">
        <v>1487</v>
      </c>
      <c r="C122" t="s">
        <v>1488</v>
      </c>
      <c r="D122">
        <v>0</v>
      </c>
      <c r="E122">
        <v>1</v>
      </c>
      <c r="F122" s="1">
        <v>45666</v>
      </c>
      <c r="G122">
        <f>_xlfn.XLOOKUP(F122,'Wk no''s'!B:B,'Wk no''s'!C:C,0)</f>
        <v>2</v>
      </c>
    </row>
    <row r="123" spans="1:7" x14ac:dyDescent="0.3">
      <c r="A123" t="s">
        <v>1489</v>
      </c>
      <c r="B123" t="s">
        <v>1490</v>
      </c>
      <c r="C123" t="s">
        <v>725</v>
      </c>
      <c r="D123">
        <v>0</v>
      </c>
      <c r="E123">
        <v>1</v>
      </c>
      <c r="F123" s="1">
        <v>45666</v>
      </c>
      <c r="G123">
        <f>_xlfn.XLOOKUP(F123,'Wk no''s'!B:B,'Wk no''s'!C:C,0)</f>
        <v>2</v>
      </c>
    </row>
    <row r="124" spans="1:7" x14ac:dyDescent="0.3">
      <c r="A124" t="s">
        <v>1491</v>
      </c>
      <c r="B124" t="s">
        <v>1492</v>
      </c>
      <c r="C124" t="s">
        <v>550</v>
      </c>
      <c r="D124">
        <v>0</v>
      </c>
      <c r="E124">
        <v>1</v>
      </c>
      <c r="F124" s="1">
        <v>45666</v>
      </c>
      <c r="G124">
        <f>_xlfn.XLOOKUP(F124,'Wk no''s'!B:B,'Wk no''s'!C:C,0)</f>
        <v>2</v>
      </c>
    </row>
    <row r="125" spans="1:7" x14ac:dyDescent="0.3">
      <c r="A125" t="s">
        <v>1493</v>
      </c>
      <c r="B125" t="s">
        <v>1494</v>
      </c>
      <c r="C125" t="s">
        <v>1495</v>
      </c>
      <c r="D125">
        <v>0</v>
      </c>
      <c r="E125">
        <v>1</v>
      </c>
      <c r="F125" s="1">
        <v>45666</v>
      </c>
      <c r="G125">
        <f>_xlfn.XLOOKUP(F125,'Wk no''s'!B:B,'Wk no''s'!C:C,0)</f>
        <v>2</v>
      </c>
    </row>
    <row r="126" spans="1:7" x14ac:dyDescent="0.3">
      <c r="A126" t="s">
        <v>1496</v>
      </c>
      <c r="B126" t="s">
        <v>1497</v>
      </c>
      <c r="C126" t="s">
        <v>1498</v>
      </c>
      <c r="D126">
        <v>0</v>
      </c>
      <c r="E126">
        <v>1</v>
      </c>
      <c r="F126" s="1">
        <v>45666</v>
      </c>
      <c r="G126">
        <f>_xlfn.XLOOKUP(F126,'Wk no''s'!B:B,'Wk no''s'!C:C,0)</f>
        <v>2</v>
      </c>
    </row>
    <row r="127" spans="1:7" x14ac:dyDescent="0.3">
      <c r="A127" t="s">
        <v>1499</v>
      </c>
      <c r="B127" t="s">
        <v>1500</v>
      </c>
      <c r="C127" t="s">
        <v>1501</v>
      </c>
      <c r="D127">
        <v>0</v>
      </c>
      <c r="E127">
        <v>1</v>
      </c>
      <c r="F127" s="1">
        <v>45666</v>
      </c>
      <c r="G127">
        <f>_xlfn.XLOOKUP(F127,'Wk no''s'!B:B,'Wk no''s'!C:C,0)</f>
        <v>2</v>
      </c>
    </row>
    <row r="128" spans="1:7" x14ac:dyDescent="0.3">
      <c r="A128" t="s">
        <v>1502</v>
      </c>
      <c r="B128" t="s">
        <v>1503</v>
      </c>
      <c r="C128" t="s">
        <v>550</v>
      </c>
      <c r="D128">
        <v>0</v>
      </c>
      <c r="E128">
        <v>1</v>
      </c>
      <c r="F128" s="1">
        <v>45666</v>
      </c>
      <c r="G128">
        <f>_xlfn.XLOOKUP(F128,'Wk no''s'!B:B,'Wk no''s'!C:C,0)</f>
        <v>2</v>
      </c>
    </row>
    <row r="129" spans="1:7" x14ac:dyDescent="0.3">
      <c r="A129" t="s">
        <v>1504</v>
      </c>
      <c r="B129" t="s">
        <v>1505</v>
      </c>
      <c r="C129" t="s">
        <v>1506</v>
      </c>
      <c r="D129">
        <v>0</v>
      </c>
      <c r="E129">
        <v>1</v>
      </c>
      <c r="F129" s="1">
        <v>45666</v>
      </c>
      <c r="G129">
        <f>_xlfn.XLOOKUP(F129,'Wk no''s'!B:B,'Wk no''s'!C:C,0)</f>
        <v>2</v>
      </c>
    </row>
    <row r="130" spans="1:7" x14ac:dyDescent="0.3">
      <c r="A130" t="s">
        <v>1507</v>
      </c>
      <c r="B130" t="s">
        <v>1508</v>
      </c>
      <c r="C130" t="s">
        <v>75</v>
      </c>
      <c r="D130">
        <v>0</v>
      </c>
      <c r="E130">
        <v>1</v>
      </c>
      <c r="F130" s="1">
        <v>45666</v>
      </c>
      <c r="G130">
        <f>_xlfn.XLOOKUP(F130,'Wk no''s'!B:B,'Wk no''s'!C:C,0)</f>
        <v>2</v>
      </c>
    </row>
    <row r="131" spans="1:7" x14ac:dyDescent="0.3">
      <c r="A131" t="s">
        <v>1509</v>
      </c>
      <c r="B131" t="s">
        <v>1510</v>
      </c>
      <c r="C131" t="s">
        <v>550</v>
      </c>
      <c r="D131">
        <v>0</v>
      </c>
      <c r="E131">
        <v>1</v>
      </c>
      <c r="F131" s="1">
        <v>45666</v>
      </c>
      <c r="G131">
        <f>_xlfn.XLOOKUP(F131,'Wk no''s'!B:B,'Wk no''s'!C:C,0)</f>
        <v>2</v>
      </c>
    </row>
    <row r="132" spans="1:7" x14ac:dyDescent="0.3">
      <c r="A132" t="s">
        <v>1511</v>
      </c>
      <c r="B132" t="s">
        <v>1512</v>
      </c>
      <c r="C132" t="s">
        <v>1246</v>
      </c>
      <c r="D132">
        <v>0</v>
      </c>
      <c r="E132">
        <v>1</v>
      </c>
      <c r="F132" s="1">
        <v>45666</v>
      </c>
      <c r="G132">
        <f>_xlfn.XLOOKUP(F132,'Wk no''s'!B:B,'Wk no''s'!C:C,0)</f>
        <v>2</v>
      </c>
    </row>
    <row r="133" spans="1:7" x14ac:dyDescent="0.3">
      <c r="A133" t="s">
        <v>1513</v>
      </c>
      <c r="B133" t="s">
        <v>1514</v>
      </c>
      <c r="C133" t="s">
        <v>501</v>
      </c>
      <c r="D133">
        <v>0</v>
      </c>
      <c r="E133">
        <v>1</v>
      </c>
      <c r="F133" s="1">
        <v>45666</v>
      </c>
      <c r="G133">
        <f>_xlfn.XLOOKUP(F133,'Wk no''s'!B:B,'Wk no''s'!C:C,0)</f>
        <v>2</v>
      </c>
    </row>
    <row r="134" spans="1:7" x14ac:dyDescent="0.3">
      <c r="A134" t="s">
        <v>1515</v>
      </c>
      <c r="C134" t="s">
        <v>6736</v>
      </c>
      <c r="D134">
        <v>49</v>
      </c>
      <c r="E134">
        <v>0</v>
      </c>
      <c r="F134" s="1">
        <v>45666</v>
      </c>
      <c r="G134">
        <f>_xlfn.XLOOKUP(F134,'Wk no''s'!B:B,'Wk no''s'!C:C,0)</f>
        <v>2</v>
      </c>
    </row>
    <row r="135" spans="1:7" x14ac:dyDescent="0.3">
      <c r="A135" t="s">
        <v>1516</v>
      </c>
      <c r="B135" t="s">
        <v>1517</v>
      </c>
      <c r="C135" t="s">
        <v>1518</v>
      </c>
      <c r="D135">
        <v>0</v>
      </c>
      <c r="E135">
        <v>1</v>
      </c>
      <c r="F135" s="1">
        <v>45666</v>
      </c>
      <c r="G135">
        <f>_xlfn.XLOOKUP(F135,'Wk no''s'!B:B,'Wk no''s'!C:C,0)</f>
        <v>2</v>
      </c>
    </row>
    <row r="136" spans="1:7" x14ac:dyDescent="0.3">
      <c r="A136" t="s">
        <v>1519</v>
      </c>
      <c r="B136" t="s">
        <v>1520</v>
      </c>
      <c r="C136" t="s">
        <v>197</v>
      </c>
      <c r="D136">
        <v>2</v>
      </c>
      <c r="E136">
        <v>1</v>
      </c>
      <c r="F136" s="1">
        <v>45666</v>
      </c>
      <c r="G136">
        <f>_xlfn.XLOOKUP(F136,'Wk no''s'!B:B,'Wk no''s'!C:C,0)</f>
        <v>2</v>
      </c>
    </row>
    <row r="137" spans="1:7" x14ac:dyDescent="0.3">
      <c r="A137" t="s">
        <v>1521</v>
      </c>
      <c r="B137" t="s">
        <v>1522</v>
      </c>
      <c r="C137" t="s">
        <v>1194</v>
      </c>
      <c r="D137">
        <v>0</v>
      </c>
      <c r="E137">
        <v>1</v>
      </c>
      <c r="F137" s="1">
        <v>45666</v>
      </c>
      <c r="G137">
        <f>_xlfn.XLOOKUP(F137,'Wk no''s'!B:B,'Wk no''s'!C:C,0)</f>
        <v>2</v>
      </c>
    </row>
    <row r="138" spans="1:7" x14ac:dyDescent="0.3">
      <c r="A138" t="s">
        <v>1523</v>
      </c>
      <c r="B138" t="s">
        <v>1524</v>
      </c>
      <c r="C138" t="s">
        <v>302</v>
      </c>
      <c r="D138">
        <v>0</v>
      </c>
      <c r="E138">
        <v>1</v>
      </c>
      <c r="F138" s="1">
        <v>45666</v>
      </c>
      <c r="G138">
        <f>_xlfn.XLOOKUP(F138,'Wk no''s'!B:B,'Wk no''s'!C:C,0)</f>
        <v>2</v>
      </c>
    </row>
    <row r="139" spans="1:7" x14ac:dyDescent="0.3">
      <c r="A139" t="s">
        <v>1525</v>
      </c>
      <c r="B139" t="s">
        <v>1526</v>
      </c>
      <c r="C139" t="s">
        <v>1527</v>
      </c>
      <c r="D139">
        <v>0</v>
      </c>
      <c r="E139">
        <v>1</v>
      </c>
      <c r="F139" s="1">
        <v>45667</v>
      </c>
      <c r="G139">
        <f>_xlfn.XLOOKUP(F139,'Wk no''s'!B:B,'Wk no''s'!C:C,0)</f>
        <v>2</v>
      </c>
    </row>
    <row r="140" spans="1:7" x14ac:dyDescent="0.3">
      <c r="A140" t="s">
        <v>1528</v>
      </c>
      <c r="B140" t="s">
        <v>1529</v>
      </c>
      <c r="C140" t="s">
        <v>550</v>
      </c>
      <c r="D140">
        <v>0</v>
      </c>
      <c r="E140">
        <v>1</v>
      </c>
      <c r="F140" s="1">
        <v>45667</v>
      </c>
      <c r="G140">
        <f>_xlfn.XLOOKUP(F140,'Wk no''s'!B:B,'Wk no''s'!C:C,0)</f>
        <v>2</v>
      </c>
    </row>
    <row r="141" spans="1:7" x14ac:dyDescent="0.3">
      <c r="A141" t="s">
        <v>1530</v>
      </c>
      <c r="B141" t="s">
        <v>1531</v>
      </c>
      <c r="C141" t="s">
        <v>1322</v>
      </c>
      <c r="D141">
        <v>0</v>
      </c>
      <c r="E141">
        <v>1</v>
      </c>
      <c r="F141" s="1">
        <v>45667</v>
      </c>
      <c r="G141">
        <f>_xlfn.XLOOKUP(F141,'Wk no''s'!B:B,'Wk no''s'!C:C,0)</f>
        <v>2</v>
      </c>
    </row>
    <row r="142" spans="1:7" x14ac:dyDescent="0.3">
      <c r="A142" t="s">
        <v>1532</v>
      </c>
      <c r="B142" t="s">
        <v>1533</v>
      </c>
      <c r="C142" t="s">
        <v>1534</v>
      </c>
      <c r="D142">
        <v>1</v>
      </c>
      <c r="E142">
        <v>1</v>
      </c>
      <c r="F142" s="1">
        <v>45667</v>
      </c>
      <c r="G142">
        <f>_xlfn.XLOOKUP(F142,'Wk no''s'!B:B,'Wk no''s'!C:C,0)</f>
        <v>2</v>
      </c>
    </row>
    <row r="143" spans="1:7" x14ac:dyDescent="0.3">
      <c r="A143" t="s">
        <v>1535</v>
      </c>
      <c r="B143" t="s">
        <v>1536</v>
      </c>
      <c r="C143" t="s">
        <v>1537</v>
      </c>
      <c r="D143">
        <v>0</v>
      </c>
      <c r="E143">
        <v>1</v>
      </c>
      <c r="F143" s="1">
        <v>45667</v>
      </c>
      <c r="G143">
        <f>_xlfn.XLOOKUP(F143,'Wk no''s'!B:B,'Wk no''s'!C:C,0)</f>
        <v>2</v>
      </c>
    </row>
    <row r="144" spans="1:7" x14ac:dyDescent="0.3">
      <c r="A144" t="s">
        <v>1538</v>
      </c>
      <c r="B144" t="s">
        <v>1539</v>
      </c>
      <c r="C144" t="s">
        <v>197</v>
      </c>
      <c r="D144">
        <v>0</v>
      </c>
      <c r="E144">
        <v>1</v>
      </c>
      <c r="F144" s="1">
        <v>45667</v>
      </c>
      <c r="G144">
        <f>_xlfn.XLOOKUP(F144,'Wk no''s'!B:B,'Wk no''s'!C:C,0)</f>
        <v>2</v>
      </c>
    </row>
    <row r="145" spans="1:7" x14ac:dyDescent="0.3">
      <c r="A145" t="s">
        <v>1540</v>
      </c>
      <c r="B145" t="s">
        <v>1541</v>
      </c>
      <c r="C145" t="s">
        <v>147</v>
      </c>
      <c r="D145">
        <v>8</v>
      </c>
      <c r="E145">
        <v>0</v>
      </c>
      <c r="F145" s="1">
        <v>45667</v>
      </c>
      <c r="G145">
        <f>_xlfn.XLOOKUP(F145,'Wk no''s'!B:B,'Wk no''s'!C:C,0)</f>
        <v>2</v>
      </c>
    </row>
    <row r="146" spans="1:7" x14ac:dyDescent="0.3">
      <c r="A146" t="s">
        <v>1542</v>
      </c>
      <c r="B146" t="s">
        <v>1543</v>
      </c>
      <c r="C146" t="s">
        <v>1544</v>
      </c>
      <c r="D146">
        <v>0</v>
      </c>
      <c r="E146">
        <v>1</v>
      </c>
      <c r="F146" s="1">
        <v>45667</v>
      </c>
      <c r="G146">
        <f>_xlfn.XLOOKUP(F146,'Wk no''s'!B:B,'Wk no''s'!C:C,0)</f>
        <v>2</v>
      </c>
    </row>
    <row r="147" spans="1:7" x14ac:dyDescent="0.3">
      <c r="A147" t="s">
        <v>1545</v>
      </c>
      <c r="B147" t="s">
        <v>1546</v>
      </c>
      <c r="C147" t="s">
        <v>339</v>
      </c>
      <c r="D147">
        <v>1</v>
      </c>
      <c r="E147">
        <v>1</v>
      </c>
      <c r="F147" s="1">
        <v>45667</v>
      </c>
      <c r="G147">
        <f>_xlfn.XLOOKUP(F147,'Wk no''s'!B:B,'Wk no''s'!C:C,0)</f>
        <v>2</v>
      </c>
    </row>
    <row r="148" spans="1:7" x14ac:dyDescent="0.3">
      <c r="A148" t="s">
        <v>1547</v>
      </c>
      <c r="B148" t="s">
        <v>1548</v>
      </c>
      <c r="C148" t="s">
        <v>1549</v>
      </c>
      <c r="D148">
        <v>0</v>
      </c>
      <c r="E148">
        <v>1</v>
      </c>
      <c r="F148" s="1">
        <v>45667</v>
      </c>
      <c r="G148">
        <f>_xlfn.XLOOKUP(F148,'Wk no''s'!B:B,'Wk no''s'!C:C,0)</f>
        <v>2</v>
      </c>
    </row>
    <row r="149" spans="1:7" x14ac:dyDescent="0.3">
      <c r="A149" t="s">
        <v>1550</v>
      </c>
      <c r="B149" t="s">
        <v>1551</v>
      </c>
      <c r="C149" t="s">
        <v>33</v>
      </c>
      <c r="D149">
        <v>19</v>
      </c>
      <c r="E149">
        <v>0</v>
      </c>
      <c r="F149" s="1">
        <v>45667</v>
      </c>
      <c r="G149">
        <f>_xlfn.XLOOKUP(F149,'Wk no''s'!B:B,'Wk no''s'!C:C,0)</f>
        <v>2</v>
      </c>
    </row>
    <row r="150" spans="1:7" x14ac:dyDescent="0.3">
      <c r="A150" t="s">
        <v>1552</v>
      </c>
      <c r="B150" t="s">
        <v>1553</v>
      </c>
      <c r="C150" t="s">
        <v>481</v>
      </c>
      <c r="D150">
        <v>0</v>
      </c>
      <c r="E150">
        <v>1</v>
      </c>
      <c r="F150" s="1">
        <v>45667</v>
      </c>
      <c r="G150">
        <f>_xlfn.XLOOKUP(F150,'Wk no''s'!B:B,'Wk no''s'!C:C,0)</f>
        <v>2</v>
      </c>
    </row>
    <row r="151" spans="1:7" x14ac:dyDescent="0.3">
      <c r="A151" t="s">
        <v>1554</v>
      </c>
      <c r="B151" t="s">
        <v>1555</v>
      </c>
      <c r="C151" t="s">
        <v>75</v>
      </c>
      <c r="D151">
        <v>0</v>
      </c>
      <c r="E151">
        <v>1</v>
      </c>
      <c r="F151" s="1">
        <v>45667</v>
      </c>
      <c r="G151">
        <f>_xlfn.XLOOKUP(F151,'Wk no''s'!B:B,'Wk no''s'!C:C,0)</f>
        <v>2</v>
      </c>
    </row>
    <row r="152" spans="1:7" x14ac:dyDescent="0.3">
      <c r="A152" t="s">
        <v>1556</v>
      </c>
      <c r="B152" t="s">
        <v>1557</v>
      </c>
      <c r="C152" t="s">
        <v>1558</v>
      </c>
      <c r="D152">
        <v>0</v>
      </c>
      <c r="E152">
        <v>1</v>
      </c>
      <c r="F152" s="1">
        <v>45667</v>
      </c>
      <c r="G152">
        <f>_xlfn.XLOOKUP(F152,'Wk no''s'!B:B,'Wk no''s'!C:C,0)</f>
        <v>2</v>
      </c>
    </row>
    <row r="153" spans="1:7" x14ac:dyDescent="0.3">
      <c r="A153" t="s">
        <v>1559</v>
      </c>
      <c r="B153" t="s">
        <v>1560</v>
      </c>
      <c r="C153" t="s">
        <v>1194</v>
      </c>
      <c r="D153">
        <v>0</v>
      </c>
      <c r="E153">
        <v>1</v>
      </c>
      <c r="F153" s="1">
        <v>45667</v>
      </c>
      <c r="G153">
        <f>_xlfn.XLOOKUP(F153,'Wk no''s'!B:B,'Wk no''s'!C:C,0)</f>
        <v>2</v>
      </c>
    </row>
    <row r="154" spans="1:7" x14ac:dyDescent="0.3">
      <c r="A154" t="s">
        <v>1561</v>
      </c>
      <c r="B154" t="s">
        <v>1562</v>
      </c>
      <c r="C154" t="s">
        <v>1563</v>
      </c>
      <c r="D154">
        <v>1</v>
      </c>
      <c r="E154">
        <v>1</v>
      </c>
      <c r="F154" s="1">
        <v>45667</v>
      </c>
      <c r="G154">
        <f>_xlfn.XLOOKUP(F154,'Wk no''s'!B:B,'Wk no''s'!C:C,0)</f>
        <v>2</v>
      </c>
    </row>
    <row r="155" spans="1:7" x14ac:dyDescent="0.3">
      <c r="A155" t="s">
        <v>1564</v>
      </c>
      <c r="B155" t="s">
        <v>1565</v>
      </c>
      <c r="C155" t="s">
        <v>75</v>
      </c>
      <c r="D155">
        <v>0</v>
      </c>
      <c r="E155">
        <v>1</v>
      </c>
      <c r="F155" s="1">
        <v>45670</v>
      </c>
      <c r="G155">
        <f>_xlfn.XLOOKUP(F155,'Wk no''s'!B:B,'Wk no''s'!C:C,0)</f>
        <v>3</v>
      </c>
    </row>
    <row r="156" spans="1:7" x14ac:dyDescent="0.3">
      <c r="A156" t="s">
        <v>1566</v>
      </c>
      <c r="B156" t="s">
        <v>1567</v>
      </c>
      <c r="C156" t="s">
        <v>1568</v>
      </c>
      <c r="D156">
        <v>0</v>
      </c>
      <c r="E156">
        <v>1</v>
      </c>
      <c r="F156" s="1">
        <v>45670</v>
      </c>
      <c r="G156">
        <f>_xlfn.XLOOKUP(F156,'Wk no''s'!B:B,'Wk no''s'!C:C,0)</f>
        <v>3</v>
      </c>
    </row>
    <row r="157" spans="1:7" x14ac:dyDescent="0.3">
      <c r="A157" t="s">
        <v>1569</v>
      </c>
      <c r="B157" t="s">
        <v>1570</v>
      </c>
      <c r="C157" t="s">
        <v>1571</v>
      </c>
      <c r="D157">
        <v>0</v>
      </c>
      <c r="E157">
        <v>1</v>
      </c>
      <c r="F157" s="1">
        <v>45670</v>
      </c>
      <c r="G157">
        <f>_xlfn.XLOOKUP(F157,'Wk no''s'!B:B,'Wk no''s'!C:C,0)</f>
        <v>3</v>
      </c>
    </row>
    <row r="158" spans="1:7" x14ac:dyDescent="0.3">
      <c r="A158" t="s">
        <v>1572</v>
      </c>
      <c r="B158" t="s">
        <v>1573</v>
      </c>
      <c r="C158" t="s">
        <v>1574</v>
      </c>
      <c r="D158">
        <v>2</v>
      </c>
      <c r="E158">
        <v>1</v>
      </c>
      <c r="F158" s="1">
        <v>45670</v>
      </c>
      <c r="G158">
        <f>_xlfn.XLOOKUP(F158,'Wk no''s'!B:B,'Wk no''s'!C:C,0)</f>
        <v>3</v>
      </c>
    </row>
    <row r="159" spans="1:7" x14ac:dyDescent="0.3">
      <c r="A159" t="s">
        <v>1575</v>
      </c>
      <c r="B159" t="s">
        <v>1576</v>
      </c>
      <c r="C159" t="s">
        <v>1224</v>
      </c>
      <c r="D159">
        <v>0</v>
      </c>
      <c r="E159">
        <v>1</v>
      </c>
      <c r="F159" s="1">
        <v>45670</v>
      </c>
      <c r="G159">
        <f>_xlfn.XLOOKUP(F159,'Wk no''s'!B:B,'Wk no''s'!C:C,0)</f>
        <v>3</v>
      </c>
    </row>
    <row r="160" spans="1:7" x14ac:dyDescent="0.3">
      <c r="A160" t="s">
        <v>1577</v>
      </c>
      <c r="B160" t="s">
        <v>1578</v>
      </c>
      <c r="C160" t="s">
        <v>201</v>
      </c>
      <c r="D160">
        <v>0</v>
      </c>
      <c r="E160">
        <v>1</v>
      </c>
      <c r="F160" s="1">
        <v>45670</v>
      </c>
      <c r="G160">
        <f>_xlfn.XLOOKUP(F160,'Wk no''s'!B:B,'Wk no''s'!C:C,0)</f>
        <v>3</v>
      </c>
    </row>
    <row r="161" spans="1:7" x14ac:dyDescent="0.3">
      <c r="A161" t="s">
        <v>1579</v>
      </c>
      <c r="B161" t="s">
        <v>1580</v>
      </c>
      <c r="C161" t="s">
        <v>1246</v>
      </c>
      <c r="D161">
        <v>0</v>
      </c>
      <c r="E161">
        <v>1</v>
      </c>
      <c r="F161" s="1">
        <v>45670</v>
      </c>
      <c r="G161">
        <f>_xlfn.XLOOKUP(F161,'Wk no''s'!B:B,'Wk no''s'!C:C,0)</f>
        <v>3</v>
      </c>
    </row>
    <row r="162" spans="1:7" x14ac:dyDescent="0.3">
      <c r="A162" t="s">
        <v>1581</v>
      </c>
      <c r="B162" t="s">
        <v>1582</v>
      </c>
      <c r="C162" t="s">
        <v>308</v>
      </c>
      <c r="D162">
        <v>1</v>
      </c>
      <c r="E162">
        <v>1</v>
      </c>
      <c r="F162" s="1">
        <v>45670</v>
      </c>
      <c r="G162">
        <f>_xlfn.XLOOKUP(F162,'Wk no''s'!B:B,'Wk no''s'!C:C,0)</f>
        <v>3</v>
      </c>
    </row>
    <row r="163" spans="1:7" x14ac:dyDescent="0.3">
      <c r="A163" t="s">
        <v>1583</v>
      </c>
      <c r="B163" t="s">
        <v>1584</v>
      </c>
      <c r="C163" t="s">
        <v>438</v>
      </c>
      <c r="D163">
        <v>0</v>
      </c>
      <c r="E163">
        <v>1</v>
      </c>
      <c r="F163" s="1">
        <v>45670</v>
      </c>
      <c r="G163">
        <f>_xlfn.XLOOKUP(F163,'Wk no''s'!B:B,'Wk no''s'!C:C,0)</f>
        <v>3</v>
      </c>
    </row>
    <row r="164" spans="1:7" x14ac:dyDescent="0.3">
      <c r="A164" t="s">
        <v>1585</v>
      </c>
      <c r="B164" t="s">
        <v>1586</v>
      </c>
      <c r="C164" t="s">
        <v>1587</v>
      </c>
      <c r="D164">
        <v>23</v>
      </c>
      <c r="E164">
        <v>0</v>
      </c>
      <c r="F164" s="1">
        <v>45670</v>
      </c>
      <c r="G164">
        <f>_xlfn.XLOOKUP(F164,'Wk no''s'!B:B,'Wk no''s'!C:C,0)</f>
        <v>3</v>
      </c>
    </row>
    <row r="165" spans="1:7" x14ac:dyDescent="0.3">
      <c r="A165" t="s">
        <v>1588</v>
      </c>
      <c r="B165" t="s">
        <v>1589</v>
      </c>
      <c r="C165" t="s">
        <v>1246</v>
      </c>
      <c r="D165">
        <v>0</v>
      </c>
      <c r="E165">
        <v>1</v>
      </c>
      <c r="F165" s="1">
        <v>45670</v>
      </c>
      <c r="G165">
        <f>_xlfn.XLOOKUP(F165,'Wk no''s'!B:B,'Wk no''s'!C:C,0)</f>
        <v>3</v>
      </c>
    </row>
    <row r="166" spans="1:7" x14ac:dyDescent="0.3">
      <c r="A166" t="s">
        <v>1590</v>
      </c>
      <c r="B166" t="s">
        <v>1591</v>
      </c>
      <c r="C166" t="s">
        <v>1592</v>
      </c>
      <c r="D166">
        <v>6</v>
      </c>
      <c r="E166">
        <v>0</v>
      </c>
      <c r="F166" s="1">
        <v>45670</v>
      </c>
      <c r="G166">
        <f>_xlfn.XLOOKUP(F166,'Wk no''s'!B:B,'Wk no''s'!C:C,0)</f>
        <v>3</v>
      </c>
    </row>
    <row r="167" spans="1:7" x14ac:dyDescent="0.3">
      <c r="A167" t="s">
        <v>1593</v>
      </c>
      <c r="B167" t="s">
        <v>1594</v>
      </c>
      <c r="C167" t="s">
        <v>1314</v>
      </c>
      <c r="D167">
        <v>0</v>
      </c>
      <c r="E167">
        <v>1</v>
      </c>
      <c r="F167" s="1">
        <v>45670</v>
      </c>
      <c r="G167">
        <f>_xlfn.XLOOKUP(F167,'Wk no''s'!B:B,'Wk no''s'!C:C,0)</f>
        <v>3</v>
      </c>
    </row>
    <row r="168" spans="1:7" x14ac:dyDescent="0.3">
      <c r="A168" t="s">
        <v>1595</v>
      </c>
      <c r="B168" t="s">
        <v>1596</v>
      </c>
      <c r="C168" t="s">
        <v>1322</v>
      </c>
      <c r="D168">
        <v>0</v>
      </c>
      <c r="E168">
        <v>1</v>
      </c>
      <c r="F168" s="1">
        <v>45670</v>
      </c>
      <c r="G168">
        <f>_xlfn.XLOOKUP(F168,'Wk no''s'!B:B,'Wk no''s'!C:C,0)</f>
        <v>3</v>
      </c>
    </row>
    <row r="169" spans="1:7" x14ac:dyDescent="0.3">
      <c r="A169" t="s">
        <v>1597</v>
      </c>
      <c r="B169" t="s">
        <v>1598</v>
      </c>
      <c r="C169" t="s">
        <v>1599</v>
      </c>
      <c r="D169">
        <v>0</v>
      </c>
      <c r="E169">
        <v>1</v>
      </c>
      <c r="F169" s="1">
        <v>45670</v>
      </c>
      <c r="G169">
        <f>_xlfn.XLOOKUP(F169,'Wk no''s'!B:B,'Wk no''s'!C:C,0)</f>
        <v>3</v>
      </c>
    </row>
    <row r="170" spans="1:7" x14ac:dyDescent="0.3">
      <c r="A170" t="s">
        <v>1600</v>
      </c>
      <c r="B170" t="s">
        <v>1601</v>
      </c>
      <c r="C170" t="s">
        <v>197</v>
      </c>
      <c r="D170">
        <v>0</v>
      </c>
      <c r="E170">
        <v>1</v>
      </c>
      <c r="F170" s="1">
        <v>45670</v>
      </c>
      <c r="G170">
        <f>_xlfn.XLOOKUP(F170,'Wk no''s'!B:B,'Wk no''s'!C:C,0)</f>
        <v>3</v>
      </c>
    </row>
    <row r="171" spans="1:7" x14ac:dyDescent="0.3">
      <c r="A171" t="s">
        <v>1602</v>
      </c>
      <c r="B171" t="s">
        <v>1603</v>
      </c>
      <c r="C171" t="s">
        <v>1224</v>
      </c>
      <c r="D171">
        <v>0</v>
      </c>
      <c r="E171">
        <v>1</v>
      </c>
      <c r="F171" s="1">
        <v>45670</v>
      </c>
      <c r="G171">
        <f>_xlfn.XLOOKUP(F171,'Wk no''s'!B:B,'Wk no''s'!C:C,0)</f>
        <v>3</v>
      </c>
    </row>
    <row r="172" spans="1:7" x14ac:dyDescent="0.3">
      <c r="A172" t="s">
        <v>1604</v>
      </c>
      <c r="B172" t="s">
        <v>1605</v>
      </c>
      <c r="C172" t="s">
        <v>1606</v>
      </c>
      <c r="D172">
        <v>1</v>
      </c>
      <c r="E172">
        <v>1</v>
      </c>
      <c r="F172" s="1">
        <v>45670</v>
      </c>
      <c r="G172">
        <f>_xlfn.XLOOKUP(F172,'Wk no''s'!B:B,'Wk no''s'!C:C,0)</f>
        <v>3</v>
      </c>
    </row>
    <row r="173" spans="1:7" x14ac:dyDescent="0.3">
      <c r="A173" t="s">
        <v>1607</v>
      </c>
      <c r="B173" t="s">
        <v>1608</v>
      </c>
      <c r="C173" t="s">
        <v>1609</v>
      </c>
      <c r="D173">
        <v>17</v>
      </c>
      <c r="E173">
        <v>0</v>
      </c>
      <c r="F173" s="1">
        <v>45670</v>
      </c>
      <c r="G173">
        <f>_xlfn.XLOOKUP(F173,'Wk no''s'!B:B,'Wk no''s'!C:C,0)</f>
        <v>3</v>
      </c>
    </row>
    <row r="174" spans="1:7" x14ac:dyDescent="0.3">
      <c r="A174" t="s">
        <v>1610</v>
      </c>
      <c r="B174" t="s">
        <v>1611</v>
      </c>
      <c r="C174" t="s">
        <v>1322</v>
      </c>
      <c r="D174">
        <v>0</v>
      </c>
      <c r="E174">
        <v>1</v>
      </c>
      <c r="F174" s="1">
        <v>45670</v>
      </c>
      <c r="G174">
        <f>_xlfn.XLOOKUP(F174,'Wk no''s'!B:B,'Wk no''s'!C:C,0)</f>
        <v>3</v>
      </c>
    </row>
    <row r="175" spans="1:7" x14ac:dyDescent="0.3">
      <c r="A175" t="s">
        <v>1612</v>
      </c>
      <c r="B175" t="s">
        <v>1613</v>
      </c>
      <c r="C175" t="s">
        <v>1614</v>
      </c>
      <c r="D175">
        <v>0</v>
      </c>
      <c r="E175">
        <v>1</v>
      </c>
      <c r="F175" s="1">
        <v>45670</v>
      </c>
      <c r="G175">
        <f>_xlfn.XLOOKUP(F175,'Wk no''s'!B:B,'Wk no''s'!C:C,0)</f>
        <v>3</v>
      </c>
    </row>
    <row r="176" spans="1:7" x14ac:dyDescent="0.3">
      <c r="A176" t="s">
        <v>1615</v>
      </c>
      <c r="B176" t="s">
        <v>1616</v>
      </c>
      <c r="C176" t="s">
        <v>432</v>
      </c>
      <c r="D176">
        <v>0</v>
      </c>
      <c r="E176">
        <v>1</v>
      </c>
      <c r="F176" s="1">
        <v>45670</v>
      </c>
      <c r="G176">
        <f>_xlfn.XLOOKUP(F176,'Wk no''s'!B:B,'Wk no''s'!C:C,0)</f>
        <v>3</v>
      </c>
    </row>
    <row r="177" spans="1:7" x14ac:dyDescent="0.3">
      <c r="A177" t="s">
        <v>1617</v>
      </c>
      <c r="B177" t="s">
        <v>1618</v>
      </c>
      <c r="C177" t="s">
        <v>1619</v>
      </c>
      <c r="D177">
        <v>0</v>
      </c>
      <c r="E177">
        <v>1</v>
      </c>
      <c r="F177" s="1">
        <v>45670</v>
      </c>
      <c r="G177">
        <f>_xlfn.XLOOKUP(F177,'Wk no''s'!B:B,'Wk no''s'!C:C,0)</f>
        <v>3</v>
      </c>
    </row>
    <row r="178" spans="1:7" x14ac:dyDescent="0.3">
      <c r="A178" t="s">
        <v>1620</v>
      </c>
      <c r="B178" t="s">
        <v>1621</v>
      </c>
      <c r="C178" t="s">
        <v>684</v>
      </c>
      <c r="D178">
        <v>0</v>
      </c>
      <c r="E178">
        <v>1</v>
      </c>
      <c r="F178" s="1">
        <v>45670</v>
      </c>
      <c r="G178">
        <f>_xlfn.XLOOKUP(F178,'Wk no''s'!B:B,'Wk no''s'!C:C,0)</f>
        <v>3</v>
      </c>
    </row>
    <row r="179" spans="1:7" x14ac:dyDescent="0.3">
      <c r="A179" t="s">
        <v>1622</v>
      </c>
      <c r="B179" t="s">
        <v>1623</v>
      </c>
      <c r="C179" t="s">
        <v>1194</v>
      </c>
      <c r="D179">
        <v>0</v>
      </c>
      <c r="E179">
        <v>1</v>
      </c>
      <c r="F179" s="1">
        <v>45670</v>
      </c>
      <c r="G179">
        <f>_xlfn.XLOOKUP(F179,'Wk no''s'!B:B,'Wk no''s'!C:C,0)</f>
        <v>3</v>
      </c>
    </row>
    <row r="180" spans="1:7" x14ac:dyDescent="0.3">
      <c r="A180" t="s">
        <v>1624</v>
      </c>
      <c r="B180" t="s">
        <v>1625</v>
      </c>
      <c r="C180" t="s">
        <v>550</v>
      </c>
      <c r="D180">
        <v>0</v>
      </c>
      <c r="E180">
        <v>1</v>
      </c>
      <c r="F180" s="1">
        <v>45671</v>
      </c>
      <c r="G180">
        <f>_xlfn.XLOOKUP(F180,'Wk no''s'!B:B,'Wk no''s'!C:C,0)</f>
        <v>3</v>
      </c>
    </row>
    <row r="181" spans="1:7" x14ac:dyDescent="0.3">
      <c r="A181" t="s">
        <v>1626</v>
      </c>
      <c r="B181" t="s">
        <v>1627</v>
      </c>
      <c r="C181" t="s">
        <v>1194</v>
      </c>
      <c r="D181">
        <v>0</v>
      </c>
      <c r="E181">
        <v>1</v>
      </c>
      <c r="F181" s="1">
        <v>45671</v>
      </c>
      <c r="G181">
        <f>_xlfn.XLOOKUP(F181,'Wk no''s'!B:B,'Wk no''s'!C:C,0)</f>
        <v>3</v>
      </c>
    </row>
    <row r="182" spans="1:7" x14ac:dyDescent="0.3">
      <c r="A182" t="s">
        <v>1628</v>
      </c>
      <c r="B182" t="s">
        <v>1629</v>
      </c>
      <c r="C182" t="s">
        <v>1337</v>
      </c>
      <c r="D182">
        <v>0</v>
      </c>
      <c r="E182">
        <v>1</v>
      </c>
      <c r="F182" s="1">
        <v>45671</v>
      </c>
      <c r="G182">
        <f>_xlfn.XLOOKUP(F182,'Wk no''s'!B:B,'Wk no''s'!C:C,0)</f>
        <v>3</v>
      </c>
    </row>
    <row r="183" spans="1:7" x14ac:dyDescent="0.3">
      <c r="A183" t="s">
        <v>1630</v>
      </c>
      <c r="B183" t="s">
        <v>1631</v>
      </c>
      <c r="C183" t="s">
        <v>75</v>
      </c>
      <c r="D183">
        <v>0</v>
      </c>
      <c r="E183">
        <v>1</v>
      </c>
      <c r="F183" s="1">
        <v>45671</v>
      </c>
      <c r="G183">
        <f>_xlfn.XLOOKUP(F183,'Wk no''s'!B:B,'Wk no''s'!C:C,0)</f>
        <v>3</v>
      </c>
    </row>
    <row r="184" spans="1:7" x14ac:dyDescent="0.3">
      <c r="A184" t="s">
        <v>1632</v>
      </c>
      <c r="B184" t="s">
        <v>1633</v>
      </c>
      <c r="C184" t="s">
        <v>1634</v>
      </c>
      <c r="D184">
        <v>2</v>
      </c>
      <c r="E184">
        <v>1</v>
      </c>
      <c r="F184" s="1">
        <v>45671</v>
      </c>
      <c r="G184">
        <f>_xlfn.XLOOKUP(F184,'Wk no''s'!B:B,'Wk no''s'!C:C,0)</f>
        <v>3</v>
      </c>
    </row>
    <row r="185" spans="1:7" x14ac:dyDescent="0.3">
      <c r="A185" t="s">
        <v>1635</v>
      </c>
      <c r="B185" t="s">
        <v>1636</v>
      </c>
      <c r="C185" t="s">
        <v>349</v>
      </c>
      <c r="D185">
        <v>17</v>
      </c>
      <c r="E185">
        <v>0</v>
      </c>
      <c r="F185" s="1">
        <v>45671</v>
      </c>
      <c r="G185">
        <f>_xlfn.XLOOKUP(F185,'Wk no''s'!B:B,'Wk no''s'!C:C,0)</f>
        <v>3</v>
      </c>
    </row>
    <row r="186" spans="1:7" x14ac:dyDescent="0.3">
      <c r="A186" t="s">
        <v>1637</v>
      </c>
      <c r="B186" t="s">
        <v>1638</v>
      </c>
      <c r="C186" t="s">
        <v>1639</v>
      </c>
      <c r="D186">
        <v>16</v>
      </c>
      <c r="E186">
        <v>0</v>
      </c>
      <c r="F186" s="1">
        <v>45671</v>
      </c>
      <c r="G186">
        <f>_xlfn.XLOOKUP(F186,'Wk no''s'!B:B,'Wk no''s'!C:C,0)</f>
        <v>3</v>
      </c>
    </row>
    <row r="187" spans="1:7" x14ac:dyDescent="0.3">
      <c r="A187" t="s">
        <v>1640</v>
      </c>
      <c r="B187" t="s">
        <v>1641</v>
      </c>
      <c r="C187" t="s">
        <v>1642</v>
      </c>
      <c r="D187">
        <v>1</v>
      </c>
      <c r="E187">
        <v>1</v>
      </c>
      <c r="F187" s="1">
        <v>45671</v>
      </c>
      <c r="G187">
        <f>_xlfn.XLOOKUP(F187,'Wk no''s'!B:B,'Wk no''s'!C:C,0)</f>
        <v>3</v>
      </c>
    </row>
    <row r="188" spans="1:7" x14ac:dyDescent="0.3">
      <c r="A188" t="s">
        <v>1643</v>
      </c>
      <c r="B188" t="s">
        <v>1644</v>
      </c>
      <c r="C188" t="s">
        <v>1645</v>
      </c>
      <c r="D188">
        <v>0</v>
      </c>
      <c r="E188">
        <v>1</v>
      </c>
      <c r="F188" s="1">
        <v>45671</v>
      </c>
      <c r="G188">
        <f>_xlfn.XLOOKUP(F188,'Wk no''s'!B:B,'Wk no''s'!C:C,0)</f>
        <v>3</v>
      </c>
    </row>
    <row r="189" spans="1:7" x14ac:dyDescent="0.3">
      <c r="A189" t="s">
        <v>1646</v>
      </c>
      <c r="B189" t="s">
        <v>1647</v>
      </c>
      <c r="C189" t="s">
        <v>1337</v>
      </c>
      <c r="D189">
        <v>0</v>
      </c>
      <c r="E189">
        <v>1</v>
      </c>
      <c r="F189" s="1">
        <v>45671</v>
      </c>
      <c r="G189">
        <f>_xlfn.XLOOKUP(F189,'Wk no''s'!B:B,'Wk no''s'!C:C,0)</f>
        <v>3</v>
      </c>
    </row>
    <row r="190" spans="1:7" x14ac:dyDescent="0.3">
      <c r="A190" t="s">
        <v>1648</v>
      </c>
      <c r="B190" t="s">
        <v>1649</v>
      </c>
      <c r="C190" t="s">
        <v>725</v>
      </c>
      <c r="D190">
        <v>0</v>
      </c>
      <c r="E190">
        <v>1</v>
      </c>
      <c r="F190" s="1">
        <v>45671</v>
      </c>
      <c r="G190">
        <f>_xlfn.XLOOKUP(F190,'Wk no''s'!B:B,'Wk no''s'!C:C,0)</f>
        <v>3</v>
      </c>
    </row>
    <row r="191" spans="1:7" x14ac:dyDescent="0.3">
      <c r="A191" t="s">
        <v>1650</v>
      </c>
      <c r="B191" t="s">
        <v>1651</v>
      </c>
      <c r="C191" t="s">
        <v>1652</v>
      </c>
      <c r="D191">
        <v>2</v>
      </c>
      <c r="E191">
        <v>1</v>
      </c>
      <c r="F191" s="1">
        <v>45671</v>
      </c>
      <c r="G191">
        <f>_xlfn.XLOOKUP(F191,'Wk no''s'!B:B,'Wk no''s'!C:C,0)</f>
        <v>3</v>
      </c>
    </row>
    <row r="192" spans="1:7" x14ac:dyDescent="0.3">
      <c r="A192" t="s">
        <v>1653</v>
      </c>
      <c r="B192" t="s">
        <v>1654</v>
      </c>
      <c r="C192" t="s">
        <v>1475</v>
      </c>
      <c r="D192">
        <v>0</v>
      </c>
      <c r="E192">
        <v>1</v>
      </c>
      <c r="F192" s="1">
        <v>45671</v>
      </c>
      <c r="G192">
        <f>_xlfn.XLOOKUP(F192,'Wk no''s'!B:B,'Wk no''s'!C:C,0)</f>
        <v>3</v>
      </c>
    </row>
    <row r="193" spans="1:7" x14ac:dyDescent="0.3">
      <c r="A193" t="s">
        <v>1655</v>
      </c>
      <c r="B193" t="s">
        <v>1656</v>
      </c>
      <c r="C193" t="s">
        <v>696</v>
      </c>
      <c r="D193">
        <v>0</v>
      </c>
      <c r="E193">
        <v>1</v>
      </c>
      <c r="F193" s="1">
        <v>45671</v>
      </c>
      <c r="G193">
        <f>_xlfn.XLOOKUP(F193,'Wk no''s'!B:B,'Wk no''s'!C:C,0)</f>
        <v>3</v>
      </c>
    </row>
    <row r="194" spans="1:7" x14ac:dyDescent="0.3">
      <c r="A194" t="s">
        <v>1657</v>
      </c>
      <c r="B194" t="s">
        <v>1658</v>
      </c>
      <c r="C194" t="s">
        <v>1659</v>
      </c>
      <c r="D194">
        <v>0</v>
      </c>
      <c r="E194">
        <v>1</v>
      </c>
      <c r="F194" s="1">
        <v>45671</v>
      </c>
      <c r="G194">
        <f>_xlfn.XLOOKUP(F194,'Wk no''s'!B:B,'Wk no''s'!C:C,0)</f>
        <v>3</v>
      </c>
    </row>
    <row r="195" spans="1:7" x14ac:dyDescent="0.3">
      <c r="A195" t="s">
        <v>1660</v>
      </c>
      <c r="B195" t="s">
        <v>1661</v>
      </c>
      <c r="C195" t="s">
        <v>1662</v>
      </c>
      <c r="D195">
        <v>6</v>
      </c>
      <c r="E195">
        <v>0</v>
      </c>
      <c r="F195" s="1">
        <v>45671</v>
      </c>
      <c r="G195">
        <f>_xlfn.XLOOKUP(F195,'Wk no''s'!B:B,'Wk no''s'!C:C,0)</f>
        <v>3</v>
      </c>
    </row>
    <row r="196" spans="1:7" x14ac:dyDescent="0.3">
      <c r="A196" t="s">
        <v>1663</v>
      </c>
      <c r="B196" t="s">
        <v>1664</v>
      </c>
      <c r="C196" t="s">
        <v>550</v>
      </c>
      <c r="D196">
        <v>1</v>
      </c>
      <c r="E196">
        <v>1</v>
      </c>
      <c r="F196" s="1">
        <v>45671</v>
      </c>
      <c r="G196">
        <f>_xlfn.XLOOKUP(F196,'Wk no''s'!B:B,'Wk no''s'!C:C,0)</f>
        <v>3</v>
      </c>
    </row>
    <row r="197" spans="1:7" x14ac:dyDescent="0.3">
      <c r="A197" t="s">
        <v>1665</v>
      </c>
      <c r="B197" t="s">
        <v>1666</v>
      </c>
      <c r="C197" t="s">
        <v>1527</v>
      </c>
      <c r="D197">
        <v>0</v>
      </c>
      <c r="E197">
        <v>1</v>
      </c>
      <c r="F197" s="1">
        <v>45671</v>
      </c>
      <c r="G197">
        <f>_xlfn.XLOOKUP(F197,'Wk no''s'!B:B,'Wk no''s'!C:C,0)</f>
        <v>3</v>
      </c>
    </row>
    <row r="198" spans="1:7" x14ac:dyDescent="0.3">
      <c r="A198" t="s">
        <v>1667</v>
      </c>
      <c r="B198" t="s">
        <v>1668</v>
      </c>
      <c r="C198" t="s">
        <v>1481</v>
      </c>
      <c r="D198">
        <v>0</v>
      </c>
      <c r="E198">
        <v>1</v>
      </c>
      <c r="F198" s="1">
        <v>45671</v>
      </c>
      <c r="G198">
        <f>_xlfn.XLOOKUP(F198,'Wk no''s'!B:B,'Wk no''s'!C:C,0)</f>
        <v>3</v>
      </c>
    </row>
    <row r="199" spans="1:7" x14ac:dyDescent="0.3">
      <c r="A199" t="s">
        <v>1669</v>
      </c>
      <c r="B199" t="s">
        <v>1670</v>
      </c>
      <c r="C199" t="s">
        <v>1671</v>
      </c>
      <c r="D199">
        <v>11</v>
      </c>
      <c r="E199">
        <v>0</v>
      </c>
      <c r="F199" s="1">
        <v>45671</v>
      </c>
      <c r="G199">
        <f>_xlfn.XLOOKUP(F199,'Wk no''s'!B:B,'Wk no''s'!C:C,0)</f>
        <v>3</v>
      </c>
    </row>
    <row r="200" spans="1:7" x14ac:dyDescent="0.3">
      <c r="A200" t="s">
        <v>1672</v>
      </c>
      <c r="B200" t="s">
        <v>1673</v>
      </c>
      <c r="C200" t="s">
        <v>1674</v>
      </c>
      <c r="D200">
        <v>0</v>
      </c>
      <c r="E200">
        <v>1</v>
      </c>
      <c r="F200" s="1">
        <v>45671</v>
      </c>
      <c r="G200">
        <f>_xlfn.XLOOKUP(F200,'Wk no''s'!B:B,'Wk no''s'!C:C,0)</f>
        <v>3</v>
      </c>
    </row>
    <row r="201" spans="1:7" x14ac:dyDescent="0.3">
      <c r="A201" t="s">
        <v>1675</v>
      </c>
      <c r="B201" t="s">
        <v>1676</v>
      </c>
      <c r="C201" t="s">
        <v>1677</v>
      </c>
      <c r="D201">
        <v>0</v>
      </c>
      <c r="E201">
        <v>1</v>
      </c>
      <c r="F201" s="1">
        <v>45671</v>
      </c>
      <c r="G201">
        <f>_xlfn.XLOOKUP(F201,'Wk no''s'!B:B,'Wk no''s'!C:C,0)</f>
        <v>3</v>
      </c>
    </row>
    <row r="202" spans="1:7" x14ac:dyDescent="0.3">
      <c r="A202" t="s">
        <v>1678</v>
      </c>
      <c r="B202" t="s">
        <v>1679</v>
      </c>
      <c r="C202" t="s">
        <v>1337</v>
      </c>
      <c r="D202">
        <v>0</v>
      </c>
      <c r="E202">
        <v>1</v>
      </c>
      <c r="F202" s="1">
        <v>45671</v>
      </c>
      <c r="G202">
        <f>_xlfn.XLOOKUP(F202,'Wk no''s'!B:B,'Wk no''s'!C:C,0)</f>
        <v>3</v>
      </c>
    </row>
    <row r="203" spans="1:7" x14ac:dyDescent="0.3">
      <c r="A203" t="s">
        <v>1680</v>
      </c>
      <c r="B203" t="s">
        <v>1681</v>
      </c>
      <c r="C203" t="s">
        <v>1682</v>
      </c>
      <c r="D203">
        <v>0</v>
      </c>
      <c r="E203">
        <v>1</v>
      </c>
      <c r="F203" s="1">
        <v>45671</v>
      </c>
      <c r="G203">
        <f>_xlfn.XLOOKUP(F203,'Wk no''s'!B:B,'Wk no''s'!C:C,0)</f>
        <v>3</v>
      </c>
    </row>
    <row r="204" spans="1:7" x14ac:dyDescent="0.3">
      <c r="A204" t="s">
        <v>1683</v>
      </c>
      <c r="B204" t="s">
        <v>1684</v>
      </c>
      <c r="C204" t="s">
        <v>1685</v>
      </c>
      <c r="D204">
        <v>14</v>
      </c>
      <c r="E204">
        <v>0</v>
      </c>
      <c r="F204" s="1">
        <v>45671</v>
      </c>
      <c r="G204">
        <f>_xlfn.XLOOKUP(F204,'Wk no''s'!B:B,'Wk no''s'!C:C,0)</f>
        <v>3</v>
      </c>
    </row>
    <row r="205" spans="1:7" x14ac:dyDescent="0.3">
      <c r="A205" t="s">
        <v>1686</v>
      </c>
      <c r="B205" t="s">
        <v>1687</v>
      </c>
      <c r="C205" t="s">
        <v>593</v>
      </c>
      <c r="D205">
        <v>0</v>
      </c>
      <c r="E205">
        <v>1</v>
      </c>
      <c r="F205" s="1">
        <v>45671</v>
      </c>
      <c r="G205">
        <f>_xlfn.XLOOKUP(F205,'Wk no''s'!B:B,'Wk no''s'!C:C,0)</f>
        <v>3</v>
      </c>
    </row>
    <row r="206" spans="1:7" x14ac:dyDescent="0.3">
      <c r="A206" t="s">
        <v>1688</v>
      </c>
      <c r="B206" t="s">
        <v>1689</v>
      </c>
      <c r="C206" t="s">
        <v>1690</v>
      </c>
      <c r="D206">
        <v>0</v>
      </c>
      <c r="E206">
        <v>1</v>
      </c>
      <c r="F206" s="1">
        <v>45671</v>
      </c>
      <c r="G206">
        <f>_xlfn.XLOOKUP(F206,'Wk no''s'!B:B,'Wk no''s'!C:C,0)</f>
        <v>3</v>
      </c>
    </row>
    <row r="207" spans="1:7" x14ac:dyDescent="0.3">
      <c r="A207" t="s">
        <v>1691</v>
      </c>
      <c r="B207" t="s">
        <v>1692</v>
      </c>
      <c r="C207" t="s">
        <v>1693</v>
      </c>
      <c r="D207">
        <v>80</v>
      </c>
      <c r="E207">
        <v>0</v>
      </c>
      <c r="F207" s="1">
        <v>45671</v>
      </c>
      <c r="G207">
        <f>_xlfn.XLOOKUP(F207,'Wk no''s'!B:B,'Wk no''s'!C:C,0)</f>
        <v>3</v>
      </c>
    </row>
    <row r="208" spans="1:7" x14ac:dyDescent="0.3">
      <c r="A208" t="s">
        <v>1694</v>
      </c>
      <c r="B208" t="s">
        <v>1695</v>
      </c>
      <c r="C208" t="s">
        <v>197</v>
      </c>
      <c r="D208">
        <v>0</v>
      </c>
      <c r="E208">
        <v>1</v>
      </c>
      <c r="F208" s="1">
        <v>45671</v>
      </c>
      <c r="G208">
        <f>_xlfn.XLOOKUP(F208,'Wk no''s'!B:B,'Wk no''s'!C:C,0)</f>
        <v>3</v>
      </c>
    </row>
    <row r="209" spans="1:7" x14ac:dyDescent="0.3">
      <c r="A209" t="s">
        <v>1696</v>
      </c>
      <c r="B209" t="s">
        <v>1697</v>
      </c>
      <c r="C209" t="s">
        <v>1698</v>
      </c>
      <c r="D209">
        <v>0</v>
      </c>
      <c r="E209">
        <v>1</v>
      </c>
      <c r="F209" s="1">
        <v>45671</v>
      </c>
      <c r="G209">
        <f>_xlfn.XLOOKUP(F209,'Wk no''s'!B:B,'Wk no''s'!C:C,0)</f>
        <v>3</v>
      </c>
    </row>
    <row r="210" spans="1:7" x14ac:dyDescent="0.3">
      <c r="A210" t="s">
        <v>1699</v>
      </c>
      <c r="B210" t="s">
        <v>1700</v>
      </c>
      <c r="C210" t="s">
        <v>1701</v>
      </c>
      <c r="D210">
        <v>0</v>
      </c>
      <c r="E210">
        <v>1</v>
      </c>
      <c r="F210" s="1">
        <v>45671</v>
      </c>
      <c r="G210">
        <f>_xlfn.XLOOKUP(F210,'Wk no''s'!B:B,'Wk no''s'!C:C,0)</f>
        <v>3</v>
      </c>
    </row>
    <row r="211" spans="1:7" x14ac:dyDescent="0.3">
      <c r="A211" t="s">
        <v>1702</v>
      </c>
      <c r="B211" t="s">
        <v>1703</v>
      </c>
      <c r="C211" t="s">
        <v>1481</v>
      </c>
      <c r="D211">
        <v>0</v>
      </c>
      <c r="E211">
        <v>1</v>
      </c>
      <c r="F211" s="1">
        <v>45671</v>
      </c>
      <c r="G211">
        <f>_xlfn.XLOOKUP(F211,'Wk no''s'!B:B,'Wk no''s'!C:C,0)</f>
        <v>3</v>
      </c>
    </row>
    <row r="212" spans="1:7" x14ac:dyDescent="0.3">
      <c r="A212" t="s">
        <v>1704</v>
      </c>
      <c r="B212" t="s">
        <v>1705</v>
      </c>
      <c r="C212" t="s">
        <v>1706</v>
      </c>
      <c r="D212">
        <v>4</v>
      </c>
      <c r="E212">
        <v>1</v>
      </c>
      <c r="F212" s="1">
        <v>45671</v>
      </c>
      <c r="G212">
        <f>_xlfn.XLOOKUP(F212,'Wk no''s'!B:B,'Wk no''s'!C:C,0)</f>
        <v>3</v>
      </c>
    </row>
    <row r="213" spans="1:7" x14ac:dyDescent="0.3">
      <c r="A213" t="s">
        <v>1707</v>
      </c>
      <c r="B213" t="s">
        <v>1708</v>
      </c>
      <c r="C213" t="s">
        <v>1709</v>
      </c>
      <c r="D213">
        <v>0</v>
      </c>
      <c r="E213">
        <v>1</v>
      </c>
      <c r="F213" s="1">
        <v>45671</v>
      </c>
      <c r="G213">
        <f>_xlfn.XLOOKUP(F213,'Wk no''s'!B:B,'Wk no''s'!C:C,0)</f>
        <v>3</v>
      </c>
    </row>
    <row r="214" spans="1:7" x14ac:dyDescent="0.3">
      <c r="A214" t="s">
        <v>1710</v>
      </c>
      <c r="B214" t="s">
        <v>1711</v>
      </c>
      <c r="C214" t="s">
        <v>1712</v>
      </c>
      <c r="D214">
        <v>0</v>
      </c>
      <c r="E214">
        <v>1</v>
      </c>
      <c r="F214" s="1">
        <v>45671</v>
      </c>
      <c r="G214">
        <f>_xlfn.XLOOKUP(F214,'Wk no''s'!B:B,'Wk no''s'!C:C,0)</f>
        <v>3</v>
      </c>
    </row>
    <row r="215" spans="1:7" x14ac:dyDescent="0.3">
      <c r="A215" t="s">
        <v>1713</v>
      </c>
      <c r="B215" t="s">
        <v>1714</v>
      </c>
      <c r="C215" t="s">
        <v>1715</v>
      </c>
      <c r="D215">
        <v>0</v>
      </c>
      <c r="E215">
        <v>1</v>
      </c>
      <c r="F215" s="1">
        <v>45671</v>
      </c>
      <c r="G215">
        <f>_xlfn.XLOOKUP(F215,'Wk no''s'!B:B,'Wk no''s'!C:C,0)</f>
        <v>3</v>
      </c>
    </row>
    <row r="216" spans="1:7" x14ac:dyDescent="0.3">
      <c r="A216" t="s">
        <v>1716</v>
      </c>
      <c r="B216" t="s">
        <v>1717</v>
      </c>
      <c r="C216" t="s">
        <v>36</v>
      </c>
      <c r="D216">
        <v>0</v>
      </c>
      <c r="E216">
        <v>1</v>
      </c>
      <c r="F216" s="1">
        <v>45671</v>
      </c>
      <c r="G216">
        <f>_xlfn.XLOOKUP(F216,'Wk no''s'!B:B,'Wk no''s'!C:C,0)</f>
        <v>3</v>
      </c>
    </row>
    <row r="217" spans="1:7" x14ac:dyDescent="0.3">
      <c r="A217" t="s">
        <v>1718</v>
      </c>
      <c r="B217" t="s">
        <v>1719</v>
      </c>
      <c r="C217" t="s">
        <v>75</v>
      </c>
      <c r="D217">
        <v>0</v>
      </c>
      <c r="E217">
        <v>1</v>
      </c>
      <c r="F217" s="1">
        <v>45672</v>
      </c>
      <c r="G217">
        <f>_xlfn.XLOOKUP(F217,'Wk no''s'!B:B,'Wk no''s'!C:C,0)</f>
        <v>3</v>
      </c>
    </row>
    <row r="218" spans="1:7" x14ac:dyDescent="0.3">
      <c r="A218" t="s">
        <v>1720</v>
      </c>
      <c r="B218" t="s">
        <v>1721</v>
      </c>
      <c r="C218" t="s">
        <v>75</v>
      </c>
      <c r="D218">
        <v>0</v>
      </c>
      <c r="E218">
        <v>1</v>
      </c>
      <c r="F218" s="1">
        <v>45672</v>
      </c>
      <c r="G218">
        <f>_xlfn.XLOOKUP(F218,'Wk no''s'!B:B,'Wk no''s'!C:C,0)</f>
        <v>3</v>
      </c>
    </row>
    <row r="219" spans="1:7" x14ac:dyDescent="0.3">
      <c r="A219" t="s">
        <v>1722</v>
      </c>
      <c r="B219" t="s">
        <v>1723</v>
      </c>
      <c r="C219" t="s">
        <v>546</v>
      </c>
      <c r="D219">
        <v>0</v>
      </c>
      <c r="E219">
        <v>1</v>
      </c>
      <c r="F219" s="1">
        <v>45672</v>
      </c>
      <c r="G219">
        <f>_xlfn.XLOOKUP(F219,'Wk no''s'!B:B,'Wk no''s'!C:C,0)</f>
        <v>3</v>
      </c>
    </row>
    <row r="220" spans="1:7" x14ac:dyDescent="0.3">
      <c r="A220" t="s">
        <v>1724</v>
      </c>
      <c r="B220" t="s">
        <v>1725</v>
      </c>
      <c r="C220" t="s">
        <v>636</v>
      </c>
      <c r="D220">
        <v>54</v>
      </c>
      <c r="E220">
        <v>0</v>
      </c>
      <c r="F220" s="1">
        <v>45672</v>
      </c>
      <c r="G220">
        <f>_xlfn.XLOOKUP(F220,'Wk no''s'!B:B,'Wk no''s'!C:C,0)</f>
        <v>3</v>
      </c>
    </row>
    <row r="221" spans="1:7" x14ac:dyDescent="0.3">
      <c r="A221" t="s">
        <v>1726</v>
      </c>
      <c r="B221" t="s">
        <v>1727</v>
      </c>
      <c r="C221" t="s">
        <v>1728</v>
      </c>
      <c r="D221">
        <v>0</v>
      </c>
      <c r="E221">
        <v>1</v>
      </c>
      <c r="F221" s="1">
        <v>45672</v>
      </c>
      <c r="G221">
        <f>_xlfn.XLOOKUP(F221,'Wk no''s'!B:B,'Wk no''s'!C:C,0)</f>
        <v>3</v>
      </c>
    </row>
    <row r="222" spans="1:7" x14ac:dyDescent="0.3">
      <c r="A222" t="s">
        <v>1729</v>
      </c>
      <c r="B222" t="s">
        <v>1730</v>
      </c>
      <c r="C222" t="s">
        <v>75</v>
      </c>
      <c r="D222">
        <v>0</v>
      </c>
      <c r="E222">
        <v>1</v>
      </c>
      <c r="F222" s="1">
        <v>45672</v>
      </c>
      <c r="G222">
        <f>_xlfn.XLOOKUP(F222,'Wk no''s'!B:B,'Wk no''s'!C:C,0)</f>
        <v>3</v>
      </c>
    </row>
    <row r="223" spans="1:7" x14ac:dyDescent="0.3">
      <c r="A223" t="s">
        <v>1731</v>
      </c>
      <c r="B223" t="s">
        <v>1732</v>
      </c>
      <c r="C223" t="s">
        <v>550</v>
      </c>
      <c r="D223">
        <v>0</v>
      </c>
      <c r="E223">
        <v>1</v>
      </c>
      <c r="F223" s="1">
        <v>45672</v>
      </c>
      <c r="G223">
        <f>_xlfn.XLOOKUP(F223,'Wk no''s'!B:B,'Wk no''s'!C:C,0)</f>
        <v>3</v>
      </c>
    </row>
    <row r="224" spans="1:7" x14ac:dyDescent="0.3">
      <c r="A224" t="s">
        <v>1733</v>
      </c>
      <c r="B224" t="s">
        <v>1734</v>
      </c>
      <c r="C224" t="s">
        <v>1735</v>
      </c>
      <c r="D224">
        <v>0</v>
      </c>
      <c r="E224">
        <v>1</v>
      </c>
      <c r="F224" s="1">
        <v>45672</v>
      </c>
      <c r="G224">
        <f>_xlfn.XLOOKUP(F224,'Wk no''s'!B:B,'Wk no''s'!C:C,0)</f>
        <v>3</v>
      </c>
    </row>
    <row r="225" spans="1:7" x14ac:dyDescent="0.3">
      <c r="A225" t="s">
        <v>1736</v>
      </c>
      <c r="B225" t="s">
        <v>1737</v>
      </c>
      <c r="C225" t="s">
        <v>353</v>
      </c>
      <c r="D225">
        <v>0</v>
      </c>
      <c r="E225">
        <v>1</v>
      </c>
      <c r="F225" s="1">
        <v>45672</v>
      </c>
      <c r="G225">
        <f>_xlfn.XLOOKUP(F225,'Wk no''s'!B:B,'Wk no''s'!C:C,0)</f>
        <v>3</v>
      </c>
    </row>
    <row r="226" spans="1:7" x14ac:dyDescent="0.3">
      <c r="A226" t="s">
        <v>1738</v>
      </c>
      <c r="B226" t="s">
        <v>1739</v>
      </c>
      <c r="C226" t="s">
        <v>1322</v>
      </c>
      <c r="D226">
        <v>0</v>
      </c>
      <c r="E226">
        <v>1</v>
      </c>
      <c r="F226" s="1">
        <v>45672</v>
      </c>
      <c r="G226">
        <f>_xlfn.XLOOKUP(F226,'Wk no''s'!B:B,'Wk no''s'!C:C,0)</f>
        <v>3</v>
      </c>
    </row>
    <row r="227" spans="1:7" x14ac:dyDescent="0.3">
      <c r="A227" t="s">
        <v>1740</v>
      </c>
      <c r="B227" t="s">
        <v>1741</v>
      </c>
      <c r="C227" t="s">
        <v>550</v>
      </c>
      <c r="D227">
        <v>0</v>
      </c>
      <c r="E227">
        <v>1</v>
      </c>
      <c r="F227" s="1">
        <v>45672</v>
      </c>
      <c r="G227">
        <f>_xlfn.XLOOKUP(F227,'Wk no''s'!B:B,'Wk no''s'!C:C,0)</f>
        <v>3</v>
      </c>
    </row>
    <row r="228" spans="1:7" x14ac:dyDescent="0.3">
      <c r="A228" t="s">
        <v>1742</v>
      </c>
      <c r="B228" t="s">
        <v>1743</v>
      </c>
      <c r="C228" t="s">
        <v>1744</v>
      </c>
      <c r="D228">
        <v>69</v>
      </c>
      <c r="E228">
        <v>0</v>
      </c>
      <c r="F228" s="1">
        <v>45672</v>
      </c>
      <c r="G228">
        <f>_xlfn.XLOOKUP(F228,'Wk no''s'!B:B,'Wk no''s'!C:C,0)</f>
        <v>3</v>
      </c>
    </row>
    <row r="229" spans="1:7" x14ac:dyDescent="0.3">
      <c r="A229" t="s">
        <v>1745</v>
      </c>
      <c r="B229" t="s">
        <v>1746</v>
      </c>
      <c r="C229" t="s">
        <v>1747</v>
      </c>
      <c r="D229">
        <v>0</v>
      </c>
      <c r="E229">
        <v>1</v>
      </c>
      <c r="F229" s="1">
        <v>45672</v>
      </c>
      <c r="G229">
        <f>_xlfn.XLOOKUP(F229,'Wk no''s'!B:B,'Wk no''s'!C:C,0)</f>
        <v>3</v>
      </c>
    </row>
    <row r="230" spans="1:7" x14ac:dyDescent="0.3">
      <c r="A230" t="s">
        <v>1748</v>
      </c>
      <c r="B230" t="s">
        <v>1749</v>
      </c>
      <c r="C230" t="s">
        <v>31</v>
      </c>
      <c r="D230">
        <v>1</v>
      </c>
      <c r="E230">
        <v>1</v>
      </c>
      <c r="F230" s="1">
        <v>45672</v>
      </c>
      <c r="G230">
        <f>_xlfn.XLOOKUP(F230,'Wk no''s'!B:B,'Wk no''s'!C:C,0)</f>
        <v>3</v>
      </c>
    </row>
    <row r="231" spans="1:7" x14ac:dyDescent="0.3">
      <c r="A231" t="s">
        <v>1750</v>
      </c>
      <c r="B231" t="s">
        <v>1751</v>
      </c>
      <c r="C231" t="s">
        <v>1269</v>
      </c>
      <c r="D231">
        <v>0</v>
      </c>
      <c r="E231">
        <v>1</v>
      </c>
      <c r="F231" s="1">
        <v>45672</v>
      </c>
      <c r="G231">
        <f>_xlfn.XLOOKUP(F231,'Wk no''s'!B:B,'Wk no''s'!C:C,0)</f>
        <v>3</v>
      </c>
    </row>
    <row r="232" spans="1:7" x14ac:dyDescent="0.3">
      <c r="A232" t="s">
        <v>1752</v>
      </c>
      <c r="B232" t="s">
        <v>1753</v>
      </c>
      <c r="C232" t="s">
        <v>1240</v>
      </c>
      <c r="D232">
        <v>0</v>
      </c>
      <c r="E232">
        <v>1</v>
      </c>
      <c r="F232" s="1">
        <v>45672</v>
      </c>
      <c r="G232">
        <f>_xlfn.XLOOKUP(F232,'Wk no''s'!B:B,'Wk no''s'!C:C,0)</f>
        <v>3</v>
      </c>
    </row>
    <row r="233" spans="1:7" x14ac:dyDescent="0.3">
      <c r="A233" t="s">
        <v>1754</v>
      </c>
      <c r="B233" t="s">
        <v>1755</v>
      </c>
      <c r="C233" t="s">
        <v>1756</v>
      </c>
      <c r="D233">
        <v>0</v>
      </c>
      <c r="E233">
        <v>1</v>
      </c>
      <c r="F233" s="1">
        <v>45673</v>
      </c>
      <c r="G233">
        <f>_xlfn.XLOOKUP(F233,'Wk no''s'!B:B,'Wk no''s'!C:C,0)</f>
        <v>3</v>
      </c>
    </row>
    <row r="234" spans="1:7" x14ac:dyDescent="0.3">
      <c r="A234" t="s">
        <v>1757</v>
      </c>
      <c r="B234" t="s">
        <v>1758</v>
      </c>
      <c r="C234" t="s">
        <v>1759</v>
      </c>
      <c r="D234">
        <v>0</v>
      </c>
      <c r="E234">
        <v>1</v>
      </c>
      <c r="F234" s="1">
        <v>45673</v>
      </c>
      <c r="G234">
        <f>_xlfn.XLOOKUP(F234,'Wk no''s'!B:B,'Wk no''s'!C:C,0)</f>
        <v>3</v>
      </c>
    </row>
    <row r="235" spans="1:7" x14ac:dyDescent="0.3">
      <c r="A235" t="s">
        <v>1760</v>
      </c>
      <c r="B235" t="s">
        <v>1761</v>
      </c>
      <c r="C235" t="s">
        <v>1762</v>
      </c>
      <c r="D235">
        <v>0</v>
      </c>
      <c r="E235">
        <v>1</v>
      </c>
      <c r="F235" s="1">
        <v>45673</v>
      </c>
      <c r="G235">
        <f>_xlfn.XLOOKUP(F235,'Wk no''s'!B:B,'Wk no''s'!C:C,0)</f>
        <v>3</v>
      </c>
    </row>
    <row r="236" spans="1:7" x14ac:dyDescent="0.3">
      <c r="A236" t="s">
        <v>1763</v>
      </c>
      <c r="B236" t="s">
        <v>1764</v>
      </c>
      <c r="C236" t="s">
        <v>1765</v>
      </c>
      <c r="D236">
        <v>1</v>
      </c>
      <c r="E236">
        <v>1</v>
      </c>
      <c r="F236" s="1">
        <v>45673</v>
      </c>
      <c r="G236">
        <f>_xlfn.XLOOKUP(F236,'Wk no''s'!B:B,'Wk no''s'!C:C,0)</f>
        <v>3</v>
      </c>
    </row>
    <row r="237" spans="1:7" x14ac:dyDescent="0.3">
      <c r="A237" t="s">
        <v>1766</v>
      </c>
      <c r="B237" t="s">
        <v>1767</v>
      </c>
      <c r="C237" t="s">
        <v>31</v>
      </c>
      <c r="D237">
        <v>0</v>
      </c>
      <c r="E237">
        <v>1</v>
      </c>
      <c r="F237" s="1">
        <v>45673</v>
      </c>
      <c r="G237">
        <f>_xlfn.XLOOKUP(F237,'Wk no''s'!B:B,'Wk no''s'!C:C,0)</f>
        <v>3</v>
      </c>
    </row>
    <row r="238" spans="1:7" x14ac:dyDescent="0.3">
      <c r="A238" t="s">
        <v>1768</v>
      </c>
      <c r="B238" t="s">
        <v>1769</v>
      </c>
      <c r="C238" t="s">
        <v>69</v>
      </c>
      <c r="D238">
        <v>0</v>
      </c>
      <c r="E238">
        <v>1</v>
      </c>
      <c r="F238" s="1">
        <v>45673</v>
      </c>
      <c r="G238">
        <f>_xlfn.XLOOKUP(F238,'Wk no''s'!B:B,'Wk no''s'!C:C,0)</f>
        <v>3</v>
      </c>
    </row>
    <row r="239" spans="1:7" x14ac:dyDescent="0.3">
      <c r="A239" t="s">
        <v>1770</v>
      </c>
      <c r="B239" t="s">
        <v>1771</v>
      </c>
      <c r="C239" t="s">
        <v>1772</v>
      </c>
      <c r="D239">
        <v>0</v>
      </c>
      <c r="E239">
        <v>1</v>
      </c>
      <c r="F239" s="1">
        <v>45673</v>
      </c>
      <c r="G239">
        <f>_xlfn.XLOOKUP(F239,'Wk no''s'!B:B,'Wk no''s'!C:C,0)</f>
        <v>3</v>
      </c>
    </row>
    <row r="240" spans="1:7" x14ac:dyDescent="0.3">
      <c r="A240" t="s">
        <v>1773</v>
      </c>
      <c r="B240" t="s">
        <v>1774</v>
      </c>
      <c r="C240" t="s">
        <v>168</v>
      </c>
      <c r="D240">
        <v>0</v>
      </c>
      <c r="E240">
        <v>1</v>
      </c>
      <c r="F240" s="1">
        <v>45673</v>
      </c>
      <c r="G240">
        <f>_xlfn.XLOOKUP(F240,'Wk no''s'!B:B,'Wk no''s'!C:C,0)</f>
        <v>3</v>
      </c>
    </row>
    <row r="241" spans="1:7" x14ac:dyDescent="0.3">
      <c r="A241" t="s">
        <v>1775</v>
      </c>
      <c r="B241" t="s">
        <v>1776</v>
      </c>
      <c r="C241" t="s">
        <v>353</v>
      </c>
      <c r="D241">
        <v>0</v>
      </c>
      <c r="E241">
        <v>1</v>
      </c>
      <c r="F241" s="1">
        <v>45673</v>
      </c>
      <c r="G241">
        <f>_xlfn.XLOOKUP(F241,'Wk no''s'!B:B,'Wk no''s'!C:C,0)</f>
        <v>3</v>
      </c>
    </row>
    <row r="242" spans="1:7" x14ac:dyDescent="0.3">
      <c r="A242" t="s">
        <v>1777</v>
      </c>
      <c r="B242" t="s">
        <v>1778</v>
      </c>
      <c r="C242" t="s">
        <v>69</v>
      </c>
      <c r="D242">
        <v>0</v>
      </c>
      <c r="E242">
        <v>1</v>
      </c>
      <c r="F242" s="1">
        <v>45673</v>
      </c>
      <c r="G242">
        <f>_xlfn.XLOOKUP(F242,'Wk no''s'!B:B,'Wk no''s'!C:C,0)</f>
        <v>3</v>
      </c>
    </row>
    <row r="243" spans="1:7" x14ac:dyDescent="0.3">
      <c r="A243" t="s">
        <v>1779</v>
      </c>
      <c r="B243" t="s">
        <v>1780</v>
      </c>
      <c r="C243" t="s">
        <v>1781</v>
      </c>
      <c r="D243">
        <v>16</v>
      </c>
      <c r="E243">
        <v>0</v>
      </c>
      <c r="F243" s="1">
        <v>45673</v>
      </c>
      <c r="G243">
        <f>_xlfn.XLOOKUP(F243,'Wk no''s'!B:B,'Wk no''s'!C:C,0)</f>
        <v>3</v>
      </c>
    </row>
    <row r="244" spans="1:7" x14ac:dyDescent="0.3">
      <c r="A244" t="s">
        <v>1782</v>
      </c>
      <c r="B244" t="s">
        <v>1783</v>
      </c>
      <c r="C244" t="s">
        <v>75</v>
      </c>
      <c r="D244">
        <v>0</v>
      </c>
      <c r="E244">
        <v>1</v>
      </c>
      <c r="F244" s="1">
        <v>45673</v>
      </c>
      <c r="G244">
        <f>_xlfn.XLOOKUP(F244,'Wk no''s'!B:B,'Wk no''s'!C:C,0)</f>
        <v>3</v>
      </c>
    </row>
    <row r="245" spans="1:7" x14ac:dyDescent="0.3">
      <c r="A245" t="s">
        <v>1784</v>
      </c>
      <c r="B245" t="s">
        <v>1785</v>
      </c>
      <c r="C245" t="s">
        <v>69</v>
      </c>
      <c r="D245">
        <v>0</v>
      </c>
      <c r="E245">
        <v>1</v>
      </c>
      <c r="F245" s="1">
        <v>45673</v>
      </c>
      <c r="G245">
        <f>_xlfn.XLOOKUP(F245,'Wk no''s'!B:B,'Wk no''s'!C:C,0)</f>
        <v>3</v>
      </c>
    </row>
    <row r="246" spans="1:7" x14ac:dyDescent="0.3">
      <c r="A246" t="s">
        <v>1786</v>
      </c>
      <c r="B246" t="s">
        <v>1787</v>
      </c>
      <c r="C246" t="s">
        <v>29</v>
      </c>
      <c r="D246">
        <v>0</v>
      </c>
      <c r="E246">
        <v>1</v>
      </c>
      <c r="F246" s="1">
        <v>45673</v>
      </c>
      <c r="G246">
        <f>_xlfn.XLOOKUP(F246,'Wk no''s'!B:B,'Wk no''s'!C:C,0)</f>
        <v>3</v>
      </c>
    </row>
    <row r="247" spans="1:7" x14ac:dyDescent="0.3">
      <c r="A247" t="s">
        <v>1788</v>
      </c>
      <c r="B247" t="s">
        <v>1789</v>
      </c>
      <c r="C247" t="s">
        <v>620</v>
      </c>
      <c r="D247">
        <v>0</v>
      </c>
      <c r="E247">
        <v>1</v>
      </c>
      <c r="F247" s="1">
        <v>45673</v>
      </c>
      <c r="G247">
        <f>_xlfn.XLOOKUP(F247,'Wk no''s'!B:B,'Wk no''s'!C:C,0)</f>
        <v>3</v>
      </c>
    </row>
    <row r="248" spans="1:7" x14ac:dyDescent="0.3">
      <c r="A248" t="s">
        <v>1790</v>
      </c>
      <c r="B248" t="s">
        <v>1791</v>
      </c>
      <c r="C248" t="s">
        <v>302</v>
      </c>
      <c r="D248">
        <v>0</v>
      </c>
      <c r="E248">
        <v>1</v>
      </c>
      <c r="F248" s="1">
        <v>45673</v>
      </c>
      <c r="G248">
        <f>_xlfn.XLOOKUP(F248,'Wk no''s'!B:B,'Wk no''s'!C:C,0)</f>
        <v>3</v>
      </c>
    </row>
    <row r="249" spans="1:7" x14ac:dyDescent="0.3">
      <c r="A249" t="s">
        <v>1792</v>
      </c>
      <c r="B249" t="s">
        <v>1793</v>
      </c>
      <c r="C249" t="s">
        <v>29</v>
      </c>
      <c r="D249">
        <v>0</v>
      </c>
      <c r="E249">
        <v>1</v>
      </c>
      <c r="F249" s="1">
        <v>45673</v>
      </c>
      <c r="G249">
        <f>_xlfn.XLOOKUP(F249,'Wk no''s'!B:B,'Wk no''s'!C:C,0)</f>
        <v>3</v>
      </c>
    </row>
    <row r="250" spans="1:7" x14ac:dyDescent="0.3">
      <c r="A250" t="s">
        <v>1794</v>
      </c>
      <c r="B250" t="s">
        <v>1795</v>
      </c>
      <c r="C250" t="s">
        <v>493</v>
      </c>
      <c r="D250">
        <v>0</v>
      </c>
      <c r="E250">
        <v>1</v>
      </c>
      <c r="F250" s="1">
        <v>45673</v>
      </c>
      <c r="G250">
        <f>_xlfn.XLOOKUP(F250,'Wk no''s'!B:B,'Wk no''s'!C:C,0)</f>
        <v>3</v>
      </c>
    </row>
    <row r="251" spans="1:7" x14ac:dyDescent="0.3">
      <c r="A251" t="s">
        <v>1796</v>
      </c>
      <c r="B251" t="s">
        <v>1797</v>
      </c>
      <c r="C251" t="s">
        <v>1544</v>
      </c>
      <c r="D251">
        <v>0</v>
      </c>
      <c r="E251">
        <v>1</v>
      </c>
      <c r="F251" s="1">
        <v>45673</v>
      </c>
      <c r="G251">
        <f>_xlfn.XLOOKUP(F251,'Wk no''s'!B:B,'Wk no''s'!C:C,0)</f>
        <v>3</v>
      </c>
    </row>
    <row r="252" spans="1:7" x14ac:dyDescent="0.3">
      <c r="A252" t="s">
        <v>1798</v>
      </c>
      <c r="B252" t="s">
        <v>1799</v>
      </c>
      <c r="C252" t="s">
        <v>1246</v>
      </c>
      <c r="D252">
        <v>0</v>
      </c>
      <c r="E252">
        <v>1</v>
      </c>
      <c r="F252" s="1">
        <v>45673</v>
      </c>
      <c r="G252">
        <f>_xlfn.XLOOKUP(F252,'Wk no''s'!B:B,'Wk no''s'!C:C,0)</f>
        <v>3</v>
      </c>
    </row>
    <row r="253" spans="1:7" x14ac:dyDescent="0.3">
      <c r="A253" t="s">
        <v>1800</v>
      </c>
      <c r="B253" t="s">
        <v>1801</v>
      </c>
      <c r="C253" t="s">
        <v>1246</v>
      </c>
      <c r="D253">
        <v>0</v>
      </c>
      <c r="E253">
        <v>1</v>
      </c>
      <c r="F253" s="1">
        <v>45673</v>
      </c>
      <c r="G253">
        <f>_xlfn.XLOOKUP(F253,'Wk no''s'!B:B,'Wk no''s'!C:C,0)</f>
        <v>3</v>
      </c>
    </row>
    <row r="254" spans="1:7" x14ac:dyDescent="0.3">
      <c r="A254" t="s">
        <v>1802</v>
      </c>
      <c r="B254" t="s">
        <v>1803</v>
      </c>
      <c r="C254" t="s">
        <v>566</v>
      </c>
      <c r="D254">
        <v>0</v>
      </c>
      <c r="E254">
        <v>1</v>
      </c>
      <c r="F254" s="1">
        <v>45673</v>
      </c>
      <c r="G254">
        <f>_xlfn.XLOOKUP(F254,'Wk no''s'!B:B,'Wk no''s'!C:C,0)</f>
        <v>3</v>
      </c>
    </row>
    <row r="255" spans="1:7" x14ac:dyDescent="0.3">
      <c r="A255" t="s">
        <v>1804</v>
      </c>
      <c r="B255" t="s">
        <v>1805</v>
      </c>
      <c r="C255" t="s">
        <v>197</v>
      </c>
      <c r="D255">
        <v>0</v>
      </c>
      <c r="E255">
        <v>1</v>
      </c>
      <c r="F255" s="1">
        <v>45673</v>
      </c>
      <c r="G255">
        <f>_xlfn.XLOOKUP(F255,'Wk no''s'!B:B,'Wk no''s'!C:C,0)</f>
        <v>3</v>
      </c>
    </row>
    <row r="256" spans="1:7" x14ac:dyDescent="0.3">
      <c r="A256" t="s">
        <v>1806</v>
      </c>
      <c r="B256" t="s">
        <v>1807</v>
      </c>
      <c r="C256" t="s">
        <v>593</v>
      </c>
      <c r="D256">
        <v>0</v>
      </c>
      <c r="E256">
        <v>1</v>
      </c>
      <c r="F256" s="1">
        <v>45673</v>
      </c>
      <c r="G256">
        <f>_xlfn.XLOOKUP(F256,'Wk no''s'!B:B,'Wk no''s'!C:C,0)</f>
        <v>3</v>
      </c>
    </row>
    <row r="257" spans="1:7" x14ac:dyDescent="0.3">
      <c r="A257" t="s">
        <v>1808</v>
      </c>
      <c r="B257" t="s">
        <v>1809</v>
      </c>
      <c r="C257" t="s">
        <v>1246</v>
      </c>
      <c r="D257">
        <v>0</v>
      </c>
      <c r="E257">
        <v>1</v>
      </c>
      <c r="F257" s="1">
        <v>45673</v>
      </c>
      <c r="G257">
        <f>_xlfn.XLOOKUP(F257,'Wk no''s'!B:B,'Wk no''s'!C:C,0)</f>
        <v>3</v>
      </c>
    </row>
    <row r="258" spans="1:7" x14ac:dyDescent="0.3">
      <c r="A258" t="s">
        <v>1810</v>
      </c>
      <c r="B258" t="s">
        <v>1811</v>
      </c>
      <c r="C258" t="s">
        <v>1498</v>
      </c>
      <c r="D258">
        <v>0</v>
      </c>
      <c r="E258">
        <v>1</v>
      </c>
      <c r="F258" s="1">
        <v>45677</v>
      </c>
      <c r="G258">
        <f>_xlfn.XLOOKUP(F258,'Wk no''s'!B:B,'Wk no''s'!C:C,0)</f>
        <v>4</v>
      </c>
    </row>
    <row r="259" spans="1:7" x14ac:dyDescent="0.3">
      <c r="A259" t="s">
        <v>1812</v>
      </c>
      <c r="B259" t="s">
        <v>1813</v>
      </c>
      <c r="C259" t="s">
        <v>515</v>
      </c>
      <c r="D259">
        <v>0</v>
      </c>
      <c r="E259">
        <v>1</v>
      </c>
      <c r="F259" s="1">
        <v>45677</v>
      </c>
      <c r="G259">
        <f>_xlfn.XLOOKUP(F259,'Wk no''s'!B:B,'Wk no''s'!C:C,0)</f>
        <v>4</v>
      </c>
    </row>
    <row r="260" spans="1:7" x14ac:dyDescent="0.3">
      <c r="A260" t="s">
        <v>1814</v>
      </c>
      <c r="B260" t="s">
        <v>1815</v>
      </c>
      <c r="C260" t="s">
        <v>58</v>
      </c>
      <c r="D260">
        <v>1</v>
      </c>
      <c r="E260">
        <v>1</v>
      </c>
      <c r="F260" s="1">
        <v>45677</v>
      </c>
      <c r="G260">
        <f>_xlfn.XLOOKUP(F260,'Wk no''s'!B:B,'Wk no''s'!C:C,0)</f>
        <v>4</v>
      </c>
    </row>
    <row r="261" spans="1:7" x14ac:dyDescent="0.3">
      <c r="A261" t="s">
        <v>1816</v>
      </c>
      <c r="B261" t="s">
        <v>1817</v>
      </c>
      <c r="C261" t="s">
        <v>550</v>
      </c>
      <c r="D261">
        <v>0</v>
      </c>
      <c r="E261">
        <v>1</v>
      </c>
      <c r="F261" s="1">
        <v>45677</v>
      </c>
      <c r="G261">
        <f>_xlfn.XLOOKUP(F261,'Wk no''s'!B:B,'Wk no''s'!C:C,0)</f>
        <v>4</v>
      </c>
    </row>
    <row r="262" spans="1:7" x14ac:dyDescent="0.3">
      <c r="A262" t="s">
        <v>1818</v>
      </c>
      <c r="B262" t="s">
        <v>1819</v>
      </c>
      <c r="C262" t="s">
        <v>75</v>
      </c>
      <c r="D262">
        <v>0</v>
      </c>
      <c r="E262">
        <v>1</v>
      </c>
      <c r="F262" s="1">
        <v>45677</v>
      </c>
      <c r="G262">
        <f>_xlfn.XLOOKUP(F262,'Wk no''s'!B:B,'Wk no''s'!C:C,0)</f>
        <v>4</v>
      </c>
    </row>
    <row r="263" spans="1:7" x14ac:dyDescent="0.3">
      <c r="A263" t="s">
        <v>1820</v>
      </c>
      <c r="B263" t="s">
        <v>1821</v>
      </c>
      <c r="C263" t="s">
        <v>1822</v>
      </c>
      <c r="D263">
        <v>0</v>
      </c>
      <c r="E263">
        <v>1</v>
      </c>
      <c r="F263" s="1">
        <v>45677</v>
      </c>
      <c r="G263">
        <f>_xlfn.XLOOKUP(F263,'Wk no''s'!B:B,'Wk no''s'!C:C,0)</f>
        <v>4</v>
      </c>
    </row>
    <row r="264" spans="1:7" x14ac:dyDescent="0.3">
      <c r="A264" t="s">
        <v>1823</v>
      </c>
      <c r="B264" t="s">
        <v>1824</v>
      </c>
      <c r="C264" t="s">
        <v>1825</v>
      </c>
      <c r="D264">
        <v>0</v>
      </c>
      <c r="E264">
        <v>1</v>
      </c>
      <c r="F264" s="1">
        <v>45677</v>
      </c>
      <c r="G264">
        <f>_xlfn.XLOOKUP(F264,'Wk no''s'!B:B,'Wk no''s'!C:C,0)</f>
        <v>4</v>
      </c>
    </row>
    <row r="265" spans="1:7" x14ac:dyDescent="0.3">
      <c r="A265" t="s">
        <v>1826</v>
      </c>
      <c r="B265" t="s">
        <v>1827</v>
      </c>
      <c r="C265" t="s">
        <v>1246</v>
      </c>
      <c r="D265">
        <v>0</v>
      </c>
      <c r="E265">
        <v>1</v>
      </c>
      <c r="F265" s="1">
        <v>45677</v>
      </c>
      <c r="G265">
        <f>_xlfn.XLOOKUP(F265,'Wk no''s'!B:B,'Wk no''s'!C:C,0)</f>
        <v>4</v>
      </c>
    </row>
    <row r="266" spans="1:7" x14ac:dyDescent="0.3">
      <c r="A266" t="s">
        <v>1828</v>
      </c>
      <c r="B266" t="s">
        <v>1829</v>
      </c>
      <c r="C266" t="s">
        <v>1830</v>
      </c>
      <c r="D266">
        <v>12</v>
      </c>
      <c r="E266">
        <v>0</v>
      </c>
      <c r="F266" s="1">
        <v>45677</v>
      </c>
      <c r="G266">
        <f>_xlfn.XLOOKUP(F266,'Wk no''s'!B:B,'Wk no''s'!C:C,0)</f>
        <v>4</v>
      </c>
    </row>
    <row r="267" spans="1:7" x14ac:dyDescent="0.3">
      <c r="A267" t="s">
        <v>1831</v>
      </c>
      <c r="B267" t="s">
        <v>1832</v>
      </c>
      <c r="C267" t="s">
        <v>1833</v>
      </c>
      <c r="D267">
        <v>0</v>
      </c>
      <c r="E267">
        <v>1</v>
      </c>
      <c r="F267" s="1">
        <v>45677</v>
      </c>
      <c r="G267">
        <f>_xlfn.XLOOKUP(F267,'Wk no''s'!B:B,'Wk no''s'!C:C,0)</f>
        <v>4</v>
      </c>
    </row>
    <row r="268" spans="1:7" x14ac:dyDescent="0.3">
      <c r="A268" t="s">
        <v>1834</v>
      </c>
      <c r="B268" t="s">
        <v>1835</v>
      </c>
      <c r="C268" t="s">
        <v>1836</v>
      </c>
      <c r="D268">
        <v>0</v>
      </c>
      <c r="E268">
        <v>1</v>
      </c>
      <c r="F268" s="1">
        <v>45677</v>
      </c>
      <c r="G268">
        <f>_xlfn.XLOOKUP(F268,'Wk no''s'!B:B,'Wk no''s'!C:C,0)</f>
        <v>4</v>
      </c>
    </row>
    <row r="269" spans="1:7" x14ac:dyDescent="0.3">
      <c r="A269" t="s">
        <v>1837</v>
      </c>
      <c r="B269" t="s">
        <v>1838</v>
      </c>
      <c r="C269" t="s">
        <v>1839</v>
      </c>
      <c r="D269">
        <v>0</v>
      </c>
      <c r="E269">
        <v>1</v>
      </c>
      <c r="F269" s="1">
        <v>45677</v>
      </c>
      <c r="G269">
        <f>_xlfn.XLOOKUP(F269,'Wk no''s'!B:B,'Wk no''s'!C:C,0)</f>
        <v>4</v>
      </c>
    </row>
    <row r="270" spans="1:7" x14ac:dyDescent="0.3">
      <c r="A270" t="s">
        <v>1840</v>
      </c>
      <c r="B270" t="s">
        <v>1841</v>
      </c>
      <c r="C270" t="s">
        <v>308</v>
      </c>
      <c r="D270">
        <v>0</v>
      </c>
      <c r="E270">
        <v>1</v>
      </c>
      <c r="F270" s="1">
        <v>45677</v>
      </c>
      <c r="G270">
        <f>_xlfn.XLOOKUP(F270,'Wk no''s'!B:B,'Wk no''s'!C:C,0)</f>
        <v>4</v>
      </c>
    </row>
    <row r="271" spans="1:7" x14ac:dyDescent="0.3">
      <c r="A271" t="s">
        <v>1842</v>
      </c>
      <c r="B271" t="s">
        <v>1843</v>
      </c>
      <c r="C271" t="s">
        <v>1844</v>
      </c>
      <c r="D271">
        <v>8</v>
      </c>
      <c r="E271">
        <v>0</v>
      </c>
      <c r="F271" s="1">
        <v>45677</v>
      </c>
      <c r="G271">
        <f>_xlfn.XLOOKUP(F271,'Wk no''s'!B:B,'Wk no''s'!C:C,0)</f>
        <v>4</v>
      </c>
    </row>
    <row r="272" spans="1:7" x14ac:dyDescent="0.3">
      <c r="A272" t="s">
        <v>1845</v>
      </c>
      <c r="B272" t="s">
        <v>1846</v>
      </c>
      <c r="C272" t="s">
        <v>432</v>
      </c>
      <c r="D272">
        <v>0</v>
      </c>
      <c r="E272">
        <v>1</v>
      </c>
      <c r="F272" s="1">
        <v>45677</v>
      </c>
      <c r="G272">
        <f>_xlfn.XLOOKUP(F272,'Wk no''s'!B:B,'Wk no''s'!C:C,0)</f>
        <v>4</v>
      </c>
    </row>
    <row r="273" spans="1:7" x14ac:dyDescent="0.3">
      <c r="A273" t="s">
        <v>1847</v>
      </c>
      <c r="B273" t="s">
        <v>1848</v>
      </c>
      <c r="C273" t="s">
        <v>1849</v>
      </c>
      <c r="D273">
        <v>0</v>
      </c>
      <c r="E273">
        <v>1</v>
      </c>
      <c r="F273" s="1">
        <v>45677</v>
      </c>
      <c r="G273">
        <f>_xlfn.XLOOKUP(F273,'Wk no''s'!B:B,'Wk no''s'!C:C,0)</f>
        <v>4</v>
      </c>
    </row>
    <row r="274" spans="1:7" x14ac:dyDescent="0.3">
      <c r="A274" t="s">
        <v>1850</v>
      </c>
      <c r="B274" t="s">
        <v>1851</v>
      </c>
      <c r="C274" t="s">
        <v>1368</v>
      </c>
      <c r="D274">
        <v>0</v>
      </c>
      <c r="E274">
        <v>1</v>
      </c>
      <c r="F274" s="1">
        <v>45677</v>
      </c>
      <c r="G274">
        <f>_xlfn.XLOOKUP(F274,'Wk no''s'!B:B,'Wk no''s'!C:C,0)</f>
        <v>4</v>
      </c>
    </row>
    <row r="275" spans="1:7" x14ac:dyDescent="0.3">
      <c r="A275" t="s">
        <v>1852</v>
      </c>
      <c r="B275" t="s">
        <v>1853</v>
      </c>
      <c r="C275" t="s">
        <v>1106</v>
      </c>
      <c r="D275">
        <v>14</v>
      </c>
      <c r="E275">
        <v>0</v>
      </c>
      <c r="F275" s="1">
        <v>45677</v>
      </c>
      <c r="G275">
        <f>_xlfn.XLOOKUP(F275,'Wk no''s'!B:B,'Wk no''s'!C:C,0)</f>
        <v>4</v>
      </c>
    </row>
    <row r="276" spans="1:7" x14ac:dyDescent="0.3">
      <c r="A276" t="s">
        <v>1854</v>
      </c>
      <c r="B276" t="s">
        <v>1855</v>
      </c>
      <c r="C276" t="s">
        <v>1856</v>
      </c>
      <c r="D276">
        <v>17</v>
      </c>
      <c r="E276">
        <v>0</v>
      </c>
      <c r="F276" s="1">
        <v>45677</v>
      </c>
      <c r="G276">
        <f>_xlfn.XLOOKUP(F276,'Wk no''s'!B:B,'Wk no''s'!C:C,0)</f>
        <v>4</v>
      </c>
    </row>
    <row r="277" spans="1:7" x14ac:dyDescent="0.3">
      <c r="A277" t="s">
        <v>1857</v>
      </c>
      <c r="B277" t="s">
        <v>1858</v>
      </c>
      <c r="C277" t="s">
        <v>1571</v>
      </c>
      <c r="D277">
        <v>0</v>
      </c>
      <c r="E277">
        <v>1</v>
      </c>
      <c r="F277" s="1">
        <v>45677</v>
      </c>
      <c r="G277">
        <f>_xlfn.XLOOKUP(F277,'Wk no''s'!B:B,'Wk no''s'!C:C,0)</f>
        <v>4</v>
      </c>
    </row>
    <row r="278" spans="1:7" x14ac:dyDescent="0.3">
      <c r="A278" t="s">
        <v>1859</v>
      </c>
      <c r="B278" t="s">
        <v>1860</v>
      </c>
      <c r="C278" t="s">
        <v>1544</v>
      </c>
      <c r="D278">
        <v>0</v>
      </c>
      <c r="E278">
        <v>1</v>
      </c>
      <c r="F278" s="1">
        <v>45677</v>
      </c>
      <c r="G278">
        <f>_xlfn.XLOOKUP(F278,'Wk no''s'!B:B,'Wk no''s'!C:C,0)</f>
        <v>4</v>
      </c>
    </row>
    <row r="279" spans="1:7" x14ac:dyDescent="0.3">
      <c r="A279" t="s">
        <v>1861</v>
      </c>
      <c r="B279" t="s">
        <v>1862</v>
      </c>
      <c r="C279" t="s">
        <v>1863</v>
      </c>
      <c r="D279">
        <v>0</v>
      </c>
      <c r="E279">
        <v>1</v>
      </c>
      <c r="F279" s="1">
        <v>45677</v>
      </c>
      <c r="G279">
        <f>_xlfn.XLOOKUP(F279,'Wk no''s'!B:B,'Wk no''s'!C:C,0)</f>
        <v>4</v>
      </c>
    </row>
    <row r="280" spans="1:7" x14ac:dyDescent="0.3">
      <c r="A280" t="s">
        <v>1864</v>
      </c>
      <c r="B280" t="s">
        <v>1865</v>
      </c>
      <c r="C280" t="s">
        <v>75</v>
      </c>
      <c r="D280">
        <v>0</v>
      </c>
      <c r="E280">
        <v>1</v>
      </c>
      <c r="F280" s="1">
        <v>45677</v>
      </c>
      <c r="G280">
        <f>_xlfn.XLOOKUP(F280,'Wk no''s'!B:B,'Wk no''s'!C:C,0)</f>
        <v>4</v>
      </c>
    </row>
    <row r="281" spans="1:7" x14ac:dyDescent="0.3">
      <c r="A281" t="s">
        <v>1866</v>
      </c>
      <c r="B281" t="s">
        <v>1867</v>
      </c>
      <c r="C281" t="s">
        <v>1322</v>
      </c>
      <c r="D281">
        <v>0</v>
      </c>
      <c r="E281">
        <v>1</v>
      </c>
      <c r="F281" s="1">
        <v>45678</v>
      </c>
      <c r="G281">
        <f>_xlfn.XLOOKUP(F281,'Wk no''s'!B:B,'Wk no''s'!C:C,0)</f>
        <v>4</v>
      </c>
    </row>
    <row r="282" spans="1:7" x14ac:dyDescent="0.3">
      <c r="A282" t="s">
        <v>1868</v>
      </c>
      <c r="B282" t="s">
        <v>1869</v>
      </c>
      <c r="C282" t="s">
        <v>1870</v>
      </c>
      <c r="D282">
        <v>0</v>
      </c>
      <c r="E282">
        <v>1</v>
      </c>
      <c r="F282" s="1">
        <v>45678</v>
      </c>
      <c r="G282">
        <f>_xlfn.XLOOKUP(F282,'Wk no''s'!B:B,'Wk no''s'!C:C,0)</f>
        <v>4</v>
      </c>
    </row>
    <row r="283" spans="1:7" x14ac:dyDescent="0.3">
      <c r="A283" t="s">
        <v>1871</v>
      </c>
      <c r="B283" t="s">
        <v>1872</v>
      </c>
      <c r="C283" t="s">
        <v>566</v>
      </c>
      <c r="D283">
        <v>0</v>
      </c>
      <c r="E283">
        <v>1</v>
      </c>
      <c r="F283" s="1">
        <v>45678</v>
      </c>
      <c r="G283">
        <f>_xlfn.XLOOKUP(F283,'Wk no''s'!B:B,'Wk no''s'!C:C,0)</f>
        <v>4</v>
      </c>
    </row>
    <row r="284" spans="1:7" x14ac:dyDescent="0.3">
      <c r="A284" t="s">
        <v>1873</v>
      </c>
      <c r="B284" t="s">
        <v>1874</v>
      </c>
      <c r="C284" t="s">
        <v>1619</v>
      </c>
      <c r="D284">
        <v>0</v>
      </c>
      <c r="E284">
        <v>1</v>
      </c>
      <c r="F284" s="1">
        <v>45678</v>
      </c>
      <c r="G284">
        <f>_xlfn.XLOOKUP(F284,'Wk no''s'!B:B,'Wk no''s'!C:C,0)</f>
        <v>4</v>
      </c>
    </row>
    <row r="285" spans="1:7" x14ac:dyDescent="0.3">
      <c r="A285" t="s">
        <v>1875</v>
      </c>
      <c r="B285" t="s">
        <v>1876</v>
      </c>
      <c r="C285" t="s">
        <v>1877</v>
      </c>
      <c r="D285">
        <v>0</v>
      </c>
      <c r="E285">
        <v>1</v>
      </c>
      <c r="F285" s="1">
        <v>45678</v>
      </c>
      <c r="G285">
        <f>_xlfn.XLOOKUP(F285,'Wk no''s'!B:B,'Wk no''s'!C:C,0)</f>
        <v>4</v>
      </c>
    </row>
    <row r="286" spans="1:7" x14ac:dyDescent="0.3">
      <c r="A286" t="s">
        <v>1878</v>
      </c>
      <c r="B286" t="s">
        <v>1879</v>
      </c>
      <c r="C286" t="s">
        <v>1269</v>
      </c>
      <c r="D286">
        <v>0</v>
      </c>
      <c r="E286">
        <v>1</v>
      </c>
      <c r="F286" s="1">
        <v>45678</v>
      </c>
      <c r="G286">
        <f>_xlfn.XLOOKUP(F286,'Wk no''s'!B:B,'Wk no''s'!C:C,0)</f>
        <v>4</v>
      </c>
    </row>
    <row r="287" spans="1:7" x14ac:dyDescent="0.3">
      <c r="A287" t="s">
        <v>1880</v>
      </c>
      <c r="B287" t="s">
        <v>1881</v>
      </c>
      <c r="C287" t="s">
        <v>302</v>
      </c>
      <c r="D287">
        <v>0</v>
      </c>
      <c r="E287">
        <v>1</v>
      </c>
      <c r="F287" s="1">
        <v>45678</v>
      </c>
      <c r="G287">
        <f>_xlfn.XLOOKUP(F287,'Wk no''s'!B:B,'Wk no''s'!C:C,0)</f>
        <v>4</v>
      </c>
    </row>
    <row r="288" spans="1:7" x14ac:dyDescent="0.3">
      <c r="A288" t="s">
        <v>1882</v>
      </c>
      <c r="B288" t="s">
        <v>1883</v>
      </c>
      <c r="C288" t="s">
        <v>1884</v>
      </c>
      <c r="D288">
        <v>8</v>
      </c>
      <c r="E288">
        <v>0</v>
      </c>
      <c r="F288" s="1">
        <v>45678</v>
      </c>
      <c r="G288">
        <f>_xlfn.XLOOKUP(F288,'Wk no''s'!B:B,'Wk no''s'!C:C,0)</f>
        <v>4</v>
      </c>
    </row>
    <row r="289" spans="1:7" x14ac:dyDescent="0.3">
      <c r="A289" t="s">
        <v>1885</v>
      </c>
      <c r="B289" t="s">
        <v>1886</v>
      </c>
      <c r="C289" t="s">
        <v>1563</v>
      </c>
      <c r="D289">
        <v>0</v>
      </c>
      <c r="E289">
        <v>1</v>
      </c>
      <c r="F289" s="1">
        <v>45678</v>
      </c>
      <c r="G289">
        <f>_xlfn.XLOOKUP(F289,'Wk no''s'!B:B,'Wk no''s'!C:C,0)</f>
        <v>4</v>
      </c>
    </row>
    <row r="290" spans="1:7" x14ac:dyDescent="0.3">
      <c r="A290" t="s">
        <v>1887</v>
      </c>
      <c r="B290" t="s">
        <v>1888</v>
      </c>
      <c r="C290" t="s">
        <v>1889</v>
      </c>
      <c r="D290">
        <v>0</v>
      </c>
      <c r="E290">
        <v>1</v>
      </c>
      <c r="F290" s="1">
        <v>45678</v>
      </c>
      <c r="G290">
        <f>_xlfn.XLOOKUP(F290,'Wk no''s'!B:B,'Wk no''s'!C:C,0)</f>
        <v>4</v>
      </c>
    </row>
    <row r="291" spans="1:7" x14ac:dyDescent="0.3">
      <c r="A291" t="s">
        <v>1890</v>
      </c>
      <c r="B291" t="s">
        <v>1891</v>
      </c>
      <c r="C291" t="s">
        <v>1892</v>
      </c>
      <c r="D291">
        <v>0</v>
      </c>
      <c r="E291">
        <v>1</v>
      </c>
      <c r="F291" s="1">
        <v>45678</v>
      </c>
      <c r="G291">
        <f>_xlfn.XLOOKUP(F291,'Wk no''s'!B:B,'Wk no''s'!C:C,0)</f>
        <v>4</v>
      </c>
    </row>
    <row r="292" spans="1:7" x14ac:dyDescent="0.3">
      <c r="A292" t="s">
        <v>1893</v>
      </c>
      <c r="B292" t="s">
        <v>1894</v>
      </c>
      <c r="C292" t="s">
        <v>1895</v>
      </c>
      <c r="D292">
        <v>2</v>
      </c>
      <c r="E292">
        <v>1</v>
      </c>
      <c r="F292" s="1">
        <v>45678</v>
      </c>
      <c r="G292">
        <f>_xlfn.XLOOKUP(F292,'Wk no''s'!B:B,'Wk no''s'!C:C,0)</f>
        <v>4</v>
      </c>
    </row>
    <row r="293" spans="1:7" x14ac:dyDescent="0.3">
      <c r="A293" t="s">
        <v>1896</v>
      </c>
      <c r="B293" t="s">
        <v>1897</v>
      </c>
      <c r="C293" t="s">
        <v>39</v>
      </c>
      <c r="D293">
        <v>9</v>
      </c>
      <c r="E293">
        <v>0</v>
      </c>
      <c r="F293" s="1">
        <v>45678</v>
      </c>
      <c r="G293">
        <f>_xlfn.XLOOKUP(F293,'Wk no''s'!B:B,'Wk no''s'!C:C,0)</f>
        <v>4</v>
      </c>
    </row>
    <row r="294" spans="1:7" x14ac:dyDescent="0.3">
      <c r="A294" t="s">
        <v>1898</v>
      </c>
      <c r="B294" t="s">
        <v>1899</v>
      </c>
      <c r="C294" t="s">
        <v>501</v>
      </c>
      <c r="D294">
        <v>0</v>
      </c>
      <c r="E294">
        <v>1</v>
      </c>
      <c r="F294" s="1">
        <v>45678</v>
      </c>
      <c r="G294">
        <f>_xlfn.XLOOKUP(F294,'Wk no''s'!B:B,'Wk no''s'!C:C,0)</f>
        <v>4</v>
      </c>
    </row>
    <row r="295" spans="1:7" x14ac:dyDescent="0.3">
      <c r="A295" t="s">
        <v>1900</v>
      </c>
      <c r="B295" t="s">
        <v>1901</v>
      </c>
      <c r="C295" t="s">
        <v>1902</v>
      </c>
      <c r="D295">
        <v>0</v>
      </c>
      <c r="E295">
        <v>1</v>
      </c>
      <c r="F295" s="1">
        <v>45678</v>
      </c>
      <c r="G295">
        <f>_xlfn.XLOOKUP(F295,'Wk no''s'!B:B,'Wk no''s'!C:C,0)</f>
        <v>4</v>
      </c>
    </row>
    <row r="296" spans="1:7" x14ac:dyDescent="0.3">
      <c r="A296" t="s">
        <v>1903</v>
      </c>
      <c r="B296" t="s">
        <v>1904</v>
      </c>
      <c r="C296" t="s">
        <v>197</v>
      </c>
      <c r="D296">
        <v>0</v>
      </c>
      <c r="E296">
        <v>1</v>
      </c>
      <c r="F296" s="1">
        <v>45678</v>
      </c>
      <c r="G296">
        <f>_xlfn.XLOOKUP(F296,'Wk no''s'!B:B,'Wk no''s'!C:C,0)</f>
        <v>4</v>
      </c>
    </row>
    <row r="297" spans="1:7" x14ac:dyDescent="0.3">
      <c r="A297" t="s">
        <v>1905</v>
      </c>
      <c r="B297" t="s">
        <v>1906</v>
      </c>
      <c r="C297" t="s">
        <v>1907</v>
      </c>
      <c r="D297">
        <v>0</v>
      </c>
      <c r="E297">
        <v>1</v>
      </c>
      <c r="F297" s="1">
        <v>45678</v>
      </c>
      <c r="G297">
        <f>_xlfn.XLOOKUP(F297,'Wk no''s'!B:B,'Wk no''s'!C:C,0)</f>
        <v>4</v>
      </c>
    </row>
    <row r="298" spans="1:7" x14ac:dyDescent="0.3">
      <c r="A298" t="s">
        <v>1908</v>
      </c>
      <c r="B298" t="s">
        <v>1909</v>
      </c>
      <c r="C298" t="s">
        <v>39</v>
      </c>
      <c r="D298">
        <v>7</v>
      </c>
      <c r="E298">
        <v>0</v>
      </c>
      <c r="F298" s="1">
        <v>45678</v>
      </c>
      <c r="G298">
        <f>_xlfn.XLOOKUP(F298,'Wk no''s'!B:B,'Wk no''s'!C:C,0)</f>
        <v>4</v>
      </c>
    </row>
    <row r="299" spans="1:7" x14ac:dyDescent="0.3">
      <c r="A299" t="s">
        <v>1910</v>
      </c>
      <c r="B299" t="s">
        <v>1911</v>
      </c>
      <c r="C299" t="s">
        <v>1912</v>
      </c>
      <c r="D299">
        <v>0</v>
      </c>
      <c r="E299">
        <v>1</v>
      </c>
      <c r="F299" s="1">
        <v>45678</v>
      </c>
      <c r="G299">
        <f>_xlfn.XLOOKUP(F299,'Wk no''s'!B:B,'Wk no''s'!C:C,0)</f>
        <v>4</v>
      </c>
    </row>
    <row r="300" spans="1:7" x14ac:dyDescent="0.3">
      <c r="A300" t="s">
        <v>1913</v>
      </c>
      <c r="B300" t="s">
        <v>1914</v>
      </c>
      <c r="C300" t="s">
        <v>197</v>
      </c>
      <c r="D300">
        <v>0</v>
      </c>
      <c r="E300">
        <v>1</v>
      </c>
      <c r="F300" s="1">
        <v>45678</v>
      </c>
      <c r="G300">
        <f>_xlfn.XLOOKUP(F300,'Wk no''s'!B:B,'Wk no''s'!C:C,0)</f>
        <v>4</v>
      </c>
    </row>
    <row r="301" spans="1:7" x14ac:dyDescent="0.3">
      <c r="A301" t="s">
        <v>1915</v>
      </c>
      <c r="B301" t="s">
        <v>1916</v>
      </c>
      <c r="C301" t="s">
        <v>1917</v>
      </c>
      <c r="D301">
        <v>23</v>
      </c>
      <c r="E301">
        <v>0</v>
      </c>
      <c r="F301" s="1">
        <v>45678</v>
      </c>
      <c r="G301">
        <f>_xlfn.XLOOKUP(F301,'Wk no''s'!B:B,'Wk no''s'!C:C,0)</f>
        <v>4</v>
      </c>
    </row>
    <row r="302" spans="1:7" x14ac:dyDescent="0.3">
      <c r="A302" t="s">
        <v>1918</v>
      </c>
      <c r="B302" t="s">
        <v>1919</v>
      </c>
      <c r="C302" t="s">
        <v>1224</v>
      </c>
      <c r="D302">
        <v>0</v>
      </c>
      <c r="E302">
        <v>1</v>
      </c>
      <c r="F302" s="1">
        <v>45678</v>
      </c>
      <c r="G302">
        <f>_xlfn.XLOOKUP(F302,'Wk no''s'!B:B,'Wk no''s'!C:C,0)</f>
        <v>4</v>
      </c>
    </row>
    <row r="303" spans="1:7" x14ac:dyDescent="0.3">
      <c r="A303" t="s">
        <v>1920</v>
      </c>
      <c r="B303" t="s">
        <v>1921</v>
      </c>
      <c r="C303" t="s">
        <v>1224</v>
      </c>
      <c r="D303">
        <v>0</v>
      </c>
      <c r="E303">
        <v>1</v>
      </c>
      <c r="F303" s="1">
        <v>45678</v>
      </c>
      <c r="G303">
        <f>_xlfn.XLOOKUP(F303,'Wk no''s'!B:B,'Wk no''s'!C:C,0)</f>
        <v>4</v>
      </c>
    </row>
    <row r="304" spans="1:7" x14ac:dyDescent="0.3">
      <c r="A304" t="s">
        <v>1922</v>
      </c>
      <c r="B304" t="s">
        <v>1923</v>
      </c>
      <c r="C304" t="s">
        <v>1246</v>
      </c>
      <c r="D304">
        <v>0</v>
      </c>
      <c r="E304">
        <v>1</v>
      </c>
      <c r="F304" s="1">
        <v>45678</v>
      </c>
      <c r="G304">
        <f>_xlfn.XLOOKUP(F304,'Wk no''s'!B:B,'Wk no''s'!C:C,0)</f>
        <v>4</v>
      </c>
    </row>
    <row r="305" spans="1:7" x14ac:dyDescent="0.3">
      <c r="A305" t="s">
        <v>1924</v>
      </c>
      <c r="B305" t="s">
        <v>1925</v>
      </c>
      <c r="C305" t="s">
        <v>609</v>
      </c>
      <c r="D305">
        <v>0</v>
      </c>
      <c r="E305">
        <v>1</v>
      </c>
      <c r="F305" s="1">
        <v>45678</v>
      </c>
      <c r="G305">
        <f>_xlfn.XLOOKUP(F305,'Wk no''s'!B:B,'Wk no''s'!C:C,0)</f>
        <v>4</v>
      </c>
    </row>
    <row r="306" spans="1:7" x14ac:dyDescent="0.3">
      <c r="A306" t="s">
        <v>1926</v>
      </c>
      <c r="B306" t="s">
        <v>1927</v>
      </c>
      <c r="C306" t="s">
        <v>1527</v>
      </c>
      <c r="D306">
        <v>0</v>
      </c>
      <c r="E306">
        <v>1</v>
      </c>
      <c r="F306" s="1">
        <v>45678</v>
      </c>
      <c r="G306">
        <f>_xlfn.XLOOKUP(F306,'Wk no''s'!B:B,'Wk no''s'!C:C,0)</f>
        <v>4</v>
      </c>
    </row>
    <row r="307" spans="1:7" x14ac:dyDescent="0.3">
      <c r="A307" t="s">
        <v>1928</v>
      </c>
      <c r="B307" t="s">
        <v>1929</v>
      </c>
      <c r="C307" t="s">
        <v>1930</v>
      </c>
      <c r="D307">
        <v>7</v>
      </c>
      <c r="E307">
        <v>0</v>
      </c>
      <c r="F307" s="1">
        <v>45678</v>
      </c>
      <c r="G307">
        <f>_xlfn.XLOOKUP(F307,'Wk no''s'!B:B,'Wk no''s'!C:C,0)</f>
        <v>4</v>
      </c>
    </row>
    <row r="308" spans="1:7" x14ac:dyDescent="0.3">
      <c r="A308" t="s">
        <v>1931</v>
      </c>
      <c r="B308" t="s">
        <v>1932</v>
      </c>
      <c r="C308" t="s">
        <v>308</v>
      </c>
      <c r="D308">
        <v>0</v>
      </c>
      <c r="E308">
        <v>1</v>
      </c>
      <c r="F308" s="1">
        <v>45678</v>
      </c>
      <c r="G308">
        <f>_xlfn.XLOOKUP(F308,'Wk no''s'!B:B,'Wk no''s'!C:C,0)</f>
        <v>4</v>
      </c>
    </row>
    <row r="309" spans="1:7" x14ac:dyDescent="0.3">
      <c r="A309" t="s">
        <v>1933</v>
      </c>
      <c r="B309" t="s">
        <v>1934</v>
      </c>
      <c r="C309" t="s">
        <v>1698</v>
      </c>
      <c r="D309">
        <v>0</v>
      </c>
      <c r="E309">
        <v>1</v>
      </c>
      <c r="F309" s="1">
        <v>45678</v>
      </c>
      <c r="G309">
        <f>_xlfn.XLOOKUP(F309,'Wk no''s'!B:B,'Wk no''s'!C:C,0)</f>
        <v>4</v>
      </c>
    </row>
    <row r="310" spans="1:7" x14ac:dyDescent="0.3">
      <c r="A310" t="s">
        <v>1935</v>
      </c>
      <c r="B310" t="s">
        <v>1936</v>
      </c>
      <c r="C310" t="s">
        <v>1246</v>
      </c>
      <c r="D310">
        <v>0</v>
      </c>
      <c r="E310">
        <v>1</v>
      </c>
      <c r="F310" s="1">
        <v>45678</v>
      </c>
      <c r="G310">
        <f>_xlfn.XLOOKUP(F310,'Wk no''s'!B:B,'Wk no''s'!C:C,0)</f>
        <v>4</v>
      </c>
    </row>
    <row r="311" spans="1:7" x14ac:dyDescent="0.3">
      <c r="A311" t="s">
        <v>1937</v>
      </c>
      <c r="B311" t="s">
        <v>1938</v>
      </c>
      <c r="C311" t="s">
        <v>1246</v>
      </c>
      <c r="D311">
        <v>0</v>
      </c>
      <c r="E311">
        <v>1</v>
      </c>
      <c r="F311" s="1">
        <v>45678</v>
      </c>
      <c r="G311">
        <f>_xlfn.XLOOKUP(F311,'Wk no''s'!B:B,'Wk no''s'!C:C,0)</f>
        <v>4</v>
      </c>
    </row>
    <row r="312" spans="1:7" x14ac:dyDescent="0.3">
      <c r="A312" t="s">
        <v>1939</v>
      </c>
      <c r="B312" t="s">
        <v>1940</v>
      </c>
      <c r="C312" t="s">
        <v>1941</v>
      </c>
      <c r="D312">
        <v>0</v>
      </c>
      <c r="E312">
        <v>1</v>
      </c>
      <c r="F312" s="1">
        <v>45678</v>
      </c>
      <c r="G312">
        <f>_xlfn.XLOOKUP(F312,'Wk no''s'!B:B,'Wk no''s'!C:C,0)</f>
        <v>4</v>
      </c>
    </row>
    <row r="313" spans="1:7" x14ac:dyDescent="0.3">
      <c r="A313" t="s">
        <v>1942</v>
      </c>
      <c r="B313" t="s">
        <v>1943</v>
      </c>
      <c r="C313" t="s">
        <v>1944</v>
      </c>
      <c r="D313">
        <v>0</v>
      </c>
      <c r="E313">
        <v>1</v>
      </c>
      <c r="F313" s="1">
        <v>45678</v>
      </c>
      <c r="G313">
        <f>_xlfn.XLOOKUP(F313,'Wk no''s'!B:B,'Wk no''s'!C:C,0)</f>
        <v>4</v>
      </c>
    </row>
    <row r="314" spans="1:7" x14ac:dyDescent="0.3">
      <c r="A314" t="s">
        <v>1945</v>
      </c>
      <c r="B314" t="s">
        <v>1946</v>
      </c>
      <c r="C314" t="s">
        <v>178</v>
      </c>
      <c r="D314">
        <v>0</v>
      </c>
      <c r="E314">
        <v>1</v>
      </c>
      <c r="F314" s="1">
        <v>45678</v>
      </c>
      <c r="G314">
        <f>_xlfn.XLOOKUP(F314,'Wk no''s'!B:B,'Wk no''s'!C:C,0)</f>
        <v>4</v>
      </c>
    </row>
    <row r="315" spans="1:7" x14ac:dyDescent="0.3">
      <c r="A315" t="s">
        <v>1947</v>
      </c>
      <c r="B315" t="s">
        <v>1948</v>
      </c>
      <c r="C315" t="s">
        <v>1224</v>
      </c>
      <c r="D315">
        <v>65</v>
      </c>
      <c r="E315">
        <v>0</v>
      </c>
      <c r="F315" s="1">
        <v>45678</v>
      </c>
      <c r="G315">
        <f>_xlfn.XLOOKUP(F315,'Wk no''s'!B:B,'Wk no''s'!C:C,0)</f>
        <v>4</v>
      </c>
    </row>
    <row r="316" spans="1:7" x14ac:dyDescent="0.3">
      <c r="A316" t="s">
        <v>1949</v>
      </c>
      <c r="B316" t="s">
        <v>1950</v>
      </c>
      <c r="C316" t="s">
        <v>1951</v>
      </c>
      <c r="D316">
        <v>0</v>
      </c>
      <c r="E316">
        <v>1</v>
      </c>
      <c r="F316" s="1">
        <v>45678</v>
      </c>
      <c r="G316">
        <f>_xlfn.XLOOKUP(F316,'Wk no''s'!B:B,'Wk no''s'!C:C,0)</f>
        <v>4</v>
      </c>
    </row>
    <row r="317" spans="1:7" x14ac:dyDescent="0.3">
      <c r="A317" t="s">
        <v>1952</v>
      </c>
      <c r="B317" t="s">
        <v>1953</v>
      </c>
      <c r="C317" t="s">
        <v>1706</v>
      </c>
      <c r="D317">
        <v>10</v>
      </c>
      <c r="E317">
        <v>0</v>
      </c>
      <c r="F317" s="1">
        <v>45679</v>
      </c>
      <c r="G317">
        <f>_xlfn.XLOOKUP(F317,'Wk no''s'!B:B,'Wk no''s'!C:C,0)</f>
        <v>4</v>
      </c>
    </row>
    <row r="318" spans="1:7" x14ac:dyDescent="0.3">
      <c r="A318" t="s">
        <v>1954</v>
      </c>
      <c r="B318" t="s">
        <v>1955</v>
      </c>
      <c r="C318" t="s">
        <v>519</v>
      </c>
      <c r="D318">
        <v>0</v>
      </c>
      <c r="E318">
        <v>1</v>
      </c>
      <c r="F318" s="1">
        <v>45679</v>
      </c>
      <c r="G318">
        <f>_xlfn.XLOOKUP(F318,'Wk no''s'!B:B,'Wk no''s'!C:C,0)</f>
        <v>4</v>
      </c>
    </row>
    <row r="319" spans="1:7" x14ac:dyDescent="0.3">
      <c r="A319" t="s">
        <v>1956</v>
      </c>
      <c r="B319" t="s">
        <v>1957</v>
      </c>
      <c r="C319" t="s">
        <v>1958</v>
      </c>
      <c r="D319">
        <v>0</v>
      </c>
      <c r="E319">
        <v>1</v>
      </c>
      <c r="F319" s="1">
        <v>45679</v>
      </c>
      <c r="G319">
        <f>_xlfn.XLOOKUP(F319,'Wk no''s'!B:B,'Wk no''s'!C:C,0)</f>
        <v>4</v>
      </c>
    </row>
    <row r="320" spans="1:7" x14ac:dyDescent="0.3">
      <c r="A320" t="s">
        <v>1959</v>
      </c>
      <c r="B320" t="s">
        <v>1960</v>
      </c>
      <c r="C320" t="s">
        <v>1877</v>
      </c>
      <c r="D320">
        <v>0</v>
      </c>
      <c r="E320">
        <v>1</v>
      </c>
      <c r="F320" s="1">
        <v>45679</v>
      </c>
      <c r="G320">
        <f>_xlfn.XLOOKUP(F320,'Wk no''s'!B:B,'Wk no''s'!C:C,0)</f>
        <v>4</v>
      </c>
    </row>
    <row r="321" spans="1:7" x14ac:dyDescent="0.3">
      <c r="A321" t="s">
        <v>1961</v>
      </c>
      <c r="B321" t="s">
        <v>1962</v>
      </c>
      <c r="C321" t="s">
        <v>1619</v>
      </c>
      <c r="D321">
        <v>0</v>
      </c>
      <c r="E321">
        <v>1</v>
      </c>
      <c r="F321" s="1">
        <v>45679</v>
      </c>
      <c r="G321">
        <f>_xlfn.XLOOKUP(F321,'Wk no''s'!B:B,'Wk no''s'!C:C,0)</f>
        <v>4</v>
      </c>
    </row>
    <row r="322" spans="1:7" x14ac:dyDescent="0.3">
      <c r="A322" t="s">
        <v>1963</v>
      </c>
      <c r="B322" t="s">
        <v>1964</v>
      </c>
      <c r="C322" t="s">
        <v>725</v>
      </c>
      <c r="D322">
        <v>0</v>
      </c>
      <c r="E322">
        <v>1</v>
      </c>
      <c r="F322" s="1">
        <v>45679</v>
      </c>
      <c r="G322">
        <f>_xlfn.XLOOKUP(F322,'Wk no''s'!B:B,'Wk no''s'!C:C,0)</f>
        <v>4</v>
      </c>
    </row>
    <row r="323" spans="1:7" x14ac:dyDescent="0.3">
      <c r="A323" t="s">
        <v>1965</v>
      </c>
      <c r="B323" t="s">
        <v>1966</v>
      </c>
      <c r="C323" t="s">
        <v>1967</v>
      </c>
      <c r="D323">
        <v>0</v>
      </c>
      <c r="E323">
        <v>1</v>
      </c>
      <c r="F323" s="1">
        <v>45679</v>
      </c>
      <c r="G323">
        <f>_xlfn.XLOOKUP(F323,'Wk no''s'!B:B,'Wk no''s'!C:C,0)</f>
        <v>4</v>
      </c>
    </row>
    <row r="324" spans="1:7" x14ac:dyDescent="0.3">
      <c r="A324" t="s">
        <v>1968</v>
      </c>
      <c r="B324" t="s">
        <v>1969</v>
      </c>
      <c r="C324" t="s">
        <v>1970</v>
      </c>
      <c r="D324">
        <v>0</v>
      </c>
      <c r="E324">
        <v>1</v>
      </c>
      <c r="F324" s="1">
        <v>45679</v>
      </c>
      <c r="G324">
        <f>_xlfn.XLOOKUP(F324,'Wk no''s'!B:B,'Wk no''s'!C:C,0)</f>
        <v>4</v>
      </c>
    </row>
    <row r="325" spans="1:7" x14ac:dyDescent="0.3">
      <c r="A325" t="s">
        <v>1971</v>
      </c>
      <c r="B325" t="s">
        <v>1972</v>
      </c>
      <c r="C325" t="s">
        <v>1194</v>
      </c>
      <c r="D325">
        <v>0</v>
      </c>
      <c r="E325">
        <v>1</v>
      </c>
      <c r="F325" s="1">
        <v>45680</v>
      </c>
      <c r="G325">
        <f>_xlfn.XLOOKUP(F325,'Wk no''s'!B:B,'Wk no''s'!C:C,0)</f>
        <v>4</v>
      </c>
    </row>
    <row r="326" spans="1:7" x14ac:dyDescent="0.3">
      <c r="A326" t="s">
        <v>1973</v>
      </c>
      <c r="B326" t="s">
        <v>1974</v>
      </c>
      <c r="C326" t="s">
        <v>1975</v>
      </c>
      <c r="D326">
        <v>0</v>
      </c>
      <c r="E326">
        <v>1</v>
      </c>
      <c r="F326" s="1">
        <v>45680</v>
      </c>
      <c r="G326">
        <f>_xlfn.XLOOKUP(F326,'Wk no''s'!B:B,'Wk no''s'!C:C,0)</f>
        <v>4</v>
      </c>
    </row>
    <row r="327" spans="1:7" x14ac:dyDescent="0.3">
      <c r="A327" t="s">
        <v>1976</v>
      </c>
      <c r="B327" t="s">
        <v>1977</v>
      </c>
      <c r="C327" t="s">
        <v>197</v>
      </c>
      <c r="D327">
        <v>0</v>
      </c>
      <c r="E327">
        <v>1</v>
      </c>
      <c r="F327" s="1">
        <v>45680</v>
      </c>
      <c r="G327">
        <f>_xlfn.XLOOKUP(F327,'Wk no''s'!B:B,'Wk no''s'!C:C,0)</f>
        <v>4</v>
      </c>
    </row>
    <row r="328" spans="1:7" x14ac:dyDescent="0.3">
      <c r="A328" t="s">
        <v>1978</v>
      </c>
      <c r="B328" t="s">
        <v>1979</v>
      </c>
      <c r="C328" t="s">
        <v>1481</v>
      </c>
      <c r="D328">
        <v>0</v>
      </c>
      <c r="E328">
        <v>1</v>
      </c>
      <c r="F328" s="1">
        <v>45680</v>
      </c>
      <c r="G328">
        <f>_xlfn.XLOOKUP(F328,'Wk no''s'!B:B,'Wk no''s'!C:C,0)</f>
        <v>4</v>
      </c>
    </row>
    <row r="329" spans="1:7" x14ac:dyDescent="0.3">
      <c r="A329" t="s">
        <v>1980</v>
      </c>
      <c r="B329" t="s">
        <v>1981</v>
      </c>
      <c r="C329" t="s">
        <v>1982</v>
      </c>
      <c r="D329">
        <v>0</v>
      </c>
      <c r="E329">
        <v>1</v>
      </c>
      <c r="F329" s="1">
        <v>45680</v>
      </c>
      <c r="G329">
        <f>_xlfn.XLOOKUP(F329,'Wk no''s'!B:B,'Wk no''s'!C:C,0)</f>
        <v>4</v>
      </c>
    </row>
    <row r="330" spans="1:7" x14ac:dyDescent="0.3">
      <c r="A330" t="s">
        <v>1983</v>
      </c>
      <c r="B330" t="s">
        <v>1984</v>
      </c>
      <c r="C330" t="s">
        <v>1985</v>
      </c>
      <c r="D330">
        <v>4</v>
      </c>
      <c r="E330">
        <v>1</v>
      </c>
      <c r="F330" s="1">
        <v>45680</v>
      </c>
      <c r="G330">
        <f>_xlfn.XLOOKUP(F330,'Wk no''s'!B:B,'Wk no''s'!C:C,0)</f>
        <v>4</v>
      </c>
    </row>
    <row r="331" spans="1:7" x14ac:dyDescent="0.3">
      <c r="A331" t="s">
        <v>1986</v>
      </c>
      <c r="B331" t="s">
        <v>1987</v>
      </c>
      <c r="C331" t="s">
        <v>1988</v>
      </c>
      <c r="D331">
        <v>0</v>
      </c>
      <c r="E331">
        <v>1</v>
      </c>
      <c r="F331" s="1">
        <v>45680</v>
      </c>
      <c r="G331">
        <f>_xlfn.XLOOKUP(F331,'Wk no''s'!B:B,'Wk no''s'!C:C,0)</f>
        <v>4</v>
      </c>
    </row>
    <row r="332" spans="1:7" x14ac:dyDescent="0.3">
      <c r="A332" t="s">
        <v>1989</v>
      </c>
      <c r="B332" t="s">
        <v>1990</v>
      </c>
      <c r="C332" t="s">
        <v>1639</v>
      </c>
      <c r="D332">
        <v>23</v>
      </c>
      <c r="E332">
        <v>0</v>
      </c>
      <c r="F332" s="1">
        <v>45680</v>
      </c>
      <c r="G332">
        <f>_xlfn.XLOOKUP(F332,'Wk no''s'!B:B,'Wk no''s'!C:C,0)</f>
        <v>4</v>
      </c>
    </row>
    <row r="333" spans="1:7" x14ac:dyDescent="0.3">
      <c r="A333" t="s">
        <v>1991</v>
      </c>
      <c r="B333" t="s">
        <v>1992</v>
      </c>
      <c r="C333" t="s">
        <v>197</v>
      </c>
      <c r="D333">
        <v>0</v>
      </c>
      <c r="E333">
        <v>1</v>
      </c>
      <c r="F333" s="1">
        <v>45681</v>
      </c>
      <c r="G333">
        <f>_xlfn.XLOOKUP(F333,'Wk no''s'!B:B,'Wk no''s'!C:C,0)</f>
        <v>4</v>
      </c>
    </row>
    <row r="334" spans="1:7" x14ac:dyDescent="0.3">
      <c r="A334" t="s">
        <v>1993</v>
      </c>
      <c r="B334" t="s">
        <v>1994</v>
      </c>
      <c r="C334" t="s">
        <v>1995</v>
      </c>
      <c r="D334">
        <v>10</v>
      </c>
      <c r="E334">
        <v>0</v>
      </c>
      <c r="F334" s="1">
        <v>45681</v>
      </c>
      <c r="G334">
        <f>_xlfn.XLOOKUP(F334,'Wk no''s'!B:B,'Wk no''s'!C:C,0)</f>
        <v>4</v>
      </c>
    </row>
    <row r="335" spans="1:7" x14ac:dyDescent="0.3">
      <c r="A335" t="s">
        <v>1996</v>
      </c>
      <c r="B335" t="s">
        <v>1997</v>
      </c>
      <c r="C335" t="s">
        <v>1998</v>
      </c>
      <c r="D335">
        <v>0</v>
      </c>
      <c r="E335">
        <v>1</v>
      </c>
      <c r="F335" s="1">
        <v>45681</v>
      </c>
      <c r="G335">
        <f>_xlfn.XLOOKUP(F335,'Wk no''s'!B:B,'Wk no''s'!C:C,0)</f>
        <v>4</v>
      </c>
    </row>
    <row r="336" spans="1:7" x14ac:dyDescent="0.3">
      <c r="A336" t="s">
        <v>1999</v>
      </c>
      <c r="B336" t="s">
        <v>2000</v>
      </c>
      <c r="C336" t="s">
        <v>2001</v>
      </c>
      <c r="D336">
        <v>0</v>
      </c>
      <c r="E336">
        <v>1</v>
      </c>
      <c r="F336" s="1">
        <v>45681</v>
      </c>
      <c r="G336">
        <f>_xlfn.XLOOKUP(F336,'Wk no''s'!B:B,'Wk no''s'!C:C,0)</f>
        <v>4</v>
      </c>
    </row>
    <row r="337" spans="1:7" x14ac:dyDescent="0.3">
      <c r="A337" t="s">
        <v>2002</v>
      </c>
      <c r="B337" t="s">
        <v>2003</v>
      </c>
      <c r="C337" t="s">
        <v>1100</v>
      </c>
      <c r="D337">
        <v>0</v>
      </c>
      <c r="E337">
        <v>1</v>
      </c>
      <c r="F337" s="1">
        <v>45681</v>
      </c>
      <c r="G337">
        <f>_xlfn.XLOOKUP(F337,'Wk no''s'!B:B,'Wk no''s'!C:C,0)</f>
        <v>4</v>
      </c>
    </row>
    <row r="338" spans="1:7" x14ac:dyDescent="0.3">
      <c r="A338" t="s">
        <v>2004</v>
      </c>
      <c r="B338" t="s">
        <v>2005</v>
      </c>
      <c r="C338" t="s">
        <v>1224</v>
      </c>
      <c r="D338">
        <v>0</v>
      </c>
      <c r="E338">
        <v>1</v>
      </c>
      <c r="F338" s="1">
        <v>45684</v>
      </c>
      <c r="G338">
        <f>_xlfn.XLOOKUP(F338,'Wk no''s'!B:B,'Wk no''s'!C:C,0)</f>
        <v>5</v>
      </c>
    </row>
    <row r="339" spans="1:7" x14ac:dyDescent="0.3">
      <c r="A339" t="s">
        <v>2006</v>
      </c>
      <c r="B339" t="s">
        <v>2007</v>
      </c>
      <c r="C339" t="s">
        <v>1224</v>
      </c>
      <c r="D339">
        <v>0</v>
      </c>
      <c r="E339">
        <v>1</v>
      </c>
      <c r="F339" s="1">
        <v>45684</v>
      </c>
      <c r="G339">
        <f>_xlfn.XLOOKUP(F339,'Wk no''s'!B:B,'Wk no''s'!C:C,0)</f>
        <v>5</v>
      </c>
    </row>
    <row r="340" spans="1:7" x14ac:dyDescent="0.3">
      <c r="A340" t="s">
        <v>2008</v>
      </c>
      <c r="B340" t="s">
        <v>2009</v>
      </c>
      <c r="C340" t="s">
        <v>2010</v>
      </c>
      <c r="D340">
        <v>0</v>
      </c>
      <c r="E340">
        <v>1</v>
      </c>
      <c r="F340" s="1">
        <v>45684</v>
      </c>
      <c r="G340">
        <f>_xlfn.XLOOKUP(F340,'Wk no''s'!B:B,'Wk no''s'!C:C,0)</f>
        <v>5</v>
      </c>
    </row>
    <row r="341" spans="1:7" x14ac:dyDescent="0.3">
      <c r="A341" t="s">
        <v>2011</v>
      </c>
      <c r="B341" t="s">
        <v>2012</v>
      </c>
      <c r="C341" t="s">
        <v>407</v>
      </c>
      <c r="D341">
        <v>0</v>
      </c>
      <c r="E341">
        <v>1</v>
      </c>
      <c r="F341" s="1">
        <v>45684</v>
      </c>
      <c r="G341">
        <f>_xlfn.XLOOKUP(F341,'Wk no''s'!B:B,'Wk no''s'!C:C,0)</f>
        <v>5</v>
      </c>
    </row>
    <row r="342" spans="1:7" x14ac:dyDescent="0.3">
      <c r="A342" t="s">
        <v>2013</v>
      </c>
      <c r="B342" t="s">
        <v>2014</v>
      </c>
      <c r="C342" t="s">
        <v>1371</v>
      </c>
      <c r="D342">
        <v>0</v>
      </c>
      <c r="E342">
        <v>1</v>
      </c>
      <c r="F342" s="1">
        <v>45684</v>
      </c>
      <c r="G342">
        <f>_xlfn.XLOOKUP(F342,'Wk no''s'!B:B,'Wk no''s'!C:C,0)</f>
        <v>5</v>
      </c>
    </row>
    <row r="343" spans="1:7" x14ac:dyDescent="0.3">
      <c r="A343" t="s">
        <v>2015</v>
      </c>
      <c r="B343" t="s">
        <v>2016</v>
      </c>
      <c r="C343" t="s">
        <v>411</v>
      </c>
      <c r="D343">
        <v>0</v>
      </c>
      <c r="E343">
        <v>1</v>
      </c>
      <c r="F343" s="1">
        <v>45684</v>
      </c>
      <c r="G343">
        <f>_xlfn.XLOOKUP(F343,'Wk no''s'!B:B,'Wk no''s'!C:C,0)</f>
        <v>5</v>
      </c>
    </row>
    <row r="344" spans="1:7" x14ac:dyDescent="0.3">
      <c r="A344" t="s">
        <v>2017</v>
      </c>
      <c r="B344" t="s">
        <v>2018</v>
      </c>
      <c r="C344" t="s">
        <v>550</v>
      </c>
      <c r="D344">
        <v>0</v>
      </c>
      <c r="E344">
        <v>1</v>
      </c>
      <c r="F344" s="1">
        <v>45684</v>
      </c>
      <c r="G344">
        <f>_xlfn.XLOOKUP(F344,'Wk no''s'!B:B,'Wk no''s'!C:C,0)</f>
        <v>5</v>
      </c>
    </row>
    <row r="345" spans="1:7" x14ac:dyDescent="0.3">
      <c r="A345" t="s">
        <v>2019</v>
      </c>
      <c r="B345" t="s">
        <v>2020</v>
      </c>
      <c r="C345" t="s">
        <v>2021</v>
      </c>
      <c r="D345">
        <v>1</v>
      </c>
      <c r="E345">
        <v>1</v>
      </c>
      <c r="F345" s="1">
        <v>45684</v>
      </c>
      <c r="G345">
        <f>_xlfn.XLOOKUP(F345,'Wk no''s'!B:B,'Wk no''s'!C:C,0)</f>
        <v>5</v>
      </c>
    </row>
    <row r="346" spans="1:7" x14ac:dyDescent="0.3">
      <c r="A346" t="s">
        <v>2022</v>
      </c>
      <c r="B346" t="s">
        <v>2023</v>
      </c>
      <c r="C346" t="s">
        <v>2024</v>
      </c>
      <c r="D346">
        <v>0</v>
      </c>
      <c r="E346">
        <v>1</v>
      </c>
      <c r="F346" s="1">
        <v>45684</v>
      </c>
      <c r="G346">
        <f>_xlfn.XLOOKUP(F346,'Wk no''s'!B:B,'Wk no''s'!C:C,0)</f>
        <v>5</v>
      </c>
    </row>
    <row r="347" spans="1:7" x14ac:dyDescent="0.3">
      <c r="A347" t="s">
        <v>2025</v>
      </c>
      <c r="B347" t="s">
        <v>2026</v>
      </c>
      <c r="C347" t="s">
        <v>1343</v>
      </c>
      <c r="D347">
        <v>0</v>
      </c>
      <c r="E347">
        <v>1</v>
      </c>
      <c r="F347" s="1">
        <v>45684</v>
      </c>
      <c r="G347">
        <f>_xlfn.XLOOKUP(F347,'Wk no''s'!B:B,'Wk no''s'!C:C,0)</f>
        <v>5</v>
      </c>
    </row>
    <row r="348" spans="1:7" x14ac:dyDescent="0.3">
      <c r="A348" t="s">
        <v>2027</v>
      </c>
      <c r="B348" t="s">
        <v>2028</v>
      </c>
      <c r="C348" t="s">
        <v>2029</v>
      </c>
      <c r="D348">
        <v>0</v>
      </c>
      <c r="E348">
        <v>1</v>
      </c>
      <c r="F348" s="1">
        <v>45685</v>
      </c>
      <c r="G348">
        <f>_xlfn.XLOOKUP(F348,'Wk no''s'!B:B,'Wk no''s'!C:C,0)</f>
        <v>5</v>
      </c>
    </row>
    <row r="349" spans="1:7" x14ac:dyDescent="0.3">
      <c r="A349" t="s">
        <v>2030</v>
      </c>
      <c r="B349" t="s">
        <v>2031</v>
      </c>
      <c r="C349" t="s">
        <v>473</v>
      </c>
      <c r="D349">
        <v>8</v>
      </c>
      <c r="E349">
        <v>0</v>
      </c>
      <c r="F349" s="1">
        <v>45685</v>
      </c>
      <c r="G349">
        <f>_xlfn.XLOOKUP(F349,'Wk no''s'!B:B,'Wk no''s'!C:C,0)</f>
        <v>5</v>
      </c>
    </row>
    <row r="350" spans="1:7" x14ac:dyDescent="0.3">
      <c r="A350" t="s">
        <v>2032</v>
      </c>
      <c r="B350" t="s">
        <v>2033</v>
      </c>
      <c r="C350" t="s">
        <v>2034</v>
      </c>
      <c r="D350">
        <v>0</v>
      </c>
      <c r="E350">
        <v>1</v>
      </c>
      <c r="F350" s="1">
        <v>45685</v>
      </c>
      <c r="G350">
        <f>_xlfn.XLOOKUP(F350,'Wk no''s'!B:B,'Wk no''s'!C:C,0)</f>
        <v>5</v>
      </c>
    </row>
    <row r="351" spans="1:7" x14ac:dyDescent="0.3">
      <c r="A351" t="s">
        <v>2035</v>
      </c>
      <c r="B351" t="s">
        <v>2036</v>
      </c>
      <c r="C351" t="s">
        <v>2037</v>
      </c>
      <c r="D351">
        <v>0</v>
      </c>
      <c r="E351">
        <v>1</v>
      </c>
      <c r="F351" s="1">
        <v>45685</v>
      </c>
      <c r="G351">
        <f>_xlfn.XLOOKUP(F351,'Wk no''s'!B:B,'Wk no''s'!C:C,0)</f>
        <v>5</v>
      </c>
    </row>
    <row r="352" spans="1:7" x14ac:dyDescent="0.3">
      <c r="A352" t="s">
        <v>2038</v>
      </c>
      <c r="B352" t="s">
        <v>2039</v>
      </c>
      <c r="C352" t="s">
        <v>1830</v>
      </c>
      <c r="D352">
        <v>0</v>
      </c>
      <c r="E352">
        <v>1</v>
      </c>
      <c r="F352" s="1">
        <v>45685</v>
      </c>
      <c r="G352">
        <f>_xlfn.XLOOKUP(F352,'Wk no''s'!B:B,'Wk no''s'!C:C,0)</f>
        <v>5</v>
      </c>
    </row>
    <row r="353" spans="1:7" x14ac:dyDescent="0.3">
      <c r="A353" t="s">
        <v>2040</v>
      </c>
      <c r="B353" t="s">
        <v>2041</v>
      </c>
      <c r="C353" t="s">
        <v>127</v>
      </c>
      <c r="D353">
        <v>0</v>
      </c>
      <c r="E353">
        <v>1</v>
      </c>
      <c r="F353" s="1">
        <v>45685</v>
      </c>
      <c r="G353">
        <f>_xlfn.XLOOKUP(F353,'Wk no''s'!B:B,'Wk no''s'!C:C,0)</f>
        <v>5</v>
      </c>
    </row>
    <row r="354" spans="1:7" x14ac:dyDescent="0.3">
      <c r="A354" t="s">
        <v>2042</v>
      </c>
      <c r="B354" t="s">
        <v>2043</v>
      </c>
      <c r="C354" t="s">
        <v>1337</v>
      </c>
      <c r="D354">
        <v>0</v>
      </c>
      <c r="E354">
        <v>1</v>
      </c>
      <c r="F354" s="1">
        <v>45685</v>
      </c>
      <c r="G354">
        <f>_xlfn.XLOOKUP(F354,'Wk no''s'!B:B,'Wk no''s'!C:C,0)</f>
        <v>5</v>
      </c>
    </row>
    <row r="355" spans="1:7" x14ac:dyDescent="0.3">
      <c r="A355" t="s">
        <v>2044</v>
      </c>
      <c r="B355" t="s">
        <v>2045</v>
      </c>
      <c r="C355" t="s">
        <v>353</v>
      </c>
      <c r="D355">
        <v>0</v>
      </c>
      <c r="E355">
        <v>1</v>
      </c>
      <c r="F355" s="1">
        <v>45685</v>
      </c>
      <c r="G355">
        <f>_xlfn.XLOOKUP(F355,'Wk no''s'!B:B,'Wk no''s'!C:C,0)</f>
        <v>5</v>
      </c>
    </row>
    <row r="356" spans="1:7" x14ac:dyDescent="0.3">
      <c r="A356" t="s">
        <v>2046</v>
      </c>
      <c r="B356" t="s">
        <v>2047</v>
      </c>
      <c r="C356" t="s">
        <v>1772</v>
      </c>
      <c r="D356">
        <v>0</v>
      </c>
      <c r="E356">
        <v>1</v>
      </c>
      <c r="F356" s="1">
        <v>45685</v>
      </c>
      <c r="G356">
        <f>_xlfn.XLOOKUP(F356,'Wk no''s'!B:B,'Wk no''s'!C:C,0)</f>
        <v>5</v>
      </c>
    </row>
    <row r="357" spans="1:7" x14ac:dyDescent="0.3">
      <c r="A357" t="s">
        <v>2048</v>
      </c>
      <c r="B357" t="s">
        <v>2049</v>
      </c>
      <c r="C357" t="s">
        <v>302</v>
      </c>
      <c r="D357">
        <v>0</v>
      </c>
      <c r="E357">
        <v>1</v>
      </c>
      <c r="F357" s="1">
        <v>45685</v>
      </c>
      <c r="G357">
        <f>_xlfn.XLOOKUP(F357,'Wk no''s'!B:B,'Wk no''s'!C:C,0)</f>
        <v>5</v>
      </c>
    </row>
    <row r="358" spans="1:7" x14ac:dyDescent="0.3">
      <c r="A358" t="s">
        <v>2050</v>
      </c>
      <c r="B358" t="s">
        <v>2051</v>
      </c>
      <c r="C358" t="s">
        <v>1877</v>
      </c>
      <c r="D358">
        <v>0</v>
      </c>
      <c r="E358">
        <v>1</v>
      </c>
      <c r="F358" s="1">
        <v>45686</v>
      </c>
      <c r="G358">
        <f>_xlfn.XLOOKUP(F358,'Wk no''s'!B:B,'Wk no''s'!C:C,0)</f>
        <v>5</v>
      </c>
    </row>
    <row r="359" spans="1:7" x14ac:dyDescent="0.3">
      <c r="A359" t="s">
        <v>2052</v>
      </c>
      <c r="B359" t="s">
        <v>2053</v>
      </c>
      <c r="C359" t="s">
        <v>2054</v>
      </c>
      <c r="D359">
        <v>6</v>
      </c>
      <c r="E359">
        <v>0</v>
      </c>
      <c r="F359" s="1">
        <v>45686</v>
      </c>
      <c r="G359">
        <f>_xlfn.XLOOKUP(F359,'Wk no''s'!B:B,'Wk no''s'!C:C,0)</f>
        <v>5</v>
      </c>
    </row>
    <row r="360" spans="1:7" x14ac:dyDescent="0.3">
      <c r="A360" t="s">
        <v>2055</v>
      </c>
      <c r="C360" t="s">
        <v>2056</v>
      </c>
      <c r="D360">
        <v>0</v>
      </c>
      <c r="E360">
        <v>1</v>
      </c>
      <c r="F360" s="1">
        <v>45686</v>
      </c>
      <c r="G360">
        <f>_xlfn.XLOOKUP(F360,'Wk no''s'!B:B,'Wk no''s'!C:C,0)</f>
        <v>5</v>
      </c>
    </row>
    <row r="361" spans="1:7" x14ac:dyDescent="0.3">
      <c r="A361" t="s">
        <v>2057</v>
      </c>
      <c r="B361" t="s">
        <v>2058</v>
      </c>
      <c r="C361" t="s">
        <v>2056</v>
      </c>
      <c r="D361">
        <v>0</v>
      </c>
      <c r="E361">
        <v>1</v>
      </c>
      <c r="F361" s="1">
        <v>45686</v>
      </c>
      <c r="G361">
        <f>_xlfn.XLOOKUP(F361,'Wk no''s'!B:B,'Wk no''s'!C:C,0)</f>
        <v>5</v>
      </c>
    </row>
    <row r="362" spans="1:7" x14ac:dyDescent="0.3">
      <c r="A362" t="s">
        <v>2059</v>
      </c>
      <c r="B362" t="s">
        <v>2060</v>
      </c>
      <c r="C362" t="s">
        <v>2061</v>
      </c>
      <c r="D362">
        <v>6</v>
      </c>
      <c r="E362">
        <v>0</v>
      </c>
      <c r="F362" s="1">
        <v>45686</v>
      </c>
      <c r="G362">
        <f>_xlfn.XLOOKUP(F362,'Wk no''s'!B:B,'Wk no''s'!C:C,0)</f>
        <v>5</v>
      </c>
    </row>
    <row r="363" spans="1:7" x14ac:dyDescent="0.3">
      <c r="A363" t="s">
        <v>2062</v>
      </c>
      <c r="B363" t="s">
        <v>2063</v>
      </c>
      <c r="C363" t="s">
        <v>39</v>
      </c>
      <c r="D363">
        <v>0</v>
      </c>
      <c r="E363">
        <v>1</v>
      </c>
      <c r="F363" s="1">
        <v>45686</v>
      </c>
      <c r="G363">
        <f>_xlfn.XLOOKUP(F363,'Wk no''s'!B:B,'Wk no''s'!C:C,0)</f>
        <v>5</v>
      </c>
    </row>
    <row r="364" spans="1:7" x14ac:dyDescent="0.3">
      <c r="A364" t="s">
        <v>2064</v>
      </c>
      <c r="B364" t="s">
        <v>2065</v>
      </c>
      <c r="C364" t="s">
        <v>2066</v>
      </c>
      <c r="D364">
        <v>0</v>
      </c>
      <c r="E364">
        <v>1</v>
      </c>
      <c r="F364" s="1">
        <v>45686</v>
      </c>
      <c r="G364">
        <f>_xlfn.XLOOKUP(F364,'Wk no''s'!B:B,'Wk no''s'!C:C,0)</f>
        <v>5</v>
      </c>
    </row>
    <row r="365" spans="1:7" x14ac:dyDescent="0.3">
      <c r="A365" t="s">
        <v>2067</v>
      </c>
      <c r="B365" t="s">
        <v>2068</v>
      </c>
      <c r="C365" t="s">
        <v>2069</v>
      </c>
      <c r="D365">
        <v>0</v>
      </c>
      <c r="E365">
        <v>1</v>
      </c>
      <c r="F365" s="1">
        <v>45686</v>
      </c>
      <c r="G365">
        <f>_xlfn.XLOOKUP(F365,'Wk no''s'!B:B,'Wk no''s'!C:C,0)</f>
        <v>5</v>
      </c>
    </row>
    <row r="366" spans="1:7" x14ac:dyDescent="0.3">
      <c r="A366" t="s">
        <v>2070</v>
      </c>
      <c r="B366" t="s">
        <v>2071</v>
      </c>
      <c r="C366" t="s">
        <v>443</v>
      </c>
      <c r="D366">
        <v>0</v>
      </c>
      <c r="E366">
        <v>1</v>
      </c>
      <c r="F366" s="1">
        <v>45686</v>
      </c>
      <c r="G366">
        <f>_xlfn.XLOOKUP(F366,'Wk no''s'!B:B,'Wk no''s'!C:C,0)</f>
        <v>5</v>
      </c>
    </row>
    <row r="367" spans="1:7" x14ac:dyDescent="0.3">
      <c r="A367" t="s">
        <v>2072</v>
      </c>
      <c r="B367" t="s">
        <v>2073</v>
      </c>
      <c r="C367" t="s">
        <v>372</v>
      </c>
      <c r="D367">
        <v>1</v>
      </c>
      <c r="E367">
        <v>1</v>
      </c>
      <c r="F367" s="1">
        <v>45687</v>
      </c>
      <c r="G367">
        <f>_xlfn.XLOOKUP(F367,'Wk no''s'!B:B,'Wk no''s'!C:C,0)</f>
        <v>5</v>
      </c>
    </row>
    <row r="368" spans="1:7" x14ac:dyDescent="0.3">
      <c r="A368" t="s">
        <v>2074</v>
      </c>
      <c r="B368" t="s">
        <v>2075</v>
      </c>
      <c r="C368" t="s">
        <v>1194</v>
      </c>
      <c r="D368">
        <v>0</v>
      </c>
      <c r="E368">
        <v>1</v>
      </c>
      <c r="F368" s="1">
        <v>45687</v>
      </c>
      <c r="G368">
        <f>_xlfn.XLOOKUP(F368,'Wk no''s'!B:B,'Wk no''s'!C:C,0)</f>
        <v>5</v>
      </c>
    </row>
    <row r="369" spans="1:7" x14ac:dyDescent="0.3">
      <c r="A369" t="s">
        <v>2076</v>
      </c>
      <c r="B369" t="s">
        <v>2077</v>
      </c>
      <c r="C369" t="s">
        <v>197</v>
      </c>
      <c r="D369">
        <v>0</v>
      </c>
      <c r="E369">
        <v>1</v>
      </c>
      <c r="F369" s="1">
        <v>45687</v>
      </c>
      <c r="G369">
        <f>_xlfn.XLOOKUP(F369,'Wk no''s'!B:B,'Wk no''s'!C:C,0)</f>
        <v>5</v>
      </c>
    </row>
    <row r="370" spans="1:7" x14ac:dyDescent="0.3">
      <c r="A370" t="s">
        <v>2078</v>
      </c>
      <c r="B370" t="s">
        <v>2079</v>
      </c>
      <c r="C370" t="s">
        <v>2080</v>
      </c>
      <c r="D370">
        <v>0</v>
      </c>
      <c r="E370">
        <v>1</v>
      </c>
      <c r="F370" s="1">
        <v>45687</v>
      </c>
      <c r="G370">
        <f>_xlfn.XLOOKUP(F370,'Wk no''s'!B:B,'Wk no''s'!C:C,0)</f>
        <v>5</v>
      </c>
    </row>
    <row r="371" spans="1:7" x14ac:dyDescent="0.3">
      <c r="A371" t="s">
        <v>2081</v>
      </c>
      <c r="B371" t="s">
        <v>2082</v>
      </c>
      <c r="C371" t="s">
        <v>2083</v>
      </c>
      <c r="D371">
        <v>0</v>
      </c>
      <c r="E371">
        <v>1</v>
      </c>
      <c r="F371" s="1">
        <v>45687</v>
      </c>
      <c r="G371">
        <f>_xlfn.XLOOKUP(F371,'Wk no''s'!B:B,'Wk no''s'!C:C,0)</f>
        <v>5</v>
      </c>
    </row>
    <row r="372" spans="1:7" x14ac:dyDescent="0.3">
      <c r="A372" t="s">
        <v>2084</v>
      </c>
      <c r="B372" t="s">
        <v>2085</v>
      </c>
      <c r="C372" t="s">
        <v>75</v>
      </c>
      <c r="D372">
        <v>0</v>
      </c>
      <c r="E372">
        <v>1</v>
      </c>
      <c r="F372" s="1">
        <v>45687</v>
      </c>
      <c r="G372">
        <f>_xlfn.XLOOKUP(F372,'Wk no''s'!B:B,'Wk no''s'!C:C,0)</f>
        <v>5</v>
      </c>
    </row>
    <row r="373" spans="1:7" x14ac:dyDescent="0.3">
      <c r="A373" t="s">
        <v>2086</v>
      </c>
      <c r="B373" t="s">
        <v>2087</v>
      </c>
      <c r="C373" t="s">
        <v>2088</v>
      </c>
      <c r="D373">
        <v>0</v>
      </c>
      <c r="E373">
        <v>1</v>
      </c>
      <c r="F373" s="1">
        <v>45687</v>
      </c>
      <c r="G373">
        <f>_xlfn.XLOOKUP(F373,'Wk no''s'!B:B,'Wk no''s'!C:C,0)</f>
        <v>5</v>
      </c>
    </row>
    <row r="374" spans="1:7" x14ac:dyDescent="0.3">
      <c r="A374" t="s">
        <v>2089</v>
      </c>
      <c r="B374" t="s">
        <v>2090</v>
      </c>
      <c r="C374" t="s">
        <v>2091</v>
      </c>
      <c r="D374">
        <v>44</v>
      </c>
      <c r="E374">
        <v>0</v>
      </c>
      <c r="F374" s="1">
        <v>45687</v>
      </c>
      <c r="G374">
        <f>_xlfn.XLOOKUP(F374,'Wk no''s'!B:B,'Wk no''s'!C:C,0)</f>
        <v>5</v>
      </c>
    </row>
    <row r="375" spans="1:7" x14ac:dyDescent="0.3">
      <c r="A375" t="s">
        <v>2092</v>
      </c>
      <c r="B375" t="s">
        <v>2093</v>
      </c>
      <c r="C375" t="s">
        <v>2094</v>
      </c>
      <c r="D375">
        <v>3</v>
      </c>
      <c r="E375">
        <v>1</v>
      </c>
      <c r="F375" s="1">
        <v>45688</v>
      </c>
      <c r="G375">
        <f>_xlfn.XLOOKUP(F375,'Wk no''s'!B:B,'Wk no''s'!C:C,0)</f>
        <v>5</v>
      </c>
    </row>
    <row r="376" spans="1:7" x14ac:dyDescent="0.3">
      <c r="A376" t="s">
        <v>2095</v>
      </c>
      <c r="B376" t="s">
        <v>2096</v>
      </c>
      <c r="C376" t="s">
        <v>415</v>
      </c>
      <c r="D376">
        <v>0</v>
      </c>
      <c r="E376">
        <v>1</v>
      </c>
      <c r="F376" s="1">
        <v>45688</v>
      </c>
      <c r="G376">
        <f>_xlfn.XLOOKUP(F376,'Wk no''s'!B:B,'Wk no''s'!C:C,0)</f>
        <v>5</v>
      </c>
    </row>
    <row r="377" spans="1:7" x14ac:dyDescent="0.3">
      <c r="A377" t="s">
        <v>2097</v>
      </c>
      <c r="B377" t="s">
        <v>2098</v>
      </c>
      <c r="C377" t="s">
        <v>748</v>
      </c>
      <c r="D377">
        <v>2</v>
      </c>
      <c r="E377">
        <v>1</v>
      </c>
      <c r="F377" s="1">
        <v>45688</v>
      </c>
      <c r="G377">
        <f>_xlfn.XLOOKUP(F377,'Wk no''s'!B:B,'Wk no''s'!C:C,0)</f>
        <v>5</v>
      </c>
    </row>
    <row r="378" spans="1:7" x14ac:dyDescent="0.3">
      <c r="A378" t="s">
        <v>2099</v>
      </c>
      <c r="C378" t="s">
        <v>2100</v>
      </c>
      <c r="D378">
        <v>0</v>
      </c>
      <c r="E378">
        <v>1</v>
      </c>
      <c r="F378" s="1">
        <v>45688</v>
      </c>
      <c r="G378">
        <f>_xlfn.XLOOKUP(F378,'Wk no''s'!B:B,'Wk no''s'!C:C,0)</f>
        <v>5</v>
      </c>
    </row>
    <row r="379" spans="1:7" x14ac:dyDescent="0.3">
      <c r="A379" t="s">
        <v>2101</v>
      </c>
      <c r="B379" t="s">
        <v>2102</v>
      </c>
      <c r="C379" t="s">
        <v>576</v>
      </c>
      <c r="D379">
        <v>0</v>
      </c>
      <c r="E379">
        <v>1</v>
      </c>
      <c r="F379" s="1">
        <v>45688</v>
      </c>
      <c r="G379">
        <f>_xlfn.XLOOKUP(F379,'Wk no''s'!B:B,'Wk no''s'!C:C,0)</f>
        <v>5</v>
      </c>
    </row>
    <row r="380" spans="1:7" x14ac:dyDescent="0.3">
      <c r="A380" t="s">
        <v>2103</v>
      </c>
      <c r="B380" t="s">
        <v>2104</v>
      </c>
      <c r="C380" t="s">
        <v>75</v>
      </c>
      <c r="D380">
        <v>0</v>
      </c>
      <c r="E380">
        <v>1</v>
      </c>
      <c r="F380" s="1">
        <v>45688</v>
      </c>
      <c r="G380">
        <f>_xlfn.XLOOKUP(F380,'Wk no''s'!B:B,'Wk no''s'!C:C,0)</f>
        <v>5</v>
      </c>
    </row>
    <row r="381" spans="1:7" x14ac:dyDescent="0.3">
      <c r="A381" t="s">
        <v>2105</v>
      </c>
      <c r="B381" t="s">
        <v>2106</v>
      </c>
      <c r="C381" t="s">
        <v>2107</v>
      </c>
      <c r="D381">
        <v>0</v>
      </c>
      <c r="E381">
        <v>1</v>
      </c>
      <c r="F381" s="1">
        <v>45688</v>
      </c>
      <c r="G381">
        <f>_xlfn.XLOOKUP(F381,'Wk no''s'!B:B,'Wk no''s'!C:C,0)</f>
        <v>5</v>
      </c>
    </row>
    <row r="382" spans="1:7" x14ac:dyDescent="0.3">
      <c r="A382" t="s">
        <v>2108</v>
      </c>
      <c r="B382" t="s">
        <v>2109</v>
      </c>
      <c r="C382" t="s">
        <v>2110</v>
      </c>
      <c r="D382">
        <v>0</v>
      </c>
      <c r="E382">
        <v>1</v>
      </c>
      <c r="F382" s="1">
        <v>45688</v>
      </c>
      <c r="G382">
        <f>_xlfn.XLOOKUP(F382,'Wk no''s'!B:B,'Wk no''s'!C:C,0)</f>
        <v>5</v>
      </c>
    </row>
    <row r="383" spans="1:7" x14ac:dyDescent="0.3">
      <c r="A383" t="s">
        <v>2111</v>
      </c>
      <c r="B383" t="s">
        <v>2112</v>
      </c>
      <c r="C383" t="s">
        <v>1619</v>
      </c>
      <c r="D383">
        <v>0</v>
      </c>
      <c r="E383">
        <v>1</v>
      </c>
      <c r="F383" s="1">
        <v>45688</v>
      </c>
      <c r="G383">
        <f>_xlfn.XLOOKUP(F383,'Wk no''s'!B:B,'Wk no''s'!C:C,0)</f>
        <v>5</v>
      </c>
    </row>
    <row r="384" spans="1:7" x14ac:dyDescent="0.3">
      <c r="A384" t="s">
        <v>2113</v>
      </c>
      <c r="B384" t="s">
        <v>2114</v>
      </c>
      <c r="C384" t="s">
        <v>407</v>
      </c>
      <c r="D384">
        <v>1</v>
      </c>
      <c r="E384">
        <v>1</v>
      </c>
      <c r="F384" s="1">
        <v>45691</v>
      </c>
      <c r="G384">
        <f>_xlfn.XLOOKUP(F384,'Wk no''s'!B:B,'Wk no''s'!C:C,0)</f>
        <v>6</v>
      </c>
    </row>
    <row r="385" spans="1:7" x14ac:dyDescent="0.3">
      <c r="A385" t="s">
        <v>2115</v>
      </c>
      <c r="B385" t="s">
        <v>2116</v>
      </c>
      <c r="C385" t="s">
        <v>2117</v>
      </c>
      <c r="D385">
        <v>0</v>
      </c>
      <c r="E385">
        <v>1</v>
      </c>
      <c r="F385" s="1">
        <v>45691</v>
      </c>
      <c r="G385">
        <f>_xlfn.XLOOKUP(F385,'Wk no''s'!B:B,'Wk no''s'!C:C,0)</f>
        <v>6</v>
      </c>
    </row>
    <row r="386" spans="1:7" x14ac:dyDescent="0.3">
      <c r="A386" t="s">
        <v>2118</v>
      </c>
      <c r="B386" t="s">
        <v>2119</v>
      </c>
      <c r="C386" t="s">
        <v>2120</v>
      </c>
      <c r="D386">
        <v>0</v>
      </c>
      <c r="E386">
        <v>1</v>
      </c>
      <c r="F386" s="1">
        <v>45691</v>
      </c>
      <c r="G386">
        <f>_xlfn.XLOOKUP(F386,'Wk no''s'!B:B,'Wk no''s'!C:C,0)</f>
        <v>6</v>
      </c>
    </row>
    <row r="387" spans="1:7" x14ac:dyDescent="0.3">
      <c r="A387" t="s">
        <v>2121</v>
      </c>
      <c r="B387" t="s">
        <v>2122</v>
      </c>
      <c r="C387" t="s">
        <v>2123</v>
      </c>
      <c r="D387">
        <v>0</v>
      </c>
      <c r="E387">
        <v>1</v>
      </c>
      <c r="F387" s="1">
        <v>45691</v>
      </c>
      <c r="G387">
        <f>_xlfn.XLOOKUP(F387,'Wk no''s'!B:B,'Wk no''s'!C:C,0)</f>
        <v>6</v>
      </c>
    </row>
    <row r="388" spans="1:7" x14ac:dyDescent="0.3">
      <c r="A388" t="s">
        <v>2124</v>
      </c>
      <c r="B388" t="s">
        <v>2125</v>
      </c>
      <c r="C388" t="s">
        <v>6026</v>
      </c>
      <c r="D388">
        <v>0</v>
      </c>
      <c r="E388">
        <v>1</v>
      </c>
      <c r="F388" s="1">
        <v>45691</v>
      </c>
      <c r="G388">
        <f>_xlfn.XLOOKUP(F388,'Wk no''s'!B:B,'Wk no''s'!C:C,0)</f>
        <v>6</v>
      </c>
    </row>
    <row r="389" spans="1:7" x14ac:dyDescent="0.3">
      <c r="A389" t="s">
        <v>2126</v>
      </c>
      <c r="B389" t="s">
        <v>2127</v>
      </c>
      <c r="C389" t="s">
        <v>2128</v>
      </c>
      <c r="D389">
        <v>0</v>
      </c>
      <c r="E389">
        <v>1</v>
      </c>
      <c r="F389" s="1">
        <v>45691</v>
      </c>
      <c r="G389">
        <f>_xlfn.XLOOKUP(F389,'Wk no''s'!B:B,'Wk no''s'!C:C,0)</f>
        <v>6</v>
      </c>
    </row>
    <row r="390" spans="1:7" x14ac:dyDescent="0.3">
      <c r="A390" t="s">
        <v>2129</v>
      </c>
      <c r="B390" t="s">
        <v>2130</v>
      </c>
      <c r="C390" t="s">
        <v>2131</v>
      </c>
      <c r="D390">
        <v>1</v>
      </c>
      <c r="E390">
        <v>1</v>
      </c>
      <c r="F390" s="1">
        <v>45691</v>
      </c>
      <c r="G390">
        <f>_xlfn.XLOOKUP(F390,'Wk no''s'!B:B,'Wk no''s'!C:C,0)</f>
        <v>6</v>
      </c>
    </row>
    <row r="391" spans="1:7" x14ac:dyDescent="0.3">
      <c r="A391" t="s">
        <v>2132</v>
      </c>
      <c r="B391" t="s">
        <v>2133</v>
      </c>
      <c r="C391" t="s">
        <v>197</v>
      </c>
      <c r="D391">
        <v>3</v>
      </c>
      <c r="E391">
        <v>1</v>
      </c>
      <c r="F391" s="1">
        <v>45691</v>
      </c>
      <c r="G391">
        <f>_xlfn.XLOOKUP(F391,'Wk no''s'!B:B,'Wk no''s'!C:C,0)</f>
        <v>6</v>
      </c>
    </row>
    <row r="392" spans="1:7" x14ac:dyDescent="0.3">
      <c r="A392" t="s">
        <v>2134</v>
      </c>
      <c r="B392" t="s">
        <v>2135</v>
      </c>
      <c r="C392" t="s">
        <v>394</v>
      </c>
      <c r="D392">
        <v>0</v>
      </c>
      <c r="E392">
        <v>1</v>
      </c>
      <c r="F392" s="1">
        <v>45691</v>
      </c>
      <c r="G392">
        <f>_xlfn.XLOOKUP(F392,'Wk no''s'!B:B,'Wk no''s'!C:C,0)</f>
        <v>6</v>
      </c>
    </row>
    <row r="393" spans="1:7" x14ac:dyDescent="0.3">
      <c r="A393" t="s">
        <v>2136</v>
      </c>
      <c r="B393" t="s">
        <v>2137</v>
      </c>
      <c r="C393" t="s">
        <v>2138</v>
      </c>
      <c r="D393">
        <v>0</v>
      </c>
      <c r="E393">
        <v>1</v>
      </c>
      <c r="F393" s="1">
        <v>45691</v>
      </c>
      <c r="G393">
        <f>_xlfn.XLOOKUP(F393,'Wk no''s'!B:B,'Wk no''s'!C:C,0)</f>
        <v>6</v>
      </c>
    </row>
    <row r="394" spans="1:7" x14ac:dyDescent="0.3">
      <c r="A394" t="s">
        <v>2139</v>
      </c>
      <c r="B394" t="s">
        <v>2140</v>
      </c>
      <c r="C394" t="s">
        <v>2141</v>
      </c>
      <c r="D394">
        <v>0</v>
      </c>
      <c r="E394">
        <v>1</v>
      </c>
      <c r="F394" s="1">
        <v>45691</v>
      </c>
      <c r="G394">
        <f>_xlfn.XLOOKUP(F394,'Wk no''s'!B:B,'Wk no''s'!C:C,0)</f>
        <v>6</v>
      </c>
    </row>
    <row r="395" spans="1:7" x14ac:dyDescent="0.3">
      <c r="A395" t="s">
        <v>2142</v>
      </c>
      <c r="B395" t="s">
        <v>2143</v>
      </c>
      <c r="C395" t="s">
        <v>2144</v>
      </c>
      <c r="D395">
        <v>0</v>
      </c>
      <c r="E395">
        <v>1</v>
      </c>
      <c r="F395" s="1">
        <v>45691</v>
      </c>
      <c r="G395">
        <f>_xlfn.XLOOKUP(F395,'Wk no''s'!B:B,'Wk no''s'!C:C,0)</f>
        <v>6</v>
      </c>
    </row>
    <row r="396" spans="1:7" x14ac:dyDescent="0.3">
      <c r="A396" t="s">
        <v>2145</v>
      </c>
      <c r="B396" t="s">
        <v>2146</v>
      </c>
      <c r="C396" t="s">
        <v>2147</v>
      </c>
      <c r="D396">
        <v>0</v>
      </c>
      <c r="E396">
        <v>1</v>
      </c>
      <c r="F396" s="1">
        <v>45691</v>
      </c>
      <c r="G396">
        <f>_xlfn.XLOOKUP(F396,'Wk no''s'!B:B,'Wk no''s'!C:C,0)</f>
        <v>6</v>
      </c>
    </row>
    <row r="397" spans="1:7" x14ac:dyDescent="0.3">
      <c r="A397" t="s">
        <v>2148</v>
      </c>
      <c r="B397" t="s">
        <v>2149</v>
      </c>
      <c r="C397" t="s">
        <v>519</v>
      </c>
      <c r="D397">
        <v>0</v>
      </c>
      <c r="E397">
        <v>1</v>
      </c>
      <c r="F397" s="1">
        <v>45691</v>
      </c>
      <c r="G397">
        <f>_xlfn.XLOOKUP(F397,'Wk no''s'!B:B,'Wk no''s'!C:C,0)</f>
        <v>6</v>
      </c>
    </row>
    <row r="398" spans="1:7" x14ac:dyDescent="0.3">
      <c r="A398" t="s">
        <v>2150</v>
      </c>
      <c r="B398" t="s">
        <v>2151</v>
      </c>
      <c r="C398" t="s">
        <v>1368</v>
      </c>
      <c r="D398">
        <v>0</v>
      </c>
      <c r="E398">
        <v>1</v>
      </c>
      <c r="F398" s="1">
        <v>45691</v>
      </c>
      <c r="G398">
        <f>_xlfn.XLOOKUP(F398,'Wk no''s'!B:B,'Wk no''s'!C:C,0)</f>
        <v>6</v>
      </c>
    </row>
    <row r="399" spans="1:7" x14ac:dyDescent="0.3">
      <c r="A399" t="s">
        <v>2152</v>
      </c>
      <c r="B399" t="s">
        <v>2153</v>
      </c>
      <c r="C399" t="s">
        <v>2154</v>
      </c>
      <c r="D399">
        <v>18</v>
      </c>
      <c r="E399">
        <v>0</v>
      </c>
      <c r="F399" s="1">
        <v>45691</v>
      </c>
      <c r="G399">
        <f>_xlfn.XLOOKUP(F399,'Wk no''s'!B:B,'Wk no''s'!C:C,0)</f>
        <v>6</v>
      </c>
    </row>
    <row r="400" spans="1:7" x14ac:dyDescent="0.3">
      <c r="A400" t="s">
        <v>2155</v>
      </c>
      <c r="B400" t="s">
        <v>2156</v>
      </c>
      <c r="C400" t="s">
        <v>308</v>
      </c>
      <c r="D400">
        <v>0</v>
      </c>
      <c r="E400">
        <v>1</v>
      </c>
      <c r="F400" s="1">
        <v>45692</v>
      </c>
      <c r="G400">
        <f>_xlfn.XLOOKUP(F400,'Wk no''s'!B:B,'Wk no''s'!C:C,0)</f>
        <v>6</v>
      </c>
    </row>
    <row r="401" spans="1:7" x14ac:dyDescent="0.3">
      <c r="A401" t="s">
        <v>2157</v>
      </c>
      <c r="B401" t="s">
        <v>2158</v>
      </c>
      <c r="C401" t="s">
        <v>2159</v>
      </c>
      <c r="D401">
        <v>3</v>
      </c>
      <c r="E401">
        <v>1</v>
      </c>
      <c r="F401" s="1">
        <v>45692</v>
      </c>
      <c r="G401">
        <f>_xlfn.XLOOKUP(F401,'Wk no''s'!B:B,'Wk no''s'!C:C,0)</f>
        <v>6</v>
      </c>
    </row>
    <row r="402" spans="1:7" x14ac:dyDescent="0.3">
      <c r="A402" t="s">
        <v>2160</v>
      </c>
      <c r="B402" t="s">
        <v>2161</v>
      </c>
      <c r="C402" t="s">
        <v>1381</v>
      </c>
      <c r="D402">
        <v>0</v>
      </c>
      <c r="E402">
        <v>1</v>
      </c>
      <c r="F402" s="1">
        <v>45692</v>
      </c>
      <c r="G402">
        <f>_xlfn.XLOOKUP(F402,'Wk no''s'!B:B,'Wk no''s'!C:C,0)</f>
        <v>6</v>
      </c>
    </row>
    <row r="403" spans="1:7" x14ac:dyDescent="0.3">
      <c r="A403" t="s">
        <v>2162</v>
      </c>
      <c r="B403" t="s">
        <v>2163</v>
      </c>
      <c r="C403" t="s">
        <v>1889</v>
      </c>
      <c r="D403">
        <v>0</v>
      </c>
      <c r="E403">
        <v>1</v>
      </c>
      <c r="F403" s="1">
        <v>45692</v>
      </c>
      <c r="G403">
        <f>_xlfn.XLOOKUP(F403,'Wk no''s'!B:B,'Wk no''s'!C:C,0)</f>
        <v>6</v>
      </c>
    </row>
    <row r="404" spans="1:7" x14ac:dyDescent="0.3">
      <c r="A404" t="s">
        <v>2164</v>
      </c>
      <c r="B404" t="s">
        <v>2165</v>
      </c>
      <c r="C404" t="s">
        <v>2166</v>
      </c>
      <c r="D404">
        <v>5</v>
      </c>
      <c r="E404">
        <v>1</v>
      </c>
      <c r="F404" s="1">
        <v>45692</v>
      </c>
      <c r="G404">
        <f>_xlfn.XLOOKUP(F404,'Wk no''s'!B:B,'Wk no''s'!C:C,0)</f>
        <v>6</v>
      </c>
    </row>
    <row r="405" spans="1:7" x14ac:dyDescent="0.3">
      <c r="A405" t="s">
        <v>2167</v>
      </c>
      <c r="B405" t="s">
        <v>2168</v>
      </c>
      <c r="C405" t="s">
        <v>2169</v>
      </c>
      <c r="D405">
        <v>7</v>
      </c>
      <c r="E405">
        <v>0</v>
      </c>
      <c r="F405" s="1">
        <v>45692</v>
      </c>
      <c r="G405">
        <f>_xlfn.XLOOKUP(F405,'Wk no''s'!B:B,'Wk no''s'!C:C,0)</f>
        <v>6</v>
      </c>
    </row>
    <row r="406" spans="1:7" x14ac:dyDescent="0.3">
      <c r="A406" t="s">
        <v>2170</v>
      </c>
      <c r="B406" t="s">
        <v>2171</v>
      </c>
      <c r="C406" t="s">
        <v>2172</v>
      </c>
      <c r="D406">
        <v>0</v>
      </c>
      <c r="E406">
        <v>1</v>
      </c>
      <c r="F406" s="1">
        <v>45692</v>
      </c>
      <c r="G406">
        <f>_xlfn.XLOOKUP(F406,'Wk no''s'!B:B,'Wk no''s'!C:C,0)</f>
        <v>6</v>
      </c>
    </row>
    <row r="407" spans="1:7" x14ac:dyDescent="0.3">
      <c r="A407" t="s">
        <v>2173</v>
      </c>
      <c r="B407" t="s">
        <v>2174</v>
      </c>
      <c r="C407" t="s">
        <v>2175</v>
      </c>
      <c r="D407">
        <v>0</v>
      </c>
      <c r="E407">
        <v>1</v>
      </c>
      <c r="F407" s="1">
        <v>45692</v>
      </c>
      <c r="G407">
        <f>_xlfn.XLOOKUP(F407,'Wk no''s'!B:B,'Wk no''s'!C:C,0)</f>
        <v>6</v>
      </c>
    </row>
    <row r="408" spans="1:7" x14ac:dyDescent="0.3">
      <c r="A408" t="s">
        <v>2176</v>
      </c>
      <c r="B408" t="s">
        <v>2177</v>
      </c>
      <c r="C408" t="s">
        <v>2178</v>
      </c>
      <c r="D408">
        <v>176</v>
      </c>
      <c r="E408">
        <v>0</v>
      </c>
      <c r="F408" s="1">
        <v>45692</v>
      </c>
      <c r="G408">
        <f>_xlfn.XLOOKUP(F408,'Wk no''s'!B:B,'Wk no''s'!C:C,0)</f>
        <v>6</v>
      </c>
    </row>
    <row r="409" spans="1:7" x14ac:dyDescent="0.3">
      <c r="A409" t="s">
        <v>2179</v>
      </c>
      <c r="B409" t="s">
        <v>2180</v>
      </c>
      <c r="C409" t="s">
        <v>2181</v>
      </c>
      <c r="D409">
        <v>174</v>
      </c>
      <c r="E409">
        <v>0</v>
      </c>
      <c r="F409" s="1">
        <v>45692</v>
      </c>
      <c r="G409">
        <f>_xlfn.XLOOKUP(F409,'Wk no''s'!B:B,'Wk no''s'!C:C,0)</f>
        <v>6</v>
      </c>
    </row>
    <row r="410" spans="1:7" x14ac:dyDescent="0.3">
      <c r="A410" t="s">
        <v>2182</v>
      </c>
      <c r="B410" t="s">
        <v>2183</v>
      </c>
      <c r="C410" t="s">
        <v>38</v>
      </c>
      <c r="D410">
        <v>0</v>
      </c>
      <c r="E410">
        <v>1</v>
      </c>
      <c r="F410" s="1">
        <v>45692</v>
      </c>
      <c r="G410">
        <f>_xlfn.XLOOKUP(F410,'Wk no''s'!B:B,'Wk no''s'!C:C,0)</f>
        <v>6</v>
      </c>
    </row>
    <row r="411" spans="1:7" x14ac:dyDescent="0.3">
      <c r="A411" t="s">
        <v>2184</v>
      </c>
      <c r="B411" t="s">
        <v>2185</v>
      </c>
      <c r="C411" t="s">
        <v>362</v>
      </c>
      <c r="D411">
        <v>0</v>
      </c>
      <c r="E411">
        <v>1</v>
      </c>
      <c r="F411" s="1">
        <v>45692</v>
      </c>
      <c r="G411">
        <f>_xlfn.XLOOKUP(F411,'Wk no''s'!B:B,'Wk no''s'!C:C,0)</f>
        <v>6</v>
      </c>
    </row>
    <row r="412" spans="1:7" x14ac:dyDescent="0.3">
      <c r="A412" t="s">
        <v>2186</v>
      </c>
      <c r="B412" t="s">
        <v>2187</v>
      </c>
      <c r="C412" t="s">
        <v>2188</v>
      </c>
      <c r="D412">
        <v>0</v>
      </c>
      <c r="E412">
        <v>1</v>
      </c>
      <c r="F412" s="1">
        <v>45692</v>
      </c>
      <c r="G412">
        <f>_xlfn.XLOOKUP(F412,'Wk no''s'!B:B,'Wk no''s'!C:C,0)</f>
        <v>6</v>
      </c>
    </row>
    <row r="413" spans="1:7" x14ac:dyDescent="0.3">
      <c r="A413" t="s">
        <v>2189</v>
      </c>
      <c r="B413" t="s">
        <v>2190</v>
      </c>
      <c r="C413" t="s">
        <v>2191</v>
      </c>
      <c r="D413">
        <v>0</v>
      </c>
      <c r="E413">
        <v>1</v>
      </c>
      <c r="F413" s="1">
        <v>45692</v>
      </c>
      <c r="G413">
        <f>_xlfn.XLOOKUP(F413,'Wk no''s'!B:B,'Wk no''s'!C:C,0)</f>
        <v>6</v>
      </c>
    </row>
    <row r="414" spans="1:7" x14ac:dyDescent="0.3">
      <c r="A414" t="s">
        <v>2192</v>
      </c>
      <c r="B414" t="s">
        <v>2193</v>
      </c>
      <c r="C414" t="s">
        <v>1652</v>
      </c>
      <c r="D414">
        <v>4</v>
      </c>
      <c r="E414">
        <v>1</v>
      </c>
      <c r="F414" s="1">
        <v>45692</v>
      </c>
      <c r="G414">
        <f>_xlfn.XLOOKUP(F414,'Wk no''s'!B:B,'Wk no''s'!C:C,0)</f>
        <v>6</v>
      </c>
    </row>
    <row r="415" spans="1:7" x14ac:dyDescent="0.3">
      <c r="A415" t="s">
        <v>2194</v>
      </c>
      <c r="B415" t="s">
        <v>2195</v>
      </c>
      <c r="C415" t="s">
        <v>1246</v>
      </c>
      <c r="D415">
        <v>0</v>
      </c>
      <c r="E415">
        <v>1</v>
      </c>
      <c r="F415" s="1">
        <v>45692</v>
      </c>
      <c r="G415">
        <f>_xlfn.XLOOKUP(F415,'Wk no''s'!B:B,'Wk no''s'!C:C,0)</f>
        <v>6</v>
      </c>
    </row>
    <row r="416" spans="1:7" x14ac:dyDescent="0.3">
      <c r="A416" t="s">
        <v>2196</v>
      </c>
      <c r="B416" t="s">
        <v>2197</v>
      </c>
      <c r="C416" t="s">
        <v>2198</v>
      </c>
      <c r="D416">
        <v>0</v>
      </c>
      <c r="E416">
        <v>1</v>
      </c>
      <c r="F416" s="1">
        <v>45692</v>
      </c>
      <c r="G416">
        <f>_xlfn.XLOOKUP(F416,'Wk no''s'!B:B,'Wk no''s'!C:C,0)</f>
        <v>6</v>
      </c>
    </row>
    <row r="417" spans="1:7" x14ac:dyDescent="0.3">
      <c r="A417" t="s">
        <v>2199</v>
      </c>
      <c r="B417" t="s">
        <v>2200</v>
      </c>
      <c r="C417" t="s">
        <v>2201</v>
      </c>
      <c r="D417">
        <v>29</v>
      </c>
      <c r="E417">
        <v>0</v>
      </c>
      <c r="F417" s="1">
        <v>45692</v>
      </c>
      <c r="G417">
        <f>_xlfn.XLOOKUP(F417,'Wk no''s'!B:B,'Wk no''s'!C:C,0)</f>
        <v>6</v>
      </c>
    </row>
    <row r="418" spans="1:7" x14ac:dyDescent="0.3">
      <c r="A418" t="s">
        <v>2202</v>
      </c>
      <c r="B418" t="s">
        <v>2203</v>
      </c>
      <c r="C418" t="s">
        <v>2204</v>
      </c>
      <c r="D418">
        <v>1</v>
      </c>
      <c r="E418">
        <v>1</v>
      </c>
      <c r="F418" s="1">
        <v>45692</v>
      </c>
      <c r="G418">
        <f>_xlfn.XLOOKUP(F418,'Wk no''s'!B:B,'Wk no''s'!C:C,0)</f>
        <v>6</v>
      </c>
    </row>
    <row r="419" spans="1:7" x14ac:dyDescent="0.3">
      <c r="A419" t="s">
        <v>2205</v>
      </c>
      <c r="B419" t="s">
        <v>2206</v>
      </c>
      <c r="C419" t="s">
        <v>197</v>
      </c>
      <c r="D419">
        <v>7</v>
      </c>
      <c r="E419">
        <v>0</v>
      </c>
      <c r="F419" s="1">
        <v>45693</v>
      </c>
      <c r="G419">
        <f>_xlfn.XLOOKUP(F419,'Wk no''s'!B:B,'Wk no''s'!C:C,0)</f>
        <v>6</v>
      </c>
    </row>
    <row r="420" spans="1:7" x14ac:dyDescent="0.3">
      <c r="A420" t="s">
        <v>2207</v>
      </c>
      <c r="B420" t="s">
        <v>2208</v>
      </c>
      <c r="C420" t="s">
        <v>33</v>
      </c>
      <c r="D420">
        <v>16</v>
      </c>
      <c r="E420">
        <v>0</v>
      </c>
      <c r="F420" s="1">
        <v>45693</v>
      </c>
      <c r="G420">
        <f>_xlfn.XLOOKUP(F420,'Wk no''s'!B:B,'Wk no''s'!C:C,0)</f>
        <v>6</v>
      </c>
    </row>
    <row r="421" spans="1:7" x14ac:dyDescent="0.3">
      <c r="A421" t="s">
        <v>2209</v>
      </c>
      <c r="B421" t="s">
        <v>2210</v>
      </c>
      <c r="C421" t="s">
        <v>573</v>
      </c>
      <c r="D421">
        <v>3</v>
      </c>
      <c r="E421">
        <v>1</v>
      </c>
      <c r="F421" s="1">
        <v>45693</v>
      </c>
      <c r="G421">
        <f>_xlfn.XLOOKUP(F421,'Wk no''s'!B:B,'Wk no''s'!C:C,0)</f>
        <v>6</v>
      </c>
    </row>
    <row r="422" spans="1:7" x14ac:dyDescent="0.3">
      <c r="A422" t="s">
        <v>2211</v>
      </c>
      <c r="B422" t="s">
        <v>2212</v>
      </c>
      <c r="C422" t="s">
        <v>447</v>
      </c>
      <c r="D422">
        <v>2</v>
      </c>
      <c r="E422">
        <v>1</v>
      </c>
      <c r="F422" s="1">
        <v>45693</v>
      </c>
      <c r="G422">
        <f>_xlfn.XLOOKUP(F422,'Wk no''s'!B:B,'Wk no''s'!C:C,0)</f>
        <v>6</v>
      </c>
    </row>
    <row r="423" spans="1:7" x14ac:dyDescent="0.3">
      <c r="A423" t="s">
        <v>2213</v>
      </c>
      <c r="B423" t="s">
        <v>2214</v>
      </c>
      <c r="C423" t="s">
        <v>5493</v>
      </c>
      <c r="D423">
        <v>6</v>
      </c>
      <c r="E423">
        <v>0</v>
      </c>
      <c r="F423" s="1">
        <v>45693</v>
      </c>
      <c r="G423">
        <f>_xlfn.XLOOKUP(F423,'Wk no''s'!B:B,'Wk no''s'!C:C,0)</f>
        <v>6</v>
      </c>
    </row>
    <row r="424" spans="1:7" x14ac:dyDescent="0.3">
      <c r="A424" t="s">
        <v>2215</v>
      </c>
      <c r="B424" t="s">
        <v>2216</v>
      </c>
      <c r="C424" t="s">
        <v>1251</v>
      </c>
      <c r="D424">
        <v>0</v>
      </c>
      <c r="E424">
        <v>1</v>
      </c>
      <c r="F424" s="1">
        <v>45693</v>
      </c>
      <c r="G424">
        <f>_xlfn.XLOOKUP(F424,'Wk no''s'!B:B,'Wk no''s'!C:C,0)</f>
        <v>6</v>
      </c>
    </row>
    <row r="425" spans="1:7" x14ac:dyDescent="0.3">
      <c r="A425" t="s">
        <v>2217</v>
      </c>
      <c r="B425" t="s">
        <v>2218</v>
      </c>
      <c r="C425" t="s">
        <v>2219</v>
      </c>
      <c r="D425">
        <v>0</v>
      </c>
      <c r="E425">
        <v>1</v>
      </c>
      <c r="F425" s="1">
        <v>45693</v>
      </c>
      <c r="G425">
        <f>_xlfn.XLOOKUP(F425,'Wk no''s'!B:B,'Wk no''s'!C:C,0)</f>
        <v>6</v>
      </c>
    </row>
    <row r="426" spans="1:7" x14ac:dyDescent="0.3">
      <c r="A426" t="s">
        <v>2220</v>
      </c>
      <c r="B426" t="s">
        <v>2221</v>
      </c>
      <c r="C426" t="s">
        <v>1527</v>
      </c>
      <c r="D426">
        <v>0</v>
      </c>
      <c r="E426">
        <v>1</v>
      </c>
      <c r="F426" s="1">
        <v>45694</v>
      </c>
      <c r="G426">
        <f>_xlfn.XLOOKUP(F426,'Wk no''s'!B:B,'Wk no''s'!C:C,0)</f>
        <v>6</v>
      </c>
    </row>
    <row r="427" spans="1:7" x14ac:dyDescent="0.3">
      <c r="A427" t="s">
        <v>2222</v>
      </c>
      <c r="B427" t="s">
        <v>2223</v>
      </c>
      <c r="C427" t="s">
        <v>228</v>
      </c>
      <c r="D427">
        <v>0</v>
      </c>
      <c r="E427">
        <v>1</v>
      </c>
      <c r="F427" s="1">
        <v>45694</v>
      </c>
      <c r="G427">
        <f>_xlfn.XLOOKUP(F427,'Wk no''s'!B:B,'Wk no''s'!C:C,0)</f>
        <v>6</v>
      </c>
    </row>
    <row r="428" spans="1:7" x14ac:dyDescent="0.3">
      <c r="A428" t="s">
        <v>2224</v>
      </c>
      <c r="B428" t="s">
        <v>2225</v>
      </c>
      <c r="C428" t="s">
        <v>599</v>
      </c>
      <c r="D428">
        <v>1</v>
      </c>
      <c r="E428">
        <v>1</v>
      </c>
      <c r="F428" s="1">
        <v>45694</v>
      </c>
      <c r="G428">
        <f>_xlfn.XLOOKUP(F428,'Wk no''s'!B:B,'Wk no''s'!C:C,0)</f>
        <v>6</v>
      </c>
    </row>
    <row r="429" spans="1:7" x14ac:dyDescent="0.3">
      <c r="A429" t="s">
        <v>2226</v>
      </c>
      <c r="B429" t="s">
        <v>2227</v>
      </c>
      <c r="C429" t="s">
        <v>2228</v>
      </c>
      <c r="D429">
        <v>0</v>
      </c>
      <c r="E429">
        <v>1</v>
      </c>
      <c r="F429" s="1">
        <v>45694</v>
      </c>
      <c r="G429">
        <f>_xlfn.XLOOKUP(F429,'Wk no''s'!B:B,'Wk no''s'!C:C,0)</f>
        <v>6</v>
      </c>
    </row>
    <row r="430" spans="1:7" x14ac:dyDescent="0.3">
      <c r="A430" t="s">
        <v>2229</v>
      </c>
      <c r="B430" t="s">
        <v>2230</v>
      </c>
      <c r="C430" t="s">
        <v>2231</v>
      </c>
      <c r="D430">
        <v>12</v>
      </c>
      <c r="E430">
        <v>0</v>
      </c>
      <c r="F430" s="1">
        <v>45695</v>
      </c>
      <c r="G430">
        <f>_xlfn.XLOOKUP(F430,'Wk no''s'!B:B,'Wk no''s'!C:C,0)</f>
        <v>6</v>
      </c>
    </row>
    <row r="431" spans="1:7" x14ac:dyDescent="0.3">
      <c r="A431" t="s">
        <v>2232</v>
      </c>
      <c r="B431" t="s">
        <v>2233</v>
      </c>
      <c r="C431" t="s">
        <v>69</v>
      </c>
      <c r="D431">
        <v>0</v>
      </c>
      <c r="E431">
        <v>1</v>
      </c>
      <c r="F431" s="1">
        <v>45695</v>
      </c>
      <c r="G431">
        <f>_xlfn.XLOOKUP(F431,'Wk no''s'!B:B,'Wk no''s'!C:C,0)</f>
        <v>6</v>
      </c>
    </row>
    <row r="432" spans="1:7" x14ac:dyDescent="0.3">
      <c r="A432" t="s">
        <v>2234</v>
      </c>
      <c r="B432" t="s">
        <v>2235</v>
      </c>
      <c r="C432" t="s">
        <v>2236</v>
      </c>
      <c r="D432">
        <v>0</v>
      </c>
      <c r="E432">
        <v>1</v>
      </c>
      <c r="F432" s="1">
        <v>45695</v>
      </c>
      <c r="G432">
        <f>_xlfn.XLOOKUP(F432,'Wk no''s'!B:B,'Wk no''s'!C:C,0)</f>
        <v>6</v>
      </c>
    </row>
    <row r="433" spans="1:7" x14ac:dyDescent="0.3">
      <c r="A433" t="s">
        <v>2237</v>
      </c>
      <c r="B433" t="s">
        <v>2238</v>
      </c>
      <c r="C433" t="s">
        <v>2239</v>
      </c>
      <c r="D433">
        <v>16</v>
      </c>
      <c r="E433">
        <v>0</v>
      </c>
      <c r="F433" s="1">
        <v>45695</v>
      </c>
      <c r="G433">
        <f>_xlfn.XLOOKUP(F433,'Wk no''s'!B:B,'Wk no''s'!C:C,0)</f>
        <v>6</v>
      </c>
    </row>
    <row r="434" spans="1:7" x14ac:dyDescent="0.3">
      <c r="A434" t="s">
        <v>2240</v>
      </c>
      <c r="B434" t="s">
        <v>2241</v>
      </c>
      <c r="C434" t="s">
        <v>2242</v>
      </c>
      <c r="D434">
        <v>0</v>
      </c>
      <c r="E434">
        <v>1</v>
      </c>
      <c r="F434" s="1">
        <v>45695</v>
      </c>
      <c r="G434">
        <f>_xlfn.XLOOKUP(F434,'Wk no''s'!B:B,'Wk no''s'!C:C,0)</f>
        <v>6</v>
      </c>
    </row>
    <row r="435" spans="1:7" x14ac:dyDescent="0.3">
      <c r="A435" t="s">
        <v>2243</v>
      </c>
      <c r="B435" t="s">
        <v>2244</v>
      </c>
      <c r="C435" t="s">
        <v>519</v>
      </c>
      <c r="D435">
        <v>0</v>
      </c>
      <c r="E435">
        <v>1</v>
      </c>
      <c r="F435" s="1">
        <v>45695</v>
      </c>
      <c r="G435">
        <f>_xlfn.XLOOKUP(F435,'Wk no''s'!B:B,'Wk no''s'!C:C,0)</f>
        <v>6</v>
      </c>
    </row>
    <row r="436" spans="1:7" x14ac:dyDescent="0.3">
      <c r="A436" t="s">
        <v>2245</v>
      </c>
      <c r="B436" t="s">
        <v>2246</v>
      </c>
      <c r="C436" t="s">
        <v>2247</v>
      </c>
      <c r="D436">
        <v>9</v>
      </c>
      <c r="E436">
        <v>0</v>
      </c>
      <c r="F436" s="1">
        <v>45695</v>
      </c>
      <c r="G436">
        <f>_xlfn.XLOOKUP(F436,'Wk no''s'!B:B,'Wk no''s'!C:C,0)</f>
        <v>6</v>
      </c>
    </row>
    <row r="437" spans="1:7" x14ac:dyDescent="0.3">
      <c r="A437" t="s">
        <v>2248</v>
      </c>
      <c r="B437" t="s">
        <v>2249</v>
      </c>
      <c r="C437" t="s">
        <v>362</v>
      </c>
      <c r="D437">
        <v>0</v>
      </c>
      <c r="E437">
        <v>1</v>
      </c>
      <c r="F437" s="1">
        <v>45695</v>
      </c>
      <c r="G437">
        <f>_xlfn.XLOOKUP(F437,'Wk no''s'!B:B,'Wk no''s'!C:C,0)</f>
        <v>6</v>
      </c>
    </row>
    <row r="438" spans="1:7" x14ac:dyDescent="0.3">
      <c r="A438" t="s">
        <v>2250</v>
      </c>
      <c r="B438" t="s">
        <v>2251</v>
      </c>
      <c r="C438" t="s">
        <v>1889</v>
      </c>
      <c r="D438">
        <v>0</v>
      </c>
      <c r="E438">
        <v>1</v>
      </c>
      <c r="F438" s="1">
        <v>45695</v>
      </c>
      <c r="G438">
        <f>_xlfn.XLOOKUP(F438,'Wk no''s'!B:B,'Wk no''s'!C:C,0)</f>
        <v>6</v>
      </c>
    </row>
    <row r="439" spans="1:7" x14ac:dyDescent="0.3">
      <c r="A439" t="s">
        <v>2252</v>
      </c>
      <c r="B439" t="s">
        <v>2253</v>
      </c>
      <c r="C439" t="s">
        <v>220</v>
      </c>
      <c r="D439">
        <v>0</v>
      </c>
      <c r="E439">
        <v>1</v>
      </c>
      <c r="F439" s="1">
        <v>45695</v>
      </c>
      <c r="G439">
        <f>_xlfn.XLOOKUP(F439,'Wk no''s'!B:B,'Wk no''s'!C:C,0)</f>
        <v>6</v>
      </c>
    </row>
    <row r="440" spans="1:7" x14ac:dyDescent="0.3">
      <c r="A440" t="s">
        <v>2254</v>
      </c>
      <c r="B440" t="s">
        <v>2255</v>
      </c>
      <c r="C440" t="s">
        <v>2256</v>
      </c>
      <c r="D440">
        <v>0</v>
      </c>
      <c r="E440">
        <v>1</v>
      </c>
      <c r="F440" s="1">
        <v>45695</v>
      </c>
      <c r="G440">
        <f>_xlfn.XLOOKUP(F440,'Wk no''s'!B:B,'Wk no''s'!C:C,0)</f>
        <v>6</v>
      </c>
    </row>
    <row r="441" spans="1:7" x14ac:dyDescent="0.3">
      <c r="A441" t="s">
        <v>2257</v>
      </c>
      <c r="B441" t="s">
        <v>2258</v>
      </c>
      <c r="C441" t="s">
        <v>2259</v>
      </c>
      <c r="D441">
        <v>0</v>
      </c>
      <c r="E441">
        <v>1</v>
      </c>
      <c r="F441" s="1">
        <v>45698</v>
      </c>
      <c r="G441">
        <f>_xlfn.XLOOKUP(F441,'Wk no''s'!B:B,'Wk no''s'!C:C,0)</f>
        <v>7</v>
      </c>
    </row>
    <row r="442" spans="1:7" x14ac:dyDescent="0.3">
      <c r="A442" t="s">
        <v>2260</v>
      </c>
      <c r="B442" t="s">
        <v>2261</v>
      </c>
      <c r="C442" t="s">
        <v>1421</v>
      </c>
      <c r="D442">
        <v>2</v>
      </c>
      <c r="E442">
        <v>1</v>
      </c>
      <c r="F442" s="1">
        <v>45698</v>
      </c>
      <c r="G442">
        <f>_xlfn.XLOOKUP(F442,'Wk no''s'!B:B,'Wk no''s'!C:C,0)</f>
        <v>7</v>
      </c>
    </row>
    <row r="443" spans="1:7" x14ac:dyDescent="0.3">
      <c r="A443" t="s">
        <v>2262</v>
      </c>
      <c r="B443" t="s">
        <v>2263</v>
      </c>
      <c r="C443" t="s">
        <v>2264</v>
      </c>
      <c r="D443">
        <v>1</v>
      </c>
      <c r="E443">
        <v>1</v>
      </c>
      <c r="F443" s="1">
        <v>45698</v>
      </c>
      <c r="G443">
        <f>_xlfn.XLOOKUP(F443,'Wk no''s'!B:B,'Wk no''s'!C:C,0)</f>
        <v>7</v>
      </c>
    </row>
    <row r="444" spans="1:7" x14ac:dyDescent="0.3">
      <c r="A444" t="s">
        <v>2265</v>
      </c>
      <c r="B444" t="s">
        <v>2266</v>
      </c>
      <c r="C444" t="s">
        <v>2267</v>
      </c>
      <c r="D444">
        <v>17</v>
      </c>
      <c r="E444">
        <v>0</v>
      </c>
      <c r="F444" s="1">
        <v>45698</v>
      </c>
      <c r="G444">
        <f>_xlfn.XLOOKUP(F444,'Wk no''s'!B:B,'Wk no''s'!C:C,0)</f>
        <v>7</v>
      </c>
    </row>
    <row r="445" spans="1:7" x14ac:dyDescent="0.3">
      <c r="A445" t="s">
        <v>2268</v>
      </c>
      <c r="B445" t="s">
        <v>2269</v>
      </c>
      <c r="C445" t="s">
        <v>2270</v>
      </c>
      <c r="D445">
        <v>19</v>
      </c>
      <c r="E445">
        <v>0</v>
      </c>
      <c r="F445" s="1">
        <v>45698</v>
      </c>
      <c r="G445">
        <f>_xlfn.XLOOKUP(F445,'Wk no''s'!B:B,'Wk no''s'!C:C,0)</f>
        <v>7</v>
      </c>
    </row>
    <row r="446" spans="1:7" x14ac:dyDescent="0.3">
      <c r="A446" t="s">
        <v>2271</v>
      </c>
      <c r="B446" t="s">
        <v>2272</v>
      </c>
      <c r="C446" t="s">
        <v>2273</v>
      </c>
      <c r="D446">
        <v>24</v>
      </c>
      <c r="E446">
        <v>0</v>
      </c>
      <c r="F446" s="1">
        <v>45698</v>
      </c>
      <c r="G446">
        <f>_xlfn.XLOOKUP(F446,'Wk no''s'!B:B,'Wk no''s'!C:C,0)</f>
        <v>7</v>
      </c>
    </row>
    <row r="447" spans="1:7" x14ac:dyDescent="0.3">
      <c r="A447" t="s">
        <v>2274</v>
      </c>
      <c r="B447" t="s">
        <v>2275</v>
      </c>
      <c r="C447" t="s">
        <v>2276</v>
      </c>
      <c r="D447">
        <v>0</v>
      </c>
      <c r="E447">
        <v>1</v>
      </c>
      <c r="F447" s="1">
        <v>45698</v>
      </c>
      <c r="G447">
        <f>_xlfn.XLOOKUP(F447,'Wk no''s'!B:B,'Wk no''s'!C:C,0)</f>
        <v>7</v>
      </c>
    </row>
    <row r="448" spans="1:7" x14ac:dyDescent="0.3">
      <c r="A448" t="s">
        <v>2277</v>
      </c>
      <c r="B448" t="s">
        <v>2278</v>
      </c>
      <c r="C448" t="s">
        <v>2279</v>
      </c>
      <c r="D448">
        <v>70</v>
      </c>
      <c r="E448">
        <v>0</v>
      </c>
      <c r="F448" s="1">
        <v>45698</v>
      </c>
      <c r="G448">
        <f>_xlfn.XLOOKUP(F448,'Wk no''s'!B:B,'Wk no''s'!C:C,0)</f>
        <v>7</v>
      </c>
    </row>
    <row r="449" spans="1:7" x14ac:dyDescent="0.3">
      <c r="A449" t="s">
        <v>2280</v>
      </c>
      <c r="B449" t="s">
        <v>2281</v>
      </c>
      <c r="C449" t="s">
        <v>2279</v>
      </c>
      <c r="D449">
        <v>0</v>
      </c>
      <c r="E449">
        <v>1</v>
      </c>
      <c r="F449" s="1">
        <v>45698</v>
      </c>
      <c r="G449">
        <f>_xlfn.XLOOKUP(F449,'Wk no''s'!B:B,'Wk no''s'!C:C,0)</f>
        <v>7</v>
      </c>
    </row>
    <row r="450" spans="1:7" x14ac:dyDescent="0.3">
      <c r="A450" t="s">
        <v>2282</v>
      </c>
      <c r="B450" t="s">
        <v>2283</v>
      </c>
      <c r="C450" t="s">
        <v>1218</v>
      </c>
      <c r="D450">
        <v>1</v>
      </c>
      <c r="E450">
        <v>1</v>
      </c>
      <c r="F450" s="1">
        <v>45698</v>
      </c>
      <c r="G450">
        <f>_xlfn.XLOOKUP(F450,'Wk no''s'!B:B,'Wk no''s'!C:C,0)</f>
        <v>7</v>
      </c>
    </row>
    <row r="451" spans="1:7" x14ac:dyDescent="0.3">
      <c r="A451" t="s">
        <v>2284</v>
      </c>
      <c r="B451" t="s">
        <v>2285</v>
      </c>
      <c r="C451" t="s">
        <v>147</v>
      </c>
      <c r="D451">
        <v>11</v>
      </c>
      <c r="E451">
        <v>0</v>
      </c>
      <c r="F451" s="1">
        <v>45698</v>
      </c>
      <c r="G451">
        <f>_xlfn.XLOOKUP(F451,'Wk no''s'!B:B,'Wk no''s'!C:C,0)</f>
        <v>7</v>
      </c>
    </row>
    <row r="452" spans="1:7" x14ac:dyDescent="0.3">
      <c r="A452" t="s">
        <v>2286</v>
      </c>
      <c r="B452" t="s">
        <v>2287</v>
      </c>
      <c r="C452" t="s">
        <v>2288</v>
      </c>
      <c r="D452">
        <v>0</v>
      </c>
      <c r="E452">
        <v>1</v>
      </c>
      <c r="F452" s="1">
        <v>45698</v>
      </c>
      <c r="G452">
        <f>_xlfn.XLOOKUP(F452,'Wk no''s'!B:B,'Wk no''s'!C:C,0)</f>
        <v>7</v>
      </c>
    </row>
    <row r="453" spans="1:7" x14ac:dyDescent="0.3">
      <c r="A453" t="s">
        <v>2289</v>
      </c>
      <c r="B453" t="s">
        <v>2290</v>
      </c>
      <c r="C453" t="s">
        <v>2291</v>
      </c>
      <c r="D453">
        <v>0</v>
      </c>
      <c r="E453">
        <v>1</v>
      </c>
      <c r="F453" s="1">
        <v>45698</v>
      </c>
      <c r="G453">
        <f>_xlfn.XLOOKUP(F453,'Wk no''s'!B:B,'Wk no''s'!C:C,0)</f>
        <v>7</v>
      </c>
    </row>
    <row r="454" spans="1:7" x14ac:dyDescent="0.3">
      <c r="A454" t="s">
        <v>2292</v>
      </c>
      <c r="B454" t="s">
        <v>2293</v>
      </c>
      <c r="C454" t="s">
        <v>2294</v>
      </c>
      <c r="D454">
        <v>0</v>
      </c>
      <c r="E454">
        <v>1</v>
      </c>
      <c r="F454" s="1">
        <v>45699</v>
      </c>
      <c r="G454">
        <f>_xlfn.XLOOKUP(F454,'Wk no''s'!B:B,'Wk no''s'!C:C,0)</f>
        <v>7</v>
      </c>
    </row>
    <row r="455" spans="1:7" x14ac:dyDescent="0.3">
      <c r="A455" t="s">
        <v>2295</v>
      </c>
      <c r="B455" t="s">
        <v>2296</v>
      </c>
      <c r="C455" t="s">
        <v>29</v>
      </c>
      <c r="D455">
        <v>6</v>
      </c>
      <c r="E455">
        <v>0</v>
      </c>
      <c r="F455" s="1">
        <v>45699</v>
      </c>
      <c r="G455">
        <f>_xlfn.XLOOKUP(F455,'Wk no''s'!B:B,'Wk no''s'!C:C,0)</f>
        <v>7</v>
      </c>
    </row>
    <row r="456" spans="1:7" x14ac:dyDescent="0.3">
      <c r="A456" t="s">
        <v>2297</v>
      </c>
      <c r="B456" t="s">
        <v>2298</v>
      </c>
      <c r="C456" t="s">
        <v>1243</v>
      </c>
      <c r="D456">
        <v>0</v>
      </c>
      <c r="E456">
        <v>1</v>
      </c>
      <c r="F456" s="1">
        <v>45699</v>
      </c>
      <c r="G456">
        <f>_xlfn.XLOOKUP(F456,'Wk no''s'!B:B,'Wk no''s'!C:C,0)</f>
        <v>7</v>
      </c>
    </row>
    <row r="457" spans="1:7" x14ac:dyDescent="0.3">
      <c r="A457" t="s">
        <v>2299</v>
      </c>
      <c r="B457" t="s">
        <v>2300</v>
      </c>
      <c r="C457" t="s">
        <v>696</v>
      </c>
      <c r="D457">
        <v>0</v>
      </c>
      <c r="E457">
        <v>1</v>
      </c>
      <c r="F457" s="1">
        <v>45699</v>
      </c>
      <c r="G457">
        <f>_xlfn.XLOOKUP(F457,'Wk no''s'!B:B,'Wk no''s'!C:C,0)</f>
        <v>7</v>
      </c>
    </row>
    <row r="458" spans="1:7" x14ac:dyDescent="0.3">
      <c r="A458" t="s">
        <v>2301</v>
      </c>
      <c r="B458" t="s">
        <v>2300</v>
      </c>
      <c r="C458" t="s">
        <v>696</v>
      </c>
      <c r="D458">
        <v>0</v>
      </c>
      <c r="E458">
        <v>1</v>
      </c>
      <c r="F458" s="1">
        <v>45699</v>
      </c>
      <c r="G458">
        <f>_xlfn.XLOOKUP(F458,'Wk no''s'!B:B,'Wk no''s'!C:C,0)</f>
        <v>7</v>
      </c>
    </row>
    <row r="459" spans="1:7" x14ac:dyDescent="0.3">
      <c r="A459" t="s">
        <v>2302</v>
      </c>
      <c r="B459" t="s">
        <v>2300</v>
      </c>
      <c r="C459" t="s">
        <v>696</v>
      </c>
      <c r="D459">
        <v>0</v>
      </c>
      <c r="E459">
        <v>1</v>
      </c>
      <c r="F459" s="1">
        <v>45699</v>
      </c>
      <c r="G459">
        <f>_xlfn.XLOOKUP(F459,'Wk no''s'!B:B,'Wk no''s'!C:C,0)</f>
        <v>7</v>
      </c>
    </row>
    <row r="460" spans="1:7" x14ac:dyDescent="0.3">
      <c r="A460" t="s">
        <v>2303</v>
      </c>
      <c r="B460" t="s">
        <v>2300</v>
      </c>
      <c r="C460" t="s">
        <v>696</v>
      </c>
      <c r="D460">
        <v>0</v>
      </c>
      <c r="E460">
        <v>1</v>
      </c>
      <c r="F460" s="1">
        <v>45699</v>
      </c>
      <c r="G460">
        <f>_xlfn.XLOOKUP(F460,'Wk no''s'!B:B,'Wk no''s'!C:C,0)</f>
        <v>7</v>
      </c>
    </row>
    <row r="461" spans="1:7" x14ac:dyDescent="0.3">
      <c r="A461" t="s">
        <v>2304</v>
      </c>
      <c r="B461" t="s">
        <v>2305</v>
      </c>
      <c r="C461" t="s">
        <v>2306</v>
      </c>
      <c r="D461">
        <v>0</v>
      </c>
      <c r="E461">
        <v>1</v>
      </c>
      <c r="F461" s="1">
        <v>45699</v>
      </c>
      <c r="G461">
        <f>_xlfn.XLOOKUP(F461,'Wk no''s'!B:B,'Wk no''s'!C:C,0)</f>
        <v>7</v>
      </c>
    </row>
    <row r="462" spans="1:7" x14ac:dyDescent="0.3">
      <c r="A462" t="s">
        <v>2307</v>
      </c>
      <c r="B462" t="s">
        <v>2308</v>
      </c>
      <c r="C462" t="s">
        <v>2309</v>
      </c>
      <c r="D462">
        <v>1</v>
      </c>
      <c r="E462">
        <v>1</v>
      </c>
      <c r="F462" s="1">
        <v>45699</v>
      </c>
      <c r="G462">
        <f>_xlfn.XLOOKUP(F462,'Wk no''s'!B:B,'Wk no''s'!C:C,0)</f>
        <v>7</v>
      </c>
    </row>
    <row r="463" spans="1:7" x14ac:dyDescent="0.3">
      <c r="A463" t="s">
        <v>2310</v>
      </c>
      <c r="B463" t="s">
        <v>2311</v>
      </c>
      <c r="C463" t="s">
        <v>2147</v>
      </c>
      <c r="D463">
        <v>0</v>
      </c>
      <c r="E463">
        <v>1</v>
      </c>
      <c r="F463" s="1">
        <v>45699</v>
      </c>
      <c r="G463">
        <f>_xlfn.XLOOKUP(F463,'Wk no''s'!B:B,'Wk no''s'!C:C,0)</f>
        <v>7</v>
      </c>
    </row>
    <row r="464" spans="1:7" x14ac:dyDescent="0.3">
      <c r="A464" t="s">
        <v>2312</v>
      </c>
      <c r="B464" t="s">
        <v>2313</v>
      </c>
      <c r="C464" t="s">
        <v>1194</v>
      </c>
      <c r="D464">
        <v>0</v>
      </c>
      <c r="E464">
        <v>1</v>
      </c>
      <c r="F464" s="1">
        <v>45699</v>
      </c>
      <c r="G464">
        <f>_xlfn.XLOOKUP(F464,'Wk no''s'!B:B,'Wk no''s'!C:C,0)</f>
        <v>7</v>
      </c>
    </row>
    <row r="465" spans="1:7" x14ac:dyDescent="0.3">
      <c r="A465" t="s">
        <v>2314</v>
      </c>
      <c r="B465" t="s">
        <v>2315</v>
      </c>
      <c r="C465" t="s">
        <v>75</v>
      </c>
      <c r="D465">
        <v>0</v>
      </c>
      <c r="E465">
        <v>1</v>
      </c>
      <c r="F465" s="1">
        <v>45699</v>
      </c>
      <c r="G465">
        <f>_xlfn.XLOOKUP(F465,'Wk no''s'!B:B,'Wk no''s'!C:C,0)</f>
        <v>7</v>
      </c>
    </row>
    <row r="466" spans="1:7" x14ac:dyDescent="0.3">
      <c r="A466" t="s">
        <v>2316</v>
      </c>
      <c r="B466" t="s">
        <v>2317</v>
      </c>
      <c r="C466" t="s">
        <v>2318</v>
      </c>
      <c r="D466">
        <v>0</v>
      </c>
      <c r="E466">
        <v>1</v>
      </c>
      <c r="F466" s="1">
        <v>45700</v>
      </c>
      <c r="G466">
        <f>_xlfn.XLOOKUP(F466,'Wk no''s'!B:B,'Wk no''s'!C:C,0)</f>
        <v>7</v>
      </c>
    </row>
    <row r="467" spans="1:7" x14ac:dyDescent="0.3">
      <c r="A467" t="s">
        <v>2319</v>
      </c>
      <c r="B467" t="s">
        <v>2320</v>
      </c>
      <c r="C467" t="s">
        <v>33</v>
      </c>
      <c r="D467">
        <v>19</v>
      </c>
      <c r="E467">
        <v>0</v>
      </c>
      <c r="F467" s="1">
        <v>45700</v>
      </c>
      <c r="G467">
        <f>_xlfn.XLOOKUP(F467,'Wk no''s'!B:B,'Wk no''s'!C:C,0)</f>
        <v>7</v>
      </c>
    </row>
    <row r="468" spans="1:7" x14ac:dyDescent="0.3">
      <c r="A468" t="s">
        <v>2321</v>
      </c>
      <c r="B468" t="s">
        <v>2322</v>
      </c>
      <c r="C468" t="s">
        <v>362</v>
      </c>
      <c r="D468">
        <v>5</v>
      </c>
      <c r="E468">
        <v>1</v>
      </c>
      <c r="F468" s="1">
        <v>45700</v>
      </c>
      <c r="G468">
        <f>_xlfn.XLOOKUP(F468,'Wk no''s'!B:B,'Wk no''s'!C:C,0)</f>
        <v>7</v>
      </c>
    </row>
    <row r="469" spans="1:7" x14ac:dyDescent="0.3">
      <c r="A469" t="s">
        <v>2323</v>
      </c>
      <c r="B469" t="s">
        <v>2324</v>
      </c>
      <c r="C469" t="s">
        <v>197</v>
      </c>
      <c r="D469">
        <v>0</v>
      </c>
      <c r="E469">
        <v>1</v>
      </c>
      <c r="F469" s="1">
        <v>45700</v>
      </c>
      <c r="G469">
        <f>_xlfn.XLOOKUP(F469,'Wk no''s'!B:B,'Wk no''s'!C:C,0)</f>
        <v>7</v>
      </c>
    </row>
    <row r="470" spans="1:7" x14ac:dyDescent="0.3">
      <c r="A470" t="s">
        <v>2325</v>
      </c>
      <c r="C470" t="s">
        <v>1084</v>
      </c>
      <c r="D470">
        <v>21</v>
      </c>
      <c r="E470">
        <v>0</v>
      </c>
      <c r="F470" s="1">
        <v>45701</v>
      </c>
      <c r="G470">
        <f>_xlfn.XLOOKUP(F470,'Wk no''s'!B:B,'Wk no''s'!C:C,0)</f>
        <v>7</v>
      </c>
    </row>
    <row r="471" spans="1:7" x14ac:dyDescent="0.3">
      <c r="A471" t="s">
        <v>2326</v>
      </c>
      <c r="C471" t="s">
        <v>2327</v>
      </c>
      <c r="D471">
        <v>0</v>
      </c>
      <c r="E471">
        <v>1</v>
      </c>
      <c r="F471" s="1">
        <v>45701</v>
      </c>
      <c r="G471">
        <f>_xlfn.XLOOKUP(F471,'Wk no''s'!B:B,'Wk no''s'!C:C,0)</f>
        <v>7</v>
      </c>
    </row>
    <row r="472" spans="1:7" x14ac:dyDescent="0.3">
      <c r="A472" t="s">
        <v>2328</v>
      </c>
      <c r="B472" t="s">
        <v>2329</v>
      </c>
      <c r="C472" t="s">
        <v>2330</v>
      </c>
      <c r="D472">
        <v>2</v>
      </c>
      <c r="E472">
        <v>1</v>
      </c>
      <c r="F472" s="1">
        <v>45701</v>
      </c>
      <c r="G472">
        <f>_xlfn.XLOOKUP(F472,'Wk no''s'!B:B,'Wk no''s'!C:C,0)</f>
        <v>7</v>
      </c>
    </row>
    <row r="473" spans="1:7" x14ac:dyDescent="0.3">
      <c r="A473" t="s">
        <v>2331</v>
      </c>
      <c r="C473" t="s">
        <v>2327</v>
      </c>
      <c r="D473">
        <v>0</v>
      </c>
      <c r="E473">
        <v>1</v>
      </c>
      <c r="F473" s="1">
        <v>45701</v>
      </c>
      <c r="G473">
        <f>_xlfn.XLOOKUP(F473,'Wk no''s'!B:B,'Wk no''s'!C:C,0)</f>
        <v>7</v>
      </c>
    </row>
    <row r="474" spans="1:7" x14ac:dyDescent="0.3">
      <c r="A474" t="s">
        <v>2332</v>
      </c>
      <c r="C474" t="s">
        <v>438</v>
      </c>
      <c r="D474">
        <v>0</v>
      </c>
      <c r="E474">
        <v>1</v>
      </c>
      <c r="F474" s="1">
        <v>45701</v>
      </c>
      <c r="G474">
        <f>_xlfn.XLOOKUP(F474,'Wk no''s'!B:B,'Wk no''s'!C:C,0)</f>
        <v>7</v>
      </c>
    </row>
    <row r="475" spans="1:7" x14ac:dyDescent="0.3">
      <c r="A475" t="s">
        <v>2333</v>
      </c>
      <c r="B475" t="s">
        <v>2334</v>
      </c>
      <c r="C475" t="s">
        <v>1327</v>
      </c>
      <c r="D475">
        <v>0</v>
      </c>
      <c r="E475">
        <v>1</v>
      </c>
      <c r="F475" s="1">
        <v>45701</v>
      </c>
      <c r="G475">
        <f>_xlfn.XLOOKUP(F475,'Wk no''s'!B:B,'Wk no''s'!C:C,0)</f>
        <v>7</v>
      </c>
    </row>
    <row r="476" spans="1:7" x14ac:dyDescent="0.3">
      <c r="A476" t="s">
        <v>2335</v>
      </c>
      <c r="B476" t="s">
        <v>2336</v>
      </c>
      <c r="C476" t="s">
        <v>576</v>
      </c>
      <c r="D476">
        <v>3</v>
      </c>
      <c r="E476">
        <v>1</v>
      </c>
      <c r="F476" s="1">
        <v>45701</v>
      </c>
      <c r="G476">
        <f>_xlfn.XLOOKUP(F476,'Wk no''s'!B:B,'Wk no''s'!C:C,0)</f>
        <v>7</v>
      </c>
    </row>
    <row r="477" spans="1:7" x14ac:dyDescent="0.3">
      <c r="A477" t="s">
        <v>2337</v>
      </c>
      <c r="B477" t="s">
        <v>2338</v>
      </c>
      <c r="C477" t="s">
        <v>1639</v>
      </c>
      <c r="D477">
        <v>0</v>
      </c>
      <c r="E477">
        <v>1</v>
      </c>
      <c r="F477" s="1">
        <v>45701</v>
      </c>
      <c r="G477">
        <f>_xlfn.XLOOKUP(F477,'Wk no''s'!B:B,'Wk no''s'!C:C,0)</f>
        <v>7</v>
      </c>
    </row>
    <row r="478" spans="1:7" x14ac:dyDescent="0.3">
      <c r="A478" t="s">
        <v>2339</v>
      </c>
      <c r="B478" t="s">
        <v>2340</v>
      </c>
      <c r="C478" t="s">
        <v>2341</v>
      </c>
      <c r="D478">
        <v>0</v>
      </c>
      <c r="E478">
        <v>1</v>
      </c>
      <c r="F478" s="1">
        <v>45701</v>
      </c>
      <c r="G478">
        <f>_xlfn.XLOOKUP(F478,'Wk no''s'!B:B,'Wk no''s'!C:C,0)</f>
        <v>7</v>
      </c>
    </row>
    <row r="479" spans="1:7" x14ac:dyDescent="0.3">
      <c r="A479" t="s">
        <v>2342</v>
      </c>
      <c r="B479" t="s">
        <v>2343</v>
      </c>
      <c r="C479" t="s">
        <v>2344</v>
      </c>
      <c r="D479">
        <v>0</v>
      </c>
      <c r="E479">
        <v>1</v>
      </c>
      <c r="F479" s="1">
        <v>45701</v>
      </c>
      <c r="G479">
        <f>_xlfn.XLOOKUP(F479,'Wk no''s'!B:B,'Wk no''s'!C:C,0)</f>
        <v>7</v>
      </c>
    </row>
    <row r="480" spans="1:7" x14ac:dyDescent="0.3">
      <c r="A480" t="s">
        <v>2345</v>
      </c>
      <c r="B480" t="s">
        <v>2346</v>
      </c>
      <c r="C480" t="s">
        <v>36</v>
      </c>
      <c r="D480">
        <v>0</v>
      </c>
      <c r="E480">
        <v>1</v>
      </c>
      <c r="F480" s="1">
        <v>45701</v>
      </c>
      <c r="G480">
        <f>_xlfn.XLOOKUP(F480,'Wk no''s'!B:B,'Wk no''s'!C:C,0)</f>
        <v>7</v>
      </c>
    </row>
    <row r="481" spans="1:7" x14ac:dyDescent="0.3">
      <c r="A481" t="s">
        <v>2347</v>
      </c>
      <c r="B481" t="s">
        <v>2348</v>
      </c>
      <c r="C481" t="s">
        <v>1995</v>
      </c>
      <c r="D481">
        <v>1</v>
      </c>
      <c r="E481">
        <v>1</v>
      </c>
      <c r="F481" s="1">
        <v>45701</v>
      </c>
      <c r="G481">
        <f>_xlfn.XLOOKUP(F481,'Wk no''s'!B:B,'Wk no''s'!C:C,0)</f>
        <v>7</v>
      </c>
    </row>
    <row r="482" spans="1:7" x14ac:dyDescent="0.3">
      <c r="A482" t="s">
        <v>2349</v>
      </c>
      <c r="B482" t="s">
        <v>2350</v>
      </c>
      <c r="C482" t="s">
        <v>725</v>
      </c>
      <c r="D482">
        <v>0</v>
      </c>
      <c r="E482">
        <v>1</v>
      </c>
      <c r="F482" s="1">
        <v>45701</v>
      </c>
      <c r="G482">
        <f>_xlfn.XLOOKUP(F482,'Wk no''s'!B:B,'Wk no''s'!C:C,0)</f>
        <v>7</v>
      </c>
    </row>
    <row r="483" spans="1:7" x14ac:dyDescent="0.3">
      <c r="A483" t="s">
        <v>2351</v>
      </c>
      <c r="B483" t="s">
        <v>2352</v>
      </c>
      <c r="C483" t="s">
        <v>1269</v>
      </c>
      <c r="D483">
        <v>2</v>
      </c>
      <c r="E483">
        <v>1</v>
      </c>
      <c r="F483" s="1">
        <v>45702</v>
      </c>
      <c r="G483">
        <f>_xlfn.XLOOKUP(F483,'Wk no''s'!B:B,'Wk no''s'!C:C,0)</f>
        <v>7</v>
      </c>
    </row>
    <row r="484" spans="1:7" x14ac:dyDescent="0.3">
      <c r="A484" t="s">
        <v>2353</v>
      </c>
      <c r="B484" t="s">
        <v>2354</v>
      </c>
      <c r="C484" t="s">
        <v>2355</v>
      </c>
      <c r="D484">
        <v>0</v>
      </c>
      <c r="E484">
        <v>1</v>
      </c>
      <c r="F484" s="1">
        <v>45702</v>
      </c>
      <c r="G484">
        <f>_xlfn.XLOOKUP(F484,'Wk no''s'!B:B,'Wk no''s'!C:C,0)</f>
        <v>7</v>
      </c>
    </row>
    <row r="485" spans="1:7" x14ac:dyDescent="0.3">
      <c r="A485" t="s">
        <v>2356</v>
      </c>
      <c r="B485" t="s">
        <v>2357</v>
      </c>
      <c r="C485" t="s">
        <v>113</v>
      </c>
      <c r="D485">
        <v>0</v>
      </c>
      <c r="E485">
        <v>1</v>
      </c>
      <c r="F485" s="1">
        <v>45702</v>
      </c>
      <c r="G485">
        <f>_xlfn.XLOOKUP(F485,'Wk no''s'!B:B,'Wk no''s'!C:C,0)</f>
        <v>7</v>
      </c>
    </row>
    <row r="486" spans="1:7" x14ac:dyDescent="0.3">
      <c r="A486" t="s">
        <v>2358</v>
      </c>
      <c r="B486" t="s">
        <v>2359</v>
      </c>
      <c r="C486" t="s">
        <v>2360</v>
      </c>
      <c r="D486">
        <v>0</v>
      </c>
      <c r="E486">
        <v>1</v>
      </c>
      <c r="F486" s="1">
        <v>45702</v>
      </c>
      <c r="G486">
        <f>_xlfn.XLOOKUP(F486,'Wk no''s'!B:B,'Wk no''s'!C:C,0)</f>
        <v>7</v>
      </c>
    </row>
    <row r="487" spans="1:7" x14ac:dyDescent="0.3">
      <c r="A487" t="s">
        <v>2361</v>
      </c>
      <c r="B487" t="s">
        <v>2362</v>
      </c>
      <c r="C487" t="s">
        <v>1298</v>
      </c>
      <c r="D487">
        <v>11</v>
      </c>
      <c r="E487">
        <v>0</v>
      </c>
      <c r="F487" s="1">
        <v>45702</v>
      </c>
      <c r="G487">
        <f>_xlfn.XLOOKUP(F487,'Wk no''s'!B:B,'Wk no''s'!C:C,0)</f>
        <v>7</v>
      </c>
    </row>
    <row r="488" spans="1:7" x14ac:dyDescent="0.3">
      <c r="A488" t="s">
        <v>2363</v>
      </c>
      <c r="B488" t="s">
        <v>2364</v>
      </c>
      <c r="C488" t="s">
        <v>36</v>
      </c>
      <c r="D488">
        <v>0</v>
      </c>
      <c r="E488">
        <v>1</v>
      </c>
      <c r="F488" s="1">
        <v>45702</v>
      </c>
      <c r="G488">
        <f>_xlfn.XLOOKUP(F488,'Wk no''s'!B:B,'Wk no''s'!C:C,0)</f>
        <v>7</v>
      </c>
    </row>
    <row r="489" spans="1:7" x14ac:dyDescent="0.3">
      <c r="A489" t="s">
        <v>2365</v>
      </c>
      <c r="C489" t="s">
        <v>2327</v>
      </c>
      <c r="D489">
        <v>0</v>
      </c>
      <c r="E489">
        <v>1</v>
      </c>
      <c r="F489" s="1">
        <v>45702</v>
      </c>
      <c r="G489">
        <f>_xlfn.XLOOKUP(F489,'Wk no''s'!B:B,'Wk no''s'!C:C,0)</f>
        <v>7</v>
      </c>
    </row>
    <row r="490" spans="1:7" x14ac:dyDescent="0.3">
      <c r="A490" t="s">
        <v>2366</v>
      </c>
      <c r="B490" t="s">
        <v>2367</v>
      </c>
      <c r="C490" t="s">
        <v>2368</v>
      </c>
      <c r="D490">
        <v>0</v>
      </c>
      <c r="E490">
        <v>1</v>
      </c>
      <c r="F490" s="1">
        <v>45702</v>
      </c>
      <c r="G490">
        <f>_xlfn.XLOOKUP(F490,'Wk no''s'!B:B,'Wk no''s'!C:C,0)</f>
        <v>7</v>
      </c>
    </row>
    <row r="491" spans="1:7" x14ac:dyDescent="0.3">
      <c r="A491" t="s">
        <v>2369</v>
      </c>
      <c r="B491" t="s">
        <v>2370</v>
      </c>
      <c r="C491" t="s">
        <v>2371</v>
      </c>
      <c r="D491">
        <v>0</v>
      </c>
      <c r="E491">
        <v>1</v>
      </c>
      <c r="F491" s="1">
        <v>45702</v>
      </c>
      <c r="G491">
        <f>_xlfn.XLOOKUP(F491,'Wk no''s'!B:B,'Wk no''s'!C:C,0)</f>
        <v>7</v>
      </c>
    </row>
    <row r="492" spans="1:7" x14ac:dyDescent="0.3">
      <c r="A492" t="s">
        <v>2372</v>
      </c>
      <c r="B492" t="s">
        <v>2373</v>
      </c>
      <c r="C492" t="s">
        <v>64</v>
      </c>
      <c r="D492">
        <v>7</v>
      </c>
      <c r="E492">
        <v>0</v>
      </c>
      <c r="F492" s="1">
        <v>45705</v>
      </c>
      <c r="G492">
        <f>_xlfn.XLOOKUP(F492,'Wk no''s'!B:B,'Wk no''s'!C:C,0)</f>
        <v>8</v>
      </c>
    </row>
    <row r="493" spans="1:7" x14ac:dyDescent="0.3">
      <c r="A493" t="s">
        <v>2374</v>
      </c>
      <c r="B493" t="s">
        <v>2375</v>
      </c>
      <c r="C493" t="s">
        <v>2376</v>
      </c>
      <c r="D493">
        <v>0</v>
      </c>
      <c r="E493">
        <v>1</v>
      </c>
      <c r="F493" s="1">
        <v>45705</v>
      </c>
      <c r="G493">
        <f>_xlfn.XLOOKUP(F493,'Wk no''s'!B:B,'Wk no''s'!C:C,0)</f>
        <v>8</v>
      </c>
    </row>
    <row r="494" spans="1:7" x14ac:dyDescent="0.3">
      <c r="A494" t="s">
        <v>2377</v>
      </c>
      <c r="B494" t="s">
        <v>2378</v>
      </c>
      <c r="C494" t="s">
        <v>197</v>
      </c>
      <c r="D494">
        <v>0</v>
      </c>
      <c r="E494">
        <v>1</v>
      </c>
      <c r="F494" s="1">
        <v>45705</v>
      </c>
      <c r="G494">
        <f>_xlfn.XLOOKUP(F494,'Wk no''s'!B:B,'Wk no''s'!C:C,0)</f>
        <v>8</v>
      </c>
    </row>
    <row r="495" spans="1:7" x14ac:dyDescent="0.3">
      <c r="A495" t="s">
        <v>2379</v>
      </c>
      <c r="B495" t="s">
        <v>2380</v>
      </c>
      <c r="C495" t="s">
        <v>2381</v>
      </c>
      <c r="D495">
        <v>0</v>
      </c>
      <c r="E495">
        <v>1</v>
      </c>
      <c r="F495" s="1">
        <v>45705</v>
      </c>
      <c r="G495">
        <f>_xlfn.XLOOKUP(F495,'Wk no''s'!B:B,'Wk no''s'!C:C,0)</f>
        <v>8</v>
      </c>
    </row>
    <row r="496" spans="1:7" x14ac:dyDescent="0.3">
      <c r="A496" t="s">
        <v>2382</v>
      </c>
      <c r="B496" t="s">
        <v>2383</v>
      </c>
      <c r="C496" t="s">
        <v>372</v>
      </c>
      <c r="D496">
        <v>0</v>
      </c>
      <c r="E496">
        <v>1</v>
      </c>
      <c r="F496" s="1">
        <v>45705</v>
      </c>
      <c r="G496">
        <f>_xlfn.XLOOKUP(F496,'Wk no''s'!B:B,'Wk no''s'!C:C,0)</f>
        <v>8</v>
      </c>
    </row>
    <row r="497" spans="1:7" x14ac:dyDescent="0.3">
      <c r="A497" t="s">
        <v>2384</v>
      </c>
      <c r="B497" t="s">
        <v>2385</v>
      </c>
      <c r="C497" t="s">
        <v>666</v>
      </c>
      <c r="D497">
        <v>0</v>
      </c>
      <c r="E497">
        <v>1</v>
      </c>
      <c r="F497" s="1">
        <v>45705</v>
      </c>
      <c r="G497">
        <f>_xlfn.XLOOKUP(F497,'Wk no''s'!B:B,'Wk no''s'!C:C,0)</f>
        <v>8</v>
      </c>
    </row>
    <row r="498" spans="1:7" x14ac:dyDescent="0.3">
      <c r="A498" t="s">
        <v>2386</v>
      </c>
      <c r="B498" t="s">
        <v>2387</v>
      </c>
      <c r="C498" t="s">
        <v>353</v>
      </c>
      <c r="D498">
        <v>0</v>
      </c>
      <c r="E498">
        <v>1</v>
      </c>
      <c r="F498" s="1">
        <v>45705</v>
      </c>
      <c r="G498">
        <f>_xlfn.XLOOKUP(F498,'Wk no''s'!B:B,'Wk no''s'!C:C,0)</f>
        <v>8</v>
      </c>
    </row>
    <row r="499" spans="1:7" x14ac:dyDescent="0.3">
      <c r="A499" t="s">
        <v>2388</v>
      </c>
      <c r="B499" t="s">
        <v>2389</v>
      </c>
      <c r="C499" t="s">
        <v>147</v>
      </c>
      <c r="D499">
        <v>26</v>
      </c>
      <c r="E499">
        <v>0</v>
      </c>
      <c r="F499" s="1">
        <v>45705</v>
      </c>
      <c r="G499">
        <f>_xlfn.XLOOKUP(F499,'Wk no''s'!B:B,'Wk no''s'!C:C,0)</f>
        <v>8</v>
      </c>
    </row>
    <row r="500" spans="1:7" x14ac:dyDescent="0.3">
      <c r="A500" t="s">
        <v>2390</v>
      </c>
      <c r="B500" t="s">
        <v>2391</v>
      </c>
      <c r="C500" t="s">
        <v>1706</v>
      </c>
      <c r="D500">
        <v>18</v>
      </c>
      <c r="E500">
        <v>0</v>
      </c>
      <c r="F500" s="1">
        <v>45706</v>
      </c>
      <c r="G500">
        <f>_xlfn.XLOOKUP(F500,'Wk no''s'!B:B,'Wk no''s'!C:C,0)</f>
        <v>8</v>
      </c>
    </row>
    <row r="501" spans="1:7" x14ac:dyDescent="0.3">
      <c r="A501" t="s">
        <v>2392</v>
      </c>
      <c r="B501" t="s">
        <v>2393</v>
      </c>
      <c r="C501" t="s">
        <v>29</v>
      </c>
      <c r="D501">
        <v>6</v>
      </c>
      <c r="E501">
        <v>0</v>
      </c>
      <c r="F501" s="1">
        <v>45706</v>
      </c>
      <c r="G501">
        <f>_xlfn.XLOOKUP(F501,'Wk no''s'!B:B,'Wk no''s'!C:C,0)</f>
        <v>8</v>
      </c>
    </row>
    <row r="502" spans="1:7" x14ac:dyDescent="0.3">
      <c r="A502" t="s">
        <v>2394</v>
      </c>
      <c r="B502" t="s">
        <v>2395</v>
      </c>
      <c r="C502" t="s">
        <v>308</v>
      </c>
      <c r="D502">
        <v>0</v>
      </c>
      <c r="E502">
        <v>1</v>
      </c>
      <c r="F502" s="1">
        <v>45706</v>
      </c>
      <c r="G502">
        <f>_xlfn.XLOOKUP(F502,'Wk no''s'!B:B,'Wk no''s'!C:C,0)</f>
        <v>8</v>
      </c>
    </row>
    <row r="503" spans="1:7" x14ac:dyDescent="0.3">
      <c r="A503" t="s">
        <v>2396</v>
      </c>
      <c r="B503" t="s">
        <v>2397</v>
      </c>
      <c r="C503" t="s">
        <v>353</v>
      </c>
      <c r="D503">
        <v>0</v>
      </c>
      <c r="E503">
        <v>1</v>
      </c>
      <c r="F503" s="1">
        <v>45706</v>
      </c>
      <c r="G503">
        <f>_xlfn.XLOOKUP(F503,'Wk no''s'!B:B,'Wk no''s'!C:C,0)</f>
        <v>8</v>
      </c>
    </row>
    <row r="504" spans="1:7" x14ac:dyDescent="0.3">
      <c r="A504" t="s">
        <v>2398</v>
      </c>
      <c r="B504" t="s">
        <v>2399</v>
      </c>
      <c r="C504" t="s">
        <v>29</v>
      </c>
      <c r="D504">
        <v>0</v>
      </c>
      <c r="E504">
        <v>1</v>
      </c>
      <c r="F504" s="1">
        <v>45706</v>
      </c>
      <c r="G504">
        <f>_xlfn.XLOOKUP(F504,'Wk no''s'!B:B,'Wk no''s'!C:C,0)</f>
        <v>8</v>
      </c>
    </row>
    <row r="505" spans="1:7" x14ac:dyDescent="0.3">
      <c r="A505" t="s">
        <v>2400</v>
      </c>
      <c r="B505" t="s">
        <v>2401</v>
      </c>
      <c r="C505" t="s">
        <v>4127</v>
      </c>
      <c r="D505">
        <v>0</v>
      </c>
      <c r="E505">
        <v>1</v>
      </c>
      <c r="F505" s="1">
        <v>45706</v>
      </c>
      <c r="G505">
        <f>_xlfn.XLOOKUP(F505,'Wk no''s'!B:B,'Wk no''s'!C:C,0)</f>
        <v>8</v>
      </c>
    </row>
    <row r="506" spans="1:7" x14ac:dyDescent="0.3">
      <c r="A506" t="s">
        <v>2402</v>
      </c>
      <c r="B506" t="s">
        <v>2403</v>
      </c>
      <c r="C506" t="s">
        <v>1322</v>
      </c>
      <c r="D506">
        <v>0</v>
      </c>
      <c r="E506">
        <v>1</v>
      </c>
      <c r="F506" s="1">
        <v>45706</v>
      </c>
      <c r="G506">
        <f>_xlfn.XLOOKUP(F506,'Wk no''s'!B:B,'Wk no''s'!C:C,0)</f>
        <v>8</v>
      </c>
    </row>
    <row r="507" spans="1:7" x14ac:dyDescent="0.3">
      <c r="A507" t="s">
        <v>2404</v>
      </c>
      <c r="B507" t="s">
        <v>2405</v>
      </c>
      <c r="C507" t="s">
        <v>2406</v>
      </c>
      <c r="D507">
        <v>2</v>
      </c>
      <c r="E507">
        <v>1</v>
      </c>
      <c r="F507" s="1">
        <v>45706</v>
      </c>
      <c r="G507">
        <f>_xlfn.XLOOKUP(F507,'Wk no''s'!B:B,'Wk no''s'!C:C,0)</f>
        <v>8</v>
      </c>
    </row>
    <row r="508" spans="1:7" x14ac:dyDescent="0.3">
      <c r="A508" t="s">
        <v>2407</v>
      </c>
      <c r="B508" t="s">
        <v>2408</v>
      </c>
      <c r="C508" t="s">
        <v>30</v>
      </c>
      <c r="D508">
        <v>8</v>
      </c>
      <c r="E508">
        <v>0</v>
      </c>
      <c r="F508" s="1">
        <v>45707</v>
      </c>
      <c r="G508">
        <f>_xlfn.XLOOKUP(F508,'Wk no''s'!B:B,'Wk no''s'!C:C,0)</f>
        <v>8</v>
      </c>
    </row>
    <row r="509" spans="1:7" x14ac:dyDescent="0.3">
      <c r="A509" t="s">
        <v>2409</v>
      </c>
      <c r="B509" t="s">
        <v>2410</v>
      </c>
      <c r="C509" t="s">
        <v>33</v>
      </c>
      <c r="D509">
        <v>11</v>
      </c>
      <c r="E509">
        <v>0</v>
      </c>
      <c r="F509" s="1">
        <v>45707</v>
      </c>
      <c r="G509">
        <f>_xlfn.XLOOKUP(F509,'Wk no''s'!B:B,'Wk no''s'!C:C,0)</f>
        <v>8</v>
      </c>
    </row>
    <row r="510" spans="1:7" x14ac:dyDescent="0.3">
      <c r="A510" t="s">
        <v>2411</v>
      </c>
      <c r="B510" t="s">
        <v>2412</v>
      </c>
      <c r="C510" t="s">
        <v>33</v>
      </c>
      <c r="D510">
        <v>1</v>
      </c>
      <c r="E510">
        <v>1</v>
      </c>
      <c r="F510" s="1">
        <v>45707</v>
      </c>
      <c r="G510">
        <f>_xlfn.XLOOKUP(F510,'Wk no''s'!B:B,'Wk no''s'!C:C,0)</f>
        <v>8</v>
      </c>
    </row>
    <row r="511" spans="1:7" x14ac:dyDescent="0.3">
      <c r="A511" t="s">
        <v>2413</v>
      </c>
      <c r="B511" t="s">
        <v>2414</v>
      </c>
      <c r="C511" t="s">
        <v>33</v>
      </c>
      <c r="D511">
        <v>25</v>
      </c>
      <c r="E511">
        <v>0</v>
      </c>
      <c r="F511" s="1">
        <v>45707</v>
      </c>
      <c r="G511">
        <f>_xlfn.XLOOKUP(F511,'Wk no''s'!B:B,'Wk no''s'!C:C,0)</f>
        <v>8</v>
      </c>
    </row>
    <row r="512" spans="1:7" x14ac:dyDescent="0.3">
      <c r="A512" t="s">
        <v>2415</v>
      </c>
      <c r="B512" t="s">
        <v>2416</v>
      </c>
      <c r="C512" t="s">
        <v>473</v>
      </c>
      <c r="D512">
        <v>0</v>
      </c>
      <c r="E512">
        <v>1</v>
      </c>
      <c r="F512" s="1">
        <v>45707</v>
      </c>
      <c r="G512">
        <f>_xlfn.XLOOKUP(F512,'Wk no''s'!B:B,'Wk no''s'!C:C,0)</f>
        <v>8</v>
      </c>
    </row>
    <row r="513" spans="1:7" x14ac:dyDescent="0.3">
      <c r="A513" t="s">
        <v>2417</v>
      </c>
      <c r="B513" t="s">
        <v>2418</v>
      </c>
      <c r="C513" t="s">
        <v>366</v>
      </c>
      <c r="D513">
        <v>0</v>
      </c>
      <c r="E513">
        <v>1</v>
      </c>
      <c r="F513" s="1">
        <v>45708</v>
      </c>
      <c r="G513">
        <f>_xlfn.XLOOKUP(F513,'Wk no''s'!B:B,'Wk no''s'!C:C,0)</f>
        <v>8</v>
      </c>
    </row>
    <row r="514" spans="1:7" x14ac:dyDescent="0.3">
      <c r="A514" t="s">
        <v>2419</v>
      </c>
      <c r="B514" t="s">
        <v>2420</v>
      </c>
      <c r="C514" t="s">
        <v>2421</v>
      </c>
      <c r="D514">
        <v>1</v>
      </c>
      <c r="E514">
        <v>1</v>
      </c>
      <c r="F514" s="1">
        <v>45708</v>
      </c>
      <c r="G514">
        <f>_xlfn.XLOOKUP(F514,'Wk no''s'!B:B,'Wk no''s'!C:C,0)</f>
        <v>8</v>
      </c>
    </row>
    <row r="515" spans="1:7" x14ac:dyDescent="0.3">
      <c r="A515" t="s">
        <v>2422</v>
      </c>
      <c r="B515" t="s">
        <v>2423</v>
      </c>
      <c r="C515" t="s">
        <v>509</v>
      </c>
      <c r="D515">
        <v>0</v>
      </c>
      <c r="E515">
        <v>1</v>
      </c>
      <c r="F515" s="1">
        <v>45708</v>
      </c>
      <c r="G515">
        <f>_xlfn.XLOOKUP(F515,'Wk no''s'!B:B,'Wk no''s'!C:C,0)</f>
        <v>8</v>
      </c>
    </row>
    <row r="516" spans="1:7" x14ac:dyDescent="0.3">
      <c r="A516" t="s">
        <v>2424</v>
      </c>
      <c r="B516" t="s">
        <v>2425</v>
      </c>
      <c r="C516" t="s">
        <v>2426</v>
      </c>
      <c r="D516">
        <v>17</v>
      </c>
      <c r="E516">
        <v>0</v>
      </c>
      <c r="F516" s="1">
        <v>45708</v>
      </c>
      <c r="G516">
        <f>_xlfn.XLOOKUP(F516,'Wk no''s'!B:B,'Wk no''s'!C:C,0)</f>
        <v>8</v>
      </c>
    </row>
    <row r="517" spans="1:7" x14ac:dyDescent="0.3">
      <c r="A517" t="s">
        <v>2427</v>
      </c>
      <c r="B517" t="s">
        <v>2428</v>
      </c>
      <c r="C517" t="s">
        <v>2429</v>
      </c>
      <c r="D517">
        <v>66</v>
      </c>
      <c r="E517">
        <v>0</v>
      </c>
      <c r="F517" s="1">
        <v>45708</v>
      </c>
      <c r="G517">
        <f>_xlfn.XLOOKUP(F517,'Wk no''s'!B:B,'Wk no''s'!C:C,0)</f>
        <v>8</v>
      </c>
    </row>
    <row r="518" spans="1:7" x14ac:dyDescent="0.3">
      <c r="A518" t="s">
        <v>2430</v>
      </c>
      <c r="B518" t="s">
        <v>2431</v>
      </c>
      <c r="C518" t="s">
        <v>2432</v>
      </c>
      <c r="D518">
        <v>0</v>
      </c>
      <c r="E518">
        <v>1</v>
      </c>
      <c r="F518" s="1">
        <v>45708</v>
      </c>
      <c r="G518">
        <f>_xlfn.XLOOKUP(F518,'Wk no''s'!B:B,'Wk no''s'!C:C,0)</f>
        <v>8</v>
      </c>
    </row>
    <row r="519" spans="1:7" x14ac:dyDescent="0.3">
      <c r="A519" t="s">
        <v>2433</v>
      </c>
      <c r="B519" t="s">
        <v>2434</v>
      </c>
      <c r="C519" t="s">
        <v>254</v>
      </c>
      <c r="D519">
        <v>1</v>
      </c>
      <c r="E519">
        <v>1</v>
      </c>
      <c r="F519" s="1">
        <v>45708</v>
      </c>
      <c r="G519">
        <f>_xlfn.XLOOKUP(F519,'Wk no''s'!B:B,'Wk no''s'!C:C,0)</f>
        <v>8</v>
      </c>
    </row>
    <row r="520" spans="1:7" x14ac:dyDescent="0.3">
      <c r="A520" t="s">
        <v>2435</v>
      </c>
      <c r="B520" t="s">
        <v>2436</v>
      </c>
      <c r="C520" t="s">
        <v>2291</v>
      </c>
      <c r="D520">
        <v>0</v>
      </c>
      <c r="E520">
        <v>1</v>
      </c>
      <c r="F520" s="1">
        <v>45708</v>
      </c>
      <c r="G520">
        <f>_xlfn.XLOOKUP(F520,'Wk no''s'!B:B,'Wk no''s'!C:C,0)</f>
        <v>8</v>
      </c>
    </row>
    <row r="521" spans="1:7" x14ac:dyDescent="0.3">
      <c r="A521" t="s">
        <v>2437</v>
      </c>
      <c r="B521" t="s">
        <v>2438</v>
      </c>
      <c r="C521" t="s">
        <v>1728</v>
      </c>
      <c r="D521">
        <v>0</v>
      </c>
      <c r="E521">
        <v>1</v>
      </c>
      <c r="F521" s="1">
        <v>45708</v>
      </c>
      <c r="G521">
        <f>_xlfn.XLOOKUP(F521,'Wk no''s'!B:B,'Wk no''s'!C:C,0)</f>
        <v>8</v>
      </c>
    </row>
    <row r="522" spans="1:7" x14ac:dyDescent="0.3">
      <c r="A522" t="s">
        <v>2439</v>
      </c>
      <c r="B522" t="s">
        <v>2440</v>
      </c>
      <c r="C522" t="s">
        <v>1231</v>
      </c>
      <c r="D522">
        <v>0</v>
      </c>
      <c r="E522">
        <v>1</v>
      </c>
      <c r="F522" s="1">
        <v>45708</v>
      </c>
      <c r="G522">
        <f>_xlfn.XLOOKUP(F522,'Wk no''s'!B:B,'Wk no''s'!C:C,0)</f>
        <v>8</v>
      </c>
    </row>
    <row r="523" spans="1:7" x14ac:dyDescent="0.3">
      <c r="A523" t="s">
        <v>2441</v>
      </c>
      <c r="B523" t="s">
        <v>2442</v>
      </c>
      <c r="C523" t="s">
        <v>36</v>
      </c>
      <c r="D523">
        <v>0</v>
      </c>
      <c r="E523">
        <v>1</v>
      </c>
      <c r="F523" s="1">
        <v>45708</v>
      </c>
      <c r="G523">
        <f>_xlfn.XLOOKUP(F523,'Wk no''s'!B:B,'Wk no''s'!C:C,0)</f>
        <v>8</v>
      </c>
    </row>
    <row r="524" spans="1:7" x14ac:dyDescent="0.3">
      <c r="A524" t="s">
        <v>2443</v>
      </c>
      <c r="B524" t="s">
        <v>2444</v>
      </c>
      <c r="C524" t="s">
        <v>550</v>
      </c>
      <c r="D524">
        <v>0</v>
      </c>
      <c r="E524">
        <v>1</v>
      </c>
      <c r="F524" s="1">
        <v>45708</v>
      </c>
      <c r="G524">
        <f>_xlfn.XLOOKUP(F524,'Wk no''s'!B:B,'Wk no''s'!C:C,0)</f>
        <v>8</v>
      </c>
    </row>
    <row r="525" spans="1:7" x14ac:dyDescent="0.3">
      <c r="A525" t="s">
        <v>2445</v>
      </c>
      <c r="B525" t="s">
        <v>2446</v>
      </c>
      <c r="C525" t="s">
        <v>580</v>
      </c>
      <c r="D525">
        <v>0</v>
      </c>
      <c r="E525">
        <v>1</v>
      </c>
      <c r="F525" s="1">
        <v>45708</v>
      </c>
      <c r="G525">
        <f>_xlfn.XLOOKUP(F525,'Wk no''s'!B:B,'Wk no''s'!C:C,0)</f>
        <v>8</v>
      </c>
    </row>
    <row r="526" spans="1:7" x14ac:dyDescent="0.3">
      <c r="A526" t="s">
        <v>2447</v>
      </c>
      <c r="B526" t="s">
        <v>2448</v>
      </c>
      <c r="C526" t="s">
        <v>501</v>
      </c>
      <c r="D526">
        <v>0</v>
      </c>
      <c r="E526">
        <v>1</v>
      </c>
      <c r="F526" s="1">
        <v>45708</v>
      </c>
      <c r="G526">
        <f>_xlfn.XLOOKUP(F526,'Wk no''s'!B:B,'Wk no''s'!C:C,0)</f>
        <v>8</v>
      </c>
    </row>
    <row r="527" spans="1:7" x14ac:dyDescent="0.3">
      <c r="A527" t="s">
        <v>2449</v>
      </c>
      <c r="B527" t="s">
        <v>2450</v>
      </c>
      <c r="C527" t="s">
        <v>2451</v>
      </c>
      <c r="D527">
        <v>2</v>
      </c>
      <c r="E527">
        <v>1</v>
      </c>
      <c r="F527" s="1">
        <v>45709</v>
      </c>
      <c r="G527">
        <f>_xlfn.XLOOKUP(F527,'Wk no''s'!B:B,'Wk no''s'!C:C,0)</f>
        <v>8</v>
      </c>
    </row>
    <row r="528" spans="1:7" x14ac:dyDescent="0.3">
      <c r="A528" t="s">
        <v>2452</v>
      </c>
      <c r="B528" t="s">
        <v>2453</v>
      </c>
      <c r="C528" t="s">
        <v>2454</v>
      </c>
      <c r="D528">
        <v>0</v>
      </c>
      <c r="E528">
        <v>1</v>
      </c>
      <c r="F528" s="1">
        <v>45709</v>
      </c>
      <c r="G528">
        <f>_xlfn.XLOOKUP(F528,'Wk no''s'!B:B,'Wk no''s'!C:C,0)</f>
        <v>8</v>
      </c>
    </row>
    <row r="529" spans="1:7" x14ac:dyDescent="0.3">
      <c r="A529" t="s">
        <v>2455</v>
      </c>
      <c r="B529" t="s">
        <v>2456</v>
      </c>
      <c r="C529" t="s">
        <v>210</v>
      </c>
      <c r="D529">
        <v>1</v>
      </c>
      <c r="E529">
        <v>1</v>
      </c>
      <c r="F529" s="1">
        <v>45709</v>
      </c>
      <c r="G529">
        <f>_xlfn.XLOOKUP(F529,'Wk no''s'!B:B,'Wk no''s'!C:C,0)</f>
        <v>8</v>
      </c>
    </row>
    <row r="530" spans="1:7" x14ac:dyDescent="0.3">
      <c r="A530" t="s">
        <v>2457</v>
      </c>
      <c r="B530" t="s">
        <v>2458</v>
      </c>
      <c r="C530" t="s">
        <v>2</v>
      </c>
      <c r="D530">
        <v>0</v>
      </c>
      <c r="E530">
        <v>1</v>
      </c>
      <c r="F530" s="1">
        <v>45709</v>
      </c>
      <c r="G530">
        <f>_xlfn.XLOOKUP(F530,'Wk no''s'!B:B,'Wk no''s'!C:C,0)</f>
        <v>8</v>
      </c>
    </row>
    <row r="531" spans="1:7" x14ac:dyDescent="0.3">
      <c r="A531" t="s">
        <v>2459</v>
      </c>
      <c r="B531" t="s">
        <v>2460</v>
      </c>
      <c r="C531" t="s">
        <v>327</v>
      </c>
      <c r="D531">
        <v>18</v>
      </c>
      <c r="E531">
        <v>0</v>
      </c>
      <c r="F531" s="1">
        <v>45709</v>
      </c>
      <c r="G531">
        <f>_xlfn.XLOOKUP(F531,'Wk no''s'!B:B,'Wk no''s'!C:C,0)</f>
        <v>8</v>
      </c>
    </row>
    <row r="532" spans="1:7" x14ac:dyDescent="0.3">
      <c r="A532" t="s">
        <v>2461</v>
      </c>
      <c r="B532" t="s">
        <v>2462</v>
      </c>
      <c r="C532" t="s">
        <v>4894</v>
      </c>
      <c r="D532">
        <v>0</v>
      </c>
      <c r="E532">
        <v>1</v>
      </c>
      <c r="F532" s="1">
        <v>45709</v>
      </c>
      <c r="G532">
        <f>_xlfn.XLOOKUP(F532,'Wk no''s'!B:B,'Wk no''s'!C:C,0)</f>
        <v>8</v>
      </c>
    </row>
    <row r="533" spans="1:7" x14ac:dyDescent="0.3">
      <c r="A533" t="s">
        <v>2463</v>
      </c>
      <c r="B533" t="s">
        <v>2464</v>
      </c>
      <c r="C533" t="s">
        <v>1128</v>
      </c>
      <c r="D533">
        <v>23</v>
      </c>
      <c r="E533">
        <v>0</v>
      </c>
      <c r="F533" s="1">
        <v>45709</v>
      </c>
      <c r="G533">
        <f>_xlfn.XLOOKUP(F533,'Wk no''s'!B:B,'Wk no''s'!C:C,0)</f>
        <v>8</v>
      </c>
    </row>
    <row r="534" spans="1:7" x14ac:dyDescent="0.3">
      <c r="A534" t="s">
        <v>2465</v>
      </c>
      <c r="B534" t="s">
        <v>2466</v>
      </c>
      <c r="C534" t="s">
        <v>2376</v>
      </c>
      <c r="D534">
        <v>0</v>
      </c>
      <c r="E534">
        <v>1</v>
      </c>
      <c r="F534" s="1">
        <v>45709</v>
      </c>
      <c r="G534">
        <f>_xlfn.XLOOKUP(F534,'Wk no''s'!B:B,'Wk no''s'!C:C,0)</f>
        <v>8</v>
      </c>
    </row>
    <row r="535" spans="1:7" x14ac:dyDescent="0.3">
      <c r="A535" t="s">
        <v>2467</v>
      </c>
      <c r="B535" t="s">
        <v>2468</v>
      </c>
      <c r="C535" t="s">
        <v>1269</v>
      </c>
      <c r="D535">
        <v>0</v>
      </c>
      <c r="E535">
        <v>1</v>
      </c>
      <c r="F535" s="1">
        <v>45709</v>
      </c>
      <c r="G535">
        <f>_xlfn.XLOOKUP(F535,'Wk no''s'!B:B,'Wk no''s'!C:C,0)</f>
        <v>8</v>
      </c>
    </row>
    <row r="536" spans="1:7" x14ac:dyDescent="0.3">
      <c r="A536" t="s">
        <v>2469</v>
      </c>
      <c r="B536" t="s">
        <v>2470</v>
      </c>
      <c r="C536" t="s">
        <v>2471</v>
      </c>
      <c r="D536">
        <v>0</v>
      </c>
      <c r="E536">
        <v>1</v>
      </c>
      <c r="F536" s="1">
        <v>45709</v>
      </c>
      <c r="G536">
        <f>_xlfn.XLOOKUP(F536,'Wk no''s'!B:B,'Wk no''s'!C:C,0)</f>
        <v>8</v>
      </c>
    </row>
    <row r="537" spans="1:7" x14ac:dyDescent="0.3">
      <c r="A537" t="s">
        <v>2472</v>
      </c>
      <c r="B537" t="s">
        <v>2473</v>
      </c>
      <c r="C537" t="s">
        <v>2474</v>
      </c>
      <c r="D537">
        <v>0</v>
      </c>
      <c r="E537">
        <v>1</v>
      </c>
      <c r="F537" s="1">
        <v>45712</v>
      </c>
      <c r="G537">
        <f>_xlfn.XLOOKUP(F537,'Wk no''s'!B:B,'Wk no''s'!C:C,0)</f>
        <v>9</v>
      </c>
    </row>
    <row r="538" spans="1:7" x14ac:dyDescent="0.3">
      <c r="A538" t="s">
        <v>2475</v>
      </c>
      <c r="B538" t="s">
        <v>2476</v>
      </c>
      <c r="C538" t="s">
        <v>1269</v>
      </c>
      <c r="D538">
        <v>0</v>
      </c>
      <c r="E538">
        <v>1</v>
      </c>
      <c r="F538" s="1">
        <v>45712</v>
      </c>
      <c r="G538">
        <f>_xlfn.XLOOKUP(F538,'Wk no''s'!B:B,'Wk no''s'!C:C,0)</f>
        <v>9</v>
      </c>
    </row>
    <row r="539" spans="1:7" x14ac:dyDescent="0.3">
      <c r="A539" t="s">
        <v>2477</v>
      </c>
      <c r="B539" t="s">
        <v>2478</v>
      </c>
      <c r="C539" t="s">
        <v>2479</v>
      </c>
      <c r="D539">
        <v>0</v>
      </c>
      <c r="E539">
        <v>1</v>
      </c>
      <c r="F539" s="1">
        <v>45712</v>
      </c>
      <c r="G539">
        <f>_xlfn.XLOOKUP(F539,'Wk no''s'!B:B,'Wk no''s'!C:C,0)</f>
        <v>9</v>
      </c>
    </row>
    <row r="540" spans="1:7" x14ac:dyDescent="0.3">
      <c r="A540" t="s">
        <v>2480</v>
      </c>
      <c r="B540" t="s">
        <v>2481</v>
      </c>
      <c r="C540" t="s">
        <v>411</v>
      </c>
      <c r="D540">
        <v>2</v>
      </c>
      <c r="E540">
        <v>1</v>
      </c>
      <c r="F540" s="1">
        <v>45712</v>
      </c>
      <c r="G540">
        <f>_xlfn.XLOOKUP(F540,'Wk no''s'!B:B,'Wk no''s'!C:C,0)</f>
        <v>9</v>
      </c>
    </row>
    <row r="541" spans="1:7" x14ac:dyDescent="0.3">
      <c r="A541" t="s">
        <v>2482</v>
      </c>
      <c r="B541" t="s">
        <v>2483</v>
      </c>
      <c r="C541" t="s">
        <v>5049</v>
      </c>
      <c r="D541">
        <v>0</v>
      </c>
      <c r="E541">
        <v>1</v>
      </c>
      <c r="F541" s="1">
        <v>45712</v>
      </c>
      <c r="G541">
        <f>_xlfn.XLOOKUP(F541,'Wk no''s'!B:B,'Wk no''s'!C:C,0)</f>
        <v>9</v>
      </c>
    </row>
    <row r="542" spans="1:7" x14ac:dyDescent="0.3">
      <c r="A542" t="s">
        <v>2484</v>
      </c>
      <c r="B542" t="s">
        <v>2485</v>
      </c>
      <c r="C542" t="s">
        <v>113</v>
      </c>
      <c r="D542">
        <v>0</v>
      </c>
      <c r="E542">
        <v>1</v>
      </c>
      <c r="F542" s="1">
        <v>45712</v>
      </c>
      <c r="G542">
        <f>_xlfn.XLOOKUP(F542,'Wk no''s'!B:B,'Wk no''s'!C:C,0)</f>
        <v>9</v>
      </c>
    </row>
    <row r="543" spans="1:7" x14ac:dyDescent="0.3">
      <c r="A543" t="s">
        <v>2486</v>
      </c>
      <c r="B543" t="s">
        <v>2487</v>
      </c>
      <c r="C543" t="s">
        <v>339</v>
      </c>
      <c r="D543">
        <v>0</v>
      </c>
      <c r="E543">
        <v>1</v>
      </c>
      <c r="F543" s="1">
        <v>45712</v>
      </c>
      <c r="G543">
        <f>_xlfn.XLOOKUP(F543,'Wk no''s'!B:B,'Wk no''s'!C:C,0)</f>
        <v>9</v>
      </c>
    </row>
    <row r="544" spans="1:7" x14ac:dyDescent="0.3">
      <c r="A544" t="s">
        <v>2488</v>
      </c>
      <c r="B544" t="s">
        <v>2489</v>
      </c>
      <c r="C544" t="s">
        <v>1343</v>
      </c>
      <c r="D544">
        <v>6</v>
      </c>
      <c r="E544">
        <v>0</v>
      </c>
      <c r="F544" s="1">
        <v>45712</v>
      </c>
      <c r="G544">
        <f>_xlfn.XLOOKUP(F544,'Wk no''s'!B:B,'Wk no''s'!C:C,0)</f>
        <v>9</v>
      </c>
    </row>
    <row r="545" spans="1:7" x14ac:dyDescent="0.3">
      <c r="A545" t="s">
        <v>2490</v>
      </c>
      <c r="B545" t="s">
        <v>2491</v>
      </c>
      <c r="C545" t="s">
        <v>39</v>
      </c>
      <c r="D545">
        <v>0</v>
      </c>
      <c r="E545">
        <v>1</v>
      </c>
      <c r="F545" s="1">
        <v>45712</v>
      </c>
      <c r="G545">
        <f>_xlfn.XLOOKUP(F545,'Wk no''s'!B:B,'Wk no''s'!C:C,0)</f>
        <v>9</v>
      </c>
    </row>
    <row r="546" spans="1:7" x14ac:dyDescent="0.3">
      <c r="A546" t="s">
        <v>2492</v>
      </c>
      <c r="B546" t="s">
        <v>2493</v>
      </c>
      <c r="C546" t="s">
        <v>2494</v>
      </c>
      <c r="D546">
        <v>0</v>
      </c>
      <c r="E546">
        <v>1</v>
      </c>
      <c r="F546" s="1">
        <v>45712</v>
      </c>
      <c r="G546">
        <f>_xlfn.XLOOKUP(F546,'Wk no''s'!B:B,'Wk no''s'!C:C,0)</f>
        <v>9</v>
      </c>
    </row>
    <row r="547" spans="1:7" x14ac:dyDescent="0.3">
      <c r="A547" t="s">
        <v>2495</v>
      </c>
      <c r="B547" t="s">
        <v>2496</v>
      </c>
      <c r="C547" t="s">
        <v>2497</v>
      </c>
      <c r="D547">
        <v>50</v>
      </c>
      <c r="E547">
        <v>0</v>
      </c>
      <c r="F547" s="1">
        <v>45712</v>
      </c>
      <c r="G547">
        <f>_xlfn.XLOOKUP(F547,'Wk no''s'!B:B,'Wk no''s'!C:C,0)</f>
        <v>9</v>
      </c>
    </row>
    <row r="548" spans="1:7" x14ac:dyDescent="0.3">
      <c r="A548" t="s">
        <v>2498</v>
      </c>
      <c r="B548" t="s">
        <v>2499</v>
      </c>
      <c r="C548" t="s">
        <v>36</v>
      </c>
      <c r="D548">
        <v>6</v>
      </c>
      <c r="E548">
        <v>0</v>
      </c>
      <c r="F548" s="1">
        <v>45712</v>
      </c>
      <c r="G548">
        <f>_xlfn.XLOOKUP(F548,'Wk no''s'!B:B,'Wk no''s'!C:C,0)</f>
        <v>9</v>
      </c>
    </row>
    <row r="549" spans="1:7" x14ac:dyDescent="0.3">
      <c r="A549" t="s">
        <v>2500</v>
      </c>
      <c r="B549" t="s">
        <v>2501</v>
      </c>
      <c r="C549" t="s">
        <v>666</v>
      </c>
      <c r="D549">
        <v>0</v>
      </c>
      <c r="E549">
        <v>1</v>
      </c>
      <c r="F549" s="1">
        <v>45712</v>
      </c>
      <c r="G549">
        <f>_xlfn.XLOOKUP(F549,'Wk no''s'!B:B,'Wk no''s'!C:C,0)</f>
        <v>9</v>
      </c>
    </row>
    <row r="550" spans="1:7" x14ac:dyDescent="0.3">
      <c r="A550" t="s">
        <v>2502</v>
      </c>
      <c r="B550" t="s">
        <v>2503</v>
      </c>
      <c r="C550" t="s">
        <v>2504</v>
      </c>
      <c r="D550">
        <v>0</v>
      </c>
      <c r="E550">
        <v>1</v>
      </c>
      <c r="F550" s="1">
        <v>45713</v>
      </c>
      <c r="G550">
        <f>_xlfn.XLOOKUP(F550,'Wk no''s'!B:B,'Wk no''s'!C:C,0)</f>
        <v>9</v>
      </c>
    </row>
    <row r="551" spans="1:7" x14ac:dyDescent="0.3">
      <c r="A551" t="s">
        <v>2505</v>
      </c>
      <c r="B551" t="s">
        <v>2506</v>
      </c>
      <c r="C551" t="s">
        <v>2507</v>
      </c>
      <c r="D551">
        <v>0</v>
      </c>
      <c r="E551">
        <v>1</v>
      </c>
      <c r="F551" s="1">
        <v>45713</v>
      </c>
      <c r="G551">
        <f>_xlfn.XLOOKUP(F551,'Wk no''s'!B:B,'Wk no''s'!C:C,0)</f>
        <v>9</v>
      </c>
    </row>
    <row r="552" spans="1:7" x14ac:dyDescent="0.3">
      <c r="A552" t="s">
        <v>2508</v>
      </c>
      <c r="B552" t="s">
        <v>2509</v>
      </c>
      <c r="C552" t="s">
        <v>168</v>
      </c>
      <c r="D552">
        <v>19</v>
      </c>
      <c r="E552">
        <v>0</v>
      </c>
      <c r="F552" s="1">
        <v>45713</v>
      </c>
      <c r="G552">
        <f>_xlfn.XLOOKUP(F552,'Wk no''s'!B:B,'Wk no''s'!C:C,0)</f>
        <v>9</v>
      </c>
    </row>
    <row r="553" spans="1:7" x14ac:dyDescent="0.3">
      <c r="A553" t="s">
        <v>2510</v>
      </c>
      <c r="B553" t="s">
        <v>2511</v>
      </c>
      <c r="C553" t="s">
        <v>2512</v>
      </c>
      <c r="D553">
        <v>1</v>
      </c>
      <c r="E553">
        <v>1</v>
      </c>
      <c r="F553" s="1">
        <v>45713</v>
      </c>
      <c r="G553">
        <f>_xlfn.XLOOKUP(F553,'Wk no''s'!B:B,'Wk no''s'!C:C,0)</f>
        <v>9</v>
      </c>
    </row>
    <row r="554" spans="1:7" x14ac:dyDescent="0.3">
      <c r="A554" t="s">
        <v>2513</v>
      </c>
      <c r="B554" t="s">
        <v>2514</v>
      </c>
      <c r="C554" t="s">
        <v>190</v>
      </c>
      <c r="D554">
        <v>17</v>
      </c>
      <c r="E554">
        <v>0</v>
      </c>
      <c r="F554" s="1">
        <v>45713</v>
      </c>
      <c r="G554">
        <f>_xlfn.XLOOKUP(F554,'Wk no''s'!B:B,'Wk no''s'!C:C,0)</f>
        <v>9</v>
      </c>
    </row>
    <row r="555" spans="1:7" x14ac:dyDescent="0.3">
      <c r="A555" t="s">
        <v>2515</v>
      </c>
      <c r="B555" t="s">
        <v>2516</v>
      </c>
      <c r="C555" t="s">
        <v>23</v>
      </c>
      <c r="D555">
        <v>43</v>
      </c>
      <c r="E555">
        <v>0</v>
      </c>
      <c r="F555" s="1">
        <v>45713</v>
      </c>
      <c r="G555">
        <f>_xlfn.XLOOKUP(F555,'Wk no''s'!B:B,'Wk no''s'!C:C,0)</f>
        <v>9</v>
      </c>
    </row>
    <row r="556" spans="1:7" x14ac:dyDescent="0.3">
      <c r="A556" t="s">
        <v>2517</v>
      </c>
      <c r="B556" t="s">
        <v>2518</v>
      </c>
      <c r="C556" t="s">
        <v>273</v>
      </c>
      <c r="D556">
        <v>0</v>
      </c>
      <c r="E556">
        <v>1</v>
      </c>
      <c r="F556" s="1">
        <v>45713</v>
      </c>
      <c r="G556">
        <f>_xlfn.XLOOKUP(F556,'Wk no''s'!B:B,'Wk no''s'!C:C,0)</f>
        <v>9</v>
      </c>
    </row>
    <row r="557" spans="1:7" x14ac:dyDescent="0.3">
      <c r="A557" t="s">
        <v>2519</v>
      </c>
      <c r="B557" t="s">
        <v>2520</v>
      </c>
      <c r="C557" t="s">
        <v>2034</v>
      </c>
      <c r="D557">
        <v>0</v>
      </c>
      <c r="E557">
        <v>1</v>
      </c>
      <c r="F557" s="1">
        <v>45713</v>
      </c>
      <c r="G557">
        <f>_xlfn.XLOOKUP(F557,'Wk no''s'!B:B,'Wk no''s'!C:C,0)</f>
        <v>9</v>
      </c>
    </row>
    <row r="558" spans="1:7" x14ac:dyDescent="0.3">
      <c r="A558" t="s">
        <v>2521</v>
      </c>
      <c r="B558" t="s">
        <v>2522</v>
      </c>
      <c r="C558" t="s">
        <v>2479</v>
      </c>
      <c r="D558">
        <v>7</v>
      </c>
      <c r="E558">
        <v>0</v>
      </c>
      <c r="F558" s="1">
        <v>45713</v>
      </c>
      <c r="G558">
        <f>_xlfn.XLOOKUP(F558,'Wk no''s'!B:B,'Wk no''s'!C:C,0)</f>
        <v>9</v>
      </c>
    </row>
    <row r="559" spans="1:7" x14ac:dyDescent="0.3">
      <c r="A559" t="s">
        <v>2523</v>
      </c>
      <c r="B559" t="s">
        <v>2524</v>
      </c>
      <c r="C559" t="s">
        <v>285</v>
      </c>
      <c r="D559">
        <v>10</v>
      </c>
      <c r="E559">
        <v>0</v>
      </c>
      <c r="F559" s="1">
        <v>45713</v>
      </c>
      <c r="G559">
        <f>_xlfn.XLOOKUP(F559,'Wk no''s'!B:B,'Wk no''s'!C:C,0)</f>
        <v>9</v>
      </c>
    </row>
    <row r="560" spans="1:7" x14ac:dyDescent="0.3">
      <c r="A560" t="s">
        <v>2525</v>
      </c>
      <c r="B560" t="s">
        <v>2526</v>
      </c>
      <c r="C560" t="s">
        <v>1084</v>
      </c>
      <c r="D560">
        <v>9</v>
      </c>
      <c r="E560">
        <v>0</v>
      </c>
      <c r="F560" s="1">
        <v>45713</v>
      </c>
      <c r="G560">
        <f>_xlfn.XLOOKUP(F560,'Wk no''s'!B:B,'Wk no''s'!C:C,0)</f>
        <v>9</v>
      </c>
    </row>
    <row r="561" spans="1:7" x14ac:dyDescent="0.3">
      <c r="A561" t="s">
        <v>2527</v>
      </c>
      <c r="B561" t="s">
        <v>2528</v>
      </c>
      <c r="C561" t="s">
        <v>2529</v>
      </c>
      <c r="D561">
        <v>2</v>
      </c>
      <c r="E561">
        <v>1</v>
      </c>
      <c r="F561" s="1">
        <v>45713</v>
      </c>
      <c r="G561">
        <f>_xlfn.XLOOKUP(F561,'Wk no''s'!B:B,'Wk no''s'!C:C,0)</f>
        <v>9</v>
      </c>
    </row>
    <row r="562" spans="1:7" x14ac:dyDescent="0.3">
      <c r="A562" t="s">
        <v>2530</v>
      </c>
      <c r="B562" t="s">
        <v>2531</v>
      </c>
      <c r="C562" t="s">
        <v>2532</v>
      </c>
      <c r="D562">
        <v>0</v>
      </c>
      <c r="E562">
        <v>1</v>
      </c>
      <c r="F562" s="1">
        <v>45713</v>
      </c>
      <c r="G562">
        <f>_xlfn.XLOOKUP(F562,'Wk no''s'!B:B,'Wk no''s'!C:C,0)</f>
        <v>9</v>
      </c>
    </row>
    <row r="563" spans="1:7" x14ac:dyDescent="0.3">
      <c r="A563" t="s">
        <v>2533</v>
      </c>
      <c r="B563" t="s">
        <v>2534</v>
      </c>
      <c r="C563" t="s">
        <v>1194</v>
      </c>
      <c r="D563">
        <v>0</v>
      </c>
      <c r="E563">
        <v>1</v>
      </c>
      <c r="F563" s="1">
        <v>45713</v>
      </c>
      <c r="G563">
        <f>_xlfn.XLOOKUP(F563,'Wk no''s'!B:B,'Wk no''s'!C:C,0)</f>
        <v>9</v>
      </c>
    </row>
    <row r="564" spans="1:7" x14ac:dyDescent="0.3">
      <c r="A564" t="s">
        <v>2535</v>
      </c>
      <c r="B564" t="s">
        <v>2536</v>
      </c>
      <c r="C564" t="s">
        <v>2537</v>
      </c>
      <c r="D564">
        <v>15</v>
      </c>
      <c r="E564">
        <v>0</v>
      </c>
      <c r="F564" s="1">
        <v>45714</v>
      </c>
      <c r="G564">
        <f>_xlfn.XLOOKUP(F564,'Wk no''s'!B:B,'Wk no''s'!C:C,0)</f>
        <v>9</v>
      </c>
    </row>
    <row r="565" spans="1:7" x14ac:dyDescent="0.3">
      <c r="A565" t="s">
        <v>2538</v>
      </c>
      <c r="B565" t="s">
        <v>2539</v>
      </c>
      <c r="C565" t="s">
        <v>2540</v>
      </c>
      <c r="D565">
        <v>3</v>
      </c>
      <c r="E565">
        <v>1</v>
      </c>
      <c r="F565" s="1">
        <v>45714</v>
      </c>
      <c r="G565">
        <f>_xlfn.XLOOKUP(F565,'Wk no''s'!B:B,'Wk no''s'!C:C,0)</f>
        <v>9</v>
      </c>
    </row>
    <row r="566" spans="1:7" x14ac:dyDescent="0.3">
      <c r="A566" t="s">
        <v>2541</v>
      </c>
      <c r="B566" t="s">
        <v>2542</v>
      </c>
      <c r="C566" t="s">
        <v>2543</v>
      </c>
      <c r="D566">
        <v>0</v>
      </c>
      <c r="E566">
        <v>1</v>
      </c>
      <c r="F566" s="1">
        <v>45714</v>
      </c>
      <c r="G566">
        <f>_xlfn.XLOOKUP(F566,'Wk no''s'!B:B,'Wk no''s'!C:C,0)</f>
        <v>9</v>
      </c>
    </row>
    <row r="567" spans="1:7" x14ac:dyDescent="0.3">
      <c r="A567" t="s">
        <v>2544</v>
      </c>
      <c r="B567" t="s">
        <v>2545</v>
      </c>
      <c r="C567" t="s">
        <v>2546</v>
      </c>
      <c r="D567">
        <v>7</v>
      </c>
      <c r="E567">
        <v>0</v>
      </c>
      <c r="F567" s="1">
        <v>45714</v>
      </c>
      <c r="G567">
        <f>_xlfn.XLOOKUP(F567,'Wk no''s'!B:B,'Wk no''s'!C:C,0)</f>
        <v>9</v>
      </c>
    </row>
    <row r="568" spans="1:7" x14ac:dyDescent="0.3">
      <c r="A568" t="s">
        <v>2547</v>
      </c>
      <c r="B568" t="s">
        <v>2548</v>
      </c>
      <c r="C568" t="s">
        <v>109</v>
      </c>
      <c r="D568">
        <v>0</v>
      </c>
      <c r="E568">
        <v>1</v>
      </c>
      <c r="F568" s="1">
        <v>45714</v>
      </c>
      <c r="G568">
        <f>_xlfn.XLOOKUP(F568,'Wk no''s'!B:B,'Wk no''s'!C:C,0)</f>
        <v>9</v>
      </c>
    </row>
    <row r="569" spans="1:7" x14ac:dyDescent="0.3">
      <c r="A569" t="s">
        <v>2549</v>
      </c>
      <c r="B569" t="s">
        <v>2550</v>
      </c>
      <c r="C569" t="s">
        <v>15</v>
      </c>
      <c r="D569">
        <v>0</v>
      </c>
      <c r="E569">
        <v>1</v>
      </c>
      <c r="F569" s="1">
        <v>45714</v>
      </c>
      <c r="G569">
        <f>_xlfn.XLOOKUP(F569,'Wk no''s'!B:B,'Wk no''s'!C:C,0)</f>
        <v>9</v>
      </c>
    </row>
    <row r="570" spans="1:7" x14ac:dyDescent="0.3">
      <c r="A570" t="s">
        <v>2551</v>
      </c>
      <c r="B570" t="s">
        <v>2552</v>
      </c>
      <c r="C570" t="s">
        <v>2553</v>
      </c>
      <c r="D570">
        <v>3</v>
      </c>
      <c r="E570">
        <v>1</v>
      </c>
      <c r="F570" s="1">
        <v>45714</v>
      </c>
      <c r="G570">
        <f>_xlfn.XLOOKUP(F570,'Wk no''s'!B:B,'Wk no''s'!C:C,0)</f>
        <v>9</v>
      </c>
    </row>
    <row r="571" spans="1:7" x14ac:dyDescent="0.3">
      <c r="A571" t="s">
        <v>2554</v>
      </c>
      <c r="B571" t="s">
        <v>2555</v>
      </c>
      <c r="C571" t="s">
        <v>1194</v>
      </c>
      <c r="D571">
        <v>0</v>
      </c>
      <c r="E571">
        <v>1</v>
      </c>
      <c r="F571" s="1">
        <v>45715</v>
      </c>
      <c r="G571">
        <f>_xlfn.XLOOKUP(F571,'Wk no''s'!B:B,'Wk no''s'!C:C,0)</f>
        <v>9</v>
      </c>
    </row>
    <row r="572" spans="1:7" x14ac:dyDescent="0.3">
      <c r="A572" t="s">
        <v>2556</v>
      </c>
      <c r="B572" t="s">
        <v>2557</v>
      </c>
      <c r="C572" t="s">
        <v>2558</v>
      </c>
      <c r="D572">
        <v>9</v>
      </c>
      <c r="E572">
        <v>0</v>
      </c>
      <c r="F572" s="1">
        <v>45715</v>
      </c>
      <c r="G572">
        <f>_xlfn.XLOOKUP(F572,'Wk no''s'!B:B,'Wk no''s'!C:C,0)</f>
        <v>9</v>
      </c>
    </row>
    <row r="573" spans="1:7" x14ac:dyDescent="0.3">
      <c r="A573" t="s">
        <v>2559</v>
      </c>
      <c r="C573" t="s">
        <v>1106</v>
      </c>
      <c r="D573">
        <v>0</v>
      </c>
      <c r="E573">
        <v>1</v>
      </c>
      <c r="F573" s="1">
        <v>45715</v>
      </c>
      <c r="G573">
        <f>_xlfn.XLOOKUP(F573,'Wk no''s'!B:B,'Wk no''s'!C:C,0)</f>
        <v>9</v>
      </c>
    </row>
    <row r="574" spans="1:7" x14ac:dyDescent="0.3">
      <c r="A574" t="s">
        <v>2560</v>
      </c>
      <c r="B574" t="s">
        <v>2561</v>
      </c>
      <c r="C574" t="s">
        <v>2562</v>
      </c>
      <c r="D574">
        <v>17</v>
      </c>
      <c r="E574">
        <v>0</v>
      </c>
      <c r="F574" s="1">
        <v>45715</v>
      </c>
      <c r="G574">
        <f>_xlfn.XLOOKUP(F574,'Wk no''s'!B:B,'Wk no''s'!C:C,0)</f>
        <v>9</v>
      </c>
    </row>
    <row r="575" spans="1:7" x14ac:dyDescent="0.3">
      <c r="A575" t="s">
        <v>2563</v>
      </c>
      <c r="B575" t="s">
        <v>2564</v>
      </c>
      <c r="C575" t="s">
        <v>12</v>
      </c>
      <c r="D575">
        <v>0</v>
      </c>
      <c r="E575">
        <v>1</v>
      </c>
      <c r="F575" s="1">
        <v>45715</v>
      </c>
      <c r="G575">
        <f>_xlfn.XLOOKUP(F575,'Wk no''s'!B:B,'Wk no''s'!C:C,0)</f>
        <v>9</v>
      </c>
    </row>
    <row r="576" spans="1:7" x14ac:dyDescent="0.3">
      <c r="A576" t="s">
        <v>2565</v>
      </c>
      <c r="B576" t="s">
        <v>2566</v>
      </c>
      <c r="C576" t="s">
        <v>2</v>
      </c>
      <c r="D576">
        <v>0</v>
      </c>
      <c r="E576">
        <v>1</v>
      </c>
      <c r="F576" s="1">
        <v>45715</v>
      </c>
      <c r="G576">
        <f>_xlfn.XLOOKUP(F576,'Wk no''s'!B:B,'Wk no''s'!C:C,0)</f>
        <v>9</v>
      </c>
    </row>
    <row r="577" spans="1:7" x14ac:dyDescent="0.3">
      <c r="A577" t="s">
        <v>2567</v>
      </c>
      <c r="B577" t="s">
        <v>2568</v>
      </c>
      <c r="C577" t="s">
        <v>2083</v>
      </c>
      <c r="D577">
        <v>0</v>
      </c>
      <c r="E577">
        <v>1</v>
      </c>
      <c r="F577" s="1">
        <v>45715</v>
      </c>
      <c r="G577">
        <f>_xlfn.XLOOKUP(F577,'Wk no''s'!B:B,'Wk no''s'!C:C,0)</f>
        <v>9</v>
      </c>
    </row>
    <row r="578" spans="1:7" x14ac:dyDescent="0.3">
      <c r="A578" t="s">
        <v>2569</v>
      </c>
      <c r="B578" t="s">
        <v>2570</v>
      </c>
      <c r="C578" t="s">
        <v>2010</v>
      </c>
      <c r="D578">
        <v>0</v>
      </c>
      <c r="E578">
        <v>1</v>
      </c>
      <c r="F578" s="1">
        <v>45715</v>
      </c>
      <c r="G578">
        <f>_xlfn.XLOOKUP(F578,'Wk no''s'!B:B,'Wk no''s'!C:C,0)</f>
        <v>9</v>
      </c>
    </row>
    <row r="579" spans="1:7" x14ac:dyDescent="0.3">
      <c r="A579" t="s">
        <v>2571</v>
      </c>
      <c r="B579" t="s">
        <v>2572</v>
      </c>
      <c r="C579" t="s">
        <v>1456</v>
      </c>
      <c r="D579">
        <v>29</v>
      </c>
      <c r="E579">
        <v>0</v>
      </c>
      <c r="F579" s="1">
        <v>45715</v>
      </c>
      <c r="G579">
        <f>_xlfn.XLOOKUP(F579,'Wk no''s'!B:B,'Wk no''s'!C:C,0)</f>
        <v>9</v>
      </c>
    </row>
    <row r="580" spans="1:7" x14ac:dyDescent="0.3">
      <c r="A580" t="s">
        <v>2573</v>
      </c>
      <c r="B580" t="s">
        <v>2574</v>
      </c>
      <c r="C580" t="s">
        <v>1995</v>
      </c>
      <c r="D580">
        <v>7</v>
      </c>
      <c r="E580">
        <v>0</v>
      </c>
      <c r="F580" s="1">
        <v>45716</v>
      </c>
      <c r="G580">
        <f>_xlfn.XLOOKUP(F580,'Wk no''s'!B:B,'Wk no''s'!C:C,0)</f>
        <v>9</v>
      </c>
    </row>
    <row r="581" spans="1:7" x14ac:dyDescent="0.3">
      <c r="A581" t="s">
        <v>2575</v>
      </c>
      <c r="B581" t="s">
        <v>2576</v>
      </c>
      <c r="C581" t="s">
        <v>2577</v>
      </c>
      <c r="D581">
        <v>3</v>
      </c>
      <c r="E581">
        <v>1</v>
      </c>
      <c r="F581" s="1">
        <v>45716</v>
      </c>
      <c r="G581">
        <f>_xlfn.XLOOKUP(F581,'Wk no''s'!B:B,'Wk no''s'!C:C,0)</f>
        <v>9</v>
      </c>
    </row>
    <row r="582" spans="1:7" x14ac:dyDescent="0.3">
      <c r="A582" t="s">
        <v>2578</v>
      </c>
      <c r="B582" t="s">
        <v>2579</v>
      </c>
      <c r="C582" t="s">
        <v>2580</v>
      </c>
      <c r="D582">
        <v>0</v>
      </c>
      <c r="E582">
        <v>1</v>
      </c>
      <c r="F582" s="1">
        <v>45716</v>
      </c>
      <c r="G582">
        <f>_xlfn.XLOOKUP(F582,'Wk no''s'!B:B,'Wk no''s'!C:C,0)</f>
        <v>9</v>
      </c>
    </row>
    <row r="583" spans="1:7" x14ac:dyDescent="0.3">
      <c r="A583" t="s">
        <v>2581</v>
      </c>
      <c r="B583" t="s">
        <v>2582</v>
      </c>
      <c r="C583" t="s">
        <v>2583</v>
      </c>
      <c r="D583">
        <v>0</v>
      </c>
      <c r="E583">
        <v>1</v>
      </c>
      <c r="F583" s="1">
        <v>45716</v>
      </c>
      <c r="G583">
        <f>_xlfn.XLOOKUP(F583,'Wk no''s'!B:B,'Wk no''s'!C:C,0)</f>
        <v>9</v>
      </c>
    </row>
    <row r="584" spans="1:7" x14ac:dyDescent="0.3">
      <c r="A584" t="s">
        <v>2584</v>
      </c>
      <c r="B584" t="s">
        <v>2585</v>
      </c>
      <c r="C584" t="s">
        <v>36</v>
      </c>
      <c r="D584">
        <v>0</v>
      </c>
      <c r="E584">
        <v>1</v>
      </c>
      <c r="F584" s="1">
        <v>45716</v>
      </c>
      <c r="G584">
        <f>_xlfn.XLOOKUP(F584,'Wk no''s'!B:B,'Wk no''s'!C:C,0)</f>
        <v>9</v>
      </c>
    </row>
    <row r="585" spans="1:7" x14ac:dyDescent="0.3">
      <c r="A585" t="s">
        <v>2586</v>
      </c>
      <c r="B585" t="s">
        <v>2587</v>
      </c>
      <c r="C585" t="s">
        <v>36</v>
      </c>
      <c r="D585">
        <v>32</v>
      </c>
      <c r="E585">
        <v>0</v>
      </c>
      <c r="F585" s="1">
        <v>45716</v>
      </c>
      <c r="G585">
        <f>_xlfn.XLOOKUP(F585,'Wk no''s'!B:B,'Wk no''s'!C:C,0)</f>
        <v>9</v>
      </c>
    </row>
    <row r="586" spans="1:7" x14ac:dyDescent="0.3">
      <c r="A586" t="s">
        <v>2588</v>
      </c>
      <c r="B586" t="s">
        <v>2589</v>
      </c>
      <c r="C586" t="s">
        <v>2590</v>
      </c>
      <c r="D586">
        <v>0</v>
      </c>
      <c r="E586">
        <v>1</v>
      </c>
      <c r="F586" s="1">
        <v>45716</v>
      </c>
      <c r="G586">
        <f>_xlfn.XLOOKUP(F586,'Wk no''s'!B:B,'Wk no''s'!C:C,0)</f>
        <v>9</v>
      </c>
    </row>
    <row r="587" spans="1:7" x14ac:dyDescent="0.3">
      <c r="A587" t="s">
        <v>2591</v>
      </c>
      <c r="B587" t="s">
        <v>2592</v>
      </c>
      <c r="C587" t="s">
        <v>2593</v>
      </c>
      <c r="D587">
        <v>0</v>
      </c>
      <c r="E587">
        <v>1</v>
      </c>
      <c r="F587" s="1">
        <v>45716</v>
      </c>
      <c r="G587">
        <f>_xlfn.XLOOKUP(F587,'Wk no''s'!B:B,'Wk no''s'!C:C,0)</f>
        <v>9</v>
      </c>
    </row>
    <row r="588" spans="1:7" x14ac:dyDescent="0.3">
      <c r="A588" t="s">
        <v>2594</v>
      </c>
      <c r="B588" t="s">
        <v>2595</v>
      </c>
      <c r="C588" t="s">
        <v>2596</v>
      </c>
      <c r="D588">
        <v>0</v>
      </c>
      <c r="E588">
        <v>1</v>
      </c>
      <c r="F588" s="1">
        <v>45716</v>
      </c>
      <c r="G588">
        <f>_xlfn.XLOOKUP(F588,'Wk no''s'!B:B,'Wk no''s'!C:C,0)</f>
        <v>9</v>
      </c>
    </row>
    <row r="589" spans="1:7" x14ac:dyDescent="0.3">
      <c r="A589" t="s">
        <v>2597</v>
      </c>
      <c r="B589" t="s">
        <v>2598</v>
      </c>
      <c r="C589" t="s">
        <v>2599</v>
      </c>
      <c r="D589">
        <v>0</v>
      </c>
      <c r="E589">
        <v>1</v>
      </c>
      <c r="F589" s="1">
        <v>45719</v>
      </c>
      <c r="G589">
        <f>_xlfn.XLOOKUP(F589,'Wk no''s'!B:B,'Wk no''s'!C:C,0)</f>
        <v>10</v>
      </c>
    </row>
    <row r="590" spans="1:7" x14ac:dyDescent="0.3">
      <c r="A590" t="s">
        <v>2600</v>
      </c>
      <c r="B590" t="s">
        <v>2601</v>
      </c>
      <c r="C590" t="s">
        <v>75</v>
      </c>
      <c r="D590">
        <v>0</v>
      </c>
      <c r="E590">
        <v>1</v>
      </c>
      <c r="F590" s="1">
        <v>45719</v>
      </c>
      <c r="G590">
        <f>_xlfn.XLOOKUP(F590,'Wk no''s'!B:B,'Wk no''s'!C:C,0)</f>
        <v>10</v>
      </c>
    </row>
    <row r="591" spans="1:7" x14ac:dyDescent="0.3">
      <c r="A591" t="s">
        <v>2602</v>
      </c>
      <c r="B591" t="s">
        <v>2603</v>
      </c>
      <c r="C591" t="s">
        <v>10</v>
      </c>
      <c r="D591">
        <v>11</v>
      </c>
      <c r="E591">
        <v>0</v>
      </c>
      <c r="F591" s="1">
        <v>45719</v>
      </c>
      <c r="G591">
        <f>_xlfn.XLOOKUP(F591,'Wk no''s'!B:B,'Wk no''s'!C:C,0)</f>
        <v>10</v>
      </c>
    </row>
    <row r="592" spans="1:7" x14ac:dyDescent="0.3">
      <c r="A592" t="s">
        <v>2604</v>
      </c>
      <c r="B592" t="s">
        <v>2605</v>
      </c>
      <c r="C592" t="s">
        <v>339</v>
      </c>
      <c r="D592">
        <v>0</v>
      </c>
      <c r="E592">
        <v>1</v>
      </c>
      <c r="F592" s="1">
        <v>45719</v>
      </c>
      <c r="G592">
        <f>_xlfn.XLOOKUP(F592,'Wk no''s'!B:B,'Wk no''s'!C:C,0)</f>
        <v>10</v>
      </c>
    </row>
    <row r="593" spans="1:7" x14ac:dyDescent="0.3">
      <c r="A593" t="s">
        <v>2606</v>
      </c>
      <c r="B593" t="s">
        <v>2607</v>
      </c>
      <c r="C593" t="s">
        <v>197</v>
      </c>
      <c r="D593">
        <v>0</v>
      </c>
      <c r="E593">
        <v>1</v>
      </c>
      <c r="F593" s="1">
        <v>45719</v>
      </c>
      <c r="G593">
        <f>_xlfn.XLOOKUP(F593,'Wk no''s'!B:B,'Wk no''s'!C:C,0)</f>
        <v>10</v>
      </c>
    </row>
    <row r="594" spans="1:7" x14ac:dyDescent="0.3">
      <c r="A594" t="s">
        <v>2608</v>
      </c>
      <c r="B594" t="s">
        <v>2609</v>
      </c>
      <c r="C594" t="s">
        <v>2610</v>
      </c>
      <c r="D594">
        <v>10</v>
      </c>
      <c r="E594">
        <v>0</v>
      </c>
      <c r="F594" s="1">
        <v>45719</v>
      </c>
      <c r="G594">
        <f>_xlfn.XLOOKUP(F594,'Wk no''s'!B:B,'Wk no''s'!C:C,0)</f>
        <v>10</v>
      </c>
    </row>
    <row r="595" spans="1:7" x14ac:dyDescent="0.3">
      <c r="A595" t="s">
        <v>2611</v>
      </c>
      <c r="B595" t="s">
        <v>2612</v>
      </c>
      <c r="C595" t="s">
        <v>2613</v>
      </c>
      <c r="D595">
        <v>0</v>
      </c>
      <c r="E595">
        <v>1</v>
      </c>
      <c r="F595" s="1">
        <v>45719</v>
      </c>
      <c r="G595">
        <f>_xlfn.XLOOKUP(F595,'Wk no''s'!B:B,'Wk no''s'!C:C,0)</f>
        <v>10</v>
      </c>
    </row>
    <row r="596" spans="1:7" x14ac:dyDescent="0.3">
      <c r="A596" t="s">
        <v>2614</v>
      </c>
      <c r="B596" t="s">
        <v>2615</v>
      </c>
      <c r="C596" t="s">
        <v>2616</v>
      </c>
      <c r="D596">
        <v>0</v>
      </c>
      <c r="E596">
        <v>1</v>
      </c>
      <c r="F596" s="1">
        <v>45719</v>
      </c>
      <c r="G596">
        <f>_xlfn.XLOOKUP(F596,'Wk no''s'!B:B,'Wk no''s'!C:C,0)</f>
        <v>10</v>
      </c>
    </row>
    <row r="597" spans="1:7" x14ac:dyDescent="0.3">
      <c r="A597" t="s">
        <v>2617</v>
      </c>
      <c r="B597" t="s">
        <v>2618</v>
      </c>
      <c r="C597" t="s">
        <v>2291</v>
      </c>
      <c r="D597">
        <v>0</v>
      </c>
      <c r="E597">
        <v>1</v>
      </c>
      <c r="F597" s="1">
        <v>45719</v>
      </c>
      <c r="G597">
        <f>_xlfn.XLOOKUP(F597,'Wk no''s'!B:B,'Wk no''s'!C:C,0)</f>
        <v>10</v>
      </c>
    </row>
    <row r="598" spans="1:7" x14ac:dyDescent="0.3">
      <c r="A598" t="s">
        <v>2619</v>
      </c>
      <c r="B598" t="s">
        <v>2620</v>
      </c>
      <c r="C598" t="s">
        <v>2291</v>
      </c>
      <c r="D598">
        <v>0</v>
      </c>
      <c r="E598">
        <v>1</v>
      </c>
      <c r="F598" s="1">
        <v>45719</v>
      </c>
      <c r="G598">
        <f>_xlfn.XLOOKUP(F598,'Wk no''s'!B:B,'Wk no''s'!C:C,0)</f>
        <v>10</v>
      </c>
    </row>
    <row r="599" spans="1:7" x14ac:dyDescent="0.3">
      <c r="A599" t="s">
        <v>2621</v>
      </c>
      <c r="B599" t="s">
        <v>2622</v>
      </c>
      <c r="C599" t="s">
        <v>349</v>
      </c>
      <c r="D599">
        <v>0</v>
      </c>
      <c r="E599">
        <v>1</v>
      </c>
      <c r="F599" s="1">
        <v>45719</v>
      </c>
      <c r="G599">
        <f>_xlfn.XLOOKUP(F599,'Wk no''s'!B:B,'Wk no''s'!C:C,0)</f>
        <v>10</v>
      </c>
    </row>
    <row r="600" spans="1:7" x14ac:dyDescent="0.3">
      <c r="A600" t="s">
        <v>2623</v>
      </c>
      <c r="B600" t="s">
        <v>2624</v>
      </c>
      <c r="C600" t="s">
        <v>2625</v>
      </c>
      <c r="D600">
        <v>11</v>
      </c>
      <c r="E600">
        <v>0</v>
      </c>
      <c r="F600" s="1">
        <v>45719</v>
      </c>
      <c r="G600">
        <f>_xlfn.XLOOKUP(F600,'Wk no''s'!B:B,'Wk no''s'!C:C,0)</f>
        <v>10</v>
      </c>
    </row>
    <row r="601" spans="1:7" x14ac:dyDescent="0.3">
      <c r="A601" t="s">
        <v>2626</v>
      </c>
      <c r="B601" t="s">
        <v>2627</v>
      </c>
      <c r="C601" t="s">
        <v>4894</v>
      </c>
      <c r="D601">
        <v>0</v>
      </c>
      <c r="E601">
        <v>1</v>
      </c>
      <c r="F601" s="1">
        <v>45719</v>
      </c>
      <c r="G601">
        <f>_xlfn.XLOOKUP(F601,'Wk no''s'!B:B,'Wk no''s'!C:C,0)</f>
        <v>10</v>
      </c>
    </row>
    <row r="602" spans="1:7" x14ac:dyDescent="0.3">
      <c r="A602" t="s">
        <v>2628</v>
      </c>
      <c r="B602" t="s">
        <v>2629</v>
      </c>
      <c r="C602" t="s">
        <v>2630</v>
      </c>
      <c r="D602">
        <v>44</v>
      </c>
      <c r="E602">
        <v>0</v>
      </c>
      <c r="F602" s="1">
        <v>45719</v>
      </c>
      <c r="G602">
        <f>_xlfn.XLOOKUP(F602,'Wk no''s'!B:B,'Wk no''s'!C:C,0)</f>
        <v>10</v>
      </c>
    </row>
    <row r="603" spans="1:7" x14ac:dyDescent="0.3">
      <c r="A603" t="s">
        <v>2631</v>
      </c>
      <c r="C603" t="s">
        <v>2632</v>
      </c>
      <c r="D603">
        <v>0</v>
      </c>
      <c r="E603">
        <v>1</v>
      </c>
      <c r="F603" s="1">
        <v>45719</v>
      </c>
      <c r="G603">
        <f>_xlfn.XLOOKUP(F603,'Wk no''s'!B:B,'Wk no''s'!C:C,0)</f>
        <v>10</v>
      </c>
    </row>
    <row r="604" spans="1:7" x14ac:dyDescent="0.3">
      <c r="A604" t="s">
        <v>2633</v>
      </c>
      <c r="B604" t="s">
        <v>2634</v>
      </c>
      <c r="C604" t="s">
        <v>36</v>
      </c>
      <c r="D604">
        <v>2</v>
      </c>
      <c r="E604">
        <v>1</v>
      </c>
      <c r="F604" s="1">
        <v>45719</v>
      </c>
      <c r="G604">
        <f>_xlfn.XLOOKUP(F604,'Wk no''s'!B:B,'Wk no''s'!C:C,0)</f>
        <v>10</v>
      </c>
    </row>
    <row r="605" spans="1:7" x14ac:dyDescent="0.3">
      <c r="A605" t="s">
        <v>2635</v>
      </c>
      <c r="B605" t="s">
        <v>2636</v>
      </c>
      <c r="C605" t="s">
        <v>160</v>
      </c>
      <c r="D605">
        <v>4</v>
      </c>
      <c r="E605">
        <v>1</v>
      </c>
      <c r="F605" s="1">
        <v>45719</v>
      </c>
      <c r="G605">
        <f>_xlfn.XLOOKUP(F605,'Wk no''s'!B:B,'Wk no''s'!C:C,0)</f>
        <v>10</v>
      </c>
    </row>
    <row r="606" spans="1:7" x14ac:dyDescent="0.3">
      <c r="A606" t="s">
        <v>2637</v>
      </c>
      <c r="B606" t="s">
        <v>2638</v>
      </c>
      <c r="C606" t="s">
        <v>1248</v>
      </c>
      <c r="D606">
        <v>14</v>
      </c>
      <c r="E606">
        <v>0</v>
      </c>
      <c r="F606" s="1">
        <v>45719</v>
      </c>
      <c r="G606">
        <f>_xlfn.XLOOKUP(F606,'Wk no''s'!B:B,'Wk no''s'!C:C,0)</f>
        <v>10</v>
      </c>
    </row>
    <row r="607" spans="1:7" x14ac:dyDescent="0.3">
      <c r="A607" t="s">
        <v>2639</v>
      </c>
      <c r="B607" t="s">
        <v>2640</v>
      </c>
      <c r="C607" t="s">
        <v>12</v>
      </c>
      <c r="D607">
        <v>13</v>
      </c>
      <c r="E607">
        <v>0</v>
      </c>
      <c r="F607" s="1">
        <v>45720</v>
      </c>
      <c r="G607">
        <f>_xlfn.XLOOKUP(F607,'Wk no''s'!B:B,'Wk no''s'!C:C,0)</f>
        <v>10</v>
      </c>
    </row>
    <row r="608" spans="1:7" x14ac:dyDescent="0.3">
      <c r="A608" t="s">
        <v>2641</v>
      </c>
      <c r="B608" t="s">
        <v>2642</v>
      </c>
      <c r="C608" t="s">
        <v>2201</v>
      </c>
      <c r="D608">
        <v>0</v>
      </c>
      <c r="E608">
        <v>1</v>
      </c>
      <c r="F608" s="1">
        <v>45720</v>
      </c>
      <c r="G608">
        <f>_xlfn.XLOOKUP(F608,'Wk no''s'!B:B,'Wk no''s'!C:C,0)</f>
        <v>10</v>
      </c>
    </row>
    <row r="609" spans="1:7" x14ac:dyDescent="0.3">
      <c r="A609" t="s">
        <v>2643</v>
      </c>
      <c r="B609" t="s">
        <v>2644</v>
      </c>
      <c r="C609" t="s">
        <v>2645</v>
      </c>
      <c r="D609">
        <v>0</v>
      </c>
      <c r="E609">
        <v>1</v>
      </c>
      <c r="F609" s="1">
        <v>45720</v>
      </c>
      <c r="G609">
        <f>_xlfn.XLOOKUP(F609,'Wk no''s'!B:B,'Wk no''s'!C:C,0)</f>
        <v>10</v>
      </c>
    </row>
    <row r="610" spans="1:7" x14ac:dyDescent="0.3">
      <c r="A610" t="s">
        <v>2646</v>
      </c>
      <c r="B610" t="s">
        <v>2647</v>
      </c>
      <c r="C610" t="s">
        <v>2648</v>
      </c>
      <c r="D610">
        <v>26</v>
      </c>
      <c r="E610">
        <v>0</v>
      </c>
      <c r="F610" s="1">
        <v>45720</v>
      </c>
      <c r="G610">
        <f>_xlfn.XLOOKUP(F610,'Wk no''s'!B:B,'Wk no''s'!C:C,0)</f>
        <v>10</v>
      </c>
    </row>
    <row r="611" spans="1:7" x14ac:dyDescent="0.3">
      <c r="A611" t="s">
        <v>2649</v>
      </c>
      <c r="B611" t="s">
        <v>2650</v>
      </c>
      <c r="C611" t="s">
        <v>2651</v>
      </c>
      <c r="D611">
        <v>0</v>
      </c>
      <c r="E611">
        <v>1</v>
      </c>
      <c r="F611" s="1">
        <v>45720</v>
      </c>
      <c r="G611">
        <f>_xlfn.XLOOKUP(F611,'Wk no''s'!B:B,'Wk no''s'!C:C,0)</f>
        <v>10</v>
      </c>
    </row>
    <row r="612" spans="1:7" x14ac:dyDescent="0.3">
      <c r="A612" t="s">
        <v>2652</v>
      </c>
      <c r="B612" t="s">
        <v>2653</v>
      </c>
      <c r="C612" t="s">
        <v>1587</v>
      </c>
      <c r="D612">
        <v>26</v>
      </c>
      <c r="E612">
        <v>0</v>
      </c>
      <c r="F612" s="1">
        <v>45720</v>
      </c>
      <c r="G612">
        <f>_xlfn.XLOOKUP(F612,'Wk no''s'!B:B,'Wk no''s'!C:C,0)</f>
        <v>10</v>
      </c>
    </row>
    <row r="613" spans="1:7" x14ac:dyDescent="0.3">
      <c r="A613" t="s">
        <v>2654</v>
      </c>
      <c r="B613" t="s">
        <v>2655</v>
      </c>
      <c r="C613" t="s">
        <v>2648</v>
      </c>
      <c r="D613">
        <v>0</v>
      </c>
      <c r="E613">
        <v>1</v>
      </c>
      <c r="F613" s="1">
        <v>45720</v>
      </c>
      <c r="G613">
        <f>_xlfn.XLOOKUP(F613,'Wk no''s'!B:B,'Wk no''s'!C:C,0)</f>
        <v>10</v>
      </c>
    </row>
    <row r="614" spans="1:7" x14ac:dyDescent="0.3">
      <c r="A614" t="s">
        <v>2656</v>
      </c>
      <c r="B614" t="s">
        <v>2657</v>
      </c>
      <c r="C614" t="s">
        <v>2100</v>
      </c>
      <c r="D614">
        <v>0</v>
      </c>
      <c r="E614">
        <v>1</v>
      </c>
      <c r="F614" s="1">
        <v>45721</v>
      </c>
      <c r="G614">
        <f>_xlfn.XLOOKUP(F614,'Wk no''s'!B:B,'Wk no''s'!C:C,0)</f>
        <v>10</v>
      </c>
    </row>
    <row r="615" spans="1:7" x14ac:dyDescent="0.3">
      <c r="A615" t="s">
        <v>2658</v>
      </c>
      <c r="B615" t="s">
        <v>2659</v>
      </c>
      <c r="C615" t="s">
        <v>1106</v>
      </c>
      <c r="D615">
        <v>0</v>
      </c>
      <c r="E615">
        <v>1</v>
      </c>
      <c r="F615" s="1">
        <v>45721</v>
      </c>
      <c r="G615">
        <f>_xlfn.XLOOKUP(F615,'Wk no''s'!B:B,'Wk no''s'!C:C,0)</f>
        <v>10</v>
      </c>
    </row>
    <row r="616" spans="1:7" x14ac:dyDescent="0.3">
      <c r="A616" t="s">
        <v>2660</v>
      </c>
      <c r="B616" t="s">
        <v>2661</v>
      </c>
      <c r="C616" t="s">
        <v>2662</v>
      </c>
      <c r="D616">
        <v>0</v>
      </c>
      <c r="E616">
        <v>1</v>
      </c>
      <c r="F616" s="1">
        <v>45721</v>
      </c>
      <c r="G616">
        <f>_xlfn.XLOOKUP(F616,'Wk no''s'!B:B,'Wk no''s'!C:C,0)</f>
        <v>10</v>
      </c>
    </row>
    <row r="617" spans="1:7" x14ac:dyDescent="0.3">
      <c r="A617" t="s">
        <v>2663</v>
      </c>
      <c r="B617" t="s">
        <v>2664</v>
      </c>
      <c r="C617" t="s">
        <v>2665</v>
      </c>
      <c r="D617">
        <v>0</v>
      </c>
      <c r="E617">
        <v>1</v>
      </c>
      <c r="F617" s="1">
        <v>45721</v>
      </c>
      <c r="G617">
        <f>_xlfn.XLOOKUP(F617,'Wk no''s'!B:B,'Wk no''s'!C:C,0)</f>
        <v>10</v>
      </c>
    </row>
    <row r="618" spans="1:7" x14ac:dyDescent="0.3">
      <c r="A618" t="s">
        <v>2666</v>
      </c>
      <c r="B618" t="s">
        <v>2667</v>
      </c>
      <c r="C618" t="s">
        <v>2668</v>
      </c>
      <c r="D618">
        <v>0</v>
      </c>
      <c r="E618">
        <v>1</v>
      </c>
      <c r="F618" s="1">
        <v>45721</v>
      </c>
      <c r="G618">
        <f>_xlfn.XLOOKUP(F618,'Wk no''s'!B:B,'Wk no''s'!C:C,0)</f>
        <v>10</v>
      </c>
    </row>
    <row r="619" spans="1:7" x14ac:dyDescent="0.3">
      <c r="A619" t="s">
        <v>2669</v>
      </c>
      <c r="B619" t="s">
        <v>2670</v>
      </c>
      <c r="C619" t="s">
        <v>75</v>
      </c>
      <c r="D619">
        <v>0</v>
      </c>
      <c r="E619">
        <v>1</v>
      </c>
      <c r="F619" s="1">
        <v>45721</v>
      </c>
      <c r="G619">
        <f>_xlfn.XLOOKUP(F619,'Wk no''s'!B:B,'Wk no''s'!C:C,0)</f>
        <v>10</v>
      </c>
    </row>
    <row r="620" spans="1:7" x14ac:dyDescent="0.3">
      <c r="A620" t="s">
        <v>2671</v>
      </c>
      <c r="B620" t="s">
        <v>2672</v>
      </c>
      <c r="C620" t="s">
        <v>2648</v>
      </c>
      <c r="D620">
        <v>16</v>
      </c>
      <c r="E620">
        <v>0</v>
      </c>
      <c r="F620" s="1">
        <v>45721</v>
      </c>
      <c r="G620">
        <f>_xlfn.XLOOKUP(F620,'Wk no''s'!B:B,'Wk no''s'!C:C,0)</f>
        <v>10</v>
      </c>
    </row>
    <row r="621" spans="1:7" x14ac:dyDescent="0.3">
      <c r="A621" t="s">
        <v>2673</v>
      </c>
      <c r="B621" t="s">
        <v>2674</v>
      </c>
      <c r="C621" t="s">
        <v>75</v>
      </c>
      <c r="D621">
        <v>0</v>
      </c>
      <c r="E621">
        <v>1</v>
      </c>
      <c r="F621" s="1">
        <v>45721</v>
      </c>
      <c r="G621">
        <f>_xlfn.XLOOKUP(F621,'Wk no''s'!B:B,'Wk no''s'!C:C,0)</f>
        <v>10</v>
      </c>
    </row>
    <row r="622" spans="1:7" x14ac:dyDescent="0.3">
      <c r="A622" t="s">
        <v>2675</v>
      </c>
      <c r="B622" t="s">
        <v>2676</v>
      </c>
      <c r="C622" t="s">
        <v>394</v>
      </c>
      <c r="D622">
        <v>0</v>
      </c>
      <c r="E622">
        <v>1</v>
      </c>
      <c r="F622" s="1">
        <v>45722</v>
      </c>
      <c r="G622">
        <f>_xlfn.XLOOKUP(F622,'Wk no''s'!B:B,'Wk no''s'!C:C,0)</f>
        <v>10</v>
      </c>
    </row>
    <row r="623" spans="1:7" x14ac:dyDescent="0.3">
      <c r="A623" t="s">
        <v>2677</v>
      </c>
      <c r="B623" t="s">
        <v>2678</v>
      </c>
      <c r="C623" t="s">
        <v>4352</v>
      </c>
      <c r="D623">
        <v>0</v>
      </c>
      <c r="E623">
        <v>1</v>
      </c>
      <c r="F623" s="1">
        <v>45722</v>
      </c>
      <c r="G623">
        <f>_xlfn.XLOOKUP(F623,'Wk no''s'!B:B,'Wk no''s'!C:C,0)</f>
        <v>10</v>
      </c>
    </row>
    <row r="624" spans="1:7" x14ac:dyDescent="0.3">
      <c r="A624" t="s">
        <v>2679</v>
      </c>
      <c r="B624" t="s">
        <v>2680</v>
      </c>
      <c r="C624" t="s">
        <v>2681</v>
      </c>
      <c r="D624">
        <v>0</v>
      </c>
      <c r="E624">
        <v>1</v>
      </c>
      <c r="F624" s="1">
        <v>45722</v>
      </c>
      <c r="G624">
        <f>_xlfn.XLOOKUP(F624,'Wk no''s'!B:B,'Wk no''s'!C:C,0)</f>
        <v>10</v>
      </c>
    </row>
    <row r="625" spans="1:7" x14ac:dyDescent="0.3">
      <c r="A625" t="s">
        <v>2682</v>
      </c>
      <c r="B625" t="s">
        <v>2683</v>
      </c>
      <c r="C625" t="s">
        <v>197</v>
      </c>
      <c r="D625">
        <v>0</v>
      </c>
      <c r="E625">
        <v>1</v>
      </c>
      <c r="F625" s="1">
        <v>45722</v>
      </c>
      <c r="G625">
        <f>_xlfn.XLOOKUP(F625,'Wk no''s'!B:B,'Wk no''s'!C:C,0)</f>
        <v>10</v>
      </c>
    </row>
    <row r="626" spans="1:7" x14ac:dyDescent="0.3">
      <c r="A626" t="s">
        <v>2684</v>
      </c>
      <c r="B626" t="s">
        <v>2685</v>
      </c>
      <c r="C626" t="s">
        <v>2686</v>
      </c>
      <c r="D626">
        <v>130</v>
      </c>
      <c r="E626">
        <v>0</v>
      </c>
      <c r="F626" s="1">
        <v>45722</v>
      </c>
      <c r="G626">
        <f>_xlfn.XLOOKUP(F626,'Wk no''s'!B:B,'Wk no''s'!C:C,0)</f>
        <v>10</v>
      </c>
    </row>
    <row r="627" spans="1:7" x14ac:dyDescent="0.3">
      <c r="A627" t="s">
        <v>2687</v>
      </c>
      <c r="B627" t="s">
        <v>2688</v>
      </c>
      <c r="C627" t="s">
        <v>2689</v>
      </c>
      <c r="D627">
        <v>0</v>
      </c>
      <c r="E627">
        <v>1</v>
      </c>
      <c r="F627" s="1">
        <v>45722</v>
      </c>
      <c r="G627">
        <f>_xlfn.XLOOKUP(F627,'Wk no''s'!B:B,'Wk no''s'!C:C,0)</f>
        <v>10</v>
      </c>
    </row>
    <row r="628" spans="1:7" x14ac:dyDescent="0.3">
      <c r="A628" t="s">
        <v>2690</v>
      </c>
      <c r="B628" t="s">
        <v>2691</v>
      </c>
      <c r="C628" t="s">
        <v>386</v>
      </c>
      <c r="D628">
        <v>94</v>
      </c>
      <c r="E628">
        <v>0</v>
      </c>
      <c r="F628" s="1">
        <v>45722</v>
      </c>
      <c r="G628">
        <f>_xlfn.XLOOKUP(F628,'Wk no''s'!B:B,'Wk no''s'!C:C,0)</f>
        <v>10</v>
      </c>
    </row>
    <row r="629" spans="1:7" x14ac:dyDescent="0.3">
      <c r="A629" t="s">
        <v>2692</v>
      </c>
      <c r="B629" t="s">
        <v>2693</v>
      </c>
      <c r="C629" t="s">
        <v>5181</v>
      </c>
      <c r="D629">
        <v>1</v>
      </c>
      <c r="E629">
        <v>1</v>
      </c>
      <c r="F629" s="1">
        <v>45723</v>
      </c>
      <c r="G629">
        <f>_xlfn.XLOOKUP(F629,'Wk no''s'!B:B,'Wk no''s'!C:C,0)</f>
        <v>10</v>
      </c>
    </row>
    <row r="630" spans="1:7" x14ac:dyDescent="0.3">
      <c r="A630" t="s">
        <v>2694</v>
      </c>
      <c r="B630" t="s">
        <v>2695</v>
      </c>
      <c r="C630" t="s">
        <v>1117</v>
      </c>
      <c r="D630">
        <v>11</v>
      </c>
      <c r="E630">
        <v>0</v>
      </c>
      <c r="F630" s="1">
        <v>45723</v>
      </c>
      <c r="G630">
        <f>_xlfn.XLOOKUP(F630,'Wk no''s'!B:B,'Wk no''s'!C:C,0)</f>
        <v>10</v>
      </c>
    </row>
    <row r="631" spans="1:7" x14ac:dyDescent="0.3">
      <c r="A631" t="s">
        <v>2696</v>
      </c>
      <c r="B631" t="s">
        <v>2697</v>
      </c>
      <c r="C631" t="s">
        <v>10</v>
      </c>
      <c r="D631">
        <v>9</v>
      </c>
      <c r="E631">
        <v>0</v>
      </c>
      <c r="F631" s="1">
        <v>45723</v>
      </c>
      <c r="G631">
        <f>_xlfn.XLOOKUP(F631,'Wk no''s'!B:B,'Wk no''s'!C:C,0)</f>
        <v>10</v>
      </c>
    </row>
    <row r="632" spans="1:7" x14ac:dyDescent="0.3">
      <c r="A632" t="s">
        <v>2698</v>
      </c>
      <c r="B632" t="s">
        <v>2699</v>
      </c>
      <c r="C632" t="s">
        <v>2700</v>
      </c>
      <c r="D632">
        <v>0</v>
      </c>
      <c r="E632">
        <v>1</v>
      </c>
      <c r="F632" s="1">
        <v>45723</v>
      </c>
      <c r="G632">
        <f>_xlfn.XLOOKUP(F632,'Wk no''s'!B:B,'Wk no''s'!C:C,0)</f>
        <v>10</v>
      </c>
    </row>
    <row r="633" spans="1:7" x14ac:dyDescent="0.3">
      <c r="A633" t="s">
        <v>2701</v>
      </c>
      <c r="B633" t="s">
        <v>2702</v>
      </c>
      <c r="C633" t="s">
        <v>2703</v>
      </c>
      <c r="D633">
        <v>16</v>
      </c>
      <c r="E633">
        <v>0</v>
      </c>
      <c r="F633" s="1">
        <v>45723</v>
      </c>
      <c r="G633">
        <f>_xlfn.XLOOKUP(F633,'Wk no''s'!B:B,'Wk no''s'!C:C,0)</f>
        <v>10</v>
      </c>
    </row>
    <row r="634" spans="1:7" x14ac:dyDescent="0.3">
      <c r="A634" t="s">
        <v>2704</v>
      </c>
      <c r="B634" t="s">
        <v>2705</v>
      </c>
      <c r="C634" t="s">
        <v>2706</v>
      </c>
      <c r="D634">
        <v>0</v>
      </c>
      <c r="E634">
        <v>1</v>
      </c>
      <c r="F634" s="1">
        <v>45723</v>
      </c>
      <c r="G634">
        <f>_xlfn.XLOOKUP(F634,'Wk no''s'!B:B,'Wk no''s'!C:C,0)</f>
        <v>10</v>
      </c>
    </row>
    <row r="635" spans="1:7" x14ac:dyDescent="0.3">
      <c r="A635" t="s">
        <v>2707</v>
      </c>
      <c r="B635" t="s">
        <v>2708</v>
      </c>
      <c r="C635" t="s">
        <v>2709</v>
      </c>
      <c r="D635">
        <v>0</v>
      </c>
      <c r="E635">
        <v>1</v>
      </c>
      <c r="F635" s="1">
        <v>45723</v>
      </c>
      <c r="G635">
        <f>_xlfn.XLOOKUP(F635,'Wk no''s'!B:B,'Wk no''s'!C:C,0)</f>
        <v>10</v>
      </c>
    </row>
    <row r="636" spans="1:7" x14ac:dyDescent="0.3">
      <c r="A636" t="s">
        <v>2710</v>
      </c>
      <c r="B636" t="s">
        <v>2711</v>
      </c>
      <c r="C636" t="s">
        <v>2712</v>
      </c>
      <c r="D636">
        <v>0</v>
      </c>
      <c r="E636">
        <v>1</v>
      </c>
      <c r="F636" s="1">
        <v>45723</v>
      </c>
      <c r="G636">
        <f>_xlfn.XLOOKUP(F636,'Wk no''s'!B:B,'Wk no''s'!C:C,0)</f>
        <v>10</v>
      </c>
    </row>
    <row r="637" spans="1:7" x14ac:dyDescent="0.3">
      <c r="A637" t="s">
        <v>2713</v>
      </c>
      <c r="B637" t="s">
        <v>2714</v>
      </c>
      <c r="C637" t="s">
        <v>2715</v>
      </c>
      <c r="D637">
        <v>0</v>
      </c>
      <c r="E637">
        <v>1</v>
      </c>
      <c r="F637" s="1">
        <v>45723</v>
      </c>
      <c r="G637">
        <f>_xlfn.XLOOKUP(F637,'Wk no''s'!B:B,'Wk no''s'!C:C,0)</f>
        <v>10</v>
      </c>
    </row>
    <row r="638" spans="1:7" x14ac:dyDescent="0.3">
      <c r="A638" t="s">
        <v>2716</v>
      </c>
      <c r="B638" t="s">
        <v>2717</v>
      </c>
      <c r="C638" t="s">
        <v>15</v>
      </c>
      <c r="D638">
        <v>4</v>
      </c>
      <c r="E638">
        <v>1</v>
      </c>
      <c r="F638" s="1">
        <v>45723</v>
      </c>
      <c r="G638">
        <f>_xlfn.XLOOKUP(F638,'Wk no''s'!B:B,'Wk no''s'!C:C,0)</f>
        <v>10</v>
      </c>
    </row>
    <row r="639" spans="1:7" x14ac:dyDescent="0.3">
      <c r="A639" t="s">
        <v>2718</v>
      </c>
      <c r="B639" t="s">
        <v>2719</v>
      </c>
      <c r="C639" t="s">
        <v>1368</v>
      </c>
      <c r="D639">
        <v>0</v>
      </c>
      <c r="E639">
        <v>1</v>
      </c>
      <c r="F639" s="1">
        <v>45723</v>
      </c>
      <c r="G639">
        <f>_xlfn.XLOOKUP(F639,'Wk no''s'!B:B,'Wk no''s'!C:C,0)</f>
        <v>10</v>
      </c>
    </row>
    <row r="640" spans="1:7" x14ac:dyDescent="0.3">
      <c r="A640" t="s">
        <v>2720</v>
      </c>
      <c r="B640" t="s">
        <v>2721</v>
      </c>
      <c r="C640" t="s">
        <v>2722</v>
      </c>
      <c r="D640">
        <v>0</v>
      </c>
      <c r="E640">
        <v>1</v>
      </c>
      <c r="F640" s="1">
        <v>45726</v>
      </c>
      <c r="G640">
        <f>_xlfn.XLOOKUP(F640,'Wk no''s'!B:B,'Wk no''s'!C:C,0)</f>
        <v>11</v>
      </c>
    </row>
    <row r="641" spans="1:7" x14ac:dyDescent="0.3">
      <c r="A641" t="s">
        <v>2723</v>
      </c>
      <c r="B641" t="s">
        <v>2724</v>
      </c>
      <c r="C641" t="s">
        <v>2725</v>
      </c>
      <c r="D641">
        <v>0</v>
      </c>
      <c r="E641">
        <v>1</v>
      </c>
      <c r="F641" s="1">
        <v>45726</v>
      </c>
      <c r="G641">
        <f>_xlfn.XLOOKUP(F641,'Wk no''s'!B:B,'Wk no''s'!C:C,0)</f>
        <v>11</v>
      </c>
    </row>
    <row r="642" spans="1:7" x14ac:dyDescent="0.3">
      <c r="A642" t="s">
        <v>2726</v>
      </c>
      <c r="B642" t="s">
        <v>2727</v>
      </c>
      <c r="C642" t="s">
        <v>2066</v>
      </c>
      <c r="D642">
        <v>0</v>
      </c>
      <c r="E642">
        <v>1</v>
      </c>
      <c r="F642" s="1">
        <v>45726</v>
      </c>
      <c r="G642">
        <f>_xlfn.XLOOKUP(F642,'Wk no''s'!B:B,'Wk no''s'!C:C,0)</f>
        <v>11</v>
      </c>
    </row>
    <row r="643" spans="1:7" x14ac:dyDescent="0.3">
      <c r="A643" t="s">
        <v>2728</v>
      </c>
      <c r="B643" t="s">
        <v>2729</v>
      </c>
      <c r="C643" t="s">
        <v>2730</v>
      </c>
      <c r="D643">
        <v>0</v>
      </c>
      <c r="E643">
        <v>1</v>
      </c>
      <c r="F643" s="1">
        <v>45726</v>
      </c>
      <c r="G643">
        <f>_xlfn.XLOOKUP(F643,'Wk no''s'!B:B,'Wk no''s'!C:C,0)</f>
        <v>11</v>
      </c>
    </row>
    <row r="644" spans="1:7" x14ac:dyDescent="0.3">
      <c r="A644" t="s">
        <v>2731</v>
      </c>
      <c r="B644" t="s">
        <v>2732</v>
      </c>
      <c r="C644" t="s">
        <v>2733</v>
      </c>
      <c r="D644">
        <v>0</v>
      </c>
      <c r="E644">
        <v>1</v>
      </c>
      <c r="F644" s="1">
        <v>45726</v>
      </c>
      <c r="G644">
        <f>_xlfn.XLOOKUP(F644,'Wk no''s'!B:B,'Wk no''s'!C:C,0)</f>
        <v>11</v>
      </c>
    </row>
    <row r="645" spans="1:7" x14ac:dyDescent="0.3">
      <c r="A645" t="s">
        <v>2734</v>
      </c>
      <c r="B645" t="s">
        <v>2735</v>
      </c>
      <c r="C645" t="s">
        <v>2736</v>
      </c>
      <c r="D645">
        <v>0</v>
      </c>
      <c r="E645">
        <v>1</v>
      </c>
      <c r="F645" s="1">
        <v>45726</v>
      </c>
      <c r="G645">
        <f>_xlfn.XLOOKUP(F645,'Wk no''s'!B:B,'Wk no''s'!C:C,0)</f>
        <v>11</v>
      </c>
    </row>
    <row r="646" spans="1:7" x14ac:dyDescent="0.3">
      <c r="A646" t="s">
        <v>2737</v>
      </c>
      <c r="B646" t="s">
        <v>2738</v>
      </c>
      <c r="C646" t="s">
        <v>249</v>
      </c>
      <c r="D646">
        <v>0</v>
      </c>
      <c r="E646">
        <v>1</v>
      </c>
      <c r="F646" s="1">
        <v>45726</v>
      </c>
      <c r="G646">
        <f>_xlfn.XLOOKUP(F646,'Wk no''s'!B:B,'Wk no''s'!C:C,0)</f>
        <v>11</v>
      </c>
    </row>
    <row r="647" spans="1:7" x14ac:dyDescent="0.3">
      <c r="A647" t="s">
        <v>2739</v>
      </c>
      <c r="B647" t="s">
        <v>2740</v>
      </c>
      <c r="C647" t="s">
        <v>2741</v>
      </c>
      <c r="D647">
        <v>5</v>
      </c>
      <c r="E647">
        <v>1</v>
      </c>
      <c r="F647" s="1">
        <v>45727</v>
      </c>
      <c r="G647">
        <f>_xlfn.XLOOKUP(F647,'Wk no''s'!B:B,'Wk no''s'!C:C,0)</f>
        <v>11</v>
      </c>
    </row>
    <row r="648" spans="1:7" x14ac:dyDescent="0.3">
      <c r="A648" t="s">
        <v>2742</v>
      </c>
      <c r="B648" t="s">
        <v>2743</v>
      </c>
      <c r="C648" t="s">
        <v>13</v>
      </c>
      <c r="D648">
        <v>0</v>
      </c>
      <c r="E648">
        <v>1</v>
      </c>
      <c r="F648" s="1">
        <v>45727</v>
      </c>
      <c r="G648">
        <f>_xlfn.XLOOKUP(F648,'Wk no''s'!B:B,'Wk no''s'!C:C,0)</f>
        <v>11</v>
      </c>
    </row>
    <row r="649" spans="1:7" x14ac:dyDescent="0.3">
      <c r="A649" t="s">
        <v>2744</v>
      </c>
      <c r="B649" t="s">
        <v>2745</v>
      </c>
      <c r="C649" t="s">
        <v>2746</v>
      </c>
      <c r="D649">
        <v>0</v>
      </c>
      <c r="E649">
        <v>1</v>
      </c>
      <c r="F649" s="1">
        <v>45727</v>
      </c>
      <c r="G649">
        <f>_xlfn.XLOOKUP(F649,'Wk no''s'!B:B,'Wk no''s'!C:C,0)</f>
        <v>11</v>
      </c>
    </row>
    <row r="650" spans="1:7" x14ac:dyDescent="0.3">
      <c r="A650" t="s">
        <v>2747</v>
      </c>
      <c r="B650" t="s">
        <v>2748</v>
      </c>
      <c r="C650" t="s">
        <v>390</v>
      </c>
      <c r="D650">
        <v>0</v>
      </c>
      <c r="E650">
        <v>1</v>
      </c>
      <c r="F650" s="1">
        <v>45727</v>
      </c>
      <c r="G650">
        <f>_xlfn.XLOOKUP(F650,'Wk no''s'!B:B,'Wk no''s'!C:C,0)</f>
        <v>11</v>
      </c>
    </row>
    <row r="651" spans="1:7" x14ac:dyDescent="0.3">
      <c r="A651" t="s">
        <v>2749</v>
      </c>
      <c r="B651" t="s">
        <v>2750</v>
      </c>
      <c r="C651" t="s">
        <v>2751</v>
      </c>
      <c r="D651">
        <v>0</v>
      </c>
      <c r="E651">
        <v>1</v>
      </c>
      <c r="F651" s="1">
        <v>45727</v>
      </c>
      <c r="G651">
        <f>_xlfn.XLOOKUP(F651,'Wk no''s'!B:B,'Wk no''s'!C:C,0)</f>
        <v>11</v>
      </c>
    </row>
    <row r="652" spans="1:7" x14ac:dyDescent="0.3">
      <c r="A652" t="s">
        <v>2752</v>
      </c>
      <c r="B652" t="s">
        <v>2753</v>
      </c>
      <c r="C652" t="s">
        <v>2751</v>
      </c>
      <c r="D652">
        <v>0</v>
      </c>
      <c r="E652">
        <v>1</v>
      </c>
      <c r="F652" s="1">
        <v>45727</v>
      </c>
      <c r="G652">
        <f>_xlfn.XLOOKUP(F652,'Wk no''s'!B:B,'Wk no''s'!C:C,0)</f>
        <v>11</v>
      </c>
    </row>
    <row r="653" spans="1:7" x14ac:dyDescent="0.3">
      <c r="A653" t="s">
        <v>2754</v>
      </c>
      <c r="B653" t="s">
        <v>2755</v>
      </c>
      <c r="C653" t="s">
        <v>105</v>
      </c>
      <c r="D653">
        <v>0</v>
      </c>
      <c r="E653">
        <v>1</v>
      </c>
      <c r="F653" s="1">
        <v>45727</v>
      </c>
      <c r="G653">
        <f>_xlfn.XLOOKUP(F653,'Wk no''s'!B:B,'Wk no''s'!C:C,0)</f>
        <v>11</v>
      </c>
    </row>
    <row r="654" spans="1:7" x14ac:dyDescent="0.3">
      <c r="A654" t="s">
        <v>2756</v>
      </c>
      <c r="B654" t="s">
        <v>2757</v>
      </c>
      <c r="C654" t="s">
        <v>2259</v>
      </c>
      <c r="D654">
        <v>44</v>
      </c>
      <c r="E654">
        <v>0</v>
      </c>
      <c r="F654" s="1">
        <v>45727</v>
      </c>
      <c r="G654">
        <f>_xlfn.XLOOKUP(F654,'Wk no''s'!B:B,'Wk no''s'!C:C,0)</f>
        <v>11</v>
      </c>
    </row>
    <row r="655" spans="1:7" x14ac:dyDescent="0.3">
      <c r="A655" t="s">
        <v>2758</v>
      </c>
      <c r="B655" t="s">
        <v>2759</v>
      </c>
      <c r="C655" t="s">
        <v>1298</v>
      </c>
      <c r="D655">
        <v>0</v>
      </c>
      <c r="E655">
        <v>1</v>
      </c>
      <c r="F655" s="1">
        <v>45727</v>
      </c>
      <c r="G655">
        <f>_xlfn.XLOOKUP(F655,'Wk no''s'!B:B,'Wk no''s'!C:C,0)</f>
        <v>11</v>
      </c>
    </row>
    <row r="656" spans="1:7" x14ac:dyDescent="0.3">
      <c r="A656" t="s">
        <v>2760</v>
      </c>
      <c r="B656" t="s">
        <v>2761</v>
      </c>
      <c r="C656" t="s">
        <v>2762</v>
      </c>
      <c r="D656">
        <v>15</v>
      </c>
      <c r="E656">
        <v>0</v>
      </c>
      <c r="F656" s="1">
        <v>45727</v>
      </c>
      <c r="G656">
        <f>_xlfn.XLOOKUP(F656,'Wk no''s'!B:B,'Wk no''s'!C:C,0)</f>
        <v>11</v>
      </c>
    </row>
    <row r="657" spans="1:7" x14ac:dyDescent="0.3">
      <c r="A657" t="s">
        <v>2763</v>
      </c>
      <c r="B657" t="s">
        <v>2764</v>
      </c>
      <c r="C657" t="s">
        <v>2765</v>
      </c>
      <c r="D657">
        <v>5</v>
      </c>
      <c r="E657">
        <v>1</v>
      </c>
      <c r="F657" s="1">
        <v>45728</v>
      </c>
      <c r="G657">
        <f>_xlfn.XLOOKUP(F657,'Wk no''s'!B:B,'Wk no''s'!C:C,0)</f>
        <v>11</v>
      </c>
    </row>
    <row r="658" spans="1:7" x14ac:dyDescent="0.3">
      <c r="A658" t="s">
        <v>2766</v>
      </c>
      <c r="B658" t="s">
        <v>2767</v>
      </c>
      <c r="C658" t="s">
        <v>33</v>
      </c>
      <c r="D658">
        <v>0</v>
      </c>
      <c r="E658">
        <v>1</v>
      </c>
      <c r="F658" s="1">
        <v>45728</v>
      </c>
      <c r="G658">
        <f>_xlfn.XLOOKUP(F658,'Wk no''s'!B:B,'Wk no''s'!C:C,0)</f>
        <v>11</v>
      </c>
    </row>
    <row r="659" spans="1:7" x14ac:dyDescent="0.3">
      <c r="A659" t="s">
        <v>2768</v>
      </c>
      <c r="B659" t="s">
        <v>2769</v>
      </c>
      <c r="C659" t="s">
        <v>2770</v>
      </c>
      <c r="D659">
        <v>7</v>
      </c>
      <c r="E659">
        <v>0</v>
      </c>
      <c r="F659" s="1">
        <v>45728</v>
      </c>
      <c r="G659">
        <f>_xlfn.XLOOKUP(F659,'Wk no''s'!B:B,'Wk no''s'!C:C,0)</f>
        <v>11</v>
      </c>
    </row>
    <row r="660" spans="1:7" x14ac:dyDescent="0.3">
      <c r="A660" t="s">
        <v>2771</v>
      </c>
      <c r="B660" t="s">
        <v>2772</v>
      </c>
      <c r="C660" t="s">
        <v>1967</v>
      </c>
      <c r="D660">
        <v>0</v>
      </c>
      <c r="E660">
        <v>1</v>
      </c>
      <c r="F660" s="1">
        <v>45728</v>
      </c>
      <c r="G660">
        <f>_xlfn.XLOOKUP(F660,'Wk no''s'!B:B,'Wk no''s'!C:C,0)</f>
        <v>11</v>
      </c>
    </row>
    <row r="661" spans="1:7" x14ac:dyDescent="0.3">
      <c r="A661" t="s">
        <v>2773</v>
      </c>
      <c r="B661" t="s">
        <v>2774</v>
      </c>
      <c r="C661" t="s">
        <v>2775</v>
      </c>
      <c r="D661">
        <v>0</v>
      </c>
      <c r="E661">
        <v>1</v>
      </c>
      <c r="F661" s="1">
        <v>45728</v>
      </c>
      <c r="G661">
        <f>_xlfn.XLOOKUP(F661,'Wk no''s'!B:B,'Wk no''s'!C:C,0)</f>
        <v>11</v>
      </c>
    </row>
    <row r="662" spans="1:7" x14ac:dyDescent="0.3">
      <c r="A662" t="s">
        <v>2776</v>
      </c>
      <c r="B662" t="s">
        <v>2777</v>
      </c>
      <c r="C662" t="s">
        <v>2778</v>
      </c>
      <c r="D662">
        <v>24</v>
      </c>
      <c r="E662">
        <v>0</v>
      </c>
      <c r="F662" s="1">
        <v>45728</v>
      </c>
      <c r="G662">
        <f>_xlfn.XLOOKUP(F662,'Wk no''s'!B:B,'Wk no''s'!C:C,0)</f>
        <v>11</v>
      </c>
    </row>
    <row r="663" spans="1:7" x14ac:dyDescent="0.3">
      <c r="A663" t="s">
        <v>2779</v>
      </c>
      <c r="B663" t="s">
        <v>2780</v>
      </c>
      <c r="C663" t="s">
        <v>75</v>
      </c>
      <c r="D663">
        <v>0</v>
      </c>
      <c r="E663">
        <v>1</v>
      </c>
      <c r="F663" s="1">
        <v>45728</v>
      </c>
      <c r="G663">
        <f>_xlfn.XLOOKUP(F663,'Wk no''s'!B:B,'Wk no''s'!C:C,0)</f>
        <v>11</v>
      </c>
    </row>
    <row r="664" spans="1:7" x14ac:dyDescent="0.3">
      <c r="A664" t="s">
        <v>2781</v>
      </c>
      <c r="B664" t="s">
        <v>2782</v>
      </c>
      <c r="C664" t="s">
        <v>33</v>
      </c>
      <c r="D664">
        <v>18</v>
      </c>
      <c r="E664">
        <v>0</v>
      </c>
      <c r="F664" s="1">
        <v>45728</v>
      </c>
      <c r="G664">
        <f>_xlfn.XLOOKUP(F664,'Wk no''s'!B:B,'Wk no''s'!C:C,0)</f>
        <v>11</v>
      </c>
    </row>
    <row r="665" spans="1:7" x14ac:dyDescent="0.3">
      <c r="A665" t="s">
        <v>2783</v>
      </c>
      <c r="B665" t="s">
        <v>2784</v>
      </c>
      <c r="C665" t="s">
        <v>2270</v>
      </c>
      <c r="D665">
        <v>16</v>
      </c>
      <c r="E665">
        <v>0</v>
      </c>
      <c r="F665" s="1">
        <v>45728</v>
      </c>
      <c r="G665">
        <f>_xlfn.XLOOKUP(F665,'Wk no''s'!B:B,'Wk no''s'!C:C,0)</f>
        <v>11</v>
      </c>
    </row>
    <row r="666" spans="1:7" x14ac:dyDescent="0.3">
      <c r="A666" t="s">
        <v>2785</v>
      </c>
      <c r="B666" t="s">
        <v>2786</v>
      </c>
      <c r="C666" t="s">
        <v>27</v>
      </c>
      <c r="D666">
        <v>6</v>
      </c>
      <c r="E666">
        <v>0</v>
      </c>
      <c r="F666" s="1">
        <v>45728</v>
      </c>
      <c r="G666">
        <f>_xlfn.XLOOKUP(F666,'Wk no''s'!B:B,'Wk no''s'!C:C,0)</f>
        <v>11</v>
      </c>
    </row>
    <row r="667" spans="1:7" x14ac:dyDescent="0.3">
      <c r="A667" t="s">
        <v>2787</v>
      </c>
      <c r="B667" t="s">
        <v>2788</v>
      </c>
      <c r="C667" t="s">
        <v>2789</v>
      </c>
      <c r="D667">
        <v>0</v>
      </c>
      <c r="E667">
        <v>1</v>
      </c>
      <c r="F667" s="1">
        <v>45728</v>
      </c>
      <c r="G667">
        <f>_xlfn.XLOOKUP(F667,'Wk no''s'!B:B,'Wk no''s'!C:C,0)</f>
        <v>11</v>
      </c>
    </row>
    <row r="668" spans="1:7" x14ac:dyDescent="0.3">
      <c r="A668" t="s">
        <v>2790</v>
      </c>
      <c r="B668" t="s">
        <v>2791</v>
      </c>
      <c r="C668" t="s">
        <v>2792</v>
      </c>
      <c r="D668">
        <v>0</v>
      </c>
      <c r="E668">
        <v>1</v>
      </c>
      <c r="F668" s="1">
        <v>45728</v>
      </c>
      <c r="G668">
        <f>_xlfn.XLOOKUP(F668,'Wk no''s'!B:B,'Wk no''s'!C:C,0)</f>
        <v>11</v>
      </c>
    </row>
    <row r="669" spans="1:7" x14ac:dyDescent="0.3">
      <c r="A669" t="s">
        <v>2793</v>
      </c>
      <c r="B669" t="s">
        <v>2794</v>
      </c>
      <c r="C669" t="s">
        <v>407</v>
      </c>
      <c r="D669">
        <v>0</v>
      </c>
      <c r="E669">
        <v>1</v>
      </c>
      <c r="F669" s="1">
        <v>45728</v>
      </c>
      <c r="G669">
        <f>_xlfn.XLOOKUP(F669,'Wk no''s'!B:B,'Wk no''s'!C:C,0)</f>
        <v>11</v>
      </c>
    </row>
    <row r="670" spans="1:7" x14ac:dyDescent="0.3">
      <c r="A670" t="s">
        <v>2795</v>
      </c>
      <c r="B670" t="s">
        <v>2796</v>
      </c>
      <c r="C670" t="s">
        <v>2259</v>
      </c>
      <c r="D670">
        <v>30</v>
      </c>
      <c r="E670">
        <v>0</v>
      </c>
      <c r="F670" s="1">
        <v>45728</v>
      </c>
      <c r="G670">
        <f>_xlfn.XLOOKUP(F670,'Wk no''s'!B:B,'Wk no''s'!C:C,0)</f>
        <v>11</v>
      </c>
    </row>
    <row r="671" spans="1:7" x14ac:dyDescent="0.3">
      <c r="A671" t="s">
        <v>2797</v>
      </c>
      <c r="B671" t="s">
        <v>2798</v>
      </c>
      <c r="C671" t="s">
        <v>2799</v>
      </c>
      <c r="D671">
        <v>6</v>
      </c>
      <c r="E671">
        <v>0</v>
      </c>
      <c r="F671" s="1">
        <v>45728</v>
      </c>
      <c r="G671">
        <f>_xlfn.XLOOKUP(F671,'Wk no''s'!B:B,'Wk no''s'!C:C,0)</f>
        <v>11</v>
      </c>
    </row>
    <row r="672" spans="1:7" x14ac:dyDescent="0.3">
      <c r="A672" t="s">
        <v>2800</v>
      </c>
      <c r="B672" t="s">
        <v>2801</v>
      </c>
      <c r="C672" t="s">
        <v>2802</v>
      </c>
      <c r="D672">
        <v>19</v>
      </c>
      <c r="E672">
        <v>0</v>
      </c>
      <c r="F672" s="1">
        <v>45729</v>
      </c>
      <c r="G672">
        <f>_xlfn.XLOOKUP(F672,'Wk no''s'!B:B,'Wk no''s'!C:C,0)</f>
        <v>11</v>
      </c>
    </row>
    <row r="673" spans="1:7" x14ac:dyDescent="0.3">
      <c r="A673" t="s">
        <v>2803</v>
      </c>
      <c r="B673" t="s">
        <v>2804</v>
      </c>
      <c r="C673" t="s">
        <v>2648</v>
      </c>
      <c r="D673">
        <v>49</v>
      </c>
      <c r="E673">
        <v>0</v>
      </c>
      <c r="F673" s="1">
        <v>45729</v>
      </c>
      <c r="G673">
        <f>_xlfn.XLOOKUP(F673,'Wk no''s'!B:B,'Wk no''s'!C:C,0)</f>
        <v>11</v>
      </c>
    </row>
    <row r="674" spans="1:7" x14ac:dyDescent="0.3">
      <c r="A674" t="s">
        <v>2805</v>
      </c>
      <c r="B674" t="s">
        <v>2806</v>
      </c>
      <c r="C674" t="s">
        <v>2807</v>
      </c>
      <c r="D674">
        <v>35</v>
      </c>
      <c r="E674">
        <v>0</v>
      </c>
      <c r="F674" s="1">
        <v>45729</v>
      </c>
      <c r="G674">
        <f>_xlfn.XLOOKUP(F674,'Wk no''s'!B:B,'Wk no''s'!C:C,0)</f>
        <v>11</v>
      </c>
    </row>
    <row r="675" spans="1:7" x14ac:dyDescent="0.3">
      <c r="A675" t="s">
        <v>2808</v>
      </c>
      <c r="B675" t="s">
        <v>2809</v>
      </c>
      <c r="C675" t="s">
        <v>2810</v>
      </c>
      <c r="D675">
        <v>44</v>
      </c>
      <c r="E675">
        <v>0</v>
      </c>
      <c r="F675" s="1">
        <v>45730</v>
      </c>
      <c r="G675">
        <f>_xlfn.XLOOKUP(F675,'Wk no''s'!B:B,'Wk no''s'!C:C,0)</f>
        <v>11</v>
      </c>
    </row>
    <row r="676" spans="1:7" x14ac:dyDescent="0.3">
      <c r="A676" t="s">
        <v>2811</v>
      </c>
      <c r="B676" t="s">
        <v>2812</v>
      </c>
      <c r="C676" t="s">
        <v>2813</v>
      </c>
      <c r="D676">
        <v>0</v>
      </c>
      <c r="E676">
        <v>1</v>
      </c>
      <c r="F676" s="1">
        <v>45730</v>
      </c>
      <c r="G676">
        <f>_xlfn.XLOOKUP(F676,'Wk no''s'!B:B,'Wk no''s'!C:C,0)</f>
        <v>11</v>
      </c>
    </row>
    <row r="677" spans="1:7" x14ac:dyDescent="0.3">
      <c r="A677" t="s">
        <v>2814</v>
      </c>
      <c r="B677" t="s">
        <v>2815</v>
      </c>
      <c r="C677" t="s">
        <v>31</v>
      </c>
      <c r="D677">
        <v>0</v>
      </c>
      <c r="E677">
        <v>1</v>
      </c>
      <c r="F677" s="1">
        <v>45730</v>
      </c>
      <c r="G677">
        <f>_xlfn.XLOOKUP(F677,'Wk no''s'!B:B,'Wk no''s'!C:C,0)</f>
        <v>11</v>
      </c>
    </row>
    <row r="678" spans="1:7" x14ac:dyDescent="0.3">
      <c r="A678" t="s">
        <v>2816</v>
      </c>
      <c r="B678" t="s">
        <v>2817</v>
      </c>
      <c r="C678" t="s">
        <v>2818</v>
      </c>
      <c r="D678">
        <v>15</v>
      </c>
      <c r="E678">
        <v>0</v>
      </c>
      <c r="F678" s="1">
        <v>45730</v>
      </c>
      <c r="G678">
        <f>_xlfn.XLOOKUP(F678,'Wk no''s'!B:B,'Wk no''s'!C:C,0)</f>
        <v>11</v>
      </c>
    </row>
    <row r="679" spans="1:7" x14ac:dyDescent="0.3">
      <c r="A679" t="s">
        <v>2819</v>
      </c>
      <c r="B679" t="s">
        <v>2820</v>
      </c>
      <c r="C679" t="s">
        <v>1393</v>
      </c>
      <c r="D679">
        <v>0</v>
      </c>
      <c r="E679">
        <v>1</v>
      </c>
      <c r="F679" s="1">
        <v>45730</v>
      </c>
      <c r="G679">
        <f>_xlfn.XLOOKUP(F679,'Wk no''s'!B:B,'Wk no''s'!C:C,0)</f>
        <v>11</v>
      </c>
    </row>
    <row r="680" spans="1:7" x14ac:dyDescent="0.3">
      <c r="A680" t="s">
        <v>2821</v>
      </c>
      <c r="B680" t="s">
        <v>2822</v>
      </c>
      <c r="C680" t="s">
        <v>2823</v>
      </c>
      <c r="D680">
        <v>0</v>
      </c>
      <c r="E680">
        <v>1</v>
      </c>
      <c r="F680" s="1">
        <v>45730</v>
      </c>
      <c r="G680">
        <f>_xlfn.XLOOKUP(F680,'Wk no''s'!B:B,'Wk no''s'!C:C,0)</f>
        <v>11</v>
      </c>
    </row>
    <row r="681" spans="1:7" x14ac:dyDescent="0.3">
      <c r="A681" t="s">
        <v>2824</v>
      </c>
      <c r="B681" t="s">
        <v>2825</v>
      </c>
      <c r="C681" t="s">
        <v>481</v>
      </c>
      <c r="D681">
        <v>0</v>
      </c>
      <c r="E681">
        <v>1</v>
      </c>
      <c r="F681" s="1">
        <v>45730</v>
      </c>
      <c r="G681">
        <f>_xlfn.XLOOKUP(F681,'Wk no''s'!B:B,'Wk no''s'!C:C,0)</f>
        <v>11</v>
      </c>
    </row>
    <row r="682" spans="1:7" x14ac:dyDescent="0.3">
      <c r="A682" t="s">
        <v>2826</v>
      </c>
      <c r="B682" t="s">
        <v>2827</v>
      </c>
      <c r="C682" t="s">
        <v>33</v>
      </c>
      <c r="D682">
        <v>1</v>
      </c>
      <c r="E682">
        <v>1</v>
      </c>
      <c r="F682" s="1">
        <v>45730</v>
      </c>
      <c r="G682">
        <f>_xlfn.XLOOKUP(F682,'Wk no''s'!B:B,'Wk no''s'!C:C,0)</f>
        <v>11</v>
      </c>
    </row>
    <row r="683" spans="1:7" x14ac:dyDescent="0.3">
      <c r="A683" t="s">
        <v>2828</v>
      </c>
      <c r="B683" t="s">
        <v>2829</v>
      </c>
      <c r="C683" t="s">
        <v>2291</v>
      </c>
      <c r="D683">
        <v>0</v>
      </c>
      <c r="E683">
        <v>1</v>
      </c>
      <c r="F683" s="1">
        <v>45730</v>
      </c>
      <c r="G683">
        <f>_xlfn.XLOOKUP(F683,'Wk no''s'!B:B,'Wk no''s'!C:C,0)</f>
        <v>11</v>
      </c>
    </row>
    <row r="684" spans="1:7" x14ac:dyDescent="0.3">
      <c r="A684" t="s">
        <v>2830</v>
      </c>
      <c r="B684" t="s">
        <v>2831</v>
      </c>
      <c r="C684" t="s">
        <v>2832</v>
      </c>
      <c r="D684">
        <v>0</v>
      </c>
      <c r="E684">
        <v>1</v>
      </c>
      <c r="F684" s="1">
        <v>45730</v>
      </c>
      <c r="G684">
        <f>_xlfn.XLOOKUP(F684,'Wk no''s'!B:B,'Wk no''s'!C:C,0)</f>
        <v>11</v>
      </c>
    </row>
    <row r="685" spans="1:7" x14ac:dyDescent="0.3">
      <c r="A685" t="s">
        <v>2833</v>
      </c>
      <c r="B685" t="s">
        <v>2834</v>
      </c>
      <c r="C685" t="s">
        <v>2835</v>
      </c>
      <c r="D685">
        <v>2</v>
      </c>
      <c r="E685">
        <v>1</v>
      </c>
      <c r="F685" s="1">
        <v>45730</v>
      </c>
      <c r="G685">
        <f>_xlfn.XLOOKUP(F685,'Wk no''s'!B:B,'Wk no''s'!C:C,0)</f>
        <v>11</v>
      </c>
    </row>
    <row r="686" spans="1:7" x14ac:dyDescent="0.3">
      <c r="A686" t="s">
        <v>2836</v>
      </c>
      <c r="B686" t="s">
        <v>2837</v>
      </c>
      <c r="C686" t="s">
        <v>407</v>
      </c>
      <c r="D686">
        <v>5</v>
      </c>
      <c r="E686">
        <v>1</v>
      </c>
      <c r="F686" s="1">
        <v>45730</v>
      </c>
      <c r="G686">
        <f>_xlfn.XLOOKUP(F686,'Wk no''s'!B:B,'Wk no''s'!C:C,0)</f>
        <v>11</v>
      </c>
    </row>
    <row r="687" spans="1:7" x14ac:dyDescent="0.3">
      <c r="A687" t="s">
        <v>2838</v>
      </c>
      <c r="B687" t="s">
        <v>2839</v>
      </c>
      <c r="C687" t="s">
        <v>2840</v>
      </c>
      <c r="D687">
        <v>0</v>
      </c>
      <c r="E687">
        <v>1</v>
      </c>
      <c r="F687" s="1">
        <v>45730</v>
      </c>
      <c r="G687">
        <f>_xlfn.XLOOKUP(F687,'Wk no''s'!B:B,'Wk no''s'!C:C,0)</f>
        <v>11</v>
      </c>
    </row>
    <row r="688" spans="1:7" x14ac:dyDescent="0.3">
      <c r="A688" t="s">
        <v>2841</v>
      </c>
      <c r="B688" t="s">
        <v>2842</v>
      </c>
      <c r="C688" t="s">
        <v>644</v>
      </c>
      <c r="D688">
        <v>0</v>
      </c>
      <c r="E688">
        <v>1</v>
      </c>
      <c r="F688" s="1">
        <v>45733</v>
      </c>
      <c r="G688">
        <f>_xlfn.XLOOKUP(F688,'Wk no''s'!B:B,'Wk no''s'!C:C,0)</f>
        <v>12</v>
      </c>
    </row>
    <row r="689" spans="1:7" x14ac:dyDescent="0.3">
      <c r="A689" t="s">
        <v>2843</v>
      </c>
      <c r="B689" t="s">
        <v>2844</v>
      </c>
      <c r="C689" t="s">
        <v>750</v>
      </c>
      <c r="D689">
        <v>5</v>
      </c>
      <c r="E689">
        <v>1</v>
      </c>
      <c r="F689" s="1">
        <v>45733</v>
      </c>
      <c r="G689">
        <f>_xlfn.XLOOKUP(F689,'Wk no''s'!B:B,'Wk no''s'!C:C,0)</f>
        <v>12</v>
      </c>
    </row>
    <row r="690" spans="1:7" x14ac:dyDescent="0.3">
      <c r="A690" t="s">
        <v>2845</v>
      </c>
      <c r="B690" t="s">
        <v>2846</v>
      </c>
      <c r="C690" t="s">
        <v>1781</v>
      </c>
      <c r="D690">
        <v>3</v>
      </c>
      <c r="E690">
        <v>1</v>
      </c>
      <c r="F690" s="1">
        <v>45733</v>
      </c>
      <c r="G690">
        <f>_xlfn.XLOOKUP(F690,'Wk no''s'!B:B,'Wk no''s'!C:C,0)</f>
        <v>12</v>
      </c>
    </row>
    <row r="691" spans="1:7" x14ac:dyDescent="0.3">
      <c r="A691" t="s">
        <v>2847</v>
      </c>
      <c r="B691" t="s">
        <v>2848</v>
      </c>
      <c r="C691" t="s">
        <v>2849</v>
      </c>
      <c r="D691">
        <v>0</v>
      </c>
      <c r="E691">
        <v>1</v>
      </c>
      <c r="F691" s="1">
        <v>45733</v>
      </c>
      <c r="G691">
        <f>_xlfn.XLOOKUP(F691,'Wk no''s'!B:B,'Wk no''s'!C:C,0)</f>
        <v>12</v>
      </c>
    </row>
    <row r="692" spans="1:7" x14ac:dyDescent="0.3">
      <c r="A692" t="s">
        <v>2850</v>
      </c>
      <c r="B692" t="s">
        <v>2851</v>
      </c>
      <c r="C692" t="s">
        <v>2852</v>
      </c>
      <c r="D692">
        <v>16</v>
      </c>
      <c r="E692">
        <v>0</v>
      </c>
      <c r="F692" s="1">
        <v>45733</v>
      </c>
      <c r="G692">
        <f>_xlfn.XLOOKUP(F692,'Wk no''s'!B:B,'Wk no''s'!C:C,0)</f>
        <v>12</v>
      </c>
    </row>
    <row r="693" spans="1:7" x14ac:dyDescent="0.3">
      <c r="A693" t="s">
        <v>2853</v>
      </c>
      <c r="B693" t="s">
        <v>2854</v>
      </c>
      <c r="C693" t="s">
        <v>2855</v>
      </c>
      <c r="D693">
        <v>0</v>
      </c>
      <c r="E693">
        <v>1</v>
      </c>
      <c r="F693" s="1">
        <v>45733</v>
      </c>
      <c r="G693">
        <f>_xlfn.XLOOKUP(F693,'Wk no''s'!B:B,'Wk no''s'!C:C,0)</f>
        <v>12</v>
      </c>
    </row>
    <row r="694" spans="1:7" x14ac:dyDescent="0.3">
      <c r="A694" t="s">
        <v>2856</v>
      </c>
      <c r="B694" t="s">
        <v>2857</v>
      </c>
      <c r="C694" t="s">
        <v>2858</v>
      </c>
      <c r="D694">
        <v>0</v>
      </c>
      <c r="E694">
        <v>1</v>
      </c>
      <c r="F694" s="1">
        <v>45733</v>
      </c>
      <c r="G694">
        <f>_xlfn.XLOOKUP(F694,'Wk no''s'!B:B,'Wk no''s'!C:C,0)</f>
        <v>12</v>
      </c>
    </row>
    <row r="695" spans="1:7" x14ac:dyDescent="0.3">
      <c r="A695" t="s">
        <v>2859</v>
      </c>
      <c r="B695" t="s">
        <v>2860</v>
      </c>
      <c r="C695" t="s">
        <v>34</v>
      </c>
      <c r="D695">
        <v>74</v>
      </c>
      <c r="E695">
        <v>0</v>
      </c>
      <c r="F695" s="1">
        <v>45733</v>
      </c>
      <c r="G695">
        <f>_xlfn.XLOOKUP(F695,'Wk no''s'!B:B,'Wk no''s'!C:C,0)</f>
        <v>12</v>
      </c>
    </row>
    <row r="696" spans="1:7" x14ac:dyDescent="0.3">
      <c r="A696" t="s">
        <v>2861</v>
      </c>
      <c r="B696" t="s">
        <v>2862</v>
      </c>
      <c r="C696" t="s">
        <v>69</v>
      </c>
      <c r="D696">
        <v>0</v>
      </c>
      <c r="E696">
        <v>1</v>
      </c>
      <c r="F696" s="1">
        <v>45734</v>
      </c>
      <c r="G696">
        <f>_xlfn.XLOOKUP(F696,'Wk no''s'!B:B,'Wk no''s'!C:C,0)</f>
        <v>12</v>
      </c>
    </row>
    <row r="697" spans="1:7" x14ac:dyDescent="0.3">
      <c r="A697" t="s">
        <v>2863</v>
      </c>
      <c r="B697" t="s">
        <v>2864</v>
      </c>
      <c r="C697" t="s">
        <v>2632</v>
      </c>
      <c r="D697">
        <v>2</v>
      </c>
      <c r="E697">
        <v>1</v>
      </c>
      <c r="F697" s="1">
        <v>45734</v>
      </c>
      <c r="G697">
        <f>_xlfn.XLOOKUP(F697,'Wk no''s'!B:B,'Wk no''s'!C:C,0)</f>
        <v>12</v>
      </c>
    </row>
    <row r="698" spans="1:7" x14ac:dyDescent="0.3">
      <c r="A698" t="s">
        <v>2865</v>
      </c>
      <c r="B698" t="s">
        <v>2866</v>
      </c>
      <c r="C698" t="s">
        <v>2867</v>
      </c>
      <c r="D698">
        <v>0</v>
      </c>
      <c r="E698">
        <v>1</v>
      </c>
      <c r="F698" s="1">
        <v>45734</v>
      </c>
      <c r="G698">
        <f>_xlfn.XLOOKUP(F698,'Wk no''s'!B:B,'Wk no''s'!C:C,0)</f>
        <v>12</v>
      </c>
    </row>
    <row r="699" spans="1:7" x14ac:dyDescent="0.3">
      <c r="A699" t="s">
        <v>2868</v>
      </c>
      <c r="B699" t="s">
        <v>2869</v>
      </c>
      <c r="C699" t="s">
        <v>2870</v>
      </c>
      <c r="D699">
        <v>6</v>
      </c>
      <c r="E699">
        <v>0</v>
      </c>
      <c r="F699" s="1">
        <v>45734</v>
      </c>
      <c r="G699">
        <f>_xlfn.XLOOKUP(F699,'Wk no''s'!B:B,'Wk no''s'!C:C,0)</f>
        <v>12</v>
      </c>
    </row>
    <row r="700" spans="1:7" x14ac:dyDescent="0.3">
      <c r="A700" t="s">
        <v>2871</v>
      </c>
      <c r="B700" t="s">
        <v>2872</v>
      </c>
      <c r="C700" t="s">
        <v>164</v>
      </c>
      <c r="D700">
        <v>0</v>
      </c>
      <c r="E700">
        <v>1</v>
      </c>
      <c r="F700" s="1">
        <v>45734</v>
      </c>
      <c r="G700">
        <f>_xlfn.XLOOKUP(F700,'Wk no''s'!B:B,'Wk no''s'!C:C,0)</f>
        <v>12</v>
      </c>
    </row>
    <row r="701" spans="1:7" x14ac:dyDescent="0.3">
      <c r="A701" t="s">
        <v>2873</v>
      </c>
      <c r="B701" t="s">
        <v>2874</v>
      </c>
      <c r="C701" t="s">
        <v>2875</v>
      </c>
      <c r="D701">
        <v>0</v>
      </c>
      <c r="E701">
        <v>1</v>
      </c>
      <c r="F701" s="1">
        <v>45734</v>
      </c>
      <c r="G701">
        <f>_xlfn.XLOOKUP(F701,'Wk no''s'!B:B,'Wk no''s'!C:C,0)</f>
        <v>12</v>
      </c>
    </row>
    <row r="702" spans="1:7" x14ac:dyDescent="0.3">
      <c r="A702" t="s">
        <v>2876</v>
      </c>
      <c r="B702" t="s">
        <v>2877</v>
      </c>
      <c r="C702" t="s">
        <v>6908</v>
      </c>
      <c r="D702">
        <v>0</v>
      </c>
      <c r="E702">
        <v>1</v>
      </c>
      <c r="F702" s="1">
        <v>45735</v>
      </c>
      <c r="G702">
        <f>_xlfn.XLOOKUP(F702,'Wk no''s'!B:B,'Wk no''s'!C:C,0)</f>
        <v>12</v>
      </c>
    </row>
    <row r="703" spans="1:7" x14ac:dyDescent="0.3">
      <c r="A703" t="s">
        <v>2878</v>
      </c>
      <c r="B703" t="s">
        <v>2879</v>
      </c>
      <c r="C703" t="s">
        <v>39</v>
      </c>
      <c r="D703">
        <v>0</v>
      </c>
      <c r="E703">
        <v>1</v>
      </c>
      <c r="F703" s="1">
        <v>45735</v>
      </c>
      <c r="G703">
        <f>_xlfn.XLOOKUP(F703,'Wk no''s'!B:B,'Wk no''s'!C:C,0)</f>
        <v>12</v>
      </c>
    </row>
    <row r="704" spans="1:7" x14ac:dyDescent="0.3">
      <c r="A704" t="s">
        <v>2880</v>
      </c>
      <c r="B704" t="s">
        <v>2881</v>
      </c>
      <c r="C704" t="s">
        <v>2236</v>
      </c>
      <c r="D704">
        <v>0</v>
      </c>
      <c r="E704">
        <v>1</v>
      </c>
      <c r="F704" s="1">
        <v>45735</v>
      </c>
      <c r="G704">
        <f>_xlfn.XLOOKUP(F704,'Wk no''s'!B:B,'Wk no''s'!C:C,0)</f>
        <v>12</v>
      </c>
    </row>
    <row r="705" spans="1:7" x14ac:dyDescent="0.3">
      <c r="A705" t="s">
        <v>2882</v>
      </c>
      <c r="B705" t="s">
        <v>2883</v>
      </c>
      <c r="C705" t="s">
        <v>2884</v>
      </c>
      <c r="D705">
        <v>7</v>
      </c>
      <c r="E705">
        <v>0</v>
      </c>
      <c r="F705" s="1">
        <v>45735</v>
      </c>
      <c r="G705">
        <f>_xlfn.XLOOKUP(F705,'Wk no''s'!B:B,'Wk no''s'!C:C,0)</f>
        <v>12</v>
      </c>
    </row>
    <row r="706" spans="1:7" x14ac:dyDescent="0.3">
      <c r="A706" t="s">
        <v>2885</v>
      </c>
      <c r="B706" t="s">
        <v>2886</v>
      </c>
      <c r="C706" t="s">
        <v>2887</v>
      </c>
      <c r="D706">
        <v>12</v>
      </c>
      <c r="E706">
        <v>0</v>
      </c>
      <c r="F706" s="1">
        <v>45735</v>
      </c>
      <c r="G706">
        <f>_xlfn.XLOOKUP(F706,'Wk no''s'!B:B,'Wk no''s'!C:C,0)</f>
        <v>12</v>
      </c>
    </row>
    <row r="707" spans="1:7" x14ac:dyDescent="0.3">
      <c r="A707" t="s">
        <v>2888</v>
      </c>
      <c r="B707" t="s">
        <v>2889</v>
      </c>
      <c r="C707" t="s">
        <v>1437</v>
      </c>
      <c r="D707">
        <v>0</v>
      </c>
      <c r="E707">
        <v>1</v>
      </c>
      <c r="F707" s="1">
        <v>45735</v>
      </c>
      <c r="G707">
        <f>_xlfn.XLOOKUP(F707,'Wk no''s'!B:B,'Wk no''s'!C:C,0)</f>
        <v>12</v>
      </c>
    </row>
    <row r="708" spans="1:7" x14ac:dyDescent="0.3">
      <c r="A708" t="s">
        <v>2890</v>
      </c>
      <c r="B708" t="s">
        <v>2891</v>
      </c>
      <c r="C708" t="s">
        <v>113</v>
      </c>
      <c r="D708">
        <v>15</v>
      </c>
      <c r="E708">
        <v>0</v>
      </c>
      <c r="F708" s="1">
        <v>45735</v>
      </c>
      <c r="G708">
        <f>_xlfn.XLOOKUP(F708,'Wk no''s'!B:B,'Wk no''s'!C:C,0)</f>
        <v>12</v>
      </c>
    </row>
    <row r="709" spans="1:7" x14ac:dyDescent="0.3">
      <c r="A709" t="s">
        <v>2892</v>
      </c>
      <c r="B709" t="s">
        <v>2893</v>
      </c>
      <c r="C709" t="s">
        <v>2894</v>
      </c>
      <c r="D709">
        <v>2</v>
      </c>
      <c r="E709">
        <v>1</v>
      </c>
      <c r="F709" s="1">
        <v>45735</v>
      </c>
      <c r="G709">
        <f>_xlfn.XLOOKUP(F709,'Wk no''s'!B:B,'Wk no''s'!C:C,0)</f>
        <v>12</v>
      </c>
    </row>
    <row r="710" spans="1:7" x14ac:dyDescent="0.3">
      <c r="A710" t="s">
        <v>2895</v>
      </c>
      <c r="B710" t="s">
        <v>2896</v>
      </c>
      <c r="C710" t="s">
        <v>2897</v>
      </c>
      <c r="D710">
        <v>46</v>
      </c>
      <c r="E710">
        <v>0</v>
      </c>
      <c r="F710" s="1">
        <v>45735</v>
      </c>
      <c r="G710">
        <f>_xlfn.XLOOKUP(F710,'Wk no''s'!B:B,'Wk no''s'!C:C,0)</f>
        <v>12</v>
      </c>
    </row>
    <row r="711" spans="1:7" x14ac:dyDescent="0.3">
      <c r="A711" t="s">
        <v>2898</v>
      </c>
      <c r="B711" t="s">
        <v>2899</v>
      </c>
      <c r="C711" t="s">
        <v>220</v>
      </c>
      <c r="D711">
        <v>0</v>
      </c>
      <c r="E711">
        <v>1</v>
      </c>
      <c r="F711" s="1">
        <v>45736</v>
      </c>
      <c r="G711">
        <f>_xlfn.XLOOKUP(F711,'Wk no''s'!B:B,'Wk no''s'!C:C,0)</f>
        <v>12</v>
      </c>
    </row>
    <row r="712" spans="1:7" x14ac:dyDescent="0.3">
      <c r="A712" t="s">
        <v>2900</v>
      </c>
      <c r="B712" t="s">
        <v>2901</v>
      </c>
      <c r="C712" t="s">
        <v>407</v>
      </c>
      <c r="D712">
        <v>0</v>
      </c>
      <c r="E712">
        <v>1</v>
      </c>
      <c r="F712" s="1">
        <v>45736</v>
      </c>
      <c r="G712">
        <f>_xlfn.XLOOKUP(F712,'Wk no''s'!B:B,'Wk no''s'!C:C,0)</f>
        <v>12</v>
      </c>
    </row>
    <row r="713" spans="1:7" x14ac:dyDescent="0.3">
      <c r="A713" t="s">
        <v>2902</v>
      </c>
      <c r="B713" t="s">
        <v>2903</v>
      </c>
      <c r="C713" t="s">
        <v>1117</v>
      </c>
      <c r="D713">
        <v>8</v>
      </c>
      <c r="E713">
        <v>0</v>
      </c>
      <c r="F713" s="1">
        <v>45736</v>
      </c>
      <c r="G713">
        <f>_xlfn.XLOOKUP(F713,'Wk no''s'!B:B,'Wk no''s'!C:C,0)</f>
        <v>12</v>
      </c>
    </row>
    <row r="714" spans="1:7" x14ac:dyDescent="0.3">
      <c r="A714" t="s">
        <v>2904</v>
      </c>
      <c r="B714" t="s">
        <v>2905</v>
      </c>
      <c r="C714" t="s">
        <v>197</v>
      </c>
      <c r="D714">
        <v>2</v>
      </c>
      <c r="E714">
        <v>1</v>
      </c>
      <c r="F714" s="1">
        <v>45736</v>
      </c>
      <c r="G714">
        <f>_xlfn.XLOOKUP(F714,'Wk no''s'!B:B,'Wk no''s'!C:C,0)</f>
        <v>12</v>
      </c>
    </row>
    <row r="715" spans="1:7" x14ac:dyDescent="0.3">
      <c r="A715" t="s">
        <v>2906</v>
      </c>
      <c r="B715" t="s">
        <v>2907</v>
      </c>
      <c r="C715" t="s">
        <v>2908</v>
      </c>
      <c r="D715">
        <v>9</v>
      </c>
      <c r="E715">
        <v>0</v>
      </c>
      <c r="F715" s="1">
        <v>45736</v>
      </c>
      <c r="G715">
        <f>_xlfn.XLOOKUP(F715,'Wk no''s'!B:B,'Wk no''s'!C:C,0)</f>
        <v>12</v>
      </c>
    </row>
    <row r="716" spans="1:7" x14ac:dyDescent="0.3">
      <c r="A716" t="s">
        <v>2909</v>
      </c>
      <c r="B716" t="s">
        <v>2910</v>
      </c>
      <c r="C716" t="s">
        <v>2911</v>
      </c>
      <c r="D716">
        <v>0</v>
      </c>
      <c r="E716">
        <v>1</v>
      </c>
      <c r="F716" s="1">
        <v>45736</v>
      </c>
      <c r="G716">
        <f>_xlfn.XLOOKUP(F716,'Wk no''s'!B:B,'Wk no''s'!C:C,0)</f>
        <v>12</v>
      </c>
    </row>
    <row r="717" spans="1:7" x14ac:dyDescent="0.3">
      <c r="A717" t="s">
        <v>2912</v>
      </c>
      <c r="B717" t="s">
        <v>2913</v>
      </c>
      <c r="C717" t="s">
        <v>1194</v>
      </c>
      <c r="D717">
        <v>0</v>
      </c>
      <c r="E717">
        <v>1</v>
      </c>
      <c r="F717" s="1">
        <v>45736</v>
      </c>
      <c r="G717">
        <f>_xlfn.XLOOKUP(F717,'Wk no''s'!B:B,'Wk no''s'!C:C,0)</f>
        <v>12</v>
      </c>
    </row>
    <row r="718" spans="1:7" x14ac:dyDescent="0.3">
      <c r="A718" t="s">
        <v>2914</v>
      </c>
      <c r="B718" t="s">
        <v>2915</v>
      </c>
      <c r="C718" t="s">
        <v>1693</v>
      </c>
      <c r="D718">
        <v>0</v>
      </c>
      <c r="E718">
        <v>1</v>
      </c>
      <c r="F718" s="1">
        <v>45736</v>
      </c>
      <c r="G718">
        <f>_xlfn.XLOOKUP(F718,'Wk no''s'!B:B,'Wk no''s'!C:C,0)</f>
        <v>12</v>
      </c>
    </row>
    <row r="719" spans="1:7" x14ac:dyDescent="0.3">
      <c r="A719" t="s">
        <v>2916</v>
      </c>
      <c r="B719" t="s">
        <v>2917</v>
      </c>
      <c r="C719" t="s">
        <v>2918</v>
      </c>
      <c r="D719">
        <v>0</v>
      </c>
      <c r="E719">
        <v>1</v>
      </c>
      <c r="F719" s="1">
        <v>45736</v>
      </c>
      <c r="G719">
        <f>_xlfn.XLOOKUP(F719,'Wk no''s'!B:B,'Wk no''s'!C:C,0)</f>
        <v>12</v>
      </c>
    </row>
    <row r="720" spans="1:7" x14ac:dyDescent="0.3">
      <c r="A720" t="s">
        <v>2919</v>
      </c>
      <c r="B720" t="s">
        <v>2920</v>
      </c>
      <c r="C720" t="s">
        <v>31</v>
      </c>
      <c r="D720">
        <v>0</v>
      </c>
      <c r="E720">
        <v>1</v>
      </c>
      <c r="F720" s="1">
        <v>45736</v>
      </c>
      <c r="G720">
        <f>_xlfn.XLOOKUP(F720,'Wk no''s'!B:B,'Wk no''s'!C:C,0)</f>
        <v>12</v>
      </c>
    </row>
    <row r="721" spans="1:7" x14ac:dyDescent="0.3">
      <c r="A721" t="s">
        <v>2921</v>
      </c>
      <c r="B721" t="s">
        <v>2922</v>
      </c>
      <c r="C721" t="s">
        <v>31</v>
      </c>
      <c r="D721">
        <v>0</v>
      </c>
      <c r="E721">
        <v>1</v>
      </c>
      <c r="F721" s="1">
        <v>45736</v>
      </c>
      <c r="G721">
        <f>_xlfn.XLOOKUP(F721,'Wk no''s'!B:B,'Wk no''s'!C:C,0)</f>
        <v>12</v>
      </c>
    </row>
    <row r="722" spans="1:7" x14ac:dyDescent="0.3">
      <c r="A722" t="s">
        <v>2923</v>
      </c>
      <c r="B722" t="s">
        <v>2924</v>
      </c>
      <c r="C722" t="s">
        <v>31</v>
      </c>
      <c r="D722">
        <v>0</v>
      </c>
      <c r="E722">
        <v>1</v>
      </c>
      <c r="F722" s="1">
        <v>45736</v>
      </c>
      <c r="G722">
        <f>_xlfn.XLOOKUP(F722,'Wk no''s'!B:B,'Wk no''s'!C:C,0)</f>
        <v>12</v>
      </c>
    </row>
    <row r="723" spans="1:7" x14ac:dyDescent="0.3">
      <c r="A723" t="s">
        <v>2925</v>
      </c>
      <c r="B723" t="s">
        <v>2926</v>
      </c>
      <c r="C723" t="s">
        <v>432</v>
      </c>
      <c r="D723">
        <v>0</v>
      </c>
      <c r="E723">
        <v>1</v>
      </c>
      <c r="F723" s="1">
        <v>45736</v>
      </c>
      <c r="G723">
        <f>_xlfn.XLOOKUP(F723,'Wk no''s'!B:B,'Wk no''s'!C:C,0)</f>
        <v>12</v>
      </c>
    </row>
    <row r="724" spans="1:7" x14ac:dyDescent="0.3">
      <c r="A724" t="s">
        <v>2927</v>
      </c>
      <c r="B724" t="s">
        <v>2928</v>
      </c>
      <c r="C724" t="s">
        <v>407</v>
      </c>
      <c r="D724">
        <v>0</v>
      </c>
      <c r="E724">
        <v>1</v>
      </c>
      <c r="F724" s="1">
        <v>45736</v>
      </c>
      <c r="G724">
        <f>_xlfn.XLOOKUP(F724,'Wk no''s'!B:B,'Wk no''s'!C:C,0)</f>
        <v>12</v>
      </c>
    </row>
    <row r="725" spans="1:7" x14ac:dyDescent="0.3">
      <c r="A725" t="s">
        <v>2929</v>
      </c>
      <c r="B725" t="s">
        <v>2930</v>
      </c>
      <c r="C725" t="s">
        <v>1639</v>
      </c>
      <c r="D725">
        <v>0</v>
      </c>
      <c r="E725">
        <v>1</v>
      </c>
      <c r="F725" s="1">
        <v>45737</v>
      </c>
      <c r="G725">
        <f>_xlfn.XLOOKUP(F725,'Wk no''s'!B:B,'Wk no''s'!C:C,0)</f>
        <v>12</v>
      </c>
    </row>
    <row r="726" spans="1:7" x14ac:dyDescent="0.3">
      <c r="A726" t="s">
        <v>2931</v>
      </c>
      <c r="B726" t="s">
        <v>2932</v>
      </c>
      <c r="C726" t="s">
        <v>1393</v>
      </c>
      <c r="D726">
        <v>0</v>
      </c>
      <c r="E726">
        <v>1</v>
      </c>
      <c r="F726" s="1">
        <v>45737</v>
      </c>
      <c r="G726">
        <f>_xlfn.XLOOKUP(F726,'Wk no''s'!B:B,'Wk no''s'!C:C,0)</f>
        <v>12</v>
      </c>
    </row>
    <row r="727" spans="1:7" x14ac:dyDescent="0.3">
      <c r="A727" t="s">
        <v>2933</v>
      </c>
      <c r="B727" t="s">
        <v>2934</v>
      </c>
      <c r="C727" t="s">
        <v>2935</v>
      </c>
      <c r="D727">
        <v>2</v>
      </c>
      <c r="E727">
        <v>1</v>
      </c>
      <c r="F727" s="1">
        <v>45737</v>
      </c>
      <c r="G727">
        <f>_xlfn.XLOOKUP(F727,'Wk no''s'!B:B,'Wk no''s'!C:C,0)</f>
        <v>12</v>
      </c>
    </row>
    <row r="728" spans="1:7" x14ac:dyDescent="0.3">
      <c r="A728" t="s">
        <v>2936</v>
      </c>
      <c r="B728" t="s">
        <v>2937</v>
      </c>
      <c r="C728" t="s">
        <v>31</v>
      </c>
      <c r="D728">
        <v>14</v>
      </c>
      <c r="E728">
        <v>0</v>
      </c>
      <c r="F728" s="1">
        <v>45737</v>
      </c>
      <c r="G728">
        <f>_xlfn.XLOOKUP(F728,'Wk no''s'!B:B,'Wk no''s'!C:C,0)</f>
        <v>12</v>
      </c>
    </row>
    <row r="729" spans="1:7" x14ac:dyDescent="0.3">
      <c r="A729" t="s">
        <v>2938</v>
      </c>
      <c r="B729" t="s">
        <v>2939</v>
      </c>
      <c r="C729" t="s">
        <v>75</v>
      </c>
      <c r="D729">
        <v>0</v>
      </c>
      <c r="E729">
        <v>1</v>
      </c>
      <c r="F729" s="1">
        <v>45737</v>
      </c>
      <c r="G729">
        <f>_xlfn.XLOOKUP(F729,'Wk no''s'!B:B,'Wk no''s'!C:C,0)</f>
        <v>12</v>
      </c>
    </row>
    <row r="730" spans="1:7" x14ac:dyDescent="0.3">
      <c r="A730" t="s">
        <v>2940</v>
      </c>
      <c r="B730" t="s">
        <v>2941</v>
      </c>
      <c r="C730" t="s">
        <v>2421</v>
      </c>
      <c r="D730">
        <v>0</v>
      </c>
      <c r="E730">
        <v>1</v>
      </c>
      <c r="F730" s="1">
        <v>45737</v>
      </c>
      <c r="G730">
        <f>_xlfn.XLOOKUP(F730,'Wk no''s'!B:B,'Wk no''s'!C:C,0)</f>
        <v>12</v>
      </c>
    </row>
    <row r="731" spans="1:7" x14ac:dyDescent="0.3">
      <c r="A731" t="s">
        <v>2942</v>
      </c>
      <c r="B731" t="s">
        <v>2943</v>
      </c>
      <c r="C731" t="s">
        <v>1446</v>
      </c>
      <c r="D731">
        <v>0</v>
      </c>
      <c r="E731">
        <v>1</v>
      </c>
      <c r="F731" s="1">
        <v>45737</v>
      </c>
      <c r="G731">
        <f>_xlfn.XLOOKUP(F731,'Wk no''s'!B:B,'Wk no''s'!C:C,0)</f>
        <v>12</v>
      </c>
    </row>
    <row r="732" spans="1:7" x14ac:dyDescent="0.3">
      <c r="A732" t="s">
        <v>2944</v>
      </c>
      <c r="B732" t="s">
        <v>2945</v>
      </c>
      <c r="C732" t="s">
        <v>2946</v>
      </c>
      <c r="D732">
        <v>0</v>
      </c>
      <c r="E732">
        <v>1</v>
      </c>
      <c r="F732" s="1">
        <v>45740</v>
      </c>
      <c r="G732">
        <f>_xlfn.XLOOKUP(F732,'Wk no''s'!B:B,'Wk no''s'!C:C,0)</f>
        <v>13</v>
      </c>
    </row>
    <row r="733" spans="1:7" x14ac:dyDescent="0.3">
      <c r="A733" t="s">
        <v>2947</v>
      </c>
      <c r="B733" t="s">
        <v>2948</v>
      </c>
      <c r="C733" t="s">
        <v>1224</v>
      </c>
      <c r="D733">
        <v>0</v>
      </c>
      <c r="E733">
        <v>1</v>
      </c>
      <c r="F733" s="1">
        <v>45740</v>
      </c>
      <c r="G733">
        <f>_xlfn.XLOOKUP(F733,'Wk no''s'!B:B,'Wk no''s'!C:C,0)</f>
        <v>13</v>
      </c>
    </row>
    <row r="734" spans="1:7" x14ac:dyDescent="0.3">
      <c r="A734" t="s">
        <v>2949</v>
      </c>
      <c r="B734" t="s">
        <v>2950</v>
      </c>
      <c r="C734" t="s">
        <v>2951</v>
      </c>
      <c r="D734">
        <v>0</v>
      </c>
      <c r="E734">
        <v>1</v>
      </c>
      <c r="F734" s="1">
        <v>45740</v>
      </c>
      <c r="G734">
        <f>_xlfn.XLOOKUP(F734,'Wk no''s'!B:B,'Wk no''s'!C:C,0)</f>
        <v>13</v>
      </c>
    </row>
    <row r="735" spans="1:7" x14ac:dyDescent="0.3">
      <c r="A735" t="s">
        <v>2952</v>
      </c>
      <c r="C735" t="s">
        <v>2953</v>
      </c>
      <c r="D735">
        <v>8</v>
      </c>
      <c r="E735">
        <v>0</v>
      </c>
      <c r="F735" s="1">
        <v>45740</v>
      </c>
      <c r="G735">
        <f>_xlfn.XLOOKUP(F735,'Wk no''s'!B:B,'Wk no''s'!C:C,0)</f>
        <v>13</v>
      </c>
    </row>
    <row r="736" spans="1:7" x14ac:dyDescent="0.3">
      <c r="A736" t="s">
        <v>2954</v>
      </c>
      <c r="B736" t="s">
        <v>2955</v>
      </c>
      <c r="C736" t="s">
        <v>197</v>
      </c>
      <c r="D736">
        <v>2</v>
      </c>
      <c r="E736">
        <v>1</v>
      </c>
      <c r="F736" s="1">
        <v>45740</v>
      </c>
      <c r="G736">
        <f>_xlfn.XLOOKUP(F736,'Wk no''s'!B:B,'Wk no''s'!C:C,0)</f>
        <v>13</v>
      </c>
    </row>
    <row r="737" spans="1:7" x14ac:dyDescent="0.3">
      <c r="A737" t="s">
        <v>2956</v>
      </c>
      <c r="B737" t="s">
        <v>2957</v>
      </c>
      <c r="C737" t="s">
        <v>2958</v>
      </c>
      <c r="D737">
        <v>121</v>
      </c>
      <c r="E737">
        <v>0</v>
      </c>
      <c r="F737" s="1">
        <v>45740</v>
      </c>
      <c r="G737">
        <f>_xlfn.XLOOKUP(F737,'Wk no''s'!B:B,'Wk no''s'!C:C,0)</f>
        <v>13</v>
      </c>
    </row>
    <row r="738" spans="1:7" x14ac:dyDescent="0.3">
      <c r="A738" t="s">
        <v>2959</v>
      </c>
      <c r="B738" t="s">
        <v>2960</v>
      </c>
      <c r="C738" t="s">
        <v>197</v>
      </c>
      <c r="D738">
        <v>0</v>
      </c>
      <c r="E738">
        <v>1</v>
      </c>
      <c r="F738" s="1">
        <v>45740</v>
      </c>
      <c r="G738">
        <f>_xlfn.XLOOKUP(F738,'Wk no''s'!B:B,'Wk no''s'!C:C,0)</f>
        <v>13</v>
      </c>
    </row>
    <row r="739" spans="1:7" x14ac:dyDescent="0.3">
      <c r="A739" t="s">
        <v>2961</v>
      </c>
      <c r="B739" t="s">
        <v>2962</v>
      </c>
      <c r="C739" t="s">
        <v>2963</v>
      </c>
      <c r="D739">
        <v>2</v>
      </c>
      <c r="E739">
        <v>1</v>
      </c>
      <c r="F739" s="1">
        <v>45740</v>
      </c>
      <c r="G739">
        <f>_xlfn.XLOOKUP(F739,'Wk no''s'!B:B,'Wk no''s'!C:C,0)</f>
        <v>13</v>
      </c>
    </row>
    <row r="740" spans="1:7" x14ac:dyDescent="0.3">
      <c r="A740" t="s">
        <v>2964</v>
      </c>
      <c r="B740" t="s">
        <v>2965</v>
      </c>
      <c r="C740" t="s">
        <v>2946</v>
      </c>
      <c r="D740">
        <v>0</v>
      </c>
      <c r="E740">
        <v>1</v>
      </c>
      <c r="F740" s="1">
        <v>45741</v>
      </c>
      <c r="G740">
        <f>_xlfn.XLOOKUP(F740,'Wk no''s'!B:B,'Wk no''s'!C:C,0)</f>
        <v>13</v>
      </c>
    </row>
    <row r="741" spans="1:7" x14ac:dyDescent="0.3">
      <c r="A741" t="s">
        <v>2966</v>
      </c>
      <c r="B741" t="s">
        <v>2967</v>
      </c>
      <c r="C741" t="s">
        <v>75</v>
      </c>
      <c r="D741">
        <v>0</v>
      </c>
      <c r="E741">
        <v>1</v>
      </c>
      <c r="F741" s="1">
        <v>45741</v>
      </c>
      <c r="G741">
        <f>_xlfn.XLOOKUP(F741,'Wk no''s'!B:B,'Wk no''s'!C:C,0)</f>
        <v>13</v>
      </c>
    </row>
    <row r="742" spans="1:7" x14ac:dyDescent="0.3">
      <c r="A742" t="s">
        <v>2968</v>
      </c>
      <c r="B742" t="s">
        <v>2969</v>
      </c>
      <c r="C742" t="s">
        <v>4128</v>
      </c>
      <c r="D742">
        <v>9</v>
      </c>
      <c r="E742">
        <v>0</v>
      </c>
      <c r="F742" s="1">
        <v>45741</v>
      </c>
      <c r="G742">
        <f>_xlfn.XLOOKUP(F742,'Wk no''s'!B:B,'Wk no''s'!C:C,0)</f>
        <v>13</v>
      </c>
    </row>
    <row r="743" spans="1:7" x14ac:dyDescent="0.3">
      <c r="A743" t="s">
        <v>2970</v>
      </c>
      <c r="B743" t="s">
        <v>2971</v>
      </c>
      <c r="C743" t="s">
        <v>2972</v>
      </c>
      <c r="D743">
        <v>24</v>
      </c>
      <c r="E743">
        <v>0</v>
      </c>
      <c r="F743" s="1">
        <v>45741</v>
      </c>
      <c r="G743">
        <f>_xlfn.XLOOKUP(F743,'Wk no''s'!B:B,'Wk no''s'!C:C,0)</f>
        <v>13</v>
      </c>
    </row>
    <row r="744" spans="1:7" x14ac:dyDescent="0.3">
      <c r="A744" t="s">
        <v>2973</v>
      </c>
      <c r="B744" t="s">
        <v>2974</v>
      </c>
      <c r="C744" t="s">
        <v>2975</v>
      </c>
      <c r="D744">
        <v>2</v>
      </c>
      <c r="E744">
        <v>1</v>
      </c>
      <c r="F744" s="1">
        <v>45741</v>
      </c>
      <c r="G744">
        <f>_xlfn.XLOOKUP(F744,'Wk no''s'!B:B,'Wk no''s'!C:C,0)</f>
        <v>13</v>
      </c>
    </row>
    <row r="745" spans="1:7" x14ac:dyDescent="0.3">
      <c r="A745" t="s">
        <v>2976</v>
      </c>
      <c r="B745" t="s">
        <v>2977</v>
      </c>
      <c r="C745" t="s">
        <v>2978</v>
      </c>
      <c r="D745">
        <v>0</v>
      </c>
      <c r="E745">
        <v>1</v>
      </c>
      <c r="F745" s="1">
        <v>45741</v>
      </c>
      <c r="G745">
        <f>_xlfn.XLOOKUP(F745,'Wk no''s'!B:B,'Wk no''s'!C:C,0)</f>
        <v>13</v>
      </c>
    </row>
    <row r="746" spans="1:7" x14ac:dyDescent="0.3">
      <c r="A746" t="s">
        <v>2979</v>
      </c>
      <c r="B746" t="s">
        <v>2980</v>
      </c>
      <c r="C746" t="s">
        <v>2981</v>
      </c>
      <c r="D746">
        <v>0</v>
      </c>
      <c r="E746">
        <v>1</v>
      </c>
      <c r="F746" s="1">
        <v>45742</v>
      </c>
      <c r="G746">
        <f>_xlfn.XLOOKUP(F746,'Wk no''s'!B:B,'Wk no''s'!C:C,0)</f>
        <v>13</v>
      </c>
    </row>
    <row r="747" spans="1:7" x14ac:dyDescent="0.3">
      <c r="A747" t="s">
        <v>2982</v>
      </c>
      <c r="B747" t="s">
        <v>2983</v>
      </c>
      <c r="C747" t="s">
        <v>134</v>
      </c>
      <c r="D747">
        <v>0</v>
      </c>
      <c r="E747">
        <v>1</v>
      </c>
      <c r="F747" s="1">
        <v>45742</v>
      </c>
      <c r="G747">
        <f>_xlfn.XLOOKUP(F747,'Wk no''s'!B:B,'Wk no''s'!C:C,0)</f>
        <v>13</v>
      </c>
    </row>
    <row r="748" spans="1:7" x14ac:dyDescent="0.3">
      <c r="A748" t="s">
        <v>2984</v>
      </c>
      <c r="B748" t="s">
        <v>2985</v>
      </c>
      <c r="C748" t="s">
        <v>2599</v>
      </c>
      <c r="D748">
        <v>0</v>
      </c>
      <c r="E748">
        <v>1</v>
      </c>
      <c r="F748" s="1">
        <v>45742</v>
      </c>
      <c r="G748">
        <f>_xlfn.XLOOKUP(F748,'Wk no''s'!B:B,'Wk no''s'!C:C,0)</f>
        <v>13</v>
      </c>
    </row>
    <row r="749" spans="1:7" x14ac:dyDescent="0.3">
      <c r="A749" t="s">
        <v>2986</v>
      </c>
      <c r="B749" t="s">
        <v>2987</v>
      </c>
      <c r="C749" t="s">
        <v>2908</v>
      </c>
      <c r="D749">
        <v>0</v>
      </c>
      <c r="E749">
        <v>1</v>
      </c>
      <c r="F749" s="1">
        <v>45742</v>
      </c>
      <c r="G749">
        <f>_xlfn.XLOOKUP(F749,'Wk no''s'!B:B,'Wk no''s'!C:C,0)</f>
        <v>13</v>
      </c>
    </row>
    <row r="750" spans="1:7" x14ac:dyDescent="0.3">
      <c r="A750" t="s">
        <v>2988</v>
      </c>
      <c r="B750" t="s">
        <v>2989</v>
      </c>
      <c r="C750" t="s">
        <v>1912</v>
      </c>
      <c r="D750">
        <v>0</v>
      </c>
      <c r="E750">
        <v>1</v>
      </c>
      <c r="F750" s="1">
        <v>45742</v>
      </c>
      <c r="G750">
        <f>_xlfn.XLOOKUP(F750,'Wk no''s'!B:B,'Wk no''s'!C:C,0)</f>
        <v>13</v>
      </c>
    </row>
    <row r="751" spans="1:7" x14ac:dyDescent="0.3">
      <c r="A751" t="s">
        <v>2990</v>
      </c>
      <c r="B751" t="s">
        <v>2991</v>
      </c>
      <c r="C751" t="s">
        <v>240</v>
      </c>
      <c r="D751">
        <v>0</v>
      </c>
      <c r="E751">
        <v>1</v>
      </c>
      <c r="F751" s="1">
        <v>45742</v>
      </c>
      <c r="G751">
        <f>_xlfn.XLOOKUP(F751,'Wk no''s'!B:B,'Wk no''s'!C:C,0)</f>
        <v>13</v>
      </c>
    </row>
    <row r="752" spans="1:7" x14ac:dyDescent="0.3">
      <c r="A752" t="s">
        <v>2992</v>
      </c>
      <c r="B752" t="s">
        <v>2993</v>
      </c>
      <c r="C752" t="s">
        <v>2994</v>
      </c>
      <c r="D752">
        <v>25</v>
      </c>
      <c r="E752">
        <v>0</v>
      </c>
      <c r="F752" s="1">
        <v>45742</v>
      </c>
      <c r="G752">
        <f>_xlfn.XLOOKUP(F752,'Wk no''s'!B:B,'Wk no''s'!C:C,0)</f>
        <v>13</v>
      </c>
    </row>
    <row r="753" spans="1:7" x14ac:dyDescent="0.3">
      <c r="A753" t="s">
        <v>2995</v>
      </c>
      <c r="B753" t="s">
        <v>2996</v>
      </c>
      <c r="C753" t="s">
        <v>2997</v>
      </c>
      <c r="D753">
        <v>0</v>
      </c>
      <c r="E753">
        <v>1</v>
      </c>
      <c r="F753" s="1">
        <v>45743</v>
      </c>
      <c r="G753">
        <f>_xlfn.XLOOKUP(F753,'Wk no''s'!B:B,'Wk no''s'!C:C,0)</f>
        <v>13</v>
      </c>
    </row>
    <row r="754" spans="1:7" x14ac:dyDescent="0.3">
      <c r="A754" t="s">
        <v>2998</v>
      </c>
      <c r="B754" t="s">
        <v>2999</v>
      </c>
      <c r="C754" t="s">
        <v>3000</v>
      </c>
      <c r="D754">
        <v>0</v>
      </c>
      <c r="E754">
        <v>1</v>
      </c>
      <c r="F754" s="1">
        <v>45743</v>
      </c>
      <c r="G754">
        <f>_xlfn.XLOOKUP(F754,'Wk no''s'!B:B,'Wk no''s'!C:C,0)</f>
        <v>13</v>
      </c>
    </row>
    <row r="755" spans="1:7" x14ac:dyDescent="0.3">
      <c r="A755" t="s">
        <v>3001</v>
      </c>
      <c r="B755" t="s">
        <v>3002</v>
      </c>
      <c r="C755" t="s">
        <v>3003</v>
      </c>
      <c r="D755">
        <v>1</v>
      </c>
      <c r="E755">
        <v>1</v>
      </c>
      <c r="F755" s="1">
        <v>45743</v>
      </c>
      <c r="G755">
        <f>_xlfn.XLOOKUP(F755,'Wk no''s'!B:B,'Wk no''s'!C:C,0)</f>
        <v>13</v>
      </c>
    </row>
    <row r="756" spans="1:7" x14ac:dyDescent="0.3">
      <c r="A756" t="s">
        <v>3004</v>
      </c>
      <c r="B756" t="s">
        <v>3005</v>
      </c>
      <c r="C756" t="s">
        <v>339</v>
      </c>
      <c r="D756">
        <v>0</v>
      </c>
      <c r="E756">
        <v>1</v>
      </c>
      <c r="F756" s="1">
        <v>45743</v>
      </c>
      <c r="G756">
        <f>_xlfn.XLOOKUP(F756,'Wk no''s'!B:B,'Wk no''s'!C:C,0)</f>
        <v>13</v>
      </c>
    </row>
    <row r="757" spans="1:7" x14ac:dyDescent="0.3">
      <c r="A757" t="s">
        <v>3006</v>
      </c>
      <c r="B757" t="s">
        <v>3007</v>
      </c>
      <c r="C757" t="s">
        <v>39</v>
      </c>
      <c r="D757">
        <v>6</v>
      </c>
      <c r="E757">
        <v>0</v>
      </c>
      <c r="F757" s="1">
        <v>45743</v>
      </c>
      <c r="G757">
        <f>_xlfn.XLOOKUP(F757,'Wk no''s'!B:B,'Wk no''s'!C:C,0)</f>
        <v>13</v>
      </c>
    </row>
    <row r="758" spans="1:7" x14ac:dyDescent="0.3">
      <c r="A758" t="s">
        <v>3008</v>
      </c>
      <c r="B758" t="s">
        <v>3009</v>
      </c>
      <c r="C758" t="s">
        <v>197</v>
      </c>
      <c r="D758">
        <v>0</v>
      </c>
      <c r="E758">
        <v>1</v>
      </c>
      <c r="F758" s="1">
        <v>45743</v>
      </c>
      <c r="G758">
        <f>_xlfn.XLOOKUP(F758,'Wk no''s'!B:B,'Wk no''s'!C:C,0)</f>
        <v>13</v>
      </c>
    </row>
    <row r="759" spans="1:7" x14ac:dyDescent="0.3">
      <c r="A759" t="s">
        <v>3010</v>
      </c>
      <c r="B759" t="s">
        <v>3011</v>
      </c>
      <c r="C759" t="s">
        <v>1169</v>
      </c>
      <c r="D759">
        <v>0</v>
      </c>
      <c r="E759">
        <v>1</v>
      </c>
      <c r="F759" s="1">
        <v>45743</v>
      </c>
      <c r="G759">
        <f>_xlfn.XLOOKUP(F759,'Wk no''s'!B:B,'Wk no''s'!C:C,0)</f>
        <v>13</v>
      </c>
    </row>
    <row r="760" spans="1:7" x14ac:dyDescent="0.3">
      <c r="A760" t="s">
        <v>3012</v>
      </c>
      <c r="B760" t="s">
        <v>3013</v>
      </c>
      <c r="C760" t="s">
        <v>3014</v>
      </c>
      <c r="D760">
        <v>0</v>
      </c>
      <c r="E760">
        <v>1</v>
      </c>
      <c r="F760" s="1">
        <v>45743</v>
      </c>
      <c r="G760">
        <f>_xlfn.XLOOKUP(F760,'Wk no''s'!B:B,'Wk no''s'!C:C,0)</f>
        <v>13</v>
      </c>
    </row>
    <row r="761" spans="1:7" x14ac:dyDescent="0.3">
      <c r="A761" t="s">
        <v>3015</v>
      </c>
      <c r="B761" t="s">
        <v>3016</v>
      </c>
      <c r="C761" t="s">
        <v>1166</v>
      </c>
      <c r="D761">
        <v>23</v>
      </c>
      <c r="E761">
        <v>0</v>
      </c>
      <c r="F761" s="1">
        <v>45743</v>
      </c>
      <c r="G761">
        <f>_xlfn.XLOOKUP(F761,'Wk no''s'!B:B,'Wk no''s'!C:C,0)</f>
        <v>13</v>
      </c>
    </row>
    <row r="762" spans="1:7" x14ac:dyDescent="0.3">
      <c r="A762" t="s">
        <v>3017</v>
      </c>
      <c r="B762" t="s">
        <v>3018</v>
      </c>
      <c r="C762" t="s">
        <v>3019</v>
      </c>
      <c r="D762">
        <v>21</v>
      </c>
      <c r="E762">
        <v>0</v>
      </c>
      <c r="F762" s="1">
        <v>45743</v>
      </c>
      <c r="G762">
        <f>_xlfn.XLOOKUP(F762,'Wk no''s'!B:B,'Wk no''s'!C:C,0)</f>
        <v>13</v>
      </c>
    </row>
    <row r="763" spans="1:7" x14ac:dyDescent="0.3">
      <c r="A763" t="s">
        <v>3020</v>
      </c>
      <c r="B763" t="s">
        <v>3021</v>
      </c>
      <c r="C763" t="s">
        <v>3022</v>
      </c>
      <c r="D763">
        <v>19</v>
      </c>
      <c r="E763">
        <v>0</v>
      </c>
      <c r="F763" s="1">
        <v>45743</v>
      </c>
      <c r="G763">
        <f>_xlfn.XLOOKUP(F763,'Wk no''s'!B:B,'Wk no''s'!C:C,0)</f>
        <v>13</v>
      </c>
    </row>
    <row r="764" spans="1:7" x14ac:dyDescent="0.3">
      <c r="A764" t="s">
        <v>3023</v>
      </c>
      <c r="B764" t="s">
        <v>3024</v>
      </c>
      <c r="C764" t="s">
        <v>3025</v>
      </c>
      <c r="D764">
        <v>0</v>
      </c>
      <c r="E764">
        <v>1</v>
      </c>
      <c r="F764" s="1">
        <v>45743</v>
      </c>
      <c r="G764">
        <f>_xlfn.XLOOKUP(F764,'Wk no''s'!B:B,'Wk no''s'!C:C,0)</f>
        <v>13</v>
      </c>
    </row>
    <row r="765" spans="1:7" x14ac:dyDescent="0.3">
      <c r="A765" t="s">
        <v>3026</v>
      </c>
      <c r="B765" t="s">
        <v>3027</v>
      </c>
      <c r="C765" t="s">
        <v>3028</v>
      </c>
      <c r="D765">
        <v>0</v>
      </c>
      <c r="E765">
        <v>1</v>
      </c>
      <c r="F765" s="1">
        <v>45743</v>
      </c>
      <c r="G765">
        <f>_xlfn.XLOOKUP(F765,'Wk no''s'!B:B,'Wk no''s'!C:C,0)</f>
        <v>13</v>
      </c>
    </row>
    <row r="766" spans="1:7" x14ac:dyDescent="0.3">
      <c r="A766" t="s">
        <v>3029</v>
      </c>
      <c r="B766" t="s">
        <v>3030</v>
      </c>
      <c r="C766" t="s">
        <v>3031</v>
      </c>
      <c r="D766">
        <v>7</v>
      </c>
      <c r="E766">
        <v>0</v>
      </c>
      <c r="F766" s="1">
        <v>45743</v>
      </c>
      <c r="G766">
        <f>_xlfn.XLOOKUP(F766,'Wk no''s'!B:B,'Wk no''s'!C:C,0)</f>
        <v>13</v>
      </c>
    </row>
    <row r="767" spans="1:7" x14ac:dyDescent="0.3">
      <c r="A767" t="s">
        <v>3032</v>
      </c>
      <c r="B767" t="s">
        <v>3033</v>
      </c>
      <c r="C767" t="s">
        <v>1693</v>
      </c>
      <c r="D767">
        <v>10</v>
      </c>
      <c r="E767">
        <v>0</v>
      </c>
      <c r="F767" s="1">
        <v>45743</v>
      </c>
      <c r="G767">
        <f>_xlfn.XLOOKUP(F767,'Wk no''s'!B:B,'Wk no''s'!C:C,0)</f>
        <v>13</v>
      </c>
    </row>
    <row r="768" spans="1:7" x14ac:dyDescent="0.3">
      <c r="A768" t="s">
        <v>3035</v>
      </c>
      <c r="B768" t="s">
        <v>3036</v>
      </c>
      <c r="C768" t="s">
        <v>3037</v>
      </c>
      <c r="D768">
        <v>0</v>
      </c>
      <c r="E768">
        <v>1</v>
      </c>
      <c r="F768" s="1">
        <v>45744</v>
      </c>
      <c r="G768">
        <f>_xlfn.XLOOKUP(F768,'Wk no''s'!B:B,'Wk no''s'!C:C,0)</f>
        <v>13</v>
      </c>
    </row>
    <row r="769" spans="1:7" x14ac:dyDescent="0.3">
      <c r="A769" t="s">
        <v>3038</v>
      </c>
      <c r="B769" t="s">
        <v>3039</v>
      </c>
      <c r="C769" t="s">
        <v>2884</v>
      </c>
      <c r="D769">
        <v>2</v>
      </c>
      <c r="E769">
        <v>1</v>
      </c>
      <c r="F769" s="1">
        <v>45744</v>
      </c>
      <c r="G769">
        <f>_xlfn.XLOOKUP(F769,'Wk no''s'!B:B,'Wk no''s'!C:C,0)</f>
        <v>13</v>
      </c>
    </row>
    <row r="770" spans="1:7" x14ac:dyDescent="0.3">
      <c r="A770" t="s">
        <v>3040</v>
      </c>
      <c r="B770" t="s">
        <v>3041</v>
      </c>
      <c r="C770" t="s">
        <v>3042</v>
      </c>
      <c r="D770">
        <v>2</v>
      </c>
      <c r="E770">
        <v>1</v>
      </c>
      <c r="F770" s="1">
        <v>45744</v>
      </c>
      <c r="G770">
        <f>_xlfn.XLOOKUP(F770,'Wk no''s'!B:B,'Wk no''s'!C:C,0)</f>
        <v>13</v>
      </c>
    </row>
    <row r="771" spans="1:7" x14ac:dyDescent="0.3">
      <c r="A771" t="s">
        <v>3043</v>
      </c>
      <c r="B771" t="s">
        <v>3044</v>
      </c>
      <c r="C771" t="s">
        <v>3045</v>
      </c>
      <c r="D771">
        <v>9</v>
      </c>
      <c r="E771">
        <v>0</v>
      </c>
      <c r="F771" s="1">
        <v>45744</v>
      </c>
      <c r="G771">
        <f>_xlfn.XLOOKUP(F771,'Wk no''s'!B:B,'Wk no''s'!C:C,0)</f>
        <v>13</v>
      </c>
    </row>
    <row r="772" spans="1:7" x14ac:dyDescent="0.3">
      <c r="A772" t="s">
        <v>3046</v>
      </c>
      <c r="B772" t="s">
        <v>3047</v>
      </c>
      <c r="C772" t="s">
        <v>39</v>
      </c>
      <c r="D772">
        <v>24</v>
      </c>
      <c r="E772">
        <v>0</v>
      </c>
      <c r="F772" s="1">
        <v>45744</v>
      </c>
      <c r="G772">
        <f>_xlfn.XLOOKUP(F772,'Wk no''s'!B:B,'Wk no''s'!C:C,0)</f>
        <v>13</v>
      </c>
    </row>
    <row r="773" spans="1:7" x14ac:dyDescent="0.3">
      <c r="A773" t="s">
        <v>3048</v>
      </c>
      <c r="B773" t="s">
        <v>3049</v>
      </c>
      <c r="D773">
        <v>1</v>
      </c>
      <c r="E773">
        <v>1</v>
      </c>
      <c r="F773" s="1">
        <v>45744</v>
      </c>
      <c r="G773">
        <f>_xlfn.XLOOKUP(F773,'Wk no''s'!B:B,'Wk no''s'!C:C,0)</f>
        <v>13</v>
      </c>
    </row>
    <row r="774" spans="1:7" x14ac:dyDescent="0.3">
      <c r="A774" t="s">
        <v>3050</v>
      </c>
      <c r="B774" t="s">
        <v>3051</v>
      </c>
      <c r="C774" t="s">
        <v>3052</v>
      </c>
      <c r="D774">
        <v>0</v>
      </c>
      <c r="E774">
        <v>1</v>
      </c>
      <c r="F774" s="1">
        <v>45747</v>
      </c>
      <c r="G774">
        <f>_xlfn.XLOOKUP(F774,'Wk no''s'!B:B,'Wk no''s'!C:C,0)</f>
        <v>14</v>
      </c>
    </row>
    <row r="775" spans="1:7" x14ac:dyDescent="0.3">
      <c r="A775" t="s">
        <v>3053</v>
      </c>
      <c r="B775" t="s">
        <v>3054</v>
      </c>
      <c r="C775" t="s">
        <v>3055</v>
      </c>
      <c r="D775">
        <v>36</v>
      </c>
      <c r="E775">
        <v>0</v>
      </c>
      <c r="F775" s="1">
        <v>45747</v>
      </c>
      <c r="G775">
        <f>_xlfn.XLOOKUP(F775,'Wk no''s'!B:B,'Wk no''s'!C:C,0)</f>
        <v>14</v>
      </c>
    </row>
    <row r="776" spans="1:7" x14ac:dyDescent="0.3">
      <c r="A776" t="s">
        <v>3056</v>
      </c>
      <c r="B776" t="s">
        <v>3057</v>
      </c>
      <c r="C776" t="s">
        <v>3058</v>
      </c>
      <c r="D776">
        <v>33</v>
      </c>
      <c r="E776">
        <v>0</v>
      </c>
      <c r="F776" s="1">
        <v>45747</v>
      </c>
      <c r="G776">
        <f>_xlfn.XLOOKUP(F776,'Wk no''s'!B:B,'Wk no''s'!C:C,0)</f>
        <v>14</v>
      </c>
    </row>
    <row r="777" spans="1:7" x14ac:dyDescent="0.3">
      <c r="A777" t="s">
        <v>3059</v>
      </c>
      <c r="B777" t="s">
        <v>3060</v>
      </c>
      <c r="C777" t="s">
        <v>2219</v>
      </c>
      <c r="D777">
        <v>0</v>
      </c>
      <c r="E777">
        <v>1</v>
      </c>
      <c r="F777" s="1">
        <v>45747</v>
      </c>
      <c r="G777">
        <f>_xlfn.XLOOKUP(F777,'Wk no''s'!B:B,'Wk no''s'!C:C,0)</f>
        <v>14</v>
      </c>
    </row>
    <row r="778" spans="1:7" x14ac:dyDescent="0.3">
      <c r="A778" t="s">
        <v>3061</v>
      </c>
      <c r="B778" t="s">
        <v>3062</v>
      </c>
      <c r="C778" t="s">
        <v>2736</v>
      </c>
      <c r="D778">
        <v>0</v>
      </c>
      <c r="E778">
        <v>1</v>
      </c>
      <c r="F778" s="1">
        <v>45747</v>
      </c>
      <c r="G778">
        <f>_xlfn.XLOOKUP(F778,'Wk no''s'!B:B,'Wk no''s'!C:C,0)</f>
        <v>14</v>
      </c>
    </row>
    <row r="779" spans="1:7" x14ac:dyDescent="0.3">
      <c r="A779" t="s">
        <v>3063</v>
      </c>
      <c r="B779" t="s">
        <v>3064</v>
      </c>
      <c r="C779" t="s">
        <v>15</v>
      </c>
      <c r="D779">
        <v>20</v>
      </c>
      <c r="E779">
        <v>0</v>
      </c>
      <c r="F779" s="1">
        <v>45747</v>
      </c>
      <c r="G779">
        <f>_xlfn.XLOOKUP(F779,'Wk no''s'!B:B,'Wk no''s'!C:C,0)</f>
        <v>14</v>
      </c>
    </row>
    <row r="780" spans="1:7" x14ac:dyDescent="0.3">
      <c r="A780" t="s">
        <v>3065</v>
      </c>
      <c r="B780" t="s">
        <v>3066</v>
      </c>
      <c r="C780" t="s">
        <v>3067</v>
      </c>
      <c r="D780">
        <v>0</v>
      </c>
      <c r="E780">
        <v>1</v>
      </c>
      <c r="F780" s="1">
        <v>45747</v>
      </c>
      <c r="G780">
        <f>_xlfn.XLOOKUP(F780,'Wk no''s'!B:B,'Wk no''s'!C:C,0)</f>
        <v>14</v>
      </c>
    </row>
    <row r="781" spans="1:7" x14ac:dyDescent="0.3">
      <c r="A781" t="s">
        <v>3068</v>
      </c>
      <c r="B781" t="s">
        <v>3069</v>
      </c>
      <c r="C781" t="s">
        <v>3070</v>
      </c>
      <c r="D781">
        <v>0</v>
      </c>
      <c r="E781">
        <v>1</v>
      </c>
      <c r="F781" s="1">
        <v>45747</v>
      </c>
      <c r="G781">
        <f>_xlfn.XLOOKUP(F781,'Wk no''s'!B:B,'Wk no''s'!C:C,0)</f>
        <v>14</v>
      </c>
    </row>
    <row r="782" spans="1:7" x14ac:dyDescent="0.3">
      <c r="A782" t="s">
        <v>3071</v>
      </c>
      <c r="B782" t="s">
        <v>3072</v>
      </c>
      <c r="C782" t="s">
        <v>2789</v>
      </c>
      <c r="D782">
        <v>0</v>
      </c>
      <c r="E782">
        <v>1</v>
      </c>
      <c r="F782" s="1">
        <v>45747</v>
      </c>
      <c r="G782">
        <f>_xlfn.XLOOKUP(F782,'Wk no''s'!B:B,'Wk no''s'!C:C,0)</f>
        <v>14</v>
      </c>
    </row>
    <row r="783" spans="1:7" x14ac:dyDescent="0.3">
      <c r="A783" t="s">
        <v>3073</v>
      </c>
      <c r="B783" t="s">
        <v>3074</v>
      </c>
      <c r="C783" t="s">
        <v>407</v>
      </c>
      <c r="D783">
        <v>0</v>
      </c>
      <c r="E783">
        <v>1</v>
      </c>
      <c r="F783" s="1">
        <v>45747</v>
      </c>
      <c r="G783">
        <f>_xlfn.XLOOKUP(F783,'Wk no''s'!B:B,'Wk no''s'!C:C,0)</f>
        <v>14</v>
      </c>
    </row>
    <row r="784" spans="1:7" x14ac:dyDescent="0.3">
      <c r="A784" t="s">
        <v>3075</v>
      </c>
      <c r="B784" t="s">
        <v>3076</v>
      </c>
      <c r="C784" t="s">
        <v>273</v>
      </c>
      <c r="D784">
        <v>0</v>
      </c>
      <c r="E784">
        <v>1</v>
      </c>
      <c r="F784" s="1">
        <v>45747</v>
      </c>
      <c r="G784">
        <f>_xlfn.XLOOKUP(F784,'Wk no''s'!B:B,'Wk no''s'!C:C,0)</f>
        <v>14</v>
      </c>
    </row>
    <row r="785" spans="1:7" x14ac:dyDescent="0.3">
      <c r="A785" t="s">
        <v>3077</v>
      </c>
      <c r="B785" t="s">
        <v>3078</v>
      </c>
      <c r="C785" t="s">
        <v>197</v>
      </c>
      <c r="D785">
        <v>6</v>
      </c>
      <c r="E785">
        <v>0</v>
      </c>
      <c r="F785" s="1">
        <v>45748</v>
      </c>
      <c r="G785">
        <f>_xlfn.XLOOKUP(F785,'Wk no''s'!B:B,'Wk no''s'!C:C,0)</f>
        <v>14</v>
      </c>
    </row>
    <row r="786" spans="1:7" x14ac:dyDescent="0.3">
      <c r="A786" t="s">
        <v>3079</v>
      </c>
      <c r="B786" t="s">
        <v>3080</v>
      </c>
      <c r="C786" t="s">
        <v>28</v>
      </c>
      <c r="D786">
        <v>35</v>
      </c>
      <c r="E786">
        <v>0</v>
      </c>
      <c r="F786" s="1">
        <v>45748</v>
      </c>
      <c r="G786">
        <f>_xlfn.XLOOKUP(F786,'Wk no''s'!B:B,'Wk no''s'!C:C,0)</f>
        <v>14</v>
      </c>
    </row>
    <row r="787" spans="1:7" x14ac:dyDescent="0.3">
      <c r="A787" t="s">
        <v>3081</v>
      </c>
      <c r="B787" t="s">
        <v>3082</v>
      </c>
      <c r="C787" t="s">
        <v>2110</v>
      </c>
      <c r="D787">
        <v>1</v>
      </c>
      <c r="E787">
        <v>1</v>
      </c>
      <c r="F787" s="1">
        <v>45748</v>
      </c>
      <c r="G787">
        <f>_xlfn.XLOOKUP(F787,'Wk no''s'!B:B,'Wk no''s'!C:C,0)</f>
        <v>14</v>
      </c>
    </row>
    <row r="788" spans="1:7" x14ac:dyDescent="0.3">
      <c r="A788" t="s">
        <v>3083</v>
      </c>
      <c r="B788" t="s">
        <v>3084</v>
      </c>
      <c r="C788" t="s">
        <v>294</v>
      </c>
      <c r="D788">
        <v>0</v>
      </c>
      <c r="E788">
        <v>1</v>
      </c>
      <c r="F788" s="1">
        <v>45748</v>
      </c>
      <c r="G788">
        <f>_xlfn.XLOOKUP(F788,'Wk no''s'!B:B,'Wk no''s'!C:C,0)</f>
        <v>14</v>
      </c>
    </row>
    <row r="789" spans="1:7" x14ac:dyDescent="0.3">
      <c r="A789" t="s">
        <v>3085</v>
      </c>
      <c r="B789" t="s">
        <v>3086</v>
      </c>
      <c r="C789" t="s">
        <v>2159</v>
      </c>
      <c r="D789">
        <v>1</v>
      </c>
      <c r="E789">
        <v>1</v>
      </c>
      <c r="F789" s="1">
        <v>45748</v>
      </c>
      <c r="G789">
        <f>_xlfn.XLOOKUP(F789,'Wk no''s'!B:B,'Wk no''s'!C:C,0)</f>
        <v>14</v>
      </c>
    </row>
    <row r="790" spans="1:7" x14ac:dyDescent="0.3">
      <c r="A790" t="s">
        <v>3087</v>
      </c>
      <c r="B790" t="s">
        <v>3088</v>
      </c>
      <c r="C790" t="s">
        <v>3089</v>
      </c>
      <c r="D790">
        <v>0</v>
      </c>
      <c r="E790">
        <v>1</v>
      </c>
      <c r="F790" s="1">
        <v>45748</v>
      </c>
      <c r="G790">
        <f>_xlfn.XLOOKUP(F790,'Wk no''s'!B:B,'Wk no''s'!C:C,0)</f>
        <v>14</v>
      </c>
    </row>
    <row r="791" spans="1:7" x14ac:dyDescent="0.3">
      <c r="A791" t="s">
        <v>3090</v>
      </c>
      <c r="B791" t="s">
        <v>3091</v>
      </c>
      <c r="C791" t="s">
        <v>2648</v>
      </c>
      <c r="D791">
        <v>7</v>
      </c>
      <c r="E791">
        <v>0</v>
      </c>
      <c r="F791" s="1">
        <v>45748</v>
      </c>
      <c r="G791">
        <f>_xlfn.XLOOKUP(F791,'Wk no''s'!B:B,'Wk no''s'!C:C,0)</f>
        <v>14</v>
      </c>
    </row>
    <row r="792" spans="1:7" x14ac:dyDescent="0.3">
      <c r="A792" t="s">
        <v>3092</v>
      </c>
      <c r="B792" t="s">
        <v>3093</v>
      </c>
      <c r="C792" t="s">
        <v>2330</v>
      </c>
      <c r="D792">
        <v>0</v>
      </c>
      <c r="E792">
        <v>1</v>
      </c>
      <c r="F792" s="1">
        <v>45749</v>
      </c>
      <c r="G792">
        <f>_xlfn.XLOOKUP(F792,'Wk no''s'!B:B,'Wk no''s'!C:C,0)</f>
        <v>14</v>
      </c>
    </row>
    <row r="793" spans="1:7" x14ac:dyDescent="0.3">
      <c r="A793" t="s">
        <v>3094</v>
      </c>
      <c r="B793" t="s">
        <v>3095</v>
      </c>
      <c r="C793" t="s">
        <v>2276</v>
      </c>
      <c r="D793">
        <v>2</v>
      </c>
      <c r="E793">
        <v>1</v>
      </c>
      <c r="F793" s="1">
        <v>45749</v>
      </c>
      <c r="G793">
        <f>_xlfn.XLOOKUP(F793,'Wk no''s'!B:B,'Wk no''s'!C:C,0)</f>
        <v>14</v>
      </c>
    </row>
    <row r="794" spans="1:7" x14ac:dyDescent="0.3">
      <c r="A794" t="s">
        <v>3096</v>
      </c>
      <c r="B794" t="s">
        <v>3097</v>
      </c>
      <c r="C794" t="s">
        <v>3098</v>
      </c>
      <c r="D794">
        <v>0</v>
      </c>
      <c r="E794">
        <v>1</v>
      </c>
      <c r="F794" s="1">
        <v>45749</v>
      </c>
      <c r="G794">
        <f>_xlfn.XLOOKUP(F794,'Wk no''s'!B:B,'Wk no''s'!C:C,0)</f>
        <v>14</v>
      </c>
    </row>
    <row r="795" spans="1:7" x14ac:dyDescent="0.3">
      <c r="A795" t="s">
        <v>3099</v>
      </c>
      <c r="B795" t="s">
        <v>3100</v>
      </c>
      <c r="C795" t="s">
        <v>3101</v>
      </c>
      <c r="D795">
        <v>0</v>
      </c>
      <c r="E795">
        <v>1</v>
      </c>
      <c r="F795" s="1">
        <v>45749</v>
      </c>
      <c r="G795">
        <f>_xlfn.XLOOKUP(F795,'Wk no''s'!B:B,'Wk no''s'!C:C,0)</f>
        <v>14</v>
      </c>
    </row>
    <row r="796" spans="1:7" x14ac:dyDescent="0.3">
      <c r="A796" t="s">
        <v>3102</v>
      </c>
      <c r="B796" t="s">
        <v>3103</v>
      </c>
      <c r="C796" t="s">
        <v>3104</v>
      </c>
      <c r="D796">
        <v>0</v>
      </c>
      <c r="E796">
        <v>1</v>
      </c>
      <c r="F796" s="1">
        <v>45749</v>
      </c>
      <c r="G796">
        <f>_xlfn.XLOOKUP(F796,'Wk no''s'!B:B,'Wk no''s'!C:C,0)</f>
        <v>14</v>
      </c>
    </row>
    <row r="797" spans="1:7" x14ac:dyDescent="0.3">
      <c r="A797" t="s">
        <v>3105</v>
      </c>
      <c r="B797" t="s">
        <v>3106</v>
      </c>
      <c r="C797" t="s">
        <v>3107</v>
      </c>
      <c r="D797">
        <v>29</v>
      </c>
      <c r="E797">
        <v>0</v>
      </c>
      <c r="F797" s="1">
        <v>45749</v>
      </c>
      <c r="G797">
        <f>_xlfn.XLOOKUP(F797,'Wk no''s'!B:B,'Wk no''s'!C:C,0)</f>
        <v>14</v>
      </c>
    </row>
    <row r="798" spans="1:7" x14ac:dyDescent="0.3">
      <c r="A798" t="s">
        <v>3108</v>
      </c>
      <c r="B798" t="s">
        <v>3109</v>
      </c>
      <c r="C798" t="s">
        <v>2010</v>
      </c>
      <c r="D798">
        <v>0</v>
      </c>
      <c r="E798">
        <v>1</v>
      </c>
      <c r="F798" s="1">
        <v>45749</v>
      </c>
      <c r="G798">
        <f>_xlfn.XLOOKUP(F798,'Wk no''s'!B:B,'Wk no''s'!C:C,0)</f>
        <v>14</v>
      </c>
    </row>
    <row r="799" spans="1:7" x14ac:dyDescent="0.3">
      <c r="A799" t="s">
        <v>3110</v>
      </c>
      <c r="B799" t="s">
        <v>3111</v>
      </c>
      <c r="C799" t="s">
        <v>38</v>
      </c>
      <c r="D799">
        <v>30</v>
      </c>
      <c r="E799">
        <v>0</v>
      </c>
      <c r="F799" s="1">
        <v>45749</v>
      </c>
      <c r="G799">
        <f>_xlfn.XLOOKUP(F799,'Wk no''s'!B:B,'Wk no''s'!C:C,0)</f>
        <v>14</v>
      </c>
    </row>
    <row r="800" spans="1:7" x14ac:dyDescent="0.3">
      <c r="A800" t="s">
        <v>3112</v>
      </c>
      <c r="B800" t="s">
        <v>3113</v>
      </c>
      <c r="C800" t="s">
        <v>17</v>
      </c>
      <c r="D800">
        <v>0</v>
      </c>
      <c r="E800">
        <v>1</v>
      </c>
      <c r="F800" s="1">
        <v>45750</v>
      </c>
      <c r="G800">
        <f>_xlfn.XLOOKUP(F800,'Wk no''s'!B:B,'Wk no''s'!C:C,0)</f>
        <v>14</v>
      </c>
    </row>
    <row r="801" spans="1:7" x14ac:dyDescent="0.3">
      <c r="A801" t="s">
        <v>3114</v>
      </c>
      <c r="B801" t="s">
        <v>3115</v>
      </c>
      <c r="C801" t="s">
        <v>2276</v>
      </c>
      <c r="D801">
        <v>7</v>
      </c>
      <c r="E801">
        <v>0</v>
      </c>
      <c r="F801" s="1">
        <v>45750</v>
      </c>
      <c r="G801">
        <f>_xlfn.XLOOKUP(F801,'Wk no''s'!B:B,'Wk no''s'!C:C,0)</f>
        <v>14</v>
      </c>
    </row>
    <row r="802" spans="1:7" x14ac:dyDescent="0.3">
      <c r="A802" t="s">
        <v>3116</v>
      </c>
      <c r="B802" t="s">
        <v>3117</v>
      </c>
      <c r="C802" t="s">
        <v>2451</v>
      </c>
      <c r="D802">
        <v>0</v>
      </c>
      <c r="E802">
        <v>1</v>
      </c>
      <c r="F802" s="1">
        <v>45750</v>
      </c>
      <c r="G802">
        <f>_xlfn.XLOOKUP(F802,'Wk no''s'!B:B,'Wk no''s'!C:C,0)</f>
        <v>14</v>
      </c>
    </row>
    <row r="803" spans="1:7" x14ac:dyDescent="0.3">
      <c r="A803" t="s">
        <v>3118</v>
      </c>
      <c r="B803" t="s">
        <v>3119</v>
      </c>
      <c r="C803" t="s">
        <v>1194</v>
      </c>
      <c r="D803">
        <v>0</v>
      </c>
      <c r="E803">
        <v>1</v>
      </c>
      <c r="F803" s="1">
        <v>45750</v>
      </c>
      <c r="G803">
        <f>_xlfn.XLOOKUP(F803,'Wk no''s'!B:B,'Wk no''s'!C:C,0)</f>
        <v>14</v>
      </c>
    </row>
    <row r="804" spans="1:7" x14ac:dyDescent="0.3">
      <c r="A804" t="s">
        <v>3120</v>
      </c>
      <c r="B804" t="s">
        <v>3121</v>
      </c>
      <c r="C804" t="s">
        <v>3122</v>
      </c>
      <c r="D804">
        <v>12</v>
      </c>
      <c r="E804">
        <v>0</v>
      </c>
      <c r="F804" s="1">
        <v>45750</v>
      </c>
      <c r="G804">
        <f>_xlfn.XLOOKUP(F804,'Wk no''s'!B:B,'Wk no''s'!C:C,0)</f>
        <v>14</v>
      </c>
    </row>
    <row r="805" spans="1:7" x14ac:dyDescent="0.3">
      <c r="A805" t="s">
        <v>3123</v>
      </c>
      <c r="B805" t="s">
        <v>3124</v>
      </c>
      <c r="C805" t="s">
        <v>3125</v>
      </c>
      <c r="D805">
        <v>2</v>
      </c>
      <c r="E805">
        <v>1</v>
      </c>
      <c r="F805" s="1">
        <v>45750</v>
      </c>
      <c r="G805">
        <f>_xlfn.XLOOKUP(F805,'Wk no''s'!B:B,'Wk no''s'!C:C,0)</f>
        <v>14</v>
      </c>
    </row>
    <row r="806" spans="1:7" x14ac:dyDescent="0.3">
      <c r="A806" t="s">
        <v>3126</v>
      </c>
      <c r="B806" t="s">
        <v>3127</v>
      </c>
      <c r="C806" t="s">
        <v>3128</v>
      </c>
      <c r="D806">
        <v>16</v>
      </c>
      <c r="E806">
        <v>0</v>
      </c>
      <c r="F806" s="1">
        <v>45750</v>
      </c>
      <c r="G806">
        <f>_xlfn.XLOOKUP(F806,'Wk no''s'!B:B,'Wk no''s'!C:C,0)</f>
        <v>14</v>
      </c>
    </row>
    <row r="807" spans="1:7" x14ac:dyDescent="0.3">
      <c r="A807" t="s">
        <v>3129</v>
      </c>
      <c r="B807" t="s">
        <v>3130</v>
      </c>
      <c r="C807" t="s">
        <v>3131</v>
      </c>
      <c r="D807">
        <v>2</v>
      </c>
      <c r="E807">
        <v>1</v>
      </c>
      <c r="F807" s="1">
        <v>45750</v>
      </c>
      <c r="G807">
        <f>_xlfn.XLOOKUP(F807,'Wk no''s'!B:B,'Wk no''s'!C:C,0)</f>
        <v>14</v>
      </c>
    </row>
    <row r="808" spans="1:7" x14ac:dyDescent="0.3">
      <c r="A808" t="s">
        <v>3132</v>
      </c>
      <c r="B808" t="s">
        <v>3133</v>
      </c>
      <c r="C808" t="s">
        <v>3089</v>
      </c>
      <c r="D808">
        <v>0</v>
      </c>
      <c r="E808">
        <v>1</v>
      </c>
      <c r="F808" s="1">
        <v>45750</v>
      </c>
      <c r="G808">
        <f>_xlfn.XLOOKUP(F808,'Wk no''s'!B:B,'Wk no''s'!C:C,0)</f>
        <v>14</v>
      </c>
    </row>
    <row r="809" spans="1:7" x14ac:dyDescent="0.3">
      <c r="A809" t="s">
        <v>3134</v>
      </c>
      <c r="B809" t="s">
        <v>3135</v>
      </c>
      <c r="C809" t="s">
        <v>432</v>
      </c>
      <c r="D809">
        <v>0</v>
      </c>
      <c r="E809">
        <v>1</v>
      </c>
      <c r="F809" s="1">
        <v>45750</v>
      </c>
      <c r="G809">
        <f>_xlfn.XLOOKUP(F809,'Wk no''s'!B:B,'Wk no''s'!C:C,0)</f>
        <v>14</v>
      </c>
    </row>
    <row r="810" spans="1:7" x14ac:dyDescent="0.3">
      <c r="A810" t="s">
        <v>3136</v>
      </c>
      <c r="C810" t="s">
        <v>438</v>
      </c>
      <c r="D810">
        <v>0</v>
      </c>
      <c r="E810">
        <v>1</v>
      </c>
      <c r="F810" s="1">
        <v>45750</v>
      </c>
      <c r="G810">
        <f>_xlfn.XLOOKUP(F810,'Wk no''s'!B:B,'Wk no''s'!C:C,0)</f>
        <v>14</v>
      </c>
    </row>
    <row r="811" spans="1:7" x14ac:dyDescent="0.3">
      <c r="A811" t="s">
        <v>3137</v>
      </c>
      <c r="B811" t="s">
        <v>3138</v>
      </c>
      <c r="C811" t="s">
        <v>3139</v>
      </c>
      <c r="D811">
        <v>0</v>
      </c>
      <c r="E811">
        <v>1</v>
      </c>
      <c r="F811" s="1">
        <v>45750</v>
      </c>
      <c r="G811">
        <f>_xlfn.XLOOKUP(F811,'Wk no''s'!B:B,'Wk no''s'!C:C,0)</f>
        <v>14</v>
      </c>
    </row>
    <row r="812" spans="1:7" x14ac:dyDescent="0.3">
      <c r="A812" t="s">
        <v>3140</v>
      </c>
      <c r="B812" t="s">
        <v>3141</v>
      </c>
      <c r="C812" t="s">
        <v>3142</v>
      </c>
      <c r="D812">
        <v>2</v>
      </c>
      <c r="E812">
        <v>1</v>
      </c>
      <c r="F812" s="1">
        <v>45750</v>
      </c>
      <c r="G812">
        <f>_xlfn.XLOOKUP(F812,'Wk no''s'!B:B,'Wk no''s'!C:C,0)</f>
        <v>14</v>
      </c>
    </row>
    <row r="813" spans="1:7" x14ac:dyDescent="0.3">
      <c r="A813" t="s">
        <v>3143</v>
      </c>
      <c r="B813" t="s">
        <v>3144</v>
      </c>
      <c r="C813" t="s">
        <v>1169</v>
      </c>
      <c r="D813">
        <v>5</v>
      </c>
      <c r="E813">
        <v>1</v>
      </c>
      <c r="F813" s="1">
        <v>45751</v>
      </c>
      <c r="G813">
        <f>_xlfn.XLOOKUP(F813,'Wk no''s'!B:B,'Wk no''s'!C:C,0)</f>
        <v>14</v>
      </c>
    </row>
    <row r="814" spans="1:7" x14ac:dyDescent="0.3">
      <c r="A814" t="s">
        <v>3145</v>
      </c>
      <c r="B814" t="s">
        <v>3146</v>
      </c>
      <c r="C814" t="s">
        <v>3147</v>
      </c>
      <c r="D814">
        <v>2</v>
      </c>
      <c r="E814">
        <v>1</v>
      </c>
      <c r="F814" s="1">
        <v>45751</v>
      </c>
      <c r="G814">
        <f>_xlfn.XLOOKUP(F814,'Wk no''s'!B:B,'Wk no''s'!C:C,0)</f>
        <v>14</v>
      </c>
    </row>
    <row r="815" spans="1:7" x14ac:dyDescent="0.3">
      <c r="A815" t="s">
        <v>3148</v>
      </c>
      <c r="B815" t="s">
        <v>3149</v>
      </c>
      <c r="C815" t="s">
        <v>3150</v>
      </c>
      <c r="D815">
        <v>0</v>
      </c>
      <c r="E815">
        <v>1</v>
      </c>
      <c r="F815" s="1">
        <v>45751</v>
      </c>
      <c r="G815">
        <f>_xlfn.XLOOKUP(F815,'Wk no''s'!B:B,'Wk no''s'!C:C,0)</f>
        <v>14</v>
      </c>
    </row>
    <row r="816" spans="1:7" x14ac:dyDescent="0.3">
      <c r="A816" t="s">
        <v>3151</v>
      </c>
      <c r="B816" t="s">
        <v>3152</v>
      </c>
      <c r="C816" t="s">
        <v>2884</v>
      </c>
      <c r="D816">
        <v>0</v>
      </c>
      <c r="E816">
        <v>1</v>
      </c>
      <c r="F816" s="1">
        <v>45751</v>
      </c>
      <c r="G816">
        <f>_xlfn.XLOOKUP(F816,'Wk no''s'!B:B,'Wk no''s'!C:C,0)</f>
        <v>14</v>
      </c>
    </row>
    <row r="817" spans="1:7" x14ac:dyDescent="0.3">
      <c r="A817" t="s">
        <v>3153</v>
      </c>
      <c r="B817" t="s">
        <v>3154</v>
      </c>
      <c r="C817" t="s">
        <v>473</v>
      </c>
      <c r="D817">
        <v>47</v>
      </c>
      <c r="E817">
        <v>0</v>
      </c>
      <c r="F817" s="1">
        <v>45751</v>
      </c>
      <c r="G817">
        <f>_xlfn.XLOOKUP(F817,'Wk no''s'!B:B,'Wk no''s'!C:C,0)</f>
        <v>14</v>
      </c>
    </row>
    <row r="818" spans="1:7" x14ac:dyDescent="0.3">
      <c r="A818" t="s">
        <v>3155</v>
      </c>
      <c r="B818" t="s">
        <v>3156</v>
      </c>
      <c r="C818" t="s">
        <v>139</v>
      </c>
      <c r="D818">
        <v>0</v>
      </c>
      <c r="E818">
        <v>1</v>
      </c>
      <c r="F818" s="1">
        <v>45754</v>
      </c>
      <c r="G818">
        <f>_xlfn.XLOOKUP(F818,'Wk no''s'!B:B,'Wk no''s'!C:C,0)</f>
        <v>15</v>
      </c>
    </row>
    <row r="819" spans="1:7" x14ac:dyDescent="0.3">
      <c r="A819" t="s">
        <v>3157</v>
      </c>
      <c r="B819" t="s">
        <v>3158</v>
      </c>
      <c r="C819" t="s">
        <v>2778</v>
      </c>
      <c r="D819">
        <v>5</v>
      </c>
      <c r="E819">
        <v>1</v>
      </c>
      <c r="F819" s="1">
        <v>45754</v>
      </c>
      <c r="G819">
        <f>_xlfn.XLOOKUP(F819,'Wk no''s'!B:B,'Wk no''s'!C:C,0)</f>
        <v>15</v>
      </c>
    </row>
    <row r="820" spans="1:7" x14ac:dyDescent="0.3">
      <c r="A820" t="s">
        <v>3159</v>
      </c>
      <c r="B820" t="s">
        <v>3160</v>
      </c>
      <c r="C820" t="s">
        <v>197</v>
      </c>
      <c r="D820">
        <v>3</v>
      </c>
      <c r="E820">
        <v>1</v>
      </c>
      <c r="F820" s="1">
        <v>45754</v>
      </c>
      <c r="G820">
        <f>_xlfn.XLOOKUP(F820,'Wk no''s'!B:B,'Wk no''s'!C:C,0)</f>
        <v>15</v>
      </c>
    </row>
    <row r="821" spans="1:7" x14ac:dyDescent="0.3">
      <c r="A821" t="s">
        <v>3161</v>
      </c>
      <c r="B821" t="s">
        <v>3162</v>
      </c>
      <c r="C821" t="s">
        <v>3163</v>
      </c>
      <c r="D821">
        <v>1</v>
      </c>
      <c r="E821">
        <v>1</v>
      </c>
      <c r="F821" s="1">
        <v>45754</v>
      </c>
      <c r="G821">
        <f>_xlfn.XLOOKUP(F821,'Wk no''s'!B:B,'Wk no''s'!C:C,0)</f>
        <v>15</v>
      </c>
    </row>
    <row r="822" spans="1:7" x14ac:dyDescent="0.3">
      <c r="A822" t="s">
        <v>3164</v>
      </c>
      <c r="B822" t="s">
        <v>3165</v>
      </c>
      <c r="C822" t="s">
        <v>39</v>
      </c>
      <c r="D822">
        <v>0</v>
      </c>
      <c r="E822">
        <v>1</v>
      </c>
      <c r="F822" s="1">
        <v>45754</v>
      </c>
      <c r="G822">
        <f>_xlfn.XLOOKUP(F822,'Wk no''s'!B:B,'Wk no''s'!C:C,0)</f>
        <v>15</v>
      </c>
    </row>
    <row r="823" spans="1:7" x14ac:dyDescent="0.3">
      <c r="A823" t="s">
        <v>3166</v>
      </c>
      <c r="B823" t="s">
        <v>3167</v>
      </c>
      <c r="C823" t="s">
        <v>2715</v>
      </c>
      <c r="D823">
        <v>23</v>
      </c>
      <c r="E823">
        <v>0</v>
      </c>
      <c r="F823" s="1">
        <v>45754</v>
      </c>
      <c r="G823">
        <f>_xlfn.XLOOKUP(F823,'Wk no''s'!B:B,'Wk no''s'!C:C,0)</f>
        <v>15</v>
      </c>
    </row>
    <row r="824" spans="1:7" x14ac:dyDescent="0.3">
      <c r="A824" t="s">
        <v>3168</v>
      </c>
      <c r="B824" t="s">
        <v>3169</v>
      </c>
      <c r="C824" t="s">
        <v>2884</v>
      </c>
      <c r="D824">
        <v>4</v>
      </c>
      <c r="E824">
        <v>1</v>
      </c>
      <c r="F824" s="1">
        <v>45754</v>
      </c>
      <c r="G824">
        <f>_xlfn.XLOOKUP(F824,'Wk no''s'!B:B,'Wk no''s'!C:C,0)</f>
        <v>15</v>
      </c>
    </row>
    <row r="825" spans="1:7" x14ac:dyDescent="0.3">
      <c r="A825" t="s">
        <v>3170</v>
      </c>
      <c r="B825" t="s">
        <v>3171</v>
      </c>
      <c r="C825" t="s">
        <v>3172</v>
      </c>
      <c r="D825">
        <v>2</v>
      </c>
      <c r="E825">
        <v>1</v>
      </c>
      <c r="F825" s="1">
        <v>45754</v>
      </c>
      <c r="G825">
        <f>_xlfn.XLOOKUP(F825,'Wk no''s'!B:B,'Wk no''s'!C:C,0)</f>
        <v>15</v>
      </c>
    </row>
    <row r="826" spans="1:7" x14ac:dyDescent="0.3">
      <c r="A826" t="s">
        <v>3173</v>
      </c>
      <c r="B826" t="s">
        <v>3174</v>
      </c>
      <c r="C826" t="s">
        <v>2546</v>
      </c>
      <c r="D826">
        <v>1</v>
      </c>
      <c r="E826">
        <v>1</v>
      </c>
      <c r="F826" s="1">
        <v>45754</v>
      </c>
      <c r="G826">
        <f>_xlfn.XLOOKUP(F826,'Wk no''s'!B:B,'Wk no''s'!C:C,0)</f>
        <v>15</v>
      </c>
    </row>
    <row r="827" spans="1:7" x14ac:dyDescent="0.3">
      <c r="A827" t="s">
        <v>3175</v>
      </c>
      <c r="B827" t="s">
        <v>3176</v>
      </c>
      <c r="C827" t="s">
        <v>3177</v>
      </c>
      <c r="D827">
        <v>0</v>
      </c>
      <c r="E827">
        <v>1</v>
      </c>
      <c r="F827" s="1">
        <v>45754</v>
      </c>
      <c r="G827">
        <f>_xlfn.XLOOKUP(F827,'Wk no''s'!B:B,'Wk no''s'!C:C,0)</f>
        <v>15</v>
      </c>
    </row>
    <row r="828" spans="1:7" x14ac:dyDescent="0.3">
      <c r="A828" t="s">
        <v>3178</v>
      </c>
      <c r="B828" t="s">
        <v>3179</v>
      </c>
      <c r="C828" t="s">
        <v>3180</v>
      </c>
      <c r="D828">
        <v>30</v>
      </c>
      <c r="E828">
        <v>0</v>
      </c>
      <c r="F828" s="1">
        <v>45754</v>
      </c>
      <c r="G828">
        <f>_xlfn.XLOOKUP(F828,'Wk no''s'!B:B,'Wk no''s'!C:C,0)</f>
        <v>15</v>
      </c>
    </row>
    <row r="829" spans="1:7" x14ac:dyDescent="0.3">
      <c r="A829" t="s">
        <v>3181</v>
      </c>
      <c r="B829" t="s">
        <v>3182</v>
      </c>
      <c r="C829" t="s">
        <v>3183</v>
      </c>
      <c r="D829">
        <v>0</v>
      </c>
      <c r="E829">
        <v>1</v>
      </c>
      <c r="F829" s="1">
        <v>45754</v>
      </c>
      <c r="G829">
        <f>_xlfn.XLOOKUP(F829,'Wk no''s'!B:B,'Wk no''s'!C:C,0)</f>
        <v>15</v>
      </c>
    </row>
    <row r="830" spans="1:7" x14ac:dyDescent="0.3">
      <c r="A830" t="s">
        <v>3184</v>
      </c>
      <c r="B830" t="s">
        <v>3185</v>
      </c>
      <c r="C830" t="s">
        <v>3186</v>
      </c>
      <c r="D830">
        <v>7</v>
      </c>
      <c r="E830">
        <v>0</v>
      </c>
      <c r="F830" s="1">
        <v>45754</v>
      </c>
      <c r="G830">
        <f>_xlfn.XLOOKUP(F830,'Wk no''s'!B:B,'Wk no''s'!C:C,0)</f>
        <v>15</v>
      </c>
    </row>
    <row r="831" spans="1:7" x14ac:dyDescent="0.3">
      <c r="A831" t="s">
        <v>3187</v>
      </c>
      <c r="B831" t="s">
        <v>3188</v>
      </c>
      <c r="C831" t="s">
        <v>197</v>
      </c>
      <c r="D831">
        <v>0</v>
      </c>
      <c r="E831">
        <v>1</v>
      </c>
      <c r="F831" s="1">
        <v>45754</v>
      </c>
      <c r="G831">
        <f>_xlfn.XLOOKUP(F831,'Wk no''s'!B:B,'Wk no''s'!C:C,0)</f>
        <v>15</v>
      </c>
    </row>
    <row r="832" spans="1:7" x14ac:dyDescent="0.3">
      <c r="A832" t="s">
        <v>3189</v>
      </c>
      <c r="B832" t="s">
        <v>3190</v>
      </c>
      <c r="C832" t="s">
        <v>1652</v>
      </c>
      <c r="D832">
        <v>0</v>
      </c>
      <c r="E832">
        <v>1</v>
      </c>
      <c r="F832" s="1">
        <v>45754</v>
      </c>
      <c r="G832">
        <f>_xlfn.XLOOKUP(F832,'Wk no''s'!B:B,'Wk no''s'!C:C,0)</f>
        <v>15</v>
      </c>
    </row>
    <row r="833" spans="1:7" x14ac:dyDescent="0.3">
      <c r="A833" t="s">
        <v>3191</v>
      </c>
      <c r="B833" t="s">
        <v>3192</v>
      </c>
      <c r="C833" t="s">
        <v>2029</v>
      </c>
      <c r="D833">
        <v>0</v>
      </c>
      <c r="E833">
        <v>1</v>
      </c>
      <c r="F833" s="1">
        <v>45754</v>
      </c>
      <c r="G833">
        <f>_xlfn.XLOOKUP(F833,'Wk no''s'!B:B,'Wk no''s'!C:C,0)</f>
        <v>15</v>
      </c>
    </row>
    <row r="834" spans="1:7" x14ac:dyDescent="0.3">
      <c r="A834" t="s">
        <v>3193</v>
      </c>
      <c r="B834" t="s">
        <v>3194</v>
      </c>
      <c r="C834" t="s">
        <v>1343</v>
      </c>
      <c r="D834">
        <v>0</v>
      </c>
      <c r="E834">
        <v>1</v>
      </c>
      <c r="F834" s="1">
        <v>45754</v>
      </c>
      <c r="G834">
        <f>_xlfn.XLOOKUP(F834,'Wk no''s'!B:B,'Wk no''s'!C:C,0)</f>
        <v>15</v>
      </c>
    </row>
    <row r="835" spans="1:7" x14ac:dyDescent="0.3">
      <c r="A835" t="s">
        <v>3195</v>
      </c>
      <c r="B835" t="s">
        <v>3196</v>
      </c>
      <c r="C835" t="s">
        <v>273</v>
      </c>
      <c r="D835">
        <v>0</v>
      </c>
      <c r="E835">
        <v>1</v>
      </c>
      <c r="F835" s="1">
        <v>45754</v>
      </c>
      <c r="G835">
        <f>_xlfn.XLOOKUP(F835,'Wk no''s'!B:B,'Wk no''s'!C:C,0)</f>
        <v>15</v>
      </c>
    </row>
    <row r="836" spans="1:7" x14ac:dyDescent="0.3">
      <c r="A836" t="s">
        <v>3197</v>
      </c>
      <c r="B836" t="s">
        <v>3198</v>
      </c>
      <c r="C836" t="s">
        <v>3199</v>
      </c>
      <c r="D836">
        <v>3</v>
      </c>
      <c r="E836">
        <v>1</v>
      </c>
      <c r="F836" s="1">
        <v>45754</v>
      </c>
      <c r="G836">
        <f>_xlfn.XLOOKUP(F836,'Wk no''s'!B:B,'Wk no''s'!C:C,0)</f>
        <v>15</v>
      </c>
    </row>
    <row r="837" spans="1:7" x14ac:dyDescent="0.3">
      <c r="A837" t="s">
        <v>3200</v>
      </c>
      <c r="B837" t="s">
        <v>3201</v>
      </c>
      <c r="C837" t="s">
        <v>2279</v>
      </c>
      <c r="D837">
        <v>0</v>
      </c>
      <c r="E837">
        <v>1</v>
      </c>
      <c r="F837" s="1">
        <v>45755</v>
      </c>
      <c r="G837">
        <f>_xlfn.XLOOKUP(F837,'Wk no''s'!B:B,'Wk no''s'!C:C,0)</f>
        <v>15</v>
      </c>
    </row>
    <row r="838" spans="1:7" x14ac:dyDescent="0.3">
      <c r="A838" t="s">
        <v>3202</v>
      </c>
      <c r="B838" t="s">
        <v>3203</v>
      </c>
      <c r="C838" t="s">
        <v>197</v>
      </c>
      <c r="D838">
        <v>3</v>
      </c>
      <c r="E838">
        <v>1</v>
      </c>
      <c r="F838" s="1">
        <v>45755</v>
      </c>
      <c r="G838">
        <f>_xlfn.XLOOKUP(F838,'Wk no''s'!B:B,'Wk no''s'!C:C,0)</f>
        <v>15</v>
      </c>
    </row>
    <row r="839" spans="1:7" x14ac:dyDescent="0.3">
      <c r="A839" t="s">
        <v>3204</v>
      </c>
      <c r="B839" t="s">
        <v>3205</v>
      </c>
      <c r="C839" t="s">
        <v>3206</v>
      </c>
      <c r="D839">
        <v>0</v>
      </c>
      <c r="E839">
        <v>1</v>
      </c>
      <c r="F839" s="1">
        <v>45755</v>
      </c>
      <c r="G839">
        <f>_xlfn.XLOOKUP(F839,'Wk no''s'!B:B,'Wk no''s'!C:C,0)</f>
        <v>15</v>
      </c>
    </row>
    <row r="840" spans="1:7" x14ac:dyDescent="0.3">
      <c r="A840" t="s">
        <v>3207</v>
      </c>
      <c r="B840" t="s">
        <v>3208</v>
      </c>
      <c r="C840" t="s">
        <v>3209</v>
      </c>
      <c r="D840">
        <v>0</v>
      </c>
      <c r="E840">
        <v>1</v>
      </c>
      <c r="F840" s="1">
        <v>45755</v>
      </c>
      <c r="G840">
        <f>_xlfn.XLOOKUP(F840,'Wk no''s'!B:B,'Wk no''s'!C:C,0)</f>
        <v>15</v>
      </c>
    </row>
    <row r="841" spans="1:7" x14ac:dyDescent="0.3">
      <c r="A841" t="s">
        <v>3210</v>
      </c>
      <c r="B841" t="s">
        <v>3211</v>
      </c>
      <c r="C841" t="s">
        <v>3212</v>
      </c>
      <c r="D841">
        <v>15</v>
      </c>
      <c r="E841">
        <v>0</v>
      </c>
      <c r="F841" s="1">
        <v>45755</v>
      </c>
      <c r="G841">
        <f>_xlfn.XLOOKUP(F841,'Wk no''s'!B:B,'Wk no''s'!C:C,0)</f>
        <v>15</v>
      </c>
    </row>
    <row r="842" spans="1:7" x14ac:dyDescent="0.3">
      <c r="A842" t="s">
        <v>3213</v>
      </c>
      <c r="B842" t="s">
        <v>3214</v>
      </c>
      <c r="C842" t="s">
        <v>390</v>
      </c>
      <c r="D842">
        <v>0</v>
      </c>
      <c r="E842">
        <v>1</v>
      </c>
      <c r="F842" s="1">
        <v>45755</v>
      </c>
      <c r="G842">
        <f>_xlfn.XLOOKUP(F842,'Wk no''s'!B:B,'Wk no''s'!C:C,0)</f>
        <v>15</v>
      </c>
    </row>
    <row r="843" spans="1:7" x14ac:dyDescent="0.3">
      <c r="A843" t="s">
        <v>3215</v>
      </c>
      <c r="C843" t="s">
        <v>3216</v>
      </c>
      <c r="D843">
        <v>82</v>
      </c>
      <c r="E843">
        <v>0</v>
      </c>
      <c r="F843" s="1">
        <v>45755</v>
      </c>
      <c r="G843">
        <f>_xlfn.XLOOKUP(F843,'Wk no''s'!B:B,'Wk no''s'!C:C,0)</f>
        <v>15</v>
      </c>
    </row>
    <row r="844" spans="1:7" x14ac:dyDescent="0.3">
      <c r="A844" t="s">
        <v>3217</v>
      </c>
      <c r="B844" t="s">
        <v>3218</v>
      </c>
      <c r="C844" t="s">
        <v>3219</v>
      </c>
      <c r="D844">
        <v>59</v>
      </c>
      <c r="E844">
        <v>0</v>
      </c>
      <c r="F844" s="1">
        <v>45755</v>
      </c>
      <c r="G844">
        <f>_xlfn.XLOOKUP(F844,'Wk no''s'!B:B,'Wk no''s'!C:C,0)</f>
        <v>15</v>
      </c>
    </row>
    <row r="845" spans="1:7" x14ac:dyDescent="0.3">
      <c r="A845" t="s">
        <v>3220</v>
      </c>
      <c r="B845" t="s">
        <v>3221</v>
      </c>
      <c r="C845" t="s">
        <v>2010</v>
      </c>
      <c r="D845">
        <v>0</v>
      </c>
      <c r="E845">
        <v>1</v>
      </c>
      <c r="F845" s="1">
        <v>45755</v>
      </c>
      <c r="G845">
        <f>_xlfn.XLOOKUP(F845,'Wk no''s'!B:B,'Wk no''s'!C:C,0)</f>
        <v>15</v>
      </c>
    </row>
    <row r="846" spans="1:7" x14ac:dyDescent="0.3">
      <c r="A846" t="s">
        <v>3222</v>
      </c>
      <c r="B846" t="s">
        <v>3223</v>
      </c>
      <c r="C846" t="s">
        <v>75</v>
      </c>
      <c r="D846">
        <v>0</v>
      </c>
      <c r="E846">
        <v>1</v>
      </c>
      <c r="F846" s="1">
        <v>45755</v>
      </c>
      <c r="G846">
        <f>_xlfn.XLOOKUP(F846,'Wk no''s'!B:B,'Wk no''s'!C:C,0)</f>
        <v>15</v>
      </c>
    </row>
    <row r="847" spans="1:7" x14ac:dyDescent="0.3">
      <c r="A847" t="s">
        <v>3224</v>
      </c>
      <c r="B847" t="s">
        <v>3225</v>
      </c>
      <c r="C847" t="s">
        <v>3226</v>
      </c>
      <c r="D847">
        <v>1</v>
      </c>
      <c r="E847">
        <v>1</v>
      </c>
      <c r="F847" s="1">
        <v>45755</v>
      </c>
      <c r="G847">
        <f>_xlfn.XLOOKUP(F847,'Wk no''s'!B:B,'Wk no''s'!C:C,0)</f>
        <v>15</v>
      </c>
    </row>
    <row r="848" spans="1:7" x14ac:dyDescent="0.3">
      <c r="A848" t="s">
        <v>3227</v>
      </c>
      <c r="B848" t="s">
        <v>3228</v>
      </c>
      <c r="C848" t="s">
        <v>38</v>
      </c>
      <c r="D848">
        <v>10</v>
      </c>
      <c r="E848">
        <v>0</v>
      </c>
      <c r="F848" s="1">
        <v>45755</v>
      </c>
      <c r="G848">
        <f>_xlfn.XLOOKUP(F848,'Wk no''s'!B:B,'Wk no''s'!C:C,0)</f>
        <v>15</v>
      </c>
    </row>
    <row r="849" spans="1:7" x14ac:dyDescent="0.3">
      <c r="A849" t="s">
        <v>3229</v>
      </c>
      <c r="B849" t="s">
        <v>3230</v>
      </c>
      <c r="C849" t="s">
        <v>2648</v>
      </c>
      <c r="D849">
        <v>20</v>
      </c>
      <c r="E849">
        <v>0</v>
      </c>
      <c r="F849" s="1">
        <v>45755</v>
      </c>
      <c r="G849">
        <f>_xlfn.XLOOKUP(F849,'Wk no''s'!B:B,'Wk no''s'!C:C,0)</f>
        <v>15</v>
      </c>
    </row>
    <row r="850" spans="1:7" x14ac:dyDescent="0.3">
      <c r="A850" t="s">
        <v>3231</v>
      </c>
      <c r="B850" t="s">
        <v>3232</v>
      </c>
      <c r="C850" t="s">
        <v>1298</v>
      </c>
      <c r="D850">
        <v>0</v>
      </c>
      <c r="E850">
        <v>1</v>
      </c>
      <c r="F850" s="1">
        <v>45756</v>
      </c>
      <c r="G850">
        <f>_xlfn.XLOOKUP(F850,'Wk no''s'!B:B,'Wk no''s'!C:C,0)</f>
        <v>15</v>
      </c>
    </row>
    <row r="851" spans="1:7" x14ac:dyDescent="0.3">
      <c r="A851" t="s">
        <v>3233</v>
      </c>
      <c r="B851" t="s">
        <v>3234</v>
      </c>
      <c r="C851" t="s">
        <v>302</v>
      </c>
      <c r="D851">
        <v>0</v>
      </c>
      <c r="E851">
        <v>1</v>
      </c>
      <c r="F851" s="1">
        <v>45756</v>
      </c>
      <c r="G851">
        <f>_xlfn.XLOOKUP(F851,'Wk no''s'!B:B,'Wk no''s'!C:C,0)</f>
        <v>15</v>
      </c>
    </row>
    <row r="852" spans="1:7" x14ac:dyDescent="0.3">
      <c r="A852" t="s">
        <v>3235</v>
      </c>
      <c r="B852" t="s">
        <v>3236</v>
      </c>
      <c r="C852" t="s">
        <v>3237</v>
      </c>
      <c r="D852">
        <v>0</v>
      </c>
      <c r="E852">
        <v>1</v>
      </c>
      <c r="F852" s="1">
        <v>45756</v>
      </c>
      <c r="G852">
        <f>_xlfn.XLOOKUP(F852,'Wk no''s'!B:B,'Wk no''s'!C:C,0)</f>
        <v>15</v>
      </c>
    </row>
    <row r="853" spans="1:7" x14ac:dyDescent="0.3">
      <c r="A853" t="s">
        <v>3238</v>
      </c>
      <c r="B853" t="s">
        <v>3239</v>
      </c>
      <c r="C853" t="s">
        <v>240</v>
      </c>
      <c r="D853">
        <v>0</v>
      </c>
      <c r="E853">
        <v>1</v>
      </c>
      <c r="F853" s="1">
        <v>45756</v>
      </c>
      <c r="G853">
        <f>_xlfn.XLOOKUP(F853,'Wk no''s'!B:B,'Wk no''s'!C:C,0)</f>
        <v>15</v>
      </c>
    </row>
    <row r="854" spans="1:7" x14ac:dyDescent="0.3">
      <c r="A854" t="s">
        <v>3240</v>
      </c>
      <c r="B854" t="s">
        <v>3241</v>
      </c>
      <c r="C854" t="s">
        <v>1693</v>
      </c>
      <c r="D854">
        <v>21</v>
      </c>
      <c r="E854">
        <v>0</v>
      </c>
      <c r="F854" s="1">
        <v>45756</v>
      </c>
      <c r="G854">
        <f>_xlfn.XLOOKUP(F854,'Wk no''s'!B:B,'Wk no''s'!C:C,0)</f>
        <v>15</v>
      </c>
    </row>
    <row r="855" spans="1:7" x14ac:dyDescent="0.3">
      <c r="A855" t="s">
        <v>3242</v>
      </c>
      <c r="B855" t="s">
        <v>3243</v>
      </c>
      <c r="C855" t="s">
        <v>2908</v>
      </c>
      <c r="D855">
        <v>0</v>
      </c>
      <c r="E855">
        <v>1</v>
      </c>
      <c r="F855" s="1">
        <v>45756</v>
      </c>
      <c r="G855">
        <f>_xlfn.XLOOKUP(F855,'Wk no''s'!B:B,'Wk no''s'!C:C,0)</f>
        <v>15</v>
      </c>
    </row>
    <row r="856" spans="1:7" x14ac:dyDescent="0.3">
      <c r="A856" t="s">
        <v>3244</v>
      </c>
      <c r="B856" t="s">
        <v>3245</v>
      </c>
      <c r="C856" t="s">
        <v>220</v>
      </c>
      <c r="D856">
        <v>0</v>
      </c>
      <c r="E856">
        <v>1</v>
      </c>
      <c r="F856" s="1">
        <v>45756</v>
      </c>
      <c r="G856">
        <f>_xlfn.XLOOKUP(F856,'Wk no''s'!B:B,'Wk no''s'!C:C,0)</f>
        <v>15</v>
      </c>
    </row>
    <row r="857" spans="1:7" x14ac:dyDescent="0.3">
      <c r="A857" t="s">
        <v>3246</v>
      </c>
      <c r="B857" t="s">
        <v>3247</v>
      </c>
      <c r="C857" t="s">
        <v>1269</v>
      </c>
      <c r="D857">
        <v>0</v>
      </c>
      <c r="E857">
        <v>1</v>
      </c>
      <c r="F857" s="1">
        <v>45756</v>
      </c>
      <c r="G857">
        <f>_xlfn.XLOOKUP(F857,'Wk no''s'!B:B,'Wk no''s'!C:C,0)</f>
        <v>15</v>
      </c>
    </row>
    <row r="858" spans="1:7" x14ac:dyDescent="0.3">
      <c r="A858" t="s">
        <v>3248</v>
      </c>
      <c r="B858" t="s">
        <v>3249</v>
      </c>
      <c r="C858" t="s">
        <v>127</v>
      </c>
      <c r="D858">
        <v>0</v>
      </c>
      <c r="E858">
        <v>1</v>
      </c>
      <c r="F858" s="1">
        <v>45757</v>
      </c>
      <c r="G858">
        <f>_xlfn.XLOOKUP(F858,'Wk no''s'!B:B,'Wk no''s'!C:C,0)</f>
        <v>15</v>
      </c>
    </row>
    <row r="859" spans="1:7" x14ac:dyDescent="0.3">
      <c r="A859" t="s">
        <v>3250</v>
      </c>
      <c r="B859" t="s">
        <v>3251</v>
      </c>
      <c r="C859" t="s">
        <v>640</v>
      </c>
      <c r="D859">
        <v>0</v>
      </c>
      <c r="E859">
        <v>1</v>
      </c>
      <c r="F859" s="1">
        <v>45757</v>
      </c>
      <c r="G859">
        <f>_xlfn.XLOOKUP(F859,'Wk no''s'!B:B,'Wk no''s'!C:C,0)</f>
        <v>15</v>
      </c>
    </row>
    <row r="860" spans="1:7" x14ac:dyDescent="0.3">
      <c r="A860" t="s">
        <v>3252</v>
      </c>
      <c r="B860" t="s">
        <v>3253</v>
      </c>
      <c r="C860" t="s">
        <v>349</v>
      </c>
      <c r="D860">
        <v>14</v>
      </c>
      <c r="E860">
        <v>0</v>
      </c>
      <c r="F860" s="1">
        <v>45757</v>
      </c>
      <c r="G860">
        <f>_xlfn.XLOOKUP(F860,'Wk no''s'!B:B,'Wk no''s'!C:C,0)</f>
        <v>15</v>
      </c>
    </row>
    <row r="861" spans="1:7" x14ac:dyDescent="0.3">
      <c r="A861" t="s">
        <v>3254</v>
      </c>
      <c r="B861" t="s">
        <v>3255</v>
      </c>
      <c r="C861" t="s">
        <v>411</v>
      </c>
      <c r="D861">
        <v>0</v>
      </c>
      <c r="E861">
        <v>1</v>
      </c>
      <c r="F861" s="1">
        <v>45757</v>
      </c>
      <c r="G861">
        <f>_xlfn.XLOOKUP(F861,'Wk no''s'!B:B,'Wk no''s'!C:C,0)</f>
        <v>15</v>
      </c>
    </row>
    <row r="862" spans="1:7" x14ac:dyDescent="0.3">
      <c r="A862" t="s">
        <v>3256</v>
      </c>
      <c r="B862" t="s">
        <v>3257</v>
      </c>
      <c r="C862" t="s">
        <v>3258</v>
      </c>
      <c r="D862">
        <v>0</v>
      </c>
      <c r="E862">
        <v>1</v>
      </c>
      <c r="F862" s="1">
        <v>45757</v>
      </c>
      <c r="G862">
        <f>_xlfn.XLOOKUP(F862,'Wk no''s'!B:B,'Wk no''s'!C:C,0)</f>
        <v>15</v>
      </c>
    </row>
    <row r="863" spans="1:7" x14ac:dyDescent="0.3">
      <c r="A863" t="s">
        <v>3259</v>
      </c>
      <c r="B863" t="s">
        <v>3260</v>
      </c>
      <c r="C863" t="s">
        <v>2429</v>
      </c>
      <c r="D863">
        <v>0</v>
      </c>
      <c r="E863">
        <v>1</v>
      </c>
      <c r="F863" s="1">
        <v>45758</v>
      </c>
      <c r="G863">
        <f>_xlfn.XLOOKUP(F863,'Wk no''s'!B:B,'Wk no''s'!C:C,0)</f>
        <v>15</v>
      </c>
    </row>
    <row r="864" spans="1:7" x14ac:dyDescent="0.3">
      <c r="A864" t="s">
        <v>3261</v>
      </c>
      <c r="B864" t="s">
        <v>3262</v>
      </c>
      <c r="C864" t="s">
        <v>339</v>
      </c>
      <c r="D864">
        <v>0</v>
      </c>
      <c r="E864">
        <v>1</v>
      </c>
      <c r="F864" s="1">
        <v>45758</v>
      </c>
      <c r="G864">
        <f>_xlfn.XLOOKUP(F864,'Wk no''s'!B:B,'Wk no''s'!C:C,0)</f>
        <v>15</v>
      </c>
    </row>
    <row r="865" spans="1:7" x14ac:dyDescent="0.3">
      <c r="A865" t="s">
        <v>3263</v>
      </c>
      <c r="B865" t="s">
        <v>3264</v>
      </c>
      <c r="C865" t="s">
        <v>2088</v>
      </c>
      <c r="D865">
        <v>77</v>
      </c>
      <c r="E865">
        <v>0</v>
      </c>
      <c r="F865" s="1">
        <v>45758</v>
      </c>
      <c r="G865">
        <f>_xlfn.XLOOKUP(F865,'Wk no''s'!B:B,'Wk no''s'!C:C,0)</f>
        <v>15</v>
      </c>
    </row>
    <row r="866" spans="1:7" x14ac:dyDescent="0.3">
      <c r="A866" t="s">
        <v>3265</v>
      </c>
      <c r="B866" t="s">
        <v>3266</v>
      </c>
      <c r="C866" t="s">
        <v>3267</v>
      </c>
      <c r="D866">
        <v>2</v>
      </c>
      <c r="E866">
        <v>1</v>
      </c>
      <c r="F866" s="1">
        <v>45758</v>
      </c>
      <c r="G866">
        <f>_xlfn.XLOOKUP(F866,'Wk no''s'!B:B,'Wk no''s'!C:C,0)</f>
        <v>15</v>
      </c>
    </row>
    <row r="867" spans="1:7" x14ac:dyDescent="0.3">
      <c r="A867" t="s">
        <v>3268</v>
      </c>
      <c r="B867" t="s">
        <v>3269</v>
      </c>
      <c r="C867" t="s">
        <v>1363</v>
      </c>
      <c r="D867">
        <v>0</v>
      </c>
      <c r="E867">
        <v>1</v>
      </c>
      <c r="F867" s="1">
        <v>45758</v>
      </c>
      <c r="G867">
        <f>_xlfn.XLOOKUP(F867,'Wk no''s'!B:B,'Wk no''s'!C:C,0)</f>
        <v>15</v>
      </c>
    </row>
    <row r="868" spans="1:7" x14ac:dyDescent="0.3">
      <c r="A868" t="s">
        <v>3270</v>
      </c>
      <c r="B868" t="s">
        <v>3271</v>
      </c>
      <c r="C868" t="s">
        <v>573</v>
      </c>
      <c r="D868">
        <v>0</v>
      </c>
      <c r="E868">
        <v>1</v>
      </c>
      <c r="F868" s="1">
        <v>45761</v>
      </c>
      <c r="G868">
        <f>_xlfn.XLOOKUP(F868,'Wk no''s'!B:B,'Wk no''s'!C:C,0)</f>
        <v>16</v>
      </c>
    </row>
    <row r="869" spans="1:7" x14ac:dyDescent="0.3">
      <c r="A869" t="s">
        <v>3272</v>
      </c>
      <c r="B869" t="s">
        <v>3273</v>
      </c>
      <c r="C869" t="s">
        <v>75</v>
      </c>
      <c r="D869">
        <v>0</v>
      </c>
      <c r="E869">
        <v>1</v>
      </c>
      <c r="F869" s="1">
        <v>45761</v>
      </c>
      <c r="G869">
        <f>_xlfn.XLOOKUP(F869,'Wk no''s'!B:B,'Wk no''s'!C:C,0)</f>
        <v>16</v>
      </c>
    </row>
    <row r="870" spans="1:7" x14ac:dyDescent="0.3">
      <c r="A870" t="s">
        <v>3274</v>
      </c>
      <c r="B870" t="s">
        <v>3275</v>
      </c>
      <c r="C870" t="s">
        <v>1544</v>
      </c>
      <c r="D870">
        <v>5</v>
      </c>
      <c r="E870">
        <v>1</v>
      </c>
      <c r="F870" s="1">
        <v>45761</v>
      </c>
      <c r="G870">
        <f>_xlfn.XLOOKUP(F870,'Wk no''s'!B:B,'Wk no''s'!C:C,0)</f>
        <v>16</v>
      </c>
    </row>
    <row r="871" spans="1:7" x14ac:dyDescent="0.3">
      <c r="A871" t="s">
        <v>3276</v>
      </c>
      <c r="B871" t="s">
        <v>3277</v>
      </c>
      <c r="C871" t="s">
        <v>2279</v>
      </c>
      <c r="D871">
        <v>37</v>
      </c>
      <c r="E871">
        <v>0</v>
      </c>
      <c r="F871" s="1">
        <v>45761</v>
      </c>
      <c r="G871">
        <f>_xlfn.XLOOKUP(F871,'Wk no''s'!B:B,'Wk no''s'!C:C,0)</f>
        <v>16</v>
      </c>
    </row>
    <row r="872" spans="1:7" x14ac:dyDescent="0.3">
      <c r="A872" t="s">
        <v>3278</v>
      </c>
      <c r="B872" t="s">
        <v>3279</v>
      </c>
      <c r="C872" t="s">
        <v>3280</v>
      </c>
      <c r="D872">
        <v>0</v>
      </c>
      <c r="E872">
        <v>1</v>
      </c>
      <c r="F872" s="1">
        <v>45761</v>
      </c>
      <c r="G872">
        <f>_xlfn.XLOOKUP(F872,'Wk no''s'!B:B,'Wk no''s'!C:C,0)</f>
        <v>16</v>
      </c>
    </row>
    <row r="873" spans="1:7" x14ac:dyDescent="0.3">
      <c r="A873" t="s">
        <v>3281</v>
      </c>
      <c r="B873" t="s">
        <v>3282</v>
      </c>
      <c r="C873" t="s">
        <v>2887</v>
      </c>
      <c r="D873">
        <v>0</v>
      </c>
      <c r="E873">
        <v>1</v>
      </c>
      <c r="F873" s="1">
        <v>45761</v>
      </c>
      <c r="G873">
        <f>_xlfn.XLOOKUP(F873,'Wk no''s'!B:B,'Wk no''s'!C:C,0)</f>
        <v>16</v>
      </c>
    </row>
    <row r="874" spans="1:7" x14ac:dyDescent="0.3">
      <c r="A874" t="s">
        <v>3283</v>
      </c>
      <c r="B874" t="s">
        <v>3284</v>
      </c>
      <c r="C874" t="s">
        <v>3285</v>
      </c>
      <c r="D874">
        <v>0</v>
      </c>
      <c r="E874">
        <v>1</v>
      </c>
      <c r="F874" s="1">
        <v>45762</v>
      </c>
      <c r="G874">
        <f>_xlfn.XLOOKUP(F874,'Wk no''s'!B:B,'Wk no''s'!C:C,0)</f>
        <v>16</v>
      </c>
    </row>
    <row r="875" spans="1:7" x14ac:dyDescent="0.3">
      <c r="A875" t="s">
        <v>3286</v>
      </c>
      <c r="B875" t="s">
        <v>3287</v>
      </c>
      <c r="C875" t="s">
        <v>302</v>
      </c>
      <c r="D875">
        <v>0</v>
      </c>
      <c r="E875">
        <v>1</v>
      </c>
      <c r="F875" s="1">
        <v>45762</v>
      </c>
      <c r="G875">
        <f>_xlfn.XLOOKUP(F875,'Wk no''s'!B:B,'Wk no''s'!C:C,0)</f>
        <v>16</v>
      </c>
    </row>
    <row r="876" spans="1:7" x14ac:dyDescent="0.3">
      <c r="A876" t="s">
        <v>3288</v>
      </c>
      <c r="B876" t="s">
        <v>3289</v>
      </c>
      <c r="C876" t="s">
        <v>1194</v>
      </c>
      <c r="D876">
        <v>0</v>
      </c>
      <c r="E876">
        <v>1</v>
      </c>
      <c r="F876" s="1">
        <v>45762</v>
      </c>
      <c r="G876">
        <f>_xlfn.XLOOKUP(F876,'Wk no''s'!B:B,'Wk no''s'!C:C,0)</f>
        <v>16</v>
      </c>
    </row>
    <row r="877" spans="1:7" x14ac:dyDescent="0.3">
      <c r="A877" t="s">
        <v>3290</v>
      </c>
      <c r="B877" t="s">
        <v>3291</v>
      </c>
      <c r="C877" t="s">
        <v>2291</v>
      </c>
      <c r="D877">
        <v>0</v>
      </c>
      <c r="E877">
        <v>1</v>
      </c>
      <c r="F877" s="1">
        <v>45762</v>
      </c>
      <c r="G877">
        <f>_xlfn.XLOOKUP(F877,'Wk no''s'!B:B,'Wk no''s'!C:C,0)</f>
        <v>16</v>
      </c>
    </row>
    <row r="878" spans="1:7" x14ac:dyDescent="0.3">
      <c r="A878" t="s">
        <v>3292</v>
      </c>
      <c r="B878" t="s">
        <v>3293</v>
      </c>
      <c r="C878" t="s">
        <v>3294</v>
      </c>
      <c r="D878">
        <v>0</v>
      </c>
      <c r="E878">
        <v>1</v>
      </c>
      <c r="F878" s="1">
        <v>45762</v>
      </c>
      <c r="G878">
        <f>_xlfn.XLOOKUP(F878,'Wk no''s'!B:B,'Wk no''s'!C:C,0)</f>
        <v>16</v>
      </c>
    </row>
    <row r="879" spans="1:7" x14ac:dyDescent="0.3">
      <c r="A879" t="s">
        <v>3295</v>
      </c>
      <c r="B879" t="s">
        <v>3296</v>
      </c>
      <c r="C879" t="s">
        <v>3297</v>
      </c>
      <c r="D879">
        <v>5</v>
      </c>
      <c r="E879">
        <v>1</v>
      </c>
      <c r="F879" s="1">
        <v>45762</v>
      </c>
      <c r="G879">
        <f>_xlfn.XLOOKUP(F879,'Wk no''s'!B:B,'Wk no''s'!C:C,0)</f>
        <v>16</v>
      </c>
    </row>
    <row r="880" spans="1:7" x14ac:dyDescent="0.3">
      <c r="A880" t="s">
        <v>3298</v>
      </c>
      <c r="B880" t="s">
        <v>3299</v>
      </c>
      <c r="C880" t="s">
        <v>3300</v>
      </c>
      <c r="D880">
        <v>18</v>
      </c>
      <c r="E880">
        <v>0</v>
      </c>
      <c r="F880" s="1">
        <v>45762</v>
      </c>
      <c r="G880">
        <f>_xlfn.XLOOKUP(F880,'Wk no''s'!B:B,'Wk no''s'!C:C,0)</f>
        <v>16</v>
      </c>
    </row>
    <row r="881" spans="1:7" x14ac:dyDescent="0.3">
      <c r="A881" t="s">
        <v>3301</v>
      </c>
      <c r="B881" t="s">
        <v>3302</v>
      </c>
      <c r="C881" t="s">
        <v>3300</v>
      </c>
      <c r="D881">
        <v>19</v>
      </c>
      <c r="E881">
        <v>0</v>
      </c>
      <c r="F881" s="1">
        <v>45762</v>
      </c>
      <c r="G881">
        <f>_xlfn.XLOOKUP(F881,'Wk no''s'!B:B,'Wk no''s'!C:C,0)</f>
        <v>16</v>
      </c>
    </row>
    <row r="882" spans="1:7" x14ac:dyDescent="0.3">
      <c r="A882" t="s">
        <v>3303</v>
      </c>
      <c r="B882" t="s">
        <v>3304</v>
      </c>
      <c r="C882" t="s">
        <v>3305</v>
      </c>
      <c r="D882">
        <v>3</v>
      </c>
      <c r="E882">
        <v>1</v>
      </c>
      <c r="F882" s="1">
        <v>45762</v>
      </c>
      <c r="G882">
        <f>_xlfn.XLOOKUP(F882,'Wk no''s'!B:B,'Wk no''s'!C:C,0)</f>
        <v>16</v>
      </c>
    </row>
    <row r="883" spans="1:7" x14ac:dyDescent="0.3">
      <c r="A883" t="s">
        <v>3306</v>
      </c>
      <c r="B883" t="s">
        <v>3307</v>
      </c>
      <c r="C883" t="s">
        <v>362</v>
      </c>
      <c r="D883">
        <v>0</v>
      </c>
      <c r="E883">
        <v>1</v>
      </c>
      <c r="F883" s="1">
        <v>45762</v>
      </c>
      <c r="G883">
        <f>_xlfn.XLOOKUP(F883,'Wk no''s'!B:B,'Wk no''s'!C:C,0)</f>
        <v>16</v>
      </c>
    </row>
    <row r="884" spans="1:7" x14ac:dyDescent="0.3">
      <c r="A884" t="s">
        <v>3308</v>
      </c>
      <c r="B884" t="s">
        <v>3309</v>
      </c>
      <c r="C884" t="s">
        <v>3310</v>
      </c>
      <c r="D884">
        <v>1</v>
      </c>
      <c r="E884">
        <v>1</v>
      </c>
      <c r="F884" s="1">
        <v>45762</v>
      </c>
      <c r="G884">
        <f>_xlfn.XLOOKUP(F884,'Wk no''s'!B:B,'Wk no''s'!C:C,0)</f>
        <v>16</v>
      </c>
    </row>
    <row r="885" spans="1:7" x14ac:dyDescent="0.3">
      <c r="A885" t="s">
        <v>3311</v>
      </c>
      <c r="B885" t="s">
        <v>3312</v>
      </c>
      <c r="C885" t="s">
        <v>273</v>
      </c>
      <c r="D885">
        <v>10</v>
      </c>
      <c r="E885">
        <v>0</v>
      </c>
      <c r="F885" s="1">
        <v>45762</v>
      </c>
      <c r="G885">
        <f>_xlfn.XLOOKUP(F885,'Wk no''s'!B:B,'Wk no''s'!C:C,0)</f>
        <v>16</v>
      </c>
    </row>
    <row r="886" spans="1:7" x14ac:dyDescent="0.3">
      <c r="A886" t="s">
        <v>3313</v>
      </c>
      <c r="B886" t="s">
        <v>3314</v>
      </c>
      <c r="C886" t="s">
        <v>1159</v>
      </c>
      <c r="D886">
        <v>9</v>
      </c>
      <c r="E886">
        <v>0</v>
      </c>
      <c r="F886" s="1">
        <v>45763</v>
      </c>
      <c r="G886">
        <f>_xlfn.XLOOKUP(F886,'Wk no''s'!B:B,'Wk no''s'!C:C,0)</f>
        <v>16</v>
      </c>
    </row>
    <row r="887" spans="1:7" x14ac:dyDescent="0.3">
      <c r="A887" t="s">
        <v>3315</v>
      </c>
      <c r="B887" t="s">
        <v>3316</v>
      </c>
      <c r="C887" t="s">
        <v>2288</v>
      </c>
      <c r="D887">
        <v>14</v>
      </c>
      <c r="E887">
        <v>0</v>
      </c>
      <c r="F887" s="1">
        <v>45763</v>
      </c>
      <c r="G887">
        <f>_xlfn.XLOOKUP(F887,'Wk no''s'!B:B,'Wk no''s'!C:C,0)</f>
        <v>16</v>
      </c>
    </row>
    <row r="888" spans="1:7" x14ac:dyDescent="0.3">
      <c r="A888" t="s">
        <v>3317</v>
      </c>
      <c r="B888" t="s">
        <v>3318</v>
      </c>
      <c r="C888" t="s">
        <v>2855</v>
      </c>
      <c r="D888">
        <v>15</v>
      </c>
      <c r="E888">
        <v>0</v>
      </c>
      <c r="F888" s="1">
        <v>45763</v>
      </c>
      <c r="G888">
        <f>_xlfn.XLOOKUP(F888,'Wk no''s'!B:B,'Wk no''s'!C:C,0)</f>
        <v>16</v>
      </c>
    </row>
    <row r="889" spans="1:7" x14ac:dyDescent="0.3">
      <c r="A889" t="s">
        <v>3319</v>
      </c>
      <c r="B889" t="s">
        <v>3320</v>
      </c>
      <c r="C889" t="s">
        <v>3321</v>
      </c>
      <c r="D889">
        <v>0</v>
      </c>
      <c r="E889">
        <v>1</v>
      </c>
      <c r="F889" s="1">
        <v>45763</v>
      </c>
      <c r="G889">
        <f>_xlfn.XLOOKUP(F889,'Wk no''s'!B:B,'Wk no''s'!C:C,0)</f>
        <v>16</v>
      </c>
    </row>
    <row r="890" spans="1:7" x14ac:dyDescent="0.3">
      <c r="A890" t="s">
        <v>3322</v>
      </c>
      <c r="B890" t="s">
        <v>3323</v>
      </c>
      <c r="C890" t="s">
        <v>36</v>
      </c>
      <c r="D890">
        <v>7</v>
      </c>
      <c r="E890">
        <v>0</v>
      </c>
      <c r="F890" s="1">
        <v>45763</v>
      </c>
      <c r="G890">
        <f>_xlfn.XLOOKUP(F890,'Wk no''s'!B:B,'Wk no''s'!C:C,0)</f>
        <v>16</v>
      </c>
    </row>
    <row r="891" spans="1:7" x14ac:dyDescent="0.3">
      <c r="A891" t="s">
        <v>3324</v>
      </c>
      <c r="B891" t="s">
        <v>3325</v>
      </c>
      <c r="C891" t="s">
        <v>2259</v>
      </c>
      <c r="D891">
        <v>0</v>
      </c>
      <c r="E891">
        <v>1</v>
      </c>
      <c r="F891" s="1">
        <v>45763</v>
      </c>
      <c r="G891">
        <f>_xlfn.XLOOKUP(F891,'Wk no''s'!B:B,'Wk no''s'!C:C,0)</f>
        <v>16</v>
      </c>
    </row>
    <row r="892" spans="1:7" x14ac:dyDescent="0.3">
      <c r="A892" t="s">
        <v>3326</v>
      </c>
      <c r="B892" t="s">
        <v>3327</v>
      </c>
      <c r="C892" t="s">
        <v>3328</v>
      </c>
      <c r="D892">
        <v>10</v>
      </c>
      <c r="E892">
        <v>0</v>
      </c>
      <c r="F892" s="1">
        <v>45763</v>
      </c>
      <c r="G892">
        <f>_xlfn.XLOOKUP(F892,'Wk no''s'!B:B,'Wk no''s'!C:C,0)</f>
        <v>16</v>
      </c>
    </row>
    <row r="893" spans="1:7" x14ac:dyDescent="0.3">
      <c r="A893" t="s">
        <v>3329</v>
      </c>
      <c r="B893" t="s">
        <v>3330</v>
      </c>
      <c r="C893" t="s">
        <v>3331</v>
      </c>
      <c r="D893">
        <v>19</v>
      </c>
      <c r="E893">
        <v>0</v>
      </c>
      <c r="F893" s="1">
        <v>45764</v>
      </c>
      <c r="G893">
        <f>_xlfn.XLOOKUP(F893,'Wk no''s'!B:B,'Wk no''s'!C:C,0)</f>
        <v>16</v>
      </c>
    </row>
    <row r="894" spans="1:7" x14ac:dyDescent="0.3">
      <c r="A894" t="s">
        <v>3332</v>
      </c>
      <c r="B894" t="s">
        <v>3333</v>
      </c>
      <c r="C894" t="s">
        <v>2596</v>
      </c>
      <c r="D894">
        <v>3</v>
      </c>
      <c r="E894">
        <v>1</v>
      </c>
      <c r="F894" s="1">
        <v>45764</v>
      </c>
      <c r="G894">
        <f>_xlfn.XLOOKUP(F894,'Wk no''s'!B:B,'Wk no''s'!C:C,0)</f>
        <v>16</v>
      </c>
    </row>
    <row r="895" spans="1:7" x14ac:dyDescent="0.3">
      <c r="A895" t="s">
        <v>3334</v>
      </c>
      <c r="B895" t="s">
        <v>3335</v>
      </c>
      <c r="C895" t="s">
        <v>197</v>
      </c>
      <c r="D895">
        <v>0</v>
      </c>
      <c r="E895">
        <v>1</v>
      </c>
      <c r="F895" s="1">
        <v>45764</v>
      </c>
      <c r="G895">
        <f>_xlfn.XLOOKUP(F895,'Wk no''s'!B:B,'Wk no''s'!C:C,0)</f>
        <v>16</v>
      </c>
    </row>
    <row r="896" spans="1:7" x14ac:dyDescent="0.3">
      <c r="A896" t="s">
        <v>3336</v>
      </c>
      <c r="B896" t="s">
        <v>3337</v>
      </c>
      <c r="C896" t="s">
        <v>3338</v>
      </c>
      <c r="D896">
        <v>1</v>
      </c>
      <c r="E896">
        <v>1</v>
      </c>
      <c r="F896" s="1">
        <v>45764</v>
      </c>
      <c r="G896">
        <f>_xlfn.XLOOKUP(F896,'Wk no''s'!B:B,'Wk no''s'!C:C,0)</f>
        <v>16</v>
      </c>
    </row>
    <row r="897" spans="1:7" x14ac:dyDescent="0.3">
      <c r="A897" t="s">
        <v>3339</v>
      </c>
      <c r="B897" t="s">
        <v>3340</v>
      </c>
      <c r="C897" t="s">
        <v>3341</v>
      </c>
      <c r="D897">
        <v>25</v>
      </c>
      <c r="E897">
        <v>0</v>
      </c>
      <c r="F897" s="1">
        <v>45764</v>
      </c>
      <c r="G897">
        <f>_xlfn.XLOOKUP(F897,'Wk no''s'!B:B,'Wk no''s'!C:C,0)</f>
        <v>16</v>
      </c>
    </row>
    <row r="898" spans="1:7" x14ac:dyDescent="0.3">
      <c r="A898" t="s">
        <v>3342</v>
      </c>
      <c r="B898" t="s">
        <v>3343</v>
      </c>
      <c r="C898" t="s">
        <v>3344</v>
      </c>
      <c r="D898">
        <v>0</v>
      </c>
      <c r="E898">
        <v>1</v>
      </c>
      <c r="F898" s="1">
        <v>45764</v>
      </c>
      <c r="G898">
        <f>_xlfn.XLOOKUP(F898,'Wk no''s'!B:B,'Wk no''s'!C:C,0)</f>
        <v>16</v>
      </c>
    </row>
    <row r="899" spans="1:7" x14ac:dyDescent="0.3">
      <c r="A899" t="s">
        <v>3345</v>
      </c>
      <c r="B899" t="s">
        <v>3346</v>
      </c>
      <c r="C899" t="s">
        <v>17</v>
      </c>
      <c r="D899">
        <v>0</v>
      </c>
      <c r="E899">
        <v>1</v>
      </c>
      <c r="F899" s="1">
        <v>45764</v>
      </c>
      <c r="G899">
        <f>_xlfn.XLOOKUP(F899,'Wk no''s'!B:B,'Wk no''s'!C:C,0)</f>
        <v>16</v>
      </c>
    </row>
    <row r="900" spans="1:7" x14ac:dyDescent="0.3">
      <c r="A900" t="s">
        <v>3347</v>
      </c>
      <c r="B900" t="s">
        <v>3348</v>
      </c>
      <c r="C900" t="s">
        <v>580</v>
      </c>
      <c r="D900">
        <v>8</v>
      </c>
      <c r="E900">
        <v>0</v>
      </c>
      <c r="F900" s="1">
        <v>45764</v>
      </c>
      <c r="G900">
        <f>_xlfn.XLOOKUP(F900,'Wk no''s'!B:B,'Wk no''s'!C:C,0)</f>
        <v>16</v>
      </c>
    </row>
    <row r="901" spans="1:7" x14ac:dyDescent="0.3">
      <c r="A901" t="s">
        <v>3349</v>
      </c>
      <c r="B901" t="s">
        <v>3350</v>
      </c>
      <c r="C901" t="s">
        <v>3351</v>
      </c>
      <c r="D901">
        <v>6</v>
      </c>
      <c r="E901">
        <v>0</v>
      </c>
      <c r="F901" s="1">
        <v>45764</v>
      </c>
      <c r="G901">
        <f>_xlfn.XLOOKUP(F901,'Wk no''s'!B:B,'Wk no''s'!C:C,0)</f>
        <v>16</v>
      </c>
    </row>
    <row r="902" spans="1:7" x14ac:dyDescent="0.3">
      <c r="A902" t="s">
        <v>3352</v>
      </c>
      <c r="B902" t="s">
        <v>3353</v>
      </c>
      <c r="C902" t="s">
        <v>113</v>
      </c>
      <c r="D902">
        <v>0</v>
      </c>
      <c r="E902">
        <v>1</v>
      </c>
      <c r="F902" s="1">
        <v>45764</v>
      </c>
      <c r="G902">
        <f>_xlfn.XLOOKUP(F902,'Wk no''s'!B:B,'Wk no''s'!C:C,0)</f>
        <v>16</v>
      </c>
    </row>
    <row r="903" spans="1:7" x14ac:dyDescent="0.3">
      <c r="A903" t="s">
        <v>3354</v>
      </c>
      <c r="B903" t="s">
        <v>3355</v>
      </c>
      <c r="C903" t="s">
        <v>17</v>
      </c>
      <c r="D903">
        <v>5</v>
      </c>
      <c r="E903">
        <v>1</v>
      </c>
      <c r="F903" s="1">
        <v>45769</v>
      </c>
      <c r="G903">
        <f>_xlfn.XLOOKUP(F903,'Wk no''s'!B:B,'Wk no''s'!C:C,0)</f>
        <v>17</v>
      </c>
    </row>
    <row r="904" spans="1:7" x14ac:dyDescent="0.3">
      <c r="A904" t="s">
        <v>3356</v>
      </c>
      <c r="B904" t="s">
        <v>3357</v>
      </c>
      <c r="C904" t="s">
        <v>34</v>
      </c>
      <c r="D904">
        <v>49</v>
      </c>
      <c r="E904">
        <v>0</v>
      </c>
      <c r="F904" s="1">
        <v>45769</v>
      </c>
      <c r="G904">
        <f>_xlfn.XLOOKUP(F904,'Wk no''s'!B:B,'Wk no''s'!C:C,0)</f>
        <v>17</v>
      </c>
    </row>
    <row r="905" spans="1:7" x14ac:dyDescent="0.3">
      <c r="A905" t="s">
        <v>3358</v>
      </c>
      <c r="B905" t="s">
        <v>2962</v>
      </c>
      <c r="C905" t="s">
        <v>2963</v>
      </c>
      <c r="D905">
        <v>0</v>
      </c>
      <c r="E905">
        <v>1</v>
      </c>
      <c r="F905" s="1">
        <v>45769</v>
      </c>
      <c r="G905">
        <f>_xlfn.XLOOKUP(F905,'Wk no''s'!B:B,'Wk no''s'!C:C,0)</f>
        <v>17</v>
      </c>
    </row>
    <row r="906" spans="1:7" x14ac:dyDescent="0.3">
      <c r="A906" t="s">
        <v>3359</v>
      </c>
      <c r="B906" t="s">
        <v>3360</v>
      </c>
      <c r="C906" t="s">
        <v>5182</v>
      </c>
      <c r="D906">
        <v>72</v>
      </c>
      <c r="E906">
        <v>0</v>
      </c>
      <c r="F906" s="1">
        <v>45769</v>
      </c>
      <c r="G906">
        <f>_xlfn.XLOOKUP(F906,'Wk no''s'!B:B,'Wk no''s'!C:C,0)</f>
        <v>17</v>
      </c>
    </row>
    <row r="907" spans="1:7" x14ac:dyDescent="0.3">
      <c r="A907" t="s">
        <v>3361</v>
      </c>
      <c r="B907" t="s">
        <v>3362</v>
      </c>
      <c r="C907" t="s">
        <v>6908</v>
      </c>
      <c r="D907">
        <v>1</v>
      </c>
      <c r="E907">
        <v>1</v>
      </c>
      <c r="F907" s="1">
        <v>45769</v>
      </c>
      <c r="G907">
        <f>_xlfn.XLOOKUP(F907,'Wk no''s'!B:B,'Wk no''s'!C:C,0)</f>
        <v>17</v>
      </c>
    </row>
    <row r="908" spans="1:7" x14ac:dyDescent="0.3">
      <c r="A908" t="s">
        <v>3363</v>
      </c>
      <c r="B908" t="s">
        <v>3364</v>
      </c>
      <c r="C908" t="s">
        <v>2593</v>
      </c>
      <c r="D908">
        <v>3</v>
      </c>
      <c r="E908">
        <v>1</v>
      </c>
      <c r="F908" s="1">
        <v>45770</v>
      </c>
      <c r="G908">
        <f>_xlfn.XLOOKUP(F908,'Wk no''s'!B:B,'Wk no''s'!C:C,0)</f>
        <v>17</v>
      </c>
    </row>
    <row r="909" spans="1:7" x14ac:dyDescent="0.3">
      <c r="A909" t="s">
        <v>3365</v>
      </c>
      <c r="B909" t="s">
        <v>3366</v>
      </c>
      <c r="C909" t="s">
        <v>1100</v>
      </c>
      <c r="D909">
        <v>0</v>
      </c>
      <c r="E909">
        <v>1</v>
      </c>
      <c r="F909" s="1">
        <v>45770</v>
      </c>
      <c r="G909">
        <f>_xlfn.XLOOKUP(F909,'Wk no''s'!B:B,'Wk no''s'!C:C,0)</f>
        <v>17</v>
      </c>
    </row>
    <row r="910" spans="1:7" x14ac:dyDescent="0.3">
      <c r="A910" t="s">
        <v>3367</v>
      </c>
      <c r="B910" t="s">
        <v>3368</v>
      </c>
      <c r="C910" t="s">
        <v>31</v>
      </c>
      <c r="D910">
        <v>0</v>
      </c>
      <c r="E910">
        <v>1</v>
      </c>
      <c r="F910" s="1">
        <v>45770</v>
      </c>
      <c r="G910">
        <f>_xlfn.XLOOKUP(F910,'Wk no''s'!B:B,'Wk no''s'!C:C,0)</f>
        <v>17</v>
      </c>
    </row>
    <row r="911" spans="1:7" x14ac:dyDescent="0.3">
      <c r="A911" t="s">
        <v>3369</v>
      </c>
      <c r="B911" t="s">
        <v>3370</v>
      </c>
      <c r="C911" t="s">
        <v>2</v>
      </c>
      <c r="D911">
        <v>0</v>
      </c>
      <c r="E911">
        <v>1</v>
      </c>
      <c r="F911" s="1">
        <v>45770</v>
      </c>
      <c r="G911">
        <f>_xlfn.XLOOKUP(F911,'Wk no''s'!B:B,'Wk no''s'!C:C,0)</f>
        <v>17</v>
      </c>
    </row>
    <row r="912" spans="1:7" x14ac:dyDescent="0.3">
      <c r="A912" t="s">
        <v>3371</v>
      </c>
      <c r="B912" t="s">
        <v>3372</v>
      </c>
      <c r="C912" t="s">
        <v>2294</v>
      </c>
      <c r="D912">
        <v>0</v>
      </c>
      <c r="E912">
        <v>1</v>
      </c>
      <c r="F912" s="1">
        <v>45771</v>
      </c>
      <c r="G912">
        <f>_xlfn.XLOOKUP(F912,'Wk no''s'!B:B,'Wk no''s'!C:C,0)</f>
        <v>17</v>
      </c>
    </row>
    <row r="913" spans="1:7" x14ac:dyDescent="0.3">
      <c r="A913" t="s">
        <v>3373</v>
      </c>
      <c r="B913" t="s">
        <v>3374</v>
      </c>
      <c r="C913" t="s">
        <v>3375</v>
      </c>
      <c r="D913">
        <v>7</v>
      </c>
      <c r="E913">
        <v>0</v>
      </c>
      <c r="F913" s="1">
        <v>45771</v>
      </c>
      <c r="G913">
        <f>_xlfn.XLOOKUP(F913,'Wk no''s'!B:B,'Wk no''s'!C:C,0)</f>
        <v>17</v>
      </c>
    </row>
    <row r="914" spans="1:7" x14ac:dyDescent="0.3">
      <c r="A914" t="s">
        <v>3376</v>
      </c>
      <c r="B914" t="s">
        <v>3377</v>
      </c>
      <c r="C914" t="s">
        <v>2840</v>
      </c>
      <c r="D914">
        <v>0</v>
      </c>
      <c r="E914">
        <v>1</v>
      </c>
      <c r="F914" s="1">
        <v>45771</v>
      </c>
      <c r="G914">
        <f>_xlfn.XLOOKUP(F914,'Wk no''s'!B:B,'Wk no''s'!C:C,0)</f>
        <v>17</v>
      </c>
    </row>
    <row r="915" spans="1:7" x14ac:dyDescent="0.3">
      <c r="A915" t="s">
        <v>3378</v>
      </c>
      <c r="B915" t="s">
        <v>3379</v>
      </c>
      <c r="C915" t="s">
        <v>3380</v>
      </c>
      <c r="D915">
        <v>0</v>
      </c>
      <c r="E915">
        <v>1</v>
      </c>
      <c r="F915" s="1">
        <v>45771</v>
      </c>
      <c r="G915">
        <f>_xlfn.XLOOKUP(F915,'Wk no''s'!B:B,'Wk no''s'!C:C,0)</f>
        <v>17</v>
      </c>
    </row>
    <row r="916" spans="1:7" x14ac:dyDescent="0.3">
      <c r="A916" t="s">
        <v>3381</v>
      </c>
      <c r="B916" t="s">
        <v>3382</v>
      </c>
      <c r="C916" t="s">
        <v>2789</v>
      </c>
      <c r="D916">
        <v>0</v>
      </c>
      <c r="E916">
        <v>1</v>
      </c>
      <c r="F916" s="1">
        <v>45771</v>
      </c>
      <c r="G916">
        <f>_xlfn.XLOOKUP(F916,'Wk no''s'!B:B,'Wk no''s'!C:C,0)</f>
        <v>17</v>
      </c>
    </row>
    <row r="917" spans="1:7" x14ac:dyDescent="0.3">
      <c r="A917" t="s">
        <v>3383</v>
      </c>
      <c r="B917" t="s">
        <v>3384</v>
      </c>
      <c r="C917" t="s">
        <v>2802</v>
      </c>
      <c r="D917">
        <v>0</v>
      </c>
      <c r="E917">
        <v>1</v>
      </c>
      <c r="F917" s="1">
        <v>45771</v>
      </c>
      <c r="G917">
        <f>_xlfn.XLOOKUP(F917,'Wk no''s'!B:B,'Wk no''s'!C:C,0)</f>
        <v>17</v>
      </c>
    </row>
    <row r="918" spans="1:7" x14ac:dyDescent="0.3">
      <c r="A918" t="s">
        <v>3385</v>
      </c>
      <c r="B918" t="s">
        <v>3386</v>
      </c>
      <c r="C918" t="s">
        <v>1706</v>
      </c>
      <c r="D918">
        <v>0</v>
      </c>
      <c r="E918">
        <v>1</v>
      </c>
      <c r="F918" s="1">
        <v>45771</v>
      </c>
      <c r="G918">
        <f>_xlfn.XLOOKUP(F918,'Wk no''s'!B:B,'Wk no''s'!C:C,0)</f>
        <v>17</v>
      </c>
    </row>
    <row r="919" spans="1:7" x14ac:dyDescent="0.3">
      <c r="A919" t="s">
        <v>3387</v>
      </c>
      <c r="B919" t="s">
        <v>3388</v>
      </c>
      <c r="C919" t="s">
        <v>109</v>
      </c>
      <c r="D919">
        <v>19</v>
      </c>
      <c r="E919">
        <v>0</v>
      </c>
      <c r="F919" s="1">
        <v>45771</v>
      </c>
      <c r="G919">
        <f>_xlfn.XLOOKUP(F919,'Wk no''s'!B:B,'Wk no''s'!C:C,0)</f>
        <v>17</v>
      </c>
    </row>
    <row r="920" spans="1:7" x14ac:dyDescent="0.3">
      <c r="A920" t="s">
        <v>3389</v>
      </c>
      <c r="B920" t="s">
        <v>3390</v>
      </c>
      <c r="C920" t="s">
        <v>3391</v>
      </c>
      <c r="D920">
        <v>0</v>
      </c>
      <c r="E920">
        <v>1</v>
      </c>
      <c r="F920" s="1">
        <v>45771</v>
      </c>
      <c r="G920">
        <f>_xlfn.XLOOKUP(F920,'Wk no''s'!B:B,'Wk no''s'!C:C,0)</f>
        <v>17</v>
      </c>
    </row>
    <row r="921" spans="1:7" x14ac:dyDescent="0.3">
      <c r="A921" t="s">
        <v>3392</v>
      </c>
      <c r="B921" t="s">
        <v>3393</v>
      </c>
      <c r="C921" t="s">
        <v>3394</v>
      </c>
      <c r="D921">
        <v>0</v>
      </c>
      <c r="E921">
        <v>1</v>
      </c>
      <c r="F921" s="1">
        <v>45771</v>
      </c>
      <c r="G921">
        <f>_xlfn.XLOOKUP(F921,'Wk no''s'!B:B,'Wk no''s'!C:C,0)</f>
        <v>17</v>
      </c>
    </row>
    <row r="922" spans="1:7" x14ac:dyDescent="0.3">
      <c r="A922" t="s">
        <v>3395</v>
      </c>
      <c r="B922" t="s">
        <v>3396</v>
      </c>
      <c r="C922" t="s">
        <v>2946</v>
      </c>
      <c r="D922">
        <v>11</v>
      </c>
      <c r="E922">
        <v>0</v>
      </c>
      <c r="F922" s="1">
        <v>45771</v>
      </c>
      <c r="G922">
        <f>_xlfn.XLOOKUP(F922,'Wk no''s'!B:B,'Wk no''s'!C:C,0)</f>
        <v>17</v>
      </c>
    </row>
    <row r="923" spans="1:7" x14ac:dyDescent="0.3">
      <c r="A923" t="s">
        <v>3397</v>
      </c>
      <c r="B923" t="s">
        <v>3398</v>
      </c>
      <c r="C923" t="s">
        <v>2946</v>
      </c>
      <c r="D923">
        <v>0</v>
      </c>
      <c r="E923">
        <v>1</v>
      </c>
      <c r="F923" s="1">
        <v>45771</v>
      </c>
      <c r="G923">
        <f>_xlfn.XLOOKUP(F923,'Wk no''s'!B:B,'Wk no''s'!C:C,0)</f>
        <v>17</v>
      </c>
    </row>
    <row r="924" spans="1:7" x14ac:dyDescent="0.3">
      <c r="A924" t="s">
        <v>3399</v>
      </c>
      <c r="B924" t="s">
        <v>3400</v>
      </c>
      <c r="C924" t="s">
        <v>2946</v>
      </c>
      <c r="D924">
        <v>0</v>
      </c>
      <c r="E924">
        <v>1</v>
      </c>
      <c r="F924" s="1">
        <v>45771</v>
      </c>
      <c r="G924">
        <f>_xlfn.XLOOKUP(F924,'Wk no''s'!B:B,'Wk no''s'!C:C,0)</f>
        <v>17</v>
      </c>
    </row>
    <row r="925" spans="1:7" x14ac:dyDescent="0.3">
      <c r="A925" t="s">
        <v>3401</v>
      </c>
      <c r="B925" t="s">
        <v>3402</v>
      </c>
      <c r="C925" t="s">
        <v>3122</v>
      </c>
      <c r="D925">
        <v>0</v>
      </c>
      <c r="E925">
        <v>1</v>
      </c>
      <c r="F925" s="1">
        <v>45771</v>
      </c>
      <c r="G925">
        <f>_xlfn.XLOOKUP(F925,'Wk no''s'!B:B,'Wk no''s'!C:C,0)</f>
        <v>17</v>
      </c>
    </row>
    <row r="926" spans="1:7" x14ac:dyDescent="0.3">
      <c r="A926" t="s">
        <v>3403</v>
      </c>
      <c r="B926" t="s">
        <v>3404</v>
      </c>
      <c r="C926" t="s">
        <v>2703</v>
      </c>
      <c r="D926">
        <v>17</v>
      </c>
      <c r="E926">
        <v>0</v>
      </c>
      <c r="F926" s="1">
        <v>45771</v>
      </c>
      <c r="G926">
        <f>_xlfn.XLOOKUP(F926,'Wk no''s'!B:B,'Wk no''s'!C:C,0)</f>
        <v>17</v>
      </c>
    </row>
    <row r="927" spans="1:7" x14ac:dyDescent="0.3">
      <c r="A927" t="s">
        <v>3405</v>
      </c>
      <c r="B927" t="s">
        <v>3406</v>
      </c>
      <c r="C927" t="s">
        <v>224</v>
      </c>
      <c r="D927">
        <v>35</v>
      </c>
      <c r="E927">
        <v>0</v>
      </c>
      <c r="F927" s="1">
        <v>45771</v>
      </c>
      <c r="G927">
        <f>_xlfn.XLOOKUP(F927,'Wk no''s'!B:B,'Wk no''s'!C:C,0)</f>
        <v>17</v>
      </c>
    </row>
    <row r="928" spans="1:7" x14ac:dyDescent="0.3">
      <c r="A928" t="s">
        <v>3407</v>
      </c>
      <c r="B928" t="s">
        <v>3408</v>
      </c>
      <c r="C928" t="s">
        <v>3409</v>
      </c>
      <c r="D928">
        <v>1</v>
      </c>
      <c r="E928">
        <v>1</v>
      </c>
      <c r="F928" s="1">
        <v>45772</v>
      </c>
      <c r="G928">
        <f>_xlfn.XLOOKUP(F928,'Wk no''s'!B:B,'Wk no''s'!C:C,0)</f>
        <v>17</v>
      </c>
    </row>
    <row r="929" spans="1:7" x14ac:dyDescent="0.3">
      <c r="A929" t="s">
        <v>3410</v>
      </c>
      <c r="B929" t="s">
        <v>3411</v>
      </c>
      <c r="C929" t="s">
        <v>2730</v>
      </c>
      <c r="D929">
        <v>0</v>
      </c>
      <c r="E929">
        <v>1</v>
      </c>
      <c r="F929" s="1">
        <v>45773</v>
      </c>
      <c r="G929">
        <f>_xlfn.XLOOKUP(F929,'Wk no''s'!B:B,'Wk no''s'!C:C,0)</f>
        <v>18</v>
      </c>
    </row>
    <row r="930" spans="1:7" x14ac:dyDescent="0.3">
      <c r="A930" t="s">
        <v>3412</v>
      </c>
      <c r="B930" t="s">
        <v>3413</v>
      </c>
      <c r="C930" t="s">
        <v>2648</v>
      </c>
      <c r="D930">
        <v>0</v>
      </c>
      <c r="E930">
        <v>1</v>
      </c>
      <c r="F930" s="1">
        <v>45775</v>
      </c>
      <c r="G930">
        <f>_xlfn.XLOOKUP(F930,'Wk no''s'!B:B,'Wk no''s'!C:C,0)</f>
        <v>18</v>
      </c>
    </row>
    <row r="931" spans="1:7" x14ac:dyDescent="0.3">
      <c r="A931" t="s">
        <v>3414</v>
      </c>
      <c r="C931" t="s">
        <v>2730</v>
      </c>
      <c r="D931">
        <v>0</v>
      </c>
      <c r="E931">
        <v>1</v>
      </c>
      <c r="F931" s="1">
        <v>45775</v>
      </c>
      <c r="G931">
        <f>_xlfn.XLOOKUP(F931,'Wk no''s'!B:B,'Wk no''s'!C:C,0)</f>
        <v>18</v>
      </c>
    </row>
    <row r="932" spans="1:7" x14ac:dyDescent="0.3">
      <c r="A932" t="s">
        <v>3415</v>
      </c>
      <c r="B932" t="s">
        <v>3416</v>
      </c>
      <c r="C932" t="s">
        <v>3321</v>
      </c>
      <c r="D932">
        <v>0</v>
      </c>
      <c r="E932">
        <v>1</v>
      </c>
      <c r="F932" s="1">
        <v>45775</v>
      </c>
      <c r="G932">
        <f>_xlfn.XLOOKUP(F932,'Wk no''s'!B:B,'Wk no''s'!C:C,0)</f>
        <v>18</v>
      </c>
    </row>
    <row r="933" spans="1:7" x14ac:dyDescent="0.3">
      <c r="A933" t="s">
        <v>3417</v>
      </c>
      <c r="B933" t="s">
        <v>3418</v>
      </c>
      <c r="C933" t="s">
        <v>3419</v>
      </c>
      <c r="D933">
        <v>0</v>
      </c>
      <c r="E933">
        <v>1</v>
      </c>
      <c r="F933" s="1">
        <v>45775</v>
      </c>
      <c r="G933">
        <f>_xlfn.XLOOKUP(F933,'Wk no''s'!B:B,'Wk no''s'!C:C,0)</f>
        <v>18</v>
      </c>
    </row>
    <row r="934" spans="1:7" x14ac:dyDescent="0.3">
      <c r="A934" t="s">
        <v>3420</v>
      </c>
      <c r="B934" t="s">
        <v>3421</v>
      </c>
      <c r="C934" t="s">
        <v>3422</v>
      </c>
      <c r="D934">
        <v>0</v>
      </c>
      <c r="E934">
        <v>1</v>
      </c>
      <c r="F934" s="1">
        <v>45775</v>
      </c>
      <c r="G934">
        <f>_xlfn.XLOOKUP(F934,'Wk no''s'!B:B,'Wk no''s'!C:C,0)</f>
        <v>18</v>
      </c>
    </row>
    <row r="935" spans="1:7" x14ac:dyDescent="0.3">
      <c r="A935" t="s">
        <v>3423</v>
      </c>
      <c r="B935" t="s">
        <v>3424</v>
      </c>
      <c r="C935" t="s">
        <v>3425</v>
      </c>
      <c r="D935">
        <v>0</v>
      </c>
      <c r="E935">
        <v>1</v>
      </c>
      <c r="F935" s="1">
        <v>45775</v>
      </c>
      <c r="G935">
        <f>_xlfn.XLOOKUP(F935,'Wk no''s'!B:B,'Wk no''s'!C:C,0)</f>
        <v>18</v>
      </c>
    </row>
    <row r="936" spans="1:7" x14ac:dyDescent="0.3">
      <c r="A936" t="s">
        <v>3426</v>
      </c>
      <c r="B936" t="s">
        <v>3427</v>
      </c>
      <c r="C936" t="s">
        <v>1194</v>
      </c>
      <c r="D936">
        <v>11</v>
      </c>
      <c r="E936">
        <v>0</v>
      </c>
      <c r="F936" s="1">
        <v>45775</v>
      </c>
      <c r="G936">
        <f>_xlfn.XLOOKUP(F936,'Wk no''s'!B:B,'Wk no''s'!C:C,0)</f>
        <v>18</v>
      </c>
    </row>
    <row r="937" spans="1:7" x14ac:dyDescent="0.3">
      <c r="A937" t="s">
        <v>3428</v>
      </c>
      <c r="B937" t="s">
        <v>3429</v>
      </c>
      <c r="C937" t="s">
        <v>3430</v>
      </c>
      <c r="D937">
        <v>0</v>
      </c>
      <c r="E937">
        <v>1</v>
      </c>
      <c r="F937" s="1">
        <v>45775</v>
      </c>
      <c r="G937">
        <f>_xlfn.XLOOKUP(F937,'Wk no''s'!B:B,'Wk no''s'!C:C,0)</f>
        <v>18</v>
      </c>
    </row>
    <row r="938" spans="1:7" x14ac:dyDescent="0.3">
      <c r="A938" t="s">
        <v>3431</v>
      </c>
      <c r="B938" t="s">
        <v>3432</v>
      </c>
      <c r="C938" t="s">
        <v>197</v>
      </c>
      <c r="D938">
        <v>0</v>
      </c>
      <c r="E938">
        <v>1</v>
      </c>
      <c r="F938" s="1">
        <v>45775</v>
      </c>
      <c r="G938">
        <f>_xlfn.XLOOKUP(F938,'Wk no''s'!B:B,'Wk no''s'!C:C,0)</f>
        <v>18</v>
      </c>
    </row>
    <row r="939" spans="1:7" x14ac:dyDescent="0.3">
      <c r="A939" t="s">
        <v>3433</v>
      </c>
      <c r="B939" t="s">
        <v>3434</v>
      </c>
      <c r="C939" t="s">
        <v>3435</v>
      </c>
      <c r="D939">
        <v>0</v>
      </c>
      <c r="E939">
        <v>1</v>
      </c>
      <c r="F939" s="1">
        <v>45775</v>
      </c>
      <c r="G939">
        <f>_xlfn.XLOOKUP(F939,'Wk no''s'!B:B,'Wk no''s'!C:C,0)</f>
        <v>18</v>
      </c>
    </row>
    <row r="940" spans="1:7" x14ac:dyDescent="0.3">
      <c r="A940" t="s">
        <v>3436</v>
      </c>
      <c r="B940" t="s">
        <v>3437</v>
      </c>
      <c r="C940" t="s">
        <v>2141</v>
      </c>
      <c r="D940">
        <v>24</v>
      </c>
      <c r="E940">
        <v>0</v>
      </c>
      <c r="F940" s="1">
        <v>45775</v>
      </c>
      <c r="G940">
        <f>_xlfn.XLOOKUP(F940,'Wk no''s'!B:B,'Wk no''s'!C:C,0)</f>
        <v>18</v>
      </c>
    </row>
    <row r="941" spans="1:7" x14ac:dyDescent="0.3">
      <c r="A941" t="s">
        <v>3438</v>
      </c>
      <c r="B941" t="s">
        <v>3439</v>
      </c>
      <c r="C941" t="s">
        <v>39</v>
      </c>
      <c r="D941">
        <v>19</v>
      </c>
      <c r="E941">
        <v>0</v>
      </c>
      <c r="F941" s="1">
        <v>45775</v>
      </c>
      <c r="G941">
        <f>_xlfn.XLOOKUP(F941,'Wk no''s'!B:B,'Wk no''s'!C:C,0)</f>
        <v>18</v>
      </c>
    </row>
    <row r="942" spans="1:7" x14ac:dyDescent="0.3">
      <c r="A942" t="s">
        <v>3440</v>
      </c>
      <c r="B942" t="s">
        <v>3441</v>
      </c>
      <c r="C942" t="s">
        <v>39</v>
      </c>
      <c r="D942">
        <v>14</v>
      </c>
      <c r="E942">
        <v>0</v>
      </c>
      <c r="F942" s="1">
        <v>45775</v>
      </c>
      <c r="G942">
        <f>_xlfn.XLOOKUP(F942,'Wk no''s'!B:B,'Wk no''s'!C:C,0)</f>
        <v>18</v>
      </c>
    </row>
    <row r="943" spans="1:7" x14ac:dyDescent="0.3">
      <c r="A943" t="s">
        <v>3442</v>
      </c>
      <c r="B943" t="s">
        <v>3443</v>
      </c>
      <c r="C943" t="s">
        <v>3444</v>
      </c>
      <c r="D943">
        <v>0</v>
      </c>
      <c r="E943">
        <v>1</v>
      </c>
      <c r="F943" s="1">
        <v>45775</v>
      </c>
      <c r="G943">
        <f>_xlfn.XLOOKUP(F943,'Wk no''s'!B:B,'Wk no''s'!C:C,0)</f>
        <v>18</v>
      </c>
    </row>
    <row r="944" spans="1:7" x14ac:dyDescent="0.3">
      <c r="A944" t="s">
        <v>3445</v>
      </c>
      <c r="B944" t="s">
        <v>3446</v>
      </c>
      <c r="C944" t="s">
        <v>3447</v>
      </c>
      <c r="D944">
        <v>0</v>
      </c>
      <c r="E944">
        <v>1</v>
      </c>
      <c r="F944" s="1">
        <v>45775</v>
      </c>
      <c r="G944">
        <f>_xlfn.XLOOKUP(F944,'Wk no''s'!B:B,'Wk no''s'!C:C,0)</f>
        <v>18</v>
      </c>
    </row>
    <row r="945" spans="1:7" x14ac:dyDescent="0.3">
      <c r="A945" t="s">
        <v>3448</v>
      </c>
      <c r="B945" t="s">
        <v>3449</v>
      </c>
      <c r="C945" t="s">
        <v>3450</v>
      </c>
      <c r="D945">
        <v>0</v>
      </c>
      <c r="E945">
        <v>1</v>
      </c>
      <c r="F945" s="1">
        <v>45775</v>
      </c>
      <c r="G945">
        <f>_xlfn.XLOOKUP(F945,'Wk no''s'!B:B,'Wk no''s'!C:C,0)</f>
        <v>18</v>
      </c>
    </row>
    <row r="946" spans="1:7" x14ac:dyDescent="0.3">
      <c r="A946" t="s">
        <v>3451</v>
      </c>
      <c r="B946" t="s">
        <v>3452</v>
      </c>
      <c r="C946" t="s">
        <v>5493</v>
      </c>
      <c r="D946">
        <v>0</v>
      </c>
      <c r="E946">
        <v>1</v>
      </c>
      <c r="F946" s="1">
        <v>45776</v>
      </c>
      <c r="G946">
        <f>_xlfn.XLOOKUP(F946,'Wk no''s'!B:B,'Wk no''s'!C:C,0)</f>
        <v>18</v>
      </c>
    </row>
    <row r="947" spans="1:7" x14ac:dyDescent="0.3">
      <c r="A947" t="s">
        <v>3453</v>
      </c>
      <c r="B947" t="s">
        <v>3454</v>
      </c>
      <c r="C947" t="s">
        <v>2471</v>
      </c>
      <c r="D947">
        <v>0</v>
      </c>
      <c r="E947">
        <v>1</v>
      </c>
      <c r="F947" s="1">
        <v>45776</v>
      </c>
      <c r="G947">
        <f>_xlfn.XLOOKUP(F947,'Wk no''s'!B:B,'Wk no''s'!C:C,0)</f>
        <v>18</v>
      </c>
    </row>
    <row r="948" spans="1:7" x14ac:dyDescent="0.3">
      <c r="A948" t="s">
        <v>3455</v>
      </c>
      <c r="B948" t="s">
        <v>3456</v>
      </c>
      <c r="C948" t="s">
        <v>2276</v>
      </c>
      <c r="D948">
        <v>0</v>
      </c>
      <c r="E948">
        <v>1</v>
      </c>
      <c r="F948" s="1">
        <v>45776</v>
      </c>
      <c r="G948">
        <f>_xlfn.XLOOKUP(F948,'Wk no''s'!B:B,'Wk no''s'!C:C,0)</f>
        <v>18</v>
      </c>
    </row>
    <row r="949" spans="1:7" x14ac:dyDescent="0.3">
      <c r="A949" t="s">
        <v>3457</v>
      </c>
      <c r="B949" t="s">
        <v>3458</v>
      </c>
      <c r="C949" t="s">
        <v>3459</v>
      </c>
      <c r="D949">
        <v>9</v>
      </c>
      <c r="E949">
        <v>0</v>
      </c>
      <c r="F949" s="1">
        <v>45776</v>
      </c>
      <c r="G949">
        <f>_xlfn.XLOOKUP(F949,'Wk no''s'!B:B,'Wk no''s'!C:C,0)</f>
        <v>18</v>
      </c>
    </row>
    <row r="950" spans="1:7" x14ac:dyDescent="0.3">
      <c r="A950" t="s">
        <v>3460</v>
      </c>
      <c r="B950" t="s">
        <v>3461</v>
      </c>
      <c r="C950" t="s">
        <v>3462</v>
      </c>
      <c r="D950">
        <v>1</v>
      </c>
      <c r="E950">
        <v>1</v>
      </c>
      <c r="F950" s="1">
        <v>45776</v>
      </c>
      <c r="G950">
        <f>_xlfn.XLOOKUP(F950,'Wk no''s'!B:B,'Wk no''s'!C:C,0)</f>
        <v>18</v>
      </c>
    </row>
    <row r="951" spans="1:7" x14ac:dyDescent="0.3">
      <c r="A951" t="s">
        <v>3463</v>
      </c>
      <c r="B951" t="s">
        <v>3464</v>
      </c>
      <c r="C951" t="s">
        <v>3465</v>
      </c>
      <c r="D951">
        <v>5</v>
      </c>
      <c r="E951">
        <v>1</v>
      </c>
      <c r="F951" s="1">
        <v>45776</v>
      </c>
      <c r="G951">
        <f>_xlfn.XLOOKUP(F951,'Wk no''s'!B:B,'Wk no''s'!C:C,0)</f>
        <v>18</v>
      </c>
    </row>
    <row r="952" spans="1:7" x14ac:dyDescent="0.3">
      <c r="A952" t="s">
        <v>3466</v>
      </c>
      <c r="B952" t="s">
        <v>3467</v>
      </c>
      <c r="C952" t="s">
        <v>3468</v>
      </c>
      <c r="D952">
        <v>19</v>
      </c>
      <c r="E952">
        <v>0</v>
      </c>
      <c r="F952" s="1">
        <v>45776</v>
      </c>
      <c r="G952">
        <f>_xlfn.XLOOKUP(F952,'Wk no''s'!B:B,'Wk no''s'!C:C,0)</f>
        <v>18</v>
      </c>
    </row>
    <row r="953" spans="1:7" x14ac:dyDescent="0.3">
      <c r="A953" t="s">
        <v>3469</v>
      </c>
      <c r="B953" t="s">
        <v>3470</v>
      </c>
      <c r="C953" t="s">
        <v>2875</v>
      </c>
      <c r="D953">
        <v>0</v>
      </c>
      <c r="E953">
        <v>1</v>
      </c>
      <c r="F953" s="1">
        <v>45776</v>
      </c>
      <c r="G953">
        <f>_xlfn.XLOOKUP(F953,'Wk no''s'!B:B,'Wk no''s'!C:C,0)</f>
        <v>18</v>
      </c>
    </row>
    <row r="954" spans="1:7" x14ac:dyDescent="0.3">
      <c r="A954" t="s">
        <v>3471</v>
      </c>
      <c r="B954" t="s">
        <v>3472</v>
      </c>
      <c r="C954" t="s">
        <v>3473</v>
      </c>
      <c r="D954">
        <v>85</v>
      </c>
      <c r="E954">
        <v>0</v>
      </c>
      <c r="F954" s="1">
        <v>45776</v>
      </c>
      <c r="G954">
        <f>_xlfn.XLOOKUP(F954,'Wk no''s'!B:B,'Wk no''s'!C:C,0)</f>
        <v>18</v>
      </c>
    </row>
    <row r="955" spans="1:7" x14ac:dyDescent="0.3">
      <c r="A955" t="s">
        <v>3474</v>
      </c>
      <c r="B955" t="s">
        <v>3475</v>
      </c>
      <c r="C955" t="s">
        <v>3476</v>
      </c>
      <c r="D955">
        <v>0</v>
      </c>
      <c r="E955">
        <v>1</v>
      </c>
      <c r="F955" s="1">
        <v>45776</v>
      </c>
      <c r="G955">
        <f>_xlfn.XLOOKUP(F955,'Wk no''s'!B:B,'Wk no''s'!C:C,0)</f>
        <v>18</v>
      </c>
    </row>
    <row r="956" spans="1:7" x14ac:dyDescent="0.3">
      <c r="A956" t="s">
        <v>3477</v>
      </c>
      <c r="B956" t="s">
        <v>3478</v>
      </c>
      <c r="C956" t="s">
        <v>3479</v>
      </c>
      <c r="D956">
        <v>3</v>
      </c>
      <c r="E956">
        <v>1</v>
      </c>
      <c r="F956" s="1">
        <v>45776</v>
      </c>
      <c r="G956">
        <f>_xlfn.XLOOKUP(F956,'Wk no''s'!B:B,'Wk no''s'!C:C,0)</f>
        <v>18</v>
      </c>
    </row>
    <row r="957" spans="1:7" x14ac:dyDescent="0.3">
      <c r="A957" t="s">
        <v>3480</v>
      </c>
      <c r="B957" t="s">
        <v>3481</v>
      </c>
      <c r="C957" t="s">
        <v>1652</v>
      </c>
      <c r="D957">
        <v>7</v>
      </c>
      <c r="E957">
        <v>0</v>
      </c>
      <c r="F957" s="1">
        <v>45776</v>
      </c>
      <c r="G957">
        <f>_xlfn.XLOOKUP(F957,'Wk no''s'!B:B,'Wk no''s'!C:C,0)</f>
        <v>18</v>
      </c>
    </row>
    <row r="958" spans="1:7" x14ac:dyDescent="0.3">
      <c r="A958" t="s">
        <v>3482</v>
      </c>
      <c r="B958" t="s">
        <v>3483</v>
      </c>
      <c r="C958" t="s">
        <v>1178</v>
      </c>
      <c r="D958">
        <v>0</v>
      </c>
      <c r="E958">
        <v>1</v>
      </c>
      <c r="F958" s="1">
        <v>45776</v>
      </c>
      <c r="G958">
        <f>_xlfn.XLOOKUP(F958,'Wk no''s'!B:B,'Wk no''s'!C:C,0)</f>
        <v>18</v>
      </c>
    </row>
    <row r="959" spans="1:7" x14ac:dyDescent="0.3">
      <c r="A959" t="s">
        <v>3484</v>
      </c>
      <c r="B959" t="s">
        <v>3485</v>
      </c>
      <c r="C959" t="s">
        <v>1178</v>
      </c>
      <c r="D959">
        <v>6</v>
      </c>
      <c r="E959">
        <v>0</v>
      </c>
      <c r="F959" s="1">
        <v>45776</v>
      </c>
      <c r="G959">
        <f>_xlfn.XLOOKUP(F959,'Wk no''s'!B:B,'Wk no''s'!C:C,0)</f>
        <v>18</v>
      </c>
    </row>
    <row r="960" spans="1:7" x14ac:dyDescent="0.3">
      <c r="A960" t="s">
        <v>3486</v>
      </c>
      <c r="B960" t="s">
        <v>3487</v>
      </c>
      <c r="C960" t="s">
        <v>1895</v>
      </c>
      <c r="D960">
        <v>0</v>
      </c>
      <c r="E960">
        <v>1</v>
      </c>
      <c r="F960" s="1">
        <v>45776</v>
      </c>
      <c r="G960">
        <f>_xlfn.XLOOKUP(F960,'Wk no''s'!B:B,'Wk no''s'!C:C,0)</f>
        <v>18</v>
      </c>
    </row>
    <row r="961" spans="1:7" x14ac:dyDescent="0.3">
      <c r="A961" t="s">
        <v>3488</v>
      </c>
      <c r="B961" t="s">
        <v>3489</v>
      </c>
      <c r="C961" t="s">
        <v>1224</v>
      </c>
      <c r="D961">
        <v>0</v>
      </c>
      <c r="E961">
        <v>1</v>
      </c>
      <c r="F961" s="1">
        <v>45776</v>
      </c>
      <c r="G961">
        <f>_xlfn.XLOOKUP(F961,'Wk no''s'!B:B,'Wk no''s'!C:C,0)</f>
        <v>18</v>
      </c>
    </row>
    <row r="962" spans="1:7" x14ac:dyDescent="0.3">
      <c r="A962" t="s">
        <v>3490</v>
      </c>
      <c r="B962" t="s">
        <v>3491</v>
      </c>
      <c r="C962" t="s">
        <v>3492</v>
      </c>
      <c r="D962">
        <v>123</v>
      </c>
      <c r="E962">
        <v>0</v>
      </c>
      <c r="F962" s="1">
        <v>45776</v>
      </c>
      <c r="G962">
        <f>_xlfn.XLOOKUP(F962,'Wk no''s'!B:B,'Wk no''s'!C:C,0)</f>
        <v>18</v>
      </c>
    </row>
    <row r="963" spans="1:7" x14ac:dyDescent="0.3">
      <c r="A963" t="s">
        <v>3493</v>
      </c>
      <c r="B963" t="s">
        <v>3494</v>
      </c>
      <c r="C963" t="s">
        <v>1343</v>
      </c>
      <c r="D963">
        <v>0</v>
      </c>
      <c r="E963">
        <v>1</v>
      </c>
      <c r="F963" s="1">
        <v>45777</v>
      </c>
      <c r="G963">
        <f>_xlfn.XLOOKUP(F963,'Wk no''s'!B:B,'Wk no''s'!C:C,0)</f>
        <v>18</v>
      </c>
    </row>
    <row r="964" spans="1:7" x14ac:dyDescent="0.3">
      <c r="A964" t="s">
        <v>3495</v>
      </c>
      <c r="B964" t="s">
        <v>3496</v>
      </c>
      <c r="C964" t="s">
        <v>75</v>
      </c>
      <c r="D964">
        <v>0</v>
      </c>
      <c r="E964">
        <v>1</v>
      </c>
      <c r="F964" s="1">
        <v>45777</v>
      </c>
      <c r="G964">
        <f>_xlfn.XLOOKUP(F964,'Wk no''s'!B:B,'Wk no''s'!C:C,0)</f>
        <v>18</v>
      </c>
    </row>
    <row r="965" spans="1:7" x14ac:dyDescent="0.3">
      <c r="A965" t="s">
        <v>3497</v>
      </c>
      <c r="B965" t="s">
        <v>3498</v>
      </c>
      <c r="C965" t="s">
        <v>327</v>
      </c>
      <c r="D965">
        <v>2</v>
      </c>
      <c r="E965">
        <v>1</v>
      </c>
      <c r="F965" s="1">
        <v>45777</v>
      </c>
      <c r="G965">
        <f>_xlfn.XLOOKUP(F965,'Wk no''s'!B:B,'Wk no''s'!C:C,0)</f>
        <v>18</v>
      </c>
    </row>
    <row r="966" spans="1:7" x14ac:dyDescent="0.3">
      <c r="A966" t="s">
        <v>3499</v>
      </c>
      <c r="B966" t="s">
        <v>3500</v>
      </c>
      <c r="C966" t="s">
        <v>3501</v>
      </c>
      <c r="D966">
        <v>0</v>
      </c>
      <c r="E966">
        <v>1</v>
      </c>
      <c r="F966" s="1">
        <v>45777</v>
      </c>
      <c r="G966">
        <f>_xlfn.XLOOKUP(F966,'Wk no''s'!B:B,'Wk no''s'!C:C,0)</f>
        <v>18</v>
      </c>
    </row>
    <row r="967" spans="1:7" x14ac:dyDescent="0.3">
      <c r="A967" t="s">
        <v>3502</v>
      </c>
      <c r="B967" t="s">
        <v>3503</v>
      </c>
      <c r="C967" t="s">
        <v>2421</v>
      </c>
      <c r="D967">
        <v>0</v>
      </c>
      <c r="E967">
        <v>1</v>
      </c>
      <c r="F967" s="1">
        <v>45777</v>
      </c>
      <c r="G967">
        <f>_xlfn.XLOOKUP(F967,'Wk no''s'!B:B,'Wk no''s'!C:C,0)</f>
        <v>18</v>
      </c>
    </row>
    <row r="968" spans="1:7" x14ac:dyDescent="0.3">
      <c r="A968" t="s">
        <v>3504</v>
      </c>
      <c r="B968" t="s">
        <v>3505</v>
      </c>
      <c r="C968" t="s">
        <v>3506</v>
      </c>
      <c r="D968">
        <v>0</v>
      </c>
      <c r="E968">
        <v>1</v>
      </c>
      <c r="F968" s="1">
        <v>45777</v>
      </c>
      <c r="G968">
        <f>_xlfn.XLOOKUP(F968,'Wk no''s'!B:B,'Wk no''s'!C:C,0)</f>
        <v>18</v>
      </c>
    </row>
    <row r="969" spans="1:7" x14ac:dyDescent="0.3">
      <c r="A969" t="s">
        <v>3507</v>
      </c>
      <c r="B969" t="s">
        <v>3508</v>
      </c>
      <c r="C969" t="s">
        <v>11</v>
      </c>
      <c r="D969">
        <v>0</v>
      </c>
      <c r="E969">
        <v>1</v>
      </c>
      <c r="F969" s="1">
        <v>45777</v>
      </c>
      <c r="G969">
        <f>_xlfn.XLOOKUP(F969,'Wk no''s'!B:B,'Wk no''s'!C:C,0)</f>
        <v>18</v>
      </c>
    </row>
    <row r="970" spans="1:7" x14ac:dyDescent="0.3">
      <c r="A970" t="s">
        <v>3509</v>
      </c>
      <c r="B970" t="s">
        <v>3510</v>
      </c>
      <c r="C970" t="s">
        <v>220</v>
      </c>
      <c r="D970">
        <v>0</v>
      </c>
      <c r="E970">
        <v>1</v>
      </c>
      <c r="F970" s="1">
        <v>45777</v>
      </c>
      <c r="G970">
        <f>_xlfn.XLOOKUP(F970,'Wk no''s'!B:B,'Wk no''s'!C:C,0)</f>
        <v>18</v>
      </c>
    </row>
    <row r="971" spans="1:7" x14ac:dyDescent="0.3">
      <c r="A971" t="s">
        <v>3511</v>
      </c>
      <c r="B971" t="s">
        <v>3512</v>
      </c>
      <c r="C971" t="s">
        <v>1884</v>
      </c>
      <c r="D971">
        <v>0</v>
      </c>
      <c r="E971">
        <v>1</v>
      </c>
      <c r="F971" s="1">
        <v>45777</v>
      </c>
      <c r="G971">
        <f>_xlfn.XLOOKUP(F971,'Wk no''s'!B:B,'Wk no''s'!C:C,0)</f>
        <v>18</v>
      </c>
    </row>
    <row r="972" spans="1:7" x14ac:dyDescent="0.3">
      <c r="A972" t="s">
        <v>3513</v>
      </c>
      <c r="B972" t="s">
        <v>3514</v>
      </c>
      <c r="C972" t="s">
        <v>75</v>
      </c>
      <c r="D972">
        <v>0</v>
      </c>
      <c r="E972">
        <v>1</v>
      </c>
      <c r="F972" s="1">
        <v>45778</v>
      </c>
      <c r="G972">
        <f>_xlfn.XLOOKUP(F972,'Wk no''s'!B:B,'Wk no''s'!C:C,0)</f>
        <v>18</v>
      </c>
    </row>
    <row r="973" spans="1:7" x14ac:dyDescent="0.3">
      <c r="A973" t="s">
        <v>3515</v>
      </c>
      <c r="B973" t="s">
        <v>3516</v>
      </c>
      <c r="C973" t="s">
        <v>3517</v>
      </c>
      <c r="D973">
        <v>5</v>
      </c>
      <c r="E973">
        <v>1</v>
      </c>
      <c r="F973" s="1">
        <v>45778</v>
      </c>
      <c r="G973">
        <f>_xlfn.XLOOKUP(F973,'Wk no''s'!B:B,'Wk no''s'!C:C,0)</f>
        <v>18</v>
      </c>
    </row>
    <row r="974" spans="1:7" x14ac:dyDescent="0.3">
      <c r="A974" t="s">
        <v>3518</v>
      </c>
      <c r="B974" t="s">
        <v>3519</v>
      </c>
      <c r="C974" t="s">
        <v>2066</v>
      </c>
      <c r="D974">
        <v>6</v>
      </c>
      <c r="E974">
        <v>0</v>
      </c>
      <c r="F974" s="1">
        <v>45778</v>
      </c>
      <c r="G974">
        <f>_xlfn.XLOOKUP(F974,'Wk no''s'!B:B,'Wk no''s'!C:C,0)</f>
        <v>18</v>
      </c>
    </row>
    <row r="975" spans="1:7" x14ac:dyDescent="0.3">
      <c r="A975" t="s">
        <v>3520</v>
      </c>
      <c r="B975" t="s">
        <v>3521</v>
      </c>
      <c r="C975" t="s">
        <v>2066</v>
      </c>
      <c r="D975">
        <v>10</v>
      </c>
      <c r="E975">
        <v>0</v>
      </c>
      <c r="F975" s="1">
        <v>45778</v>
      </c>
      <c r="G975">
        <f>_xlfn.XLOOKUP(F975,'Wk no''s'!B:B,'Wk no''s'!C:C,0)</f>
        <v>18</v>
      </c>
    </row>
    <row r="976" spans="1:7" x14ac:dyDescent="0.3">
      <c r="A976" t="s">
        <v>3522</v>
      </c>
      <c r="B976" t="s">
        <v>3523</v>
      </c>
      <c r="C976" t="s">
        <v>2066</v>
      </c>
      <c r="D976">
        <v>10</v>
      </c>
      <c r="E976">
        <v>0</v>
      </c>
      <c r="F976" s="1">
        <v>45778</v>
      </c>
      <c r="G976">
        <f>_xlfn.XLOOKUP(F976,'Wk no''s'!B:B,'Wk no''s'!C:C,0)</f>
        <v>18</v>
      </c>
    </row>
    <row r="977" spans="1:7" x14ac:dyDescent="0.3">
      <c r="A977" t="s">
        <v>3524</v>
      </c>
      <c r="B977" t="s">
        <v>3525</v>
      </c>
      <c r="C977" t="s">
        <v>2066</v>
      </c>
      <c r="D977">
        <v>10</v>
      </c>
      <c r="E977">
        <v>0</v>
      </c>
      <c r="F977" s="1">
        <v>45778</v>
      </c>
      <c r="G977">
        <f>_xlfn.XLOOKUP(F977,'Wk no''s'!B:B,'Wk no''s'!C:C,0)</f>
        <v>18</v>
      </c>
    </row>
    <row r="978" spans="1:7" x14ac:dyDescent="0.3">
      <c r="A978" t="s">
        <v>3526</v>
      </c>
      <c r="B978" t="s">
        <v>3527</v>
      </c>
      <c r="C978" t="s">
        <v>2066</v>
      </c>
      <c r="D978">
        <v>10</v>
      </c>
      <c r="E978">
        <v>0</v>
      </c>
      <c r="F978" s="1">
        <v>45778</v>
      </c>
      <c r="G978">
        <f>_xlfn.XLOOKUP(F978,'Wk no''s'!B:B,'Wk no''s'!C:C,0)</f>
        <v>18</v>
      </c>
    </row>
    <row r="979" spans="1:7" x14ac:dyDescent="0.3">
      <c r="A979" t="s">
        <v>3528</v>
      </c>
      <c r="B979" t="s">
        <v>3529</v>
      </c>
      <c r="C979" t="s">
        <v>2066</v>
      </c>
      <c r="D979">
        <v>10</v>
      </c>
      <c r="E979">
        <v>0</v>
      </c>
      <c r="F979" s="1">
        <v>45778</v>
      </c>
      <c r="G979">
        <f>_xlfn.XLOOKUP(F979,'Wk no''s'!B:B,'Wk no''s'!C:C,0)</f>
        <v>18</v>
      </c>
    </row>
    <row r="980" spans="1:7" x14ac:dyDescent="0.3">
      <c r="A980" t="s">
        <v>3530</v>
      </c>
      <c r="B980" t="s">
        <v>3531</v>
      </c>
      <c r="C980" t="s">
        <v>2066</v>
      </c>
      <c r="D980">
        <v>10</v>
      </c>
      <c r="E980">
        <v>0</v>
      </c>
      <c r="F980" s="1">
        <v>45778</v>
      </c>
      <c r="G980">
        <f>_xlfn.XLOOKUP(F980,'Wk no''s'!B:B,'Wk no''s'!C:C,0)</f>
        <v>18</v>
      </c>
    </row>
    <row r="981" spans="1:7" x14ac:dyDescent="0.3">
      <c r="A981" t="s">
        <v>3532</v>
      </c>
      <c r="B981" t="s">
        <v>3533</v>
      </c>
      <c r="C981" t="s">
        <v>2066</v>
      </c>
      <c r="D981">
        <v>10</v>
      </c>
      <c r="E981">
        <v>0</v>
      </c>
      <c r="F981" s="1">
        <v>45778</v>
      </c>
      <c r="G981">
        <f>_xlfn.XLOOKUP(F981,'Wk no''s'!B:B,'Wk no''s'!C:C,0)</f>
        <v>18</v>
      </c>
    </row>
    <row r="982" spans="1:7" x14ac:dyDescent="0.3">
      <c r="A982" t="s">
        <v>3534</v>
      </c>
      <c r="B982" t="s">
        <v>3535</v>
      </c>
      <c r="C982" t="s">
        <v>2066</v>
      </c>
      <c r="D982">
        <v>10</v>
      </c>
      <c r="E982">
        <v>0</v>
      </c>
      <c r="F982" s="1">
        <v>45778</v>
      </c>
      <c r="G982">
        <f>_xlfn.XLOOKUP(F982,'Wk no''s'!B:B,'Wk no''s'!C:C,0)</f>
        <v>18</v>
      </c>
    </row>
    <row r="983" spans="1:7" x14ac:dyDescent="0.3">
      <c r="A983" t="s">
        <v>3536</v>
      </c>
      <c r="B983" t="s">
        <v>3537</v>
      </c>
      <c r="C983" t="s">
        <v>2066</v>
      </c>
      <c r="D983">
        <v>10</v>
      </c>
      <c r="E983">
        <v>0</v>
      </c>
      <c r="F983" s="1">
        <v>45778</v>
      </c>
      <c r="G983">
        <f>_xlfn.XLOOKUP(F983,'Wk no''s'!B:B,'Wk no''s'!C:C,0)</f>
        <v>18</v>
      </c>
    </row>
    <row r="984" spans="1:7" x14ac:dyDescent="0.3">
      <c r="A984" t="s">
        <v>3538</v>
      </c>
      <c r="B984" t="s">
        <v>3539</v>
      </c>
      <c r="C984" t="s">
        <v>407</v>
      </c>
      <c r="D984">
        <v>0</v>
      </c>
      <c r="E984">
        <v>1</v>
      </c>
      <c r="F984" s="1">
        <v>45778</v>
      </c>
      <c r="G984">
        <f>_xlfn.XLOOKUP(F984,'Wk no''s'!B:B,'Wk no''s'!C:C,0)</f>
        <v>18</v>
      </c>
    </row>
    <row r="985" spans="1:7" x14ac:dyDescent="0.3">
      <c r="A985" t="s">
        <v>3540</v>
      </c>
      <c r="C985" t="s">
        <v>3541</v>
      </c>
      <c r="D985">
        <v>105</v>
      </c>
      <c r="E985">
        <v>0</v>
      </c>
      <c r="F985" s="1">
        <v>45778</v>
      </c>
      <c r="G985">
        <f>_xlfn.XLOOKUP(F985,'Wk no''s'!B:B,'Wk no''s'!C:C,0)</f>
        <v>18</v>
      </c>
    </row>
    <row r="986" spans="1:7" x14ac:dyDescent="0.3">
      <c r="A986" t="s">
        <v>3542</v>
      </c>
      <c r="B986" t="s">
        <v>3543</v>
      </c>
      <c r="C986" t="s">
        <v>3544</v>
      </c>
      <c r="D986">
        <v>0</v>
      </c>
      <c r="E986">
        <v>1</v>
      </c>
      <c r="F986" s="1">
        <v>45778</v>
      </c>
      <c r="G986">
        <f>_xlfn.XLOOKUP(F986,'Wk no''s'!B:B,'Wk no''s'!C:C,0)</f>
        <v>18</v>
      </c>
    </row>
    <row r="987" spans="1:7" x14ac:dyDescent="0.3">
      <c r="A987" t="s">
        <v>3545</v>
      </c>
      <c r="B987" t="s">
        <v>3546</v>
      </c>
      <c r="C987" t="s">
        <v>1154</v>
      </c>
      <c r="D987">
        <v>0</v>
      </c>
      <c r="E987">
        <v>1</v>
      </c>
      <c r="F987" s="1">
        <v>45778</v>
      </c>
      <c r="G987">
        <f>_xlfn.XLOOKUP(F987,'Wk no''s'!B:B,'Wk no''s'!C:C,0)</f>
        <v>18</v>
      </c>
    </row>
    <row r="988" spans="1:7" x14ac:dyDescent="0.3">
      <c r="A988" t="s">
        <v>3547</v>
      </c>
      <c r="B988" t="s">
        <v>3548</v>
      </c>
      <c r="C988" t="s">
        <v>3549</v>
      </c>
      <c r="D988">
        <v>31</v>
      </c>
      <c r="E988">
        <v>0</v>
      </c>
      <c r="F988" s="1">
        <v>45778</v>
      </c>
      <c r="G988">
        <f>_xlfn.XLOOKUP(F988,'Wk no''s'!B:B,'Wk no''s'!C:C,0)</f>
        <v>18</v>
      </c>
    </row>
    <row r="989" spans="1:7" x14ac:dyDescent="0.3">
      <c r="A989" t="s">
        <v>3550</v>
      </c>
      <c r="B989" t="s">
        <v>3551</v>
      </c>
      <c r="C989" t="s">
        <v>3552</v>
      </c>
      <c r="D989">
        <v>0</v>
      </c>
      <c r="E989">
        <v>1</v>
      </c>
      <c r="F989" s="1">
        <v>45778</v>
      </c>
      <c r="G989">
        <f>_xlfn.XLOOKUP(F989,'Wk no''s'!B:B,'Wk no''s'!C:C,0)</f>
        <v>18</v>
      </c>
    </row>
    <row r="990" spans="1:7" x14ac:dyDescent="0.3">
      <c r="A990" t="s">
        <v>3553</v>
      </c>
      <c r="B990" t="s">
        <v>3554</v>
      </c>
      <c r="C990" t="s">
        <v>69</v>
      </c>
      <c r="D990">
        <v>0</v>
      </c>
      <c r="E990">
        <v>1</v>
      </c>
      <c r="F990" s="1">
        <v>45778</v>
      </c>
      <c r="G990">
        <f>_xlfn.XLOOKUP(F990,'Wk no''s'!B:B,'Wk no''s'!C:C,0)</f>
        <v>18</v>
      </c>
    </row>
    <row r="991" spans="1:7" x14ac:dyDescent="0.3">
      <c r="A991" t="s">
        <v>3555</v>
      </c>
      <c r="B991" t="s">
        <v>3556</v>
      </c>
      <c r="C991" t="s">
        <v>75</v>
      </c>
      <c r="D991">
        <v>0</v>
      </c>
      <c r="E991">
        <v>1</v>
      </c>
      <c r="F991" s="1">
        <v>45778</v>
      </c>
      <c r="G991">
        <f>_xlfn.XLOOKUP(F991,'Wk no''s'!B:B,'Wk no''s'!C:C,0)</f>
        <v>18</v>
      </c>
    </row>
    <row r="992" spans="1:7" x14ac:dyDescent="0.3">
      <c r="A992" t="s">
        <v>3557</v>
      </c>
      <c r="B992" t="s">
        <v>3558</v>
      </c>
      <c r="C992" t="s">
        <v>2451</v>
      </c>
      <c r="D992">
        <v>0</v>
      </c>
      <c r="E992">
        <v>1</v>
      </c>
      <c r="F992" s="1">
        <v>45778</v>
      </c>
      <c r="G992">
        <f>_xlfn.XLOOKUP(F992,'Wk no''s'!B:B,'Wk no''s'!C:C,0)</f>
        <v>18</v>
      </c>
    </row>
    <row r="993" spans="1:7" x14ac:dyDescent="0.3">
      <c r="A993" t="s">
        <v>3559</v>
      </c>
      <c r="B993" t="s">
        <v>3560</v>
      </c>
      <c r="C993" t="s">
        <v>1117</v>
      </c>
      <c r="D993">
        <v>0</v>
      </c>
      <c r="E993">
        <v>1</v>
      </c>
      <c r="F993" s="1">
        <v>45778</v>
      </c>
      <c r="G993">
        <f>_xlfn.XLOOKUP(F993,'Wk no''s'!B:B,'Wk no''s'!C:C,0)</f>
        <v>18</v>
      </c>
    </row>
    <row r="994" spans="1:7" x14ac:dyDescent="0.3">
      <c r="A994" t="s">
        <v>3561</v>
      </c>
      <c r="B994" t="s">
        <v>3562</v>
      </c>
      <c r="C994" t="s">
        <v>1393</v>
      </c>
      <c r="D994">
        <v>2</v>
      </c>
      <c r="E994">
        <v>1</v>
      </c>
      <c r="F994" s="1">
        <v>45779</v>
      </c>
      <c r="G994">
        <f>_xlfn.XLOOKUP(F994,'Wk no''s'!B:B,'Wk no''s'!C:C,0)</f>
        <v>18</v>
      </c>
    </row>
    <row r="995" spans="1:7" x14ac:dyDescent="0.3">
      <c r="A995" t="s">
        <v>3563</v>
      </c>
      <c r="B995" t="s">
        <v>3564</v>
      </c>
      <c r="C995" t="s">
        <v>1117</v>
      </c>
      <c r="D995">
        <v>0</v>
      </c>
      <c r="E995">
        <v>1</v>
      </c>
      <c r="F995" s="1">
        <v>45779</v>
      </c>
      <c r="G995">
        <f>_xlfn.XLOOKUP(F995,'Wk no''s'!B:B,'Wk no''s'!C:C,0)</f>
        <v>18</v>
      </c>
    </row>
    <row r="996" spans="1:7" x14ac:dyDescent="0.3">
      <c r="A996" t="s">
        <v>3565</v>
      </c>
      <c r="B996" t="s">
        <v>3566</v>
      </c>
      <c r="C996" t="s">
        <v>1421</v>
      </c>
      <c r="D996">
        <v>3</v>
      </c>
      <c r="E996">
        <v>1</v>
      </c>
      <c r="F996" s="1">
        <v>45779</v>
      </c>
      <c r="G996">
        <f>_xlfn.XLOOKUP(F996,'Wk no''s'!B:B,'Wk no''s'!C:C,0)</f>
        <v>18</v>
      </c>
    </row>
    <row r="997" spans="1:7" x14ac:dyDescent="0.3">
      <c r="A997" t="s">
        <v>3567</v>
      </c>
      <c r="B997" t="s">
        <v>3568</v>
      </c>
      <c r="C997" t="s">
        <v>3310</v>
      </c>
      <c r="D997">
        <v>0</v>
      </c>
      <c r="E997">
        <v>1</v>
      </c>
      <c r="F997" s="1">
        <v>45779</v>
      </c>
      <c r="G997">
        <f>_xlfn.XLOOKUP(F997,'Wk no''s'!B:B,'Wk no''s'!C:C,0)</f>
        <v>18</v>
      </c>
    </row>
    <row r="998" spans="1:7" x14ac:dyDescent="0.3">
      <c r="A998" t="s">
        <v>3569</v>
      </c>
      <c r="B998" t="s">
        <v>3570</v>
      </c>
      <c r="C998" t="s">
        <v>3571</v>
      </c>
      <c r="D998">
        <v>0</v>
      </c>
      <c r="E998">
        <v>1</v>
      </c>
      <c r="F998" s="1">
        <v>45779</v>
      </c>
      <c r="G998">
        <f>_xlfn.XLOOKUP(F998,'Wk no''s'!B:B,'Wk no''s'!C:C,0)</f>
        <v>18</v>
      </c>
    </row>
    <row r="999" spans="1:7" x14ac:dyDescent="0.3">
      <c r="A999" t="s">
        <v>3572</v>
      </c>
      <c r="B999" t="s">
        <v>3573</v>
      </c>
      <c r="C999" t="s">
        <v>3574</v>
      </c>
      <c r="D999">
        <v>1</v>
      </c>
      <c r="E999">
        <v>1</v>
      </c>
      <c r="F999" s="1">
        <v>45779</v>
      </c>
      <c r="G999">
        <f>_xlfn.XLOOKUP(F999,'Wk no''s'!B:B,'Wk no''s'!C:C,0)</f>
        <v>18</v>
      </c>
    </row>
    <row r="1000" spans="1:7" x14ac:dyDescent="0.3">
      <c r="A1000" t="s">
        <v>3575</v>
      </c>
      <c r="B1000" t="s">
        <v>3576</v>
      </c>
      <c r="C1000" t="s">
        <v>3577</v>
      </c>
      <c r="D1000">
        <v>0</v>
      </c>
      <c r="E1000">
        <v>1</v>
      </c>
      <c r="F1000" s="1">
        <v>45783</v>
      </c>
      <c r="G1000">
        <f>_xlfn.XLOOKUP(F1000,'Wk no''s'!B:B,'Wk no''s'!C:C,0)</f>
        <v>19</v>
      </c>
    </row>
    <row r="1001" spans="1:7" x14ac:dyDescent="0.3">
      <c r="A1001" t="s">
        <v>3578</v>
      </c>
      <c r="B1001" t="s">
        <v>3579</v>
      </c>
      <c r="C1001" t="s">
        <v>4353</v>
      </c>
      <c r="D1001">
        <v>9</v>
      </c>
      <c r="E1001">
        <v>0</v>
      </c>
      <c r="F1001" s="1">
        <v>45783</v>
      </c>
      <c r="G1001">
        <f>_xlfn.XLOOKUP(F1001,'Wk no''s'!B:B,'Wk no''s'!C:C,0)</f>
        <v>19</v>
      </c>
    </row>
    <row r="1002" spans="1:7" x14ac:dyDescent="0.3">
      <c r="A1002" t="s">
        <v>3580</v>
      </c>
      <c r="B1002" t="s">
        <v>3581</v>
      </c>
      <c r="C1002" t="s">
        <v>3582</v>
      </c>
      <c r="D1002">
        <v>0</v>
      </c>
      <c r="E1002">
        <v>1</v>
      </c>
      <c r="F1002" s="1">
        <v>45783</v>
      </c>
      <c r="G1002">
        <f>_xlfn.XLOOKUP(F1002,'Wk no''s'!B:B,'Wk no''s'!C:C,0)</f>
        <v>19</v>
      </c>
    </row>
    <row r="1003" spans="1:7" x14ac:dyDescent="0.3">
      <c r="A1003" t="s">
        <v>3583</v>
      </c>
      <c r="B1003" t="s">
        <v>3584</v>
      </c>
      <c r="C1003" t="s">
        <v>3585</v>
      </c>
      <c r="D1003">
        <v>0</v>
      </c>
      <c r="E1003">
        <v>1</v>
      </c>
      <c r="F1003" s="1">
        <v>45783</v>
      </c>
      <c r="G1003">
        <f>_xlfn.XLOOKUP(F1003,'Wk no''s'!B:B,'Wk no''s'!C:C,0)</f>
        <v>19</v>
      </c>
    </row>
    <row r="1004" spans="1:7" x14ac:dyDescent="0.3">
      <c r="A1004" t="s">
        <v>3586</v>
      </c>
      <c r="B1004" t="s">
        <v>3587</v>
      </c>
      <c r="C1004" t="s">
        <v>3588</v>
      </c>
      <c r="D1004">
        <v>118</v>
      </c>
      <c r="E1004">
        <v>0</v>
      </c>
      <c r="F1004" s="1">
        <v>45783</v>
      </c>
      <c r="G1004">
        <f>_xlfn.XLOOKUP(F1004,'Wk no''s'!B:B,'Wk no''s'!C:C,0)</f>
        <v>19</v>
      </c>
    </row>
    <row r="1005" spans="1:7" x14ac:dyDescent="0.3">
      <c r="A1005" t="s">
        <v>3589</v>
      </c>
      <c r="B1005" t="s">
        <v>3590</v>
      </c>
      <c r="C1005" t="s">
        <v>3591</v>
      </c>
      <c r="D1005">
        <v>0</v>
      </c>
      <c r="E1005">
        <v>1</v>
      </c>
      <c r="F1005" s="1">
        <v>45784</v>
      </c>
      <c r="G1005">
        <f>_xlfn.XLOOKUP(F1005,'Wk no''s'!B:B,'Wk no''s'!C:C,0)</f>
        <v>19</v>
      </c>
    </row>
    <row r="1006" spans="1:7" x14ac:dyDescent="0.3">
      <c r="A1006" t="s">
        <v>3592</v>
      </c>
      <c r="B1006" t="s">
        <v>3593</v>
      </c>
      <c r="C1006" t="s">
        <v>2778</v>
      </c>
      <c r="D1006">
        <v>0</v>
      </c>
      <c r="E1006">
        <v>1</v>
      </c>
      <c r="F1006" s="1">
        <v>45784</v>
      </c>
      <c r="G1006">
        <f>_xlfn.XLOOKUP(F1006,'Wk no''s'!B:B,'Wk no''s'!C:C,0)</f>
        <v>19</v>
      </c>
    </row>
    <row r="1007" spans="1:7" x14ac:dyDescent="0.3">
      <c r="A1007" t="s">
        <v>3594</v>
      </c>
      <c r="B1007" t="s">
        <v>3595</v>
      </c>
      <c r="C1007" t="s">
        <v>3596</v>
      </c>
      <c r="D1007">
        <v>11</v>
      </c>
      <c r="E1007">
        <v>0</v>
      </c>
      <c r="F1007" s="1">
        <v>45784</v>
      </c>
      <c r="G1007">
        <f>_xlfn.XLOOKUP(F1007,'Wk no''s'!B:B,'Wk no''s'!C:C,0)</f>
        <v>19</v>
      </c>
    </row>
    <row r="1008" spans="1:7" x14ac:dyDescent="0.3">
      <c r="A1008" t="s">
        <v>3597</v>
      </c>
      <c r="B1008" t="s">
        <v>3598</v>
      </c>
      <c r="C1008" t="s">
        <v>2908</v>
      </c>
      <c r="D1008">
        <v>0</v>
      </c>
      <c r="E1008">
        <v>1</v>
      </c>
      <c r="F1008" s="1">
        <v>45784</v>
      </c>
      <c r="G1008">
        <f>_xlfn.XLOOKUP(F1008,'Wk no''s'!B:B,'Wk no''s'!C:C,0)</f>
        <v>19</v>
      </c>
    </row>
    <row r="1009" spans="1:7" x14ac:dyDescent="0.3">
      <c r="A1009" t="s">
        <v>3599</v>
      </c>
      <c r="B1009" t="s">
        <v>3600</v>
      </c>
      <c r="C1009" t="s">
        <v>3601</v>
      </c>
      <c r="D1009">
        <v>5</v>
      </c>
      <c r="E1009">
        <v>1</v>
      </c>
      <c r="F1009" s="1">
        <v>45784</v>
      </c>
      <c r="G1009">
        <f>_xlfn.XLOOKUP(F1009,'Wk no''s'!B:B,'Wk no''s'!C:C,0)</f>
        <v>19</v>
      </c>
    </row>
    <row r="1010" spans="1:7" x14ac:dyDescent="0.3">
      <c r="A1010" t="s">
        <v>3602</v>
      </c>
      <c r="B1010" t="s">
        <v>3603</v>
      </c>
      <c r="C1010" t="s">
        <v>302</v>
      </c>
      <c r="D1010">
        <v>0</v>
      </c>
      <c r="E1010">
        <v>1</v>
      </c>
      <c r="F1010" s="1">
        <v>45784</v>
      </c>
      <c r="G1010">
        <f>_xlfn.XLOOKUP(F1010,'Wk no''s'!B:B,'Wk no''s'!C:C,0)</f>
        <v>19</v>
      </c>
    </row>
    <row r="1011" spans="1:7" x14ac:dyDescent="0.3">
      <c r="A1011" t="s">
        <v>3604</v>
      </c>
      <c r="B1011" t="s">
        <v>3605</v>
      </c>
      <c r="C1011" t="s">
        <v>3606</v>
      </c>
      <c r="D1011">
        <v>0</v>
      </c>
      <c r="E1011">
        <v>1</v>
      </c>
      <c r="F1011" s="1">
        <v>45784</v>
      </c>
      <c r="G1011">
        <f>_xlfn.XLOOKUP(F1011,'Wk no''s'!B:B,'Wk no''s'!C:C,0)</f>
        <v>19</v>
      </c>
    </row>
    <row r="1012" spans="1:7" x14ac:dyDescent="0.3">
      <c r="A1012" t="s">
        <v>3607</v>
      </c>
      <c r="B1012" t="s">
        <v>3608</v>
      </c>
      <c r="C1012" t="s">
        <v>3609</v>
      </c>
      <c r="D1012">
        <v>0</v>
      </c>
      <c r="E1012">
        <v>1</v>
      </c>
      <c r="F1012" s="1">
        <v>45784</v>
      </c>
      <c r="G1012">
        <f>_xlfn.XLOOKUP(F1012,'Wk no''s'!B:B,'Wk no''s'!C:C,0)</f>
        <v>19</v>
      </c>
    </row>
    <row r="1013" spans="1:7" x14ac:dyDescent="0.3">
      <c r="A1013" t="s">
        <v>3610</v>
      </c>
      <c r="B1013" t="s">
        <v>3611</v>
      </c>
      <c r="C1013" t="s">
        <v>3612</v>
      </c>
      <c r="D1013">
        <v>1</v>
      </c>
      <c r="E1013">
        <v>1</v>
      </c>
      <c r="F1013" s="1">
        <v>45784</v>
      </c>
      <c r="G1013">
        <f>_xlfn.XLOOKUP(F1013,'Wk no''s'!B:B,'Wk no''s'!C:C,0)</f>
        <v>19</v>
      </c>
    </row>
    <row r="1014" spans="1:7" x14ac:dyDescent="0.3">
      <c r="A1014" t="s">
        <v>3613</v>
      </c>
      <c r="B1014" t="s">
        <v>3614</v>
      </c>
      <c r="C1014" t="s">
        <v>36</v>
      </c>
      <c r="D1014">
        <v>0</v>
      </c>
      <c r="E1014">
        <v>1</v>
      </c>
      <c r="F1014" s="1">
        <v>45784</v>
      </c>
      <c r="G1014">
        <f>_xlfn.XLOOKUP(F1014,'Wk no''s'!B:B,'Wk no''s'!C:C,0)</f>
        <v>19</v>
      </c>
    </row>
    <row r="1015" spans="1:7" x14ac:dyDescent="0.3">
      <c r="A1015" t="s">
        <v>3615</v>
      </c>
      <c r="B1015" t="s">
        <v>3616</v>
      </c>
      <c r="C1015" t="s">
        <v>2593</v>
      </c>
      <c r="D1015">
        <v>22</v>
      </c>
      <c r="E1015">
        <v>0</v>
      </c>
      <c r="F1015" s="1">
        <v>45784</v>
      </c>
      <c r="G1015">
        <f>_xlfn.XLOOKUP(F1015,'Wk no''s'!B:B,'Wk no''s'!C:C,0)</f>
        <v>19</v>
      </c>
    </row>
    <row r="1016" spans="1:7" x14ac:dyDescent="0.3">
      <c r="A1016" t="s">
        <v>3617</v>
      </c>
      <c r="B1016" t="s">
        <v>3618</v>
      </c>
      <c r="C1016" t="s">
        <v>3619</v>
      </c>
      <c r="D1016">
        <v>117</v>
      </c>
      <c r="E1016">
        <v>0</v>
      </c>
      <c r="F1016" s="1">
        <v>45784</v>
      </c>
      <c r="G1016">
        <f>_xlfn.XLOOKUP(F1016,'Wk no''s'!B:B,'Wk no''s'!C:C,0)</f>
        <v>19</v>
      </c>
    </row>
    <row r="1017" spans="1:7" x14ac:dyDescent="0.3">
      <c r="A1017" t="s">
        <v>3620</v>
      </c>
      <c r="B1017" t="s">
        <v>3621</v>
      </c>
      <c r="C1017" t="s">
        <v>3622</v>
      </c>
      <c r="D1017">
        <v>7</v>
      </c>
      <c r="E1017">
        <v>0</v>
      </c>
      <c r="F1017" s="1">
        <v>45784</v>
      </c>
      <c r="G1017">
        <f>_xlfn.XLOOKUP(F1017,'Wk no''s'!B:B,'Wk no''s'!C:C,0)</f>
        <v>19</v>
      </c>
    </row>
    <row r="1018" spans="1:7" x14ac:dyDescent="0.3">
      <c r="A1018" t="s">
        <v>3623</v>
      </c>
      <c r="B1018" t="s">
        <v>3624</v>
      </c>
      <c r="C1018" t="s">
        <v>69</v>
      </c>
      <c r="D1018">
        <v>0</v>
      </c>
      <c r="E1018">
        <v>1</v>
      </c>
      <c r="F1018" s="1">
        <v>45784</v>
      </c>
      <c r="G1018">
        <f>_xlfn.XLOOKUP(F1018,'Wk no''s'!B:B,'Wk no''s'!C:C,0)</f>
        <v>19</v>
      </c>
    </row>
    <row r="1019" spans="1:7" x14ac:dyDescent="0.3">
      <c r="A1019" t="s">
        <v>3625</v>
      </c>
      <c r="B1019" t="s">
        <v>3626</v>
      </c>
      <c r="C1019" t="s">
        <v>1343</v>
      </c>
      <c r="D1019">
        <v>0</v>
      </c>
      <c r="E1019">
        <v>1</v>
      </c>
      <c r="F1019" s="1">
        <v>45785</v>
      </c>
      <c r="G1019">
        <f>_xlfn.XLOOKUP(F1019,'Wk no''s'!B:B,'Wk no''s'!C:C,0)</f>
        <v>19</v>
      </c>
    </row>
    <row r="1020" spans="1:7" x14ac:dyDescent="0.3">
      <c r="A1020" t="s">
        <v>3627</v>
      </c>
      <c r="B1020" t="s">
        <v>3628</v>
      </c>
      <c r="C1020" t="s">
        <v>2259</v>
      </c>
      <c r="D1020">
        <v>0</v>
      </c>
      <c r="E1020">
        <v>1</v>
      </c>
      <c r="F1020" s="1">
        <v>45785</v>
      </c>
      <c r="G1020">
        <f>_xlfn.XLOOKUP(F1020,'Wk no''s'!B:B,'Wk no''s'!C:C,0)</f>
        <v>19</v>
      </c>
    </row>
    <row r="1021" spans="1:7" x14ac:dyDescent="0.3">
      <c r="A1021" t="s">
        <v>3629</v>
      </c>
      <c r="B1021" t="s">
        <v>3630</v>
      </c>
      <c r="C1021" t="s">
        <v>1322</v>
      </c>
      <c r="D1021">
        <v>0</v>
      </c>
      <c r="E1021">
        <v>1</v>
      </c>
      <c r="F1021" s="1">
        <v>45785</v>
      </c>
      <c r="G1021">
        <f>_xlfn.XLOOKUP(F1021,'Wk no''s'!B:B,'Wk no''s'!C:C,0)</f>
        <v>19</v>
      </c>
    </row>
    <row r="1022" spans="1:7" x14ac:dyDescent="0.3">
      <c r="A1022" t="s">
        <v>3631</v>
      </c>
      <c r="B1022" t="s">
        <v>3632</v>
      </c>
      <c r="C1022" t="s">
        <v>2204</v>
      </c>
      <c r="D1022">
        <v>10</v>
      </c>
      <c r="E1022">
        <v>0</v>
      </c>
      <c r="F1022" s="1">
        <v>45785</v>
      </c>
      <c r="G1022">
        <f>_xlfn.XLOOKUP(F1022,'Wk no''s'!B:B,'Wk no''s'!C:C,0)</f>
        <v>19</v>
      </c>
    </row>
    <row r="1023" spans="1:7" x14ac:dyDescent="0.3">
      <c r="A1023" t="s">
        <v>3633</v>
      </c>
      <c r="B1023" t="s">
        <v>3634</v>
      </c>
      <c r="C1023" t="s">
        <v>3055</v>
      </c>
      <c r="D1023">
        <v>3</v>
      </c>
      <c r="E1023">
        <v>1</v>
      </c>
      <c r="F1023" s="1">
        <v>45785</v>
      </c>
      <c r="G1023">
        <f>_xlfn.XLOOKUP(F1023,'Wk no''s'!B:B,'Wk no''s'!C:C,0)</f>
        <v>19</v>
      </c>
    </row>
    <row r="1024" spans="1:7" x14ac:dyDescent="0.3">
      <c r="A1024" t="s">
        <v>3635</v>
      </c>
      <c r="B1024" t="s">
        <v>3636</v>
      </c>
      <c r="C1024" t="s">
        <v>2596</v>
      </c>
      <c r="D1024">
        <v>7</v>
      </c>
      <c r="E1024">
        <v>0</v>
      </c>
      <c r="F1024" s="1">
        <v>45785</v>
      </c>
      <c r="G1024">
        <f>_xlfn.XLOOKUP(F1024,'Wk no''s'!B:B,'Wk no''s'!C:C,0)</f>
        <v>19</v>
      </c>
    </row>
    <row r="1025" spans="1:7" x14ac:dyDescent="0.3">
      <c r="A1025" t="s">
        <v>3637</v>
      </c>
      <c r="B1025" t="s">
        <v>3638</v>
      </c>
      <c r="C1025" t="s">
        <v>1128</v>
      </c>
      <c r="D1025">
        <v>0</v>
      </c>
      <c r="E1025">
        <v>1</v>
      </c>
      <c r="F1025" s="1">
        <v>45785</v>
      </c>
      <c r="G1025">
        <f>_xlfn.XLOOKUP(F1025,'Wk no''s'!B:B,'Wk no''s'!C:C,0)</f>
        <v>19</v>
      </c>
    </row>
    <row r="1026" spans="1:7" x14ac:dyDescent="0.3">
      <c r="A1026" t="s">
        <v>3639</v>
      </c>
      <c r="B1026" t="s">
        <v>3640</v>
      </c>
      <c r="C1026" t="s">
        <v>3641</v>
      </c>
      <c r="D1026">
        <v>0</v>
      </c>
      <c r="E1026">
        <v>1</v>
      </c>
      <c r="F1026" s="1">
        <v>45785</v>
      </c>
      <c r="G1026">
        <f>_xlfn.XLOOKUP(F1026,'Wk no''s'!B:B,'Wk no''s'!C:C,0)</f>
        <v>19</v>
      </c>
    </row>
    <row r="1027" spans="1:7" x14ac:dyDescent="0.3">
      <c r="A1027" t="s">
        <v>3642</v>
      </c>
      <c r="B1027" t="s">
        <v>3643</v>
      </c>
      <c r="C1027" t="s">
        <v>3644</v>
      </c>
      <c r="D1027">
        <v>0</v>
      </c>
      <c r="E1027">
        <v>1</v>
      </c>
      <c r="F1027" s="1">
        <v>45785</v>
      </c>
      <c r="G1027">
        <f>_xlfn.XLOOKUP(F1027,'Wk no''s'!B:B,'Wk no''s'!C:C,0)</f>
        <v>19</v>
      </c>
    </row>
    <row r="1028" spans="1:7" x14ac:dyDescent="0.3">
      <c r="A1028" t="s">
        <v>3645</v>
      </c>
      <c r="B1028" t="s">
        <v>3646</v>
      </c>
      <c r="C1028" t="s">
        <v>1693</v>
      </c>
      <c r="D1028">
        <v>26</v>
      </c>
      <c r="E1028">
        <v>0</v>
      </c>
      <c r="F1028" s="1">
        <v>45785</v>
      </c>
      <c r="G1028">
        <f>_xlfn.XLOOKUP(F1028,'Wk no''s'!B:B,'Wk no''s'!C:C,0)</f>
        <v>19</v>
      </c>
    </row>
    <row r="1029" spans="1:7" x14ac:dyDescent="0.3">
      <c r="A1029" t="s">
        <v>3647</v>
      </c>
      <c r="B1029" t="s">
        <v>3648</v>
      </c>
      <c r="C1029" t="s">
        <v>1544</v>
      </c>
      <c r="D1029">
        <v>0</v>
      </c>
      <c r="E1029">
        <v>1</v>
      </c>
      <c r="F1029" s="1">
        <v>45785</v>
      </c>
      <c r="G1029">
        <f>_xlfn.XLOOKUP(F1029,'Wk no''s'!B:B,'Wk no''s'!C:C,0)</f>
        <v>19</v>
      </c>
    </row>
    <row r="1030" spans="1:7" x14ac:dyDescent="0.3">
      <c r="A1030" t="s">
        <v>3649</v>
      </c>
      <c r="B1030" t="s">
        <v>3650</v>
      </c>
      <c r="C1030" t="s">
        <v>3651</v>
      </c>
      <c r="D1030">
        <v>1</v>
      </c>
      <c r="E1030">
        <v>1</v>
      </c>
      <c r="F1030" s="1">
        <v>45785</v>
      </c>
      <c r="G1030">
        <f>_xlfn.XLOOKUP(F1030,'Wk no''s'!B:B,'Wk no''s'!C:C,0)</f>
        <v>19</v>
      </c>
    </row>
    <row r="1031" spans="1:7" x14ac:dyDescent="0.3">
      <c r="A1031" t="s">
        <v>3652</v>
      </c>
      <c r="B1031" t="s">
        <v>3653</v>
      </c>
      <c r="C1031" t="s">
        <v>2159</v>
      </c>
      <c r="D1031">
        <v>3</v>
      </c>
      <c r="E1031">
        <v>1</v>
      </c>
      <c r="F1031" s="1">
        <v>45785</v>
      </c>
      <c r="G1031">
        <f>_xlfn.XLOOKUP(F1031,'Wk no''s'!B:B,'Wk no''s'!C:C,0)</f>
        <v>19</v>
      </c>
    </row>
    <row r="1032" spans="1:7" x14ac:dyDescent="0.3">
      <c r="A1032" t="s">
        <v>3654</v>
      </c>
      <c r="C1032" t="s">
        <v>2706</v>
      </c>
      <c r="D1032">
        <v>114</v>
      </c>
      <c r="E1032">
        <v>0</v>
      </c>
      <c r="F1032" s="1">
        <v>45785</v>
      </c>
      <c r="G1032">
        <f>_xlfn.XLOOKUP(F1032,'Wk no''s'!B:B,'Wk no''s'!C:C,0)</f>
        <v>19</v>
      </c>
    </row>
    <row r="1033" spans="1:7" x14ac:dyDescent="0.3">
      <c r="A1033" t="s">
        <v>3655</v>
      </c>
      <c r="B1033" t="s">
        <v>3656</v>
      </c>
      <c r="C1033" t="s">
        <v>210</v>
      </c>
      <c r="D1033">
        <v>0</v>
      </c>
      <c r="E1033">
        <v>1</v>
      </c>
      <c r="F1033" s="1">
        <v>45786</v>
      </c>
      <c r="G1033">
        <f>_xlfn.XLOOKUP(F1033,'Wk no''s'!B:B,'Wk no''s'!C:C,0)</f>
        <v>19</v>
      </c>
    </row>
    <row r="1034" spans="1:7" x14ac:dyDescent="0.3">
      <c r="A1034" t="s">
        <v>3657</v>
      </c>
      <c r="B1034" t="s">
        <v>3658</v>
      </c>
      <c r="C1034" t="s">
        <v>3659</v>
      </c>
      <c r="D1034">
        <v>2</v>
      </c>
      <c r="E1034">
        <v>1</v>
      </c>
      <c r="F1034" s="1">
        <v>45786</v>
      </c>
      <c r="G1034">
        <f>_xlfn.XLOOKUP(F1034,'Wk no''s'!B:B,'Wk no''s'!C:C,0)</f>
        <v>19</v>
      </c>
    </row>
    <row r="1035" spans="1:7" x14ac:dyDescent="0.3">
      <c r="A1035" t="s">
        <v>3660</v>
      </c>
      <c r="B1035" t="s">
        <v>3661</v>
      </c>
      <c r="C1035" t="s">
        <v>3662</v>
      </c>
      <c r="D1035">
        <v>0</v>
      </c>
      <c r="E1035">
        <v>1</v>
      </c>
      <c r="F1035" s="1">
        <v>45786</v>
      </c>
      <c r="G1035">
        <f>_xlfn.XLOOKUP(F1035,'Wk no''s'!B:B,'Wk no''s'!C:C,0)</f>
        <v>19</v>
      </c>
    </row>
    <row r="1036" spans="1:7" x14ac:dyDescent="0.3">
      <c r="A1036" t="s">
        <v>3663</v>
      </c>
      <c r="B1036" t="s">
        <v>3664</v>
      </c>
      <c r="C1036" t="s">
        <v>36</v>
      </c>
      <c r="D1036">
        <v>10</v>
      </c>
      <c r="E1036">
        <v>0</v>
      </c>
      <c r="F1036" s="1">
        <v>45786</v>
      </c>
      <c r="G1036">
        <f>_xlfn.XLOOKUP(F1036,'Wk no''s'!B:B,'Wk no''s'!C:C,0)</f>
        <v>19</v>
      </c>
    </row>
    <row r="1037" spans="1:7" x14ac:dyDescent="0.3">
      <c r="A1037" t="s">
        <v>3665</v>
      </c>
      <c r="B1037" t="s">
        <v>3666</v>
      </c>
      <c r="C1037" t="s">
        <v>2706</v>
      </c>
      <c r="D1037">
        <v>0</v>
      </c>
      <c r="E1037">
        <v>1</v>
      </c>
      <c r="F1037" s="1">
        <v>45786</v>
      </c>
      <c r="G1037">
        <f>_xlfn.XLOOKUP(F1037,'Wk no''s'!B:B,'Wk no''s'!C:C,0)</f>
        <v>19</v>
      </c>
    </row>
    <row r="1038" spans="1:7" x14ac:dyDescent="0.3">
      <c r="A1038" t="s">
        <v>3667</v>
      </c>
      <c r="B1038" t="s">
        <v>3668</v>
      </c>
      <c r="C1038" t="s">
        <v>3669</v>
      </c>
      <c r="D1038">
        <v>0</v>
      </c>
      <c r="E1038">
        <v>1</v>
      </c>
      <c r="F1038" s="1">
        <v>45786</v>
      </c>
      <c r="G1038">
        <f>_xlfn.XLOOKUP(F1038,'Wk no''s'!B:B,'Wk no''s'!C:C,0)</f>
        <v>19</v>
      </c>
    </row>
    <row r="1039" spans="1:7" x14ac:dyDescent="0.3">
      <c r="A1039" t="s">
        <v>3670</v>
      </c>
      <c r="B1039" t="s">
        <v>3671</v>
      </c>
      <c r="C1039" t="s">
        <v>3672</v>
      </c>
      <c r="D1039">
        <v>0</v>
      </c>
      <c r="E1039">
        <v>1</v>
      </c>
      <c r="F1039" s="1">
        <v>45786</v>
      </c>
      <c r="G1039">
        <f>_xlfn.XLOOKUP(F1039,'Wk no''s'!B:B,'Wk no''s'!C:C,0)</f>
        <v>19</v>
      </c>
    </row>
    <row r="1040" spans="1:7" x14ac:dyDescent="0.3">
      <c r="A1040" t="s">
        <v>3673</v>
      </c>
      <c r="B1040" t="s">
        <v>3674</v>
      </c>
      <c r="C1040" t="s">
        <v>58</v>
      </c>
      <c r="D1040">
        <v>26</v>
      </c>
      <c r="E1040">
        <v>0</v>
      </c>
      <c r="F1040" s="1">
        <v>45786</v>
      </c>
      <c r="G1040">
        <f>_xlfn.XLOOKUP(F1040,'Wk no''s'!B:B,'Wk no''s'!C:C,0)</f>
        <v>19</v>
      </c>
    </row>
    <row r="1041" spans="1:7" x14ac:dyDescent="0.3">
      <c r="A1041" t="s">
        <v>3675</v>
      </c>
      <c r="B1041" t="s">
        <v>3676</v>
      </c>
      <c r="C1041" t="s">
        <v>1544</v>
      </c>
      <c r="D1041">
        <v>0</v>
      </c>
      <c r="E1041">
        <v>1</v>
      </c>
      <c r="F1041" s="1">
        <v>45786</v>
      </c>
      <c r="G1041">
        <f>_xlfn.XLOOKUP(F1041,'Wk no''s'!B:B,'Wk no''s'!C:C,0)</f>
        <v>19</v>
      </c>
    </row>
    <row r="1042" spans="1:7" x14ac:dyDescent="0.3">
      <c r="A1042" t="s">
        <v>3677</v>
      </c>
      <c r="B1042" t="s">
        <v>3678</v>
      </c>
      <c r="C1042" t="s">
        <v>2479</v>
      </c>
      <c r="D1042">
        <v>35</v>
      </c>
      <c r="E1042">
        <v>0</v>
      </c>
      <c r="F1042" s="1">
        <v>45786</v>
      </c>
      <c r="G1042">
        <f>_xlfn.XLOOKUP(F1042,'Wk no''s'!B:B,'Wk no''s'!C:C,0)</f>
        <v>19</v>
      </c>
    </row>
    <row r="1043" spans="1:7" x14ac:dyDescent="0.3">
      <c r="A1043" t="s">
        <v>3679</v>
      </c>
      <c r="B1043" t="s">
        <v>3680</v>
      </c>
      <c r="C1043" t="s">
        <v>2789</v>
      </c>
      <c r="D1043">
        <v>0</v>
      </c>
      <c r="E1043">
        <v>1</v>
      </c>
      <c r="F1043" s="1">
        <v>45786</v>
      </c>
      <c r="G1043">
        <f>_xlfn.XLOOKUP(F1043,'Wk no''s'!B:B,'Wk no''s'!C:C,0)</f>
        <v>19</v>
      </c>
    </row>
    <row r="1044" spans="1:7" x14ac:dyDescent="0.3">
      <c r="A1044" t="s">
        <v>3681</v>
      </c>
      <c r="B1044" t="s">
        <v>3682</v>
      </c>
      <c r="C1044" t="s">
        <v>127</v>
      </c>
      <c r="D1044">
        <v>0</v>
      </c>
      <c r="E1044">
        <v>1</v>
      </c>
      <c r="F1044" s="1">
        <v>45786</v>
      </c>
      <c r="G1044">
        <f>_xlfn.XLOOKUP(F1044,'Wk no''s'!B:B,'Wk no''s'!C:C,0)</f>
        <v>19</v>
      </c>
    </row>
    <row r="1045" spans="1:7" x14ac:dyDescent="0.3">
      <c r="A1045" t="s">
        <v>3683</v>
      </c>
      <c r="B1045" t="s">
        <v>3684</v>
      </c>
      <c r="C1045" t="s">
        <v>3419</v>
      </c>
      <c r="D1045">
        <v>0</v>
      </c>
      <c r="E1045">
        <v>1</v>
      </c>
      <c r="F1045" s="1">
        <v>45789</v>
      </c>
      <c r="G1045">
        <f>_xlfn.XLOOKUP(F1045,'Wk no''s'!B:B,'Wk no''s'!C:C,0)</f>
        <v>20</v>
      </c>
    </row>
    <row r="1046" spans="1:7" x14ac:dyDescent="0.3">
      <c r="A1046" t="s">
        <v>3685</v>
      </c>
      <c r="B1046" t="s">
        <v>3686</v>
      </c>
      <c r="C1046" t="s">
        <v>1772</v>
      </c>
      <c r="D1046">
        <v>0</v>
      </c>
      <c r="E1046">
        <v>1</v>
      </c>
      <c r="F1046" s="1">
        <v>45789</v>
      </c>
      <c r="G1046">
        <f>_xlfn.XLOOKUP(F1046,'Wk no''s'!B:B,'Wk no''s'!C:C,0)</f>
        <v>20</v>
      </c>
    </row>
    <row r="1047" spans="1:7" x14ac:dyDescent="0.3">
      <c r="A1047" t="s">
        <v>3687</v>
      </c>
      <c r="B1047" t="s">
        <v>3688</v>
      </c>
      <c r="C1047" t="s">
        <v>1224</v>
      </c>
      <c r="D1047">
        <v>0</v>
      </c>
      <c r="E1047">
        <v>1</v>
      </c>
      <c r="F1047" s="1">
        <v>45789</v>
      </c>
      <c r="G1047">
        <f>_xlfn.XLOOKUP(F1047,'Wk no''s'!B:B,'Wk no''s'!C:C,0)</f>
        <v>20</v>
      </c>
    </row>
    <row r="1048" spans="1:7" x14ac:dyDescent="0.3">
      <c r="A1048" t="s">
        <v>3689</v>
      </c>
      <c r="B1048" t="s">
        <v>3690</v>
      </c>
      <c r="C1048" t="s">
        <v>2166</v>
      </c>
      <c r="D1048">
        <v>0</v>
      </c>
      <c r="E1048">
        <v>1</v>
      </c>
      <c r="F1048" s="1">
        <v>45789</v>
      </c>
      <c r="G1048">
        <f>_xlfn.XLOOKUP(F1048,'Wk no''s'!B:B,'Wk no''s'!C:C,0)</f>
        <v>20</v>
      </c>
    </row>
    <row r="1049" spans="1:7" x14ac:dyDescent="0.3">
      <c r="A1049" t="s">
        <v>3691</v>
      </c>
      <c r="B1049" t="s">
        <v>3692</v>
      </c>
      <c r="C1049" t="s">
        <v>3693</v>
      </c>
      <c r="D1049">
        <v>7</v>
      </c>
      <c r="E1049">
        <v>0</v>
      </c>
      <c r="F1049" s="1">
        <v>45789</v>
      </c>
      <c r="G1049">
        <f>_xlfn.XLOOKUP(F1049,'Wk no''s'!B:B,'Wk no''s'!C:C,0)</f>
        <v>20</v>
      </c>
    </row>
    <row r="1050" spans="1:7" x14ac:dyDescent="0.3">
      <c r="A1050" t="s">
        <v>3694</v>
      </c>
      <c r="B1050" t="s">
        <v>3695</v>
      </c>
      <c r="C1050" t="s">
        <v>2010</v>
      </c>
      <c r="D1050">
        <v>0</v>
      </c>
      <c r="E1050">
        <v>1</v>
      </c>
      <c r="F1050" s="1">
        <v>45789</v>
      </c>
      <c r="G1050">
        <f>_xlfn.XLOOKUP(F1050,'Wk no''s'!B:B,'Wk no''s'!C:C,0)</f>
        <v>20</v>
      </c>
    </row>
    <row r="1051" spans="1:7" x14ac:dyDescent="0.3">
      <c r="A1051" t="s">
        <v>3696</v>
      </c>
      <c r="B1051" t="s">
        <v>3697</v>
      </c>
      <c r="C1051" t="s">
        <v>3698</v>
      </c>
      <c r="D1051">
        <v>21</v>
      </c>
      <c r="E1051">
        <v>0</v>
      </c>
      <c r="F1051" s="1">
        <v>45789</v>
      </c>
      <c r="G1051">
        <f>_xlfn.XLOOKUP(F1051,'Wk no''s'!B:B,'Wk no''s'!C:C,0)</f>
        <v>20</v>
      </c>
    </row>
    <row r="1052" spans="1:7" x14ac:dyDescent="0.3">
      <c r="A1052" t="s">
        <v>3699</v>
      </c>
      <c r="B1052" t="s">
        <v>3700</v>
      </c>
      <c r="C1052" t="s">
        <v>1527</v>
      </c>
      <c r="D1052">
        <v>0</v>
      </c>
      <c r="E1052">
        <v>1</v>
      </c>
      <c r="F1052" s="1">
        <v>45790</v>
      </c>
      <c r="G1052">
        <f>_xlfn.XLOOKUP(F1052,'Wk no''s'!B:B,'Wk no''s'!C:C,0)</f>
        <v>20</v>
      </c>
    </row>
    <row r="1053" spans="1:7" x14ac:dyDescent="0.3">
      <c r="A1053" t="s">
        <v>3701</v>
      </c>
      <c r="B1053" t="s">
        <v>3702</v>
      </c>
      <c r="C1053" t="s">
        <v>3703</v>
      </c>
      <c r="D1053">
        <v>12</v>
      </c>
      <c r="E1053">
        <v>0</v>
      </c>
      <c r="F1053" s="1">
        <v>45790</v>
      </c>
      <c r="G1053">
        <f>_xlfn.XLOOKUP(F1053,'Wk no''s'!B:B,'Wk no''s'!C:C,0)</f>
        <v>20</v>
      </c>
    </row>
    <row r="1054" spans="1:7" x14ac:dyDescent="0.3">
      <c r="A1054" t="s">
        <v>3704</v>
      </c>
      <c r="B1054" t="s">
        <v>3705</v>
      </c>
      <c r="C1054" t="s">
        <v>1138</v>
      </c>
      <c r="D1054">
        <v>0</v>
      </c>
      <c r="E1054">
        <v>1</v>
      </c>
      <c r="F1054" s="1">
        <v>45790</v>
      </c>
      <c r="G1054">
        <f>_xlfn.XLOOKUP(F1054,'Wk no''s'!B:B,'Wk no''s'!C:C,0)</f>
        <v>20</v>
      </c>
    </row>
    <row r="1055" spans="1:7" x14ac:dyDescent="0.3">
      <c r="A1055" t="s">
        <v>3706</v>
      </c>
      <c r="B1055" t="s">
        <v>3707</v>
      </c>
      <c r="C1055" t="s">
        <v>3708</v>
      </c>
      <c r="D1055">
        <v>3</v>
      </c>
      <c r="E1055">
        <v>1</v>
      </c>
      <c r="F1055" s="1">
        <v>45790</v>
      </c>
      <c r="G1055">
        <f>_xlfn.XLOOKUP(F1055,'Wk no''s'!B:B,'Wk no''s'!C:C,0)</f>
        <v>20</v>
      </c>
    </row>
    <row r="1056" spans="1:7" x14ac:dyDescent="0.3">
      <c r="A1056" t="s">
        <v>3709</v>
      </c>
      <c r="B1056" t="s">
        <v>3710</v>
      </c>
      <c r="C1056" t="s">
        <v>3711</v>
      </c>
      <c r="D1056">
        <v>11</v>
      </c>
      <c r="E1056">
        <v>0</v>
      </c>
      <c r="F1056" s="1">
        <v>45790</v>
      </c>
      <c r="G1056">
        <f>_xlfn.XLOOKUP(F1056,'Wk no''s'!B:B,'Wk no''s'!C:C,0)</f>
        <v>20</v>
      </c>
    </row>
    <row r="1057" spans="1:7" x14ac:dyDescent="0.3">
      <c r="A1057" t="s">
        <v>3712</v>
      </c>
      <c r="B1057" t="s">
        <v>3713</v>
      </c>
      <c r="C1057" t="s">
        <v>1544</v>
      </c>
      <c r="D1057">
        <v>0</v>
      </c>
      <c r="E1057">
        <v>1</v>
      </c>
      <c r="F1057" s="1">
        <v>45790</v>
      </c>
      <c r="G1057">
        <f>_xlfn.XLOOKUP(F1057,'Wk no''s'!B:B,'Wk no''s'!C:C,0)</f>
        <v>20</v>
      </c>
    </row>
    <row r="1058" spans="1:7" x14ac:dyDescent="0.3">
      <c r="A1058" t="s">
        <v>3714</v>
      </c>
      <c r="B1058" t="s">
        <v>3715</v>
      </c>
      <c r="C1058" t="s">
        <v>3716</v>
      </c>
      <c r="D1058">
        <v>2</v>
      </c>
      <c r="E1058">
        <v>1</v>
      </c>
      <c r="F1058" s="1">
        <v>45790</v>
      </c>
      <c r="G1058">
        <f>_xlfn.XLOOKUP(F1058,'Wk no''s'!B:B,'Wk no''s'!C:C,0)</f>
        <v>20</v>
      </c>
    </row>
    <row r="1059" spans="1:7" x14ac:dyDescent="0.3">
      <c r="A1059" t="s">
        <v>3717</v>
      </c>
      <c r="B1059" t="s">
        <v>3718</v>
      </c>
      <c r="C1059" t="s">
        <v>1194</v>
      </c>
      <c r="D1059">
        <v>0</v>
      </c>
      <c r="E1059">
        <v>1</v>
      </c>
      <c r="F1059" s="1">
        <v>45790</v>
      </c>
      <c r="G1059">
        <f>_xlfn.XLOOKUP(F1059,'Wk no''s'!B:B,'Wk no''s'!C:C,0)</f>
        <v>20</v>
      </c>
    </row>
    <row r="1060" spans="1:7" x14ac:dyDescent="0.3">
      <c r="A1060" t="s">
        <v>3719</v>
      </c>
      <c r="B1060" t="s">
        <v>3720</v>
      </c>
      <c r="C1060" t="s">
        <v>809</v>
      </c>
      <c r="D1060">
        <v>56</v>
      </c>
      <c r="E1060">
        <v>0</v>
      </c>
      <c r="F1060" s="1">
        <v>45790</v>
      </c>
      <c r="G1060">
        <f>_xlfn.XLOOKUP(F1060,'Wk no''s'!B:B,'Wk no''s'!C:C,0)</f>
        <v>20</v>
      </c>
    </row>
    <row r="1061" spans="1:7" x14ac:dyDescent="0.3">
      <c r="A1061" t="s">
        <v>3721</v>
      </c>
      <c r="B1061" t="s">
        <v>3722</v>
      </c>
      <c r="C1061" t="s">
        <v>3212</v>
      </c>
      <c r="D1061">
        <v>3</v>
      </c>
      <c r="E1061">
        <v>1</v>
      </c>
      <c r="F1061" s="1">
        <v>45790</v>
      </c>
      <c r="G1061">
        <f>_xlfn.XLOOKUP(F1061,'Wk no''s'!B:B,'Wk no''s'!C:C,0)</f>
        <v>20</v>
      </c>
    </row>
    <row r="1062" spans="1:7" x14ac:dyDescent="0.3">
      <c r="A1062" t="s">
        <v>3723</v>
      </c>
      <c r="B1062" t="s">
        <v>3724</v>
      </c>
      <c r="C1062" t="s">
        <v>3725</v>
      </c>
      <c r="D1062">
        <v>0</v>
      </c>
      <c r="E1062">
        <v>1</v>
      </c>
      <c r="F1062" s="1">
        <v>45790</v>
      </c>
      <c r="G1062">
        <f>_xlfn.XLOOKUP(F1062,'Wk no''s'!B:B,'Wk no''s'!C:C,0)</f>
        <v>20</v>
      </c>
    </row>
    <row r="1063" spans="1:7" x14ac:dyDescent="0.3">
      <c r="A1063" t="s">
        <v>3726</v>
      </c>
      <c r="B1063" t="s">
        <v>3727</v>
      </c>
      <c r="C1063" t="s">
        <v>3728</v>
      </c>
      <c r="D1063">
        <v>13</v>
      </c>
      <c r="E1063">
        <v>0</v>
      </c>
      <c r="F1063" s="1">
        <v>45790</v>
      </c>
      <c r="G1063">
        <f>_xlfn.XLOOKUP(F1063,'Wk no''s'!B:B,'Wk no''s'!C:C,0)</f>
        <v>20</v>
      </c>
    </row>
    <row r="1064" spans="1:7" x14ac:dyDescent="0.3">
      <c r="A1064" t="s">
        <v>3729</v>
      </c>
      <c r="B1064" t="s">
        <v>3730</v>
      </c>
      <c r="C1064" t="s">
        <v>2665</v>
      </c>
      <c r="D1064">
        <v>0</v>
      </c>
      <c r="E1064">
        <v>1</v>
      </c>
      <c r="F1064" s="1">
        <v>45791</v>
      </c>
      <c r="G1064">
        <f>_xlfn.XLOOKUP(F1064,'Wk no''s'!B:B,'Wk no''s'!C:C,0)</f>
        <v>20</v>
      </c>
    </row>
    <row r="1065" spans="1:7" x14ac:dyDescent="0.3">
      <c r="A1065" t="s">
        <v>3731</v>
      </c>
      <c r="B1065" t="s">
        <v>3732</v>
      </c>
      <c r="C1065" t="s">
        <v>3733</v>
      </c>
      <c r="D1065">
        <v>0</v>
      </c>
      <c r="E1065">
        <v>1</v>
      </c>
      <c r="F1065" s="1">
        <v>45791</v>
      </c>
      <c r="G1065">
        <f>_xlfn.XLOOKUP(F1065,'Wk no''s'!B:B,'Wk no''s'!C:C,0)</f>
        <v>20</v>
      </c>
    </row>
    <row r="1066" spans="1:7" x14ac:dyDescent="0.3">
      <c r="A1066" t="s">
        <v>3734</v>
      </c>
      <c r="B1066" t="s">
        <v>3735</v>
      </c>
      <c r="C1066" t="s">
        <v>1889</v>
      </c>
      <c r="D1066">
        <v>0</v>
      </c>
      <c r="E1066">
        <v>1</v>
      </c>
      <c r="F1066" s="1">
        <v>45791</v>
      </c>
      <c r="G1066">
        <f>_xlfn.XLOOKUP(F1066,'Wk no''s'!B:B,'Wk no''s'!C:C,0)</f>
        <v>20</v>
      </c>
    </row>
    <row r="1067" spans="1:7" x14ac:dyDescent="0.3">
      <c r="A1067" t="s">
        <v>3736</v>
      </c>
      <c r="B1067" t="s">
        <v>3737</v>
      </c>
      <c r="C1067" t="s">
        <v>3738</v>
      </c>
      <c r="D1067">
        <v>61</v>
      </c>
      <c r="E1067">
        <v>0</v>
      </c>
      <c r="F1067" s="1">
        <v>45791</v>
      </c>
      <c r="G1067">
        <f>_xlfn.XLOOKUP(F1067,'Wk no''s'!B:B,'Wk no''s'!C:C,0)</f>
        <v>20</v>
      </c>
    </row>
    <row r="1068" spans="1:7" x14ac:dyDescent="0.3">
      <c r="A1068" t="s">
        <v>3739</v>
      </c>
      <c r="B1068" t="s">
        <v>3740</v>
      </c>
      <c r="C1068" t="s">
        <v>2451</v>
      </c>
      <c r="D1068">
        <v>0</v>
      </c>
      <c r="E1068">
        <v>1</v>
      </c>
      <c r="F1068" s="1">
        <v>45791</v>
      </c>
      <c r="G1068">
        <f>_xlfn.XLOOKUP(F1068,'Wk no''s'!B:B,'Wk no''s'!C:C,0)</f>
        <v>20</v>
      </c>
    </row>
    <row r="1069" spans="1:7" x14ac:dyDescent="0.3">
      <c r="A1069" t="s">
        <v>3741</v>
      </c>
      <c r="B1069" t="s">
        <v>3742</v>
      </c>
      <c r="C1069" t="s">
        <v>3743</v>
      </c>
      <c r="D1069">
        <v>0</v>
      </c>
      <c r="E1069">
        <v>1</v>
      </c>
      <c r="F1069" s="1">
        <v>45791</v>
      </c>
      <c r="G1069">
        <f>_xlfn.XLOOKUP(F1069,'Wk no''s'!B:B,'Wk no''s'!C:C,0)</f>
        <v>20</v>
      </c>
    </row>
    <row r="1070" spans="1:7" x14ac:dyDescent="0.3">
      <c r="A1070" t="s">
        <v>3744</v>
      </c>
      <c r="B1070" t="s">
        <v>3745</v>
      </c>
      <c r="C1070" t="s">
        <v>2279</v>
      </c>
      <c r="D1070">
        <v>0</v>
      </c>
      <c r="E1070">
        <v>1</v>
      </c>
      <c r="F1070" s="1">
        <v>45791</v>
      </c>
      <c r="G1070">
        <f>_xlfn.XLOOKUP(F1070,'Wk no''s'!B:B,'Wk no''s'!C:C,0)</f>
        <v>20</v>
      </c>
    </row>
    <row r="1071" spans="1:7" x14ac:dyDescent="0.3">
      <c r="A1071" t="s">
        <v>3746</v>
      </c>
      <c r="B1071" t="s">
        <v>3747</v>
      </c>
      <c r="C1071" t="s">
        <v>3748</v>
      </c>
      <c r="D1071">
        <v>1</v>
      </c>
      <c r="E1071">
        <v>1</v>
      </c>
      <c r="F1071" s="1">
        <v>45792</v>
      </c>
      <c r="G1071">
        <f>_xlfn.XLOOKUP(F1071,'Wk no''s'!B:B,'Wk no''s'!C:C,0)</f>
        <v>20</v>
      </c>
    </row>
    <row r="1072" spans="1:7" x14ac:dyDescent="0.3">
      <c r="A1072" t="s">
        <v>3749</v>
      </c>
      <c r="B1072" t="s">
        <v>3750</v>
      </c>
      <c r="C1072" t="s">
        <v>3751</v>
      </c>
      <c r="D1072">
        <v>0</v>
      </c>
      <c r="E1072">
        <v>1</v>
      </c>
      <c r="F1072" s="1">
        <v>45792</v>
      </c>
      <c r="G1072">
        <f>_xlfn.XLOOKUP(F1072,'Wk no''s'!B:B,'Wk no''s'!C:C,0)</f>
        <v>20</v>
      </c>
    </row>
    <row r="1073" spans="1:7" x14ac:dyDescent="0.3">
      <c r="A1073" t="s">
        <v>3752</v>
      </c>
      <c r="B1073" t="s">
        <v>3753</v>
      </c>
      <c r="C1073" t="s">
        <v>3754</v>
      </c>
      <c r="D1073">
        <v>0</v>
      </c>
      <c r="E1073">
        <v>1</v>
      </c>
      <c r="F1073" s="1">
        <v>45792</v>
      </c>
      <c r="G1073">
        <f>_xlfn.XLOOKUP(F1073,'Wk no''s'!B:B,'Wk no''s'!C:C,0)</f>
        <v>20</v>
      </c>
    </row>
    <row r="1074" spans="1:7" x14ac:dyDescent="0.3">
      <c r="A1074" t="s">
        <v>3755</v>
      </c>
      <c r="B1074" t="s">
        <v>3756</v>
      </c>
      <c r="C1074" t="s">
        <v>10</v>
      </c>
      <c r="D1074">
        <v>0</v>
      </c>
      <c r="E1074">
        <v>1</v>
      </c>
      <c r="F1074" s="1">
        <v>45792</v>
      </c>
      <c r="G1074">
        <f>_xlfn.XLOOKUP(F1074,'Wk no''s'!B:B,'Wk no''s'!C:C,0)</f>
        <v>20</v>
      </c>
    </row>
    <row r="1075" spans="1:7" x14ac:dyDescent="0.3">
      <c r="A1075" t="s">
        <v>3757</v>
      </c>
      <c r="B1075" t="s">
        <v>3758</v>
      </c>
      <c r="C1075" t="s">
        <v>3759</v>
      </c>
      <c r="D1075">
        <v>0</v>
      </c>
      <c r="E1075">
        <v>1</v>
      </c>
      <c r="F1075" s="1">
        <v>45792</v>
      </c>
      <c r="G1075">
        <f>_xlfn.XLOOKUP(F1075,'Wk no''s'!B:B,'Wk no''s'!C:C,0)</f>
        <v>20</v>
      </c>
    </row>
    <row r="1076" spans="1:7" x14ac:dyDescent="0.3">
      <c r="A1076" t="s">
        <v>3760</v>
      </c>
      <c r="B1076" t="s">
        <v>3761</v>
      </c>
      <c r="C1076" t="s">
        <v>210</v>
      </c>
      <c r="D1076">
        <v>0</v>
      </c>
      <c r="E1076">
        <v>1</v>
      </c>
      <c r="F1076" s="1">
        <v>45792</v>
      </c>
      <c r="G1076">
        <f>_xlfn.XLOOKUP(F1076,'Wk no''s'!B:B,'Wk no''s'!C:C,0)</f>
        <v>20</v>
      </c>
    </row>
    <row r="1077" spans="1:7" x14ac:dyDescent="0.3">
      <c r="A1077" t="s">
        <v>3762</v>
      </c>
      <c r="B1077" t="s">
        <v>3763</v>
      </c>
      <c r="C1077" t="s">
        <v>1194</v>
      </c>
      <c r="D1077">
        <v>0</v>
      </c>
      <c r="E1077">
        <v>1</v>
      </c>
      <c r="F1077" s="1">
        <v>45792</v>
      </c>
      <c r="G1077">
        <f>_xlfn.XLOOKUP(F1077,'Wk no''s'!B:B,'Wk no''s'!C:C,0)</f>
        <v>20</v>
      </c>
    </row>
    <row r="1078" spans="1:7" x14ac:dyDescent="0.3">
      <c r="A1078" t="s">
        <v>3764</v>
      </c>
      <c r="B1078" t="s">
        <v>3765</v>
      </c>
      <c r="C1078" t="s">
        <v>3766</v>
      </c>
      <c r="D1078">
        <v>52</v>
      </c>
      <c r="E1078">
        <v>0</v>
      </c>
      <c r="F1078" s="1">
        <v>45792</v>
      </c>
      <c r="G1078">
        <f>_xlfn.XLOOKUP(F1078,'Wk no''s'!B:B,'Wk no''s'!C:C,0)</f>
        <v>20</v>
      </c>
    </row>
    <row r="1079" spans="1:7" x14ac:dyDescent="0.3">
      <c r="A1079" t="s">
        <v>3767</v>
      </c>
      <c r="B1079" t="s">
        <v>3768</v>
      </c>
      <c r="C1079" t="s">
        <v>3769</v>
      </c>
      <c r="D1079">
        <v>0</v>
      </c>
      <c r="E1079">
        <v>1</v>
      </c>
      <c r="F1079" s="1">
        <v>45792</v>
      </c>
      <c r="G1079">
        <f>_xlfn.XLOOKUP(F1079,'Wk no''s'!B:B,'Wk no''s'!C:C,0)</f>
        <v>20</v>
      </c>
    </row>
    <row r="1080" spans="1:7" x14ac:dyDescent="0.3">
      <c r="A1080" t="s">
        <v>3770</v>
      </c>
      <c r="B1080" t="s">
        <v>3771</v>
      </c>
      <c r="C1080" t="s">
        <v>3305</v>
      </c>
      <c r="D1080">
        <v>0</v>
      </c>
      <c r="E1080">
        <v>1</v>
      </c>
      <c r="F1080" s="1">
        <v>45792</v>
      </c>
      <c r="G1080">
        <f>_xlfn.XLOOKUP(F1080,'Wk no''s'!B:B,'Wk no''s'!C:C,0)</f>
        <v>20</v>
      </c>
    </row>
    <row r="1081" spans="1:7" x14ac:dyDescent="0.3">
      <c r="A1081" t="s">
        <v>3772</v>
      </c>
      <c r="B1081" t="s">
        <v>3773</v>
      </c>
      <c r="C1081" t="s">
        <v>407</v>
      </c>
      <c r="D1081">
        <v>0</v>
      </c>
      <c r="E1081">
        <v>1</v>
      </c>
      <c r="F1081" s="1">
        <v>45792</v>
      </c>
      <c r="G1081">
        <f>_xlfn.XLOOKUP(F1081,'Wk no''s'!B:B,'Wk no''s'!C:C,0)</f>
        <v>20</v>
      </c>
    </row>
    <row r="1082" spans="1:7" x14ac:dyDescent="0.3">
      <c r="A1082" t="s">
        <v>3774</v>
      </c>
      <c r="B1082" t="s">
        <v>3775</v>
      </c>
      <c r="C1082" t="s">
        <v>6908</v>
      </c>
      <c r="D1082">
        <v>0</v>
      </c>
      <c r="E1082">
        <v>1</v>
      </c>
      <c r="F1082" s="1">
        <v>45793</v>
      </c>
      <c r="G1082">
        <f>_xlfn.XLOOKUP(F1082,'Wk no''s'!B:B,'Wk no''s'!C:C,0)</f>
        <v>20</v>
      </c>
    </row>
    <row r="1083" spans="1:7" x14ac:dyDescent="0.3">
      <c r="A1083" t="s">
        <v>3776</v>
      </c>
      <c r="B1083" t="s">
        <v>3777</v>
      </c>
      <c r="C1083" t="s">
        <v>1224</v>
      </c>
      <c r="D1083">
        <v>0</v>
      </c>
      <c r="E1083">
        <v>1</v>
      </c>
      <c r="F1083" s="1">
        <v>45793</v>
      </c>
      <c r="G1083">
        <f>_xlfn.XLOOKUP(F1083,'Wk no''s'!B:B,'Wk no''s'!C:C,0)</f>
        <v>20</v>
      </c>
    </row>
    <row r="1084" spans="1:7" x14ac:dyDescent="0.3">
      <c r="A1084" t="s">
        <v>3778</v>
      </c>
      <c r="B1084" t="s">
        <v>3779</v>
      </c>
      <c r="C1084" t="s">
        <v>3212</v>
      </c>
      <c r="D1084">
        <v>0</v>
      </c>
      <c r="E1084">
        <v>1</v>
      </c>
      <c r="F1084" s="1">
        <v>45793</v>
      </c>
      <c r="G1084">
        <f>_xlfn.XLOOKUP(F1084,'Wk no''s'!B:B,'Wk no''s'!C:C,0)</f>
        <v>20</v>
      </c>
    </row>
    <row r="1085" spans="1:7" x14ac:dyDescent="0.3">
      <c r="A1085" t="s">
        <v>3780</v>
      </c>
      <c r="B1085" t="s">
        <v>3781</v>
      </c>
      <c r="C1085" t="s">
        <v>1995</v>
      </c>
      <c r="D1085">
        <v>0</v>
      </c>
      <c r="E1085">
        <v>1</v>
      </c>
      <c r="F1085" s="1">
        <v>45793</v>
      </c>
      <c r="G1085">
        <f>_xlfn.XLOOKUP(F1085,'Wk no''s'!B:B,'Wk no''s'!C:C,0)</f>
        <v>20</v>
      </c>
    </row>
    <row r="1086" spans="1:7" x14ac:dyDescent="0.3">
      <c r="A1086" t="s">
        <v>3782</v>
      </c>
      <c r="B1086" t="s">
        <v>3783</v>
      </c>
      <c r="C1086" t="s">
        <v>2789</v>
      </c>
      <c r="D1086">
        <v>0</v>
      </c>
      <c r="E1086">
        <v>1</v>
      </c>
      <c r="F1086" s="1">
        <v>45793</v>
      </c>
      <c r="G1086">
        <f>_xlfn.XLOOKUP(F1086,'Wk no''s'!B:B,'Wk no''s'!C:C,0)</f>
        <v>20</v>
      </c>
    </row>
    <row r="1087" spans="1:7" x14ac:dyDescent="0.3">
      <c r="A1087" t="s">
        <v>3784</v>
      </c>
      <c r="B1087" t="s">
        <v>3785</v>
      </c>
      <c r="C1087" t="s">
        <v>644</v>
      </c>
      <c r="D1087">
        <v>0</v>
      </c>
      <c r="E1087">
        <v>1</v>
      </c>
      <c r="F1087" s="1">
        <v>45796</v>
      </c>
      <c r="G1087">
        <f>_xlfn.XLOOKUP(F1087,'Wk no''s'!B:B,'Wk no''s'!C:C,0)</f>
        <v>21</v>
      </c>
    </row>
    <row r="1088" spans="1:7" x14ac:dyDescent="0.3">
      <c r="A1088" t="s">
        <v>3786</v>
      </c>
      <c r="B1088" t="s">
        <v>3787</v>
      </c>
      <c r="C1088" t="s">
        <v>3788</v>
      </c>
      <c r="D1088">
        <v>0</v>
      </c>
      <c r="E1088">
        <v>1</v>
      </c>
      <c r="F1088" s="1">
        <v>45796</v>
      </c>
      <c r="G1088">
        <f>_xlfn.XLOOKUP(F1088,'Wk no''s'!B:B,'Wk no''s'!C:C,0)</f>
        <v>21</v>
      </c>
    </row>
    <row r="1089" spans="1:7" x14ac:dyDescent="0.3">
      <c r="A1089" t="s">
        <v>3789</v>
      </c>
      <c r="B1089" t="s">
        <v>3790</v>
      </c>
      <c r="C1089" t="s">
        <v>3791</v>
      </c>
      <c r="D1089">
        <v>0</v>
      </c>
      <c r="E1089">
        <v>1</v>
      </c>
      <c r="F1089" s="1">
        <v>45796</v>
      </c>
      <c r="G1089">
        <f>_xlfn.XLOOKUP(F1089,'Wk no''s'!B:B,'Wk no''s'!C:C,0)</f>
        <v>21</v>
      </c>
    </row>
    <row r="1090" spans="1:7" x14ac:dyDescent="0.3">
      <c r="A1090" t="s">
        <v>3792</v>
      </c>
      <c r="B1090" t="s">
        <v>3793</v>
      </c>
      <c r="C1090" t="s">
        <v>3794</v>
      </c>
      <c r="D1090">
        <v>0</v>
      </c>
      <c r="E1090">
        <v>1</v>
      </c>
      <c r="F1090" s="1">
        <v>45796</v>
      </c>
      <c r="G1090">
        <f>_xlfn.XLOOKUP(F1090,'Wk no''s'!B:B,'Wk no''s'!C:C,0)</f>
        <v>21</v>
      </c>
    </row>
    <row r="1091" spans="1:7" x14ac:dyDescent="0.3">
      <c r="A1091" t="s">
        <v>3795</v>
      </c>
      <c r="B1091" t="s">
        <v>3796</v>
      </c>
      <c r="C1091" t="s">
        <v>3797</v>
      </c>
      <c r="D1091">
        <v>3</v>
      </c>
      <c r="E1091">
        <v>1</v>
      </c>
      <c r="F1091" s="1">
        <v>45796</v>
      </c>
      <c r="G1091">
        <f>_xlfn.XLOOKUP(F1091,'Wk no''s'!B:B,'Wk no''s'!C:C,0)</f>
        <v>21</v>
      </c>
    </row>
    <row r="1092" spans="1:7" x14ac:dyDescent="0.3">
      <c r="A1092" t="s">
        <v>3798</v>
      </c>
      <c r="B1092" t="s">
        <v>3799</v>
      </c>
      <c r="C1092" t="s">
        <v>3800</v>
      </c>
      <c r="D1092">
        <v>0</v>
      </c>
      <c r="E1092">
        <v>1</v>
      </c>
      <c r="F1092" s="1">
        <v>45796</v>
      </c>
      <c r="G1092">
        <f>_xlfn.XLOOKUP(F1092,'Wk no''s'!B:B,'Wk no''s'!C:C,0)</f>
        <v>21</v>
      </c>
    </row>
    <row r="1093" spans="1:7" x14ac:dyDescent="0.3">
      <c r="A1093" t="s">
        <v>3801</v>
      </c>
      <c r="B1093" t="s">
        <v>3802</v>
      </c>
      <c r="C1093" t="s">
        <v>2543</v>
      </c>
      <c r="D1093">
        <v>0</v>
      </c>
      <c r="E1093">
        <v>1</v>
      </c>
      <c r="F1093" s="1">
        <v>45796</v>
      </c>
      <c r="G1093">
        <f>_xlfn.XLOOKUP(F1093,'Wk no''s'!B:B,'Wk no''s'!C:C,0)</f>
        <v>21</v>
      </c>
    </row>
    <row r="1094" spans="1:7" x14ac:dyDescent="0.3">
      <c r="A1094" t="s">
        <v>3803</v>
      </c>
      <c r="B1094" t="s">
        <v>3804</v>
      </c>
      <c r="C1094" t="s">
        <v>1194</v>
      </c>
      <c r="D1094">
        <v>0</v>
      </c>
      <c r="E1094">
        <v>1</v>
      </c>
      <c r="F1094" s="1">
        <v>45797</v>
      </c>
      <c r="G1094">
        <f>_xlfn.XLOOKUP(F1094,'Wk no''s'!B:B,'Wk no''s'!C:C,0)</f>
        <v>21</v>
      </c>
    </row>
    <row r="1095" spans="1:7" x14ac:dyDescent="0.3">
      <c r="A1095" t="s">
        <v>3805</v>
      </c>
      <c r="B1095" t="s">
        <v>3806</v>
      </c>
      <c r="C1095" t="s">
        <v>3807</v>
      </c>
      <c r="D1095">
        <v>0</v>
      </c>
      <c r="E1095">
        <v>1</v>
      </c>
      <c r="F1095" s="1">
        <v>45797</v>
      </c>
      <c r="G1095">
        <f>_xlfn.XLOOKUP(F1095,'Wk no''s'!B:B,'Wk no''s'!C:C,0)</f>
        <v>21</v>
      </c>
    </row>
    <row r="1096" spans="1:7" x14ac:dyDescent="0.3">
      <c r="A1096" t="s">
        <v>3808</v>
      </c>
      <c r="B1096" t="s">
        <v>3809</v>
      </c>
      <c r="C1096" t="s">
        <v>273</v>
      </c>
      <c r="D1096">
        <v>0</v>
      </c>
      <c r="E1096">
        <v>1</v>
      </c>
      <c r="F1096" s="1">
        <v>45797</v>
      </c>
      <c r="G1096">
        <f>_xlfn.XLOOKUP(F1096,'Wk no''s'!B:B,'Wk no''s'!C:C,0)</f>
        <v>21</v>
      </c>
    </row>
    <row r="1097" spans="1:7" x14ac:dyDescent="0.3">
      <c r="A1097" t="s">
        <v>3810</v>
      </c>
      <c r="B1097" t="s">
        <v>3811</v>
      </c>
      <c r="C1097" t="s">
        <v>39</v>
      </c>
      <c r="D1097">
        <v>0</v>
      </c>
      <c r="E1097">
        <v>1</v>
      </c>
      <c r="F1097" s="1">
        <v>45797</v>
      </c>
      <c r="G1097">
        <f>_xlfn.XLOOKUP(F1097,'Wk no''s'!B:B,'Wk no''s'!C:C,0)</f>
        <v>21</v>
      </c>
    </row>
    <row r="1098" spans="1:7" x14ac:dyDescent="0.3">
      <c r="A1098" t="s">
        <v>3812</v>
      </c>
      <c r="B1098" t="s">
        <v>3813</v>
      </c>
      <c r="C1098" t="s">
        <v>3814</v>
      </c>
      <c r="D1098">
        <v>2</v>
      </c>
      <c r="E1098">
        <v>1</v>
      </c>
      <c r="F1098" s="1">
        <v>45797</v>
      </c>
      <c r="G1098">
        <f>_xlfn.XLOOKUP(F1098,'Wk no''s'!B:B,'Wk no''s'!C:C,0)</f>
        <v>21</v>
      </c>
    </row>
    <row r="1099" spans="1:7" x14ac:dyDescent="0.3">
      <c r="A1099" t="s">
        <v>3815</v>
      </c>
      <c r="B1099" t="s">
        <v>3816</v>
      </c>
      <c r="C1099" t="s">
        <v>38</v>
      </c>
      <c r="D1099">
        <v>5</v>
      </c>
      <c r="E1099">
        <v>1</v>
      </c>
      <c r="F1099" s="1">
        <v>45797</v>
      </c>
      <c r="G1099">
        <f>_xlfn.XLOOKUP(F1099,'Wk no''s'!B:B,'Wk no''s'!C:C,0)</f>
        <v>21</v>
      </c>
    </row>
    <row r="1100" spans="1:7" x14ac:dyDescent="0.3">
      <c r="A1100" t="s">
        <v>3817</v>
      </c>
      <c r="B1100" t="s">
        <v>3818</v>
      </c>
      <c r="C1100" t="s">
        <v>2451</v>
      </c>
      <c r="D1100">
        <v>0</v>
      </c>
      <c r="E1100">
        <v>1</v>
      </c>
      <c r="F1100" s="1">
        <v>45797</v>
      </c>
      <c r="G1100">
        <f>_xlfn.XLOOKUP(F1100,'Wk no''s'!B:B,'Wk no''s'!C:C,0)</f>
        <v>21</v>
      </c>
    </row>
    <row r="1101" spans="1:7" x14ac:dyDescent="0.3">
      <c r="A1101" t="s">
        <v>3819</v>
      </c>
      <c r="B1101" t="s">
        <v>3820</v>
      </c>
      <c r="C1101" t="s">
        <v>38</v>
      </c>
      <c r="D1101">
        <v>0</v>
      </c>
      <c r="E1101">
        <v>1</v>
      </c>
      <c r="F1101" s="1">
        <v>45797</v>
      </c>
      <c r="G1101">
        <f>_xlfn.XLOOKUP(F1101,'Wk no''s'!B:B,'Wk no''s'!C:C,0)</f>
        <v>21</v>
      </c>
    </row>
    <row r="1102" spans="1:7" x14ac:dyDescent="0.3">
      <c r="A1102" t="s">
        <v>3821</v>
      </c>
      <c r="B1102" t="s">
        <v>3822</v>
      </c>
      <c r="C1102" t="s">
        <v>38</v>
      </c>
      <c r="D1102">
        <v>0</v>
      </c>
      <c r="E1102">
        <v>1</v>
      </c>
      <c r="F1102" s="1">
        <v>45797</v>
      </c>
      <c r="G1102">
        <f>_xlfn.XLOOKUP(F1102,'Wk no''s'!B:B,'Wk no''s'!C:C,0)</f>
        <v>21</v>
      </c>
    </row>
    <row r="1103" spans="1:7" x14ac:dyDescent="0.3">
      <c r="A1103" t="s">
        <v>3823</v>
      </c>
      <c r="B1103" t="s">
        <v>3824</v>
      </c>
      <c r="C1103" t="s">
        <v>38</v>
      </c>
      <c r="D1103">
        <v>9</v>
      </c>
      <c r="E1103">
        <v>0</v>
      </c>
      <c r="F1103" s="1">
        <v>45797</v>
      </c>
      <c r="G1103">
        <f>_xlfn.XLOOKUP(F1103,'Wk no''s'!B:B,'Wk no''s'!C:C,0)</f>
        <v>21</v>
      </c>
    </row>
    <row r="1104" spans="1:7" x14ac:dyDescent="0.3">
      <c r="A1104" t="s">
        <v>3825</v>
      </c>
      <c r="B1104" t="s">
        <v>3826</v>
      </c>
      <c r="C1104" t="s">
        <v>69</v>
      </c>
      <c r="D1104">
        <v>0</v>
      </c>
      <c r="E1104">
        <v>1</v>
      </c>
      <c r="F1104" s="1">
        <v>45798</v>
      </c>
      <c r="G1104">
        <f>_xlfn.XLOOKUP(F1104,'Wk no''s'!B:B,'Wk no''s'!C:C,0)</f>
        <v>21</v>
      </c>
    </row>
    <row r="1105" spans="1:7" x14ac:dyDescent="0.3">
      <c r="A1105" t="s">
        <v>3827</v>
      </c>
      <c r="B1105" t="s">
        <v>3828</v>
      </c>
      <c r="C1105" t="s">
        <v>3829</v>
      </c>
      <c r="D1105">
        <v>1</v>
      </c>
      <c r="E1105">
        <v>1</v>
      </c>
      <c r="F1105" s="1">
        <v>45798</v>
      </c>
      <c r="G1105">
        <f>_xlfn.XLOOKUP(F1105,'Wk no''s'!B:B,'Wk no''s'!C:C,0)</f>
        <v>21</v>
      </c>
    </row>
    <row r="1106" spans="1:7" x14ac:dyDescent="0.3">
      <c r="A1106" t="s">
        <v>3830</v>
      </c>
      <c r="B1106" t="s">
        <v>3831</v>
      </c>
      <c r="C1106" t="s">
        <v>3832</v>
      </c>
      <c r="D1106">
        <v>20</v>
      </c>
      <c r="E1106">
        <v>0</v>
      </c>
      <c r="F1106" s="1">
        <v>45798</v>
      </c>
      <c r="G1106">
        <f>_xlfn.XLOOKUP(F1106,'Wk no''s'!B:B,'Wk no''s'!C:C,0)</f>
        <v>21</v>
      </c>
    </row>
    <row r="1107" spans="1:7" x14ac:dyDescent="0.3">
      <c r="A1107" t="s">
        <v>3833</v>
      </c>
      <c r="B1107" t="s">
        <v>3834</v>
      </c>
      <c r="C1107" t="s">
        <v>3835</v>
      </c>
      <c r="D1107">
        <v>18</v>
      </c>
      <c r="E1107">
        <v>0</v>
      </c>
      <c r="F1107" s="1">
        <v>45798</v>
      </c>
      <c r="G1107">
        <f>_xlfn.XLOOKUP(F1107,'Wk no''s'!B:B,'Wk no''s'!C:C,0)</f>
        <v>21</v>
      </c>
    </row>
    <row r="1108" spans="1:7" x14ac:dyDescent="0.3">
      <c r="A1108" t="s">
        <v>3836</v>
      </c>
      <c r="B1108" t="s">
        <v>3837</v>
      </c>
      <c r="C1108" t="s">
        <v>1343</v>
      </c>
      <c r="D1108">
        <v>0</v>
      </c>
      <c r="E1108">
        <v>1</v>
      </c>
      <c r="F1108" s="1">
        <v>45798</v>
      </c>
      <c r="G1108">
        <f>_xlfn.XLOOKUP(F1108,'Wk no''s'!B:B,'Wk no''s'!C:C,0)</f>
        <v>21</v>
      </c>
    </row>
    <row r="1109" spans="1:7" x14ac:dyDescent="0.3">
      <c r="A1109" t="s">
        <v>3838</v>
      </c>
      <c r="B1109" t="s">
        <v>3839</v>
      </c>
      <c r="C1109" t="s">
        <v>3840</v>
      </c>
      <c r="D1109">
        <v>0</v>
      </c>
      <c r="E1109">
        <v>1</v>
      </c>
      <c r="F1109" s="1">
        <v>45798</v>
      </c>
      <c r="G1109">
        <f>_xlfn.XLOOKUP(F1109,'Wk no''s'!B:B,'Wk no''s'!C:C,0)</f>
        <v>21</v>
      </c>
    </row>
    <row r="1110" spans="1:7" x14ac:dyDescent="0.3">
      <c r="A1110" t="s">
        <v>3841</v>
      </c>
      <c r="B1110" t="s">
        <v>3842</v>
      </c>
      <c r="C1110" t="s">
        <v>1534</v>
      </c>
      <c r="D1110">
        <v>3</v>
      </c>
      <c r="E1110">
        <v>1</v>
      </c>
      <c r="F1110" s="1">
        <v>45798</v>
      </c>
      <c r="G1110">
        <f>_xlfn.XLOOKUP(F1110,'Wk no''s'!B:B,'Wk no''s'!C:C,0)</f>
        <v>21</v>
      </c>
    </row>
    <row r="1111" spans="1:7" x14ac:dyDescent="0.3">
      <c r="A1111" t="s">
        <v>3843</v>
      </c>
      <c r="B1111" t="s">
        <v>3844</v>
      </c>
      <c r="C1111" t="s">
        <v>1194</v>
      </c>
      <c r="D1111">
        <v>0</v>
      </c>
      <c r="E1111">
        <v>1</v>
      </c>
      <c r="F1111" s="1">
        <v>45798</v>
      </c>
      <c r="G1111">
        <f>_xlfn.XLOOKUP(F1111,'Wk no''s'!B:B,'Wk no''s'!C:C,0)</f>
        <v>21</v>
      </c>
    </row>
    <row r="1112" spans="1:7" x14ac:dyDescent="0.3">
      <c r="A1112" t="s">
        <v>3845</v>
      </c>
      <c r="B1112" t="s">
        <v>3846</v>
      </c>
      <c r="C1112" t="s">
        <v>432</v>
      </c>
      <c r="D1112">
        <v>0</v>
      </c>
      <c r="E1112">
        <v>1</v>
      </c>
      <c r="F1112" s="1">
        <v>45799</v>
      </c>
      <c r="G1112">
        <f>_xlfn.XLOOKUP(F1112,'Wk no''s'!B:B,'Wk no''s'!C:C,0)</f>
        <v>21</v>
      </c>
    </row>
    <row r="1113" spans="1:7" x14ac:dyDescent="0.3">
      <c r="A1113" t="s">
        <v>3847</v>
      </c>
      <c r="B1113" t="s">
        <v>3848</v>
      </c>
      <c r="C1113" t="s">
        <v>3849</v>
      </c>
      <c r="D1113">
        <v>0</v>
      </c>
      <c r="E1113">
        <v>1</v>
      </c>
      <c r="F1113" s="1">
        <v>45799</v>
      </c>
      <c r="G1113">
        <f>_xlfn.XLOOKUP(F1113,'Wk no''s'!B:B,'Wk no''s'!C:C,0)</f>
        <v>21</v>
      </c>
    </row>
    <row r="1114" spans="1:7" x14ac:dyDescent="0.3">
      <c r="A1114" t="s">
        <v>3850</v>
      </c>
      <c r="B1114" t="s">
        <v>3851</v>
      </c>
      <c r="C1114" t="s">
        <v>3852</v>
      </c>
      <c r="D1114">
        <v>0</v>
      </c>
      <c r="E1114">
        <v>1</v>
      </c>
      <c r="F1114" s="1">
        <v>45799</v>
      </c>
      <c r="G1114">
        <f>_xlfn.XLOOKUP(F1114,'Wk no''s'!B:B,'Wk no''s'!C:C,0)</f>
        <v>21</v>
      </c>
    </row>
    <row r="1115" spans="1:7" x14ac:dyDescent="0.3">
      <c r="A1115" t="s">
        <v>3853</v>
      </c>
      <c r="B1115" t="s">
        <v>3854</v>
      </c>
      <c r="C1115" t="s">
        <v>3855</v>
      </c>
      <c r="D1115">
        <v>0</v>
      </c>
      <c r="E1115">
        <v>1</v>
      </c>
      <c r="F1115" s="1">
        <v>45799</v>
      </c>
      <c r="G1115">
        <f>_xlfn.XLOOKUP(F1115,'Wk no''s'!B:B,'Wk no''s'!C:C,0)</f>
        <v>21</v>
      </c>
    </row>
    <row r="1116" spans="1:7" x14ac:dyDescent="0.3">
      <c r="A1116" t="s">
        <v>3856</v>
      </c>
      <c r="B1116" t="s">
        <v>3857</v>
      </c>
      <c r="C1116" t="s">
        <v>273</v>
      </c>
      <c r="D1116">
        <v>0</v>
      </c>
      <c r="E1116">
        <v>1</v>
      </c>
      <c r="F1116" s="1">
        <v>45799</v>
      </c>
      <c r="G1116">
        <f>_xlfn.XLOOKUP(F1116,'Wk no''s'!B:B,'Wk no''s'!C:C,0)</f>
        <v>21</v>
      </c>
    </row>
    <row r="1117" spans="1:7" x14ac:dyDescent="0.3">
      <c r="A1117" t="s">
        <v>3858</v>
      </c>
      <c r="B1117" t="s">
        <v>3859</v>
      </c>
      <c r="C1117" t="s">
        <v>39</v>
      </c>
      <c r="D1117">
        <v>0</v>
      </c>
      <c r="E1117">
        <v>1</v>
      </c>
      <c r="F1117" s="1">
        <v>45799</v>
      </c>
      <c r="G1117">
        <f>_xlfn.XLOOKUP(F1117,'Wk no''s'!B:B,'Wk no''s'!C:C,0)</f>
        <v>21</v>
      </c>
    </row>
    <row r="1118" spans="1:7" x14ac:dyDescent="0.3">
      <c r="A1118" t="s">
        <v>3860</v>
      </c>
      <c r="B1118" t="s">
        <v>3861</v>
      </c>
      <c r="C1118" t="s">
        <v>3058</v>
      </c>
      <c r="D1118">
        <v>0</v>
      </c>
      <c r="E1118">
        <v>1</v>
      </c>
      <c r="F1118" s="1">
        <v>45799</v>
      </c>
      <c r="G1118">
        <f>_xlfn.XLOOKUP(F1118,'Wk no''s'!B:B,'Wk no''s'!C:C,0)</f>
        <v>21</v>
      </c>
    </row>
    <row r="1119" spans="1:7" x14ac:dyDescent="0.3">
      <c r="A1119" t="s">
        <v>3862</v>
      </c>
      <c r="B1119" t="s">
        <v>3863</v>
      </c>
      <c r="C1119" t="s">
        <v>1544</v>
      </c>
      <c r="D1119">
        <v>0</v>
      </c>
      <c r="E1119">
        <v>1</v>
      </c>
      <c r="F1119" s="1">
        <v>45799</v>
      </c>
      <c r="G1119">
        <f>_xlfn.XLOOKUP(F1119,'Wk no''s'!B:B,'Wk no''s'!C:C,0)</f>
        <v>21</v>
      </c>
    </row>
    <row r="1120" spans="1:7" x14ac:dyDescent="0.3">
      <c r="A1120" t="s">
        <v>3864</v>
      </c>
      <c r="B1120" t="s">
        <v>3865</v>
      </c>
      <c r="C1120" t="s">
        <v>3866</v>
      </c>
      <c r="D1120">
        <v>0</v>
      </c>
      <c r="E1120">
        <v>1</v>
      </c>
      <c r="F1120" s="1">
        <v>45799</v>
      </c>
      <c r="G1120">
        <f>_xlfn.XLOOKUP(F1120,'Wk no''s'!B:B,'Wk no''s'!C:C,0)</f>
        <v>21</v>
      </c>
    </row>
    <row r="1121" spans="1:7" x14ac:dyDescent="0.3">
      <c r="A1121" t="s">
        <v>3867</v>
      </c>
      <c r="B1121" t="s">
        <v>3868</v>
      </c>
      <c r="C1121" t="s">
        <v>3869</v>
      </c>
      <c r="D1121">
        <v>11</v>
      </c>
      <c r="E1121">
        <v>0</v>
      </c>
      <c r="F1121" s="1">
        <v>45799</v>
      </c>
      <c r="G1121">
        <f>_xlfn.XLOOKUP(F1121,'Wk no''s'!B:B,'Wk no''s'!C:C,0)</f>
        <v>21</v>
      </c>
    </row>
    <row r="1122" spans="1:7" x14ac:dyDescent="0.3">
      <c r="A1122" t="s">
        <v>3870</v>
      </c>
      <c r="B1122" t="s">
        <v>3871</v>
      </c>
      <c r="C1122" t="s">
        <v>3872</v>
      </c>
      <c r="D1122">
        <v>0</v>
      </c>
      <c r="E1122">
        <v>1</v>
      </c>
      <c r="F1122" s="1">
        <v>45799</v>
      </c>
      <c r="G1122">
        <f>_xlfn.XLOOKUP(F1122,'Wk no''s'!B:B,'Wk no''s'!C:C,0)</f>
        <v>21</v>
      </c>
    </row>
    <row r="1123" spans="1:7" x14ac:dyDescent="0.3">
      <c r="A1123" t="s">
        <v>3873</v>
      </c>
      <c r="B1123" t="s">
        <v>3874</v>
      </c>
      <c r="C1123" t="s">
        <v>3875</v>
      </c>
      <c r="D1123">
        <v>0</v>
      </c>
      <c r="E1123">
        <v>1</v>
      </c>
      <c r="F1123" s="1">
        <v>45800</v>
      </c>
      <c r="G1123">
        <f>_xlfn.XLOOKUP(F1123,'Wk no''s'!B:B,'Wk no''s'!C:C,0)</f>
        <v>21</v>
      </c>
    </row>
    <row r="1124" spans="1:7" x14ac:dyDescent="0.3">
      <c r="A1124" t="s">
        <v>3876</v>
      </c>
      <c r="B1124" t="s">
        <v>3877</v>
      </c>
      <c r="C1124" t="s">
        <v>3878</v>
      </c>
      <c r="D1124">
        <v>2</v>
      </c>
      <c r="E1124">
        <v>1</v>
      </c>
      <c r="F1124" s="1">
        <v>45800</v>
      </c>
      <c r="G1124">
        <f>_xlfn.XLOOKUP(F1124,'Wk no''s'!B:B,'Wk no''s'!C:C,0)</f>
        <v>21</v>
      </c>
    </row>
    <row r="1125" spans="1:7" x14ac:dyDescent="0.3">
      <c r="A1125" t="s">
        <v>3879</v>
      </c>
      <c r="B1125" t="s">
        <v>3880</v>
      </c>
      <c r="C1125" t="s">
        <v>3881</v>
      </c>
      <c r="D1125">
        <v>0</v>
      </c>
      <c r="E1125">
        <v>1</v>
      </c>
      <c r="F1125" s="1">
        <v>45800</v>
      </c>
      <c r="G1125">
        <f>_xlfn.XLOOKUP(F1125,'Wk no''s'!B:B,'Wk no''s'!C:C,0)</f>
        <v>21</v>
      </c>
    </row>
    <row r="1126" spans="1:7" x14ac:dyDescent="0.3">
      <c r="A1126" t="s">
        <v>3882</v>
      </c>
      <c r="B1126" t="s">
        <v>3883</v>
      </c>
      <c r="C1126" t="s">
        <v>3884</v>
      </c>
      <c r="D1126">
        <v>0</v>
      </c>
      <c r="E1126">
        <v>1</v>
      </c>
      <c r="F1126" s="1">
        <v>45800</v>
      </c>
      <c r="G1126">
        <f>_xlfn.XLOOKUP(F1126,'Wk no''s'!B:B,'Wk no''s'!C:C,0)</f>
        <v>21</v>
      </c>
    </row>
    <row r="1127" spans="1:7" x14ac:dyDescent="0.3">
      <c r="A1127" t="s">
        <v>3885</v>
      </c>
      <c r="B1127" t="s">
        <v>3886</v>
      </c>
      <c r="C1127" t="s">
        <v>3887</v>
      </c>
      <c r="D1127">
        <v>13</v>
      </c>
      <c r="E1127">
        <v>0</v>
      </c>
      <c r="F1127" s="1">
        <v>45800</v>
      </c>
      <c r="G1127">
        <f>_xlfn.XLOOKUP(F1127,'Wk no''s'!B:B,'Wk no''s'!C:C,0)</f>
        <v>21</v>
      </c>
    </row>
    <row r="1128" spans="1:7" x14ac:dyDescent="0.3">
      <c r="A1128" t="s">
        <v>3888</v>
      </c>
      <c r="B1128" t="s">
        <v>3889</v>
      </c>
      <c r="C1128" t="s">
        <v>3869</v>
      </c>
      <c r="D1128">
        <v>21</v>
      </c>
      <c r="E1128">
        <v>0</v>
      </c>
      <c r="F1128" s="1">
        <v>45800</v>
      </c>
      <c r="G1128">
        <f>_xlfn.XLOOKUP(F1128,'Wk no''s'!B:B,'Wk no''s'!C:C,0)</f>
        <v>21</v>
      </c>
    </row>
    <row r="1129" spans="1:7" x14ac:dyDescent="0.3">
      <c r="A1129" t="s">
        <v>3890</v>
      </c>
      <c r="B1129" t="s">
        <v>3891</v>
      </c>
      <c r="C1129" t="s">
        <v>1902</v>
      </c>
      <c r="D1129">
        <v>0</v>
      </c>
      <c r="E1129">
        <v>1</v>
      </c>
      <c r="F1129" s="1">
        <v>45800</v>
      </c>
      <c r="G1129">
        <f>_xlfn.XLOOKUP(F1129,'Wk no''s'!B:B,'Wk no''s'!C:C,0)</f>
        <v>21</v>
      </c>
    </row>
    <row r="1130" spans="1:7" x14ac:dyDescent="0.3">
      <c r="A1130" t="s">
        <v>3892</v>
      </c>
      <c r="B1130" t="s">
        <v>3893</v>
      </c>
      <c r="C1130" t="s">
        <v>1298</v>
      </c>
      <c r="D1130">
        <v>0</v>
      </c>
      <c r="E1130">
        <v>1</v>
      </c>
      <c r="F1130" s="1">
        <v>45800</v>
      </c>
      <c r="G1130">
        <f>_xlfn.XLOOKUP(F1130,'Wk no''s'!B:B,'Wk no''s'!C:C,0)</f>
        <v>21</v>
      </c>
    </row>
    <row r="1131" spans="1:7" x14ac:dyDescent="0.3">
      <c r="A1131" t="s">
        <v>3894</v>
      </c>
      <c r="B1131" t="s">
        <v>3895</v>
      </c>
      <c r="C1131" t="s">
        <v>2309</v>
      </c>
      <c r="D1131">
        <v>0</v>
      </c>
      <c r="E1131">
        <v>1</v>
      </c>
      <c r="F1131" s="1">
        <v>45800</v>
      </c>
      <c r="G1131">
        <f>_xlfn.XLOOKUP(F1131,'Wk no''s'!B:B,'Wk no''s'!C:C,0)</f>
        <v>21</v>
      </c>
    </row>
    <row r="1132" spans="1:7" x14ac:dyDescent="0.3">
      <c r="A1132" t="s">
        <v>3896</v>
      </c>
      <c r="B1132" t="s">
        <v>3897</v>
      </c>
      <c r="C1132" t="s">
        <v>3898</v>
      </c>
      <c r="D1132">
        <v>0</v>
      </c>
      <c r="E1132">
        <v>1</v>
      </c>
      <c r="F1132" s="1">
        <v>45800</v>
      </c>
      <c r="G1132">
        <f>_xlfn.XLOOKUP(F1132,'Wk no''s'!B:B,'Wk no''s'!C:C,0)</f>
        <v>21</v>
      </c>
    </row>
    <row r="1133" spans="1:7" x14ac:dyDescent="0.3">
      <c r="A1133" t="s">
        <v>3899</v>
      </c>
      <c r="B1133" t="s">
        <v>3900</v>
      </c>
      <c r="C1133" t="s">
        <v>3901</v>
      </c>
      <c r="D1133">
        <v>0</v>
      </c>
      <c r="E1133">
        <v>1</v>
      </c>
      <c r="F1133" s="1">
        <v>45800</v>
      </c>
      <c r="G1133">
        <f>_xlfn.XLOOKUP(F1133,'Wk no''s'!B:B,'Wk no''s'!C:C,0)</f>
        <v>21</v>
      </c>
    </row>
    <row r="1134" spans="1:7" x14ac:dyDescent="0.3">
      <c r="A1134" t="s">
        <v>3902</v>
      </c>
      <c r="B1134" t="s">
        <v>3903</v>
      </c>
      <c r="C1134" t="s">
        <v>3904</v>
      </c>
      <c r="D1134">
        <v>0</v>
      </c>
      <c r="E1134">
        <v>1</v>
      </c>
      <c r="F1134" s="1">
        <v>45800</v>
      </c>
      <c r="G1134">
        <f>_xlfn.XLOOKUP(F1134,'Wk no''s'!B:B,'Wk no''s'!C:C,0)</f>
        <v>21</v>
      </c>
    </row>
    <row r="1135" spans="1:7" x14ac:dyDescent="0.3">
      <c r="A1135" t="s">
        <v>3905</v>
      </c>
      <c r="B1135" t="s">
        <v>3906</v>
      </c>
      <c r="C1135" t="s">
        <v>3907</v>
      </c>
      <c r="D1135">
        <v>0</v>
      </c>
      <c r="E1135">
        <v>1</v>
      </c>
      <c r="F1135" s="1">
        <v>45800</v>
      </c>
      <c r="G1135">
        <f>_xlfn.XLOOKUP(F1135,'Wk no''s'!B:B,'Wk no''s'!C:C,0)</f>
        <v>21</v>
      </c>
    </row>
    <row r="1136" spans="1:7" x14ac:dyDescent="0.3">
      <c r="A1136" t="s">
        <v>3908</v>
      </c>
      <c r="B1136" t="s">
        <v>3909</v>
      </c>
      <c r="C1136" t="s">
        <v>3716</v>
      </c>
      <c r="D1136">
        <v>1</v>
      </c>
      <c r="E1136">
        <v>1</v>
      </c>
      <c r="F1136" s="1">
        <v>45804</v>
      </c>
      <c r="G1136">
        <f>_xlfn.XLOOKUP(F1136,'Wk no''s'!B:B,'Wk no''s'!C:C,0)</f>
        <v>22</v>
      </c>
    </row>
    <row r="1137" spans="1:7" x14ac:dyDescent="0.3">
      <c r="A1137" t="s">
        <v>3910</v>
      </c>
      <c r="B1137" t="s">
        <v>3911</v>
      </c>
      <c r="C1137" t="s">
        <v>3912</v>
      </c>
      <c r="D1137">
        <v>0</v>
      </c>
      <c r="E1137">
        <v>1</v>
      </c>
      <c r="F1137" s="1">
        <v>45804</v>
      </c>
      <c r="G1137">
        <f>_xlfn.XLOOKUP(F1137,'Wk no''s'!B:B,'Wk no''s'!C:C,0)</f>
        <v>22</v>
      </c>
    </row>
    <row r="1138" spans="1:7" x14ac:dyDescent="0.3">
      <c r="A1138" t="s">
        <v>3913</v>
      </c>
      <c r="B1138" t="s">
        <v>3914</v>
      </c>
      <c r="C1138" t="s">
        <v>3915</v>
      </c>
      <c r="D1138">
        <v>0</v>
      </c>
      <c r="E1138">
        <v>1</v>
      </c>
      <c r="F1138" s="1">
        <v>45804</v>
      </c>
      <c r="G1138">
        <f>_xlfn.XLOOKUP(F1138,'Wk no''s'!B:B,'Wk no''s'!C:C,0)</f>
        <v>22</v>
      </c>
    </row>
    <row r="1139" spans="1:7" x14ac:dyDescent="0.3">
      <c r="A1139" t="s">
        <v>3916</v>
      </c>
      <c r="B1139" t="s">
        <v>3917</v>
      </c>
      <c r="C1139" t="s">
        <v>3918</v>
      </c>
      <c r="D1139">
        <v>16</v>
      </c>
      <c r="E1139">
        <v>0</v>
      </c>
      <c r="F1139" s="1">
        <v>45804</v>
      </c>
      <c r="G1139">
        <f>_xlfn.XLOOKUP(F1139,'Wk no''s'!B:B,'Wk no''s'!C:C,0)</f>
        <v>22</v>
      </c>
    </row>
    <row r="1140" spans="1:7" x14ac:dyDescent="0.3">
      <c r="A1140" t="s">
        <v>3919</v>
      </c>
      <c r="B1140" t="s">
        <v>3920</v>
      </c>
      <c r="C1140" t="s">
        <v>1639</v>
      </c>
      <c r="D1140">
        <v>0</v>
      </c>
      <c r="E1140">
        <v>1</v>
      </c>
      <c r="F1140" s="1">
        <v>45804</v>
      </c>
      <c r="G1140">
        <f>_xlfn.XLOOKUP(F1140,'Wk no''s'!B:B,'Wk no''s'!C:C,0)</f>
        <v>22</v>
      </c>
    </row>
    <row r="1141" spans="1:7" x14ac:dyDescent="0.3">
      <c r="A1141" t="s">
        <v>3921</v>
      </c>
      <c r="C1141" t="s">
        <v>3922</v>
      </c>
      <c r="D1141">
        <v>0</v>
      </c>
      <c r="E1141">
        <v>1</v>
      </c>
      <c r="F1141" s="1">
        <v>45804</v>
      </c>
      <c r="G1141">
        <f>_xlfn.XLOOKUP(F1141,'Wk no''s'!B:B,'Wk no''s'!C:C,0)</f>
        <v>22</v>
      </c>
    </row>
    <row r="1142" spans="1:7" x14ac:dyDescent="0.3">
      <c r="A1142" t="s">
        <v>3923</v>
      </c>
      <c r="B1142" t="s">
        <v>3924</v>
      </c>
      <c r="C1142" t="s">
        <v>3925</v>
      </c>
      <c r="D1142">
        <v>14</v>
      </c>
      <c r="E1142">
        <v>0</v>
      </c>
      <c r="F1142" s="1">
        <v>45804</v>
      </c>
      <c r="G1142">
        <f>_xlfn.XLOOKUP(F1142,'Wk no''s'!B:B,'Wk no''s'!C:C,0)</f>
        <v>22</v>
      </c>
    </row>
    <row r="1143" spans="1:7" x14ac:dyDescent="0.3">
      <c r="A1143" t="s">
        <v>3926</v>
      </c>
      <c r="B1143" t="s">
        <v>3927</v>
      </c>
      <c r="C1143" t="s">
        <v>3928</v>
      </c>
      <c r="D1143">
        <v>4</v>
      </c>
      <c r="E1143">
        <v>1</v>
      </c>
      <c r="F1143" s="1">
        <v>45804</v>
      </c>
      <c r="G1143">
        <f>_xlfn.XLOOKUP(F1143,'Wk no''s'!B:B,'Wk no''s'!C:C,0)</f>
        <v>22</v>
      </c>
    </row>
    <row r="1144" spans="1:7" x14ac:dyDescent="0.3">
      <c r="A1144" t="s">
        <v>3929</v>
      </c>
      <c r="B1144" t="s">
        <v>3930</v>
      </c>
      <c r="C1144" t="s">
        <v>3931</v>
      </c>
      <c r="D1144">
        <v>0</v>
      </c>
      <c r="E1144">
        <v>1</v>
      </c>
      <c r="F1144" s="1">
        <v>45804</v>
      </c>
      <c r="G1144">
        <f>_xlfn.XLOOKUP(F1144,'Wk no''s'!B:B,'Wk no''s'!C:C,0)</f>
        <v>22</v>
      </c>
    </row>
    <row r="1145" spans="1:7" x14ac:dyDescent="0.3">
      <c r="A1145" t="s">
        <v>3932</v>
      </c>
      <c r="B1145" t="s">
        <v>3933</v>
      </c>
      <c r="C1145" t="s">
        <v>249</v>
      </c>
      <c r="D1145">
        <v>0</v>
      </c>
      <c r="E1145">
        <v>1</v>
      </c>
      <c r="F1145" s="1">
        <v>45804</v>
      </c>
      <c r="G1145">
        <f>_xlfn.XLOOKUP(F1145,'Wk no''s'!B:B,'Wk no''s'!C:C,0)</f>
        <v>22</v>
      </c>
    </row>
    <row r="1146" spans="1:7" x14ac:dyDescent="0.3">
      <c r="A1146" t="s">
        <v>3934</v>
      </c>
      <c r="B1146" t="s">
        <v>3935</v>
      </c>
      <c r="C1146" t="s">
        <v>2479</v>
      </c>
      <c r="D1146">
        <v>18</v>
      </c>
      <c r="E1146">
        <v>0</v>
      </c>
      <c r="F1146" s="1">
        <v>45804</v>
      </c>
      <c r="G1146">
        <f>_xlfn.XLOOKUP(F1146,'Wk no''s'!B:B,'Wk no''s'!C:C,0)</f>
        <v>22</v>
      </c>
    </row>
    <row r="1147" spans="1:7" x14ac:dyDescent="0.3">
      <c r="A1147" t="s">
        <v>3936</v>
      </c>
      <c r="B1147" t="s">
        <v>3937</v>
      </c>
      <c r="C1147" t="s">
        <v>3938</v>
      </c>
      <c r="D1147">
        <v>11</v>
      </c>
      <c r="E1147">
        <v>0</v>
      </c>
      <c r="F1147" s="1">
        <v>45804</v>
      </c>
      <c r="G1147">
        <f>_xlfn.XLOOKUP(F1147,'Wk no''s'!B:B,'Wk no''s'!C:C,0)</f>
        <v>22</v>
      </c>
    </row>
    <row r="1148" spans="1:7" x14ac:dyDescent="0.3">
      <c r="A1148" t="s">
        <v>3939</v>
      </c>
      <c r="B1148" t="s">
        <v>3940</v>
      </c>
      <c r="C1148" t="s">
        <v>3922</v>
      </c>
      <c r="D1148">
        <v>0</v>
      </c>
      <c r="E1148">
        <v>1</v>
      </c>
      <c r="F1148" s="1">
        <v>45804</v>
      </c>
      <c r="G1148">
        <f>_xlfn.XLOOKUP(F1148,'Wk no''s'!B:B,'Wk no''s'!C:C,0)</f>
        <v>22</v>
      </c>
    </row>
    <row r="1149" spans="1:7" x14ac:dyDescent="0.3">
      <c r="A1149" t="s">
        <v>3941</v>
      </c>
      <c r="B1149" t="s">
        <v>3942</v>
      </c>
      <c r="C1149" t="s">
        <v>3943</v>
      </c>
      <c r="D1149">
        <v>0</v>
      </c>
      <c r="E1149">
        <v>1</v>
      </c>
      <c r="F1149" s="1">
        <v>45805</v>
      </c>
      <c r="G1149">
        <f>_xlfn.XLOOKUP(F1149,'Wk no''s'!B:B,'Wk no''s'!C:C,0)</f>
        <v>22</v>
      </c>
    </row>
    <row r="1150" spans="1:7" x14ac:dyDescent="0.3">
      <c r="A1150" t="s">
        <v>3944</v>
      </c>
      <c r="B1150" t="s">
        <v>3945</v>
      </c>
      <c r="C1150" t="s">
        <v>3042</v>
      </c>
      <c r="D1150">
        <v>0</v>
      </c>
      <c r="E1150">
        <v>1</v>
      </c>
      <c r="F1150" s="1">
        <v>45805</v>
      </c>
      <c r="G1150">
        <f>_xlfn.XLOOKUP(F1150,'Wk no''s'!B:B,'Wk no''s'!C:C,0)</f>
        <v>22</v>
      </c>
    </row>
    <row r="1151" spans="1:7" x14ac:dyDescent="0.3">
      <c r="A1151" t="s">
        <v>3946</v>
      </c>
      <c r="B1151" t="s">
        <v>3947</v>
      </c>
      <c r="C1151" t="s">
        <v>407</v>
      </c>
      <c r="D1151">
        <v>1</v>
      </c>
      <c r="E1151">
        <v>1</v>
      </c>
      <c r="F1151" s="1">
        <v>45805</v>
      </c>
      <c r="G1151">
        <f>_xlfn.XLOOKUP(F1151,'Wk no''s'!B:B,'Wk no''s'!C:C,0)</f>
        <v>22</v>
      </c>
    </row>
    <row r="1152" spans="1:7" x14ac:dyDescent="0.3">
      <c r="A1152" t="s">
        <v>3948</v>
      </c>
      <c r="B1152" t="s">
        <v>3949</v>
      </c>
      <c r="C1152" t="s">
        <v>3950</v>
      </c>
      <c r="D1152">
        <v>6</v>
      </c>
      <c r="E1152">
        <v>0</v>
      </c>
      <c r="F1152" s="1">
        <v>45805</v>
      </c>
      <c r="G1152">
        <f>_xlfn.XLOOKUP(F1152,'Wk no''s'!B:B,'Wk no''s'!C:C,0)</f>
        <v>22</v>
      </c>
    </row>
    <row r="1153" spans="1:7" x14ac:dyDescent="0.3">
      <c r="A1153" t="s">
        <v>3951</v>
      </c>
      <c r="B1153" t="s">
        <v>3952</v>
      </c>
      <c r="C1153" t="s">
        <v>562</v>
      </c>
      <c r="D1153">
        <v>0</v>
      </c>
      <c r="E1153">
        <v>1</v>
      </c>
      <c r="F1153" s="1">
        <v>45805</v>
      </c>
      <c r="G1153">
        <f>_xlfn.XLOOKUP(F1153,'Wk no''s'!B:B,'Wk no''s'!C:C,0)</f>
        <v>22</v>
      </c>
    </row>
    <row r="1154" spans="1:7" x14ac:dyDescent="0.3">
      <c r="A1154" t="s">
        <v>3953</v>
      </c>
      <c r="B1154" t="s">
        <v>3954</v>
      </c>
      <c r="C1154" t="s">
        <v>3955</v>
      </c>
      <c r="D1154">
        <v>0</v>
      </c>
      <c r="E1154">
        <v>1</v>
      </c>
      <c r="F1154" s="1">
        <v>45805</v>
      </c>
      <c r="G1154">
        <f>_xlfn.XLOOKUP(F1154,'Wk no''s'!B:B,'Wk no''s'!C:C,0)</f>
        <v>22</v>
      </c>
    </row>
    <row r="1155" spans="1:7" x14ac:dyDescent="0.3">
      <c r="A1155" t="s">
        <v>3956</v>
      </c>
      <c r="B1155" t="s">
        <v>3957</v>
      </c>
      <c r="C1155" t="s">
        <v>33</v>
      </c>
      <c r="D1155">
        <v>0</v>
      </c>
      <c r="E1155">
        <v>1</v>
      </c>
      <c r="F1155" s="1">
        <v>45805</v>
      </c>
      <c r="G1155">
        <f>_xlfn.XLOOKUP(F1155,'Wk no''s'!B:B,'Wk no''s'!C:C,0)</f>
        <v>22</v>
      </c>
    </row>
    <row r="1156" spans="1:7" x14ac:dyDescent="0.3">
      <c r="A1156" t="s">
        <v>3958</v>
      </c>
      <c r="B1156" t="s">
        <v>3959</v>
      </c>
      <c r="C1156" t="s">
        <v>3960</v>
      </c>
      <c r="D1156">
        <v>0</v>
      </c>
      <c r="E1156">
        <v>1</v>
      </c>
      <c r="F1156" s="1">
        <v>45805</v>
      </c>
      <c r="G1156">
        <f>_xlfn.XLOOKUP(F1156,'Wk no''s'!B:B,'Wk no''s'!C:C,0)</f>
        <v>22</v>
      </c>
    </row>
    <row r="1157" spans="1:7" x14ac:dyDescent="0.3">
      <c r="A1157" t="s">
        <v>3961</v>
      </c>
      <c r="B1157" t="s">
        <v>3962</v>
      </c>
      <c r="C1157" t="s">
        <v>2451</v>
      </c>
      <c r="D1157">
        <v>0</v>
      </c>
      <c r="E1157">
        <v>1</v>
      </c>
      <c r="F1157" s="1">
        <v>45805</v>
      </c>
      <c r="G1157">
        <f>_xlfn.XLOOKUP(F1157,'Wk no''s'!B:B,'Wk no''s'!C:C,0)</f>
        <v>22</v>
      </c>
    </row>
    <row r="1158" spans="1:7" x14ac:dyDescent="0.3">
      <c r="A1158" t="s">
        <v>3963</v>
      </c>
      <c r="B1158" t="s">
        <v>3964</v>
      </c>
      <c r="C1158" t="s">
        <v>3965</v>
      </c>
      <c r="D1158">
        <v>0</v>
      </c>
      <c r="E1158">
        <v>1</v>
      </c>
      <c r="F1158" s="1">
        <v>45806</v>
      </c>
      <c r="G1158">
        <f>_xlfn.XLOOKUP(F1158,'Wk no''s'!B:B,'Wk no''s'!C:C,0)</f>
        <v>22</v>
      </c>
    </row>
    <row r="1159" spans="1:7" x14ac:dyDescent="0.3">
      <c r="A1159" t="s">
        <v>3966</v>
      </c>
      <c r="B1159" t="s">
        <v>3967</v>
      </c>
      <c r="C1159" t="s">
        <v>3968</v>
      </c>
      <c r="D1159">
        <v>54</v>
      </c>
      <c r="E1159">
        <v>0</v>
      </c>
      <c r="F1159" s="1">
        <v>45806</v>
      </c>
      <c r="G1159">
        <f>_xlfn.XLOOKUP(F1159,'Wk no''s'!B:B,'Wk no''s'!C:C,0)</f>
        <v>22</v>
      </c>
    </row>
    <row r="1160" spans="1:7" x14ac:dyDescent="0.3">
      <c r="A1160" t="s">
        <v>3969</v>
      </c>
      <c r="B1160" t="s">
        <v>3970</v>
      </c>
      <c r="C1160" t="s">
        <v>3971</v>
      </c>
      <c r="D1160">
        <v>0</v>
      </c>
      <c r="E1160">
        <v>1</v>
      </c>
      <c r="F1160" s="1">
        <v>45806</v>
      </c>
      <c r="G1160">
        <f>_xlfn.XLOOKUP(F1160,'Wk no''s'!B:B,'Wk no''s'!C:C,0)</f>
        <v>22</v>
      </c>
    </row>
    <row r="1161" spans="1:7" x14ac:dyDescent="0.3">
      <c r="A1161" t="s">
        <v>3972</v>
      </c>
      <c r="B1161" t="s">
        <v>3973</v>
      </c>
      <c r="C1161" t="s">
        <v>1693</v>
      </c>
      <c r="D1161">
        <v>0</v>
      </c>
      <c r="E1161">
        <v>1</v>
      </c>
      <c r="F1161" s="1">
        <v>45806</v>
      </c>
      <c r="G1161">
        <f>_xlfn.XLOOKUP(F1161,'Wk no''s'!B:B,'Wk no''s'!C:C,0)</f>
        <v>22</v>
      </c>
    </row>
    <row r="1162" spans="1:7" x14ac:dyDescent="0.3">
      <c r="A1162" t="s">
        <v>3974</v>
      </c>
      <c r="B1162" t="s">
        <v>3975</v>
      </c>
      <c r="C1162" t="s">
        <v>2946</v>
      </c>
      <c r="D1162">
        <v>0</v>
      </c>
      <c r="E1162">
        <v>1</v>
      </c>
      <c r="F1162" s="1">
        <v>45806</v>
      </c>
      <c r="G1162">
        <f>_xlfn.XLOOKUP(F1162,'Wk no''s'!B:B,'Wk no''s'!C:C,0)</f>
        <v>22</v>
      </c>
    </row>
    <row r="1163" spans="1:7" x14ac:dyDescent="0.3">
      <c r="A1163" t="s">
        <v>3976</v>
      </c>
      <c r="B1163" t="s">
        <v>3977</v>
      </c>
      <c r="C1163" t="s">
        <v>3978</v>
      </c>
      <c r="D1163">
        <v>18</v>
      </c>
      <c r="E1163">
        <v>0</v>
      </c>
      <c r="F1163" s="1">
        <v>45806</v>
      </c>
      <c r="G1163">
        <f>_xlfn.XLOOKUP(F1163,'Wk no''s'!B:B,'Wk no''s'!C:C,0)</f>
        <v>22</v>
      </c>
    </row>
    <row r="1164" spans="1:7" x14ac:dyDescent="0.3">
      <c r="A1164" t="s">
        <v>3979</v>
      </c>
      <c r="B1164" t="s">
        <v>3980</v>
      </c>
      <c r="C1164" t="s">
        <v>3981</v>
      </c>
      <c r="D1164">
        <v>10</v>
      </c>
      <c r="E1164">
        <v>0</v>
      </c>
      <c r="F1164" s="1">
        <v>45806</v>
      </c>
      <c r="G1164">
        <f>_xlfn.XLOOKUP(F1164,'Wk no''s'!B:B,'Wk no''s'!C:C,0)</f>
        <v>22</v>
      </c>
    </row>
    <row r="1165" spans="1:7" x14ac:dyDescent="0.3">
      <c r="A1165" t="s">
        <v>3982</v>
      </c>
      <c r="C1165" t="s">
        <v>3931</v>
      </c>
      <c r="D1165">
        <v>0</v>
      </c>
      <c r="E1165">
        <v>1</v>
      </c>
      <c r="F1165" s="1">
        <v>45806</v>
      </c>
      <c r="G1165">
        <f>_xlfn.XLOOKUP(F1165,'Wk no''s'!B:B,'Wk no''s'!C:C,0)</f>
        <v>22</v>
      </c>
    </row>
    <row r="1166" spans="1:7" x14ac:dyDescent="0.3">
      <c r="A1166" t="s">
        <v>3983</v>
      </c>
      <c r="B1166" t="s">
        <v>3984</v>
      </c>
      <c r="C1166" t="s">
        <v>2421</v>
      </c>
      <c r="D1166">
        <v>0</v>
      </c>
      <c r="E1166">
        <v>1</v>
      </c>
      <c r="F1166" s="1">
        <v>45806</v>
      </c>
      <c r="G1166">
        <f>_xlfn.XLOOKUP(F1166,'Wk no''s'!B:B,'Wk no''s'!C:C,0)</f>
        <v>22</v>
      </c>
    </row>
    <row r="1167" spans="1:7" x14ac:dyDescent="0.3">
      <c r="A1167" t="s">
        <v>3985</v>
      </c>
      <c r="B1167" t="s">
        <v>3986</v>
      </c>
      <c r="C1167" t="s">
        <v>3987</v>
      </c>
      <c r="D1167">
        <v>17</v>
      </c>
      <c r="E1167">
        <v>0</v>
      </c>
      <c r="F1167" s="1">
        <v>45806</v>
      </c>
      <c r="G1167">
        <f>_xlfn.XLOOKUP(F1167,'Wk no''s'!B:B,'Wk no''s'!C:C,0)</f>
        <v>22</v>
      </c>
    </row>
    <row r="1168" spans="1:7" x14ac:dyDescent="0.3">
      <c r="A1168" t="s">
        <v>3988</v>
      </c>
      <c r="B1168" t="s">
        <v>3989</v>
      </c>
      <c r="C1168" t="s">
        <v>3987</v>
      </c>
      <c r="D1168">
        <v>42</v>
      </c>
      <c r="E1168">
        <v>0</v>
      </c>
      <c r="F1168" s="1">
        <v>45806</v>
      </c>
      <c r="G1168">
        <f>_xlfn.XLOOKUP(F1168,'Wk no''s'!B:B,'Wk no''s'!C:C,0)</f>
        <v>22</v>
      </c>
    </row>
    <row r="1169" spans="1:7" x14ac:dyDescent="0.3">
      <c r="A1169" t="s">
        <v>3990</v>
      </c>
      <c r="B1169" t="s">
        <v>3991</v>
      </c>
      <c r="C1169" t="s">
        <v>10</v>
      </c>
      <c r="D1169">
        <v>0</v>
      </c>
      <c r="E1169">
        <v>1</v>
      </c>
      <c r="F1169" s="1">
        <v>45806</v>
      </c>
      <c r="G1169">
        <f>_xlfn.XLOOKUP(F1169,'Wk no''s'!B:B,'Wk no''s'!C:C,0)</f>
        <v>22</v>
      </c>
    </row>
    <row r="1170" spans="1:7" x14ac:dyDescent="0.3">
      <c r="A1170" t="s">
        <v>3992</v>
      </c>
      <c r="C1170" t="s">
        <v>3993</v>
      </c>
      <c r="D1170">
        <v>92</v>
      </c>
      <c r="E1170">
        <v>0</v>
      </c>
      <c r="F1170" s="1">
        <v>45806</v>
      </c>
      <c r="G1170">
        <f>_xlfn.XLOOKUP(F1170,'Wk no''s'!B:B,'Wk no''s'!C:C,0)</f>
        <v>22</v>
      </c>
    </row>
    <row r="1171" spans="1:7" x14ac:dyDescent="0.3">
      <c r="A1171" t="s">
        <v>3994</v>
      </c>
      <c r="B1171" t="s">
        <v>3995</v>
      </c>
      <c r="C1171" t="s">
        <v>2037</v>
      </c>
      <c r="D1171">
        <v>8</v>
      </c>
      <c r="E1171">
        <v>0</v>
      </c>
      <c r="F1171" s="1">
        <v>45807</v>
      </c>
      <c r="G1171">
        <f>_xlfn.XLOOKUP(F1171,'Wk no''s'!B:B,'Wk no''s'!C:C,0)</f>
        <v>22</v>
      </c>
    </row>
    <row r="1172" spans="1:7" x14ac:dyDescent="0.3">
      <c r="A1172" t="s">
        <v>3996</v>
      </c>
      <c r="B1172" t="s">
        <v>3997</v>
      </c>
      <c r="C1172" t="s">
        <v>3998</v>
      </c>
      <c r="D1172">
        <v>0</v>
      </c>
      <c r="E1172">
        <v>1</v>
      </c>
      <c r="F1172" s="1">
        <v>45807</v>
      </c>
      <c r="G1172">
        <f>_xlfn.XLOOKUP(F1172,'Wk no''s'!B:B,'Wk no''s'!C:C,0)</f>
        <v>22</v>
      </c>
    </row>
    <row r="1173" spans="1:7" x14ac:dyDescent="0.3">
      <c r="A1173" t="s">
        <v>3999</v>
      </c>
      <c r="B1173" t="s">
        <v>4000</v>
      </c>
      <c r="C1173" t="s">
        <v>1322</v>
      </c>
      <c r="D1173">
        <v>0</v>
      </c>
      <c r="E1173">
        <v>1</v>
      </c>
      <c r="F1173" s="1">
        <v>45807</v>
      </c>
      <c r="G1173">
        <f>_xlfn.XLOOKUP(F1173,'Wk no''s'!B:B,'Wk no''s'!C:C,0)</f>
        <v>22</v>
      </c>
    </row>
    <row r="1174" spans="1:7" x14ac:dyDescent="0.3">
      <c r="A1174" t="s">
        <v>4001</v>
      </c>
      <c r="B1174" t="s">
        <v>4002</v>
      </c>
      <c r="C1174" t="s">
        <v>3855</v>
      </c>
      <c r="D1174">
        <v>0</v>
      </c>
      <c r="E1174">
        <v>1</v>
      </c>
      <c r="F1174" s="1">
        <v>45807</v>
      </c>
      <c r="G1174">
        <f>_xlfn.XLOOKUP(F1174,'Wk no''s'!B:B,'Wk no''s'!C:C,0)</f>
        <v>22</v>
      </c>
    </row>
    <row r="1175" spans="1:7" x14ac:dyDescent="0.3">
      <c r="A1175" t="s">
        <v>4003</v>
      </c>
      <c r="B1175" t="s">
        <v>4004</v>
      </c>
      <c r="C1175" t="s">
        <v>2681</v>
      </c>
      <c r="D1175">
        <v>0</v>
      </c>
      <c r="E1175">
        <v>1</v>
      </c>
      <c r="F1175" s="1">
        <v>45807</v>
      </c>
      <c r="G1175">
        <f>_xlfn.XLOOKUP(F1175,'Wk no''s'!B:B,'Wk no''s'!C:C,0)</f>
        <v>22</v>
      </c>
    </row>
    <row r="1176" spans="1:7" x14ac:dyDescent="0.3">
      <c r="A1176" t="s">
        <v>4005</v>
      </c>
      <c r="B1176" t="s">
        <v>4006</v>
      </c>
      <c r="C1176" t="s">
        <v>4007</v>
      </c>
      <c r="D1176">
        <v>0</v>
      </c>
      <c r="E1176">
        <v>1</v>
      </c>
      <c r="F1176" s="1">
        <v>45807</v>
      </c>
      <c r="G1176">
        <f>_xlfn.XLOOKUP(F1176,'Wk no''s'!B:B,'Wk no''s'!C:C,0)</f>
        <v>22</v>
      </c>
    </row>
    <row r="1177" spans="1:7" x14ac:dyDescent="0.3">
      <c r="A1177" t="s">
        <v>4008</v>
      </c>
      <c r="B1177" t="s">
        <v>4009</v>
      </c>
      <c r="C1177" t="s">
        <v>315</v>
      </c>
      <c r="D1177">
        <v>0</v>
      </c>
      <c r="E1177">
        <v>1</v>
      </c>
      <c r="F1177" s="1">
        <v>45807</v>
      </c>
      <c r="G1177">
        <f>_xlfn.XLOOKUP(F1177,'Wk no''s'!B:B,'Wk no''s'!C:C,0)</f>
        <v>22</v>
      </c>
    </row>
    <row r="1178" spans="1:7" x14ac:dyDescent="0.3">
      <c r="A1178" t="s">
        <v>4010</v>
      </c>
      <c r="B1178" t="s">
        <v>4011</v>
      </c>
      <c r="C1178" t="s">
        <v>75</v>
      </c>
      <c r="D1178">
        <v>0</v>
      </c>
      <c r="E1178">
        <v>1</v>
      </c>
      <c r="F1178" s="1">
        <v>45807</v>
      </c>
      <c r="G1178">
        <f>_xlfn.XLOOKUP(F1178,'Wk no''s'!B:B,'Wk no''s'!C:C,0)</f>
        <v>22</v>
      </c>
    </row>
    <row r="1179" spans="1:7" x14ac:dyDescent="0.3">
      <c r="A1179" t="s">
        <v>4012</v>
      </c>
      <c r="B1179" t="s">
        <v>4013</v>
      </c>
      <c r="C1179" t="s">
        <v>6736</v>
      </c>
      <c r="D1179">
        <v>17</v>
      </c>
      <c r="E1179">
        <v>0</v>
      </c>
      <c r="F1179" s="1">
        <v>45807</v>
      </c>
      <c r="G1179">
        <f>_xlfn.XLOOKUP(F1179,'Wk no''s'!B:B,'Wk no''s'!C:C,0)</f>
        <v>22</v>
      </c>
    </row>
    <row r="1180" spans="1:7" x14ac:dyDescent="0.3">
      <c r="A1180" t="s">
        <v>4014</v>
      </c>
      <c r="B1180" t="s">
        <v>4015</v>
      </c>
      <c r="C1180" t="s">
        <v>1456</v>
      </c>
      <c r="D1180">
        <v>32</v>
      </c>
      <c r="E1180">
        <v>0</v>
      </c>
      <c r="F1180" s="1">
        <v>45807</v>
      </c>
      <c r="G1180">
        <f>_xlfn.XLOOKUP(F1180,'Wk no''s'!B:B,'Wk no''s'!C:C,0)</f>
        <v>22</v>
      </c>
    </row>
    <row r="1181" spans="1:7" x14ac:dyDescent="0.3">
      <c r="A1181" t="s">
        <v>4016</v>
      </c>
      <c r="B1181" t="s">
        <v>4017</v>
      </c>
      <c r="C1181" t="s">
        <v>4018</v>
      </c>
      <c r="D1181">
        <v>5</v>
      </c>
      <c r="E1181">
        <v>1</v>
      </c>
      <c r="F1181" s="1">
        <v>45807</v>
      </c>
      <c r="G1181">
        <f>_xlfn.XLOOKUP(F1181,'Wk no''s'!B:B,'Wk no''s'!C:C,0)</f>
        <v>22</v>
      </c>
    </row>
    <row r="1182" spans="1:7" x14ac:dyDescent="0.3">
      <c r="A1182" t="s">
        <v>4019</v>
      </c>
      <c r="B1182" t="s">
        <v>4020</v>
      </c>
      <c r="C1182" t="s">
        <v>5353</v>
      </c>
      <c r="D1182">
        <v>8</v>
      </c>
      <c r="E1182">
        <v>0</v>
      </c>
      <c r="F1182" s="1">
        <v>45807</v>
      </c>
      <c r="G1182">
        <f>_xlfn.XLOOKUP(F1182,'Wk no''s'!B:B,'Wk no''s'!C:C,0)</f>
        <v>22</v>
      </c>
    </row>
    <row r="1183" spans="1:7" x14ac:dyDescent="0.3">
      <c r="A1183" t="s">
        <v>4054</v>
      </c>
      <c r="B1183" t="s">
        <v>4055</v>
      </c>
      <c r="C1183" t="s">
        <v>2840</v>
      </c>
      <c r="D1183">
        <v>1</v>
      </c>
      <c r="E1183">
        <v>1</v>
      </c>
      <c r="F1183" s="1">
        <v>45810</v>
      </c>
      <c r="G1183">
        <f>_xlfn.XLOOKUP(F1183,'Wk no''s'!B:B,'Wk no''s'!C:C,0)</f>
        <v>23</v>
      </c>
    </row>
    <row r="1184" spans="1:7" x14ac:dyDescent="0.3">
      <c r="A1184" t="s">
        <v>4056</v>
      </c>
      <c r="B1184" t="s">
        <v>4057</v>
      </c>
      <c r="C1184" t="s">
        <v>3644</v>
      </c>
      <c r="D1184">
        <v>0</v>
      </c>
      <c r="E1184">
        <v>1</v>
      </c>
      <c r="F1184" s="1">
        <v>45810</v>
      </c>
      <c r="G1184">
        <f>_xlfn.XLOOKUP(F1184,'Wk no''s'!B:B,'Wk no''s'!C:C,0)</f>
        <v>23</v>
      </c>
    </row>
    <row r="1185" spans="1:7" x14ac:dyDescent="0.3">
      <c r="A1185" t="s">
        <v>4058</v>
      </c>
      <c r="B1185" t="s">
        <v>4059</v>
      </c>
      <c r="C1185" t="s">
        <v>1194</v>
      </c>
      <c r="D1185">
        <v>0</v>
      </c>
      <c r="E1185">
        <v>1</v>
      </c>
      <c r="F1185" s="1">
        <v>45810</v>
      </c>
      <c r="G1185">
        <f>_xlfn.XLOOKUP(F1185,'Wk no''s'!B:B,'Wk no''s'!C:C,0)</f>
        <v>23</v>
      </c>
    </row>
    <row r="1186" spans="1:7" x14ac:dyDescent="0.3">
      <c r="A1186" t="s">
        <v>4060</v>
      </c>
      <c r="B1186" t="s">
        <v>4061</v>
      </c>
      <c r="C1186" t="s">
        <v>4062</v>
      </c>
      <c r="D1186">
        <v>0</v>
      </c>
      <c r="E1186">
        <v>1</v>
      </c>
      <c r="F1186" s="1">
        <v>45811</v>
      </c>
      <c r="G1186">
        <f>_xlfn.XLOOKUP(F1186,'Wk no''s'!B:B,'Wk no''s'!C:C,0)</f>
        <v>23</v>
      </c>
    </row>
    <row r="1187" spans="1:7" x14ac:dyDescent="0.3">
      <c r="A1187" t="s">
        <v>4063</v>
      </c>
      <c r="B1187" t="s">
        <v>4064</v>
      </c>
      <c r="C1187" t="s">
        <v>3212</v>
      </c>
      <c r="D1187">
        <v>0</v>
      </c>
      <c r="E1187">
        <v>1</v>
      </c>
      <c r="F1187" s="1">
        <v>45811</v>
      </c>
      <c r="G1187">
        <f>_xlfn.XLOOKUP(F1187,'Wk no''s'!B:B,'Wk no''s'!C:C,0)</f>
        <v>23</v>
      </c>
    </row>
    <row r="1188" spans="1:7" x14ac:dyDescent="0.3">
      <c r="A1188" t="s">
        <v>4065</v>
      </c>
      <c r="B1188" t="s">
        <v>4066</v>
      </c>
      <c r="C1188" t="s">
        <v>39</v>
      </c>
      <c r="D1188">
        <v>0</v>
      </c>
      <c r="E1188">
        <v>1</v>
      </c>
      <c r="F1188" s="1">
        <v>45811</v>
      </c>
      <c r="G1188">
        <f>_xlfn.XLOOKUP(F1188,'Wk no''s'!B:B,'Wk no''s'!C:C,0)</f>
        <v>23</v>
      </c>
    </row>
    <row r="1189" spans="1:7" x14ac:dyDescent="0.3">
      <c r="A1189" t="s">
        <v>4067</v>
      </c>
      <c r="B1189" t="s">
        <v>4068</v>
      </c>
      <c r="C1189" t="s">
        <v>2270</v>
      </c>
      <c r="D1189">
        <v>37</v>
      </c>
      <c r="E1189">
        <v>0</v>
      </c>
      <c r="F1189" s="1">
        <v>45812</v>
      </c>
      <c r="G1189">
        <f>_xlfn.XLOOKUP(F1189,'Wk no''s'!B:B,'Wk no''s'!C:C,0)</f>
        <v>23</v>
      </c>
    </row>
    <row r="1190" spans="1:7" x14ac:dyDescent="0.3">
      <c r="A1190" t="s">
        <v>4069</v>
      </c>
      <c r="B1190" t="s">
        <v>4070</v>
      </c>
      <c r="C1190" t="s">
        <v>4071</v>
      </c>
      <c r="D1190">
        <v>0</v>
      </c>
      <c r="E1190">
        <v>1</v>
      </c>
      <c r="F1190" s="1">
        <v>45812</v>
      </c>
      <c r="G1190">
        <f>_xlfn.XLOOKUP(F1190,'Wk no''s'!B:B,'Wk no''s'!C:C,0)</f>
        <v>23</v>
      </c>
    </row>
    <row r="1191" spans="1:7" x14ac:dyDescent="0.3">
      <c r="A1191" t="s">
        <v>4072</v>
      </c>
      <c r="B1191" t="s">
        <v>4073</v>
      </c>
      <c r="C1191" t="s">
        <v>4074</v>
      </c>
      <c r="D1191">
        <v>3</v>
      </c>
      <c r="E1191">
        <v>1</v>
      </c>
      <c r="F1191" s="1">
        <v>45812</v>
      </c>
      <c r="G1191">
        <f>_xlfn.XLOOKUP(F1191,'Wk no''s'!B:B,'Wk no''s'!C:C,0)</f>
        <v>23</v>
      </c>
    </row>
    <row r="1192" spans="1:7" x14ac:dyDescent="0.3">
      <c r="A1192" t="s">
        <v>4075</v>
      </c>
      <c r="B1192" t="s">
        <v>4076</v>
      </c>
      <c r="C1192" t="s">
        <v>2630</v>
      </c>
      <c r="D1192">
        <v>0</v>
      </c>
      <c r="E1192">
        <v>1</v>
      </c>
      <c r="F1192" s="1">
        <v>45812</v>
      </c>
      <c r="G1192">
        <f>_xlfn.XLOOKUP(F1192,'Wk no''s'!B:B,'Wk no''s'!C:C,0)</f>
        <v>23</v>
      </c>
    </row>
    <row r="1193" spans="1:7" x14ac:dyDescent="0.3">
      <c r="A1193" t="s">
        <v>4077</v>
      </c>
      <c r="B1193" t="s">
        <v>4078</v>
      </c>
      <c r="C1193" t="s">
        <v>4079</v>
      </c>
      <c r="D1193">
        <v>0</v>
      </c>
      <c r="E1193">
        <v>1</v>
      </c>
      <c r="F1193" s="1">
        <v>45812</v>
      </c>
      <c r="G1193">
        <f>_xlfn.XLOOKUP(F1193,'Wk no''s'!B:B,'Wk no''s'!C:C,0)</f>
        <v>23</v>
      </c>
    </row>
    <row r="1194" spans="1:7" x14ac:dyDescent="0.3">
      <c r="A1194" t="s">
        <v>4080</v>
      </c>
      <c r="B1194" t="s">
        <v>4081</v>
      </c>
      <c r="C1194" t="s">
        <v>4082</v>
      </c>
      <c r="D1194">
        <v>1</v>
      </c>
      <c r="E1194">
        <v>1</v>
      </c>
      <c r="F1194" s="1">
        <v>45812</v>
      </c>
      <c r="G1194">
        <f>_xlfn.XLOOKUP(F1194,'Wk no''s'!B:B,'Wk no''s'!C:C,0)</f>
        <v>23</v>
      </c>
    </row>
    <row r="1195" spans="1:7" x14ac:dyDescent="0.3">
      <c r="A1195" t="s">
        <v>4083</v>
      </c>
      <c r="B1195" t="s">
        <v>4084</v>
      </c>
      <c r="C1195" t="s">
        <v>4085</v>
      </c>
      <c r="D1195">
        <v>6</v>
      </c>
      <c r="E1195">
        <v>0</v>
      </c>
      <c r="F1195" s="1">
        <v>45812</v>
      </c>
      <c r="G1195">
        <f>_xlfn.XLOOKUP(F1195,'Wk no''s'!B:B,'Wk no''s'!C:C,0)</f>
        <v>23</v>
      </c>
    </row>
    <row r="1196" spans="1:7" x14ac:dyDescent="0.3">
      <c r="A1196" t="s">
        <v>4086</v>
      </c>
      <c r="B1196" t="s">
        <v>4087</v>
      </c>
      <c r="C1196" t="s">
        <v>4088</v>
      </c>
      <c r="D1196">
        <v>0</v>
      </c>
      <c r="E1196">
        <v>1</v>
      </c>
      <c r="F1196" s="1">
        <v>45812</v>
      </c>
      <c r="G1196">
        <f>_xlfn.XLOOKUP(F1196,'Wk no''s'!B:B,'Wk no''s'!C:C,0)</f>
        <v>23</v>
      </c>
    </row>
    <row r="1197" spans="1:7" x14ac:dyDescent="0.3">
      <c r="A1197" t="s">
        <v>4089</v>
      </c>
      <c r="B1197" t="s">
        <v>4090</v>
      </c>
      <c r="C1197" t="s">
        <v>38</v>
      </c>
      <c r="D1197">
        <v>8</v>
      </c>
      <c r="E1197">
        <v>0</v>
      </c>
      <c r="F1197" s="1">
        <v>45812</v>
      </c>
      <c r="G1197">
        <f>_xlfn.XLOOKUP(F1197,'Wk no''s'!B:B,'Wk no''s'!C:C,0)</f>
        <v>23</v>
      </c>
    </row>
    <row r="1198" spans="1:7" x14ac:dyDescent="0.3">
      <c r="A1198" t="s">
        <v>4091</v>
      </c>
      <c r="B1198" t="s">
        <v>4092</v>
      </c>
      <c r="C1198" t="s">
        <v>4353</v>
      </c>
      <c r="D1198">
        <v>0</v>
      </c>
      <c r="E1198">
        <v>1</v>
      </c>
      <c r="F1198" s="1">
        <v>45812</v>
      </c>
      <c r="G1198">
        <f>_xlfn.XLOOKUP(F1198,'Wk no''s'!B:B,'Wk no''s'!C:C,0)</f>
        <v>23</v>
      </c>
    </row>
    <row r="1199" spans="1:7" x14ac:dyDescent="0.3">
      <c r="A1199" t="s">
        <v>4093</v>
      </c>
      <c r="B1199" t="s">
        <v>4094</v>
      </c>
      <c r="C1199" t="s">
        <v>4095</v>
      </c>
      <c r="D1199">
        <v>10</v>
      </c>
      <c r="E1199">
        <v>0</v>
      </c>
      <c r="F1199" s="1">
        <v>45813</v>
      </c>
      <c r="G1199">
        <f>_xlfn.XLOOKUP(F1199,'Wk no''s'!B:B,'Wk no''s'!C:C,0)</f>
        <v>23</v>
      </c>
    </row>
    <row r="1200" spans="1:7" x14ac:dyDescent="0.3">
      <c r="A1200" t="s">
        <v>4096</v>
      </c>
      <c r="B1200" t="s">
        <v>4097</v>
      </c>
      <c r="C1200" t="s">
        <v>4098</v>
      </c>
      <c r="D1200">
        <v>12</v>
      </c>
      <c r="E1200">
        <v>0</v>
      </c>
      <c r="F1200" s="1">
        <v>45813</v>
      </c>
      <c r="G1200">
        <f>_xlfn.XLOOKUP(F1200,'Wk no''s'!B:B,'Wk no''s'!C:C,0)</f>
        <v>23</v>
      </c>
    </row>
    <row r="1201" spans="1:7" x14ac:dyDescent="0.3">
      <c r="A1201" t="s">
        <v>4099</v>
      </c>
      <c r="C1201" t="s">
        <v>4100</v>
      </c>
      <c r="D1201">
        <v>85</v>
      </c>
      <c r="E1201">
        <v>0</v>
      </c>
      <c r="F1201" s="1">
        <v>45813</v>
      </c>
      <c r="G1201">
        <f>_xlfn.XLOOKUP(F1201,'Wk no''s'!B:B,'Wk no''s'!C:C,0)</f>
        <v>23</v>
      </c>
    </row>
    <row r="1202" spans="1:7" x14ac:dyDescent="0.3">
      <c r="A1202" t="s">
        <v>4101</v>
      </c>
      <c r="B1202" t="s">
        <v>4102</v>
      </c>
      <c r="C1202" t="s">
        <v>1224</v>
      </c>
      <c r="D1202">
        <v>0</v>
      </c>
      <c r="E1202">
        <v>1</v>
      </c>
      <c r="F1202" s="1">
        <v>45813</v>
      </c>
      <c r="G1202">
        <f>_xlfn.XLOOKUP(F1202,'Wk no''s'!B:B,'Wk no''s'!C:C,0)</f>
        <v>23</v>
      </c>
    </row>
    <row r="1203" spans="1:7" x14ac:dyDescent="0.3">
      <c r="A1203" t="s">
        <v>4103</v>
      </c>
      <c r="B1203" t="s">
        <v>4104</v>
      </c>
      <c r="C1203" t="s">
        <v>4105</v>
      </c>
      <c r="D1203">
        <v>0</v>
      </c>
      <c r="E1203">
        <v>1</v>
      </c>
      <c r="F1203" s="1">
        <v>45813</v>
      </c>
      <c r="G1203">
        <f>_xlfn.XLOOKUP(F1203,'Wk no''s'!B:B,'Wk no''s'!C:C,0)</f>
        <v>23</v>
      </c>
    </row>
    <row r="1204" spans="1:7" x14ac:dyDescent="0.3">
      <c r="A1204" t="s">
        <v>4106</v>
      </c>
      <c r="B1204" t="s">
        <v>4107</v>
      </c>
      <c r="C1204" t="s">
        <v>4108</v>
      </c>
      <c r="D1204">
        <v>0</v>
      </c>
      <c r="E1204">
        <v>1</v>
      </c>
      <c r="F1204" s="1">
        <v>45813</v>
      </c>
      <c r="G1204">
        <f>_xlfn.XLOOKUP(F1204,'Wk no''s'!B:B,'Wk no''s'!C:C,0)</f>
        <v>23</v>
      </c>
    </row>
    <row r="1205" spans="1:7" x14ac:dyDescent="0.3">
      <c r="A1205" t="s">
        <v>4109</v>
      </c>
      <c r="B1205" t="s">
        <v>4110</v>
      </c>
      <c r="C1205" t="s">
        <v>4111</v>
      </c>
      <c r="D1205">
        <v>1</v>
      </c>
      <c r="E1205">
        <v>1</v>
      </c>
      <c r="F1205" s="1">
        <v>45813</v>
      </c>
      <c r="G1205">
        <f>_xlfn.XLOOKUP(F1205,'Wk no''s'!B:B,'Wk no''s'!C:C,0)</f>
        <v>23</v>
      </c>
    </row>
    <row r="1206" spans="1:7" x14ac:dyDescent="0.3">
      <c r="A1206" t="s">
        <v>4112</v>
      </c>
      <c r="B1206" t="s">
        <v>4113</v>
      </c>
      <c r="C1206" t="s">
        <v>1544</v>
      </c>
      <c r="D1206">
        <v>0</v>
      </c>
      <c r="E1206">
        <v>1</v>
      </c>
      <c r="F1206" s="1">
        <v>45813</v>
      </c>
      <c r="G1206">
        <f>_xlfn.XLOOKUP(F1206,'Wk no''s'!B:B,'Wk no''s'!C:C,0)</f>
        <v>23</v>
      </c>
    </row>
    <row r="1207" spans="1:7" x14ac:dyDescent="0.3">
      <c r="A1207" t="s">
        <v>4114</v>
      </c>
      <c r="B1207" t="s">
        <v>4115</v>
      </c>
      <c r="C1207" t="s">
        <v>1194</v>
      </c>
      <c r="D1207">
        <v>0</v>
      </c>
      <c r="E1207">
        <v>1</v>
      </c>
      <c r="F1207" s="1">
        <v>45813</v>
      </c>
      <c r="G1207">
        <f>_xlfn.XLOOKUP(F1207,'Wk no''s'!B:B,'Wk no''s'!C:C,0)</f>
        <v>23</v>
      </c>
    </row>
    <row r="1208" spans="1:7" x14ac:dyDescent="0.3">
      <c r="A1208" t="s">
        <v>4116</v>
      </c>
      <c r="B1208" t="s">
        <v>4117</v>
      </c>
      <c r="C1208" t="s">
        <v>2270</v>
      </c>
      <c r="D1208">
        <v>3</v>
      </c>
      <c r="E1208">
        <v>1</v>
      </c>
      <c r="F1208" s="1">
        <v>45813</v>
      </c>
      <c r="G1208">
        <f>_xlfn.XLOOKUP(F1208,'Wk no''s'!B:B,'Wk no''s'!C:C,0)</f>
        <v>23</v>
      </c>
    </row>
    <row r="1209" spans="1:7" x14ac:dyDescent="0.3">
      <c r="A1209" t="s">
        <v>4118</v>
      </c>
      <c r="B1209" t="s">
        <v>4119</v>
      </c>
      <c r="C1209" t="s">
        <v>1693</v>
      </c>
      <c r="D1209">
        <v>17</v>
      </c>
      <c r="E1209">
        <v>0</v>
      </c>
      <c r="F1209" s="1">
        <v>45813</v>
      </c>
      <c r="G1209">
        <f>_xlfn.XLOOKUP(F1209,'Wk no''s'!B:B,'Wk no''s'!C:C,0)</f>
        <v>23</v>
      </c>
    </row>
    <row r="1210" spans="1:7" x14ac:dyDescent="0.3">
      <c r="A1210" t="s">
        <v>4120</v>
      </c>
      <c r="B1210" t="s">
        <v>4121</v>
      </c>
      <c r="C1210" t="s">
        <v>2259</v>
      </c>
      <c r="D1210">
        <v>7</v>
      </c>
      <c r="E1210">
        <v>0</v>
      </c>
      <c r="F1210" s="1">
        <v>45813</v>
      </c>
      <c r="G1210">
        <f>_xlfn.XLOOKUP(F1210,'Wk no''s'!B:B,'Wk no''s'!C:C,0)</f>
        <v>23</v>
      </c>
    </row>
    <row r="1211" spans="1:7" x14ac:dyDescent="0.3">
      <c r="A1211" t="s">
        <v>4122</v>
      </c>
      <c r="B1211" t="s">
        <v>4123</v>
      </c>
      <c r="C1211" t="s">
        <v>3285</v>
      </c>
      <c r="D1211">
        <v>0</v>
      </c>
      <c r="E1211">
        <v>1</v>
      </c>
      <c r="F1211" s="1">
        <v>45814</v>
      </c>
      <c r="G1211">
        <f>_xlfn.XLOOKUP(F1211,'Wk no''s'!B:B,'Wk no''s'!C:C,0)</f>
        <v>23</v>
      </c>
    </row>
    <row r="1212" spans="1:7" x14ac:dyDescent="0.3">
      <c r="A1212" t="s">
        <v>4124</v>
      </c>
      <c r="B1212" t="s">
        <v>4125</v>
      </c>
      <c r="C1212" t="s">
        <v>4126</v>
      </c>
      <c r="D1212">
        <v>9</v>
      </c>
      <c r="E1212">
        <v>0</v>
      </c>
      <c r="F1212" s="1">
        <v>45814</v>
      </c>
      <c r="G1212">
        <f>_xlfn.XLOOKUP(F1212,'Wk no''s'!B:B,'Wk no''s'!C:C,0)</f>
        <v>23</v>
      </c>
    </row>
    <row r="1213" spans="1:7" x14ac:dyDescent="0.3">
      <c r="A1213" t="s">
        <v>4129</v>
      </c>
      <c r="B1213" t="s">
        <v>4130</v>
      </c>
      <c r="C1213" t="s">
        <v>2832</v>
      </c>
      <c r="D1213">
        <v>0</v>
      </c>
      <c r="E1213">
        <v>1</v>
      </c>
      <c r="F1213" s="1">
        <v>45817</v>
      </c>
      <c r="G1213">
        <f>_xlfn.XLOOKUP(F1213,'Wk no''s'!B:B,'Wk no''s'!C:C,0)</f>
        <v>24</v>
      </c>
    </row>
    <row r="1214" spans="1:7" x14ac:dyDescent="0.3">
      <c r="A1214" t="s">
        <v>4131</v>
      </c>
      <c r="B1214" t="s">
        <v>4132</v>
      </c>
      <c r="C1214" t="s">
        <v>4133</v>
      </c>
      <c r="D1214">
        <v>13</v>
      </c>
      <c r="E1214">
        <v>0</v>
      </c>
      <c r="F1214" s="1">
        <v>45817</v>
      </c>
      <c r="G1214">
        <f>_xlfn.XLOOKUP(F1214,'Wk no''s'!B:B,'Wk no''s'!C:C,0)</f>
        <v>24</v>
      </c>
    </row>
    <row r="1215" spans="1:7" x14ac:dyDescent="0.3">
      <c r="A1215" t="s">
        <v>4134</v>
      </c>
      <c r="B1215" t="s">
        <v>4135</v>
      </c>
      <c r="C1215" t="s">
        <v>4136</v>
      </c>
      <c r="D1215">
        <v>4</v>
      </c>
      <c r="E1215">
        <v>1</v>
      </c>
      <c r="F1215" s="1">
        <v>45817</v>
      </c>
      <c r="G1215">
        <f>_xlfn.XLOOKUP(F1215,'Wk no''s'!B:B,'Wk no''s'!C:C,0)</f>
        <v>24</v>
      </c>
    </row>
    <row r="1216" spans="1:7" x14ac:dyDescent="0.3">
      <c r="A1216" t="s">
        <v>4137</v>
      </c>
      <c r="B1216" t="s">
        <v>4138</v>
      </c>
      <c r="C1216" t="s">
        <v>4139</v>
      </c>
      <c r="D1216">
        <v>15</v>
      </c>
      <c r="E1216">
        <v>0</v>
      </c>
      <c r="F1216" s="1">
        <v>45817</v>
      </c>
      <c r="G1216">
        <f>_xlfn.XLOOKUP(F1216,'Wk no''s'!B:B,'Wk no''s'!C:C,0)</f>
        <v>24</v>
      </c>
    </row>
    <row r="1217" spans="1:7" x14ac:dyDescent="0.3">
      <c r="A1217" t="s">
        <v>4140</v>
      </c>
      <c r="B1217" t="s">
        <v>4141</v>
      </c>
      <c r="C1217" t="s">
        <v>5653</v>
      </c>
      <c r="D1217">
        <v>13</v>
      </c>
      <c r="E1217">
        <v>0</v>
      </c>
      <c r="F1217" s="1">
        <v>45817</v>
      </c>
      <c r="G1217">
        <f>_xlfn.XLOOKUP(F1217,'Wk no''s'!B:B,'Wk no''s'!C:C,0)</f>
        <v>24</v>
      </c>
    </row>
    <row r="1218" spans="1:7" x14ac:dyDescent="0.3">
      <c r="A1218" t="s">
        <v>4142</v>
      </c>
      <c r="B1218" t="s">
        <v>4143</v>
      </c>
      <c r="C1218" t="s">
        <v>386</v>
      </c>
      <c r="D1218">
        <v>90</v>
      </c>
      <c r="E1218">
        <v>0</v>
      </c>
      <c r="F1218" s="1">
        <v>45817</v>
      </c>
      <c r="G1218">
        <f>_xlfn.XLOOKUP(F1218,'Wk no''s'!B:B,'Wk no''s'!C:C,0)</f>
        <v>24</v>
      </c>
    </row>
    <row r="1219" spans="1:7" x14ac:dyDescent="0.3">
      <c r="A1219" t="s">
        <v>4144</v>
      </c>
      <c r="B1219" t="s">
        <v>4145</v>
      </c>
      <c r="C1219" t="s">
        <v>2479</v>
      </c>
      <c r="D1219">
        <v>5</v>
      </c>
      <c r="E1219">
        <v>1</v>
      </c>
      <c r="F1219" s="1">
        <v>45817</v>
      </c>
      <c r="G1219">
        <f>_xlfn.XLOOKUP(F1219,'Wk no''s'!B:B,'Wk no''s'!C:C,0)</f>
        <v>24</v>
      </c>
    </row>
    <row r="1220" spans="1:7" x14ac:dyDescent="0.3">
      <c r="A1220" t="s">
        <v>4146</v>
      </c>
      <c r="B1220" t="s">
        <v>4147</v>
      </c>
      <c r="C1220" t="s">
        <v>4148</v>
      </c>
      <c r="D1220">
        <v>0</v>
      </c>
      <c r="E1220">
        <v>1</v>
      </c>
      <c r="F1220" s="1">
        <v>45817</v>
      </c>
      <c r="G1220">
        <f>_xlfn.XLOOKUP(F1220,'Wk no''s'!B:B,'Wk no''s'!C:C,0)</f>
        <v>24</v>
      </c>
    </row>
    <row r="1221" spans="1:7" x14ac:dyDescent="0.3">
      <c r="A1221" t="s">
        <v>4149</v>
      </c>
      <c r="B1221" t="s">
        <v>4150</v>
      </c>
      <c r="C1221" t="s">
        <v>407</v>
      </c>
      <c r="D1221">
        <v>0</v>
      </c>
      <c r="E1221">
        <v>1</v>
      </c>
      <c r="F1221" s="1">
        <v>45817</v>
      </c>
      <c r="G1221">
        <f>_xlfn.XLOOKUP(F1221,'Wk no''s'!B:B,'Wk no''s'!C:C,0)</f>
        <v>24</v>
      </c>
    </row>
    <row r="1222" spans="1:7" x14ac:dyDescent="0.3">
      <c r="A1222" t="s">
        <v>4151</v>
      </c>
      <c r="B1222" t="s">
        <v>4152</v>
      </c>
      <c r="C1222" t="s">
        <v>2789</v>
      </c>
      <c r="D1222">
        <v>0</v>
      </c>
      <c r="E1222">
        <v>1</v>
      </c>
      <c r="F1222" s="1">
        <v>45817</v>
      </c>
      <c r="G1222">
        <f>_xlfn.XLOOKUP(F1222,'Wk no''s'!B:B,'Wk no''s'!C:C,0)</f>
        <v>24</v>
      </c>
    </row>
    <row r="1223" spans="1:7" x14ac:dyDescent="0.3">
      <c r="A1223" t="s">
        <v>4153</v>
      </c>
      <c r="B1223" t="s">
        <v>4154</v>
      </c>
      <c r="C1223" t="s">
        <v>1446</v>
      </c>
      <c r="D1223">
        <v>0</v>
      </c>
      <c r="E1223">
        <v>1</v>
      </c>
      <c r="F1223" s="1">
        <v>45818</v>
      </c>
      <c r="G1223">
        <f>_xlfn.XLOOKUP(F1223,'Wk no''s'!B:B,'Wk no''s'!C:C,0)</f>
        <v>24</v>
      </c>
    </row>
    <row r="1224" spans="1:7" x14ac:dyDescent="0.3">
      <c r="A1224" t="s">
        <v>4155</v>
      </c>
      <c r="B1224" t="s">
        <v>4156</v>
      </c>
      <c r="C1224" t="s">
        <v>1343</v>
      </c>
      <c r="D1224">
        <v>0</v>
      </c>
      <c r="E1224">
        <v>1</v>
      </c>
      <c r="F1224" s="1">
        <v>45818</v>
      </c>
      <c r="G1224">
        <f>_xlfn.XLOOKUP(F1224,'Wk no''s'!B:B,'Wk no''s'!C:C,0)</f>
        <v>24</v>
      </c>
    </row>
    <row r="1225" spans="1:7" x14ac:dyDescent="0.3">
      <c r="A1225" t="s">
        <v>4157</v>
      </c>
      <c r="B1225" t="s">
        <v>4158</v>
      </c>
      <c r="C1225" t="s">
        <v>4353</v>
      </c>
      <c r="D1225">
        <v>0</v>
      </c>
      <c r="E1225">
        <v>1</v>
      </c>
      <c r="F1225" s="1">
        <v>45818</v>
      </c>
      <c r="G1225">
        <f>_xlfn.XLOOKUP(F1225,'Wk no''s'!B:B,'Wk no''s'!C:C,0)</f>
        <v>24</v>
      </c>
    </row>
    <row r="1226" spans="1:7" x14ac:dyDescent="0.3">
      <c r="A1226" t="s">
        <v>4159</v>
      </c>
      <c r="B1226" t="s">
        <v>4160</v>
      </c>
      <c r="C1226" t="s">
        <v>1343</v>
      </c>
      <c r="D1226">
        <v>0</v>
      </c>
      <c r="E1226">
        <v>1</v>
      </c>
      <c r="F1226" s="1">
        <v>45818</v>
      </c>
      <c r="G1226">
        <f>_xlfn.XLOOKUP(F1226,'Wk no''s'!B:B,'Wk no''s'!C:C,0)</f>
        <v>24</v>
      </c>
    </row>
    <row r="1227" spans="1:7" x14ac:dyDescent="0.3">
      <c r="A1227" t="s">
        <v>4161</v>
      </c>
      <c r="B1227" t="s">
        <v>4162</v>
      </c>
      <c r="C1227" t="s">
        <v>27</v>
      </c>
      <c r="D1227">
        <v>3</v>
      </c>
      <c r="E1227">
        <v>1</v>
      </c>
      <c r="F1227" s="1">
        <v>45818</v>
      </c>
      <c r="G1227">
        <f>_xlfn.XLOOKUP(F1227,'Wk no''s'!B:B,'Wk no''s'!C:C,0)</f>
        <v>24</v>
      </c>
    </row>
    <row r="1228" spans="1:7" x14ac:dyDescent="0.3">
      <c r="A1228" t="s">
        <v>4163</v>
      </c>
      <c r="B1228" t="s">
        <v>4164</v>
      </c>
      <c r="C1228" t="s">
        <v>4165</v>
      </c>
      <c r="D1228">
        <v>0</v>
      </c>
      <c r="E1228">
        <v>1</v>
      </c>
      <c r="F1228" s="1">
        <v>45818</v>
      </c>
      <c r="G1228">
        <f>_xlfn.XLOOKUP(F1228,'Wk no''s'!B:B,'Wk no''s'!C:C,0)</f>
        <v>24</v>
      </c>
    </row>
    <row r="1229" spans="1:7" x14ac:dyDescent="0.3">
      <c r="A1229" t="s">
        <v>4166</v>
      </c>
      <c r="B1229" t="s">
        <v>4167</v>
      </c>
      <c r="C1229" t="s">
        <v>4168</v>
      </c>
      <c r="D1229">
        <v>9</v>
      </c>
      <c r="E1229">
        <v>0</v>
      </c>
      <c r="F1229" s="1">
        <v>45818</v>
      </c>
      <c r="G1229">
        <f>_xlfn.XLOOKUP(F1229,'Wk no''s'!B:B,'Wk no''s'!C:C,0)</f>
        <v>24</v>
      </c>
    </row>
    <row r="1230" spans="1:7" x14ac:dyDescent="0.3">
      <c r="A1230" t="s">
        <v>4169</v>
      </c>
      <c r="B1230" t="s">
        <v>4170</v>
      </c>
      <c r="C1230" t="s">
        <v>3644</v>
      </c>
      <c r="D1230">
        <v>13</v>
      </c>
      <c r="E1230">
        <v>0</v>
      </c>
      <c r="F1230" s="1">
        <v>45818</v>
      </c>
      <c r="G1230">
        <f>_xlfn.XLOOKUP(F1230,'Wk no''s'!B:B,'Wk no''s'!C:C,0)</f>
        <v>24</v>
      </c>
    </row>
    <row r="1231" spans="1:7" x14ac:dyDescent="0.3">
      <c r="A1231" t="s">
        <v>4171</v>
      </c>
      <c r="B1231" t="s">
        <v>4172</v>
      </c>
      <c r="C1231" t="s">
        <v>4173</v>
      </c>
      <c r="D1231">
        <v>0</v>
      </c>
      <c r="E1231">
        <v>1</v>
      </c>
      <c r="F1231" s="1">
        <v>45818</v>
      </c>
      <c r="G1231">
        <f>_xlfn.XLOOKUP(F1231,'Wk no''s'!B:B,'Wk no''s'!C:C,0)</f>
        <v>24</v>
      </c>
    </row>
    <row r="1232" spans="1:7" x14ac:dyDescent="0.3">
      <c r="A1232" t="s">
        <v>4174</v>
      </c>
      <c r="B1232" t="s">
        <v>4175</v>
      </c>
      <c r="C1232" t="s">
        <v>3517</v>
      </c>
      <c r="D1232">
        <v>0</v>
      </c>
      <c r="E1232">
        <v>1</v>
      </c>
      <c r="F1232" s="1">
        <v>45818</v>
      </c>
      <c r="G1232">
        <f>_xlfn.XLOOKUP(F1232,'Wk no''s'!B:B,'Wk no''s'!C:C,0)</f>
        <v>24</v>
      </c>
    </row>
    <row r="1233" spans="1:7" x14ac:dyDescent="0.3">
      <c r="A1233" t="s">
        <v>4176</v>
      </c>
      <c r="B1233" t="s">
        <v>4177</v>
      </c>
      <c r="C1233" t="s">
        <v>2681</v>
      </c>
      <c r="D1233">
        <v>0</v>
      </c>
      <c r="E1233">
        <v>1</v>
      </c>
      <c r="F1233" s="1">
        <v>45818</v>
      </c>
      <c r="G1233">
        <f>_xlfn.XLOOKUP(F1233,'Wk no''s'!B:B,'Wk no''s'!C:C,0)</f>
        <v>24</v>
      </c>
    </row>
    <row r="1234" spans="1:7" x14ac:dyDescent="0.3">
      <c r="A1234" t="s">
        <v>4178</v>
      </c>
      <c r="B1234" t="s">
        <v>4179</v>
      </c>
      <c r="C1234" t="s">
        <v>4180</v>
      </c>
      <c r="D1234">
        <v>8</v>
      </c>
      <c r="E1234">
        <v>0</v>
      </c>
      <c r="F1234" s="1">
        <v>45818</v>
      </c>
      <c r="G1234">
        <f>_xlfn.XLOOKUP(F1234,'Wk no''s'!B:B,'Wk no''s'!C:C,0)</f>
        <v>24</v>
      </c>
    </row>
    <row r="1235" spans="1:7" x14ac:dyDescent="0.3">
      <c r="A1235" t="s">
        <v>4181</v>
      </c>
      <c r="B1235" t="s">
        <v>4182</v>
      </c>
      <c r="C1235" t="s">
        <v>4183</v>
      </c>
      <c r="D1235">
        <v>2</v>
      </c>
      <c r="E1235">
        <v>1</v>
      </c>
      <c r="F1235" s="1">
        <v>45819</v>
      </c>
      <c r="G1235">
        <f>_xlfn.XLOOKUP(F1235,'Wk no''s'!B:B,'Wk no''s'!C:C,0)</f>
        <v>24</v>
      </c>
    </row>
    <row r="1236" spans="1:7" x14ac:dyDescent="0.3">
      <c r="A1236" t="s">
        <v>4184</v>
      </c>
      <c r="B1236" t="s">
        <v>4185</v>
      </c>
      <c r="C1236" t="s">
        <v>1194</v>
      </c>
      <c r="D1236">
        <v>0</v>
      </c>
      <c r="E1236">
        <v>1</v>
      </c>
      <c r="F1236" s="1">
        <v>45819</v>
      </c>
      <c r="G1236">
        <f>_xlfn.XLOOKUP(F1236,'Wk no''s'!B:B,'Wk no''s'!C:C,0)</f>
        <v>24</v>
      </c>
    </row>
    <row r="1237" spans="1:7" x14ac:dyDescent="0.3">
      <c r="A1237" t="s">
        <v>4186</v>
      </c>
      <c r="B1237" t="s">
        <v>4187</v>
      </c>
      <c r="C1237" t="s">
        <v>4188</v>
      </c>
      <c r="D1237">
        <v>0</v>
      </c>
      <c r="E1237">
        <v>1</v>
      </c>
      <c r="F1237" s="1">
        <v>45819</v>
      </c>
      <c r="G1237">
        <f>_xlfn.XLOOKUP(F1237,'Wk no''s'!B:B,'Wk no''s'!C:C,0)</f>
        <v>24</v>
      </c>
    </row>
    <row r="1238" spans="1:7" x14ac:dyDescent="0.3">
      <c r="A1238" t="s">
        <v>4189</v>
      </c>
      <c r="B1238" t="s">
        <v>4190</v>
      </c>
      <c r="C1238" t="s">
        <v>4191</v>
      </c>
      <c r="D1238">
        <v>4</v>
      </c>
      <c r="E1238">
        <v>1</v>
      </c>
      <c r="F1238" s="1">
        <v>45819</v>
      </c>
      <c r="G1238">
        <f>_xlfn.XLOOKUP(F1238,'Wk no''s'!B:B,'Wk no''s'!C:C,0)</f>
        <v>24</v>
      </c>
    </row>
    <row r="1239" spans="1:7" x14ac:dyDescent="0.3">
      <c r="A1239" t="s">
        <v>4192</v>
      </c>
      <c r="B1239" t="s">
        <v>4193</v>
      </c>
      <c r="C1239" t="s">
        <v>4194</v>
      </c>
      <c r="D1239">
        <v>0</v>
      </c>
      <c r="E1239">
        <v>1</v>
      </c>
      <c r="F1239" s="1">
        <v>45819</v>
      </c>
      <c r="G1239">
        <f>_xlfn.XLOOKUP(F1239,'Wk no''s'!B:B,'Wk no''s'!C:C,0)</f>
        <v>24</v>
      </c>
    </row>
    <row r="1240" spans="1:7" x14ac:dyDescent="0.3">
      <c r="A1240" t="s">
        <v>4195</v>
      </c>
      <c r="B1240" t="s">
        <v>4196</v>
      </c>
      <c r="C1240" t="s">
        <v>1243</v>
      </c>
      <c r="D1240">
        <v>16</v>
      </c>
      <c r="E1240">
        <v>0</v>
      </c>
      <c r="F1240" s="1">
        <v>45819</v>
      </c>
      <c r="G1240">
        <f>_xlfn.XLOOKUP(F1240,'Wk no''s'!B:B,'Wk no''s'!C:C,0)</f>
        <v>24</v>
      </c>
    </row>
    <row r="1241" spans="1:7" x14ac:dyDescent="0.3">
      <c r="A1241" t="s">
        <v>4197</v>
      </c>
      <c r="B1241" t="s">
        <v>4198</v>
      </c>
      <c r="C1241" t="s">
        <v>228</v>
      </c>
      <c r="D1241">
        <v>0</v>
      </c>
      <c r="E1241">
        <v>1</v>
      </c>
      <c r="F1241" s="1">
        <v>45819</v>
      </c>
      <c r="G1241">
        <f>_xlfn.XLOOKUP(F1241,'Wk no''s'!B:B,'Wk no''s'!C:C,0)</f>
        <v>24</v>
      </c>
    </row>
    <row r="1242" spans="1:7" x14ac:dyDescent="0.3">
      <c r="A1242" t="s">
        <v>4199</v>
      </c>
      <c r="B1242" t="s">
        <v>4200</v>
      </c>
      <c r="C1242" t="s">
        <v>2421</v>
      </c>
      <c r="D1242">
        <v>2</v>
      </c>
      <c r="E1242">
        <v>1</v>
      </c>
      <c r="F1242" s="1">
        <v>45819</v>
      </c>
      <c r="G1242">
        <f>_xlfn.XLOOKUP(F1242,'Wk no''s'!B:B,'Wk no''s'!C:C,0)</f>
        <v>24</v>
      </c>
    </row>
    <row r="1243" spans="1:7" x14ac:dyDescent="0.3">
      <c r="A1243" t="s">
        <v>4201</v>
      </c>
      <c r="B1243" t="s">
        <v>4202</v>
      </c>
      <c r="C1243" t="s">
        <v>4203</v>
      </c>
      <c r="D1243">
        <v>0</v>
      </c>
      <c r="E1243">
        <v>1</v>
      </c>
      <c r="F1243" s="1">
        <v>45819</v>
      </c>
      <c r="G1243">
        <f>_xlfn.XLOOKUP(F1243,'Wk no''s'!B:B,'Wk no''s'!C:C,0)</f>
        <v>24</v>
      </c>
    </row>
    <row r="1244" spans="1:7" x14ac:dyDescent="0.3">
      <c r="A1244" t="s">
        <v>4204</v>
      </c>
      <c r="B1244" t="s">
        <v>4205</v>
      </c>
      <c r="C1244" t="s">
        <v>530</v>
      </c>
      <c r="D1244">
        <v>0</v>
      </c>
      <c r="E1244">
        <v>1</v>
      </c>
      <c r="F1244" s="1">
        <v>45819</v>
      </c>
      <c r="G1244">
        <f>_xlfn.XLOOKUP(F1244,'Wk no''s'!B:B,'Wk no''s'!C:C,0)</f>
        <v>24</v>
      </c>
    </row>
    <row r="1245" spans="1:7" x14ac:dyDescent="0.3">
      <c r="A1245" t="s">
        <v>4206</v>
      </c>
      <c r="B1245" t="s">
        <v>4207</v>
      </c>
      <c r="C1245" t="s">
        <v>1248</v>
      </c>
      <c r="D1245">
        <v>5</v>
      </c>
      <c r="E1245">
        <v>1</v>
      </c>
      <c r="F1245" s="1">
        <v>45819</v>
      </c>
      <c r="G1245">
        <f>_xlfn.XLOOKUP(F1245,'Wk no''s'!B:B,'Wk no''s'!C:C,0)</f>
        <v>24</v>
      </c>
    </row>
    <row r="1246" spans="1:7" x14ac:dyDescent="0.3">
      <c r="A1246" t="s">
        <v>4208</v>
      </c>
      <c r="B1246" t="s">
        <v>4209</v>
      </c>
      <c r="C1246" t="s">
        <v>4210</v>
      </c>
      <c r="D1246">
        <v>3</v>
      </c>
      <c r="E1246">
        <v>1</v>
      </c>
      <c r="F1246" s="1">
        <v>45820</v>
      </c>
      <c r="G1246">
        <f>_xlfn.XLOOKUP(F1246,'Wk no''s'!B:B,'Wk no''s'!C:C,0)</f>
        <v>24</v>
      </c>
    </row>
    <row r="1247" spans="1:7" x14ac:dyDescent="0.3">
      <c r="A1247" t="s">
        <v>4211</v>
      </c>
      <c r="B1247" t="s">
        <v>4212</v>
      </c>
      <c r="C1247" t="s">
        <v>1298</v>
      </c>
      <c r="D1247">
        <v>24</v>
      </c>
      <c r="E1247">
        <v>0</v>
      </c>
      <c r="F1247" s="1">
        <v>45820</v>
      </c>
      <c r="G1247">
        <f>_xlfn.XLOOKUP(F1247,'Wk no''s'!B:B,'Wk no''s'!C:C,0)</f>
        <v>24</v>
      </c>
    </row>
    <row r="1248" spans="1:7" x14ac:dyDescent="0.3">
      <c r="A1248" t="s">
        <v>4213</v>
      </c>
      <c r="B1248" t="s">
        <v>4214</v>
      </c>
      <c r="C1248" t="s">
        <v>4215</v>
      </c>
      <c r="D1248">
        <v>3</v>
      </c>
      <c r="E1248">
        <v>1</v>
      </c>
      <c r="F1248" s="1">
        <v>45820</v>
      </c>
      <c r="G1248">
        <f>_xlfn.XLOOKUP(F1248,'Wk no''s'!B:B,'Wk no''s'!C:C,0)</f>
        <v>24</v>
      </c>
    </row>
    <row r="1249" spans="1:7" x14ac:dyDescent="0.3">
      <c r="A1249" t="s">
        <v>4216</v>
      </c>
      <c r="B1249" t="s">
        <v>4217</v>
      </c>
      <c r="C1249" t="s">
        <v>1544</v>
      </c>
      <c r="D1249">
        <v>3</v>
      </c>
      <c r="E1249">
        <v>1</v>
      </c>
      <c r="F1249" s="1">
        <v>45820</v>
      </c>
      <c r="G1249">
        <f>_xlfn.XLOOKUP(F1249,'Wk no''s'!B:B,'Wk no''s'!C:C,0)</f>
        <v>24</v>
      </c>
    </row>
    <row r="1250" spans="1:7" x14ac:dyDescent="0.3">
      <c r="A1250" t="s">
        <v>4218</v>
      </c>
      <c r="B1250" t="s">
        <v>4219</v>
      </c>
      <c r="C1250" t="s">
        <v>3993</v>
      </c>
      <c r="D1250">
        <v>17</v>
      </c>
      <c r="E1250">
        <v>0</v>
      </c>
      <c r="F1250" s="1">
        <v>45820</v>
      </c>
      <c r="G1250">
        <f>_xlfn.XLOOKUP(F1250,'Wk no''s'!B:B,'Wk no''s'!C:C,0)</f>
        <v>24</v>
      </c>
    </row>
    <row r="1251" spans="1:7" x14ac:dyDescent="0.3">
      <c r="A1251" t="s">
        <v>4220</v>
      </c>
      <c r="B1251" t="s">
        <v>4221</v>
      </c>
      <c r="C1251" t="s">
        <v>2870</v>
      </c>
      <c r="D1251">
        <v>0</v>
      </c>
      <c r="E1251">
        <v>1</v>
      </c>
      <c r="F1251" s="1">
        <v>45820</v>
      </c>
      <c r="G1251">
        <f>_xlfn.XLOOKUP(F1251,'Wk no''s'!B:B,'Wk no''s'!C:C,0)</f>
        <v>24</v>
      </c>
    </row>
    <row r="1252" spans="1:7" x14ac:dyDescent="0.3">
      <c r="A1252" t="s">
        <v>4222</v>
      </c>
      <c r="B1252" t="s">
        <v>4223</v>
      </c>
      <c r="C1252" t="s">
        <v>4224</v>
      </c>
      <c r="D1252">
        <v>0</v>
      </c>
      <c r="E1252">
        <v>1</v>
      </c>
      <c r="F1252" s="1">
        <v>45820</v>
      </c>
      <c r="G1252">
        <f>_xlfn.XLOOKUP(F1252,'Wk no''s'!B:B,'Wk no''s'!C:C,0)</f>
        <v>24</v>
      </c>
    </row>
    <row r="1253" spans="1:7" x14ac:dyDescent="0.3">
      <c r="A1253" t="s">
        <v>4225</v>
      </c>
      <c r="B1253" t="s">
        <v>4226</v>
      </c>
      <c r="C1253" t="s">
        <v>4227</v>
      </c>
      <c r="D1253">
        <v>9</v>
      </c>
      <c r="E1253">
        <v>0</v>
      </c>
      <c r="F1253" s="1">
        <v>45820</v>
      </c>
      <c r="G1253">
        <f>_xlfn.XLOOKUP(F1253,'Wk no''s'!B:B,'Wk no''s'!C:C,0)</f>
        <v>24</v>
      </c>
    </row>
    <row r="1254" spans="1:7" x14ac:dyDescent="0.3">
      <c r="A1254" t="s">
        <v>4228</v>
      </c>
      <c r="B1254" t="s">
        <v>4229</v>
      </c>
      <c r="C1254" t="s">
        <v>1169</v>
      </c>
      <c r="D1254">
        <v>0</v>
      </c>
      <c r="E1254">
        <v>1</v>
      </c>
      <c r="F1254" s="1">
        <v>45820</v>
      </c>
      <c r="G1254">
        <f>_xlfn.XLOOKUP(F1254,'Wk no''s'!B:B,'Wk no''s'!C:C,0)</f>
        <v>24</v>
      </c>
    </row>
    <row r="1255" spans="1:7" x14ac:dyDescent="0.3">
      <c r="A1255" t="s">
        <v>4230</v>
      </c>
      <c r="B1255" t="s">
        <v>4231</v>
      </c>
      <c r="C1255" t="s">
        <v>4232</v>
      </c>
      <c r="D1255">
        <v>0</v>
      </c>
      <c r="E1255">
        <v>1</v>
      </c>
      <c r="F1255" s="1">
        <v>45820</v>
      </c>
      <c r="G1255">
        <f>_xlfn.XLOOKUP(F1255,'Wk no''s'!B:B,'Wk no''s'!C:C,0)</f>
        <v>24</v>
      </c>
    </row>
    <row r="1256" spans="1:7" x14ac:dyDescent="0.3">
      <c r="A1256" t="s">
        <v>4233</v>
      </c>
      <c r="B1256" t="s">
        <v>4234</v>
      </c>
      <c r="C1256" t="s">
        <v>1995</v>
      </c>
      <c r="D1256">
        <v>0</v>
      </c>
      <c r="E1256">
        <v>1</v>
      </c>
      <c r="F1256" s="1">
        <v>45820</v>
      </c>
      <c r="G1256">
        <f>_xlfn.XLOOKUP(F1256,'Wk no''s'!B:B,'Wk no''s'!C:C,0)</f>
        <v>24</v>
      </c>
    </row>
    <row r="1257" spans="1:7" x14ac:dyDescent="0.3">
      <c r="A1257" t="s">
        <v>4235</v>
      </c>
      <c r="B1257" t="s">
        <v>4236</v>
      </c>
      <c r="C1257" t="s">
        <v>2789</v>
      </c>
      <c r="D1257">
        <v>0</v>
      </c>
      <c r="E1257">
        <v>1</v>
      </c>
      <c r="F1257" s="1">
        <v>45820</v>
      </c>
      <c r="G1257">
        <f>_xlfn.XLOOKUP(F1257,'Wk no''s'!B:B,'Wk no''s'!C:C,0)</f>
        <v>24</v>
      </c>
    </row>
    <row r="1258" spans="1:7" x14ac:dyDescent="0.3">
      <c r="A1258" t="s">
        <v>4237</v>
      </c>
      <c r="B1258" t="s">
        <v>4238</v>
      </c>
      <c r="C1258" t="s">
        <v>197</v>
      </c>
      <c r="D1258">
        <v>0</v>
      </c>
      <c r="E1258">
        <v>1</v>
      </c>
      <c r="F1258" s="1">
        <v>45821</v>
      </c>
      <c r="G1258">
        <f>_xlfn.XLOOKUP(F1258,'Wk no''s'!B:B,'Wk no''s'!C:C,0)</f>
        <v>24</v>
      </c>
    </row>
    <row r="1259" spans="1:7" x14ac:dyDescent="0.3">
      <c r="A1259" t="s">
        <v>4239</v>
      </c>
      <c r="B1259" t="s">
        <v>4240</v>
      </c>
      <c r="C1259" t="s">
        <v>4241</v>
      </c>
      <c r="D1259">
        <v>6</v>
      </c>
      <c r="E1259">
        <v>0</v>
      </c>
      <c r="F1259" s="1">
        <v>45821</v>
      </c>
      <c r="G1259">
        <f>_xlfn.XLOOKUP(F1259,'Wk no''s'!B:B,'Wk no''s'!C:C,0)</f>
        <v>24</v>
      </c>
    </row>
    <row r="1260" spans="1:7" x14ac:dyDescent="0.3">
      <c r="A1260" t="s">
        <v>4242</v>
      </c>
      <c r="B1260" t="s">
        <v>4243</v>
      </c>
      <c r="C1260" t="s">
        <v>4244</v>
      </c>
      <c r="D1260">
        <v>0</v>
      </c>
      <c r="E1260">
        <v>1</v>
      </c>
      <c r="F1260" s="1">
        <v>45821</v>
      </c>
      <c r="G1260">
        <f>_xlfn.XLOOKUP(F1260,'Wk no''s'!B:B,'Wk no''s'!C:C,0)</f>
        <v>24</v>
      </c>
    </row>
    <row r="1261" spans="1:7" x14ac:dyDescent="0.3">
      <c r="A1261" t="s">
        <v>4245</v>
      </c>
      <c r="B1261" t="s">
        <v>4246</v>
      </c>
      <c r="C1261" t="s">
        <v>4247</v>
      </c>
      <c r="D1261">
        <v>7</v>
      </c>
      <c r="E1261">
        <v>0</v>
      </c>
      <c r="F1261" s="1">
        <v>45821</v>
      </c>
      <c r="G1261">
        <f>_xlfn.XLOOKUP(F1261,'Wk no''s'!B:B,'Wk no''s'!C:C,0)</f>
        <v>24</v>
      </c>
    </row>
    <row r="1262" spans="1:7" x14ac:dyDescent="0.3">
      <c r="A1262" t="s">
        <v>4248</v>
      </c>
      <c r="B1262" t="s">
        <v>4249</v>
      </c>
      <c r="C1262" t="s">
        <v>4250</v>
      </c>
      <c r="D1262">
        <v>0</v>
      </c>
      <c r="E1262">
        <v>1</v>
      </c>
      <c r="F1262" s="1">
        <v>45821</v>
      </c>
      <c r="G1262">
        <f>_xlfn.XLOOKUP(F1262,'Wk no''s'!B:B,'Wk no''s'!C:C,0)</f>
        <v>24</v>
      </c>
    </row>
    <row r="1263" spans="1:7" x14ac:dyDescent="0.3">
      <c r="A1263" t="s">
        <v>4251</v>
      </c>
      <c r="B1263" t="s">
        <v>4252</v>
      </c>
      <c r="C1263" t="s">
        <v>2451</v>
      </c>
      <c r="D1263">
        <v>0</v>
      </c>
      <c r="E1263">
        <v>1</v>
      </c>
      <c r="F1263" s="1">
        <v>45821</v>
      </c>
      <c r="G1263">
        <f>_xlfn.XLOOKUP(F1263,'Wk no''s'!B:B,'Wk no''s'!C:C,0)</f>
        <v>24</v>
      </c>
    </row>
    <row r="1264" spans="1:7" x14ac:dyDescent="0.3">
      <c r="A1264" t="s">
        <v>4253</v>
      </c>
      <c r="B1264" t="s">
        <v>4254</v>
      </c>
      <c r="C1264" t="s">
        <v>4255</v>
      </c>
      <c r="D1264">
        <v>5</v>
      </c>
      <c r="E1264">
        <v>1</v>
      </c>
      <c r="F1264" s="1">
        <v>45821</v>
      </c>
      <c r="G1264">
        <f>_xlfn.XLOOKUP(F1264,'Wk no''s'!B:B,'Wk no''s'!C:C,0)</f>
        <v>24</v>
      </c>
    </row>
    <row r="1265" spans="1:7" x14ac:dyDescent="0.3">
      <c r="A1265" t="s">
        <v>4256</v>
      </c>
      <c r="B1265" t="s">
        <v>4257</v>
      </c>
      <c r="C1265" t="s">
        <v>4258</v>
      </c>
      <c r="D1265">
        <v>0</v>
      </c>
      <c r="E1265">
        <v>1</v>
      </c>
      <c r="F1265" s="1">
        <v>45821</v>
      </c>
      <c r="G1265">
        <f>_xlfn.XLOOKUP(F1265,'Wk no''s'!B:B,'Wk no''s'!C:C,0)</f>
        <v>24</v>
      </c>
    </row>
    <row r="1266" spans="1:7" x14ac:dyDescent="0.3">
      <c r="A1266" t="s">
        <v>4259</v>
      </c>
      <c r="B1266" t="s">
        <v>4260</v>
      </c>
      <c r="C1266" t="s">
        <v>4261</v>
      </c>
      <c r="D1266">
        <v>0</v>
      </c>
      <c r="E1266">
        <v>1</v>
      </c>
      <c r="F1266" s="1">
        <v>45821</v>
      </c>
      <c r="G1266">
        <f>_xlfn.XLOOKUP(F1266,'Wk no''s'!B:B,'Wk no''s'!C:C,0)</f>
        <v>24</v>
      </c>
    </row>
    <row r="1267" spans="1:7" x14ac:dyDescent="0.3">
      <c r="A1267" t="s">
        <v>4262</v>
      </c>
      <c r="B1267" t="s">
        <v>4263</v>
      </c>
      <c r="C1267" t="s">
        <v>4264</v>
      </c>
      <c r="D1267">
        <v>0</v>
      </c>
      <c r="E1267">
        <v>1</v>
      </c>
      <c r="F1267" s="1">
        <v>45821</v>
      </c>
      <c r="G1267">
        <f>_xlfn.XLOOKUP(F1267,'Wk no''s'!B:B,'Wk no''s'!C:C,0)</f>
        <v>24</v>
      </c>
    </row>
    <row r="1268" spans="1:7" x14ac:dyDescent="0.3">
      <c r="A1268" t="s">
        <v>4354</v>
      </c>
      <c r="B1268" t="s">
        <v>4355</v>
      </c>
      <c r="C1268" t="s">
        <v>2540</v>
      </c>
      <c r="D1268">
        <v>0</v>
      </c>
      <c r="E1268">
        <v>1</v>
      </c>
      <c r="F1268" s="1">
        <v>45824</v>
      </c>
      <c r="G1268">
        <f>_xlfn.XLOOKUP(F1268,'Wk no''s'!B:B,'Wk no''s'!C:C,0)</f>
        <v>25</v>
      </c>
    </row>
    <row r="1269" spans="1:7" x14ac:dyDescent="0.3">
      <c r="A1269" t="s">
        <v>4356</v>
      </c>
      <c r="B1269" t="s">
        <v>4357</v>
      </c>
      <c r="C1269" t="s">
        <v>197</v>
      </c>
      <c r="D1269">
        <v>7</v>
      </c>
      <c r="E1269">
        <v>0</v>
      </c>
      <c r="F1269" s="1">
        <v>45824</v>
      </c>
      <c r="G1269">
        <f>_xlfn.XLOOKUP(F1269,'Wk no''s'!B:B,'Wk no''s'!C:C,0)</f>
        <v>25</v>
      </c>
    </row>
    <row r="1270" spans="1:7" x14ac:dyDescent="0.3">
      <c r="A1270" t="s">
        <v>4358</v>
      </c>
      <c r="B1270" t="s">
        <v>4359</v>
      </c>
      <c r="C1270" t="s">
        <v>5049</v>
      </c>
      <c r="D1270">
        <v>2</v>
      </c>
      <c r="E1270">
        <v>1</v>
      </c>
      <c r="F1270" s="1">
        <v>45824</v>
      </c>
      <c r="G1270">
        <f>_xlfn.XLOOKUP(F1270,'Wk no''s'!B:B,'Wk no''s'!C:C,0)</f>
        <v>25</v>
      </c>
    </row>
    <row r="1271" spans="1:7" x14ac:dyDescent="0.3">
      <c r="A1271" t="s">
        <v>4360</v>
      </c>
      <c r="B1271" t="s">
        <v>4361</v>
      </c>
      <c r="C1271" t="s">
        <v>4168</v>
      </c>
      <c r="D1271">
        <v>0</v>
      </c>
      <c r="E1271">
        <v>1</v>
      </c>
      <c r="F1271" s="1">
        <v>45824</v>
      </c>
      <c r="G1271">
        <f>_xlfn.XLOOKUP(F1271,'Wk no''s'!B:B,'Wk no''s'!C:C,0)</f>
        <v>25</v>
      </c>
    </row>
    <row r="1272" spans="1:7" x14ac:dyDescent="0.3">
      <c r="A1272" t="s">
        <v>4362</v>
      </c>
      <c r="B1272" t="s">
        <v>4363</v>
      </c>
      <c r="C1272" t="s">
        <v>4168</v>
      </c>
      <c r="D1272">
        <v>5</v>
      </c>
      <c r="E1272">
        <v>1</v>
      </c>
      <c r="F1272" s="1">
        <v>45824</v>
      </c>
      <c r="G1272">
        <f>_xlfn.XLOOKUP(F1272,'Wk no''s'!B:B,'Wk no''s'!C:C,0)</f>
        <v>25</v>
      </c>
    </row>
    <row r="1273" spans="1:7" x14ac:dyDescent="0.3">
      <c r="A1273" t="s">
        <v>4364</v>
      </c>
      <c r="B1273" t="s">
        <v>4365</v>
      </c>
      <c r="C1273" t="s">
        <v>4168</v>
      </c>
      <c r="D1273">
        <v>0</v>
      </c>
      <c r="E1273">
        <v>1</v>
      </c>
      <c r="F1273" s="1">
        <v>45824</v>
      </c>
      <c r="G1273">
        <f>_xlfn.XLOOKUP(F1273,'Wk no''s'!B:B,'Wk no''s'!C:C,0)</f>
        <v>25</v>
      </c>
    </row>
    <row r="1274" spans="1:7" x14ac:dyDescent="0.3">
      <c r="A1274" t="s">
        <v>4366</v>
      </c>
      <c r="B1274" t="s">
        <v>4367</v>
      </c>
      <c r="C1274" t="s">
        <v>4368</v>
      </c>
      <c r="D1274">
        <v>1</v>
      </c>
      <c r="E1274">
        <v>1</v>
      </c>
      <c r="F1274" s="1">
        <v>45824</v>
      </c>
      <c r="G1274">
        <f>_xlfn.XLOOKUP(F1274,'Wk no''s'!B:B,'Wk no''s'!C:C,0)</f>
        <v>25</v>
      </c>
    </row>
    <row r="1275" spans="1:7" x14ac:dyDescent="0.3">
      <c r="A1275" t="s">
        <v>4369</v>
      </c>
      <c r="B1275" t="s">
        <v>4370</v>
      </c>
      <c r="C1275" t="s">
        <v>2421</v>
      </c>
      <c r="D1275">
        <v>7</v>
      </c>
      <c r="E1275">
        <v>0</v>
      </c>
      <c r="F1275" s="1">
        <v>45824</v>
      </c>
      <c r="G1275">
        <f>_xlfn.XLOOKUP(F1275,'Wk no''s'!B:B,'Wk no''s'!C:C,0)</f>
        <v>25</v>
      </c>
    </row>
    <row r="1276" spans="1:7" x14ac:dyDescent="0.3">
      <c r="A1276" t="s">
        <v>4371</v>
      </c>
      <c r="B1276" t="s">
        <v>4372</v>
      </c>
      <c r="C1276" t="s">
        <v>4373</v>
      </c>
      <c r="D1276">
        <v>0</v>
      </c>
      <c r="E1276">
        <v>1</v>
      </c>
      <c r="F1276" s="1">
        <v>45824</v>
      </c>
      <c r="G1276">
        <f>_xlfn.XLOOKUP(F1276,'Wk no''s'!B:B,'Wk no''s'!C:C,0)</f>
        <v>25</v>
      </c>
    </row>
    <row r="1277" spans="1:7" x14ac:dyDescent="0.3">
      <c r="A1277" t="s">
        <v>4374</v>
      </c>
      <c r="B1277" t="s">
        <v>4375</v>
      </c>
      <c r="C1277" t="s">
        <v>4376</v>
      </c>
      <c r="D1277">
        <v>31</v>
      </c>
      <c r="E1277">
        <v>0</v>
      </c>
      <c r="F1277" s="1">
        <v>45824</v>
      </c>
      <c r="G1277">
        <f>_xlfn.XLOOKUP(F1277,'Wk no''s'!B:B,'Wk no''s'!C:C,0)</f>
        <v>25</v>
      </c>
    </row>
    <row r="1278" spans="1:7" x14ac:dyDescent="0.3">
      <c r="A1278" t="s">
        <v>4377</v>
      </c>
      <c r="B1278" t="s">
        <v>4378</v>
      </c>
      <c r="C1278" t="s">
        <v>5183</v>
      </c>
      <c r="D1278">
        <v>6</v>
      </c>
      <c r="E1278">
        <v>0</v>
      </c>
      <c r="F1278" s="1">
        <v>45824</v>
      </c>
      <c r="G1278">
        <f>_xlfn.XLOOKUP(F1278,'Wk no''s'!B:B,'Wk no''s'!C:C,0)</f>
        <v>25</v>
      </c>
    </row>
    <row r="1279" spans="1:7" x14ac:dyDescent="0.3">
      <c r="A1279" t="s">
        <v>4379</v>
      </c>
      <c r="B1279" t="s">
        <v>4380</v>
      </c>
      <c r="C1279" t="s">
        <v>4381</v>
      </c>
      <c r="D1279">
        <v>3</v>
      </c>
      <c r="E1279">
        <v>1</v>
      </c>
      <c r="F1279" s="1">
        <v>45824</v>
      </c>
      <c r="G1279">
        <f>_xlfn.XLOOKUP(F1279,'Wk no''s'!B:B,'Wk no''s'!C:C,0)</f>
        <v>25</v>
      </c>
    </row>
    <row r="1280" spans="1:7" x14ac:dyDescent="0.3">
      <c r="A1280" t="s">
        <v>4382</v>
      </c>
      <c r="B1280" t="s">
        <v>4383</v>
      </c>
      <c r="C1280" t="s">
        <v>160</v>
      </c>
      <c r="D1280">
        <v>10</v>
      </c>
      <c r="E1280">
        <v>0</v>
      </c>
      <c r="F1280" s="1">
        <v>45824</v>
      </c>
      <c r="G1280">
        <f>_xlfn.XLOOKUP(F1280,'Wk no''s'!B:B,'Wk no''s'!C:C,0)</f>
        <v>25</v>
      </c>
    </row>
    <row r="1281" spans="1:7" x14ac:dyDescent="0.3">
      <c r="A1281" t="s">
        <v>4384</v>
      </c>
      <c r="B1281" t="s">
        <v>4385</v>
      </c>
      <c r="C1281" t="s">
        <v>4386</v>
      </c>
      <c r="D1281">
        <v>0</v>
      </c>
      <c r="E1281">
        <v>1</v>
      </c>
      <c r="F1281" s="1">
        <v>45824</v>
      </c>
      <c r="G1281">
        <f>_xlfn.XLOOKUP(F1281,'Wk no''s'!B:B,'Wk no''s'!C:C,0)</f>
        <v>25</v>
      </c>
    </row>
    <row r="1282" spans="1:7" x14ac:dyDescent="0.3">
      <c r="A1282" t="s">
        <v>4387</v>
      </c>
      <c r="B1282" t="s">
        <v>4388</v>
      </c>
      <c r="C1282" t="s">
        <v>1967</v>
      </c>
      <c r="D1282">
        <v>0</v>
      </c>
      <c r="E1282">
        <v>1</v>
      </c>
      <c r="F1282" s="1">
        <v>45824</v>
      </c>
      <c r="G1282">
        <f>_xlfn.XLOOKUP(F1282,'Wk no''s'!B:B,'Wk no''s'!C:C,0)</f>
        <v>25</v>
      </c>
    </row>
    <row r="1283" spans="1:7" x14ac:dyDescent="0.3">
      <c r="A1283" t="s">
        <v>4389</v>
      </c>
      <c r="B1283" t="s">
        <v>4390</v>
      </c>
      <c r="C1283" t="s">
        <v>29</v>
      </c>
      <c r="D1283">
        <v>0</v>
      </c>
      <c r="E1283">
        <v>1</v>
      </c>
      <c r="F1283" s="1">
        <v>45824</v>
      </c>
      <c r="G1283">
        <f>_xlfn.XLOOKUP(F1283,'Wk no''s'!B:B,'Wk no''s'!C:C,0)</f>
        <v>25</v>
      </c>
    </row>
    <row r="1284" spans="1:7" x14ac:dyDescent="0.3">
      <c r="A1284" t="s">
        <v>4391</v>
      </c>
      <c r="B1284" t="s">
        <v>4392</v>
      </c>
      <c r="C1284" t="s">
        <v>2596</v>
      </c>
      <c r="D1284">
        <v>0</v>
      </c>
      <c r="E1284">
        <v>1</v>
      </c>
      <c r="F1284" s="1">
        <v>45825</v>
      </c>
      <c r="G1284">
        <f>_xlfn.XLOOKUP(F1284,'Wk no''s'!B:B,'Wk no''s'!C:C,0)</f>
        <v>25</v>
      </c>
    </row>
    <row r="1285" spans="1:7" x14ac:dyDescent="0.3">
      <c r="A1285" t="s">
        <v>4393</v>
      </c>
      <c r="B1285" t="s">
        <v>4394</v>
      </c>
      <c r="C1285" t="s">
        <v>4395</v>
      </c>
      <c r="D1285">
        <v>0</v>
      </c>
      <c r="E1285">
        <v>1</v>
      </c>
      <c r="F1285" s="1">
        <v>45825</v>
      </c>
      <c r="G1285">
        <f>_xlfn.XLOOKUP(F1285,'Wk no''s'!B:B,'Wk no''s'!C:C,0)</f>
        <v>25</v>
      </c>
    </row>
    <row r="1286" spans="1:7" x14ac:dyDescent="0.3">
      <c r="A1286" t="s">
        <v>4396</v>
      </c>
      <c r="B1286" t="s">
        <v>4397</v>
      </c>
      <c r="C1286" t="s">
        <v>2596</v>
      </c>
      <c r="D1286">
        <v>0</v>
      </c>
      <c r="E1286">
        <v>1</v>
      </c>
      <c r="F1286" s="1">
        <v>45825</v>
      </c>
      <c r="G1286">
        <f>_xlfn.XLOOKUP(F1286,'Wk no''s'!B:B,'Wk no''s'!C:C,0)</f>
        <v>25</v>
      </c>
    </row>
    <row r="1287" spans="1:7" x14ac:dyDescent="0.3">
      <c r="A1287" t="s">
        <v>4398</v>
      </c>
      <c r="B1287" t="s">
        <v>4399</v>
      </c>
      <c r="C1287" t="s">
        <v>2596</v>
      </c>
      <c r="D1287">
        <v>0</v>
      </c>
      <c r="E1287">
        <v>1</v>
      </c>
      <c r="F1287" s="1">
        <v>45825</v>
      </c>
      <c r="G1287">
        <f>_xlfn.XLOOKUP(F1287,'Wk no''s'!B:B,'Wk no''s'!C:C,0)</f>
        <v>25</v>
      </c>
    </row>
    <row r="1288" spans="1:7" x14ac:dyDescent="0.3">
      <c r="A1288" t="s">
        <v>4400</v>
      </c>
      <c r="B1288" t="s">
        <v>4401</v>
      </c>
      <c r="C1288" t="s">
        <v>1456</v>
      </c>
      <c r="D1288">
        <v>86</v>
      </c>
      <c r="E1288">
        <v>0</v>
      </c>
      <c r="F1288" s="1">
        <v>45825</v>
      </c>
      <c r="G1288">
        <f>_xlfn.XLOOKUP(F1288,'Wk no''s'!B:B,'Wk no''s'!C:C,0)</f>
        <v>25</v>
      </c>
    </row>
    <row r="1289" spans="1:7" x14ac:dyDescent="0.3">
      <c r="A1289" t="s">
        <v>4402</v>
      </c>
      <c r="B1289" t="s">
        <v>4403</v>
      </c>
      <c r="C1289" t="s">
        <v>4404</v>
      </c>
      <c r="D1289">
        <v>0</v>
      </c>
      <c r="E1289">
        <v>1</v>
      </c>
      <c r="F1289" s="1">
        <v>45825</v>
      </c>
      <c r="G1289">
        <f>_xlfn.XLOOKUP(F1289,'Wk no''s'!B:B,'Wk no''s'!C:C,0)</f>
        <v>25</v>
      </c>
    </row>
    <row r="1290" spans="1:7" x14ac:dyDescent="0.3">
      <c r="A1290" t="s">
        <v>4405</v>
      </c>
      <c r="B1290" t="s">
        <v>4406</v>
      </c>
      <c r="C1290" t="s">
        <v>4407</v>
      </c>
      <c r="D1290">
        <v>3</v>
      </c>
      <c r="E1290">
        <v>1</v>
      </c>
      <c r="F1290" s="1">
        <v>45825</v>
      </c>
      <c r="G1290">
        <f>_xlfn.XLOOKUP(F1290,'Wk no''s'!B:B,'Wk no''s'!C:C,0)</f>
        <v>25</v>
      </c>
    </row>
    <row r="1291" spans="1:7" x14ac:dyDescent="0.3">
      <c r="A1291" t="s">
        <v>4408</v>
      </c>
      <c r="B1291" t="s">
        <v>4409</v>
      </c>
      <c r="C1291" t="s">
        <v>4410</v>
      </c>
      <c r="D1291">
        <v>0</v>
      </c>
      <c r="E1291">
        <v>1</v>
      </c>
      <c r="F1291" s="1">
        <v>45825</v>
      </c>
      <c r="G1291">
        <f>_xlfn.XLOOKUP(F1291,'Wk no''s'!B:B,'Wk no''s'!C:C,0)</f>
        <v>25</v>
      </c>
    </row>
    <row r="1292" spans="1:7" x14ac:dyDescent="0.3">
      <c r="A1292" t="s">
        <v>4411</v>
      </c>
      <c r="B1292" t="s">
        <v>4412</v>
      </c>
      <c r="C1292" t="s">
        <v>4413</v>
      </c>
      <c r="D1292">
        <v>0</v>
      </c>
      <c r="E1292">
        <v>1</v>
      </c>
      <c r="F1292" s="1">
        <v>45825</v>
      </c>
      <c r="G1292">
        <f>_xlfn.XLOOKUP(F1292,'Wk no''s'!B:B,'Wk no''s'!C:C,0)</f>
        <v>25</v>
      </c>
    </row>
    <row r="1293" spans="1:7" x14ac:dyDescent="0.3">
      <c r="A1293" t="s">
        <v>4414</v>
      </c>
      <c r="B1293" t="s">
        <v>4415</v>
      </c>
      <c r="C1293" t="s">
        <v>1639</v>
      </c>
      <c r="D1293">
        <v>2</v>
      </c>
      <c r="E1293">
        <v>1</v>
      </c>
      <c r="F1293" s="1">
        <v>45825</v>
      </c>
      <c r="G1293">
        <f>_xlfn.XLOOKUP(F1293,'Wk no''s'!B:B,'Wk no''s'!C:C,0)</f>
        <v>25</v>
      </c>
    </row>
    <row r="1294" spans="1:7" x14ac:dyDescent="0.3">
      <c r="A1294" t="s">
        <v>4416</v>
      </c>
      <c r="B1294" t="s">
        <v>4417</v>
      </c>
      <c r="C1294" t="s">
        <v>4418</v>
      </c>
      <c r="D1294">
        <v>4</v>
      </c>
      <c r="E1294">
        <v>1</v>
      </c>
      <c r="F1294" s="1">
        <v>45825</v>
      </c>
      <c r="G1294">
        <f>_xlfn.XLOOKUP(F1294,'Wk no''s'!B:B,'Wk no''s'!C:C,0)</f>
        <v>25</v>
      </c>
    </row>
    <row r="1295" spans="1:7" x14ac:dyDescent="0.3">
      <c r="A1295" t="s">
        <v>4419</v>
      </c>
      <c r="B1295" t="s">
        <v>4420</v>
      </c>
      <c r="C1295" t="s">
        <v>3163</v>
      </c>
      <c r="D1295">
        <v>0</v>
      </c>
      <c r="E1295">
        <v>1</v>
      </c>
      <c r="F1295" s="1">
        <v>45825</v>
      </c>
      <c r="G1295">
        <f>_xlfn.XLOOKUP(F1295,'Wk no''s'!B:B,'Wk no''s'!C:C,0)</f>
        <v>25</v>
      </c>
    </row>
    <row r="1296" spans="1:7" x14ac:dyDescent="0.3">
      <c r="A1296" t="s">
        <v>4421</v>
      </c>
      <c r="B1296" t="s">
        <v>4422</v>
      </c>
      <c r="C1296" t="s">
        <v>3855</v>
      </c>
      <c r="D1296">
        <v>0</v>
      </c>
      <c r="E1296">
        <v>1</v>
      </c>
      <c r="F1296" s="1">
        <v>45825</v>
      </c>
      <c r="G1296">
        <f>_xlfn.XLOOKUP(F1296,'Wk no''s'!B:B,'Wk no''s'!C:C,0)</f>
        <v>25</v>
      </c>
    </row>
    <row r="1297" spans="1:7" x14ac:dyDescent="0.3">
      <c r="A1297" t="s">
        <v>4423</v>
      </c>
      <c r="B1297" t="s">
        <v>4424</v>
      </c>
      <c r="C1297" t="s">
        <v>4074</v>
      </c>
      <c r="D1297">
        <v>0</v>
      </c>
      <c r="E1297">
        <v>1</v>
      </c>
      <c r="F1297" s="1">
        <v>45825</v>
      </c>
      <c r="G1297">
        <f>_xlfn.XLOOKUP(F1297,'Wk no''s'!B:B,'Wk no''s'!C:C,0)</f>
        <v>25</v>
      </c>
    </row>
    <row r="1298" spans="1:7" x14ac:dyDescent="0.3">
      <c r="A1298" t="s">
        <v>4425</v>
      </c>
      <c r="B1298" t="s">
        <v>4426</v>
      </c>
      <c r="C1298" t="s">
        <v>4111</v>
      </c>
      <c r="D1298">
        <v>0</v>
      </c>
      <c r="E1298">
        <v>1</v>
      </c>
      <c r="F1298" s="1">
        <v>45825</v>
      </c>
      <c r="G1298">
        <f>_xlfn.XLOOKUP(F1298,'Wk no''s'!B:B,'Wk no''s'!C:C,0)</f>
        <v>25</v>
      </c>
    </row>
    <row r="1299" spans="1:7" x14ac:dyDescent="0.3">
      <c r="A1299" t="s">
        <v>4427</v>
      </c>
      <c r="B1299" t="s">
        <v>4428</v>
      </c>
      <c r="C1299" t="s">
        <v>4429</v>
      </c>
      <c r="D1299">
        <v>7</v>
      </c>
      <c r="E1299">
        <v>0</v>
      </c>
      <c r="F1299" s="1">
        <v>45825</v>
      </c>
      <c r="G1299">
        <f>_xlfn.XLOOKUP(F1299,'Wk no''s'!B:B,'Wk no''s'!C:C,0)</f>
        <v>25</v>
      </c>
    </row>
    <row r="1300" spans="1:7" x14ac:dyDescent="0.3">
      <c r="A1300" t="s">
        <v>4430</v>
      </c>
      <c r="B1300" t="s">
        <v>4431</v>
      </c>
      <c r="C1300" t="s">
        <v>3609</v>
      </c>
      <c r="D1300">
        <v>30</v>
      </c>
      <c r="E1300">
        <v>0</v>
      </c>
      <c r="F1300" s="1">
        <v>45825</v>
      </c>
      <c r="G1300">
        <f>_xlfn.XLOOKUP(F1300,'Wk no''s'!B:B,'Wk no''s'!C:C,0)</f>
        <v>25</v>
      </c>
    </row>
    <row r="1301" spans="1:7" x14ac:dyDescent="0.3">
      <c r="A1301" t="s">
        <v>4432</v>
      </c>
      <c r="B1301" t="s">
        <v>4433</v>
      </c>
      <c r="C1301" t="s">
        <v>1194</v>
      </c>
      <c r="D1301">
        <v>0</v>
      </c>
      <c r="E1301">
        <v>1</v>
      </c>
      <c r="F1301" s="1">
        <v>45825</v>
      </c>
      <c r="G1301">
        <f>_xlfn.XLOOKUP(F1301,'Wk no''s'!B:B,'Wk no''s'!C:C,0)</f>
        <v>25</v>
      </c>
    </row>
    <row r="1302" spans="1:7" x14ac:dyDescent="0.3">
      <c r="A1302" t="s">
        <v>4434</v>
      </c>
      <c r="B1302" t="s">
        <v>4435</v>
      </c>
      <c r="C1302" t="s">
        <v>4436</v>
      </c>
      <c r="D1302">
        <v>0</v>
      </c>
      <c r="E1302">
        <v>1</v>
      </c>
      <c r="F1302" s="1">
        <v>45825</v>
      </c>
      <c r="G1302">
        <f>_xlfn.XLOOKUP(F1302,'Wk no''s'!B:B,'Wk no''s'!C:C,0)</f>
        <v>25</v>
      </c>
    </row>
    <row r="1303" spans="1:7" x14ac:dyDescent="0.3">
      <c r="A1303" t="s">
        <v>4437</v>
      </c>
      <c r="B1303" t="s">
        <v>4438</v>
      </c>
      <c r="C1303" t="s">
        <v>4439</v>
      </c>
      <c r="D1303">
        <v>5</v>
      </c>
      <c r="E1303">
        <v>1</v>
      </c>
      <c r="F1303" s="1">
        <v>45825</v>
      </c>
      <c r="G1303">
        <f>_xlfn.XLOOKUP(F1303,'Wk no''s'!B:B,'Wk no''s'!C:C,0)</f>
        <v>25</v>
      </c>
    </row>
    <row r="1304" spans="1:7" x14ac:dyDescent="0.3">
      <c r="A1304" t="s">
        <v>4440</v>
      </c>
      <c r="B1304" t="s">
        <v>4441</v>
      </c>
      <c r="C1304" t="s">
        <v>39</v>
      </c>
      <c r="D1304">
        <v>5</v>
      </c>
      <c r="E1304">
        <v>1</v>
      </c>
      <c r="F1304" s="1">
        <v>45826</v>
      </c>
      <c r="G1304">
        <f>_xlfn.XLOOKUP(F1304,'Wk no''s'!B:B,'Wk no''s'!C:C,0)</f>
        <v>25</v>
      </c>
    </row>
    <row r="1305" spans="1:7" x14ac:dyDescent="0.3">
      <c r="A1305" t="s">
        <v>4442</v>
      </c>
      <c r="B1305" t="s">
        <v>4443</v>
      </c>
      <c r="C1305" t="s">
        <v>39</v>
      </c>
      <c r="D1305">
        <v>13</v>
      </c>
      <c r="E1305">
        <v>0</v>
      </c>
      <c r="F1305" s="1">
        <v>45826</v>
      </c>
      <c r="G1305">
        <f>_xlfn.XLOOKUP(F1305,'Wk no''s'!B:B,'Wk no''s'!C:C,0)</f>
        <v>25</v>
      </c>
    </row>
    <row r="1306" spans="1:7" x14ac:dyDescent="0.3">
      <c r="A1306" t="s">
        <v>4444</v>
      </c>
      <c r="B1306" t="s">
        <v>4445</v>
      </c>
      <c r="C1306" t="s">
        <v>39</v>
      </c>
      <c r="D1306">
        <v>13</v>
      </c>
      <c r="E1306">
        <v>0</v>
      </c>
      <c r="F1306" s="1">
        <v>45826</v>
      </c>
      <c r="G1306">
        <f>_xlfn.XLOOKUP(F1306,'Wk no''s'!B:B,'Wk no''s'!C:C,0)</f>
        <v>25</v>
      </c>
    </row>
    <row r="1307" spans="1:7" x14ac:dyDescent="0.3">
      <c r="A1307" t="s">
        <v>4446</v>
      </c>
      <c r="B1307" t="s">
        <v>4447</v>
      </c>
      <c r="C1307" t="s">
        <v>39</v>
      </c>
      <c r="D1307">
        <v>11</v>
      </c>
      <c r="E1307">
        <v>0</v>
      </c>
      <c r="F1307" s="1">
        <v>45826</v>
      </c>
      <c r="G1307">
        <f>_xlfn.XLOOKUP(F1307,'Wk no''s'!B:B,'Wk no''s'!C:C,0)</f>
        <v>25</v>
      </c>
    </row>
    <row r="1308" spans="1:7" x14ac:dyDescent="0.3">
      <c r="A1308" t="s">
        <v>4448</v>
      </c>
      <c r="B1308" t="s">
        <v>4449</v>
      </c>
      <c r="C1308" t="s">
        <v>39</v>
      </c>
      <c r="D1308">
        <v>26</v>
      </c>
      <c r="E1308">
        <v>0</v>
      </c>
      <c r="F1308" s="1">
        <v>45826</v>
      </c>
      <c r="G1308">
        <f>_xlfn.XLOOKUP(F1308,'Wk no''s'!B:B,'Wk no''s'!C:C,0)</f>
        <v>25</v>
      </c>
    </row>
    <row r="1309" spans="1:7" x14ac:dyDescent="0.3">
      <c r="A1309" t="s">
        <v>4450</v>
      </c>
      <c r="B1309" t="s">
        <v>4451</v>
      </c>
      <c r="C1309" t="s">
        <v>39</v>
      </c>
      <c r="D1309">
        <v>7</v>
      </c>
      <c r="E1309">
        <v>0</v>
      </c>
      <c r="F1309" s="1">
        <v>45826</v>
      </c>
      <c r="G1309">
        <f>_xlfn.XLOOKUP(F1309,'Wk no''s'!B:B,'Wk no''s'!C:C,0)</f>
        <v>25</v>
      </c>
    </row>
    <row r="1310" spans="1:7" x14ac:dyDescent="0.3">
      <c r="A1310" t="s">
        <v>4452</v>
      </c>
      <c r="B1310" t="s">
        <v>4453</v>
      </c>
      <c r="C1310" t="s">
        <v>39</v>
      </c>
      <c r="D1310">
        <v>3</v>
      </c>
      <c r="E1310">
        <v>1</v>
      </c>
      <c r="F1310" s="1">
        <v>45826</v>
      </c>
      <c r="G1310">
        <f>_xlfn.XLOOKUP(F1310,'Wk no''s'!B:B,'Wk no''s'!C:C,0)</f>
        <v>25</v>
      </c>
    </row>
    <row r="1311" spans="1:7" x14ac:dyDescent="0.3">
      <c r="A1311" t="s">
        <v>4454</v>
      </c>
      <c r="B1311" t="s">
        <v>4455</v>
      </c>
      <c r="C1311" t="s">
        <v>1117</v>
      </c>
      <c r="D1311">
        <v>0</v>
      </c>
      <c r="E1311">
        <v>1</v>
      </c>
      <c r="F1311" s="1">
        <v>45826</v>
      </c>
      <c r="G1311">
        <f>_xlfn.XLOOKUP(F1311,'Wk no''s'!B:B,'Wk no''s'!C:C,0)</f>
        <v>25</v>
      </c>
    </row>
    <row r="1312" spans="1:7" x14ac:dyDescent="0.3">
      <c r="A1312" t="s">
        <v>4456</v>
      </c>
      <c r="B1312" t="s">
        <v>4457</v>
      </c>
      <c r="C1312" t="s">
        <v>4458</v>
      </c>
      <c r="D1312">
        <v>27</v>
      </c>
      <c r="E1312">
        <v>0</v>
      </c>
      <c r="F1312" s="1">
        <v>45826</v>
      </c>
      <c r="G1312">
        <f>_xlfn.XLOOKUP(F1312,'Wk no''s'!B:B,'Wk no''s'!C:C,0)</f>
        <v>25</v>
      </c>
    </row>
    <row r="1313" spans="1:7" x14ac:dyDescent="0.3">
      <c r="A1313" t="s">
        <v>4459</v>
      </c>
      <c r="B1313" t="s">
        <v>4460</v>
      </c>
      <c r="C1313" t="s">
        <v>4461</v>
      </c>
      <c r="D1313">
        <v>25</v>
      </c>
      <c r="E1313">
        <v>0</v>
      </c>
      <c r="F1313" s="1">
        <v>45826</v>
      </c>
      <c r="G1313">
        <f>_xlfn.XLOOKUP(F1313,'Wk no''s'!B:B,'Wk no''s'!C:C,0)</f>
        <v>25</v>
      </c>
    </row>
    <row r="1314" spans="1:7" x14ac:dyDescent="0.3">
      <c r="A1314" t="s">
        <v>4462</v>
      </c>
      <c r="B1314" t="s">
        <v>4463</v>
      </c>
      <c r="C1314" t="s">
        <v>6908</v>
      </c>
      <c r="D1314">
        <v>8</v>
      </c>
      <c r="E1314">
        <v>0</v>
      </c>
      <c r="F1314" s="1">
        <v>45827</v>
      </c>
      <c r="G1314">
        <f>_xlfn.XLOOKUP(F1314,'Wk no''s'!B:B,'Wk no''s'!C:C,0)</f>
        <v>25</v>
      </c>
    </row>
    <row r="1315" spans="1:7" x14ac:dyDescent="0.3">
      <c r="A1315" t="s">
        <v>4464</v>
      </c>
      <c r="B1315" t="s">
        <v>4465</v>
      </c>
      <c r="C1315" t="s">
        <v>2648</v>
      </c>
      <c r="D1315">
        <v>0</v>
      </c>
      <c r="E1315">
        <v>1</v>
      </c>
      <c r="F1315" s="1">
        <v>45827</v>
      </c>
      <c r="G1315">
        <f>_xlfn.XLOOKUP(F1315,'Wk no''s'!B:B,'Wk no''s'!C:C,0)</f>
        <v>25</v>
      </c>
    </row>
    <row r="1316" spans="1:7" x14ac:dyDescent="0.3">
      <c r="A1316" t="s">
        <v>4466</v>
      </c>
      <c r="B1316" t="s">
        <v>4467</v>
      </c>
      <c r="C1316" t="s">
        <v>1639</v>
      </c>
      <c r="D1316">
        <v>0</v>
      </c>
      <c r="E1316">
        <v>1</v>
      </c>
      <c r="F1316" s="1">
        <v>45827</v>
      </c>
      <c r="G1316">
        <f>_xlfn.XLOOKUP(F1316,'Wk no''s'!B:B,'Wk no''s'!C:C,0)</f>
        <v>25</v>
      </c>
    </row>
    <row r="1317" spans="1:7" x14ac:dyDescent="0.3">
      <c r="A1317" t="s">
        <v>4468</v>
      </c>
      <c r="B1317" t="s">
        <v>4469</v>
      </c>
      <c r="C1317" t="s">
        <v>4470</v>
      </c>
      <c r="D1317">
        <v>6</v>
      </c>
      <c r="E1317">
        <v>0</v>
      </c>
      <c r="F1317" s="1">
        <v>45827</v>
      </c>
      <c r="G1317">
        <f>_xlfn.XLOOKUP(F1317,'Wk no''s'!B:B,'Wk no''s'!C:C,0)</f>
        <v>25</v>
      </c>
    </row>
    <row r="1318" spans="1:7" x14ac:dyDescent="0.3">
      <c r="A1318" t="s">
        <v>4471</v>
      </c>
      <c r="C1318" t="s">
        <v>386</v>
      </c>
      <c r="D1318">
        <v>75</v>
      </c>
      <c r="E1318">
        <v>0</v>
      </c>
      <c r="F1318" s="1">
        <v>45827</v>
      </c>
      <c r="G1318">
        <f>_xlfn.XLOOKUP(F1318,'Wk no''s'!B:B,'Wk no''s'!C:C,0)</f>
        <v>25</v>
      </c>
    </row>
    <row r="1319" spans="1:7" x14ac:dyDescent="0.3">
      <c r="A1319" t="s">
        <v>4472</v>
      </c>
      <c r="B1319" t="s">
        <v>4473</v>
      </c>
      <c r="C1319" t="s">
        <v>4474</v>
      </c>
      <c r="D1319">
        <v>0</v>
      </c>
      <c r="E1319">
        <v>1</v>
      </c>
      <c r="F1319" s="1">
        <v>45827</v>
      </c>
      <c r="G1319">
        <f>_xlfn.XLOOKUP(F1319,'Wk no''s'!B:B,'Wk no''s'!C:C,0)</f>
        <v>25</v>
      </c>
    </row>
    <row r="1320" spans="1:7" x14ac:dyDescent="0.3">
      <c r="A1320" t="s">
        <v>4475</v>
      </c>
      <c r="B1320" t="s">
        <v>4476</v>
      </c>
      <c r="C1320" t="s">
        <v>1889</v>
      </c>
      <c r="D1320">
        <v>0</v>
      </c>
      <c r="E1320">
        <v>1</v>
      </c>
      <c r="F1320" s="1">
        <v>45827</v>
      </c>
      <c r="G1320">
        <f>_xlfn.XLOOKUP(F1320,'Wk no''s'!B:B,'Wk no''s'!C:C,0)</f>
        <v>25</v>
      </c>
    </row>
    <row r="1321" spans="1:7" x14ac:dyDescent="0.3">
      <c r="A1321" t="s">
        <v>4477</v>
      </c>
      <c r="C1321" t="s">
        <v>3993</v>
      </c>
      <c r="D1321">
        <v>83</v>
      </c>
      <c r="E1321">
        <v>0</v>
      </c>
      <c r="F1321" s="1">
        <v>45827</v>
      </c>
      <c r="G1321">
        <f>_xlfn.XLOOKUP(F1321,'Wk no''s'!B:B,'Wk no''s'!C:C,0)</f>
        <v>25</v>
      </c>
    </row>
    <row r="1322" spans="1:7" x14ac:dyDescent="0.3">
      <c r="A1322" t="s">
        <v>4478</v>
      </c>
      <c r="B1322" t="s">
        <v>4479</v>
      </c>
      <c r="C1322" t="s">
        <v>4480</v>
      </c>
      <c r="D1322">
        <v>5</v>
      </c>
      <c r="E1322">
        <v>1</v>
      </c>
      <c r="F1322" s="1">
        <v>45827</v>
      </c>
      <c r="G1322">
        <f>_xlfn.XLOOKUP(F1322,'Wk no''s'!B:B,'Wk no''s'!C:C,0)</f>
        <v>25</v>
      </c>
    </row>
    <row r="1323" spans="1:7" x14ac:dyDescent="0.3">
      <c r="A1323" t="s">
        <v>4481</v>
      </c>
      <c r="B1323" t="s">
        <v>4482</v>
      </c>
      <c r="C1323" t="s">
        <v>1587</v>
      </c>
      <c r="D1323">
        <v>0</v>
      </c>
      <c r="E1323">
        <v>1</v>
      </c>
      <c r="F1323" s="1">
        <v>45827</v>
      </c>
      <c r="G1323">
        <f>_xlfn.XLOOKUP(F1323,'Wk no''s'!B:B,'Wk no''s'!C:C,0)</f>
        <v>25</v>
      </c>
    </row>
    <row r="1324" spans="1:7" x14ac:dyDescent="0.3">
      <c r="A1324" t="s">
        <v>4483</v>
      </c>
      <c r="B1324" t="s">
        <v>4484</v>
      </c>
      <c r="C1324" t="s">
        <v>5494</v>
      </c>
      <c r="D1324">
        <v>0</v>
      </c>
      <c r="E1324">
        <v>1</v>
      </c>
      <c r="F1324" s="1">
        <v>45827</v>
      </c>
      <c r="G1324">
        <f>_xlfn.XLOOKUP(F1324,'Wk no''s'!B:B,'Wk no''s'!C:C,0)</f>
        <v>25</v>
      </c>
    </row>
    <row r="1325" spans="1:7" x14ac:dyDescent="0.3">
      <c r="A1325" t="s">
        <v>4485</v>
      </c>
      <c r="B1325" t="s">
        <v>4486</v>
      </c>
      <c r="C1325" t="s">
        <v>197</v>
      </c>
      <c r="D1325">
        <v>0</v>
      </c>
      <c r="E1325">
        <v>1</v>
      </c>
      <c r="F1325" s="1">
        <v>45827</v>
      </c>
      <c r="G1325">
        <f>_xlfn.XLOOKUP(F1325,'Wk no''s'!B:B,'Wk no''s'!C:C,0)</f>
        <v>25</v>
      </c>
    </row>
    <row r="1326" spans="1:7" x14ac:dyDescent="0.3">
      <c r="A1326" t="s">
        <v>4487</v>
      </c>
      <c r="B1326" t="s">
        <v>4488</v>
      </c>
      <c r="C1326" t="s">
        <v>3955</v>
      </c>
      <c r="D1326">
        <v>0</v>
      </c>
      <c r="E1326">
        <v>1</v>
      </c>
      <c r="F1326" s="1">
        <v>45827</v>
      </c>
      <c r="G1326">
        <f>_xlfn.XLOOKUP(F1326,'Wk no''s'!B:B,'Wk no''s'!C:C,0)</f>
        <v>25</v>
      </c>
    </row>
    <row r="1327" spans="1:7" x14ac:dyDescent="0.3">
      <c r="A1327" t="s">
        <v>4489</v>
      </c>
      <c r="B1327" t="s">
        <v>4383</v>
      </c>
      <c r="C1327" t="s">
        <v>160</v>
      </c>
      <c r="D1327">
        <v>7</v>
      </c>
      <c r="E1327">
        <v>0</v>
      </c>
      <c r="F1327" s="1">
        <v>45827</v>
      </c>
      <c r="G1327">
        <f>_xlfn.XLOOKUP(F1327,'Wk no''s'!B:B,'Wk no''s'!C:C,0)</f>
        <v>25</v>
      </c>
    </row>
    <row r="1328" spans="1:7" x14ac:dyDescent="0.3">
      <c r="A1328" t="s">
        <v>4490</v>
      </c>
      <c r="B1328" t="s">
        <v>4491</v>
      </c>
      <c r="C1328" t="s">
        <v>160</v>
      </c>
      <c r="D1328">
        <v>37</v>
      </c>
      <c r="E1328">
        <v>0</v>
      </c>
      <c r="F1328" s="1">
        <v>45827</v>
      </c>
      <c r="G1328">
        <f>_xlfn.XLOOKUP(F1328,'Wk no''s'!B:B,'Wk no''s'!C:C,0)</f>
        <v>25</v>
      </c>
    </row>
    <row r="1329" spans="1:7" x14ac:dyDescent="0.3">
      <c r="A1329" t="s">
        <v>4492</v>
      </c>
      <c r="B1329" t="s">
        <v>4493</v>
      </c>
      <c r="C1329" t="s">
        <v>4494</v>
      </c>
      <c r="D1329">
        <v>5</v>
      </c>
      <c r="E1329">
        <v>1</v>
      </c>
      <c r="F1329" s="1">
        <v>45828</v>
      </c>
      <c r="G1329">
        <f>_xlfn.XLOOKUP(F1329,'Wk no''s'!B:B,'Wk no''s'!C:C,0)</f>
        <v>25</v>
      </c>
    </row>
    <row r="1330" spans="1:7" x14ac:dyDescent="0.3">
      <c r="A1330" t="s">
        <v>4495</v>
      </c>
      <c r="B1330" t="s">
        <v>4496</v>
      </c>
      <c r="C1330" t="s">
        <v>75</v>
      </c>
      <c r="D1330">
        <v>0</v>
      </c>
      <c r="E1330">
        <v>1</v>
      </c>
      <c r="F1330" s="1">
        <v>45828</v>
      </c>
      <c r="G1330">
        <f>_xlfn.XLOOKUP(F1330,'Wk no''s'!B:B,'Wk no''s'!C:C,0)</f>
        <v>25</v>
      </c>
    </row>
    <row r="1331" spans="1:7" x14ac:dyDescent="0.3">
      <c r="A1331" t="s">
        <v>4497</v>
      </c>
      <c r="B1331" t="s">
        <v>4498</v>
      </c>
      <c r="C1331" t="s">
        <v>4499</v>
      </c>
      <c r="D1331">
        <v>1</v>
      </c>
      <c r="E1331">
        <v>1</v>
      </c>
      <c r="F1331" s="1">
        <v>45828</v>
      </c>
      <c r="G1331">
        <f>_xlfn.XLOOKUP(F1331,'Wk no''s'!B:B,'Wk no''s'!C:C,0)</f>
        <v>25</v>
      </c>
    </row>
    <row r="1332" spans="1:7" x14ac:dyDescent="0.3">
      <c r="A1332" t="s">
        <v>4500</v>
      </c>
      <c r="B1332" t="s">
        <v>4501</v>
      </c>
      <c r="C1332" t="s">
        <v>197</v>
      </c>
      <c r="D1332">
        <v>0</v>
      </c>
      <c r="E1332">
        <v>1</v>
      </c>
      <c r="F1332" s="1">
        <v>45828</v>
      </c>
      <c r="G1332">
        <f>_xlfn.XLOOKUP(F1332,'Wk no''s'!B:B,'Wk no''s'!C:C,0)</f>
        <v>25</v>
      </c>
    </row>
    <row r="1333" spans="1:7" x14ac:dyDescent="0.3">
      <c r="A1333" t="s">
        <v>4502</v>
      </c>
      <c r="B1333" t="s">
        <v>4503</v>
      </c>
      <c r="C1333" t="s">
        <v>550</v>
      </c>
      <c r="D1333">
        <v>1</v>
      </c>
      <c r="E1333">
        <v>1</v>
      </c>
      <c r="F1333" s="1">
        <v>45828</v>
      </c>
      <c r="G1333">
        <f>_xlfn.XLOOKUP(F1333,'Wk no''s'!B:B,'Wk no''s'!C:C,0)</f>
        <v>25</v>
      </c>
    </row>
    <row r="1334" spans="1:7" x14ac:dyDescent="0.3">
      <c r="A1334" t="s">
        <v>4545</v>
      </c>
      <c r="B1334" t="s">
        <v>4546</v>
      </c>
      <c r="C1334" t="s">
        <v>3855</v>
      </c>
      <c r="D1334">
        <v>1</v>
      </c>
      <c r="E1334">
        <v>1</v>
      </c>
      <c r="F1334" s="1">
        <v>45829</v>
      </c>
      <c r="G1334">
        <f>_xlfn.XLOOKUP(F1334,'Wk no''s'!B:B,'Wk no''s'!C:C,0)</f>
        <v>26</v>
      </c>
    </row>
    <row r="1335" spans="1:7" x14ac:dyDescent="0.3">
      <c r="A1335" t="s">
        <v>4547</v>
      </c>
      <c r="B1335" t="s">
        <v>4548</v>
      </c>
      <c r="C1335" t="s">
        <v>3716</v>
      </c>
      <c r="D1335">
        <v>2</v>
      </c>
      <c r="E1335">
        <v>1</v>
      </c>
      <c r="F1335" s="1">
        <v>45829</v>
      </c>
      <c r="G1335">
        <f>_xlfn.XLOOKUP(F1335,'Wk no''s'!B:B,'Wk no''s'!C:C,0)</f>
        <v>26</v>
      </c>
    </row>
    <row r="1336" spans="1:7" x14ac:dyDescent="0.3">
      <c r="A1336" t="s">
        <v>4549</v>
      </c>
      <c r="B1336" t="s">
        <v>4550</v>
      </c>
      <c r="C1336" t="s">
        <v>197</v>
      </c>
      <c r="D1336">
        <v>4</v>
      </c>
      <c r="E1336">
        <v>1</v>
      </c>
      <c r="F1336" s="1">
        <v>45829</v>
      </c>
      <c r="G1336">
        <f>_xlfn.XLOOKUP(F1336,'Wk no''s'!B:B,'Wk no''s'!C:C,0)</f>
        <v>26</v>
      </c>
    </row>
    <row r="1337" spans="1:7" x14ac:dyDescent="0.3">
      <c r="A1337" t="s">
        <v>4551</v>
      </c>
      <c r="B1337" t="s">
        <v>4552</v>
      </c>
      <c r="C1337" t="s">
        <v>75</v>
      </c>
      <c r="D1337">
        <v>0</v>
      </c>
      <c r="E1337">
        <v>1</v>
      </c>
      <c r="F1337" s="1">
        <v>45829</v>
      </c>
      <c r="G1337">
        <f>_xlfn.XLOOKUP(F1337,'Wk no''s'!B:B,'Wk no''s'!C:C,0)</f>
        <v>26</v>
      </c>
    </row>
    <row r="1338" spans="1:7" x14ac:dyDescent="0.3">
      <c r="A1338" t="s">
        <v>4553</v>
      </c>
      <c r="B1338" t="s">
        <v>4554</v>
      </c>
      <c r="C1338" t="s">
        <v>1619</v>
      </c>
      <c r="D1338">
        <v>0</v>
      </c>
      <c r="E1338">
        <v>1</v>
      </c>
      <c r="F1338" s="1">
        <v>45829</v>
      </c>
      <c r="G1338">
        <f>_xlfn.XLOOKUP(F1338,'Wk no''s'!B:B,'Wk no''s'!C:C,0)</f>
        <v>26</v>
      </c>
    </row>
    <row r="1339" spans="1:7" x14ac:dyDescent="0.3">
      <c r="A1339" t="s">
        <v>4555</v>
      </c>
      <c r="B1339" t="s">
        <v>4556</v>
      </c>
      <c r="C1339" t="s">
        <v>4557</v>
      </c>
      <c r="D1339">
        <v>0</v>
      </c>
      <c r="E1339">
        <v>1</v>
      </c>
      <c r="F1339" s="1">
        <v>45831</v>
      </c>
      <c r="G1339">
        <f>_xlfn.XLOOKUP(F1339,'Wk no''s'!B:B,'Wk no''s'!C:C,0)</f>
        <v>26</v>
      </c>
    </row>
    <row r="1340" spans="1:7" x14ac:dyDescent="0.3">
      <c r="A1340" t="s">
        <v>4558</v>
      </c>
      <c r="B1340" t="s">
        <v>4559</v>
      </c>
      <c r="C1340" t="s">
        <v>2291</v>
      </c>
      <c r="D1340">
        <v>0</v>
      </c>
      <c r="E1340">
        <v>1</v>
      </c>
      <c r="F1340" s="1">
        <v>45831</v>
      </c>
      <c r="G1340">
        <f>_xlfn.XLOOKUP(F1340,'Wk no''s'!B:B,'Wk no''s'!C:C,0)</f>
        <v>26</v>
      </c>
    </row>
    <row r="1341" spans="1:7" x14ac:dyDescent="0.3">
      <c r="A1341" t="s">
        <v>4560</v>
      </c>
      <c r="B1341" t="s">
        <v>4561</v>
      </c>
      <c r="C1341" t="s">
        <v>550</v>
      </c>
      <c r="D1341">
        <v>8</v>
      </c>
      <c r="E1341">
        <v>0</v>
      </c>
      <c r="F1341" s="1">
        <v>45831</v>
      </c>
      <c r="G1341">
        <f>_xlfn.XLOOKUP(F1341,'Wk no''s'!B:B,'Wk no''s'!C:C,0)</f>
        <v>26</v>
      </c>
    </row>
    <row r="1342" spans="1:7" x14ac:dyDescent="0.3">
      <c r="A1342" t="s">
        <v>4562</v>
      </c>
      <c r="B1342" t="s">
        <v>4563</v>
      </c>
      <c r="C1342" t="s">
        <v>4564</v>
      </c>
      <c r="D1342">
        <v>2</v>
      </c>
      <c r="E1342">
        <v>1</v>
      </c>
      <c r="F1342" s="1">
        <v>45831</v>
      </c>
      <c r="G1342">
        <f>_xlfn.XLOOKUP(F1342,'Wk no''s'!B:B,'Wk no''s'!C:C,0)</f>
        <v>26</v>
      </c>
    </row>
    <row r="1343" spans="1:7" x14ac:dyDescent="0.3">
      <c r="A1343" t="s">
        <v>4565</v>
      </c>
      <c r="B1343" t="s">
        <v>4566</v>
      </c>
      <c r="C1343" t="s">
        <v>75</v>
      </c>
      <c r="D1343">
        <v>0</v>
      </c>
      <c r="E1343">
        <v>1</v>
      </c>
      <c r="F1343" s="1">
        <v>45831</v>
      </c>
      <c r="G1343">
        <f>_xlfn.XLOOKUP(F1343,'Wk no''s'!B:B,'Wk no''s'!C:C,0)</f>
        <v>26</v>
      </c>
    </row>
    <row r="1344" spans="1:7" x14ac:dyDescent="0.3">
      <c r="A1344" t="s">
        <v>4567</v>
      </c>
      <c r="B1344" t="s">
        <v>4568</v>
      </c>
      <c r="C1344" t="s">
        <v>4569</v>
      </c>
      <c r="D1344">
        <v>0</v>
      </c>
      <c r="E1344">
        <v>1</v>
      </c>
      <c r="F1344" s="1">
        <v>45831</v>
      </c>
      <c r="G1344">
        <f>_xlfn.XLOOKUP(F1344,'Wk no''s'!B:B,'Wk no''s'!C:C,0)</f>
        <v>26</v>
      </c>
    </row>
    <row r="1345" spans="1:7" x14ac:dyDescent="0.3">
      <c r="A1345" t="s">
        <v>4570</v>
      </c>
      <c r="B1345" t="s">
        <v>4571</v>
      </c>
      <c r="C1345" t="s">
        <v>3794</v>
      </c>
      <c r="D1345">
        <v>0</v>
      </c>
      <c r="E1345">
        <v>1</v>
      </c>
      <c r="F1345" s="1">
        <v>45831</v>
      </c>
      <c r="G1345">
        <f>_xlfn.XLOOKUP(F1345,'Wk no''s'!B:B,'Wk no''s'!C:C,0)</f>
        <v>26</v>
      </c>
    </row>
    <row r="1346" spans="1:7" x14ac:dyDescent="0.3">
      <c r="A1346" t="s">
        <v>4572</v>
      </c>
      <c r="B1346" t="s">
        <v>4573</v>
      </c>
      <c r="C1346" t="s">
        <v>4574</v>
      </c>
      <c r="D1346">
        <v>8</v>
      </c>
      <c r="E1346">
        <v>0</v>
      </c>
      <c r="F1346" s="1">
        <v>45832</v>
      </c>
      <c r="G1346">
        <f>_xlfn.XLOOKUP(F1346,'Wk no''s'!B:B,'Wk no''s'!C:C,0)</f>
        <v>26</v>
      </c>
    </row>
    <row r="1347" spans="1:7" x14ac:dyDescent="0.3">
      <c r="A1347" t="s">
        <v>4575</v>
      </c>
      <c r="B1347" t="s">
        <v>4576</v>
      </c>
      <c r="C1347" t="s">
        <v>4577</v>
      </c>
      <c r="D1347">
        <v>25</v>
      </c>
      <c r="E1347">
        <v>0</v>
      </c>
      <c r="F1347" s="1">
        <v>45832</v>
      </c>
      <c r="G1347">
        <f>_xlfn.XLOOKUP(F1347,'Wk no''s'!B:B,'Wk no''s'!C:C,0)</f>
        <v>26</v>
      </c>
    </row>
    <row r="1348" spans="1:7" x14ac:dyDescent="0.3">
      <c r="A1348" t="s">
        <v>4578</v>
      </c>
      <c r="B1348" t="s">
        <v>4579</v>
      </c>
      <c r="C1348" t="s">
        <v>4168</v>
      </c>
      <c r="D1348">
        <v>0</v>
      </c>
      <c r="E1348">
        <v>1</v>
      </c>
      <c r="F1348" s="1">
        <v>45832</v>
      </c>
      <c r="G1348">
        <f>_xlfn.XLOOKUP(F1348,'Wk no''s'!B:B,'Wk no''s'!C:C,0)</f>
        <v>26</v>
      </c>
    </row>
    <row r="1349" spans="1:7" x14ac:dyDescent="0.3">
      <c r="A1349" t="s">
        <v>4580</v>
      </c>
      <c r="B1349" t="s">
        <v>4581</v>
      </c>
      <c r="C1349" t="s">
        <v>525</v>
      </c>
      <c r="D1349">
        <v>12</v>
      </c>
      <c r="E1349">
        <v>0</v>
      </c>
      <c r="F1349" s="1">
        <v>45832</v>
      </c>
      <c r="G1349">
        <f>_xlfn.XLOOKUP(F1349,'Wk no''s'!B:B,'Wk no''s'!C:C,0)</f>
        <v>26</v>
      </c>
    </row>
    <row r="1350" spans="1:7" x14ac:dyDescent="0.3">
      <c r="A1350" t="s">
        <v>4582</v>
      </c>
      <c r="B1350" t="s">
        <v>4583</v>
      </c>
      <c r="C1350" t="s">
        <v>2</v>
      </c>
      <c r="D1350">
        <v>0</v>
      </c>
      <c r="E1350">
        <v>1</v>
      </c>
      <c r="F1350" s="1">
        <v>45832</v>
      </c>
      <c r="G1350">
        <f>_xlfn.XLOOKUP(F1350,'Wk no''s'!B:B,'Wk no''s'!C:C,0)</f>
        <v>26</v>
      </c>
    </row>
    <row r="1351" spans="1:7" x14ac:dyDescent="0.3">
      <c r="A1351" t="s">
        <v>4584</v>
      </c>
      <c r="B1351" t="s">
        <v>4585</v>
      </c>
      <c r="C1351" t="s">
        <v>4586</v>
      </c>
      <c r="D1351">
        <v>0</v>
      </c>
      <c r="E1351">
        <v>1</v>
      </c>
      <c r="F1351" s="1">
        <v>45832</v>
      </c>
      <c r="G1351">
        <f>_xlfn.XLOOKUP(F1351,'Wk no''s'!B:B,'Wk no''s'!C:C,0)</f>
        <v>26</v>
      </c>
    </row>
    <row r="1352" spans="1:7" x14ac:dyDescent="0.3">
      <c r="A1352" t="s">
        <v>4587</v>
      </c>
      <c r="B1352" t="s">
        <v>4588</v>
      </c>
      <c r="C1352" t="s">
        <v>4404</v>
      </c>
      <c r="D1352">
        <v>0</v>
      </c>
      <c r="E1352">
        <v>1</v>
      </c>
      <c r="F1352" s="1">
        <v>45832</v>
      </c>
      <c r="G1352">
        <f>_xlfn.XLOOKUP(F1352,'Wk no''s'!B:B,'Wk no''s'!C:C,0)</f>
        <v>26</v>
      </c>
    </row>
    <row r="1353" spans="1:7" x14ac:dyDescent="0.3">
      <c r="A1353" t="s">
        <v>4589</v>
      </c>
      <c r="B1353" t="s">
        <v>4590</v>
      </c>
      <c r="C1353" t="s">
        <v>3517</v>
      </c>
      <c r="D1353">
        <v>4</v>
      </c>
      <c r="E1353">
        <v>1</v>
      </c>
      <c r="F1353" s="1">
        <v>45832</v>
      </c>
      <c r="G1353">
        <f>_xlfn.XLOOKUP(F1353,'Wk no''s'!B:B,'Wk no''s'!C:C,0)</f>
        <v>26</v>
      </c>
    </row>
    <row r="1354" spans="1:7" x14ac:dyDescent="0.3">
      <c r="A1354" t="s">
        <v>4591</v>
      </c>
      <c r="B1354" t="s">
        <v>2702</v>
      </c>
      <c r="D1354">
        <v>0</v>
      </c>
      <c r="E1354">
        <v>1</v>
      </c>
      <c r="F1354" s="1">
        <v>45832</v>
      </c>
      <c r="G1354">
        <f>_xlfn.XLOOKUP(F1354,'Wk no''s'!B:B,'Wk no''s'!C:C,0)</f>
        <v>26</v>
      </c>
    </row>
    <row r="1355" spans="1:7" x14ac:dyDescent="0.3">
      <c r="A1355" t="s">
        <v>4592</v>
      </c>
      <c r="B1355" t="s">
        <v>4593</v>
      </c>
      <c r="C1355" t="s">
        <v>4594</v>
      </c>
      <c r="D1355">
        <v>1</v>
      </c>
      <c r="E1355">
        <v>1</v>
      </c>
      <c r="F1355" s="1">
        <v>45832</v>
      </c>
      <c r="G1355">
        <f>_xlfn.XLOOKUP(F1355,'Wk no''s'!B:B,'Wk no''s'!C:C,0)</f>
        <v>26</v>
      </c>
    </row>
    <row r="1356" spans="1:7" x14ac:dyDescent="0.3">
      <c r="A1356" t="s">
        <v>4595</v>
      </c>
      <c r="B1356" t="s">
        <v>4596</v>
      </c>
      <c r="C1356" t="s">
        <v>4597</v>
      </c>
      <c r="D1356">
        <v>9</v>
      </c>
      <c r="E1356">
        <v>0</v>
      </c>
      <c r="F1356" s="1">
        <v>45832</v>
      </c>
      <c r="G1356">
        <f>_xlfn.XLOOKUP(F1356,'Wk no''s'!B:B,'Wk no''s'!C:C,0)</f>
        <v>26</v>
      </c>
    </row>
    <row r="1357" spans="1:7" x14ac:dyDescent="0.3">
      <c r="A1357" t="s">
        <v>4598</v>
      </c>
      <c r="B1357" t="s">
        <v>4599</v>
      </c>
      <c r="C1357" t="s">
        <v>4600</v>
      </c>
      <c r="D1357">
        <v>18</v>
      </c>
      <c r="E1357">
        <v>0</v>
      </c>
      <c r="F1357" s="1">
        <v>45832</v>
      </c>
      <c r="G1357">
        <f>_xlfn.XLOOKUP(F1357,'Wk no''s'!B:B,'Wk no''s'!C:C,0)</f>
        <v>26</v>
      </c>
    </row>
    <row r="1358" spans="1:7" x14ac:dyDescent="0.3">
      <c r="A1358" t="s">
        <v>4601</v>
      </c>
      <c r="B1358" t="s">
        <v>4602</v>
      </c>
      <c r="C1358" t="s">
        <v>36</v>
      </c>
      <c r="D1358">
        <v>0</v>
      </c>
      <c r="E1358">
        <v>1</v>
      </c>
      <c r="F1358" s="1">
        <v>45832</v>
      </c>
      <c r="G1358">
        <f>_xlfn.XLOOKUP(F1358,'Wk no''s'!B:B,'Wk no''s'!C:C,0)</f>
        <v>26</v>
      </c>
    </row>
    <row r="1359" spans="1:7" x14ac:dyDescent="0.3">
      <c r="A1359" t="s">
        <v>4603</v>
      </c>
      <c r="B1359" t="s">
        <v>4604</v>
      </c>
      <c r="C1359" t="s">
        <v>4605</v>
      </c>
      <c r="D1359">
        <v>2</v>
      </c>
      <c r="E1359">
        <v>1</v>
      </c>
      <c r="F1359" s="1">
        <v>45833</v>
      </c>
      <c r="G1359">
        <f>_xlfn.XLOOKUP(F1359,'Wk no''s'!B:B,'Wk no''s'!C:C,0)</f>
        <v>26</v>
      </c>
    </row>
    <row r="1360" spans="1:7" x14ac:dyDescent="0.3">
      <c r="A1360" t="s">
        <v>4606</v>
      </c>
      <c r="B1360" t="s">
        <v>4607</v>
      </c>
      <c r="C1360" t="s">
        <v>809</v>
      </c>
      <c r="D1360">
        <v>0</v>
      </c>
      <c r="E1360">
        <v>1</v>
      </c>
      <c r="F1360" s="1">
        <v>45833</v>
      </c>
      <c r="G1360">
        <f>_xlfn.XLOOKUP(F1360,'Wk no''s'!B:B,'Wk no''s'!C:C,0)</f>
        <v>26</v>
      </c>
    </row>
    <row r="1361" spans="1:7" x14ac:dyDescent="0.3">
      <c r="A1361" t="s">
        <v>4608</v>
      </c>
      <c r="B1361" t="s">
        <v>4609</v>
      </c>
      <c r="C1361" t="s">
        <v>1117</v>
      </c>
      <c r="D1361">
        <v>0</v>
      </c>
      <c r="E1361">
        <v>1</v>
      </c>
      <c r="F1361" s="1">
        <v>45833</v>
      </c>
      <c r="G1361">
        <f>_xlfn.XLOOKUP(F1361,'Wk no''s'!B:B,'Wk no''s'!C:C,0)</f>
        <v>26</v>
      </c>
    </row>
    <row r="1362" spans="1:7" x14ac:dyDescent="0.3">
      <c r="A1362" t="s">
        <v>4610</v>
      </c>
      <c r="B1362" t="s">
        <v>4611</v>
      </c>
      <c r="C1362" t="s">
        <v>15</v>
      </c>
      <c r="D1362">
        <v>0</v>
      </c>
      <c r="E1362">
        <v>1</v>
      </c>
      <c r="F1362" s="1">
        <v>45833</v>
      </c>
      <c r="G1362">
        <f>_xlfn.XLOOKUP(F1362,'Wk no''s'!B:B,'Wk no''s'!C:C,0)</f>
        <v>26</v>
      </c>
    </row>
    <row r="1363" spans="1:7" x14ac:dyDescent="0.3">
      <c r="A1363" t="s">
        <v>4612</v>
      </c>
      <c r="B1363" t="s">
        <v>4613</v>
      </c>
      <c r="C1363" t="s">
        <v>2474</v>
      </c>
      <c r="D1363">
        <v>1</v>
      </c>
      <c r="E1363">
        <v>1</v>
      </c>
      <c r="F1363" s="1">
        <v>45833</v>
      </c>
      <c r="G1363">
        <f>_xlfn.XLOOKUP(F1363,'Wk no''s'!B:B,'Wk no''s'!C:C,0)</f>
        <v>26</v>
      </c>
    </row>
    <row r="1364" spans="1:7" x14ac:dyDescent="0.3">
      <c r="A1364" t="s">
        <v>4614</v>
      </c>
      <c r="B1364" t="s">
        <v>4615</v>
      </c>
      <c r="C1364" t="s">
        <v>4616</v>
      </c>
      <c r="D1364">
        <v>13</v>
      </c>
      <c r="E1364">
        <v>0</v>
      </c>
      <c r="F1364" s="1">
        <v>45833</v>
      </c>
      <c r="G1364">
        <f>_xlfn.XLOOKUP(F1364,'Wk no''s'!B:B,'Wk no''s'!C:C,0)</f>
        <v>26</v>
      </c>
    </row>
    <row r="1365" spans="1:7" x14ac:dyDescent="0.3">
      <c r="A1365" t="s">
        <v>4617</v>
      </c>
      <c r="B1365" t="s">
        <v>4618</v>
      </c>
      <c r="C1365" t="s">
        <v>1856</v>
      </c>
      <c r="D1365">
        <v>8</v>
      </c>
      <c r="E1365">
        <v>0</v>
      </c>
      <c r="F1365" s="1">
        <v>45833</v>
      </c>
      <c r="G1365">
        <f>_xlfn.XLOOKUP(F1365,'Wk no''s'!B:B,'Wk no''s'!C:C,0)</f>
        <v>26</v>
      </c>
    </row>
    <row r="1366" spans="1:7" x14ac:dyDescent="0.3">
      <c r="A1366" t="s">
        <v>4619</v>
      </c>
      <c r="B1366" t="s">
        <v>4620</v>
      </c>
      <c r="C1366" t="s">
        <v>4621</v>
      </c>
      <c r="D1366">
        <v>2</v>
      </c>
      <c r="E1366">
        <v>1</v>
      </c>
      <c r="F1366" s="1">
        <v>45833</v>
      </c>
      <c r="G1366">
        <f>_xlfn.XLOOKUP(F1366,'Wk no''s'!B:B,'Wk no''s'!C:C,0)</f>
        <v>26</v>
      </c>
    </row>
    <row r="1367" spans="1:7" x14ac:dyDescent="0.3">
      <c r="A1367" t="s">
        <v>4622</v>
      </c>
      <c r="B1367" t="s">
        <v>4623</v>
      </c>
      <c r="C1367" t="s">
        <v>4624</v>
      </c>
      <c r="D1367">
        <v>13</v>
      </c>
      <c r="E1367">
        <v>0</v>
      </c>
      <c r="F1367" s="1">
        <v>45833</v>
      </c>
      <c r="G1367">
        <f>_xlfn.XLOOKUP(F1367,'Wk no''s'!B:B,'Wk no''s'!C:C,0)</f>
        <v>26</v>
      </c>
    </row>
    <row r="1368" spans="1:7" x14ac:dyDescent="0.3">
      <c r="A1368" t="s">
        <v>4625</v>
      </c>
      <c r="B1368" t="s">
        <v>4626</v>
      </c>
      <c r="C1368" t="s">
        <v>2789</v>
      </c>
      <c r="D1368">
        <v>0</v>
      </c>
      <c r="E1368">
        <v>1</v>
      </c>
      <c r="F1368" s="1">
        <v>45833</v>
      </c>
      <c r="G1368">
        <f>_xlfn.XLOOKUP(F1368,'Wk no''s'!B:B,'Wk no''s'!C:C,0)</f>
        <v>26</v>
      </c>
    </row>
    <row r="1369" spans="1:7" x14ac:dyDescent="0.3">
      <c r="A1369" t="s">
        <v>4627</v>
      </c>
      <c r="B1369" t="s">
        <v>4628</v>
      </c>
      <c r="C1369" t="s">
        <v>4629</v>
      </c>
      <c r="D1369">
        <v>0</v>
      </c>
      <c r="E1369">
        <v>1</v>
      </c>
      <c r="F1369" s="1">
        <v>45833</v>
      </c>
      <c r="G1369">
        <f>_xlfn.XLOOKUP(F1369,'Wk no''s'!B:B,'Wk no''s'!C:C,0)</f>
        <v>26</v>
      </c>
    </row>
    <row r="1370" spans="1:7" x14ac:dyDescent="0.3">
      <c r="A1370" t="s">
        <v>4630</v>
      </c>
      <c r="B1370" t="s">
        <v>4631</v>
      </c>
      <c r="C1370" t="s">
        <v>4632</v>
      </c>
      <c r="D1370">
        <v>8</v>
      </c>
      <c r="E1370">
        <v>0</v>
      </c>
      <c r="F1370" s="1">
        <v>45833</v>
      </c>
      <c r="G1370">
        <f>_xlfn.XLOOKUP(F1370,'Wk no''s'!B:B,'Wk no''s'!C:C,0)</f>
        <v>26</v>
      </c>
    </row>
    <row r="1371" spans="1:7" x14ac:dyDescent="0.3">
      <c r="A1371" t="s">
        <v>4633</v>
      </c>
      <c r="B1371" t="s">
        <v>4634</v>
      </c>
      <c r="C1371" t="s">
        <v>4635</v>
      </c>
      <c r="D1371">
        <v>50</v>
      </c>
      <c r="E1371">
        <v>0</v>
      </c>
      <c r="F1371" s="1">
        <v>45833</v>
      </c>
      <c r="G1371">
        <f>_xlfn.XLOOKUP(F1371,'Wk no''s'!B:B,'Wk no''s'!C:C,0)</f>
        <v>26</v>
      </c>
    </row>
    <row r="1372" spans="1:7" x14ac:dyDescent="0.3">
      <c r="A1372" t="s">
        <v>4636</v>
      </c>
      <c r="B1372" t="s">
        <v>4637</v>
      </c>
      <c r="C1372" t="s">
        <v>4638</v>
      </c>
      <c r="D1372">
        <v>14</v>
      </c>
      <c r="E1372">
        <v>0</v>
      </c>
      <c r="F1372" s="1">
        <v>45833</v>
      </c>
      <c r="G1372">
        <f>_xlfn.XLOOKUP(F1372,'Wk no''s'!B:B,'Wk no''s'!C:C,0)</f>
        <v>26</v>
      </c>
    </row>
    <row r="1373" spans="1:7" x14ac:dyDescent="0.3">
      <c r="A1373" t="s">
        <v>4639</v>
      </c>
      <c r="B1373" t="s">
        <v>4640</v>
      </c>
      <c r="C1373" t="s">
        <v>3943</v>
      </c>
      <c r="D1373">
        <v>13</v>
      </c>
      <c r="E1373">
        <v>0</v>
      </c>
      <c r="F1373" s="1">
        <v>45833</v>
      </c>
      <c r="G1373">
        <f>_xlfn.XLOOKUP(F1373,'Wk no''s'!B:B,'Wk no''s'!C:C,0)</f>
        <v>26</v>
      </c>
    </row>
    <row r="1374" spans="1:7" x14ac:dyDescent="0.3">
      <c r="A1374" t="s">
        <v>4641</v>
      </c>
      <c r="B1374" t="s">
        <v>4642</v>
      </c>
      <c r="C1374" t="s">
        <v>4074</v>
      </c>
      <c r="D1374">
        <v>4</v>
      </c>
      <c r="E1374">
        <v>1</v>
      </c>
      <c r="F1374" s="1">
        <v>45833</v>
      </c>
      <c r="G1374">
        <f>_xlfn.XLOOKUP(F1374,'Wk no''s'!B:B,'Wk no''s'!C:C,0)</f>
        <v>26</v>
      </c>
    </row>
    <row r="1375" spans="1:7" x14ac:dyDescent="0.3">
      <c r="A1375" t="s">
        <v>4643</v>
      </c>
      <c r="B1375" t="s">
        <v>4644</v>
      </c>
      <c r="C1375" t="s">
        <v>4645</v>
      </c>
      <c r="D1375">
        <v>0</v>
      </c>
      <c r="E1375">
        <v>1</v>
      </c>
      <c r="F1375" s="1">
        <v>45834</v>
      </c>
      <c r="G1375">
        <f>_xlfn.XLOOKUP(F1375,'Wk no''s'!B:B,'Wk no''s'!C:C,0)</f>
        <v>26</v>
      </c>
    </row>
    <row r="1376" spans="1:7" x14ac:dyDescent="0.3">
      <c r="A1376" t="s">
        <v>4646</v>
      </c>
      <c r="B1376" t="s">
        <v>4647</v>
      </c>
      <c r="C1376" t="s">
        <v>4648</v>
      </c>
      <c r="D1376">
        <v>0</v>
      </c>
      <c r="E1376">
        <v>1</v>
      </c>
      <c r="F1376" s="1">
        <v>45834</v>
      </c>
      <c r="G1376">
        <f>_xlfn.XLOOKUP(F1376,'Wk no''s'!B:B,'Wk no''s'!C:C,0)</f>
        <v>26</v>
      </c>
    </row>
    <row r="1377" spans="1:7" x14ac:dyDescent="0.3">
      <c r="A1377" t="s">
        <v>4649</v>
      </c>
      <c r="B1377" t="s">
        <v>4650</v>
      </c>
      <c r="C1377" t="s">
        <v>15</v>
      </c>
      <c r="D1377">
        <v>0</v>
      </c>
      <c r="E1377">
        <v>1</v>
      </c>
      <c r="F1377" s="1">
        <v>45834</v>
      </c>
      <c r="G1377">
        <f>_xlfn.XLOOKUP(F1377,'Wk no''s'!B:B,'Wk no''s'!C:C,0)</f>
        <v>26</v>
      </c>
    </row>
    <row r="1378" spans="1:7" x14ac:dyDescent="0.3">
      <c r="A1378" t="s">
        <v>4651</v>
      </c>
      <c r="B1378" t="s">
        <v>4652</v>
      </c>
      <c r="C1378" t="s">
        <v>2451</v>
      </c>
      <c r="D1378">
        <v>0</v>
      </c>
      <c r="E1378">
        <v>1</v>
      </c>
      <c r="F1378" s="1">
        <v>45834</v>
      </c>
      <c r="G1378">
        <f>_xlfn.XLOOKUP(F1378,'Wk no''s'!B:B,'Wk no''s'!C:C,0)</f>
        <v>26</v>
      </c>
    </row>
    <row r="1379" spans="1:7" x14ac:dyDescent="0.3">
      <c r="A1379" t="s">
        <v>4653</v>
      </c>
      <c r="B1379" t="s">
        <v>4654</v>
      </c>
      <c r="C1379" t="s">
        <v>3450</v>
      </c>
      <c r="D1379">
        <v>0</v>
      </c>
      <c r="E1379">
        <v>1</v>
      </c>
      <c r="F1379" s="1">
        <v>45834</v>
      </c>
      <c r="G1379">
        <f>_xlfn.XLOOKUP(F1379,'Wk no''s'!B:B,'Wk no''s'!C:C,0)</f>
        <v>26</v>
      </c>
    </row>
    <row r="1380" spans="1:7" x14ac:dyDescent="0.3">
      <c r="A1380" t="s">
        <v>4655</v>
      </c>
      <c r="B1380" t="s">
        <v>4656</v>
      </c>
      <c r="C1380" t="s">
        <v>1117</v>
      </c>
      <c r="D1380">
        <v>0</v>
      </c>
      <c r="E1380">
        <v>1</v>
      </c>
      <c r="F1380" s="1">
        <v>45834</v>
      </c>
      <c r="G1380">
        <f>_xlfn.XLOOKUP(F1380,'Wk no''s'!B:B,'Wk no''s'!C:C,0)</f>
        <v>26</v>
      </c>
    </row>
    <row r="1381" spans="1:7" x14ac:dyDescent="0.3">
      <c r="A1381" t="s">
        <v>4657</v>
      </c>
      <c r="B1381" t="s">
        <v>4658</v>
      </c>
      <c r="C1381" t="s">
        <v>4659</v>
      </c>
      <c r="D1381">
        <v>0</v>
      </c>
      <c r="E1381">
        <v>1</v>
      </c>
      <c r="F1381" s="1">
        <v>45835</v>
      </c>
      <c r="G1381">
        <f>_xlfn.XLOOKUP(F1381,'Wk no''s'!B:B,'Wk no''s'!C:C,0)</f>
        <v>26</v>
      </c>
    </row>
    <row r="1382" spans="1:7" x14ac:dyDescent="0.3">
      <c r="A1382" t="s">
        <v>4660</v>
      </c>
      <c r="B1382" t="s">
        <v>4661</v>
      </c>
      <c r="C1382" t="s">
        <v>1995</v>
      </c>
      <c r="D1382">
        <v>0</v>
      </c>
      <c r="E1382">
        <v>1</v>
      </c>
      <c r="F1382" s="1">
        <v>45835</v>
      </c>
      <c r="G1382">
        <f>_xlfn.XLOOKUP(F1382,'Wk no''s'!B:B,'Wk no''s'!C:C,0)</f>
        <v>26</v>
      </c>
    </row>
    <row r="1383" spans="1:7" x14ac:dyDescent="0.3">
      <c r="A1383" t="s">
        <v>4662</v>
      </c>
      <c r="B1383" t="s">
        <v>4663</v>
      </c>
      <c r="C1383" t="s">
        <v>386</v>
      </c>
      <c r="D1383">
        <v>10</v>
      </c>
      <c r="E1383">
        <v>0</v>
      </c>
      <c r="F1383" s="1">
        <v>45835</v>
      </c>
      <c r="G1383">
        <f>_xlfn.XLOOKUP(F1383,'Wk no''s'!B:B,'Wk no''s'!C:C,0)</f>
        <v>26</v>
      </c>
    </row>
    <row r="1384" spans="1:7" x14ac:dyDescent="0.3">
      <c r="A1384" t="s">
        <v>4664</v>
      </c>
      <c r="B1384" t="s">
        <v>4665</v>
      </c>
      <c r="C1384" t="s">
        <v>4666</v>
      </c>
      <c r="D1384">
        <v>16</v>
      </c>
      <c r="E1384">
        <v>0</v>
      </c>
      <c r="F1384" s="1">
        <v>45835</v>
      </c>
      <c r="G1384">
        <f>_xlfn.XLOOKUP(F1384,'Wk no''s'!B:B,'Wk no''s'!C:C,0)</f>
        <v>26</v>
      </c>
    </row>
    <row r="1385" spans="1:7" x14ac:dyDescent="0.3">
      <c r="A1385" t="s">
        <v>4667</v>
      </c>
      <c r="B1385" t="s">
        <v>4668</v>
      </c>
      <c r="C1385" t="s">
        <v>2703</v>
      </c>
      <c r="D1385">
        <v>0</v>
      </c>
      <c r="E1385">
        <v>1</v>
      </c>
      <c r="F1385" s="1">
        <v>45835</v>
      </c>
      <c r="G1385">
        <f>_xlfn.XLOOKUP(F1385,'Wk no''s'!B:B,'Wk no''s'!C:C,0)</f>
        <v>26</v>
      </c>
    </row>
    <row r="1386" spans="1:7" x14ac:dyDescent="0.3">
      <c r="A1386" t="s">
        <v>4669</v>
      </c>
      <c r="B1386" t="s">
        <v>4670</v>
      </c>
      <c r="C1386" t="s">
        <v>2141</v>
      </c>
      <c r="D1386">
        <v>0</v>
      </c>
      <c r="E1386">
        <v>1</v>
      </c>
      <c r="F1386" s="1">
        <v>45835</v>
      </c>
      <c r="G1386">
        <f>_xlfn.XLOOKUP(F1386,'Wk no''s'!B:B,'Wk no''s'!C:C,0)</f>
        <v>26</v>
      </c>
    </row>
    <row r="1387" spans="1:7" x14ac:dyDescent="0.3">
      <c r="A1387" t="s">
        <v>4671</v>
      </c>
      <c r="B1387" t="s">
        <v>4672</v>
      </c>
      <c r="C1387" t="s">
        <v>3672</v>
      </c>
      <c r="D1387">
        <v>4</v>
      </c>
      <c r="E1387">
        <v>1</v>
      </c>
      <c r="F1387" s="1">
        <v>45835</v>
      </c>
      <c r="G1387">
        <f>_xlfn.XLOOKUP(F1387,'Wk no''s'!B:B,'Wk no''s'!C:C,0)</f>
        <v>26</v>
      </c>
    </row>
    <row r="1388" spans="1:7" x14ac:dyDescent="0.3">
      <c r="A1388" t="s">
        <v>4673</v>
      </c>
      <c r="B1388" t="s">
        <v>4674</v>
      </c>
      <c r="C1388" t="s">
        <v>4675</v>
      </c>
      <c r="D1388">
        <v>0</v>
      </c>
      <c r="E1388">
        <v>1</v>
      </c>
      <c r="F1388" s="1">
        <v>45835</v>
      </c>
      <c r="G1388">
        <f>_xlfn.XLOOKUP(F1388,'Wk no''s'!B:B,'Wk no''s'!C:C,0)</f>
        <v>26</v>
      </c>
    </row>
    <row r="1389" spans="1:7" x14ac:dyDescent="0.3">
      <c r="A1389" t="s">
        <v>4676</v>
      </c>
      <c r="B1389" t="s">
        <v>4677</v>
      </c>
      <c r="C1389" t="s">
        <v>75</v>
      </c>
      <c r="D1389">
        <v>3</v>
      </c>
      <c r="E1389">
        <v>1</v>
      </c>
      <c r="F1389" s="1">
        <v>45835</v>
      </c>
      <c r="G1389">
        <f>_xlfn.XLOOKUP(F1389,'Wk no''s'!B:B,'Wk no''s'!C:C,0)</f>
        <v>26</v>
      </c>
    </row>
    <row r="1390" spans="1:7" x14ac:dyDescent="0.3">
      <c r="A1390" t="s">
        <v>4678</v>
      </c>
      <c r="B1390" t="s">
        <v>4679</v>
      </c>
      <c r="C1390" t="s">
        <v>4680</v>
      </c>
      <c r="D1390">
        <v>12</v>
      </c>
      <c r="E1390">
        <v>0</v>
      </c>
      <c r="F1390" s="1">
        <v>45835</v>
      </c>
      <c r="G1390">
        <f>_xlfn.XLOOKUP(F1390,'Wk no''s'!B:B,'Wk no''s'!C:C,0)</f>
        <v>26</v>
      </c>
    </row>
    <row r="1391" spans="1:7" x14ac:dyDescent="0.3">
      <c r="A1391" t="s">
        <v>4681</v>
      </c>
      <c r="B1391" t="s">
        <v>4682</v>
      </c>
      <c r="C1391" t="s">
        <v>1117</v>
      </c>
      <c r="D1391">
        <v>0</v>
      </c>
      <c r="E1391">
        <v>1</v>
      </c>
      <c r="F1391" s="1">
        <v>45835</v>
      </c>
      <c r="G1391">
        <f>_xlfn.XLOOKUP(F1391,'Wk no''s'!B:B,'Wk no''s'!C:C,0)</f>
        <v>26</v>
      </c>
    </row>
    <row r="1392" spans="1:7" x14ac:dyDescent="0.3">
      <c r="A1392" t="s">
        <v>4683</v>
      </c>
      <c r="B1392" t="s">
        <v>4684</v>
      </c>
      <c r="C1392" t="s">
        <v>2201</v>
      </c>
      <c r="D1392">
        <v>48</v>
      </c>
      <c r="E1392">
        <v>0</v>
      </c>
      <c r="F1392" s="1">
        <v>45835</v>
      </c>
      <c r="G1392">
        <f>_xlfn.XLOOKUP(F1392,'Wk no''s'!B:B,'Wk no''s'!C:C,0)</f>
        <v>26</v>
      </c>
    </row>
    <row r="1393" spans="1:7" x14ac:dyDescent="0.3">
      <c r="A1393" t="s">
        <v>4685</v>
      </c>
      <c r="B1393" t="s">
        <v>4686</v>
      </c>
      <c r="C1393" t="s">
        <v>4687</v>
      </c>
      <c r="D1393">
        <v>13</v>
      </c>
      <c r="E1393">
        <v>0</v>
      </c>
      <c r="F1393" s="1">
        <v>45835</v>
      </c>
      <c r="G1393">
        <f>_xlfn.XLOOKUP(F1393,'Wk no''s'!B:B,'Wk no''s'!C:C,0)</f>
        <v>26</v>
      </c>
    </row>
    <row r="1394" spans="1:7" x14ac:dyDescent="0.3">
      <c r="A1394" t="s">
        <v>4688</v>
      </c>
      <c r="B1394" t="s">
        <v>4689</v>
      </c>
      <c r="C1394" t="s">
        <v>3814</v>
      </c>
      <c r="D1394">
        <v>0</v>
      </c>
      <c r="E1394">
        <v>1</v>
      </c>
      <c r="F1394" s="1">
        <v>45835</v>
      </c>
      <c r="G1394">
        <f>_xlfn.XLOOKUP(F1394,'Wk no''s'!B:B,'Wk no''s'!C:C,0)</f>
        <v>26</v>
      </c>
    </row>
    <row r="1395" spans="1:7" x14ac:dyDescent="0.3">
      <c r="A1395" t="s">
        <v>4690</v>
      </c>
      <c r="B1395" t="s">
        <v>4691</v>
      </c>
      <c r="C1395" t="s">
        <v>2191</v>
      </c>
      <c r="D1395">
        <v>0</v>
      </c>
      <c r="E1395">
        <v>1</v>
      </c>
      <c r="F1395" s="1">
        <v>45835</v>
      </c>
      <c r="G1395">
        <f>_xlfn.XLOOKUP(F1395,'Wk no''s'!B:B,'Wk no''s'!C:C,0)</f>
        <v>26</v>
      </c>
    </row>
    <row r="1396" spans="1:7" x14ac:dyDescent="0.3">
      <c r="A1396" t="s">
        <v>4692</v>
      </c>
      <c r="B1396" t="s">
        <v>4693</v>
      </c>
      <c r="C1396" t="s">
        <v>432</v>
      </c>
      <c r="D1396">
        <v>6</v>
      </c>
      <c r="E1396">
        <v>0</v>
      </c>
      <c r="F1396" s="1">
        <v>45835</v>
      </c>
      <c r="G1396">
        <f>_xlfn.XLOOKUP(F1396,'Wk no''s'!B:B,'Wk no''s'!C:C,0)</f>
        <v>26</v>
      </c>
    </row>
    <row r="1397" spans="1:7" x14ac:dyDescent="0.3">
      <c r="A1397" t="s">
        <v>4694</v>
      </c>
      <c r="B1397" t="s">
        <v>4695</v>
      </c>
      <c r="C1397" t="s">
        <v>75</v>
      </c>
      <c r="D1397">
        <v>0</v>
      </c>
      <c r="E1397">
        <v>1</v>
      </c>
      <c r="F1397" s="1">
        <v>45835</v>
      </c>
      <c r="G1397">
        <f>_xlfn.XLOOKUP(F1397,'Wk no''s'!B:B,'Wk no''s'!C:C,0)</f>
        <v>26</v>
      </c>
    </row>
    <row r="1398" spans="1:7" x14ac:dyDescent="0.3">
      <c r="A1398" t="s">
        <v>4696</v>
      </c>
      <c r="B1398" t="s">
        <v>4697</v>
      </c>
      <c r="C1398" t="s">
        <v>2259</v>
      </c>
      <c r="D1398">
        <v>0</v>
      </c>
      <c r="E1398">
        <v>1</v>
      </c>
      <c r="F1398" s="1">
        <v>45838</v>
      </c>
      <c r="G1398">
        <f>_xlfn.XLOOKUP(F1398,'Wk no''s'!B:B,'Wk no''s'!C:C,0)</f>
        <v>27</v>
      </c>
    </row>
    <row r="1399" spans="1:7" x14ac:dyDescent="0.3">
      <c r="A1399" t="s">
        <v>4698</v>
      </c>
      <c r="B1399" t="s">
        <v>4699</v>
      </c>
      <c r="C1399" t="s">
        <v>2259</v>
      </c>
      <c r="D1399">
        <v>6</v>
      </c>
      <c r="E1399">
        <v>0</v>
      </c>
      <c r="F1399" s="1">
        <v>45838</v>
      </c>
      <c r="G1399">
        <f>_xlfn.XLOOKUP(F1399,'Wk no''s'!B:B,'Wk no''s'!C:C,0)</f>
        <v>27</v>
      </c>
    </row>
    <row r="1400" spans="1:7" x14ac:dyDescent="0.3">
      <c r="A1400" t="s">
        <v>4700</v>
      </c>
      <c r="B1400" t="s">
        <v>4701</v>
      </c>
      <c r="C1400" t="s">
        <v>2259</v>
      </c>
      <c r="D1400">
        <v>3</v>
      </c>
      <c r="E1400">
        <v>1</v>
      </c>
      <c r="F1400" s="1">
        <v>45838</v>
      </c>
      <c r="G1400">
        <f>_xlfn.XLOOKUP(F1400,'Wk no''s'!B:B,'Wk no''s'!C:C,0)</f>
        <v>27</v>
      </c>
    </row>
    <row r="1401" spans="1:7" x14ac:dyDescent="0.3">
      <c r="A1401" t="s">
        <v>4702</v>
      </c>
      <c r="B1401" t="s">
        <v>4703</v>
      </c>
      <c r="C1401" t="s">
        <v>5495</v>
      </c>
      <c r="D1401">
        <v>0</v>
      </c>
      <c r="E1401">
        <v>1</v>
      </c>
      <c r="F1401" s="1">
        <v>45838</v>
      </c>
      <c r="G1401">
        <f>_xlfn.XLOOKUP(F1401,'Wk no''s'!B:B,'Wk no''s'!C:C,0)</f>
        <v>27</v>
      </c>
    </row>
    <row r="1402" spans="1:7" x14ac:dyDescent="0.3">
      <c r="A1402" t="s">
        <v>4704</v>
      </c>
      <c r="B1402" t="s">
        <v>4705</v>
      </c>
      <c r="C1402" t="s">
        <v>4706</v>
      </c>
      <c r="D1402">
        <v>2</v>
      </c>
      <c r="E1402">
        <v>1</v>
      </c>
      <c r="F1402" s="1">
        <v>45838</v>
      </c>
      <c r="G1402">
        <f>_xlfn.XLOOKUP(F1402,'Wk no''s'!B:B,'Wk no''s'!C:C,0)</f>
        <v>27</v>
      </c>
    </row>
    <row r="1403" spans="1:7" x14ac:dyDescent="0.3">
      <c r="A1403" t="s">
        <v>4707</v>
      </c>
      <c r="B1403" t="s">
        <v>4708</v>
      </c>
      <c r="C1403" t="s">
        <v>4709</v>
      </c>
      <c r="D1403">
        <v>0</v>
      </c>
      <c r="E1403">
        <v>1</v>
      </c>
      <c r="F1403" s="1">
        <v>45838</v>
      </c>
      <c r="G1403">
        <f>_xlfn.XLOOKUP(F1403,'Wk no''s'!B:B,'Wk no''s'!C:C,0)</f>
        <v>27</v>
      </c>
    </row>
    <row r="1404" spans="1:7" x14ac:dyDescent="0.3">
      <c r="A1404" t="s">
        <v>4710</v>
      </c>
      <c r="B1404" t="s">
        <v>4711</v>
      </c>
      <c r="C1404" t="s">
        <v>3462</v>
      </c>
      <c r="D1404">
        <v>1</v>
      </c>
      <c r="E1404">
        <v>1</v>
      </c>
      <c r="F1404" s="1">
        <v>45838</v>
      </c>
      <c r="G1404">
        <f>_xlfn.XLOOKUP(F1404,'Wk no''s'!B:B,'Wk no''s'!C:C,0)</f>
        <v>27</v>
      </c>
    </row>
    <row r="1405" spans="1:7" x14ac:dyDescent="0.3">
      <c r="A1405" t="s">
        <v>4712</v>
      </c>
      <c r="B1405" t="s">
        <v>4713</v>
      </c>
      <c r="C1405" t="s">
        <v>3462</v>
      </c>
      <c r="D1405">
        <v>0</v>
      </c>
      <c r="E1405">
        <v>1</v>
      </c>
      <c r="F1405" s="1">
        <v>45838</v>
      </c>
      <c r="G1405">
        <f>_xlfn.XLOOKUP(F1405,'Wk no''s'!B:B,'Wk no''s'!C:C,0)</f>
        <v>27</v>
      </c>
    </row>
    <row r="1406" spans="1:7" x14ac:dyDescent="0.3">
      <c r="A1406" t="s">
        <v>4714</v>
      </c>
      <c r="B1406" t="s">
        <v>4715</v>
      </c>
      <c r="C1406" t="s">
        <v>3462</v>
      </c>
      <c r="D1406">
        <v>0</v>
      </c>
      <c r="E1406">
        <v>1</v>
      </c>
      <c r="F1406" s="1">
        <v>45838</v>
      </c>
      <c r="G1406">
        <f>_xlfn.XLOOKUP(F1406,'Wk no''s'!B:B,'Wk no''s'!C:C,0)</f>
        <v>27</v>
      </c>
    </row>
    <row r="1407" spans="1:7" x14ac:dyDescent="0.3">
      <c r="A1407" t="s">
        <v>4716</v>
      </c>
      <c r="B1407" t="s">
        <v>4717</v>
      </c>
      <c r="C1407" t="s">
        <v>3462</v>
      </c>
      <c r="D1407">
        <v>0</v>
      </c>
      <c r="E1407">
        <v>1</v>
      </c>
      <c r="F1407" s="1">
        <v>45838</v>
      </c>
      <c r="G1407">
        <f>_xlfn.XLOOKUP(F1407,'Wk no''s'!B:B,'Wk no''s'!C:C,0)</f>
        <v>27</v>
      </c>
    </row>
    <row r="1408" spans="1:7" x14ac:dyDescent="0.3">
      <c r="A1408" t="s">
        <v>4718</v>
      </c>
      <c r="B1408" t="s">
        <v>4719</v>
      </c>
      <c r="C1408" t="s">
        <v>3462</v>
      </c>
      <c r="D1408">
        <v>0</v>
      </c>
      <c r="E1408">
        <v>1</v>
      </c>
      <c r="F1408" s="1">
        <v>45838</v>
      </c>
      <c r="G1408">
        <f>_xlfn.XLOOKUP(F1408,'Wk no''s'!B:B,'Wk no''s'!C:C,0)</f>
        <v>27</v>
      </c>
    </row>
    <row r="1409" spans="1:7" x14ac:dyDescent="0.3">
      <c r="A1409" t="s">
        <v>4720</v>
      </c>
      <c r="B1409" t="s">
        <v>4721</v>
      </c>
      <c r="C1409" t="s">
        <v>3462</v>
      </c>
      <c r="D1409">
        <v>0</v>
      </c>
      <c r="E1409">
        <v>1</v>
      </c>
      <c r="F1409" s="1">
        <v>45838</v>
      </c>
      <c r="G1409">
        <f>_xlfn.XLOOKUP(F1409,'Wk no''s'!B:B,'Wk no''s'!C:C,0)</f>
        <v>27</v>
      </c>
    </row>
    <row r="1410" spans="1:7" x14ac:dyDescent="0.3">
      <c r="A1410" t="s">
        <v>4722</v>
      </c>
      <c r="B1410" t="s">
        <v>4723</v>
      </c>
      <c r="C1410" t="s">
        <v>3462</v>
      </c>
      <c r="D1410">
        <v>0</v>
      </c>
      <c r="E1410">
        <v>1</v>
      </c>
      <c r="F1410" s="1">
        <v>45838</v>
      </c>
      <c r="G1410">
        <f>_xlfn.XLOOKUP(F1410,'Wk no''s'!B:B,'Wk no''s'!C:C,0)</f>
        <v>27</v>
      </c>
    </row>
    <row r="1411" spans="1:7" x14ac:dyDescent="0.3">
      <c r="A1411" t="s">
        <v>4724</v>
      </c>
      <c r="B1411" t="s">
        <v>4725</v>
      </c>
      <c r="C1411" t="s">
        <v>4726</v>
      </c>
      <c r="D1411">
        <v>42</v>
      </c>
      <c r="E1411">
        <v>0</v>
      </c>
      <c r="F1411" s="1">
        <v>45838</v>
      </c>
      <c r="G1411">
        <f>_xlfn.XLOOKUP(F1411,'Wk no''s'!B:B,'Wk no''s'!C:C,0)</f>
        <v>27</v>
      </c>
    </row>
    <row r="1412" spans="1:7" x14ac:dyDescent="0.3">
      <c r="A1412" t="s">
        <v>4727</v>
      </c>
      <c r="B1412" t="s">
        <v>4728</v>
      </c>
      <c r="C1412" t="s">
        <v>1194</v>
      </c>
      <c r="D1412">
        <v>0</v>
      </c>
      <c r="E1412">
        <v>1</v>
      </c>
      <c r="F1412" s="1">
        <v>45838</v>
      </c>
      <c r="G1412">
        <f>_xlfn.XLOOKUP(F1412,'Wk no''s'!B:B,'Wk no''s'!C:C,0)</f>
        <v>27</v>
      </c>
    </row>
    <row r="1413" spans="1:7" x14ac:dyDescent="0.3">
      <c r="A1413" t="s">
        <v>4729</v>
      </c>
      <c r="B1413" t="s">
        <v>4730</v>
      </c>
      <c r="C1413" t="s">
        <v>2270</v>
      </c>
      <c r="D1413">
        <v>78</v>
      </c>
      <c r="E1413">
        <v>0</v>
      </c>
      <c r="F1413" s="1">
        <v>45838</v>
      </c>
      <c r="G1413">
        <f>_xlfn.XLOOKUP(F1413,'Wk no''s'!B:B,'Wk no''s'!C:C,0)</f>
        <v>27</v>
      </c>
    </row>
    <row r="1414" spans="1:7" x14ac:dyDescent="0.3">
      <c r="A1414" t="s">
        <v>4731</v>
      </c>
      <c r="B1414" t="s">
        <v>4732</v>
      </c>
      <c r="C1414" t="s">
        <v>28</v>
      </c>
      <c r="D1414">
        <v>78</v>
      </c>
      <c r="E1414">
        <v>0</v>
      </c>
      <c r="F1414" s="1">
        <v>45838</v>
      </c>
      <c r="G1414">
        <f>_xlfn.XLOOKUP(F1414,'Wk no''s'!B:B,'Wk no''s'!C:C,0)</f>
        <v>27</v>
      </c>
    </row>
    <row r="1415" spans="1:7" x14ac:dyDescent="0.3">
      <c r="A1415" t="s">
        <v>4733</v>
      </c>
      <c r="B1415" t="s">
        <v>4734</v>
      </c>
      <c r="C1415" t="s">
        <v>31</v>
      </c>
      <c r="D1415">
        <v>1</v>
      </c>
      <c r="E1415">
        <v>1</v>
      </c>
      <c r="F1415" s="1">
        <v>45839</v>
      </c>
      <c r="G1415">
        <f>_xlfn.XLOOKUP(F1415,'Wk no''s'!B:B,'Wk no''s'!C:C,0)</f>
        <v>27</v>
      </c>
    </row>
    <row r="1416" spans="1:7" x14ac:dyDescent="0.3">
      <c r="A1416" t="s">
        <v>4735</v>
      </c>
      <c r="B1416" t="s">
        <v>4736</v>
      </c>
      <c r="C1416" t="s">
        <v>2066</v>
      </c>
      <c r="D1416">
        <v>5</v>
      </c>
      <c r="E1416">
        <v>1</v>
      </c>
      <c r="F1416" s="1">
        <v>45839</v>
      </c>
      <c r="G1416">
        <f>_xlfn.XLOOKUP(F1416,'Wk no''s'!B:B,'Wk no''s'!C:C,0)</f>
        <v>27</v>
      </c>
    </row>
    <row r="1417" spans="1:7" x14ac:dyDescent="0.3">
      <c r="A1417" t="s">
        <v>4737</v>
      </c>
      <c r="B1417" t="s">
        <v>4738</v>
      </c>
      <c r="C1417" t="s">
        <v>4739</v>
      </c>
      <c r="D1417">
        <v>7</v>
      </c>
      <c r="E1417">
        <v>0</v>
      </c>
      <c r="F1417" s="1">
        <v>45839</v>
      </c>
      <c r="G1417">
        <f>_xlfn.XLOOKUP(F1417,'Wk no''s'!B:B,'Wk no''s'!C:C,0)</f>
        <v>27</v>
      </c>
    </row>
    <row r="1418" spans="1:7" x14ac:dyDescent="0.3">
      <c r="A1418" t="s">
        <v>4740</v>
      </c>
      <c r="B1418" t="s">
        <v>4741</v>
      </c>
      <c r="C1418" t="s">
        <v>3226</v>
      </c>
      <c r="D1418">
        <v>9</v>
      </c>
      <c r="E1418">
        <v>0</v>
      </c>
      <c r="F1418" s="1">
        <v>45839</v>
      </c>
      <c r="G1418">
        <f>_xlfn.XLOOKUP(F1418,'Wk no''s'!B:B,'Wk no''s'!C:C,0)</f>
        <v>27</v>
      </c>
    </row>
    <row r="1419" spans="1:7" x14ac:dyDescent="0.3">
      <c r="A1419" t="s">
        <v>4742</v>
      </c>
      <c r="B1419" t="s">
        <v>4743</v>
      </c>
      <c r="C1419" t="s">
        <v>550</v>
      </c>
      <c r="D1419">
        <v>5</v>
      </c>
      <c r="E1419">
        <v>1</v>
      </c>
      <c r="F1419" s="1">
        <v>45839</v>
      </c>
      <c r="G1419">
        <f>_xlfn.XLOOKUP(F1419,'Wk no''s'!B:B,'Wk no''s'!C:C,0)</f>
        <v>27</v>
      </c>
    </row>
    <row r="1420" spans="1:7" x14ac:dyDescent="0.3">
      <c r="A1420" t="s">
        <v>4744</v>
      </c>
      <c r="B1420" t="s">
        <v>4745</v>
      </c>
      <c r="C1420" t="s">
        <v>4746</v>
      </c>
      <c r="D1420">
        <v>10</v>
      </c>
      <c r="E1420">
        <v>0</v>
      </c>
      <c r="F1420" s="1">
        <v>45839</v>
      </c>
      <c r="G1420">
        <f>_xlfn.XLOOKUP(F1420,'Wk no''s'!B:B,'Wk no''s'!C:C,0)</f>
        <v>27</v>
      </c>
    </row>
    <row r="1421" spans="1:7" x14ac:dyDescent="0.3">
      <c r="A1421" t="s">
        <v>4747</v>
      </c>
      <c r="B1421" t="s">
        <v>4748</v>
      </c>
      <c r="C1421" t="s">
        <v>4168</v>
      </c>
      <c r="D1421">
        <v>0</v>
      </c>
      <c r="E1421">
        <v>1</v>
      </c>
      <c r="F1421" s="1">
        <v>45839</v>
      </c>
      <c r="G1421">
        <f>_xlfn.XLOOKUP(F1421,'Wk no''s'!B:B,'Wk no''s'!C:C,0)</f>
        <v>27</v>
      </c>
    </row>
    <row r="1422" spans="1:7" x14ac:dyDescent="0.3">
      <c r="A1422" t="s">
        <v>4749</v>
      </c>
      <c r="B1422" t="s">
        <v>4750</v>
      </c>
      <c r="C1422" t="s">
        <v>113</v>
      </c>
      <c r="D1422">
        <v>0</v>
      </c>
      <c r="E1422">
        <v>1</v>
      </c>
      <c r="F1422" s="1">
        <v>45839</v>
      </c>
      <c r="G1422">
        <f>_xlfn.XLOOKUP(F1422,'Wk no''s'!B:B,'Wk no''s'!C:C,0)</f>
        <v>27</v>
      </c>
    </row>
    <row r="1423" spans="1:7" x14ac:dyDescent="0.3">
      <c r="A1423" t="s">
        <v>4751</v>
      </c>
      <c r="B1423" t="s">
        <v>4752</v>
      </c>
      <c r="C1423" t="s">
        <v>75</v>
      </c>
      <c r="D1423">
        <v>0</v>
      </c>
      <c r="E1423">
        <v>1</v>
      </c>
      <c r="F1423" s="1">
        <v>45839</v>
      </c>
      <c r="G1423">
        <f>_xlfn.XLOOKUP(F1423,'Wk no''s'!B:B,'Wk no''s'!C:C,0)</f>
        <v>27</v>
      </c>
    </row>
    <row r="1424" spans="1:7" x14ac:dyDescent="0.3">
      <c r="A1424" t="s">
        <v>4753</v>
      </c>
      <c r="B1424" t="s">
        <v>4754</v>
      </c>
      <c r="C1424" t="s">
        <v>3450</v>
      </c>
      <c r="D1424">
        <v>0</v>
      </c>
      <c r="E1424">
        <v>1</v>
      </c>
      <c r="F1424" s="1">
        <v>45839</v>
      </c>
      <c r="G1424">
        <f>_xlfn.XLOOKUP(F1424,'Wk no''s'!B:B,'Wk no''s'!C:C,0)</f>
        <v>27</v>
      </c>
    </row>
    <row r="1425" spans="1:7" x14ac:dyDescent="0.3">
      <c r="A1425" t="s">
        <v>4755</v>
      </c>
      <c r="B1425" t="s">
        <v>4756</v>
      </c>
      <c r="C1425" t="s">
        <v>4757</v>
      </c>
      <c r="D1425">
        <v>7</v>
      </c>
      <c r="E1425">
        <v>0</v>
      </c>
      <c r="F1425" s="1">
        <v>45839</v>
      </c>
      <c r="G1425">
        <f>_xlfn.XLOOKUP(F1425,'Wk no''s'!B:B,'Wk no''s'!C:C,0)</f>
        <v>27</v>
      </c>
    </row>
    <row r="1426" spans="1:7" x14ac:dyDescent="0.3">
      <c r="A1426" t="s">
        <v>4758</v>
      </c>
      <c r="B1426" t="s">
        <v>4759</v>
      </c>
      <c r="C1426" t="s">
        <v>3644</v>
      </c>
      <c r="D1426">
        <v>2</v>
      </c>
      <c r="E1426">
        <v>1</v>
      </c>
      <c r="F1426" s="1">
        <v>45839</v>
      </c>
      <c r="G1426">
        <f>_xlfn.XLOOKUP(F1426,'Wk no''s'!B:B,'Wk no''s'!C:C,0)</f>
        <v>27</v>
      </c>
    </row>
    <row r="1427" spans="1:7" x14ac:dyDescent="0.3">
      <c r="A1427" t="s">
        <v>4760</v>
      </c>
      <c r="B1427" t="s">
        <v>4761</v>
      </c>
      <c r="C1427" t="s">
        <v>4762</v>
      </c>
      <c r="D1427">
        <v>6</v>
      </c>
      <c r="E1427">
        <v>0</v>
      </c>
      <c r="F1427" s="1">
        <v>45840</v>
      </c>
      <c r="G1427">
        <f>_xlfn.XLOOKUP(F1427,'Wk no''s'!B:B,'Wk no''s'!C:C,0)</f>
        <v>27</v>
      </c>
    </row>
    <row r="1428" spans="1:7" x14ac:dyDescent="0.3">
      <c r="A1428" t="s">
        <v>4763</v>
      </c>
      <c r="B1428" t="s">
        <v>4764</v>
      </c>
      <c r="C1428" t="s">
        <v>1343</v>
      </c>
      <c r="D1428">
        <v>77</v>
      </c>
      <c r="E1428">
        <v>0</v>
      </c>
      <c r="F1428" s="1">
        <v>45840</v>
      </c>
      <c r="G1428">
        <f>_xlfn.XLOOKUP(F1428,'Wk no''s'!B:B,'Wk no''s'!C:C,0)</f>
        <v>27</v>
      </c>
    </row>
    <row r="1429" spans="1:7" x14ac:dyDescent="0.3">
      <c r="A1429" t="s">
        <v>4765</v>
      </c>
      <c r="C1429" t="s">
        <v>4766</v>
      </c>
      <c r="D1429">
        <v>77</v>
      </c>
      <c r="E1429">
        <v>0</v>
      </c>
      <c r="F1429" s="1">
        <v>45840</v>
      </c>
      <c r="G1429">
        <f>_xlfn.XLOOKUP(F1429,'Wk no''s'!B:B,'Wk no''s'!C:C,0)</f>
        <v>27</v>
      </c>
    </row>
    <row r="1430" spans="1:7" x14ac:dyDescent="0.3">
      <c r="A1430" t="s">
        <v>4767</v>
      </c>
      <c r="B1430" t="s">
        <v>4768</v>
      </c>
      <c r="C1430" t="s">
        <v>4769</v>
      </c>
      <c r="D1430">
        <v>0</v>
      </c>
      <c r="E1430">
        <v>1</v>
      </c>
      <c r="F1430" s="1">
        <v>45840</v>
      </c>
      <c r="G1430">
        <f>_xlfn.XLOOKUP(F1430,'Wk no''s'!B:B,'Wk no''s'!C:C,0)</f>
        <v>27</v>
      </c>
    </row>
    <row r="1431" spans="1:7" x14ac:dyDescent="0.3">
      <c r="A1431" t="s">
        <v>4770</v>
      </c>
      <c r="B1431" t="s">
        <v>4771</v>
      </c>
      <c r="C1431" t="s">
        <v>4772</v>
      </c>
      <c r="D1431">
        <v>11</v>
      </c>
      <c r="E1431">
        <v>0</v>
      </c>
      <c r="F1431" s="1">
        <v>45840</v>
      </c>
      <c r="G1431">
        <f>_xlfn.XLOOKUP(F1431,'Wk no''s'!B:B,'Wk no''s'!C:C,0)</f>
        <v>27</v>
      </c>
    </row>
    <row r="1432" spans="1:7" x14ac:dyDescent="0.3">
      <c r="A1432" t="s">
        <v>4773</v>
      </c>
      <c r="B1432" t="s">
        <v>4774</v>
      </c>
      <c r="C1432" t="s">
        <v>4775</v>
      </c>
      <c r="D1432">
        <v>62</v>
      </c>
      <c r="E1432">
        <v>0</v>
      </c>
      <c r="F1432" s="1">
        <v>45840</v>
      </c>
      <c r="G1432">
        <f>_xlfn.XLOOKUP(F1432,'Wk no''s'!B:B,'Wk no''s'!C:C,0)</f>
        <v>27</v>
      </c>
    </row>
    <row r="1433" spans="1:7" x14ac:dyDescent="0.3">
      <c r="A1433" t="s">
        <v>4776</v>
      </c>
      <c r="B1433" t="s">
        <v>4777</v>
      </c>
      <c r="C1433" t="s">
        <v>4778</v>
      </c>
      <c r="D1433">
        <v>1</v>
      </c>
      <c r="E1433">
        <v>1</v>
      </c>
      <c r="F1433" s="1">
        <v>45840</v>
      </c>
      <c r="G1433">
        <f>_xlfn.XLOOKUP(F1433,'Wk no''s'!B:B,'Wk no''s'!C:C,0)</f>
        <v>27</v>
      </c>
    </row>
    <row r="1434" spans="1:7" x14ac:dyDescent="0.3">
      <c r="A1434" t="s">
        <v>4779</v>
      </c>
      <c r="B1434" t="s">
        <v>4780</v>
      </c>
      <c r="C1434" t="s">
        <v>5182</v>
      </c>
      <c r="D1434">
        <v>8</v>
      </c>
      <c r="E1434">
        <v>0</v>
      </c>
      <c r="F1434" s="1">
        <v>45840</v>
      </c>
      <c r="G1434">
        <f>_xlfn.XLOOKUP(F1434,'Wk no''s'!B:B,'Wk no''s'!C:C,0)</f>
        <v>27</v>
      </c>
    </row>
    <row r="1435" spans="1:7" x14ac:dyDescent="0.3">
      <c r="A1435" t="s">
        <v>4781</v>
      </c>
      <c r="B1435" t="s">
        <v>4782</v>
      </c>
      <c r="C1435" t="s">
        <v>4783</v>
      </c>
      <c r="D1435">
        <v>6</v>
      </c>
      <c r="E1435">
        <v>0</v>
      </c>
      <c r="F1435" s="1">
        <v>45840</v>
      </c>
      <c r="G1435">
        <f>_xlfn.XLOOKUP(F1435,'Wk no''s'!B:B,'Wk no''s'!C:C,0)</f>
        <v>27</v>
      </c>
    </row>
    <row r="1436" spans="1:7" x14ac:dyDescent="0.3">
      <c r="A1436" t="s">
        <v>4784</v>
      </c>
      <c r="B1436" t="s">
        <v>4785</v>
      </c>
      <c r="C1436" t="s">
        <v>3987</v>
      </c>
      <c r="D1436">
        <v>45</v>
      </c>
      <c r="E1436">
        <v>0</v>
      </c>
      <c r="F1436" s="1">
        <v>45841</v>
      </c>
      <c r="G1436">
        <f>_xlfn.XLOOKUP(F1436,'Wk no''s'!B:B,'Wk no''s'!C:C,0)</f>
        <v>27</v>
      </c>
    </row>
    <row r="1437" spans="1:7" x14ac:dyDescent="0.3">
      <c r="A1437" t="s">
        <v>4786</v>
      </c>
      <c r="B1437" t="s">
        <v>4787</v>
      </c>
      <c r="C1437" t="s">
        <v>3544</v>
      </c>
      <c r="D1437">
        <v>0</v>
      </c>
      <c r="E1437">
        <v>1</v>
      </c>
      <c r="F1437" s="1">
        <v>45841</v>
      </c>
      <c r="G1437">
        <f>_xlfn.XLOOKUP(F1437,'Wk no''s'!B:B,'Wk no''s'!C:C,0)</f>
        <v>27</v>
      </c>
    </row>
    <row r="1438" spans="1:7" x14ac:dyDescent="0.3">
      <c r="A1438" t="s">
        <v>4788</v>
      </c>
      <c r="B1438" t="s">
        <v>4789</v>
      </c>
      <c r="C1438" t="s">
        <v>69</v>
      </c>
      <c r="D1438">
        <v>0</v>
      </c>
      <c r="E1438">
        <v>1</v>
      </c>
      <c r="F1438" s="1">
        <v>45841</v>
      </c>
      <c r="G1438">
        <f>_xlfn.XLOOKUP(F1438,'Wk no''s'!B:B,'Wk no''s'!C:C,0)</f>
        <v>27</v>
      </c>
    </row>
    <row r="1439" spans="1:7" x14ac:dyDescent="0.3">
      <c r="A1439" t="s">
        <v>4790</v>
      </c>
      <c r="B1439" t="s">
        <v>4791</v>
      </c>
      <c r="C1439" t="s">
        <v>1495</v>
      </c>
      <c r="D1439">
        <v>0</v>
      </c>
      <c r="E1439">
        <v>1</v>
      </c>
      <c r="F1439" s="1">
        <v>45841</v>
      </c>
      <c r="G1439">
        <f>_xlfn.XLOOKUP(F1439,'Wk no''s'!B:B,'Wk no''s'!C:C,0)</f>
        <v>27</v>
      </c>
    </row>
    <row r="1440" spans="1:7" x14ac:dyDescent="0.3">
      <c r="A1440" t="s">
        <v>4792</v>
      </c>
      <c r="B1440" t="s">
        <v>4793</v>
      </c>
      <c r="C1440" t="s">
        <v>3931</v>
      </c>
      <c r="D1440">
        <v>0</v>
      </c>
      <c r="E1440">
        <v>1</v>
      </c>
      <c r="F1440" s="1">
        <v>45841</v>
      </c>
      <c r="G1440">
        <f>_xlfn.XLOOKUP(F1440,'Wk no''s'!B:B,'Wk no''s'!C:C,0)</f>
        <v>27</v>
      </c>
    </row>
    <row r="1441" spans="1:7" x14ac:dyDescent="0.3">
      <c r="A1441" t="s">
        <v>4794</v>
      </c>
      <c r="B1441" t="s">
        <v>4795</v>
      </c>
      <c r="C1441" t="s">
        <v>4796</v>
      </c>
      <c r="D1441">
        <v>0</v>
      </c>
      <c r="E1441">
        <v>1</v>
      </c>
      <c r="F1441" s="1">
        <v>45841</v>
      </c>
      <c r="G1441">
        <f>_xlfn.XLOOKUP(F1441,'Wk no''s'!B:B,'Wk no''s'!C:C,0)</f>
        <v>27</v>
      </c>
    </row>
    <row r="1442" spans="1:7" x14ac:dyDescent="0.3">
      <c r="A1442" t="s">
        <v>4797</v>
      </c>
      <c r="B1442" t="s">
        <v>4798</v>
      </c>
      <c r="C1442" t="s">
        <v>4638</v>
      </c>
      <c r="D1442">
        <v>0</v>
      </c>
      <c r="E1442">
        <v>1</v>
      </c>
      <c r="F1442" s="1">
        <v>45841</v>
      </c>
      <c r="G1442">
        <f>_xlfn.XLOOKUP(F1442,'Wk no''s'!B:B,'Wk no''s'!C:C,0)</f>
        <v>27</v>
      </c>
    </row>
    <row r="1443" spans="1:7" x14ac:dyDescent="0.3">
      <c r="A1443" t="s">
        <v>4799</v>
      </c>
      <c r="B1443" t="s">
        <v>4800</v>
      </c>
      <c r="C1443" t="s">
        <v>4638</v>
      </c>
      <c r="D1443">
        <v>0</v>
      </c>
      <c r="E1443">
        <v>1</v>
      </c>
      <c r="F1443" s="1">
        <v>45841</v>
      </c>
      <c r="G1443">
        <f>_xlfn.XLOOKUP(F1443,'Wk no''s'!B:B,'Wk no''s'!C:C,0)</f>
        <v>27</v>
      </c>
    </row>
    <row r="1444" spans="1:7" x14ac:dyDescent="0.3">
      <c r="A1444" t="s">
        <v>4801</v>
      </c>
      <c r="C1444" t="s">
        <v>4802</v>
      </c>
      <c r="D1444">
        <v>32</v>
      </c>
      <c r="E1444">
        <v>0</v>
      </c>
      <c r="F1444" s="1">
        <v>45841</v>
      </c>
      <c r="G1444">
        <f>_xlfn.XLOOKUP(F1444,'Wk no''s'!B:B,'Wk no''s'!C:C,0)</f>
        <v>27</v>
      </c>
    </row>
    <row r="1445" spans="1:7" x14ac:dyDescent="0.3">
      <c r="A1445" t="s">
        <v>4803</v>
      </c>
      <c r="B1445" t="s">
        <v>4804</v>
      </c>
      <c r="C1445" t="s">
        <v>4805</v>
      </c>
      <c r="D1445">
        <v>11</v>
      </c>
      <c r="E1445">
        <v>0</v>
      </c>
      <c r="F1445" s="1">
        <v>45842</v>
      </c>
      <c r="G1445">
        <f>_xlfn.XLOOKUP(F1445,'Wk no''s'!B:B,'Wk no''s'!C:C,0)</f>
        <v>27</v>
      </c>
    </row>
    <row r="1446" spans="1:7" x14ac:dyDescent="0.3">
      <c r="A1446" t="s">
        <v>4806</v>
      </c>
      <c r="B1446" t="s">
        <v>4807</v>
      </c>
      <c r="C1446" t="s">
        <v>1224</v>
      </c>
      <c r="D1446">
        <v>11</v>
      </c>
      <c r="E1446">
        <v>0</v>
      </c>
      <c r="F1446" s="1">
        <v>45842</v>
      </c>
      <c r="G1446">
        <f>_xlfn.XLOOKUP(F1446,'Wk no''s'!B:B,'Wk no''s'!C:C,0)</f>
        <v>27</v>
      </c>
    </row>
    <row r="1447" spans="1:7" x14ac:dyDescent="0.3">
      <c r="A1447" t="s">
        <v>4808</v>
      </c>
      <c r="B1447" t="s">
        <v>4809</v>
      </c>
      <c r="C1447" t="s">
        <v>2818</v>
      </c>
      <c r="D1447">
        <v>0</v>
      </c>
      <c r="E1447">
        <v>1</v>
      </c>
      <c r="F1447" s="1">
        <v>45842</v>
      </c>
      <c r="G1447">
        <f>_xlfn.XLOOKUP(F1447,'Wk no''s'!B:B,'Wk no''s'!C:C,0)</f>
        <v>27</v>
      </c>
    </row>
    <row r="1448" spans="1:7" x14ac:dyDescent="0.3">
      <c r="A1448" t="s">
        <v>4810</v>
      </c>
      <c r="B1448" t="s">
        <v>4811</v>
      </c>
      <c r="C1448" t="s">
        <v>4812</v>
      </c>
      <c r="D1448">
        <v>1</v>
      </c>
      <c r="E1448">
        <v>1</v>
      </c>
      <c r="F1448" s="1">
        <v>45842</v>
      </c>
      <c r="G1448">
        <f>_xlfn.XLOOKUP(F1448,'Wk no''s'!B:B,'Wk no''s'!C:C,0)</f>
        <v>27</v>
      </c>
    </row>
    <row r="1449" spans="1:7" x14ac:dyDescent="0.3">
      <c r="A1449" t="s">
        <v>4813</v>
      </c>
      <c r="B1449" t="s">
        <v>4814</v>
      </c>
      <c r="C1449" t="s">
        <v>4815</v>
      </c>
      <c r="D1449">
        <v>0</v>
      </c>
      <c r="E1449">
        <v>1</v>
      </c>
      <c r="F1449" s="1">
        <v>45842</v>
      </c>
      <c r="G1449">
        <f>_xlfn.XLOOKUP(F1449,'Wk no''s'!B:B,'Wk no''s'!C:C,0)</f>
        <v>27</v>
      </c>
    </row>
    <row r="1450" spans="1:7" x14ac:dyDescent="0.3">
      <c r="A1450" t="s">
        <v>4816</v>
      </c>
      <c r="B1450" t="s">
        <v>4817</v>
      </c>
      <c r="C1450" t="s">
        <v>1224</v>
      </c>
      <c r="D1450">
        <v>0</v>
      </c>
      <c r="E1450">
        <v>1</v>
      </c>
      <c r="F1450" s="1">
        <v>45842</v>
      </c>
      <c r="G1450">
        <f>_xlfn.XLOOKUP(F1450,'Wk no''s'!B:B,'Wk no''s'!C:C,0)</f>
        <v>27</v>
      </c>
    </row>
    <row r="1451" spans="1:7" x14ac:dyDescent="0.3">
      <c r="A1451" t="s">
        <v>4818</v>
      </c>
      <c r="C1451" t="s">
        <v>3544</v>
      </c>
      <c r="D1451">
        <v>0</v>
      </c>
      <c r="E1451">
        <v>1</v>
      </c>
      <c r="F1451" s="1">
        <v>45842</v>
      </c>
      <c r="G1451">
        <f>_xlfn.XLOOKUP(F1451,'Wk no''s'!B:B,'Wk no''s'!C:C,0)</f>
        <v>27</v>
      </c>
    </row>
    <row r="1452" spans="1:7" x14ac:dyDescent="0.3">
      <c r="A1452" t="s">
        <v>4923</v>
      </c>
      <c r="B1452" t="s">
        <v>4924</v>
      </c>
      <c r="C1452" t="s">
        <v>3310</v>
      </c>
      <c r="D1452">
        <v>63</v>
      </c>
      <c r="E1452">
        <v>0</v>
      </c>
      <c r="F1452" s="1">
        <v>45845</v>
      </c>
      <c r="G1452">
        <f>_xlfn.XLOOKUP(F1452,'Wk no''s'!B:B,'Wk no''s'!C:C,0)</f>
        <v>28</v>
      </c>
    </row>
    <row r="1453" spans="1:7" x14ac:dyDescent="0.3">
      <c r="A1453" t="s">
        <v>4925</v>
      </c>
      <c r="B1453" t="s">
        <v>4926</v>
      </c>
      <c r="C1453" t="s">
        <v>4244</v>
      </c>
      <c r="D1453">
        <v>0</v>
      </c>
      <c r="E1453">
        <v>1</v>
      </c>
      <c r="F1453" s="1">
        <v>45845</v>
      </c>
      <c r="G1453">
        <f>_xlfn.XLOOKUP(F1453,'Wk no''s'!B:B,'Wk no''s'!C:C,0)</f>
        <v>28</v>
      </c>
    </row>
    <row r="1454" spans="1:7" x14ac:dyDescent="0.3">
      <c r="A1454" t="s">
        <v>4927</v>
      </c>
      <c r="B1454" t="s">
        <v>4928</v>
      </c>
      <c r="C1454" t="s">
        <v>69</v>
      </c>
      <c r="D1454">
        <v>0</v>
      </c>
      <c r="E1454">
        <v>1</v>
      </c>
      <c r="F1454" s="1">
        <v>45845</v>
      </c>
      <c r="G1454">
        <f>_xlfn.XLOOKUP(F1454,'Wk no''s'!B:B,'Wk no''s'!C:C,0)</f>
        <v>28</v>
      </c>
    </row>
    <row r="1455" spans="1:7" x14ac:dyDescent="0.3">
      <c r="A1455" t="s">
        <v>4929</v>
      </c>
      <c r="B1455" t="s">
        <v>4930</v>
      </c>
      <c r="C1455" t="s">
        <v>4931</v>
      </c>
      <c r="D1455">
        <v>7</v>
      </c>
      <c r="E1455">
        <v>0</v>
      </c>
      <c r="F1455" s="1">
        <v>45845</v>
      </c>
      <c r="G1455">
        <f>_xlfn.XLOOKUP(F1455,'Wk no''s'!B:B,'Wk no''s'!C:C,0)</f>
        <v>28</v>
      </c>
    </row>
    <row r="1456" spans="1:7" x14ac:dyDescent="0.3">
      <c r="A1456" t="s">
        <v>4932</v>
      </c>
      <c r="B1456" t="s">
        <v>4933</v>
      </c>
      <c r="C1456" t="s">
        <v>29</v>
      </c>
      <c r="D1456">
        <v>0</v>
      </c>
      <c r="E1456">
        <v>1</v>
      </c>
      <c r="F1456" s="1">
        <v>45845</v>
      </c>
      <c r="G1456">
        <f>_xlfn.XLOOKUP(F1456,'Wk no''s'!B:B,'Wk no''s'!C:C,0)</f>
        <v>28</v>
      </c>
    </row>
    <row r="1457" spans="1:7" x14ac:dyDescent="0.3">
      <c r="A1457" t="s">
        <v>4934</v>
      </c>
      <c r="B1457" t="s">
        <v>4935</v>
      </c>
      <c r="C1457" t="s">
        <v>4936</v>
      </c>
      <c r="D1457">
        <v>0</v>
      </c>
      <c r="E1457">
        <v>1</v>
      </c>
      <c r="F1457" s="1">
        <v>45845</v>
      </c>
      <c r="G1457">
        <f>_xlfn.XLOOKUP(F1457,'Wk no''s'!B:B,'Wk no''s'!C:C,0)</f>
        <v>28</v>
      </c>
    </row>
    <row r="1458" spans="1:7" x14ac:dyDescent="0.3">
      <c r="A1458" t="s">
        <v>4937</v>
      </c>
      <c r="B1458" t="s">
        <v>4938</v>
      </c>
      <c r="C1458" t="s">
        <v>6026</v>
      </c>
      <c r="D1458">
        <v>0</v>
      </c>
      <c r="E1458">
        <v>1</v>
      </c>
      <c r="F1458" s="1">
        <v>45845</v>
      </c>
      <c r="G1458">
        <f>_xlfn.XLOOKUP(F1458,'Wk no''s'!B:B,'Wk no''s'!C:C,0)</f>
        <v>28</v>
      </c>
    </row>
    <row r="1459" spans="1:7" x14ac:dyDescent="0.3">
      <c r="A1459" t="s">
        <v>4939</v>
      </c>
      <c r="B1459" t="s">
        <v>4940</v>
      </c>
      <c r="C1459" t="s">
        <v>4941</v>
      </c>
      <c r="D1459">
        <v>33</v>
      </c>
      <c r="E1459">
        <v>0</v>
      </c>
      <c r="F1459" s="1">
        <v>45845</v>
      </c>
      <c r="G1459">
        <f>_xlfn.XLOOKUP(F1459,'Wk no''s'!B:B,'Wk no''s'!C:C,0)</f>
        <v>28</v>
      </c>
    </row>
    <row r="1460" spans="1:7" x14ac:dyDescent="0.3">
      <c r="A1460" t="s">
        <v>4942</v>
      </c>
      <c r="B1460" t="s">
        <v>4943</v>
      </c>
      <c r="C1460" t="s">
        <v>4944</v>
      </c>
      <c r="D1460">
        <v>0</v>
      </c>
      <c r="E1460">
        <v>1</v>
      </c>
      <c r="F1460" s="1">
        <v>45846</v>
      </c>
      <c r="G1460">
        <f>_xlfn.XLOOKUP(F1460,'Wk no''s'!B:B,'Wk no''s'!C:C,0)</f>
        <v>28</v>
      </c>
    </row>
    <row r="1461" spans="1:7" x14ac:dyDescent="0.3">
      <c r="A1461" t="s">
        <v>4945</v>
      </c>
      <c r="B1461" t="s">
        <v>4946</v>
      </c>
      <c r="C1461" t="s">
        <v>4224</v>
      </c>
      <c r="D1461">
        <v>6</v>
      </c>
      <c r="E1461">
        <v>0</v>
      </c>
      <c r="F1461" s="1">
        <v>45846</v>
      </c>
      <c r="G1461">
        <f>_xlfn.XLOOKUP(F1461,'Wk no''s'!B:B,'Wk no''s'!C:C,0)</f>
        <v>28</v>
      </c>
    </row>
    <row r="1462" spans="1:7" x14ac:dyDescent="0.3">
      <c r="A1462" t="s">
        <v>4947</v>
      </c>
      <c r="B1462" t="s">
        <v>4948</v>
      </c>
      <c r="C1462" t="s">
        <v>3517</v>
      </c>
      <c r="D1462">
        <v>0</v>
      </c>
      <c r="E1462">
        <v>1</v>
      </c>
      <c r="F1462" s="1">
        <v>45846</v>
      </c>
      <c r="G1462">
        <f>_xlfn.XLOOKUP(F1462,'Wk no''s'!B:B,'Wk no''s'!C:C,0)</f>
        <v>28</v>
      </c>
    </row>
    <row r="1463" spans="1:7" x14ac:dyDescent="0.3">
      <c r="A1463" t="s">
        <v>4949</v>
      </c>
      <c r="B1463" t="s">
        <v>4950</v>
      </c>
      <c r="C1463" t="s">
        <v>4951</v>
      </c>
      <c r="D1463">
        <v>7</v>
      </c>
      <c r="E1463">
        <v>0</v>
      </c>
      <c r="F1463" s="1">
        <v>45846</v>
      </c>
      <c r="G1463">
        <f>_xlfn.XLOOKUP(F1463,'Wk no''s'!B:B,'Wk no''s'!C:C,0)</f>
        <v>28</v>
      </c>
    </row>
    <row r="1464" spans="1:7" x14ac:dyDescent="0.3">
      <c r="A1464" t="s">
        <v>4952</v>
      </c>
      <c r="B1464" t="s">
        <v>4953</v>
      </c>
      <c r="C1464" t="s">
        <v>4954</v>
      </c>
      <c r="D1464">
        <v>1</v>
      </c>
      <c r="E1464">
        <v>1</v>
      </c>
      <c r="F1464" s="1">
        <v>45846</v>
      </c>
      <c r="G1464">
        <f>_xlfn.XLOOKUP(F1464,'Wk no''s'!B:B,'Wk no''s'!C:C,0)</f>
        <v>28</v>
      </c>
    </row>
    <row r="1465" spans="1:7" x14ac:dyDescent="0.3">
      <c r="A1465" t="s">
        <v>4955</v>
      </c>
      <c r="B1465" t="s">
        <v>4956</v>
      </c>
      <c r="C1465" t="s">
        <v>4957</v>
      </c>
      <c r="D1465">
        <v>0</v>
      </c>
      <c r="E1465">
        <v>1</v>
      </c>
      <c r="F1465" s="1">
        <v>45846</v>
      </c>
      <c r="G1465">
        <f>_xlfn.XLOOKUP(F1465,'Wk no''s'!B:B,'Wk no''s'!C:C,0)</f>
        <v>28</v>
      </c>
    </row>
    <row r="1466" spans="1:7" x14ac:dyDescent="0.3">
      <c r="A1466" t="s">
        <v>4958</v>
      </c>
      <c r="B1466" t="s">
        <v>4959</v>
      </c>
      <c r="C1466" t="s">
        <v>4960</v>
      </c>
      <c r="D1466">
        <v>0</v>
      </c>
      <c r="E1466">
        <v>1</v>
      </c>
      <c r="F1466" s="1">
        <v>45846</v>
      </c>
      <c r="G1466">
        <f>_xlfn.XLOOKUP(F1466,'Wk no''s'!B:B,'Wk no''s'!C:C,0)</f>
        <v>28</v>
      </c>
    </row>
    <row r="1467" spans="1:7" x14ac:dyDescent="0.3">
      <c r="A1467" t="s">
        <v>4961</v>
      </c>
      <c r="B1467" t="s">
        <v>4962</v>
      </c>
      <c r="C1467" t="s">
        <v>4963</v>
      </c>
      <c r="D1467">
        <v>0</v>
      </c>
      <c r="E1467">
        <v>1</v>
      </c>
      <c r="F1467" s="1">
        <v>45846</v>
      </c>
      <c r="G1467">
        <f>_xlfn.XLOOKUP(F1467,'Wk no''s'!B:B,'Wk no''s'!C:C,0)</f>
        <v>28</v>
      </c>
    </row>
    <row r="1468" spans="1:7" x14ac:dyDescent="0.3">
      <c r="A1468" t="s">
        <v>4964</v>
      </c>
      <c r="B1468" t="s">
        <v>4965</v>
      </c>
      <c r="C1468" t="s">
        <v>407</v>
      </c>
      <c r="D1468">
        <v>0</v>
      </c>
      <c r="E1468">
        <v>1</v>
      </c>
      <c r="F1468" s="1">
        <v>45846</v>
      </c>
      <c r="G1468">
        <f>_xlfn.XLOOKUP(F1468,'Wk no''s'!B:B,'Wk no''s'!C:C,0)</f>
        <v>28</v>
      </c>
    </row>
    <row r="1469" spans="1:7" x14ac:dyDescent="0.3">
      <c r="A1469" t="s">
        <v>4966</v>
      </c>
      <c r="B1469" t="s">
        <v>4967</v>
      </c>
      <c r="C1469" t="s">
        <v>386</v>
      </c>
      <c r="D1469">
        <v>23</v>
      </c>
      <c r="E1469">
        <v>0</v>
      </c>
      <c r="F1469" s="1">
        <v>45846</v>
      </c>
      <c r="G1469">
        <f>_xlfn.XLOOKUP(F1469,'Wk no''s'!B:B,'Wk no''s'!C:C,0)</f>
        <v>28</v>
      </c>
    </row>
    <row r="1470" spans="1:7" x14ac:dyDescent="0.3">
      <c r="A1470" t="s">
        <v>4968</v>
      </c>
      <c r="B1470" t="s">
        <v>4969</v>
      </c>
      <c r="C1470" t="s">
        <v>4970</v>
      </c>
      <c r="D1470">
        <v>0</v>
      </c>
      <c r="E1470">
        <v>1</v>
      </c>
      <c r="F1470" s="1">
        <v>45847</v>
      </c>
      <c r="G1470">
        <f>_xlfn.XLOOKUP(F1470,'Wk no''s'!B:B,'Wk no''s'!C:C,0)</f>
        <v>28</v>
      </c>
    </row>
    <row r="1471" spans="1:7" x14ac:dyDescent="0.3">
      <c r="A1471" t="s">
        <v>4971</v>
      </c>
      <c r="B1471" t="s">
        <v>4972</v>
      </c>
      <c r="C1471" t="s">
        <v>36</v>
      </c>
      <c r="D1471">
        <v>0</v>
      </c>
      <c r="E1471">
        <v>1</v>
      </c>
      <c r="F1471" s="1">
        <v>45847</v>
      </c>
      <c r="G1471">
        <f>_xlfn.XLOOKUP(F1471,'Wk no''s'!B:B,'Wk no''s'!C:C,0)</f>
        <v>28</v>
      </c>
    </row>
    <row r="1472" spans="1:7" x14ac:dyDescent="0.3">
      <c r="A1472" t="s">
        <v>4973</v>
      </c>
      <c r="B1472" t="s">
        <v>4974</v>
      </c>
      <c r="C1472" t="s">
        <v>4975</v>
      </c>
      <c r="D1472">
        <v>6</v>
      </c>
      <c r="E1472">
        <v>0</v>
      </c>
      <c r="F1472" s="1">
        <v>45847</v>
      </c>
      <c r="G1472">
        <f>_xlfn.XLOOKUP(F1472,'Wk no''s'!B:B,'Wk no''s'!C:C,0)</f>
        <v>28</v>
      </c>
    </row>
    <row r="1473" spans="1:7" x14ac:dyDescent="0.3">
      <c r="A1473" t="s">
        <v>4976</v>
      </c>
      <c r="B1473" t="s">
        <v>4977</v>
      </c>
      <c r="C1473" t="s">
        <v>4978</v>
      </c>
      <c r="D1473">
        <v>63</v>
      </c>
      <c r="E1473">
        <v>0</v>
      </c>
      <c r="F1473" s="1">
        <v>45847</v>
      </c>
      <c r="G1473">
        <f>_xlfn.XLOOKUP(F1473,'Wk no''s'!B:B,'Wk no''s'!C:C,0)</f>
        <v>28</v>
      </c>
    </row>
    <row r="1474" spans="1:7" x14ac:dyDescent="0.3">
      <c r="A1474" t="s">
        <v>4979</v>
      </c>
      <c r="B1474" t="s">
        <v>4980</v>
      </c>
      <c r="C1474" t="s">
        <v>4981</v>
      </c>
      <c r="D1474">
        <v>23</v>
      </c>
      <c r="E1474">
        <v>0</v>
      </c>
      <c r="F1474" s="1">
        <v>45847</v>
      </c>
      <c r="G1474">
        <f>_xlfn.XLOOKUP(F1474,'Wk no''s'!B:B,'Wk no''s'!C:C,0)</f>
        <v>28</v>
      </c>
    </row>
    <row r="1475" spans="1:7" x14ac:dyDescent="0.3">
      <c r="A1475" t="s">
        <v>4982</v>
      </c>
      <c r="B1475" t="s">
        <v>4983</v>
      </c>
      <c r="C1475" t="s">
        <v>1097</v>
      </c>
      <c r="D1475">
        <v>0</v>
      </c>
      <c r="E1475">
        <v>1</v>
      </c>
      <c r="F1475" s="1">
        <v>45847</v>
      </c>
      <c r="G1475">
        <f>_xlfn.XLOOKUP(F1475,'Wk no''s'!B:B,'Wk no''s'!C:C,0)</f>
        <v>28</v>
      </c>
    </row>
    <row r="1476" spans="1:7" x14ac:dyDescent="0.3">
      <c r="A1476" t="s">
        <v>4984</v>
      </c>
      <c r="B1476" t="s">
        <v>4985</v>
      </c>
      <c r="C1476" t="s">
        <v>4247</v>
      </c>
      <c r="D1476">
        <v>1</v>
      </c>
      <c r="E1476">
        <v>1</v>
      </c>
      <c r="F1476" s="1">
        <v>45847</v>
      </c>
      <c r="G1476">
        <f>_xlfn.XLOOKUP(F1476,'Wk no''s'!B:B,'Wk no''s'!C:C,0)</f>
        <v>28</v>
      </c>
    </row>
    <row r="1477" spans="1:7" x14ac:dyDescent="0.3">
      <c r="A1477" t="s">
        <v>4986</v>
      </c>
      <c r="B1477" t="s">
        <v>4987</v>
      </c>
      <c r="C1477" t="s">
        <v>4988</v>
      </c>
      <c r="D1477">
        <v>38</v>
      </c>
      <c r="E1477">
        <v>0</v>
      </c>
      <c r="F1477" s="1">
        <v>45847</v>
      </c>
      <c r="G1477">
        <f>_xlfn.XLOOKUP(F1477,'Wk no''s'!B:B,'Wk no''s'!C:C,0)</f>
        <v>28</v>
      </c>
    </row>
    <row r="1478" spans="1:7" x14ac:dyDescent="0.3">
      <c r="A1478" t="s">
        <v>4989</v>
      </c>
      <c r="B1478" t="s">
        <v>4990</v>
      </c>
      <c r="C1478" t="s">
        <v>1194</v>
      </c>
      <c r="D1478">
        <v>0</v>
      </c>
      <c r="E1478">
        <v>1</v>
      </c>
      <c r="F1478" s="1">
        <v>45847</v>
      </c>
      <c r="G1478">
        <f>_xlfn.XLOOKUP(F1478,'Wk no''s'!B:B,'Wk no''s'!C:C,0)</f>
        <v>28</v>
      </c>
    </row>
    <row r="1479" spans="1:7" x14ac:dyDescent="0.3">
      <c r="A1479" t="s">
        <v>4991</v>
      </c>
      <c r="B1479" t="s">
        <v>4992</v>
      </c>
      <c r="C1479" t="s">
        <v>1194</v>
      </c>
      <c r="D1479">
        <v>7</v>
      </c>
      <c r="E1479">
        <v>0</v>
      </c>
      <c r="F1479" s="1">
        <v>45847</v>
      </c>
      <c r="G1479">
        <f>_xlfn.XLOOKUP(F1479,'Wk no''s'!B:B,'Wk no''s'!C:C,0)</f>
        <v>28</v>
      </c>
    </row>
    <row r="1480" spans="1:7" x14ac:dyDescent="0.3">
      <c r="A1480" t="s">
        <v>4993</v>
      </c>
      <c r="B1480" t="s">
        <v>4994</v>
      </c>
      <c r="C1480" t="s">
        <v>4995</v>
      </c>
      <c r="D1480">
        <v>7</v>
      </c>
      <c r="E1480">
        <v>0</v>
      </c>
      <c r="F1480" s="1">
        <v>45847</v>
      </c>
      <c r="G1480">
        <f>_xlfn.XLOOKUP(F1480,'Wk no''s'!B:B,'Wk no''s'!C:C,0)</f>
        <v>28</v>
      </c>
    </row>
    <row r="1481" spans="1:7" x14ac:dyDescent="0.3">
      <c r="A1481" t="s">
        <v>4996</v>
      </c>
      <c r="B1481" t="s">
        <v>4997</v>
      </c>
      <c r="C1481" t="s">
        <v>4998</v>
      </c>
      <c r="D1481">
        <v>1</v>
      </c>
      <c r="E1481">
        <v>1</v>
      </c>
      <c r="F1481" s="1">
        <v>45848</v>
      </c>
      <c r="G1481">
        <f>_xlfn.XLOOKUP(F1481,'Wk no''s'!B:B,'Wk no''s'!C:C,0)</f>
        <v>28</v>
      </c>
    </row>
    <row r="1482" spans="1:7" x14ac:dyDescent="0.3">
      <c r="A1482" t="s">
        <v>4999</v>
      </c>
      <c r="B1482" t="s">
        <v>5000</v>
      </c>
      <c r="C1482" t="s">
        <v>2270</v>
      </c>
      <c r="D1482">
        <v>0</v>
      </c>
      <c r="E1482">
        <v>1</v>
      </c>
      <c r="F1482" s="1">
        <v>45848</v>
      </c>
      <c r="G1482">
        <f>_xlfn.XLOOKUP(F1482,'Wk no''s'!B:B,'Wk no''s'!C:C,0)</f>
        <v>28</v>
      </c>
    </row>
    <row r="1483" spans="1:7" x14ac:dyDescent="0.3">
      <c r="A1483" t="s">
        <v>5001</v>
      </c>
      <c r="B1483" t="s">
        <v>5002</v>
      </c>
      <c r="C1483" t="s">
        <v>1456</v>
      </c>
      <c r="D1483">
        <v>5</v>
      </c>
      <c r="E1483">
        <v>1</v>
      </c>
      <c r="F1483" s="1">
        <v>45848</v>
      </c>
      <c r="G1483">
        <f>_xlfn.XLOOKUP(F1483,'Wk no''s'!B:B,'Wk no''s'!C:C,0)</f>
        <v>28</v>
      </c>
    </row>
    <row r="1484" spans="1:7" x14ac:dyDescent="0.3">
      <c r="A1484" t="s">
        <v>5003</v>
      </c>
      <c r="B1484" t="s">
        <v>5004</v>
      </c>
      <c r="C1484" t="s">
        <v>5005</v>
      </c>
      <c r="D1484">
        <v>1</v>
      </c>
      <c r="E1484">
        <v>1</v>
      </c>
      <c r="F1484" s="1">
        <v>45848</v>
      </c>
      <c r="G1484">
        <f>_xlfn.XLOOKUP(F1484,'Wk no''s'!B:B,'Wk no''s'!C:C,0)</f>
        <v>28</v>
      </c>
    </row>
    <row r="1485" spans="1:7" x14ac:dyDescent="0.3">
      <c r="A1485" t="s">
        <v>5006</v>
      </c>
      <c r="B1485" t="s">
        <v>5007</v>
      </c>
      <c r="C1485" t="s">
        <v>2596</v>
      </c>
      <c r="D1485">
        <v>2</v>
      </c>
      <c r="E1485">
        <v>1</v>
      </c>
      <c r="F1485" s="1">
        <v>45848</v>
      </c>
      <c r="G1485">
        <f>_xlfn.XLOOKUP(F1485,'Wk no''s'!B:B,'Wk no''s'!C:C,0)</f>
        <v>28</v>
      </c>
    </row>
    <row r="1486" spans="1:7" x14ac:dyDescent="0.3">
      <c r="A1486" t="s">
        <v>5008</v>
      </c>
      <c r="B1486" t="s">
        <v>5009</v>
      </c>
      <c r="C1486" t="s">
        <v>5010</v>
      </c>
      <c r="D1486">
        <v>1</v>
      </c>
      <c r="E1486">
        <v>1</v>
      </c>
      <c r="F1486" s="1">
        <v>45848</v>
      </c>
      <c r="G1486">
        <f>_xlfn.XLOOKUP(F1486,'Wk no''s'!B:B,'Wk no''s'!C:C,0)</f>
        <v>28</v>
      </c>
    </row>
    <row r="1487" spans="1:7" x14ac:dyDescent="0.3">
      <c r="A1487" t="s">
        <v>5011</v>
      </c>
      <c r="B1487" t="s">
        <v>5012</v>
      </c>
      <c r="C1487" t="s">
        <v>5013</v>
      </c>
      <c r="D1487">
        <v>4</v>
      </c>
      <c r="E1487">
        <v>1</v>
      </c>
      <c r="F1487" s="1">
        <v>45848</v>
      </c>
      <c r="G1487">
        <f>_xlfn.XLOOKUP(F1487,'Wk no''s'!B:B,'Wk no''s'!C:C,0)</f>
        <v>28</v>
      </c>
    </row>
    <row r="1488" spans="1:7" x14ac:dyDescent="0.3">
      <c r="A1488" t="s">
        <v>5014</v>
      </c>
      <c r="B1488" t="s">
        <v>5015</v>
      </c>
      <c r="C1488" t="s">
        <v>5016</v>
      </c>
      <c r="D1488">
        <v>70</v>
      </c>
      <c r="E1488">
        <v>0</v>
      </c>
      <c r="F1488" s="1">
        <v>45848</v>
      </c>
      <c r="G1488">
        <f>_xlfn.XLOOKUP(F1488,'Wk no''s'!B:B,'Wk no''s'!C:C,0)</f>
        <v>28</v>
      </c>
    </row>
    <row r="1489" spans="1:7" x14ac:dyDescent="0.3">
      <c r="A1489" t="s">
        <v>5017</v>
      </c>
      <c r="B1489" t="s">
        <v>5018</v>
      </c>
      <c r="C1489" t="s">
        <v>5019</v>
      </c>
      <c r="D1489">
        <v>19</v>
      </c>
      <c r="E1489">
        <v>0</v>
      </c>
      <c r="F1489" s="1">
        <v>45848</v>
      </c>
      <c r="G1489">
        <f>_xlfn.XLOOKUP(F1489,'Wk no''s'!B:B,'Wk no''s'!C:C,0)</f>
        <v>28</v>
      </c>
    </row>
    <row r="1490" spans="1:7" x14ac:dyDescent="0.3">
      <c r="A1490" t="s">
        <v>5020</v>
      </c>
      <c r="B1490" t="s">
        <v>5021</v>
      </c>
      <c r="C1490" t="s">
        <v>5022</v>
      </c>
      <c r="D1490">
        <v>11</v>
      </c>
      <c r="E1490">
        <v>0</v>
      </c>
      <c r="F1490" s="1">
        <v>45848</v>
      </c>
      <c r="G1490">
        <f>_xlfn.XLOOKUP(F1490,'Wk no''s'!B:B,'Wk no''s'!C:C,0)</f>
        <v>28</v>
      </c>
    </row>
    <row r="1491" spans="1:7" x14ac:dyDescent="0.3">
      <c r="A1491" t="s">
        <v>5023</v>
      </c>
      <c r="B1491" t="s">
        <v>5024</v>
      </c>
      <c r="C1491" t="s">
        <v>5025</v>
      </c>
      <c r="D1491">
        <v>2</v>
      </c>
      <c r="E1491">
        <v>1</v>
      </c>
      <c r="F1491" s="1">
        <v>45849</v>
      </c>
      <c r="G1491">
        <f>_xlfn.XLOOKUP(F1491,'Wk no''s'!B:B,'Wk no''s'!C:C,0)</f>
        <v>28</v>
      </c>
    </row>
    <row r="1492" spans="1:7" x14ac:dyDescent="0.3">
      <c r="A1492" t="s">
        <v>5026</v>
      </c>
      <c r="B1492" t="s">
        <v>5027</v>
      </c>
      <c r="C1492" t="s">
        <v>386</v>
      </c>
      <c r="D1492">
        <v>70</v>
      </c>
      <c r="E1492">
        <v>0</v>
      </c>
      <c r="F1492" s="1">
        <v>45849</v>
      </c>
      <c r="G1492">
        <f>_xlfn.XLOOKUP(F1492,'Wk no''s'!B:B,'Wk no''s'!C:C,0)</f>
        <v>28</v>
      </c>
    </row>
    <row r="1493" spans="1:7" x14ac:dyDescent="0.3">
      <c r="A1493" t="s">
        <v>5028</v>
      </c>
      <c r="B1493" t="s">
        <v>5029</v>
      </c>
      <c r="C1493" t="s">
        <v>5030</v>
      </c>
      <c r="D1493">
        <v>0</v>
      </c>
      <c r="E1493">
        <v>1</v>
      </c>
      <c r="F1493" s="1">
        <v>45849</v>
      </c>
      <c r="G1493">
        <f>_xlfn.XLOOKUP(F1493,'Wk no''s'!B:B,'Wk no''s'!C:C,0)</f>
        <v>28</v>
      </c>
    </row>
    <row r="1494" spans="1:7" x14ac:dyDescent="0.3">
      <c r="A1494" t="s">
        <v>5031</v>
      </c>
      <c r="B1494" t="s">
        <v>5032</v>
      </c>
      <c r="C1494" t="s">
        <v>5033</v>
      </c>
      <c r="D1494">
        <v>0</v>
      </c>
      <c r="E1494">
        <v>1</v>
      </c>
      <c r="F1494" s="1">
        <v>45849</v>
      </c>
      <c r="G1494">
        <f>_xlfn.XLOOKUP(F1494,'Wk no''s'!B:B,'Wk no''s'!C:C,0)</f>
        <v>28</v>
      </c>
    </row>
    <row r="1495" spans="1:7" x14ac:dyDescent="0.3">
      <c r="A1495" t="s">
        <v>5034</v>
      </c>
      <c r="B1495" t="s">
        <v>5035</v>
      </c>
      <c r="C1495" t="s">
        <v>5036</v>
      </c>
      <c r="D1495">
        <v>0</v>
      </c>
      <c r="E1495">
        <v>1</v>
      </c>
      <c r="F1495" s="1">
        <v>45849</v>
      </c>
      <c r="G1495">
        <f>_xlfn.XLOOKUP(F1495,'Wk no''s'!B:B,'Wk no''s'!C:C,0)</f>
        <v>28</v>
      </c>
    </row>
    <row r="1496" spans="1:7" x14ac:dyDescent="0.3">
      <c r="A1496" t="s">
        <v>5037</v>
      </c>
      <c r="B1496" t="s">
        <v>5038</v>
      </c>
      <c r="C1496" t="s">
        <v>1117</v>
      </c>
      <c r="D1496">
        <v>0</v>
      </c>
      <c r="E1496">
        <v>1</v>
      </c>
      <c r="F1496" s="1">
        <v>45849</v>
      </c>
      <c r="G1496">
        <f>_xlfn.XLOOKUP(F1496,'Wk no''s'!B:B,'Wk no''s'!C:C,0)</f>
        <v>28</v>
      </c>
    </row>
    <row r="1497" spans="1:7" x14ac:dyDescent="0.3">
      <c r="A1497" t="s">
        <v>5039</v>
      </c>
      <c r="B1497" t="s">
        <v>5040</v>
      </c>
      <c r="C1497" t="s">
        <v>2309</v>
      </c>
      <c r="D1497">
        <v>0</v>
      </c>
      <c r="E1497">
        <v>1</v>
      </c>
      <c r="F1497" s="1">
        <v>45849</v>
      </c>
      <c r="G1497">
        <f>_xlfn.XLOOKUP(F1497,'Wk no''s'!B:B,'Wk no''s'!C:C,0)</f>
        <v>28</v>
      </c>
    </row>
    <row r="1498" spans="1:7" x14ac:dyDescent="0.3">
      <c r="A1498" t="s">
        <v>5041</v>
      </c>
      <c r="B1498" t="s">
        <v>5042</v>
      </c>
      <c r="C1498" t="s">
        <v>5043</v>
      </c>
      <c r="D1498">
        <v>13</v>
      </c>
      <c r="E1498">
        <v>0</v>
      </c>
      <c r="F1498" s="1">
        <v>45849</v>
      </c>
      <c r="G1498">
        <f>_xlfn.XLOOKUP(F1498,'Wk no''s'!B:B,'Wk no''s'!C:C,0)</f>
        <v>28</v>
      </c>
    </row>
    <row r="1499" spans="1:7" x14ac:dyDescent="0.3">
      <c r="A1499" t="s">
        <v>5044</v>
      </c>
      <c r="B1499" t="s">
        <v>5045</v>
      </c>
      <c r="C1499" t="s">
        <v>5046</v>
      </c>
      <c r="D1499">
        <v>34</v>
      </c>
      <c r="E1499">
        <v>0</v>
      </c>
      <c r="F1499" s="1">
        <v>45849</v>
      </c>
      <c r="G1499">
        <f>_xlfn.XLOOKUP(F1499,'Wk no''s'!B:B,'Wk no''s'!C:C,0)</f>
        <v>28</v>
      </c>
    </row>
    <row r="1500" spans="1:7" x14ac:dyDescent="0.3">
      <c r="A1500" t="s">
        <v>5047</v>
      </c>
      <c r="B1500" t="s">
        <v>5048</v>
      </c>
      <c r="C1500" t="s">
        <v>1765</v>
      </c>
      <c r="D1500">
        <v>0</v>
      </c>
      <c r="E1500">
        <v>1</v>
      </c>
      <c r="F1500" s="1">
        <v>45849</v>
      </c>
      <c r="G1500">
        <f>_xlfn.XLOOKUP(F1500,'Wk no''s'!B:B,'Wk no''s'!C:C,0)</f>
        <v>28</v>
      </c>
    </row>
    <row r="1501" spans="1:7" x14ac:dyDescent="0.3">
      <c r="A1501" t="s">
        <v>5050</v>
      </c>
      <c r="B1501" t="s">
        <v>5051</v>
      </c>
      <c r="C1501" t="s">
        <v>4687</v>
      </c>
      <c r="D1501">
        <v>19</v>
      </c>
      <c r="E1501">
        <v>0</v>
      </c>
      <c r="F1501" s="1">
        <v>45852</v>
      </c>
      <c r="G1501">
        <f>_xlfn.XLOOKUP(F1501,'Wk no''s'!B:B,'Wk no''s'!C:C,0)</f>
        <v>29</v>
      </c>
    </row>
    <row r="1502" spans="1:7" x14ac:dyDescent="0.3">
      <c r="A1502" t="s">
        <v>5052</v>
      </c>
      <c r="B1502" t="s">
        <v>5053</v>
      </c>
      <c r="C1502" t="s">
        <v>4687</v>
      </c>
      <c r="D1502">
        <v>66</v>
      </c>
      <c r="E1502">
        <v>0</v>
      </c>
      <c r="F1502" s="1">
        <v>45852</v>
      </c>
      <c r="G1502">
        <f>_xlfn.XLOOKUP(F1502,'Wk no''s'!B:B,'Wk no''s'!C:C,0)</f>
        <v>29</v>
      </c>
    </row>
    <row r="1503" spans="1:7" x14ac:dyDescent="0.3">
      <c r="A1503" t="s">
        <v>5054</v>
      </c>
      <c r="B1503" t="s">
        <v>5055</v>
      </c>
      <c r="C1503" t="s">
        <v>38</v>
      </c>
      <c r="D1503">
        <v>24</v>
      </c>
      <c r="E1503">
        <v>0</v>
      </c>
      <c r="F1503" s="1">
        <v>45852</v>
      </c>
      <c r="G1503">
        <f>_xlfn.XLOOKUP(F1503,'Wk no''s'!B:B,'Wk no''s'!C:C,0)</f>
        <v>29</v>
      </c>
    </row>
    <row r="1504" spans="1:7" x14ac:dyDescent="0.3">
      <c r="A1504" t="s">
        <v>5056</v>
      </c>
      <c r="B1504" t="s">
        <v>5057</v>
      </c>
      <c r="C1504" t="s">
        <v>1251</v>
      </c>
      <c r="D1504">
        <v>0</v>
      </c>
      <c r="E1504">
        <v>1</v>
      </c>
      <c r="F1504" s="1">
        <v>45852</v>
      </c>
      <c r="G1504">
        <f>_xlfn.XLOOKUP(F1504,'Wk no''s'!B:B,'Wk no''s'!C:C,0)</f>
        <v>29</v>
      </c>
    </row>
    <row r="1505" spans="1:7" x14ac:dyDescent="0.3">
      <c r="A1505" t="s">
        <v>5058</v>
      </c>
      <c r="B1505" t="s">
        <v>5059</v>
      </c>
      <c r="C1505" t="s">
        <v>3549</v>
      </c>
      <c r="D1505">
        <v>13</v>
      </c>
      <c r="E1505">
        <v>0</v>
      </c>
      <c r="F1505" s="1">
        <v>45852</v>
      </c>
      <c r="G1505">
        <f>_xlfn.XLOOKUP(F1505,'Wk no''s'!B:B,'Wk no''s'!C:C,0)</f>
        <v>29</v>
      </c>
    </row>
    <row r="1506" spans="1:7" x14ac:dyDescent="0.3">
      <c r="A1506" t="s">
        <v>5060</v>
      </c>
      <c r="B1506" t="s">
        <v>5061</v>
      </c>
      <c r="C1506" t="s">
        <v>4168</v>
      </c>
      <c r="D1506">
        <v>0</v>
      </c>
      <c r="E1506">
        <v>1</v>
      </c>
      <c r="F1506" s="1">
        <v>45852</v>
      </c>
      <c r="G1506">
        <f>_xlfn.XLOOKUP(F1506,'Wk no''s'!B:B,'Wk no''s'!C:C,0)</f>
        <v>29</v>
      </c>
    </row>
    <row r="1507" spans="1:7" x14ac:dyDescent="0.3">
      <c r="A1507" t="s">
        <v>5062</v>
      </c>
      <c r="B1507" t="s">
        <v>5063</v>
      </c>
      <c r="C1507" t="s">
        <v>4168</v>
      </c>
      <c r="D1507">
        <v>0</v>
      </c>
      <c r="E1507">
        <v>1</v>
      </c>
      <c r="F1507" s="1">
        <v>45852</v>
      </c>
      <c r="G1507">
        <f>_xlfn.XLOOKUP(F1507,'Wk no''s'!B:B,'Wk no''s'!C:C,0)</f>
        <v>29</v>
      </c>
    </row>
    <row r="1508" spans="1:7" x14ac:dyDescent="0.3">
      <c r="A1508" t="s">
        <v>5064</v>
      </c>
      <c r="B1508" t="s">
        <v>5065</v>
      </c>
      <c r="C1508" t="s">
        <v>3987</v>
      </c>
      <c r="D1508">
        <v>0</v>
      </c>
      <c r="E1508">
        <v>1</v>
      </c>
      <c r="F1508" s="1">
        <v>45852</v>
      </c>
      <c r="G1508">
        <f>_xlfn.XLOOKUP(F1508,'Wk no''s'!B:B,'Wk no''s'!C:C,0)</f>
        <v>29</v>
      </c>
    </row>
    <row r="1509" spans="1:7" x14ac:dyDescent="0.3">
      <c r="A1509" t="s">
        <v>5066</v>
      </c>
      <c r="B1509" t="s">
        <v>5067</v>
      </c>
      <c r="C1509" t="s">
        <v>5068</v>
      </c>
      <c r="D1509">
        <v>0</v>
      </c>
      <c r="E1509">
        <v>1</v>
      </c>
      <c r="F1509" s="1">
        <v>45853</v>
      </c>
      <c r="G1509">
        <f>_xlfn.XLOOKUP(F1509,'Wk no''s'!B:B,'Wk no''s'!C:C,0)</f>
        <v>29</v>
      </c>
    </row>
    <row r="1510" spans="1:7" x14ac:dyDescent="0.3">
      <c r="A1510" t="s">
        <v>5069</v>
      </c>
      <c r="B1510" t="s">
        <v>5070</v>
      </c>
      <c r="C1510" t="s">
        <v>5071</v>
      </c>
      <c r="D1510">
        <v>18</v>
      </c>
      <c r="E1510">
        <v>0</v>
      </c>
      <c r="F1510" s="1">
        <v>45853</v>
      </c>
      <c r="G1510">
        <f>_xlfn.XLOOKUP(F1510,'Wk no''s'!B:B,'Wk no''s'!C:C,0)</f>
        <v>29</v>
      </c>
    </row>
    <row r="1511" spans="1:7" x14ac:dyDescent="0.3">
      <c r="A1511" t="s">
        <v>5072</v>
      </c>
      <c r="B1511" t="s">
        <v>5073</v>
      </c>
      <c r="C1511" t="s">
        <v>5074</v>
      </c>
      <c r="D1511">
        <v>17</v>
      </c>
      <c r="E1511">
        <v>0</v>
      </c>
      <c r="F1511" s="1">
        <v>45853</v>
      </c>
      <c r="G1511">
        <f>_xlfn.XLOOKUP(F1511,'Wk no''s'!B:B,'Wk no''s'!C:C,0)</f>
        <v>29</v>
      </c>
    </row>
    <row r="1512" spans="1:7" x14ac:dyDescent="0.3">
      <c r="A1512" t="s">
        <v>5075</v>
      </c>
      <c r="B1512" t="s">
        <v>5076</v>
      </c>
      <c r="C1512" t="s">
        <v>1889</v>
      </c>
      <c r="D1512">
        <v>0</v>
      </c>
      <c r="E1512">
        <v>1</v>
      </c>
      <c r="F1512" s="1">
        <v>45853</v>
      </c>
      <c r="G1512">
        <f>_xlfn.XLOOKUP(F1512,'Wk no''s'!B:B,'Wk no''s'!C:C,0)</f>
        <v>29</v>
      </c>
    </row>
    <row r="1513" spans="1:7" x14ac:dyDescent="0.3">
      <c r="A1513" t="s">
        <v>5077</v>
      </c>
      <c r="C1513" t="s">
        <v>5078</v>
      </c>
      <c r="D1513">
        <v>0</v>
      </c>
      <c r="E1513">
        <v>1</v>
      </c>
      <c r="F1513" s="1">
        <v>45853</v>
      </c>
      <c r="G1513">
        <f>_xlfn.XLOOKUP(F1513,'Wk no''s'!B:B,'Wk no''s'!C:C,0)</f>
        <v>29</v>
      </c>
    </row>
    <row r="1514" spans="1:7" x14ac:dyDescent="0.3">
      <c r="A1514" t="s">
        <v>5079</v>
      </c>
      <c r="B1514" t="s">
        <v>5080</v>
      </c>
      <c r="C1514" t="s">
        <v>2474</v>
      </c>
      <c r="D1514">
        <v>0</v>
      </c>
      <c r="E1514">
        <v>1</v>
      </c>
      <c r="F1514" s="1">
        <v>45853</v>
      </c>
      <c r="G1514">
        <f>_xlfn.XLOOKUP(F1514,'Wk no''s'!B:B,'Wk no''s'!C:C,0)</f>
        <v>29</v>
      </c>
    </row>
    <row r="1515" spans="1:7" x14ac:dyDescent="0.3">
      <c r="A1515" t="s">
        <v>5081</v>
      </c>
      <c r="B1515" t="s">
        <v>5082</v>
      </c>
      <c r="C1515" t="s">
        <v>3987</v>
      </c>
      <c r="D1515">
        <v>2</v>
      </c>
      <c r="E1515">
        <v>1</v>
      </c>
      <c r="F1515" s="1">
        <v>45854</v>
      </c>
      <c r="G1515">
        <f>_xlfn.XLOOKUP(F1515,'Wk no''s'!B:B,'Wk no''s'!C:C,0)</f>
        <v>29</v>
      </c>
    </row>
    <row r="1516" spans="1:7" x14ac:dyDescent="0.3">
      <c r="A1516" t="s">
        <v>5083</v>
      </c>
      <c r="B1516" t="s">
        <v>5084</v>
      </c>
      <c r="C1516" t="s">
        <v>3987</v>
      </c>
      <c r="D1516">
        <v>12</v>
      </c>
      <c r="E1516">
        <v>0</v>
      </c>
      <c r="F1516" s="1">
        <v>45854</v>
      </c>
      <c r="G1516">
        <f>_xlfn.XLOOKUP(F1516,'Wk no''s'!B:B,'Wk no''s'!C:C,0)</f>
        <v>29</v>
      </c>
    </row>
    <row r="1517" spans="1:7" x14ac:dyDescent="0.3">
      <c r="A1517" t="s">
        <v>5085</v>
      </c>
      <c r="B1517" t="s">
        <v>5086</v>
      </c>
      <c r="C1517" t="s">
        <v>3987</v>
      </c>
      <c r="D1517">
        <v>48</v>
      </c>
      <c r="E1517">
        <v>0</v>
      </c>
      <c r="F1517" s="1">
        <v>45854</v>
      </c>
      <c r="G1517">
        <f>_xlfn.XLOOKUP(F1517,'Wk no''s'!B:B,'Wk no''s'!C:C,0)</f>
        <v>29</v>
      </c>
    </row>
    <row r="1518" spans="1:7" x14ac:dyDescent="0.3">
      <c r="A1518" t="s">
        <v>5087</v>
      </c>
      <c r="B1518" t="s">
        <v>5088</v>
      </c>
      <c r="C1518" t="s">
        <v>5089</v>
      </c>
      <c r="D1518">
        <v>0</v>
      </c>
      <c r="E1518">
        <v>1</v>
      </c>
      <c r="F1518" s="1">
        <v>45854</v>
      </c>
      <c r="G1518">
        <f>_xlfn.XLOOKUP(F1518,'Wk no''s'!B:B,'Wk no''s'!C:C,0)</f>
        <v>29</v>
      </c>
    </row>
    <row r="1519" spans="1:7" x14ac:dyDescent="0.3">
      <c r="A1519" t="s">
        <v>5090</v>
      </c>
      <c r="B1519" t="s">
        <v>5091</v>
      </c>
      <c r="C1519" t="s">
        <v>5092</v>
      </c>
      <c r="D1519">
        <v>0</v>
      </c>
      <c r="E1519">
        <v>1</v>
      </c>
      <c r="F1519" s="1">
        <v>45854</v>
      </c>
      <c r="G1519">
        <f>_xlfn.XLOOKUP(F1519,'Wk no''s'!B:B,'Wk no''s'!C:C,0)</f>
        <v>29</v>
      </c>
    </row>
    <row r="1520" spans="1:7" x14ac:dyDescent="0.3">
      <c r="A1520" t="s">
        <v>5093</v>
      </c>
      <c r="B1520" t="s">
        <v>5094</v>
      </c>
      <c r="C1520" t="s">
        <v>407</v>
      </c>
      <c r="D1520">
        <v>0</v>
      </c>
      <c r="E1520">
        <v>1</v>
      </c>
      <c r="F1520" s="1">
        <v>45854</v>
      </c>
      <c r="G1520">
        <f>_xlfn.XLOOKUP(F1520,'Wk no''s'!B:B,'Wk no''s'!C:C,0)</f>
        <v>29</v>
      </c>
    </row>
    <row r="1521" spans="1:7" x14ac:dyDescent="0.3">
      <c r="A1521" t="s">
        <v>5095</v>
      </c>
      <c r="B1521" t="s">
        <v>5096</v>
      </c>
      <c r="C1521" t="s">
        <v>525</v>
      </c>
      <c r="D1521">
        <v>57</v>
      </c>
      <c r="E1521">
        <v>0</v>
      </c>
      <c r="F1521" s="1">
        <v>45854</v>
      </c>
      <c r="G1521">
        <f>_xlfn.XLOOKUP(F1521,'Wk no''s'!B:B,'Wk no''s'!C:C,0)</f>
        <v>29</v>
      </c>
    </row>
    <row r="1522" spans="1:7" x14ac:dyDescent="0.3">
      <c r="A1522" t="s">
        <v>5097</v>
      </c>
      <c r="B1522" t="s">
        <v>5098</v>
      </c>
      <c r="C1522" t="s">
        <v>4963</v>
      </c>
      <c r="D1522">
        <v>0</v>
      </c>
      <c r="E1522">
        <v>1</v>
      </c>
      <c r="F1522" s="1">
        <v>45854</v>
      </c>
      <c r="G1522">
        <f>_xlfn.XLOOKUP(F1522,'Wk no''s'!B:B,'Wk no''s'!C:C,0)</f>
        <v>29</v>
      </c>
    </row>
    <row r="1523" spans="1:7" x14ac:dyDescent="0.3">
      <c r="A1523" t="s">
        <v>5099</v>
      </c>
      <c r="B1523" t="s">
        <v>5100</v>
      </c>
      <c r="C1523" t="s">
        <v>1343</v>
      </c>
      <c r="D1523">
        <v>0</v>
      </c>
      <c r="E1523">
        <v>1</v>
      </c>
      <c r="F1523" s="1">
        <v>45855</v>
      </c>
      <c r="G1523">
        <f>_xlfn.XLOOKUP(F1523,'Wk no''s'!B:B,'Wk no''s'!C:C,0)</f>
        <v>29</v>
      </c>
    </row>
    <row r="1524" spans="1:7" x14ac:dyDescent="0.3">
      <c r="A1524" t="s">
        <v>5101</v>
      </c>
      <c r="B1524" t="s">
        <v>5102</v>
      </c>
      <c r="C1524" t="s">
        <v>4247</v>
      </c>
      <c r="D1524">
        <v>23</v>
      </c>
      <c r="E1524">
        <v>0</v>
      </c>
      <c r="F1524" s="1">
        <v>45855</v>
      </c>
      <c r="G1524">
        <f>_xlfn.XLOOKUP(F1524,'Wk no''s'!B:B,'Wk no''s'!C:C,0)</f>
        <v>29</v>
      </c>
    </row>
    <row r="1525" spans="1:7" x14ac:dyDescent="0.3">
      <c r="A1525" t="s">
        <v>5103</v>
      </c>
      <c r="B1525" t="s">
        <v>5104</v>
      </c>
      <c r="C1525" t="s">
        <v>4687</v>
      </c>
      <c r="D1525">
        <v>0</v>
      </c>
      <c r="E1525">
        <v>1</v>
      </c>
      <c r="F1525" s="1">
        <v>45855</v>
      </c>
      <c r="G1525">
        <f>_xlfn.XLOOKUP(F1525,'Wk no''s'!B:B,'Wk no''s'!C:C,0)</f>
        <v>29</v>
      </c>
    </row>
    <row r="1526" spans="1:7" x14ac:dyDescent="0.3">
      <c r="A1526" t="s">
        <v>5105</v>
      </c>
      <c r="B1526" t="s">
        <v>5106</v>
      </c>
      <c r="C1526" t="s">
        <v>1706</v>
      </c>
      <c r="D1526">
        <v>0</v>
      </c>
      <c r="E1526">
        <v>1</v>
      </c>
      <c r="F1526" s="1">
        <v>45855</v>
      </c>
      <c r="G1526">
        <f>_xlfn.XLOOKUP(F1526,'Wk no''s'!B:B,'Wk no''s'!C:C,0)</f>
        <v>29</v>
      </c>
    </row>
    <row r="1527" spans="1:7" x14ac:dyDescent="0.3">
      <c r="A1527" t="s">
        <v>5107</v>
      </c>
      <c r="B1527" t="s">
        <v>5108</v>
      </c>
      <c r="C1527" t="s">
        <v>127</v>
      </c>
      <c r="D1527">
        <v>0</v>
      </c>
      <c r="E1527">
        <v>1</v>
      </c>
      <c r="F1527" s="1">
        <v>45855</v>
      </c>
      <c r="G1527">
        <f>_xlfn.XLOOKUP(F1527,'Wk no''s'!B:B,'Wk no''s'!C:C,0)</f>
        <v>29</v>
      </c>
    </row>
    <row r="1528" spans="1:7" x14ac:dyDescent="0.3">
      <c r="A1528" t="s">
        <v>5109</v>
      </c>
      <c r="B1528" t="s">
        <v>5110</v>
      </c>
      <c r="C1528" t="s">
        <v>4247</v>
      </c>
      <c r="D1528">
        <v>33</v>
      </c>
      <c r="E1528">
        <v>0</v>
      </c>
      <c r="F1528" s="1">
        <v>45855</v>
      </c>
      <c r="G1528">
        <f>_xlfn.XLOOKUP(F1528,'Wk no''s'!B:B,'Wk no''s'!C:C,0)</f>
        <v>29</v>
      </c>
    </row>
    <row r="1529" spans="1:7" x14ac:dyDescent="0.3">
      <c r="A1529" t="s">
        <v>5111</v>
      </c>
      <c r="B1529" t="s">
        <v>5112</v>
      </c>
      <c r="C1529" t="s">
        <v>2471</v>
      </c>
      <c r="D1529">
        <v>0</v>
      </c>
      <c r="E1529">
        <v>1</v>
      </c>
      <c r="F1529" s="1">
        <v>45855</v>
      </c>
      <c r="G1529">
        <f>_xlfn.XLOOKUP(F1529,'Wk no''s'!B:B,'Wk no''s'!C:C,0)</f>
        <v>29</v>
      </c>
    </row>
    <row r="1530" spans="1:7" x14ac:dyDescent="0.3">
      <c r="A1530" t="s">
        <v>5113</v>
      </c>
      <c r="B1530" t="s">
        <v>5114</v>
      </c>
      <c r="C1530" t="s">
        <v>550</v>
      </c>
      <c r="D1530">
        <v>2</v>
      </c>
      <c r="E1530">
        <v>1</v>
      </c>
      <c r="F1530" s="1">
        <v>45855</v>
      </c>
      <c r="G1530">
        <f>_xlfn.XLOOKUP(F1530,'Wk no''s'!B:B,'Wk no''s'!C:C,0)</f>
        <v>29</v>
      </c>
    </row>
    <row r="1531" spans="1:7" x14ac:dyDescent="0.3">
      <c r="A1531" t="s">
        <v>5115</v>
      </c>
      <c r="C1531" t="s">
        <v>1747</v>
      </c>
      <c r="D1531">
        <v>65</v>
      </c>
      <c r="E1531">
        <v>0</v>
      </c>
      <c r="F1531" s="1">
        <v>45855</v>
      </c>
      <c r="G1531">
        <f>_xlfn.XLOOKUP(F1531,'Wk no''s'!B:B,'Wk no''s'!C:C,0)</f>
        <v>29</v>
      </c>
    </row>
    <row r="1532" spans="1:7" x14ac:dyDescent="0.3">
      <c r="A1532" t="s">
        <v>5116</v>
      </c>
      <c r="B1532" t="s">
        <v>5117</v>
      </c>
      <c r="C1532" t="s">
        <v>386</v>
      </c>
      <c r="D1532">
        <v>61</v>
      </c>
      <c r="E1532">
        <v>0</v>
      </c>
      <c r="F1532" s="1">
        <v>45855</v>
      </c>
      <c r="G1532">
        <f>_xlfn.XLOOKUP(F1532,'Wk no''s'!B:B,'Wk no''s'!C:C,0)</f>
        <v>29</v>
      </c>
    </row>
    <row r="1533" spans="1:7" x14ac:dyDescent="0.3">
      <c r="A1533" t="s">
        <v>5118</v>
      </c>
      <c r="B1533" t="s">
        <v>5119</v>
      </c>
      <c r="C1533" t="s">
        <v>1208</v>
      </c>
      <c r="D1533">
        <v>6</v>
      </c>
      <c r="E1533">
        <v>0</v>
      </c>
      <c r="F1533" s="1">
        <v>45855</v>
      </c>
      <c r="G1533">
        <f>_xlfn.XLOOKUP(F1533,'Wk no''s'!B:B,'Wk no''s'!C:C,0)</f>
        <v>29</v>
      </c>
    </row>
    <row r="1534" spans="1:7" x14ac:dyDescent="0.3">
      <c r="A1534" t="s">
        <v>5120</v>
      </c>
      <c r="B1534" t="s">
        <v>5121</v>
      </c>
      <c r="C1534" t="s">
        <v>2972</v>
      </c>
      <c r="D1534">
        <v>34</v>
      </c>
      <c r="E1534">
        <v>0</v>
      </c>
      <c r="F1534" s="1">
        <v>45856</v>
      </c>
      <c r="G1534">
        <f>_xlfn.XLOOKUP(F1534,'Wk no''s'!B:B,'Wk no''s'!C:C,0)</f>
        <v>29</v>
      </c>
    </row>
    <row r="1535" spans="1:7" x14ac:dyDescent="0.3">
      <c r="A1535" t="s">
        <v>5122</v>
      </c>
      <c r="C1535" t="s">
        <v>3459</v>
      </c>
      <c r="D1535">
        <v>0</v>
      </c>
      <c r="E1535">
        <v>1</v>
      </c>
      <c r="F1535" s="1">
        <v>45856</v>
      </c>
      <c r="G1535">
        <f>_xlfn.XLOOKUP(F1535,'Wk no''s'!B:B,'Wk no''s'!C:C,0)</f>
        <v>29</v>
      </c>
    </row>
    <row r="1536" spans="1:7" x14ac:dyDescent="0.3">
      <c r="A1536" t="s">
        <v>5123</v>
      </c>
      <c r="B1536" t="s">
        <v>5124</v>
      </c>
      <c r="C1536" t="s">
        <v>2681</v>
      </c>
      <c r="D1536">
        <v>2</v>
      </c>
      <c r="E1536">
        <v>1</v>
      </c>
      <c r="F1536" s="1">
        <v>45856</v>
      </c>
      <c r="G1536">
        <f>_xlfn.XLOOKUP(F1536,'Wk no''s'!B:B,'Wk no''s'!C:C,0)</f>
        <v>29</v>
      </c>
    </row>
    <row r="1537" spans="1:7" x14ac:dyDescent="0.3">
      <c r="A1537" t="s">
        <v>5125</v>
      </c>
      <c r="B1537" t="s">
        <v>5126</v>
      </c>
      <c r="C1537" t="s">
        <v>5068</v>
      </c>
      <c r="D1537">
        <v>7</v>
      </c>
      <c r="E1537">
        <v>0</v>
      </c>
      <c r="F1537" s="1">
        <v>45856</v>
      </c>
      <c r="G1537">
        <f>_xlfn.XLOOKUP(F1537,'Wk no''s'!B:B,'Wk no''s'!C:C,0)</f>
        <v>29</v>
      </c>
    </row>
    <row r="1538" spans="1:7" x14ac:dyDescent="0.3">
      <c r="A1538" t="s">
        <v>5127</v>
      </c>
      <c r="B1538" t="s">
        <v>5128</v>
      </c>
      <c r="C1538" t="s">
        <v>1224</v>
      </c>
      <c r="D1538">
        <v>1</v>
      </c>
      <c r="E1538">
        <v>1</v>
      </c>
      <c r="F1538" s="1">
        <v>45856</v>
      </c>
      <c r="G1538">
        <f>_xlfn.XLOOKUP(F1538,'Wk no''s'!B:B,'Wk no''s'!C:C,0)</f>
        <v>29</v>
      </c>
    </row>
    <row r="1539" spans="1:7" x14ac:dyDescent="0.3">
      <c r="A1539" t="s">
        <v>5129</v>
      </c>
      <c r="C1539" t="s">
        <v>2730</v>
      </c>
      <c r="D1539">
        <v>0</v>
      </c>
      <c r="E1539">
        <v>1</v>
      </c>
      <c r="F1539" s="1">
        <v>45856</v>
      </c>
      <c r="G1539">
        <f>_xlfn.XLOOKUP(F1539,'Wk no''s'!B:B,'Wk no''s'!C:C,0)</f>
        <v>29</v>
      </c>
    </row>
    <row r="1540" spans="1:7" x14ac:dyDescent="0.3">
      <c r="A1540" t="s">
        <v>5184</v>
      </c>
      <c r="B1540" t="s">
        <v>5185</v>
      </c>
      <c r="C1540" t="s">
        <v>5186</v>
      </c>
      <c r="D1540">
        <v>0</v>
      </c>
      <c r="E1540">
        <v>1</v>
      </c>
      <c r="F1540" s="1">
        <v>45859</v>
      </c>
      <c r="G1540">
        <f>_xlfn.XLOOKUP(F1540,'Wk no''s'!B:B,'Wk no''s'!C:C,0)</f>
        <v>30</v>
      </c>
    </row>
    <row r="1541" spans="1:7" x14ac:dyDescent="0.3">
      <c r="A1541" t="s">
        <v>5187</v>
      </c>
      <c r="B1541" t="s">
        <v>5188</v>
      </c>
      <c r="C1541" t="s">
        <v>4766</v>
      </c>
      <c r="D1541">
        <v>2</v>
      </c>
      <c r="E1541">
        <v>1</v>
      </c>
      <c r="F1541" s="1">
        <v>45859</v>
      </c>
      <c r="G1541">
        <f>_xlfn.XLOOKUP(F1541,'Wk no''s'!B:B,'Wk no''s'!C:C,0)</f>
        <v>30</v>
      </c>
    </row>
    <row r="1542" spans="1:7" x14ac:dyDescent="0.3">
      <c r="A1542" t="s">
        <v>5189</v>
      </c>
      <c r="B1542" t="s">
        <v>5190</v>
      </c>
      <c r="C1542" t="s">
        <v>4247</v>
      </c>
      <c r="D1542">
        <v>11</v>
      </c>
      <c r="E1542">
        <v>0</v>
      </c>
      <c r="F1542" s="1">
        <v>45859</v>
      </c>
      <c r="G1542">
        <f>_xlfn.XLOOKUP(F1542,'Wk no''s'!B:B,'Wk no''s'!C:C,0)</f>
        <v>30</v>
      </c>
    </row>
    <row r="1543" spans="1:7" x14ac:dyDescent="0.3">
      <c r="A1543" t="s">
        <v>5191</v>
      </c>
      <c r="B1543" t="s">
        <v>5192</v>
      </c>
      <c r="C1543" t="s">
        <v>1097</v>
      </c>
      <c r="D1543">
        <v>0</v>
      </c>
      <c r="E1543">
        <v>1</v>
      </c>
      <c r="F1543" s="1">
        <v>45859</v>
      </c>
      <c r="G1543">
        <f>_xlfn.XLOOKUP(F1543,'Wk no''s'!B:B,'Wk no''s'!C:C,0)</f>
        <v>30</v>
      </c>
    </row>
    <row r="1544" spans="1:7" x14ac:dyDescent="0.3">
      <c r="A1544" t="s">
        <v>5193</v>
      </c>
      <c r="B1544" t="s">
        <v>5194</v>
      </c>
      <c r="C1544" t="s">
        <v>1639</v>
      </c>
      <c r="D1544">
        <v>0</v>
      </c>
      <c r="E1544">
        <v>1</v>
      </c>
      <c r="F1544" s="1">
        <v>45859</v>
      </c>
      <c r="G1544">
        <f>_xlfn.XLOOKUP(F1544,'Wk no''s'!B:B,'Wk no''s'!C:C,0)</f>
        <v>30</v>
      </c>
    </row>
    <row r="1545" spans="1:7" x14ac:dyDescent="0.3">
      <c r="A1545" t="s">
        <v>5195</v>
      </c>
      <c r="B1545" t="s">
        <v>5196</v>
      </c>
      <c r="C1545" t="s">
        <v>4970</v>
      </c>
      <c r="D1545">
        <v>0</v>
      </c>
      <c r="E1545">
        <v>1</v>
      </c>
      <c r="F1545" s="1">
        <v>45859</v>
      </c>
      <c r="G1545">
        <f>_xlfn.XLOOKUP(F1545,'Wk no''s'!B:B,'Wk no''s'!C:C,0)</f>
        <v>30</v>
      </c>
    </row>
    <row r="1546" spans="1:7" x14ac:dyDescent="0.3">
      <c r="A1546" t="s">
        <v>5197</v>
      </c>
      <c r="B1546" t="s">
        <v>5198</v>
      </c>
      <c r="C1546" t="s">
        <v>4407</v>
      </c>
      <c r="D1546">
        <v>0</v>
      </c>
      <c r="E1546">
        <v>1</v>
      </c>
      <c r="F1546" s="1">
        <v>45859</v>
      </c>
      <c r="G1546">
        <f>_xlfn.XLOOKUP(F1546,'Wk no''s'!B:B,'Wk no''s'!C:C,0)</f>
        <v>30</v>
      </c>
    </row>
    <row r="1547" spans="1:7" x14ac:dyDescent="0.3">
      <c r="A1547" t="s">
        <v>5199</v>
      </c>
      <c r="B1547" t="s">
        <v>5200</v>
      </c>
      <c r="C1547" t="s">
        <v>4247</v>
      </c>
      <c r="D1547">
        <v>13</v>
      </c>
      <c r="E1547">
        <v>0</v>
      </c>
      <c r="F1547" s="1">
        <v>45859</v>
      </c>
      <c r="G1547">
        <f>_xlfn.XLOOKUP(F1547,'Wk no''s'!B:B,'Wk no''s'!C:C,0)</f>
        <v>30</v>
      </c>
    </row>
    <row r="1548" spans="1:7" x14ac:dyDescent="0.3">
      <c r="A1548" t="s">
        <v>5201</v>
      </c>
      <c r="B1548" t="s">
        <v>5202</v>
      </c>
      <c r="C1548" t="s">
        <v>5203</v>
      </c>
      <c r="D1548">
        <v>0</v>
      </c>
      <c r="E1548">
        <v>1</v>
      </c>
      <c r="F1548" s="1">
        <v>45859</v>
      </c>
      <c r="G1548">
        <f>_xlfn.XLOOKUP(F1548,'Wk no''s'!B:B,'Wk no''s'!C:C,0)</f>
        <v>30</v>
      </c>
    </row>
    <row r="1549" spans="1:7" x14ac:dyDescent="0.3">
      <c r="A1549" t="s">
        <v>5204</v>
      </c>
      <c r="B1549" t="s">
        <v>5205</v>
      </c>
      <c r="C1549" t="s">
        <v>5182</v>
      </c>
      <c r="D1549">
        <v>54</v>
      </c>
      <c r="E1549">
        <v>0</v>
      </c>
      <c r="F1549" s="1">
        <v>45859</v>
      </c>
      <c r="G1549">
        <f>_xlfn.XLOOKUP(F1549,'Wk no''s'!B:B,'Wk no''s'!C:C,0)</f>
        <v>30</v>
      </c>
    </row>
    <row r="1550" spans="1:7" x14ac:dyDescent="0.3">
      <c r="A1550" t="s">
        <v>5206</v>
      </c>
      <c r="B1550" t="s">
        <v>5207</v>
      </c>
      <c r="C1550" t="s">
        <v>39</v>
      </c>
      <c r="D1550">
        <v>9</v>
      </c>
      <c r="E1550">
        <v>0</v>
      </c>
      <c r="F1550" s="1">
        <v>45859</v>
      </c>
      <c r="G1550">
        <f>_xlfn.XLOOKUP(F1550,'Wk no''s'!B:B,'Wk no''s'!C:C,0)</f>
        <v>30</v>
      </c>
    </row>
    <row r="1551" spans="1:7" x14ac:dyDescent="0.3">
      <c r="A1551" t="s">
        <v>5208</v>
      </c>
      <c r="B1551" t="s">
        <v>5209</v>
      </c>
      <c r="C1551" t="s">
        <v>4645</v>
      </c>
      <c r="D1551">
        <v>20</v>
      </c>
      <c r="E1551">
        <v>0</v>
      </c>
      <c r="F1551" s="1">
        <v>45860</v>
      </c>
      <c r="G1551">
        <f>_xlfn.XLOOKUP(F1551,'Wk no''s'!B:B,'Wk no''s'!C:C,0)</f>
        <v>30</v>
      </c>
    </row>
    <row r="1552" spans="1:7" x14ac:dyDescent="0.3">
      <c r="A1552" t="s">
        <v>5210</v>
      </c>
      <c r="B1552" t="s">
        <v>5211</v>
      </c>
      <c r="C1552" t="s">
        <v>1781</v>
      </c>
      <c r="D1552">
        <v>1</v>
      </c>
      <c r="E1552">
        <v>1</v>
      </c>
      <c r="F1552" s="1">
        <v>45860</v>
      </c>
      <c r="G1552">
        <f>_xlfn.XLOOKUP(F1552,'Wk no''s'!B:B,'Wk no''s'!C:C,0)</f>
        <v>30</v>
      </c>
    </row>
    <row r="1553" spans="1:7" x14ac:dyDescent="0.3">
      <c r="A1553" t="s">
        <v>5212</v>
      </c>
      <c r="B1553" t="s">
        <v>5213</v>
      </c>
      <c r="C1553" t="s">
        <v>4605</v>
      </c>
      <c r="D1553">
        <v>0</v>
      </c>
      <c r="E1553">
        <v>1</v>
      </c>
      <c r="F1553" s="1">
        <v>45860</v>
      </c>
      <c r="G1553">
        <f>_xlfn.XLOOKUP(F1553,'Wk no''s'!B:B,'Wk no''s'!C:C,0)</f>
        <v>30</v>
      </c>
    </row>
    <row r="1554" spans="1:7" x14ac:dyDescent="0.3">
      <c r="A1554" t="s">
        <v>5214</v>
      </c>
      <c r="B1554" t="s">
        <v>5215</v>
      </c>
      <c r="C1554" t="s">
        <v>1224</v>
      </c>
      <c r="D1554">
        <v>0</v>
      </c>
      <c r="E1554">
        <v>1</v>
      </c>
      <c r="F1554" s="1">
        <v>45860</v>
      </c>
      <c r="G1554">
        <f>_xlfn.XLOOKUP(F1554,'Wk no''s'!B:B,'Wk no''s'!C:C,0)</f>
        <v>30</v>
      </c>
    </row>
    <row r="1555" spans="1:7" x14ac:dyDescent="0.3">
      <c r="A1555" t="s">
        <v>5216</v>
      </c>
      <c r="B1555" t="s">
        <v>5217</v>
      </c>
      <c r="C1555" t="s">
        <v>197</v>
      </c>
      <c r="D1555">
        <v>0</v>
      </c>
      <c r="E1555">
        <v>1</v>
      </c>
      <c r="F1555" s="1">
        <v>45860</v>
      </c>
      <c r="G1555">
        <f>_xlfn.XLOOKUP(F1555,'Wk no''s'!B:B,'Wk no''s'!C:C,0)</f>
        <v>30</v>
      </c>
    </row>
    <row r="1556" spans="1:7" x14ac:dyDescent="0.3">
      <c r="A1556" t="s">
        <v>5218</v>
      </c>
      <c r="B1556" t="s">
        <v>5219</v>
      </c>
      <c r="C1556" t="s">
        <v>4988</v>
      </c>
      <c r="D1556">
        <v>6</v>
      </c>
      <c r="E1556">
        <v>0</v>
      </c>
      <c r="F1556" s="1">
        <v>45860</v>
      </c>
      <c r="G1556">
        <f>_xlfn.XLOOKUP(F1556,'Wk no''s'!B:B,'Wk no''s'!C:C,0)</f>
        <v>30</v>
      </c>
    </row>
    <row r="1557" spans="1:7" x14ac:dyDescent="0.3">
      <c r="A1557" t="s">
        <v>5220</v>
      </c>
      <c r="B1557" t="s">
        <v>5221</v>
      </c>
      <c r="C1557" t="s">
        <v>5222</v>
      </c>
      <c r="D1557">
        <v>1</v>
      </c>
      <c r="E1557">
        <v>1</v>
      </c>
      <c r="F1557" s="1">
        <v>45860</v>
      </c>
      <c r="G1557">
        <f>_xlfn.XLOOKUP(F1557,'Wk no''s'!B:B,'Wk no''s'!C:C,0)</f>
        <v>30</v>
      </c>
    </row>
    <row r="1558" spans="1:7" x14ac:dyDescent="0.3">
      <c r="A1558" t="s">
        <v>5223</v>
      </c>
      <c r="B1558" t="s">
        <v>5224</v>
      </c>
      <c r="C1558" t="s">
        <v>3644</v>
      </c>
      <c r="D1558">
        <v>0</v>
      </c>
      <c r="E1558">
        <v>1</v>
      </c>
      <c r="F1558" s="1">
        <v>45861</v>
      </c>
      <c r="G1558">
        <f>_xlfn.XLOOKUP(F1558,'Wk no''s'!B:B,'Wk no''s'!C:C,0)</f>
        <v>30</v>
      </c>
    </row>
    <row r="1559" spans="1:7" x14ac:dyDescent="0.3">
      <c r="A1559" t="s">
        <v>5225</v>
      </c>
      <c r="B1559" t="s">
        <v>5226</v>
      </c>
      <c r="C1559" t="s">
        <v>2911</v>
      </c>
      <c r="D1559">
        <v>0</v>
      </c>
      <c r="E1559">
        <v>1</v>
      </c>
      <c r="F1559" s="1">
        <v>45861</v>
      </c>
      <c r="G1559">
        <f>_xlfn.XLOOKUP(F1559,'Wk no''s'!B:B,'Wk no''s'!C:C,0)</f>
        <v>30</v>
      </c>
    </row>
    <row r="1560" spans="1:7" x14ac:dyDescent="0.3">
      <c r="A1560" t="s">
        <v>5227</v>
      </c>
      <c r="B1560" t="s">
        <v>5228</v>
      </c>
      <c r="C1560" t="s">
        <v>3089</v>
      </c>
      <c r="D1560">
        <v>0</v>
      </c>
      <c r="E1560">
        <v>1</v>
      </c>
      <c r="F1560" s="1">
        <v>45861</v>
      </c>
      <c r="G1560">
        <f>_xlfn.XLOOKUP(F1560,'Wk no''s'!B:B,'Wk no''s'!C:C,0)</f>
        <v>30</v>
      </c>
    </row>
    <row r="1561" spans="1:7" x14ac:dyDescent="0.3">
      <c r="A1561" t="s">
        <v>5229</v>
      </c>
      <c r="B1561" t="s">
        <v>5230</v>
      </c>
      <c r="C1561" t="s">
        <v>186</v>
      </c>
      <c r="D1561">
        <v>0</v>
      </c>
      <c r="E1561">
        <v>1</v>
      </c>
      <c r="F1561" s="1">
        <v>45861</v>
      </c>
      <c r="G1561">
        <f>_xlfn.XLOOKUP(F1561,'Wk no''s'!B:B,'Wk no''s'!C:C,0)</f>
        <v>30</v>
      </c>
    </row>
    <row r="1562" spans="1:7" x14ac:dyDescent="0.3">
      <c r="A1562" t="s">
        <v>5231</v>
      </c>
      <c r="B1562" t="s">
        <v>5232</v>
      </c>
      <c r="C1562" t="s">
        <v>1544</v>
      </c>
      <c r="D1562">
        <v>0</v>
      </c>
      <c r="E1562">
        <v>1</v>
      </c>
      <c r="F1562" s="1">
        <v>45861</v>
      </c>
      <c r="G1562">
        <f>_xlfn.XLOOKUP(F1562,'Wk no''s'!B:B,'Wk no''s'!C:C,0)</f>
        <v>30</v>
      </c>
    </row>
    <row r="1563" spans="1:7" x14ac:dyDescent="0.3">
      <c r="A1563" t="s">
        <v>5233</v>
      </c>
      <c r="B1563" t="s">
        <v>5234</v>
      </c>
      <c r="C1563" t="s">
        <v>4191</v>
      </c>
      <c r="D1563">
        <v>5</v>
      </c>
      <c r="E1563">
        <v>1</v>
      </c>
      <c r="F1563" s="1">
        <v>45861</v>
      </c>
      <c r="G1563">
        <f>_xlfn.XLOOKUP(F1563,'Wk no''s'!B:B,'Wk no''s'!C:C,0)</f>
        <v>30</v>
      </c>
    </row>
    <row r="1564" spans="1:7" x14ac:dyDescent="0.3">
      <c r="A1564" t="s">
        <v>5235</v>
      </c>
      <c r="B1564" t="s">
        <v>5236</v>
      </c>
      <c r="C1564" t="s">
        <v>5237</v>
      </c>
      <c r="D1564">
        <v>35</v>
      </c>
      <c r="E1564">
        <v>0</v>
      </c>
      <c r="F1564" s="1">
        <v>45861</v>
      </c>
      <c r="G1564">
        <f>_xlfn.XLOOKUP(F1564,'Wk no''s'!B:B,'Wk no''s'!C:C,0)</f>
        <v>30</v>
      </c>
    </row>
    <row r="1565" spans="1:7" x14ac:dyDescent="0.3">
      <c r="A1565" t="s">
        <v>5238</v>
      </c>
      <c r="B1565" t="s">
        <v>5239</v>
      </c>
      <c r="C1565" t="s">
        <v>197</v>
      </c>
      <c r="D1565">
        <v>6</v>
      </c>
      <c r="E1565">
        <v>0</v>
      </c>
      <c r="F1565" s="1">
        <v>45861</v>
      </c>
      <c r="G1565">
        <f>_xlfn.XLOOKUP(F1565,'Wk no''s'!B:B,'Wk no''s'!C:C,0)</f>
        <v>30</v>
      </c>
    </row>
    <row r="1566" spans="1:7" x14ac:dyDescent="0.3">
      <c r="A1566" t="s">
        <v>5240</v>
      </c>
      <c r="B1566" t="s">
        <v>5241</v>
      </c>
      <c r="C1566" t="s">
        <v>550</v>
      </c>
      <c r="D1566">
        <v>0</v>
      </c>
      <c r="E1566">
        <v>1</v>
      </c>
      <c r="F1566" s="1">
        <v>45861</v>
      </c>
      <c r="G1566">
        <f>_xlfn.XLOOKUP(F1566,'Wk no''s'!B:B,'Wk no''s'!C:C,0)</f>
        <v>30</v>
      </c>
    </row>
    <row r="1567" spans="1:7" x14ac:dyDescent="0.3">
      <c r="A1567" t="s">
        <v>5242</v>
      </c>
      <c r="C1567" t="s">
        <v>2471</v>
      </c>
      <c r="D1567">
        <v>62</v>
      </c>
      <c r="E1567">
        <v>0</v>
      </c>
      <c r="F1567" s="1">
        <v>45861</v>
      </c>
      <c r="G1567">
        <f>_xlfn.XLOOKUP(F1567,'Wk no''s'!B:B,'Wk no''s'!C:C,0)</f>
        <v>30</v>
      </c>
    </row>
    <row r="1568" spans="1:7" x14ac:dyDescent="0.3">
      <c r="A1568" t="s">
        <v>5243</v>
      </c>
      <c r="B1568" t="s">
        <v>5244</v>
      </c>
      <c r="C1568" t="s">
        <v>4739</v>
      </c>
      <c r="D1568">
        <v>0</v>
      </c>
      <c r="E1568">
        <v>1</v>
      </c>
      <c r="F1568" s="1">
        <v>45861</v>
      </c>
      <c r="G1568">
        <f>_xlfn.XLOOKUP(F1568,'Wk no''s'!B:B,'Wk no''s'!C:C,0)</f>
        <v>30</v>
      </c>
    </row>
    <row r="1569" spans="1:7" x14ac:dyDescent="0.3">
      <c r="A1569" t="s">
        <v>5245</v>
      </c>
      <c r="B1569" t="s">
        <v>5246</v>
      </c>
      <c r="C1569" t="s">
        <v>2730</v>
      </c>
      <c r="D1569">
        <v>17</v>
      </c>
      <c r="E1569">
        <v>0</v>
      </c>
      <c r="F1569" s="1">
        <v>45861</v>
      </c>
      <c r="G1569">
        <f>_xlfn.XLOOKUP(F1569,'Wk no''s'!B:B,'Wk no''s'!C:C,0)</f>
        <v>30</v>
      </c>
    </row>
    <row r="1570" spans="1:7" x14ac:dyDescent="0.3">
      <c r="A1570" t="s">
        <v>5247</v>
      </c>
      <c r="B1570" t="s">
        <v>5248</v>
      </c>
      <c r="C1570" t="s">
        <v>3034</v>
      </c>
      <c r="D1570">
        <v>1</v>
      </c>
      <c r="E1570">
        <v>1</v>
      </c>
      <c r="F1570" s="1">
        <v>45861</v>
      </c>
      <c r="G1570">
        <f>_xlfn.XLOOKUP(F1570,'Wk no''s'!B:B,'Wk no''s'!C:C,0)</f>
        <v>30</v>
      </c>
    </row>
    <row r="1571" spans="1:7" x14ac:dyDescent="0.3">
      <c r="A1571" t="s">
        <v>5249</v>
      </c>
      <c r="B1571" t="s">
        <v>5250</v>
      </c>
      <c r="C1571" t="s">
        <v>5251</v>
      </c>
      <c r="D1571">
        <v>36</v>
      </c>
      <c r="E1571">
        <v>0</v>
      </c>
      <c r="F1571" s="1">
        <v>45861</v>
      </c>
      <c r="G1571">
        <f>_xlfn.XLOOKUP(F1571,'Wk no''s'!B:B,'Wk no''s'!C:C,0)</f>
        <v>30</v>
      </c>
    </row>
    <row r="1572" spans="1:7" x14ac:dyDescent="0.3">
      <c r="A1572" t="s">
        <v>5252</v>
      </c>
      <c r="B1572" t="s">
        <v>5253</v>
      </c>
      <c r="C1572" t="s">
        <v>4726</v>
      </c>
      <c r="D1572">
        <v>51</v>
      </c>
      <c r="E1572">
        <v>0</v>
      </c>
      <c r="F1572" s="1">
        <v>45861</v>
      </c>
      <c r="G1572">
        <f>_xlfn.XLOOKUP(F1572,'Wk no''s'!B:B,'Wk no''s'!C:C,0)</f>
        <v>30</v>
      </c>
    </row>
    <row r="1573" spans="1:7" x14ac:dyDescent="0.3">
      <c r="A1573" t="s">
        <v>5254</v>
      </c>
      <c r="B1573" t="s">
        <v>5255</v>
      </c>
      <c r="C1573" t="s">
        <v>3840</v>
      </c>
      <c r="D1573">
        <v>5</v>
      </c>
      <c r="E1573">
        <v>1</v>
      </c>
      <c r="F1573" s="1">
        <v>45861</v>
      </c>
      <c r="G1573">
        <f>_xlfn.XLOOKUP(F1573,'Wk no''s'!B:B,'Wk no''s'!C:C,0)</f>
        <v>30</v>
      </c>
    </row>
    <row r="1574" spans="1:7" x14ac:dyDescent="0.3">
      <c r="A1574" t="s">
        <v>5256</v>
      </c>
      <c r="B1574" t="s">
        <v>5257</v>
      </c>
      <c r="C1574" t="s">
        <v>5258</v>
      </c>
      <c r="D1574">
        <v>6</v>
      </c>
      <c r="E1574">
        <v>0</v>
      </c>
      <c r="F1574" s="1">
        <v>45861</v>
      </c>
      <c r="G1574">
        <f>_xlfn.XLOOKUP(F1574,'Wk no''s'!B:B,'Wk no''s'!C:C,0)</f>
        <v>30</v>
      </c>
    </row>
    <row r="1575" spans="1:7" x14ac:dyDescent="0.3">
      <c r="A1575" t="s">
        <v>5259</v>
      </c>
      <c r="B1575" t="s">
        <v>5260</v>
      </c>
      <c r="C1575" t="s">
        <v>809</v>
      </c>
      <c r="D1575">
        <v>0</v>
      </c>
      <c r="E1575">
        <v>1</v>
      </c>
      <c r="F1575" s="1">
        <v>45861</v>
      </c>
      <c r="G1575">
        <f>_xlfn.XLOOKUP(F1575,'Wk no''s'!B:B,'Wk no''s'!C:C,0)</f>
        <v>30</v>
      </c>
    </row>
    <row r="1576" spans="1:7" x14ac:dyDescent="0.3">
      <c r="A1576" t="s">
        <v>5261</v>
      </c>
      <c r="B1576" t="s">
        <v>5262</v>
      </c>
      <c r="C1576" t="s">
        <v>3226</v>
      </c>
      <c r="D1576">
        <v>25</v>
      </c>
      <c r="E1576">
        <v>0</v>
      </c>
      <c r="F1576" s="1">
        <v>45862</v>
      </c>
      <c r="G1576">
        <f>_xlfn.XLOOKUP(F1576,'Wk no''s'!B:B,'Wk no''s'!C:C,0)</f>
        <v>30</v>
      </c>
    </row>
    <row r="1577" spans="1:7" x14ac:dyDescent="0.3">
      <c r="A1577" t="s">
        <v>5263</v>
      </c>
      <c r="B1577" t="s">
        <v>5264</v>
      </c>
      <c r="C1577" t="s">
        <v>5265</v>
      </c>
      <c r="D1577">
        <v>0</v>
      </c>
      <c r="E1577">
        <v>1</v>
      </c>
      <c r="F1577" s="1">
        <v>45862</v>
      </c>
      <c r="G1577">
        <f>_xlfn.XLOOKUP(F1577,'Wk no''s'!B:B,'Wk no''s'!C:C,0)</f>
        <v>30</v>
      </c>
    </row>
    <row r="1578" spans="1:7" x14ac:dyDescent="0.3">
      <c r="A1578" t="s">
        <v>5266</v>
      </c>
      <c r="B1578" t="s">
        <v>5267</v>
      </c>
      <c r="C1578" t="s">
        <v>2270</v>
      </c>
      <c r="D1578">
        <v>0</v>
      </c>
      <c r="E1578">
        <v>1</v>
      </c>
      <c r="F1578" s="1">
        <v>45862</v>
      </c>
      <c r="G1578">
        <f>_xlfn.XLOOKUP(F1578,'Wk no''s'!B:B,'Wk no''s'!C:C,0)</f>
        <v>30</v>
      </c>
    </row>
    <row r="1579" spans="1:7" x14ac:dyDescent="0.3">
      <c r="A1579" t="s">
        <v>5268</v>
      </c>
      <c r="B1579" t="s">
        <v>5269</v>
      </c>
      <c r="C1579" t="s">
        <v>3981</v>
      </c>
      <c r="D1579">
        <v>0</v>
      </c>
      <c r="E1579">
        <v>1</v>
      </c>
      <c r="F1579" s="1">
        <v>45862</v>
      </c>
      <c r="G1579">
        <f>_xlfn.XLOOKUP(F1579,'Wk no''s'!B:B,'Wk no''s'!C:C,0)</f>
        <v>30</v>
      </c>
    </row>
    <row r="1580" spans="1:7" x14ac:dyDescent="0.3">
      <c r="A1580" t="s">
        <v>5270</v>
      </c>
      <c r="B1580" t="s">
        <v>5271</v>
      </c>
      <c r="C1580" t="s">
        <v>2429</v>
      </c>
      <c r="D1580">
        <v>0</v>
      </c>
      <c r="E1580">
        <v>1</v>
      </c>
      <c r="F1580" s="1">
        <v>45862</v>
      </c>
      <c r="G1580">
        <f>_xlfn.XLOOKUP(F1580,'Wk no''s'!B:B,'Wk no''s'!C:C,0)</f>
        <v>30</v>
      </c>
    </row>
    <row r="1581" spans="1:7" x14ac:dyDescent="0.3">
      <c r="A1581" t="s">
        <v>5272</v>
      </c>
      <c r="B1581" t="s">
        <v>5273</v>
      </c>
      <c r="C1581" t="s">
        <v>197</v>
      </c>
      <c r="D1581">
        <v>11</v>
      </c>
      <c r="E1581">
        <v>0</v>
      </c>
      <c r="F1581" s="1">
        <v>45862</v>
      </c>
      <c r="G1581">
        <f>_xlfn.XLOOKUP(F1581,'Wk no''s'!B:B,'Wk no''s'!C:C,0)</f>
        <v>30</v>
      </c>
    </row>
    <row r="1582" spans="1:7" x14ac:dyDescent="0.3">
      <c r="A1582" t="s">
        <v>5274</v>
      </c>
      <c r="B1582" t="s">
        <v>5275</v>
      </c>
      <c r="C1582" t="s">
        <v>5276</v>
      </c>
      <c r="D1582">
        <v>16</v>
      </c>
      <c r="E1582">
        <v>0</v>
      </c>
      <c r="F1582" s="1">
        <v>45862</v>
      </c>
      <c r="G1582">
        <f>_xlfn.XLOOKUP(F1582,'Wk no''s'!B:B,'Wk no''s'!C:C,0)</f>
        <v>30</v>
      </c>
    </row>
    <row r="1583" spans="1:7" x14ac:dyDescent="0.3">
      <c r="A1583" t="s">
        <v>5277</v>
      </c>
      <c r="B1583" t="s">
        <v>5278</v>
      </c>
      <c r="C1583" t="s">
        <v>4470</v>
      </c>
      <c r="D1583">
        <v>2</v>
      </c>
      <c r="E1583">
        <v>1</v>
      </c>
      <c r="F1583" s="1">
        <v>45862</v>
      </c>
      <c r="G1583">
        <f>_xlfn.XLOOKUP(F1583,'Wk no''s'!B:B,'Wk no''s'!C:C,0)</f>
        <v>30</v>
      </c>
    </row>
    <row r="1584" spans="1:7" x14ac:dyDescent="0.3">
      <c r="A1584" t="s">
        <v>5279</v>
      </c>
      <c r="B1584" t="s">
        <v>5280</v>
      </c>
      <c r="C1584" t="s">
        <v>1224</v>
      </c>
      <c r="D1584">
        <v>15</v>
      </c>
      <c r="E1584">
        <v>0</v>
      </c>
      <c r="F1584" s="1">
        <v>45862</v>
      </c>
      <c r="G1584">
        <f>_xlfn.XLOOKUP(F1584,'Wk no''s'!B:B,'Wk no''s'!C:C,0)</f>
        <v>30</v>
      </c>
    </row>
    <row r="1585" spans="1:7" x14ac:dyDescent="0.3">
      <c r="A1585" t="s">
        <v>5281</v>
      </c>
      <c r="B1585" t="s">
        <v>5282</v>
      </c>
      <c r="C1585" t="s">
        <v>302</v>
      </c>
      <c r="D1585">
        <v>0</v>
      </c>
      <c r="E1585">
        <v>1</v>
      </c>
      <c r="F1585" s="1">
        <v>45862</v>
      </c>
      <c r="G1585">
        <f>_xlfn.XLOOKUP(F1585,'Wk no''s'!B:B,'Wk no''s'!C:C,0)</f>
        <v>30</v>
      </c>
    </row>
    <row r="1586" spans="1:7" x14ac:dyDescent="0.3">
      <c r="A1586" t="s">
        <v>5283</v>
      </c>
      <c r="B1586" t="s">
        <v>5284</v>
      </c>
      <c r="C1586" t="s">
        <v>1194</v>
      </c>
      <c r="D1586">
        <v>0</v>
      </c>
      <c r="E1586">
        <v>1</v>
      </c>
      <c r="F1586" s="1">
        <v>45862</v>
      </c>
      <c r="G1586">
        <f>_xlfn.XLOOKUP(F1586,'Wk no''s'!B:B,'Wk no''s'!C:C,0)</f>
        <v>30</v>
      </c>
    </row>
    <row r="1587" spans="1:7" x14ac:dyDescent="0.3">
      <c r="A1587" t="s">
        <v>5285</v>
      </c>
      <c r="B1587" t="s">
        <v>5286</v>
      </c>
      <c r="C1587" t="s">
        <v>407</v>
      </c>
      <c r="D1587">
        <v>4</v>
      </c>
      <c r="E1587">
        <v>1</v>
      </c>
      <c r="F1587" s="1">
        <v>45862</v>
      </c>
      <c r="G1587">
        <f>_xlfn.XLOOKUP(F1587,'Wk no''s'!B:B,'Wk no''s'!C:C,0)</f>
        <v>30</v>
      </c>
    </row>
    <row r="1588" spans="1:7" x14ac:dyDescent="0.3">
      <c r="A1588" t="s">
        <v>5287</v>
      </c>
      <c r="B1588" t="s">
        <v>5288</v>
      </c>
      <c r="C1588" t="s">
        <v>1747</v>
      </c>
      <c r="D1588">
        <v>0</v>
      </c>
      <c r="E1588">
        <v>1</v>
      </c>
      <c r="F1588" s="1">
        <v>45863</v>
      </c>
      <c r="G1588">
        <f>_xlfn.XLOOKUP(F1588,'Wk no''s'!B:B,'Wk no''s'!C:C,0)</f>
        <v>30</v>
      </c>
    </row>
    <row r="1589" spans="1:7" x14ac:dyDescent="0.3">
      <c r="A1589" t="s">
        <v>5289</v>
      </c>
      <c r="B1589" t="s">
        <v>5290</v>
      </c>
      <c r="C1589" t="s">
        <v>1298</v>
      </c>
      <c r="D1589">
        <v>0</v>
      </c>
      <c r="E1589">
        <v>1</v>
      </c>
      <c r="F1589" s="1">
        <v>45863</v>
      </c>
      <c r="G1589">
        <f>_xlfn.XLOOKUP(F1589,'Wk no''s'!B:B,'Wk no''s'!C:C,0)</f>
        <v>30</v>
      </c>
    </row>
    <row r="1590" spans="1:7" x14ac:dyDescent="0.3">
      <c r="A1590" t="s">
        <v>5291</v>
      </c>
      <c r="B1590" t="s">
        <v>5292</v>
      </c>
      <c r="C1590" t="s">
        <v>2270</v>
      </c>
      <c r="D1590">
        <v>3</v>
      </c>
      <c r="E1590">
        <v>1</v>
      </c>
      <c r="F1590" s="1">
        <v>45863</v>
      </c>
      <c r="G1590">
        <f>_xlfn.XLOOKUP(F1590,'Wk no''s'!B:B,'Wk no''s'!C:C,0)</f>
        <v>30</v>
      </c>
    </row>
    <row r="1591" spans="1:7" x14ac:dyDescent="0.3">
      <c r="A1591" t="s">
        <v>5293</v>
      </c>
      <c r="B1591" t="s">
        <v>5294</v>
      </c>
      <c r="C1591" t="s">
        <v>2270</v>
      </c>
      <c r="D1591">
        <v>14</v>
      </c>
      <c r="E1591">
        <v>0</v>
      </c>
      <c r="F1591" s="1">
        <v>45863</v>
      </c>
      <c r="G1591">
        <f>_xlfn.XLOOKUP(F1591,'Wk no''s'!B:B,'Wk no''s'!C:C,0)</f>
        <v>30</v>
      </c>
    </row>
    <row r="1592" spans="1:7" x14ac:dyDescent="0.3">
      <c r="A1592" t="s">
        <v>5295</v>
      </c>
      <c r="B1592" t="s">
        <v>5296</v>
      </c>
      <c r="C1592" t="s">
        <v>5297</v>
      </c>
      <c r="D1592">
        <v>0</v>
      </c>
      <c r="E1592">
        <v>1</v>
      </c>
      <c r="F1592" s="1">
        <v>45863</v>
      </c>
      <c r="G1592">
        <f>_xlfn.XLOOKUP(F1592,'Wk no''s'!B:B,'Wk no''s'!C:C,0)</f>
        <v>30</v>
      </c>
    </row>
    <row r="1593" spans="1:7" x14ac:dyDescent="0.3">
      <c r="A1593" t="s">
        <v>5298</v>
      </c>
      <c r="B1593" t="s">
        <v>5299</v>
      </c>
      <c r="C1593" t="s">
        <v>5300</v>
      </c>
      <c r="D1593">
        <v>13</v>
      </c>
      <c r="E1593">
        <v>0</v>
      </c>
      <c r="F1593" s="1">
        <v>45863</v>
      </c>
      <c r="G1593">
        <f>_xlfn.XLOOKUP(F1593,'Wk no''s'!B:B,'Wk no''s'!C:C,0)</f>
        <v>30</v>
      </c>
    </row>
    <row r="1594" spans="1:7" x14ac:dyDescent="0.3">
      <c r="A1594" t="s">
        <v>5301</v>
      </c>
      <c r="B1594" t="s">
        <v>5302</v>
      </c>
      <c r="C1594" t="s">
        <v>3788</v>
      </c>
      <c r="D1594">
        <v>0</v>
      </c>
      <c r="E1594">
        <v>1</v>
      </c>
      <c r="F1594" s="1">
        <v>45863</v>
      </c>
      <c r="G1594">
        <f>_xlfn.XLOOKUP(F1594,'Wk no''s'!B:B,'Wk no''s'!C:C,0)</f>
        <v>30</v>
      </c>
    </row>
    <row r="1595" spans="1:7" x14ac:dyDescent="0.3">
      <c r="A1595" t="s">
        <v>5303</v>
      </c>
      <c r="B1595" t="s">
        <v>5304</v>
      </c>
      <c r="C1595" t="s">
        <v>3898</v>
      </c>
      <c r="D1595">
        <v>0</v>
      </c>
      <c r="E1595">
        <v>1</v>
      </c>
      <c r="F1595" s="1">
        <v>45863</v>
      </c>
      <c r="G1595">
        <f>_xlfn.XLOOKUP(F1595,'Wk no''s'!B:B,'Wk no''s'!C:C,0)</f>
        <v>30</v>
      </c>
    </row>
    <row r="1596" spans="1:7" x14ac:dyDescent="0.3">
      <c r="A1596" t="s">
        <v>5305</v>
      </c>
      <c r="B1596" t="s">
        <v>5306</v>
      </c>
      <c r="C1596" t="s">
        <v>2625</v>
      </c>
      <c r="D1596">
        <v>10</v>
      </c>
      <c r="E1596">
        <v>0</v>
      </c>
      <c r="F1596" s="1">
        <v>45863</v>
      </c>
      <c r="G1596">
        <f>_xlfn.XLOOKUP(F1596,'Wk no''s'!B:B,'Wk no''s'!C:C,0)</f>
        <v>30</v>
      </c>
    </row>
    <row r="1597" spans="1:7" x14ac:dyDescent="0.3">
      <c r="A1597" t="s">
        <v>5354</v>
      </c>
      <c r="B1597" t="s">
        <v>5355</v>
      </c>
      <c r="C1597" t="s">
        <v>5022</v>
      </c>
      <c r="D1597">
        <v>0</v>
      </c>
      <c r="E1597">
        <v>1</v>
      </c>
      <c r="F1597" s="1">
        <v>45866</v>
      </c>
      <c r="G1597">
        <f>_xlfn.XLOOKUP(F1597,'Wk no''s'!B:B,'Wk no''s'!C:C,0)</f>
        <v>31</v>
      </c>
    </row>
    <row r="1598" spans="1:7" x14ac:dyDescent="0.3">
      <c r="A1598" t="s">
        <v>5356</v>
      </c>
      <c r="B1598" t="s">
        <v>5357</v>
      </c>
      <c r="C1598" t="s">
        <v>5358</v>
      </c>
      <c r="D1598">
        <v>41</v>
      </c>
      <c r="E1598">
        <v>0</v>
      </c>
      <c r="F1598" s="1">
        <v>45866</v>
      </c>
      <c r="G1598">
        <f>_xlfn.XLOOKUP(F1598,'Wk no''s'!B:B,'Wk no''s'!C:C,0)</f>
        <v>31</v>
      </c>
    </row>
    <row r="1599" spans="1:7" x14ac:dyDescent="0.3">
      <c r="A1599" t="s">
        <v>5359</v>
      </c>
      <c r="B1599" t="s">
        <v>5360</v>
      </c>
      <c r="C1599" t="s">
        <v>2</v>
      </c>
      <c r="D1599">
        <v>0</v>
      </c>
      <c r="E1599">
        <v>1</v>
      </c>
      <c r="F1599" s="1">
        <v>45866</v>
      </c>
      <c r="G1599">
        <f>_xlfn.XLOOKUP(F1599,'Wk no''s'!B:B,'Wk no''s'!C:C,0)</f>
        <v>31</v>
      </c>
    </row>
    <row r="1600" spans="1:7" x14ac:dyDescent="0.3">
      <c r="A1600" t="s">
        <v>5361</v>
      </c>
      <c r="B1600" t="s">
        <v>5362</v>
      </c>
      <c r="C1600" t="s">
        <v>5363</v>
      </c>
      <c r="D1600">
        <v>1</v>
      </c>
      <c r="E1600">
        <v>1</v>
      </c>
      <c r="F1600" s="1">
        <v>45866</v>
      </c>
      <c r="G1600">
        <f>_xlfn.XLOOKUP(F1600,'Wk no''s'!B:B,'Wk no''s'!C:C,0)</f>
        <v>31</v>
      </c>
    </row>
    <row r="1601" spans="1:7" x14ac:dyDescent="0.3">
      <c r="A1601" t="s">
        <v>5364</v>
      </c>
      <c r="B1601" t="s">
        <v>5365</v>
      </c>
      <c r="C1601" t="s">
        <v>1194</v>
      </c>
      <c r="D1601">
        <v>0</v>
      </c>
      <c r="E1601">
        <v>1</v>
      </c>
      <c r="F1601" s="1">
        <v>45866</v>
      </c>
      <c r="G1601">
        <f>_xlfn.XLOOKUP(F1601,'Wk no''s'!B:B,'Wk no''s'!C:C,0)</f>
        <v>31</v>
      </c>
    </row>
    <row r="1602" spans="1:7" x14ac:dyDescent="0.3">
      <c r="A1602" t="s">
        <v>5366</v>
      </c>
      <c r="B1602" t="s">
        <v>5367</v>
      </c>
      <c r="C1602" t="s">
        <v>5368</v>
      </c>
      <c r="D1602">
        <v>56</v>
      </c>
      <c r="E1602">
        <v>0</v>
      </c>
      <c r="F1602" s="1">
        <v>45866</v>
      </c>
      <c r="G1602">
        <f>_xlfn.XLOOKUP(F1602,'Wk no''s'!B:B,'Wk no''s'!C:C,0)</f>
        <v>31</v>
      </c>
    </row>
    <row r="1603" spans="1:7" x14ac:dyDescent="0.3">
      <c r="A1603" t="s">
        <v>5369</v>
      </c>
      <c r="B1603" t="s">
        <v>5370</v>
      </c>
      <c r="C1603" t="s">
        <v>2100</v>
      </c>
      <c r="D1603">
        <v>0</v>
      </c>
      <c r="E1603">
        <v>1</v>
      </c>
      <c r="F1603" s="1">
        <v>45866</v>
      </c>
      <c r="G1603">
        <f>_xlfn.XLOOKUP(F1603,'Wk no''s'!B:B,'Wk no''s'!C:C,0)</f>
        <v>31</v>
      </c>
    </row>
    <row r="1604" spans="1:7" x14ac:dyDescent="0.3">
      <c r="A1604" t="s">
        <v>5371</v>
      </c>
      <c r="B1604" t="s">
        <v>5372</v>
      </c>
      <c r="C1604" t="s">
        <v>6026</v>
      </c>
      <c r="D1604">
        <v>11</v>
      </c>
      <c r="E1604">
        <v>0</v>
      </c>
      <c r="F1604" s="1">
        <v>45867</v>
      </c>
      <c r="G1604">
        <f>_xlfn.XLOOKUP(F1604,'Wk no''s'!B:B,'Wk no''s'!C:C,0)</f>
        <v>31</v>
      </c>
    </row>
    <row r="1605" spans="1:7" x14ac:dyDescent="0.3">
      <c r="A1605" t="s">
        <v>5373</v>
      </c>
      <c r="B1605" t="s">
        <v>5374</v>
      </c>
      <c r="C1605" t="s">
        <v>1544</v>
      </c>
      <c r="D1605">
        <v>8</v>
      </c>
      <c r="E1605">
        <v>0</v>
      </c>
      <c r="F1605" s="1">
        <v>45867</v>
      </c>
      <c r="G1605">
        <f>_xlfn.XLOOKUP(F1605,'Wk no''s'!B:B,'Wk no''s'!C:C,0)</f>
        <v>31</v>
      </c>
    </row>
    <row r="1606" spans="1:7" x14ac:dyDescent="0.3">
      <c r="A1606" t="s">
        <v>5375</v>
      </c>
      <c r="B1606" t="s">
        <v>5376</v>
      </c>
      <c r="C1606" t="s">
        <v>5496</v>
      </c>
      <c r="D1606">
        <v>0</v>
      </c>
      <c r="E1606">
        <v>1</v>
      </c>
      <c r="F1606" s="1">
        <v>45867</v>
      </c>
      <c r="G1606">
        <f>_xlfn.XLOOKUP(F1606,'Wk no''s'!B:B,'Wk no''s'!C:C,0)</f>
        <v>31</v>
      </c>
    </row>
    <row r="1607" spans="1:7" x14ac:dyDescent="0.3">
      <c r="A1607" t="s">
        <v>5377</v>
      </c>
      <c r="B1607" t="s">
        <v>5378</v>
      </c>
      <c r="C1607" t="s">
        <v>5379</v>
      </c>
      <c r="D1607">
        <v>32</v>
      </c>
      <c r="E1607">
        <v>0</v>
      </c>
      <c r="F1607" s="1">
        <v>45867</v>
      </c>
      <c r="G1607">
        <f>_xlfn.XLOOKUP(F1607,'Wk no''s'!B:B,'Wk no''s'!C:C,0)</f>
        <v>31</v>
      </c>
    </row>
    <row r="1608" spans="1:7" x14ac:dyDescent="0.3">
      <c r="A1608" t="s">
        <v>5380</v>
      </c>
      <c r="C1608" t="s">
        <v>5381</v>
      </c>
      <c r="D1608">
        <v>0</v>
      </c>
      <c r="E1608">
        <v>1</v>
      </c>
      <c r="F1608" s="1">
        <v>45867</v>
      </c>
      <c r="G1608">
        <f>_xlfn.XLOOKUP(F1608,'Wk no''s'!B:B,'Wk no''s'!C:C,0)</f>
        <v>31</v>
      </c>
    </row>
    <row r="1609" spans="1:7" x14ac:dyDescent="0.3">
      <c r="A1609" t="s">
        <v>5382</v>
      </c>
      <c r="B1609" t="s">
        <v>5383</v>
      </c>
      <c r="C1609" t="s">
        <v>4353</v>
      </c>
      <c r="D1609">
        <v>0</v>
      </c>
      <c r="E1609">
        <v>1</v>
      </c>
      <c r="F1609" s="1">
        <v>45867</v>
      </c>
      <c r="G1609">
        <f>_xlfn.XLOOKUP(F1609,'Wk no''s'!B:B,'Wk no''s'!C:C,0)</f>
        <v>31</v>
      </c>
    </row>
    <row r="1610" spans="1:7" x14ac:dyDescent="0.3">
      <c r="A1610" t="s">
        <v>5384</v>
      </c>
      <c r="B1610" t="s">
        <v>5385</v>
      </c>
      <c r="C1610" t="s">
        <v>5381</v>
      </c>
      <c r="D1610">
        <v>38</v>
      </c>
      <c r="E1610">
        <v>0</v>
      </c>
      <c r="F1610" s="1">
        <v>45867</v>
      </c>
      <c r="G1610">
        <f>_xlfn.XLOOKUP(F1610,'Wk no''s'!B:B,'Wk no''s'!C:C,0)</f>
        <v>31</v>
      </c>
    </row>
    <row r="1611" spans="1:7" x14ac:dyDescent="0.3">
      <c r="A1611" t="s">
        <v>5386</v>
      </c>
      <c r="B1611" t="s">
        <v>5387</v>
      </c>
      <c r="C1611" t="s">
        <v>5388</v>
      </c>
      <c r="D1611">
        <v>7</v>
      </c>
      <c r="E1611">
        <v>0</v>
      </c>
      <c r="F1611" s="1">
        <v>45867</v>
      </c>
      <c r="G1611">
        <f>_xlfn.XLOOKUP(F1611,'Wk no''s'!B:B,'Wk no''s'!C:C,0)</f>
        <v>31</v>
      </c>
    </row>
    <row r="1612" spans="1:7" x14ac:dyDescent="0.3">
      <c r="A1612" t="s">
        <v>5389</v>
      </c>
      <c r="B1612" t="s">
        <v>5390</v>
      </c>
      <c r="C1612" t="s">
        <v>3925</v>
      </c>
      <c r="D1612">
        <v>11</v>
      </c>
      <c r="E1612">
        <v>0</v>
      </c>
      <c r="F1612" s="1">
        <v>45868</v>
      </c>
      <c r="G1612">
        <f>_xlfn.XLOOKUP(F1612,'Wk no''s'!B:B,'Wk no''s'!C:C,0)</f>
        <v>31</v>
      </c>
    </row>
    <row r="1613" spans="1:7" x14ac:dyDescent="0.3">
      <c r="A1613" t="s">
        <v>5391</v>
      </c>
      <c r="B1613" t="s">
        <v>5392</v>
      </c>
      <c r="C1613" t="s">
        <v>3955</v>
      </c>
      <c r="D1613">
        <v>0</v>
      </c>
      <c r="E1613">
        <v>1</v>
      </c>
      <c r="F1613" s="1">
        <v>45868</v>
      </c>
      <c r="G1613">
        <f>_xlfn.XLOOKUP(F1613,'Wk no''s'!B:B,'Wk no''s'!C:C,0)</f>
        <v>31</v>
      </c>
    </row>
    <row r="1614" spans="1:7" x14ac:dyDescent="0.3">
      <c r="A1614" t="s">
        <v>5393</v>
      </c>
      <c r="B1614" t="s">
        <v>5394</v>
      </c>
      <c r="C1614" t="s">
        <v>4709</v>
      </c>
      <c r="D1614">
        <v>5</v>
      </c>
      <c r="E1614">
        <v>1</v>
      </c>
      <c r="F1614" s="1">
        <v>45868</v>
      </c>
      <c r="G1614">
        <f>_xlfn.XLOOKUP(F1614,'Wk no''s'!B:B,'Wk no''s'!C:C,0)</f>
        <v>31</v>
      </c>
    </row>
    <row r="1615" spans="1:7" x14ac:dyDescent="0.3">
      <c r="A1615" t="s">
        <v>5395</v>
      </c>
      <c r="B1615" t="s">
        <v>5396</v>
      </c>
      <c r="C1615" t="s">
        <v>1892</v>
      </c>
      <c r="D1615">
        <v>2</v>
      </c>
      <c r="E1615">
        <v>1</v>
      </c>
      <c r="F1615" s="1">
        <v>45868</v>
      </c>
      <c r="G1615">
        <f>_xlfn.XLOOKUP(F1615,'Wk no''s'!B:B,'Wk no''s'!C:C,0)</f>
        <v>31</v>
      </c>
    </row>
    <row r="1616" spans="1:7" x14ac:dyDescent="0.3">
      <c r="A1616" t="s">
        <v>5397</v>
      </c>
      <c r="C1616" t="s">
        <v>5398</v>
      </c>
      <c r="D1616">
        <v>52</v>
      </c>
      <c r="E1616">
        <v>0</v>
      </c>
      <c r="F1616" s="1">
        <v>45868</v>
      </c>
      <c r="G1616">
        <f>_xlfn.XLOOKUP(F1616,'Wk no''s'!B:B,'Wk no''s'!C:C,0)</f>
        <v>31</v>
      </c>
    </row>
    <row r="1617" spans="1:7" x14ac:dyDescent="0.3">
      <c r="A1617" t="s">
        <v>5399</v>
      </c>
      <c r="B1617" t="s">
        <v>5400</v>
      </c>
      <c r="C1617" t="s">
        <v>5401</v>
      </c>
      <c r="D1617">
        <v>7</v>
      </c>
      <c r="E1617">
        <v>0</v>
      </c>
      <c r="F1617" s="1">
        <v>45868</v>
      </c>
      <c r="G1617">
        <f>_xlfn.XLOOKUP(F1617,'Wk no''s'!B:B,'Wk no''s'!C:C,0)</f>
        <v>31</v>
      </c>
    </row>
    <row r="1618" spans="1:7" x14ac:dyDescent="0.3">
      <c r="A1618" t="s">
        <v>5402</v>
      </c>
      <c r="B1618" t="s">
        <v>5403</v>
      </c>
      <c r="C1618" t="s">
        <v>5404</v>
      </c>
      <c r="D1618">
        <v>0</v>
      </c>
      <c r="E1618">
        <v>1</v>
      </c>
      <c r="F1618" s="1">
        <v>45868</v>
      </c>
      <c r="G1618">
        <f>_xlfn.XLOOKUP(F1618,'Wk no''s'!B:B,'Wk no''s'!C:C,0)</f>
        <v>31</v>
      </c>
    </row>
    <row r="1619" spans="1:7" x14ac:dyDescent="0.3">
      <c r="A1619" t="s">
        <v>5405</v>
      </c>
      <c r="B1619" t="s">
        <v>5406</v>
      </c>
      <c r="C1619" t="s">
        <v>5407</v>
      </c>
      <c r="D1619">
        <v>56</v>
      </c>
      <c r="E1619">
        <v>0</v>
      </c>
      <c r="F1619" s="1">
        <v>45868</v>
      </c>
      <c r="G1619">
        <f>_xlfn.XLOOKUP(F1619,'Wk no''s'!B:B,'Wk no''s'!C:C,0)</f>
        <v>31</v>
      </c>
    </row>
    <row r="1620" spans="1:7" x14ac:dyDescent="0.3">
      <c r="A1620" t="s">
        <v>5408</v>
      </c>
      <c r="B1620" t="s">
        <v>5409</v>
      </c>
      <c r="C1620" t="s">
        <v>5410</v>
      </c>
      <c r="D1620">
        <v>0</v>
      </c>
      <c r="E1620">
        <v>1</v>
      </c>
      <c r="F1620" s="1">
        <v>45868</v>
      </c>
      <c r="G1620">
        <f>_xlfn.XLOOKUP(F1620,'Wk no''s'!B:B,'Wk no''s'!C:C,0)</f>
        <v>31</v>
      </c>
    </row>
    <row r="1621" spans="1:7" x14ac:dyDescent="0.3">
      <c r="A1621" t="s">
        <v>5411</v>
      </c>
      <c r="B1621" t="s">
        <v>5412</v>
      </c>
      <c r="C1621" t="s">
        <v>4569</v>
      </c>
      <c r="D1621">
        <v>1</v>
      </c>
      <c r="E1621">
        <v>1</v>
      </c>
      <c r="F1621" s="1">
        <v>45868</v>
      </c>
      <c r="G1621">
        <f>_xlfn.XLOOKUP(F1621,'Wk no''s'!B:B,'Wk no''s'!C:C,0)</f>
        <v>31</v>
      </c>
    </row>
    <row r="1622" spans="1:7" x14ac:dyDescent="0.3">
      <c r="A1622" t="s">
        <v>5413</v>
      </c>
      <c r="B1622" t="s">
        <v>5414</v>
      </c>
      <c r="C1622" t="s">
        <v>550</v>
      </c>
      <c r="D1622">
        <v>0</v>
      </c>
      <c r="E1622">
        <v>1</v>
      </c>
      <c r="F1622" s="1">
        <v>45869</v>
      </c>
      <c r="G1622">
        <f>_xlfn.XLOOKUP(F1622,'Wk no''s'!B:B,'Wk no''s'!C:C,0)</f>
        <v>31</v>
      </c>
    </row>
    <row r="1623" spans="1:7" x14ac:dyDescent="0.3">
      <c r="A1623" t="s">
        <v>5415</v>
      </c>
      <c r="B1623" t="s">
        <v>5416</v>
      </c>
      <c r="C1623" t="s">
        <v>3019</v>
      </c>
      <c r="D1623">
        <v>26</v>
      </c>
      <c r="E1623">
        <v>0</v>
      </c>
      <c r="F1623" s="1">
        <v>45869</v>
      </c>
      <c r="G1623">
        <f>_xlfn.XLOOKUP(F1623,'Wk no''s'!B:B,'Wk no''s'!C:C,0)</f>
        <v>31</v>
      </c>
    </row>
    <row r="1624" spans="1:7" x14ac:dyDescent="0.3">
      <c r="A1624" t="s">
        <v>5417</v>
      </c>
      <c r="B1624" t="s">
        <v>5418</v>
      </c>
      <c r="C1624" t="s">
        <v>1224</v>
      </c>
      <c r="D1624">
        <v>8</v>
      </c>
      <c r="E1624">
        <v>0</v>
      </c>
      <c r="F1624" s="1">
        <v>45869</v>
      </c>
      <c r="G1624">
        <f>_xlfn.XLOOKUP(F1624,'Wk no''s'!B:B,'Wk no''s'!C:C,0)</f>
        <v>31</v>
      </c>
    </row>
    <row r="1625" spans="1:7" x14ac:dyDescent="0.3">
      <c r="A1625" t="s">
        <v>5419</v>
      </c>
      <c r="B1625" t="s">
        <v>5420</v>
      </c>
      <c r="C1625" t="s">
        <v>5421</v>
      </c>
      <c r="D1625">
        <v>0</v>
      </c>
      <c r="E1625">
        <v>1</v>
      </c>
      <c r="F1625" s="1">
        <v>45869</v>
      </c>
      <c r="G1625">
        <f>_xlfn.XLOOKUP(F1625,'Wk no''s'!B:B,'Wk no''s'!C:C,0)</f>
        <v>31</v>
      </c>
    </row>
    <row r="1626" spans="1:7" x14ac:dyDescent="0.3">
      <c r="A1626" t="s">
        <v>5422</v>
      </c>
      <c r="B1626" t="s">
        <v>5423</v>
      </c>
      <c r="C1626" t="s">
        <v>5424</v>
      </c>
      <c r="D1626">
        <v>9</v>
      </c>
      <c r="E1626">
        <v>0</v>
      </c>
      <c r="F1626" s="1">
        <v>45869</v>
      </c>
      <c r="G1626">
        <f>_xlfn.XLOOKUP(F1626,'Wk no''s'!B:B,'Wk no''s'!C:C,0)</f>
        <v>31</v>
      </c>
    </row>
    <row r="1627" spans="1:7" x14ac:dyDescent="0.3">
      <c r="A1627" t="s">
        <v>5425</v>
      </c>
      <c r="B1627" t="s">
        <v>5426</v>
      </c>
      <c r="C1627" t="s">
        <v>5427</v>
      </c>
      <c r="D1627">
        <v>18</v>
      </c>
      <c r="E1627">
        <v>0</v>
      </c>
      <c r="F1627" s="1">
        <v>45869</v>
      </c>
      <c r="G1627">
        <f>_xlfn.XLOOKUP(F1627,'Wk no''s'!B:B,'Wk no''s'!C:C,0)</f>
        <v>31</v>
      </c>
    </row>
    <row r="1628" spans="1:7" x14ac:dyDescent="0.3">
      <c r="A1628" t="s">
        <v>5428</v>
      </c>
      <c r="B1628" t="s">
        <v>5429</v>
      </c>
      <c r="C1628" t="s">
        <v>4960</v>
      </c>
      <c r="D1628">
        <v>24</v>
      </c>
      <c r="E1628">
        <v>0</v>
      </c>
      <c r="F1628" s="1">
        <v>45869</v>
      </c>
      <c r="G1628">
        <f>_xlfn.XLOOKUP(F1628,'Wk no''s'!B:B,'Wk no''s'!C:C,0)</f>
        <v>31</v>
      </c>
    </row>
    <row r="1629" spans="1:7" x14ac:dyDescent="0.3">
      <c r="A1629" t="s">
        <v>5430</v>
      </c>
      <c r="B1629" t="s">
        <v>5431</v>
      </c>
      <c r="C1629" t="s">
        <v>5432</v>
      </c>
      <c r="D1629">
        <v>56</v>
      </c>
      <c r="E1629">
        <v>0</v>
      </c>
      <c r="F1629" s="1">
        <v>45869</v>
      </c>
      <c r="G1629">
        <f>_xlfn.XLOOKUP(F1629,'Wk no''s'!B:B,'Wk no''s'!C:C,0)</f>
        <v>31</v>
      </c>
    </row>
    <row r="1630" spans="1:7" x14ac:dyDescent="0.3">
      <c r="A1630" t="s">
        <v>5433</v>
      </c>
      <c r="B1630" t="s">
        <v>5434</v>
      </c>
      <c r="C1630" t="s">
        <v>4941</v>
      </c>
      <c r="D1630">
        <v>15</v>
      </c>
      <c r="E1630">
        <v>0</v>
      </c>
      <c r="F1630" s="1">
        <v>45869</v>
      </c>
      <c r="G1630">
        <f>_xlfn.XLOOKUP(F1630,'Wk no''s'!B:B,'Wk no''s'!C:C,0)</f>
        <v>31</v>
      </c>
    </row>
    <row r="1631" spans="1:7" x14ac:dyDescent="0.3">
      <c r="A1631" t="s">
        <v>5435</v>
      </c>
      <c r="B1631" t="s">
        <v>5436</v>
      </c>
      <c r="C1631" t="s">
        <v>5437</v>
      </c>
      <c r="D1631">
        <v>43</v>
      </c>
      <c r="E1631">
        <v>0</v>
      </c>
      <c r="F1631" s="1">
        <v>45869</v>
      </c>
      <c r="G1631">
        <f>_xlfn.XLOOKUP(F1631,'Wk no''s'!B:B,'Wk no''s'!C:C,0)</f>
        <v>31</v>
      </c>
    </row>
    <row r="1632" spans="1:7" x14ac:dyDescent="0.3">
      <c r="A1632" t="s">
        <v>5438</v>
      </c>
      <c r="B1632" t="s">
        <v>5439</v>
      </c>
      <c r="C1632" t="s">
        <v>5320</v>
      </c>
      <c r="D1632">
        <v>2</v>
      </c>
      <c r="E1632">
        <v>1</v>
      </c>
      <c r="F1632" s="1">
        <v>45869</v>
      </c>
      <c r="G1632">
        <f>_xlfn.XLOOKUP(F1632,'Wk no''s'!B:B,'Wk no''s'!C:C,0)</f>
        <v>31</v>
      </c>
    </row>
    <row r="1633" spans="1:7" x14ac:dyDescent="0.3">
      <c r="A1633" t="s">
        <v>5440</v>
      </c>
      <c r="B1633" t="s">
        <v>5441</v>
      </c>
      <c r="C1633" t="s">
        <v>5078</v>
      </c>
      <c r="D1633">
        <v>16</v>
      </c>
      <c r="E1633">
        <v>0</v>
      </c>
      <c r="F1633" s="1">
        <v>45869</v>
      </c>
      <c r="G1633">
        <f>_xlfn.XLOOKUP(F1633,'Wk no''s'!B:B,'Wk no''s'!C:C,0)</f>
        <v>31</v>
      </c>
    </row>
    <row r="1634" spans="1:7" x14ac:dyDescent="0.3">
      <c r="A1634" t="s">
        <v>5442</v>
      </c>
      <c r="B1634" t="s">
        <v>5443</v>
      </c>
      <c r="C1634" t="s">
        <v>5078</v>
      </c>
      <c r="D1634">
        <v>45</v>
      </c>
      <c r="E1634">
        <v>0</v>
      </c>
      <c r="F1634" s="1">
        <v>45869</v>
      </c>
      <c r="G1634">
        <f>_xlfn.XLOOKUP(F1634,'Wk no''s'!B:B,'Wk no''s'!C:C,0)</f>
        <v>31</v>
      </c>
    </row>
    <row r="1635" spans="1:7" x14ac:dyDescent="0.3">
      <c r="A1635" t="s">
        <v>5444</v>
      </c>
      <c r="B1635" t="s">
        <v>5445</v>
      </c>
      <c r="C1635" t="s">
        <v>4353</v>
      </c>
      <c r="D1635">
        <v>7</v>
      </c>
      <c r="E1635">
        <v>0</v>
      </c>
      <c r="F1635" s="1">
        <v>45869</v>
      </c>
      <c r="G1635">
        <f>_xlfn.XLOOKUP(F1635,'Wk no''s'!B:B,'Wk no''s'!C:C,0)</f>
        <v>31</v>
      </c>
    </row>
    <row r="1636" spans="1:7" x14ac:dyDescent="0.3">
      <c r="A1636" t="s">
        <v>5446</v>
      </c>
      <c r="B1636" t="s">
        <v>5447</v>
      </c>
      <c r="C1636" t="s">
        <v>5448</v>
      </c>
      <c r="D1636">
        <v>0</v>
      </c>
      <c r="E1636">
        <v>1</v>
      </c>
      <c r="F1636" s="1">
        <v>45870</v>
      </c>
      <c r="G1636">
        <f>_xlfn.XLOOKUP(F1636,'Wk no''s'!B:B,'Wk no''s'!C:C,0)</f>
        <v>31</v>
      </c>
    </row>
    <row r="1637" spans="1:7" x14ac:dyDescent="0.3">
      <c r="A1637" t="s">
        <v>5449</v>
      </c>
      <c r="B1637" t="s">
        <v>5450</v>
      </c>
      <c r="C1637" t="s">
        <v>3582</v>
      </c>
      <c r="D1637">
        <v>0</v>
      </c>
      <c r="E1637">
        <v>1</v>
      </c>
      <c r="F1637" s="1">
        <v>45870</v>
      </c>
      <c r="G1637">
        <f>_xlfn.XLOOKUP(F1637,'Wk no''s'!B:B,'Wk no''s'!C:C,0)</f>
        <v>31</v>
      </c>
    </row>
    <row r="1638" spans="1:7" x14ac:dyDescent="0.3">
      <c r="A1638" t="s">
        <v>5451</v>
      </c>
      <c r="B1638" t="s">
        <v>5452</v>
      </c>
      <c r="C1638" t="s">
        <v>5453</v>
      </c>
      <c r="D1638">
        <v>0</v>
      </c>
      <c r="E1638">
        <v>1</v>
      </c>
      <c r="F1638" s="1">
        <v>45870</v>
      </c>
      <c r="G1638">
        <f>_xlfn.XLOOKUP(F1638,'Wk no''s'!B:B,'Wk no''s'!C:C,0)</f>
        <v>31</v>
      </c>
    </row>
    <row r="1639" spans="1:7" x14ac:dyDescent="0.3">
      <c r="A1639" t="s">
        <v>5454</v>
      </c>
      <c r="B1639" t="s">
        <v>5455</v>
      </c>
      <c r="C1639" t="s">
        <v>5456</v>
      </c>
      <c r="D1639">
        <v>0</v>
      </c>
      <c r="E1639">
        <v>1</v>
      </c>
      <c r="F1639" s="1">
        <v>45870</v>
      </c>
      <c r="G1639">
        <f>_xlfn.XLOOKUP(F1639,'Wk no''s'!B:B,'Wk no''s'!C:C,0)</f>
        <v>31</v>
      </c>
    </row>
    <row r="1640" spans="1:7" x14ac:dyDescent="0.3">
      <c r="A1640" t="s">
        <v>5457</v>
      </c>
      <c r="B1640" t="s">
        <v>5458</v>
      </c>
      <c r="C1640" t="s">
        <v>5410</v>
      </c>
      <c r="D1640">
        <v>0</v>
      </c>
      <c r="E1640">
        <v>1</v>
      </c>
      <c r="F1640" s="1">
        <v>45870</v>
      </c>
      <c r="G1640">
        <f>_xlfn.XLOOKUP(F1640,'Wk no''s'!B:B,'Wk no''s'!C:C,0)</f>
        <v>31</v>
      </c>
    </row>
    <row r="1641" spans="1:7" x14ac:dyDescent="0.3">
      <c r="A1641" t="s">
        <v>5459</v>
      </c>
      <c r="B1641" t="s">
        <v>5460</v>
      </c>
      <c r="C1641" t="s">
        <v>5461</v>
      </c>
      <c r="D1641">
        <v>0</v>
      </c>
      <c r="E1641">
        <v>1</v>
      </c>
      <c r="F1641" s="1">
        <v>45870</v>
      </c>
      <c r="G1641">
        <f>_xlfn.XLOOKUP(F1641,'Wk no''s'!B:B,'Wk no''s'!C:C,0)</f>
        <v>31</v>
      </c>
    </row>
    <row r="1642" spans="1:7" x14ac:dyDescent="0.3">
      <c r="A1642" t="s">
        <v>5462</v>
      </c>
      <c r="B1642" t="s">
        <v>5463</v>
      </c>
      <c r="C1642" t="s">
        <v>39</v>
      </c>
      <c r="D1642">
        <v>0</v>
      </c>
      <c r="E1642">
        <v>1</v>
      </c>
      <c r="F1642" s="1">
        <v>45870</v>
      </c>
      <c r="G1642">
        <f>_xlfn.XLOOKUP(F1642,'Wk no''s'!B:B,'Wk no''s'!C:C,0)</f>
        <v>31</v>
      </c>
    </row>
    <row r="1643" spans="1:7" x14ac:dyDescent="0.3">
      <c r="A1643" t="s">
        <v>5497</v>
      </c>
      <c r="B1643" t="s">
        <v>5498</v>
      </c>
      <c r="C1643" t="s">
        <v>39</v>
      </c>
      <c r="D1643">
        <v>0</v>
      </c>
      <c r="E1643">
        <v>1</v>
      </c>
      <c r="F1643" s="1">
        <v>45873</v>
      </c>
      <c r="G1643">
        <f>_xlfn.XLOOKUP(F1643,'Wk no''s'!B:B,'Wk no''s'!C:C,0)</f>
        <v>32</v>
      </c>
    </row>
    <row r="1644" spans="1:7" x14ac:dyDescent="0.3">
      <c r="A1644" t="s">
        <v>5499</v>
      </c>
      <c r="B1644" t="s">
        <v>5500</v>
      </c>
      <c r="C1644" t="s">
        <v>39</v>
      </c>
      <c r="D1644">
        <v>0</v>
      </c>
      <c r="E1644">
        <v>1</v>
      </c>
      <c r="F1644" s="1">
        <v>45873</v>
      </c>
      <c r="G1644">
        <f>_xlfn.XLOOKUP(F1644,'Wk no''s'!B:B,'Wk no''s'!C:C,0)</f>
        <v>32</v>
      </c>
    </row>
    <row r="1645" spans="1:7" x14ac:dyDescent="0.3">
      <c r="A1645" t="s">
        <v>5501</v>
      </c>
      <c r="B1645" t="s">
        <v>5502</v>
      </c>
      <c r="C1645" t="s">
        <v>5503</v>
      </c>
      <c r="D1645">
        <v>48</v>
      </c>
      <c r="E1645">
        <v>0</v>
      </c>
      <c r="F1645" s="1">
        <v>45873</v>
      </c>
      <c r="G1645">
        <f>_xlfn.XLOOKUP(F1645,'Wk no''s'!B:B,'Wk no''s'!C:C,0)</f>
        <v>32</v>
      </c>
    </row>
    <row r="1646" spans="1:7" x14ac:dyDescent="0.3">
      <c r="A1646" t="s">
        <v>5504</v>
      </c>
      <c r="B1646" t="s">
        <v>5505</v>
      </c>
      <c r="C1646" t="s">
        <v>2451</v>
      </c>
      <c r="D1646">
        <v>0</v>
      </c>
      <c r="E1646">
        <v>1</v>
      </c>
      <c r="F1646" s="1">
        <v>45873</v>
      </c>
      <c r="G1646">
        <f>_xlfn.XLOOKUP(F1646,'Wk no''s'!B:B,'Wk no''s'!C:C,0)</f>
        <v>32</v>
      </c>
    </row>
    <row r="1647" spans="1:7" x14ac:dyDescent="0.3">
      <c r="A1647" t="s">
        <v>5506</v>
      </c>
      <c r="B1647" t="s">
        <v>5507</v>
      </c>
      <c r="C1647" t="s">
        <v>5508</v>
      </c>
      <c r="D1647">
        <v>6</v>
      </c>
      <c r="E1647">
        <v>0</v>
      </c>
      <c r="F1647" s="1">
        <v>45873</v>
      </c>
      <c r="G1647">
        <f>_xlfn.XLOOKUP(F1647,'Wk no''s'!B:B,'Wk no''s'!C:C,0)</f>
        <v>32</v>
      </c>
    </row>
    <row r="1648" spans="1:7" x14ac:dyDescent="0.3">
      <c r="A1648" t="s">
        <v>5509</v>
      </c>
      <c r="B1648" t="s">
        <v>5510</v>
      </c>
      <c r="C1648" t="s">
        <v>5511</v>
      </c>
      <c r="D1648">
        <v>0</v>
      </c>
      <c r="E1648">
        <v>1</v>
      </c>
      <c r="F1648" s="1">
        <v>45874</v>
      </c>
      <c r="G1648">
        <f>_xlfn.XLOOKUP(F1648,'Wk no''s'!B:B,'Wk no''s'!C:C,0)</f>
        <v>32</v>
      </c>
    </row>
    <row r="1649" spans="1:7" x14ac:dyDescent="0.3">
      <c r="A1649" t="s">
        <v>5512</v>
      </c>
      <c r="B1649" t="s">
        <v>5513</v>
      </c>
      <c r="C1649" t="s">
        <v>5514</v>
      </c>
      <c r="D1649">
        <v>0</v>
      </c>
      <c r="E1649">
        <v>1</v>
      </c>
      <c r="F1649" s="1">
        <v>45874</v>
      </c>
      <c r="G1649">
        <f>_xlfn.XLOOKUP(F1649,'Wk no''s'!B:B,'Wk no''s'!C:C,0)</f>
        <v>32</v>
      </c>
    </row>
    <row r="1650" spans="1:7" x14ac:dyDescent="0.3">
      <c r="A1650" t="s">
        <v>5515</v>
      </c>
      <c r="B1650" t="s">
        <v>5516</v>
      </c>
      <c r="C1650" t="s">
        <v>4018</v>
      </c>
      <c r="D1650">
        <v>6</v>
      </c>
      <c r="E1650">
        <v>0</v>
      </c>
      <c r="F1650" s="1">
        <v>45874</v>
      </c>
      <c r="G1650">
        <f>_xlfn.XLOOKUP(F1650,'Wk no''s'!B:B,'Wk no''s'!C:C,0)</f>
        <v>32</v>
      </c>
    </row>
    <row r="1651" spans="1:7" x14ac:dyDescent="0.3">
      <c r="A1651" t="s">
        <v>5517</v>
      </c>
      <c r="B1651" t="s">
        <v>5518</v>
      </c>
      <c r="C1651" t="s">
        <v>5519</v>
      </c>
      <c r="D1651">
        <v>0</v>
      </c>
      <c r="E1651">
        <v>1</v>
      </c>
      <c r="F1651" s="1">
        <v>45874</v>
      </c>
      <c r="G1651">
        <f>_xlfn.XLOOKUP(F1651,'Wk no''s'!B:B,'Wk no''s'!C:C,0)</f>
        <v>32</v>
      </c>
    </row>
    <row r="1652" spans="1:7" x14ac:dyDescent="0.3">
      <c r="A1652" t="s">
        <v>5520</v>
      </c>
      <c r="B1652" t="s">
        <v>5521</v>
      </c>
      <c r="C1652" t="s">
        <v>407</v>
      </c>
      <c r="D1652">
        <v>1</v>
      </c>
      <c r="E1652">
        <v>1</v>
      </c>
      <c r="F1652" s="1">
        <v>45874</v>
      </c>
      <c r="G1652">
        <f>_xlfn.XLOOKUP(F1652,'Wk no''s'!B:B,'Wk no''s'!C:C,0)</f>
        <v>32</v>
      </c>
    </row>
    <row r="1653" spans="1:7" x14ac:dyDescent="0.3">
      <c r="A1653" t="s">
        <v>5522</v>
      </c>
      <c r="B1653" t="s">
        <v>5523</v>
      </c>
      <c r="C1653" t="s">
        <v>5654</v>
      </c>
      <c r="D1653">
        <v>5</v>
      </c>
      <c r="E1653">
        <v>1</v>
      </c>
      <c r="F1653" s="1">
        <v>45874</v>
      </c>
      <c r="G1653">
        <f>_xlfn.XLOOKUP(F1653,'Wk no''s'!B:B,'Wk no''s'!C:C,0)</f>
        <v>32</v>
      </c>
    </row>
    <row r="1654" spans="1:7" x14ac:dyDescent="0.3">
      <c r="A1654" t="s">
        <v>5524</v>
      </c>
      <c r="B1654" t="s">
        <v>5525</v>
      </c>
      <c r="C1654" t="s">
        <v>550</v>
      </c>
      <c r="D1654">
        <v>0</v>
      </c>
      <c r="E1654">
        <v>1</v>
      </c>
      <c r="F1654" s="1">
        <v>45874</v>
      </c>
      <c r="G1654">
        <f>_xlfn.XLOOKUP(F1654,'Wk no''s'!B:B,'Wk no''s'!C:C,0)</f>
        <v>32</v>
      </c>
    </row>
    <row r="1655" spans="1:7" x14ac:dyDescent="0.3">
      <c r="A1655" t="s">
        <v>5526</v>
      </c>
      <c r="B1655" t="s">
        <v>5527</v>
      </c>
      <c r="C1655" t="s">
        <v>5528</v>
      </c>
      <c r="D1655">
        <v>3</v>
      </c>
      <c r="E1655">
        <v>1</v>
      </c>
      <c r="F1655" s="1">
        <v>45874</v>
      </c>
      <c r="G1655">
        <f>_xlfn.XLOOKUP(F1655,'Wk no''s'!B:B,'Wk no''s'!C:C,0)</f>
        <v>32</v>
      </c>
    </row>
    <row r="1656" spans="1:7" x14ac:dyDescent="0.3">
      <c r="A1656" t="s">
        <v>5529</v>
      </c>
      <c r="B1656" t="s">
        <v>5530</v>
      </c>
      <c r="C1656" t="s">
        <v>2279</v>
      </c>
      <c r="D1656">
        <v>0</v>
      </c>
      <c r="E1656">
        <v>1</v>
      </c>
      <c r="F1656" s="1">
        <v>45874</v>
      </c>
      <c r="G1656">
        <f>_xlfn.XLOOKUP(F1656,'Wk no''s'!B:B,'Wk no''s'!C:C,0)</f>
        <v>32</v>
      </c>
    </row>
    <row r="1657" spans="1:7" x14ac:dyDescent="0.3">
      <c r="A1657" t="s">
        <v>5531</v>
      </c>
      <c r="B1657" t="s">
        <v>5532</v>
      </c>
      <c r="C1657" t="s">
        <v>5533</v>
      </c>
      <c r="D1657">
        <v>34</v>
      </c>
      <c r="E1657">
        <v>0</v>
      </c>
      <c r="F1657" s="1">
        <v>45874</v>
      </c>
      <c r="G1657">
        <f>_xlfn.XLOOKUP(F1657,'Wk no''s'!B:B,'Wk no''s'!C:C,0)</f>
        <v>32</v>
      </c>
    </row>
    <row r="1658" spans="1:7" x14ac:dyDescent="0.3">
      <c r="A1658" t="s">
        <v>5534</v>
      </c>
      <c r="B1658" t="s">
        <v>5535</v>
      </c>
      <c r="C1658" t="s">
        <v>5536</v>
      </c>
      <c r="D1658">
        <v>8</v>
      </c>
      <c r="E1658">
        <v>0</v>
      </c>
      <c r="F1658" s="1">
        <v>45874</v>
      </c>
      <c r="G1658">
        <f>_xlfn.XLOOKUP(F1658,'Wk no''s'!B:B,'Wk no''s'!C:C,0)</f>
        <v>32</v>
      </c>
    </row>
    <row r="1659" spans="1:7" x14ac:dyDescent="0.3">
      <c r="A1659" t="s">
        <v>5537</v>
      </c>
      <c r="B1659" t="s">
        <v>5538</v>
      </c>
      <c r="C1659" t="s">
        <v>3922</v>
      </c>
      <c r="D1659">
        <v>1</v>
      </c>
      <c r="E1659">
        <v>1</v>
      </c>
      <c r="F1659" s="1">
        <v>45874</v>
      </c>
      <c r="G1659">
        <f>_xlfn.XLOOKUP(F1659,'Wk no''s'!B:B,'Wk no''s'!C:C,0)</f>
        <v>32</v>
      </c>
    </row>
    <row r="1660" spans="1:7" x14ac:dyDescent="0.3">
      <c r="A1660" t="s">
        <v>5539</v>
      </c>
      <c r="B1660" t="s">
        <v>5540</v>
      </c>
      <c r="C1660" t="s">
        <v>3444</v>
      </c>
      <c r="D1660">
        <v>0</v>
      </c>
      <c r="E1660">
        <v>1</v>
      </c>
      <c r="F1660" s="1">
        <v>45874</v>
      </c>
      <c r="G1660">
        <f>_xlfn.XLOOKUP(F1660,'Wk no''s'!B:B,'Wk no''s'!C:C,0)</f>
        <v>32</v>
      </c>
    </row>
    <row r="1661" spans="1:7" x14ac:dyDescent="0.3">
      <c r="A1661" t="s">
        <v>5541</v>
      </c>
      <c r="B1661" t="s">
        <v>5542</v>
      </c>
      <c r="C1661" t="s">
        <v>3444</v>
      </c>
      <c r="D1661">
        <v>0</v>
      </c>
      <c r="E1661">
        <v>1</v>
      </c>
      <c r="F1661" s="1">
        <v>45874</v>
      </c>
      <c r="G1661">
        <f>_xlfn.XLOOKUP(F1661,'Wk no''s'!B:B,'Wk no''s'!C:C,0)</f>
        <v>32</v>
      </c>
    </row>
    <row r="1662" spans="1:7" x14ac:dyDescent="0.3">
      <c r="A1662" t="s">
        <v>5543</v>
      </c>
      <c r="B1662" t="s">
        <v>5544</v>
      </c>
      <c r="C1662" t="s">
        <v>3444</v>
      </c>
      <c r="D1662">
        <v>0</v>
      </c>
      <c r="E1662">
        <v>1</v>
      </c>
      <c r="F1662" s="1">
        <v>45874</v>
      </c>
      <c r="G1662">
        <f>_xlfn.XLOOKUP(F1662,'Wk no''s'!B:B,'Wk no''s'!C:C,0)</f>
        <v>32</v>
      </c>
    </row>
    <row r="1663" spans="1:7" x14ac:dyDescent="0.3">
      <c r="A1663" t="s">
        <v>5545</v>
      </c>
      <c r="B1663" t="s">
        <v>5546</v>
      </c>
      <c r="C1663" t="s">
        <v>4100</v>
      </c>
      <c r="D1663">
        <v>0</v>
      </c>
      <c r="E1663">
        <v>1</v>
      </c>
      <c r="F1663" s="1">
        <v>45875</v>
      </c>
      <c r="G1663">
        <f>_xlfn.XLOOKUP(F1663,'Wk no''s'!B:B,'Wk no''s'!C:C,0)</f>
        <v>32</v>
      </c>
    </row>
    <row r="1664" spans="1:7" x14ac:dyDescent="0.3">
      <c r="A1664" t="s">
        <v>5547</v>
      </c>
      <c r="B1664" t="s">
        <v>5548</v>
      </c>
      <c r="C1664" t="s">
        <v>4100</v>
      </c>
      <c r="D1664">
        <v>0</v>
      </c>
      <c r="E1664">
        <v>1</v>
      </c>
      <c r="F1664" s="1">
        <v>45875</v>
      </c>
      <c r="G1664">
        <f>_xlfn.XLOOKUP(F1664,'Wk no''s'!B:B,'Wk no''s'!C:C,0)</f>
        <v>32</v>
      </c>
    </row>
    <row r="1665" spans="1:7" x14ac:dyDescent="0.3">
      <c r="A1665" t="s">
        <v>5549</v>
      </c>
      <c r="B1665" t="s">
        <v>5550</v>
      </c>
      <c r="C1665" t="s">
        <v>5551</v>
      </c>
      <c r="D1665">
        <v>0</v>
      </c>
      <c r="E1665">
        <v>1</v>
      </c>
      <c r="F1665" s="1">
        <v>45875</v>
      </c>
      <c r="G1665">
        <f>_xlfn.XLOOKUP(F1665,'Wk no''s'!B:B,'Wk no''s'!C:C,0)</f>
        <v>32</v>
      </c>
    </row>
    <row r="1666" spans="1:7" x14ac:dyDescent="0.3">
      <c r="A1666" t="s">
        <v>5552</v>
      </c>
      <c r="B1666" t="s">
        <v>5553</v>
      </c>
      <c r="C1666" t="s">
        <v>5494</v>
      </c>
      <c r="D1666">
        <v>18</v>
      </c>
      <c r="E1666">
        <v>0</v>
      </c>
      <c r="F1666" s="1">
        <v>45875</v>
      </c>
      <c r="G1666">
        <f>_xlfn.XLOOKUP(F1666,'Wk no''s'!B:B,'Wk no''s'!C:C,0)</f>
        <v>32</v>
      </c>
    </row>
    <row r="1667" spans="1:7" x14ac:dyDescent="0.3">
      <c r="A1667" t="s">
        <v>5554</v>
      </c>
      <c r="B1667" t="s">
        <v>5546</v>
      </c>
      <c r="C1667" t="s">
        <v>4100</v>
      </c>
      <c r="D1667">
        <v>0</v>
      </c>
      <c r="E1667">
        <v>1</v>
      </c>
      <c r="F1667" s="1">
        <v>45875</v>
      </c>
      <c r="G1667">
        <f>_xlfn.XLOOKUP(F1667,'Wk no''s'!B:B,'Wk no''s'!C:C,0)</f>
        <v>32</v>
      </c>
    </row>
    <row r="1668" spans="1:7" x14ac:dyDescent="0.3">
      <c r="A1668" t="s">
        <v>5555</v>
      </c>
      <c r="B1668" t="s">
        <v>5556</v>
      </c>
      <c r="C1668" t="s">
        <v>2451</v>
      </c>
      <c r="D1668">
        <v>0</v>
      </c>
      <c r="E1668">
        <v>1</v>
      </c>
      <c r="F1668" s="1">
        <v>45875</v>
      </c>
      <c r="G1668">
        <f>_xlfn.XLOOKUP(F1668,'Wk no''s'!B:B,'Wk no''s'!C:C,0)</f>
        <v>32</v>
      </c>
    </row>
    <row r="1669" spans="1:7" x14ac:dyDescent="0.3">
      <c r="A1669" t="s">
        <v>5557</v>
      </c>
      <c r="B1669" t="s">
        <v>5558</v>
      </c>
      <c r="C1669" t="s">
        <v>4165</v>
      </c>
      <c r="D1669">
        <v>0</v>
      </c>
      <c r="E1669">
        <v>1</v>
      </c>
      <c r="F1669" s="1">
        <v>45875</v>
      </c>
      <c r="G1669">
        <f>_xlfn.XLOOKUP(F1669,'Wk no''s'!B:B,'Wk no''s'!C:C,0)</f>
        <v>32</v>
      </c>
    </row>
    <row r="1670" spans="1:7" x14ac:dyDescent="0.3">
      <c r="A1670" t="s">
        <v>5559</v>
      </c>
      <c r="B1670" t="s">
        <v>5560</v>
      </c>
      <c r="C1670" t="s">
        <v>5561</v>
      </c>
      <c r="D1670">
        <v>0</v>
      </c>
      <c r="E1670">
        <v>1</v>
      </c>
      <c r="F1670" s="1">
        <v>45875</v>
      </c>
      <c r="G1670">
        <f>_xlfn.XLOOKUP(F1670,'Wk no''s'!B:B,'Wk no''s'!C:C,0)</f>
        <v>32</v>
      </c>
    </row>
    <row r="1671" spans="1:7" x14ac:dyDescent="0.3">
      <c r="A1671" t="s">
        <v>5562</v>
      </c>
      <c r="B1671" t="s">
        <v>5563</v>
      </c>
      <c r="C1671" t="s">
        <v>3444</v>
      </c>
      <c r="D1671">
        <v>0</v>
      </c>
      <c r="E1671">
        <v>1</v>
      </c>
      <c r="F1671" s="1">
        <v>45875</v>
      </c>
      <c r="G1671">
        <f>_xlfn.XLOOKUP(F1671,'Wk no''s'!B:B,'Wk no''s'!C:C,0)</f>
        <v>32</v>
      </c>
    </row>
    <row r="1672" spans="1:7" x14ac:dyDescent="0.3">
      <c r="A1672" t="s">
        <v>5564</v>
      </c>
      <c r="B1672" t="s">
        <v>5565</v>
      </c>
      <c r="C1672" t="s">
        <v>3444</v>
      </c>
      <c r="D1672">
        <v>0</v>
      </c>
      <c r="E1672">
        <v>1</v>
      </c>
      <c r="F1672" s="1">
        <v>45875</v>
      </c>
      <c r="G1672">
        <f>_xlfn.XLOOKUP(F1672,'Wk no''s'!B:B,'Wk no''s'!C:C,0)</f>
        <v>32</v>
      </c>
    </row>
    <row r="1673" spans="1:7" x14ac:dyDescent="0.3">
      <c r="A1673" t="s">
        <v>5566</v>
      </c>
      <c r="B1673" t="s">
        <v>5567</v>
      </c>
      <c r="C1673" t="s">
        <v>3444</v>
      </c>
      <c r="D1673">
        <v>0</v>
      </c>
      <c r="E1673">
        <v>1</v>
      </c>
      <c r="F1673" s="1">
        <v>45875</v>
      </c>
      <c r="G1673">
        <f>_xlfn.XLOOKUP(F1673,'Wk no''s'!B:B,'Wk no''s'!C:C,0)</f>
        <v>32</v>
      </c>
    </row>
    <row r="1674" spans="1:7" x14ac:dyDescent="0.3">
      <c r="A1674" t="s">
        <v>5568</v>
      </c>
      <c r="B1674" t="s">
        <v>5569</v>
      </c>
      <c r="C1674" t="s">
        <v>3444</v>
      </c>
      <c r="D1674">
        <v>0</v>
      </c>
      <c r="E1674">
        <v>1</v>
      </c>
      <c r="F1674" s="1">
        <v>45875</v>
      </c>
      <c r="G1674">
        <f>_xlfn.XLOOKUP(F1674,'Wk no''s'!B:B,'Wk no''s'!C:C,0)</f>
        <v>32</v>
      </c>
    </row>
    <row r="1675" spans="1:7" x14ac:dyDescent="0.3">
      <c r="A1675" t="s">
        <v>5570</v>
      </c>
      <c r="B1675" t="s">
        <v>5571</v>
      </c>
      <c r="C1675" t="s">
        <v>4244</v>
      </c>
      <c r="D1675">
        <v>1</v>
      </c>
      <c r="E1675">
        <v>1</v>
      </c>
      <c r="F1675" s="1">
        <v>45875</v>
      </c>
      <c r="G1675">
        <f>_xlfn.XLOOKUP(F1675,'Wk no''s'!B:B,'Wk no''s'!C:C,0)</f>
        <v>32</v>
      </c>
    </row>
    <row r="1676" spans="1:7" x14ac:dyDescent="0.3">
      <c r="A1676" t="s">
        <v>5572</v>
      </c>
      <c r="B1676" t="s">
        <v>5573</v>
      </c>
      <c r="C1676" t="s">
        <v>5493</v>
      </c>
      <c r="D1676">
        <v>7</v>
      </c>
      <c r="E1676">
        <v>0</v>
      </c>
      <c r="F1676" s="1">
        <v>45876</v>
      </c>
      <c r="G1676">
        <f>_xlfn.XLOOKUP(F1676,'Wk no''s'!B:B,'Wk no''s'!C:C,0)</f>
        <v>32</v>
      </c>
    </row>
    <row r="1677" spans="1:7" x14ac:dyDescent="0.3">
      <c r="A1677" t="s">
        <v>5574</v>
      </c>
      <c r="B1677" t="s">
        <v>5575</v>
      </c>
      <c r="C1677" t="s">
        <v>1224</v>
      </c>
      <c r="D1677">
        <v>13</v>
      </c>
      <c r="E1677">
        <v>0</v>
      </c>
      <c r="F1677" s="1">
        <v>45876</v>
      </c>
      <c r="G1677">
        <f>_xlfn.XLOOKUP(F1677,'Wk no''s'!B:B,'Wk no''s'!C:C,0)</f>
        <v>32</v>
      </c>
    </row>
    <row r="1678" spans="1:7" x14ac:dyDescent="0.3">
      <c r="A1678" t="s">
        <v>5576</v>
      </c>
      <c r="B1678" t="s">
        <v>5577</v>
      </c>
      <c r="C1678" t="s">
        <v>1544</v>
      </c>
      <c r="D1678">
        <v>0</v>
      </c>
      <c r="E1678">
        <v>1</v>
      </c>
      <c r="F1678" s="1">
        <v>45876</v>
      </c>
      <c r="G1678">
        <f>_xlfn.XLOOKUP(F1678,'Wk no''s'!B:B,'Wk no''s'!C:C,0)</f>
        <v>32</v>
      </c>
    </row>
    <row r="1679" spans="1:7" x14ac:dyDescent="0.3">
      <c r="A1679" t="s">
        <v>5578</v>
      </c>
      <c r="B1679" t="s">
        <v>5579</v>
      </c>
      <c r="C1679" t="s">
        <v>3549</v>
      </c>
      <c r="D1679">
        <v>7</v>
      </c>
      <c r="E1679">
        <v>0</v>
      </c>
      <c r="F1679" s="1">
        <v>45876</v>
      </c>
      <c r="G1679">
        <f>_xlfn.XLOOKUP(F1679,'Wk no''s'!B:B,'Wk no''s'!C:C,0)</f>
        <v>32</v>
      </c>
    </row>
    <row r="1680" spans="1:7" x14ac:dyDescent="0.3">
      <c r="A1680" t="s">
        <v>5580</v>
      </c>
      <c r="B1680" t="s">
        <v>5581</v>
      </c>
      <c r="C1680" t="s">
        <v>4203</v>
      </c>
      <c r="D1680">
        <v>0</v>
      </c>
      <c r="E1680">
        <v>1</v>
      </c>
      <c r="F1680" s="1">
        <v>45876</v>
      </c>
      <c r="G1680">
        <f>_xlfn.XLOOKUP(F1680,'Wk no''s'!B:B,'Wk no''s'!C:C,0)</f>
        <v>32</v>
      </c>
    </row>
    <row r="1681" spans="1:7" x14ac:dyDescent="0.3">
      <c r="A1681" t="s">
        <v>5582</v>
      </c>
      <c r="B1681" t="s">
        <v>5583</v>
      </c>
      <c r="C1681" t="s">
        <v>5584</v>
      </c>
      <c r="D1681">
        <v>0</v>
      </c>
      <c r="E1681">
        <v>1</v>
      </c>
      <c r="F1681" s="1">
        <v>45876</v>
      </c>
      <c r="G1681">
        <f>_xlfn.XLOOKUP(F1681,'Wk no''s'!B:B,'Wk no''s'!C:C,0)</f>
        <v>32</v>
      </c>
    </row>
    <row r="1682" spans="1:7" x14ac:dyDescent="0.3">
      <c r="A1682" t="s">
        <v>5585</v>
      </c>
      <c r="B1682" t="s">
        <v>5586</v>
      </c>
      <c r="C1682" t="s">
        <v>5587</v>
      </c>
      <c r="D1682">
        <v>20</v>
      </c>
      <c r="E1682">
        <v>0</v>
      </c>
      <c r="F1682" s="1">
        <v>45876</v>
      </c>
      <c r="G1682">
        <f>_xlfn.XLOOKUP(F1682,'Wk no''s'!B:B,'Wk no''s'!C:C,0)</f>
        <v>32</v>
      </c>
    </row>
    <row r="1683" spans="1:7" x14ac:dyDescent="0.3">
      <c r="A1683" t="s">
        <v>5588</v>
      </c>
      <c r="B1683" t="s">
        <v>5589</v>
      </c>
      <c r="C1683" t="s">
        <v>197</v>
      </c>
      <c r="D1683">
        <v>0</v>
      </c>
      <c r="E1683">
        <v>1</v>
      </c>
      <c r="F1683" s="1">
        <v>45876</v>
      </c>
      <c r="G1683">
        <f>_xlfn.XLOOKUP(F1683,'Wk no''s'!B:B,'Wk no''s'!C:C,0)</f>
        <v>32</v>
      </c>
    </row>
    <row r="1684" spans="1:7" x14ac:dyDescent="0.3">
      <c r="A1684" t="s">
        <v>5590</v>
      </c>
      <c r="B1684" t="s">
        <v>5591</v>
      </c>
      <c r="C1684" t="s">
        <v>2958</v>
      </c>
      <c r="D1684">
        <v>43</v>
      </c>
      <c r="E1684">
        <v>0</v>
      </c>
      <c r="F1684" s="1">
        <v>45876</v>
      </c>
      <c r="G1684">
        <f>_xlfn.XLOOKUP(F1684,'Wk no''s'!B:B,'Wk no''s'!C:C,0)</f>
        <v>32</v>
      </c>
    </row>
    <row r="1685" spans="1:7" x14ac:dyDescent="0.3">
      <c r="A1685" t="s">
        <v>5592</v>
      </c>
      <c r="B1685" t="s">
        <v>5593</v>
      </c>
      <c r="C1685" t="s">
        <v>1194</v>
      </c>
      <c r="D1685">
        <v>0</v>
      </c>
      <c r="E1685">
        <v>1</v>
      </c>
      <c r="F1685" s="1">
        <v>45876</v>
      </c>
      <c r="G1685">
        <f>_xlfn.XLOOKUP(F1685,'Wk no''s'!B:B,'Wk no''s'!C:C,0)</f>
        <v>32</v>
      </c>
    </row>
    <row r="1686" spans="1:7" x14ac:dyDescent="0.3">
      <c r="A1686" t="s">
        <v>5594</v>
      </c>
      <c r="B1686" t="s">
        <v>5595</v>
      </c>
      <c r="C1686" t="s">
        <v>3955</v>
      </c>
      <c r="D1686">
        <v>0</v>
      </c>
      <c r="E1686">
        <v>1</v>
      </c>
      <c r="F1686" s="1">
        <v>45876</v>
      </c>
      <c r="G1686">
        <f>_xlfn.XLOOKUP(F1686,'Wk no''s'!B:B,'Wk no''s'!C:C,0)</f>
        <v>32</v>
      </c>
    </row>
    <row r="1687" spans="1:7" x14ac:dyDescent="0.3">
      <c r="A1687" t="s">
        <v>5596</v>
      </c>
      <c r="B1687" t="s">
        <v>5597</v>
      </c>
      <c r="C1687" t="s">
        <v>3955</v>
      </c>
      <c r="D1687">
        <v>0</v>
      </c>
      <c r="E1687">
        <v>1</v>
      </c>
      <c r="F1687" s="1">
        <v>45876</v>
      </c>
      <c r="G1687">
        <f>_xlfn.XLOOKUP(F1687,'Wk no''s'!B:B,'Wk no''s'!C:C,0)</f>
        <v>32</v>
      </c>
    </row>
    <row r="1688" spans="1:7" x14ac:dyDescent="0.3">
      <c r="A1688" t="s">
        <v>5598</v>
      </c>
      <c r="B1688" t="s">
        <v>5599</v>
      </c>
      <c r="C1688" t="s">
        <v>5600</v>
      </c>
      <c r="D1688">
        <v>22</v>
      </c>
      <c r="E1688">
        <v>0</v>
      </c>
      <c r="F1688" s="1">
        <v>45877</v>
      </c>
      <c r="G1688">
        <f>_xlfn.XLOOKUP(F1688,'Wk no''s'!B:B,'Wk no''s'!C:C,0)</f>
        <v>32</v>
      </c>
    </row>
    <row r="1689" spans="1:7" x14ac:dyDescent="0.3">
      <c r="A1689" t="s">
        <v>5601</v>
      </c>
      <c r="B1689" t="s">
        <v>5602</v>
      </c>
      <c r="C1689" t="s">
        <v>5603</v>
      </c>
      <c r="D1689">
        <v>5</v>
      </c>
      <c r="E1689">
        <v>1</v>
      </c>
      <c r="F1689" s="1">
        <v>45877</v>
      </c>
      <c r="G1689">
        <f>_xlfn.XLOOKUP(F1689,'Wk no''s'!B:B,'Wk no''s'!C:C,0)</f>
        <v>32</v>
      </c>
    </row>
    <row r="1690" spans="1:7" x14ac:dyDescent="0.3">
      <c r="A1690" t="s">
        <v>5604</v>
      </c>
      <c r="B1690" t="s">
        <v>5605</v>
      </c>
      <c r="C1690" t="s">
        <v>2681</v>
      </c>
      <c r="D1690">
        <v>0</v>
      </c>
      <c r="E1690">
        <v>1</v>
      </c>
      <c r="F1690" s="1">
        <v>45877</v>
      </c>
      <c r="G1690">
        <f>_xlfn.XLOOKUP(F1690,'Wk no''s'!B:B,'Wk no''s'!C:C,0)</f>
        <v>32</v>
      </c>
    </row>
    <row r="1691" spans="1:7" x14ac:dyDescent="0.3">
      <c r="A1691" t="s">
        <v>5606</v>
      </c>
      <c r="B1691" t="s">
        <v>5607</v>
      </c>
      <c r="C1691" t="s">
        <v>5608</v>
      </c>
      <c r="D1691">
        <v>0</v>
      </c>
      <c r="E1691">
        <v>1</v>
      </c>
      <c r="F1691" s="1">
        <v>45877</v>
      </c>
      <c r="G1691">
        <f>_xlfn.XLOOKUP(F1691,'Wk no''s'!B:B,'Wk no''s'!C:C,0)</f>
        <v>32</v>
      </c>
    </row>
    <row r="1692" spans="1:7" x14ac:dyDescent="0.3">
      <c r="A1692" t="s">
        <v>5655</v>
      </c>
      <c r="B1692" t="s">
        <v>5656</v>
      </c>
      <c r="C1692" t="s">
        <v>407</v>
      </c>
      <c r="D1692">
        <v>13</v>
      </c>
      <c r="E1692">
        <v>0</v>
      </c>
      <c r="F1692" s="1">
        <v>45880</v>
      </c>
      <c r="G1692">
        <f>_xlfn.XLOOKUP(F1692,'Wk no''s'!B:B,'Wk no''s'!C:C,0)</f>
        <v>33</v>
      </c>
    </row>
    <row r="1693" spans="1:7" x14ac:dyDescent="0.3">
      <c r="A1693" t="s">
        <v>5657</v>
      </c>
      <c r="B1693" t="s">
        <v>5658</v>
      </c>
      <c r="C1693" t="s">
        <v>302</v>
      </c>
      <c r="D1693">
        <v>0</v>
      </c>
      <c r="E1693">
        <v>1</v>
      </c>
      <c r="F1693" s="1">
        <v>45880</v>
      </c>
      <c r="G1693">
        <f>_xlfn.XLOOKUP(F1693,'Wk no''s'!B:B,'Wk no''s'!C:C,0)</f>
        <v>33</v>
      </c>
    </row>
    <row r="1694" spans="1:7" x14ac:dyDescent="0.3">
      <c r="A1694" t="s">
        <v>5659</v>
      </c>
      <c r="B1694" t="s">
        <v>5660</v>
      </c>
      <c r="C1694" t="s">
        <v>1544</v>
      </c>
      <c r="D1694">
        <v>0</v>
      </c>
      <c r="E1694">
        <v>1</v>
      </c>
      <c r="F1694" s="1">
        <v>45880</v>
      </c>
      <c r="G1694">
        <f>_xlfn.XLOOKUP(F1694,'Wk no''s'!B:B,'Wk no''s'!C:C,0)</f>
        <v>33</v>
      </c>
    </row>
    <row r="1695" spans="1:7" x14ac:dyDescent="0.3">
      <c r="A1695" t="s">
        <v>5661</v>
      </c>
      <c r="C1695" t="s">
        <v>5662</v>
      </c>
      <c r="D1695">
        <v>49</v>
      </c>
      <c r="E1695">
        <v>0</v>
      </c>
      <c r="F1695" s="1">
        <v>45880</v>
      </c>
      <c r="G1695">
        <f>_xlfn.XLOOKUP(F1695,'Wk no''s'!B:B,'Wk no''s'!C:C,0)</f>
        <v>33</v>
      </c>
    </row>
    <row r="1696" spans="1:7" x14ac:dyDescent="0.3">
      <c r="A1696" t="s">
        <v>5663</v>
      </c>
      <c r="B1696" t="s">
        <v>5664</v>
      </c>
      <c r="C1696" t="s">
        <v>2762</v>
      </c>
      <c r="D1696">
        <v>14</v>
      </c>
      <c r="E1696">
        <v>0</v>
      </c>
      <c r="F1696" s="1">
        <v>45880</v>
      </c>
      <c r="G1696">
        <f>_xlfn.XLOOKUP(F1696,'Wk no''s'!B:B,'Wk no''s'!C:C,0)</f>
        <v>33</v>
      </c>
    </row>
    <row r="1697" spans="1:7" x14ac:dyDescent="0.3">
      <c r="A1697" t="s">
        <v>5665</v>
      </c>
      <c r="B1697" t="s">
        <v>5666</v>
      </c>
      <c r="C1697" t="s">
        <v>302</v>
      </c>
      <c r="D1697">
        <v>0</v>
      </c>
      <c r="E1697">
        <v>1</v>
      </c>
      <c r="F1697" s="1">
        <v>45880</v>
      </c>
      <c r="G1697">
        <f>_xlfn.XLOOKUP(F1697,'Wk no''s'!B:B,'Wk no''s'!C:C,0)</f>
        <v>33</v>
      </c>
    </row>
    <row r="1698" spans="1:7" x14ac:dyDescent="0.3">
      <c r="A1698" t="s">
        <v>5667</v>
      </c>
      <c r="B1698" t="s">
        <v>5668</v>
      </c>
      <c r="C1698" t="s">
        <v>5669</v>
      </c>
      <c r="D1698">
        <v>0</v>
      </c>
      <c r="E1698">
        <v>1</v>
      </c>
      <c r="F1698" s="1">
        <v>45880</v>
      </c>
      <c r="G1698">
        <f>_xlfn.XLOOKUP(F1698,'Wk no''s'!B:B,'Wk no''s'!C:C,0)</f>
        <v>33</v>
      </c>
    </row>
    <row r="1699" spans="1:7" x14ac:dyDescent="0.3">
      <c r="A1699" t="s">
        <v>5670</v>
      </c>
      <c r="B1699" t="s">
        <v>5671</v>
      </c>
      <c r="C1699" t="s">
        <v>1889</v>
      </c>
      <c r="D1699">
        <v>0</v>
      </c>
      <c r="E1699">
        <v>1</v>
      </c>
      <c r="F1699" s="1">
        <v>45880</v>
      </c>
      <c r="G1699">
        <f>_xlfn.XLOOKUP(F1699,'Wk no''s'!B:B,'Wk no''s'!C:C,0)</f>
        <v>33</v>
      </c>
    </row>
    <row r="1700" spans="1:7" x14ac:dyDescent="0.3">
      <c r="A1700" t="s">
        <v>5672</v>
      </c>
      <c r="B1700" t="s">
        <v>5673</v>
      </c>
      <c r="C1700" t="s">
        <v>4247</v>
      </c>
      <c r="D1700">
        <v>0</v>
      </c>
      <c r="E1700">
        <v>1</v>
      </c>
      <c r="F1700" s="1">
        <v>45880</v>
      </c>
      <c r="G1700">
        <f>_xlfn.XLOOKUP(F1700,'Wk no''s'!B:B,'Wk no''s'!C:C,0)</f>
        <v>33</v>
      </c>
    </row>
    <row r="1701" spans="1:7" x14ac:dyDescent="0.3">
      <c r="A1701" t="s">
        <v>5674</v>
      </c>
      <c r="B1701" t="s">
        <v>5675</v>
      </c>
      <c r="C1701" t="s">
        <v>5676</v>
      </c>
      <c r="D1701">
        <v>0</v>
      </c>
      <c r="E1701">
        <v>1</v>
      </c>
      <c r="F1701" s="1">
        <v>45881</v>
      </c>
      <c r="G1701">
        <f>_xlfn.XLOOKUP(F1701,'Wk no''s'!B:B,'Wk no''s'!C:C,0)</f>
        <v>33</v>
      </c>
    </row>
    <row r="1702" spans="1:7" x14ac:dyDescent="0.3">
      <c r="A1702" t="s">
        <v>5677</v>
      </c>
      <c r="B1702" t="s">
        <v>5678</v>
      </c>
      <c r="C1702" t="s">
        <v>1889</v>
      </c>
      <c r="D1702">
        <v>0</v>
      </c>
      <c r="E1702">
        <v>1</v>
      </c>
      <c r="F1702" s="1">
        <v>45881</v>
      </c>
      <c r="G1702">
        <f>_xlfn.XLOOKUP(F1702,'Wk no''s'!B:B,'Wk no''s'!C:C,0)</f>
        <v>33</v>
      </c>
    </row>
    <row r="1703" spans="1:7" x14ac:dyDescent="0.3">
      <c r="A1703" t="s">
        <v>5679</v>
      </c>
      <c r="B1703" t="s">
        <v>5680</v>
      </c>
      <c r="C1703" t="s">
        <v>5681</v>
      </c>
      <c r="D1703">
        <v>0</v>
      </c>
      <c r="E1703">
        <v>1</v>
      </c>
      <c r="F1703" s="1">
        <v>45881</v>
      </c>
      <c r="G1703">
        <f>_xlfn.XLOOKUP(F1703,'Wk no''s'!B:B,'Wk no''s'!C:C,0)</f>
        <v>33</v>
      </c>
    </row>
    <row r="1704" spans="1:7" x14ac:dyDescent="0.3">
      <c r="A1704" t="s">
        <v>5682</v>
      </c>
      <c r="B1704" t="s">
        <v>5683</v>
      </c>
      <c r="C1704" t="s">
        <v>2887</v>
      </c>
      <c r="D1704">
        <v>0</v>
      </c>
      <c r="E1704">
        <v>1</v>
      </c>
      <c r="F1704" s="1">
        <v>45881</v>
      </c>
      <c r="G1704">
        <f>_xlfn.XLOOKUP(F1704,'Wk no''s'!B:B,'Wk no''s'!C:C,0)</f>
        <v>33</v>
      </c>
    </row>
    <row r="1705" spans="1:7" x14ac:dyDescent="0.3">
      <c r="A1705" t="s">
        <v>5684</v>
      </c>
      <c r="B1705" t="s">
        <v>5685</v>
      </c>
      <c r="C1705" t="s">
        <v>2159</v>
      </c>
      <c r="D1705">
        <v>0</v>
      </c>
      <c r="E1705">
        <v>1</v>
      </c>
      <c r="F1705" s="1">
        <v>45881</v>
      </c>
      <c r="G1705">
        <f>_xlfn.XLOOKUP(F1705,'Wk no''s'!B:B,'Wk no''s'!C:C,0)</f>
        <v>33</v>
      </c>
    </row>
    <row r="1706" spans="1:7" x14ac:dyDescent="0.3">
      <c r="A1706" t="s">
        <v>5686</v>
      </c>
      <c r="B1706" t="s">
        <v>5687</v>
      </c>
      <c r="C1706" t="s">
        <v>1363</v>
      </c>
      <c r="D1706">
        <v>8</v>
      </c>
      <c r="E1706">
        <v>0</v>
      </c>
      <c r="F1706" s="1">
        <v>45881</v>
      </c>
      <c r="G1706">
        <f>_xlfn.XLOOKUP(F1706,'Wk no''s'!B:B,'Wk no''s'!C:C,0)</f>
        <v>33</v>
      </c>
    </row>
    <row r="1707" spans="1:7" x14ac:dyDescent="0.3">
      <c r="A1707" t="s">
        <v>5688</v>
      </c>
      <c r="B1707" t="s">
        <v>5689</v>
      </c>
      <c r="C1707" t="s">
        <v>5690</v>
      </c>
      <c r="D1707">
        <v>0</v>
      </c>
      <c r="E1707">
        <v>1</v>
      </c>
      <c r="F1707" s="1">
        <v>45881</v>
      </c>
      <c r="G1707">
        <f>_xlfn.XLOOKUP(F1707,'Wk no''s'!B:B,'Wk no''s'!C:C,0)</f>
        <v>33</v>
      </c>
    </row>
    <row r="1708" spans="1:7" x14ac:dyDescent="0.3">
      <c r="A1708" t="s">
        <v>5691</v>
      </c>
      <c r="B1708" t="s">
        <v>5692</v>
      </c>
      <c r="C1708" t="s">
        <v>2908</v>
      </c>
      <c r="D1708">
        <v>0</v>
      </c>
      <c r="E1708">
        <v>1</v>
      </c>
      <c r="F1708" s="1">
        <v>45881</v>
      </c>
      <c r="G1708">
        <f>_xlfn.XLOOKUP(F1708,'Wk no''s'!B:B,'Wk no''s'!C:C,0)</f>
        <v>33</v>
      </c>
    </row>
    <row r="1709" spans="1:7" x14ac:dyDescent="0.3">
      <c r="A1709" t="s">
        <v>5693</v>
      </c>
      <c r="B1709" t="s">
        <v>5694</v>
      </c>
      <c r="C1709" t="s">
        <v>3955</v>
      </c>
      <c r="D1709">
        <v>0</v>
      </c>
      <c r="E1709">
        <v>1</v>
      </c>
      <c r="F1709" s="1">
        <v>45881</v>
      </c>
      <c r="G1709">
        <f>_xlfn.XLOOKUP(F1709,'Wk no''s'!B:B,'Wk no''s'!C:C,0)</f>
        <v>33</v>
      </c>
    </row>
    <row r="1710" spans="1:7" x14ac:dyDescent="0.3">
      <c r="A1710" t="s">
        <v>5695</v>
      </c>
      <c r="B1710" t="s">
        <v>5696</v>
      </c>
      <c r="C1710" t="s">
        <v>197</v>
      </c>
      <c r="D1710">
        <v>0</v>
      </c>
      <c r="E1710">
        <v>1</v>
      </c>
      <c r="F1710" s="1">
        <v>45881</v>
      </c>
      <c r="G1710">
        <f>_xlfn.XLOOKUP(F1710,'Wk no''s'!B:B,'Wk no''s'!C:C,0)</f>
        <v>33</v>
      </c>
    </row>
    <row r="1711" spans="1:7" x14ac:dyDescent="0.3">
      <c r="A1711" t="s">
        <v>5697</v>
      </c>
      <c r="B1711" t="s">
        <v>5698</v>
      </c>
      <c r="C1711" t="s">
        <v>4247</v>
      </c>
      <c r="D1711">
        <v>0</v>
      </c>
      <c r="E1711">
        <v>1</v>
      </c>
      <c r="F1711" s="1">
        <v>45881</v>
      </c>
      <c r="G1711">
        <f>_xlfn.XLOOKUP(F1711,'Wk no''s'!B:B,'Wk no''s'!C:C,0)</f>
        <v>33</v>
      </c>
    </row>
    <row r="1712" spans="1:7" x14ac:dyDescent="0.3">
      <c r="A1712" t="s">
        <v>5699</v>
      </c>
      <c r="B1712" t="s">
        <v>5700</v>
      </c>
      <c r="C1712" t="s">
        <v>1902</v>
      </c>
      <c r="D1712">
        <v>0</v>
      </c>
      <c r="E1712">
        <v>1</v>
      </c>
      <c r="F1712" s="1">
        <v>45881</v>
      </c>
      <c r="G1712">
        <f>_xlfn.XLOOKUP(F1712,'Wk no''s'!B:B,'Wk no''s'!C:C,0)</f>
        <v>33</v>
      </c>
    </row>
    <row r="1713" spans="1:7" x14ac:dyDescent="0.3">
      <c r="A1713" t="s">
        <v>5701</v>
      </c>
      <c r="B1713" t="s">
        <v>5702</v>
      </c>
      <c r="C1713" t="s">
        <v>3840</v>
      </c>
      <c r="D1713">
        <v>10</v>
      </c>
      <c r="E1713">
        <v>0</v>
      </c>
      <c r="F1713" s="1">
        <v>45881</v>
      </c>
      <c r="G1713">
        <f>_xlfn.XLOOKUP(F1713,'Wk no''s'!B:B,'Wk no''s'!C:C,0)</f>
        <v>33</v>
      </c>
    </row>
    <row r="1714" spans="1:7" x14ac:dyDescent="0.3">
      <c r="A1714" t="s">
        <v>5703</v>
      </c>
      <c r="B1714" t="s">
        <v>5704</v>
      </c>
      <c r="C1714" t="s">
        <v>5705</v>
      </c>
      <c r="D1714">
        <v>3</v>
      </c>
      <c r="E1714">
        <v>1</v>
      </c>
      <c r="F1714" s="1">
        <v>45881</v>
      </c>
      <c r="G1714">
        <f>_xlfn.XLOOKUP(F1714,'Wk no''s'!B:B,'Wk no''s'!C:C,0)</f>
        <v>33</v>
      </c>
    </row>
    <row r="1715" spans="1:7" x14ac:dyDescent="0.3">
      <c r="A1715" t="s">
        <v>5706</v>
      </c>
      <c r="B1715" t="s">
        <v>5707</v>
      </c>
      <c r="C1715" t="s">
        <v>2471</v>
      </c>
      <c r="D1715">
        <v>12</v>
      </c>
      <c r="E1715">
        <v>0</v>
      </c>
      <c r="F1715" s="1">
        <v>45882</v>
      </c>
      <c r="G1715">
        <f>_xlfn.XLOOKUP(F1715,'Wk no''s'!B:B,'Wk no''s'!C:C,0)</f>
        <v>33</v>
      </c>
    </row>
    <row r="1716" spans="1:7" x14ac:dyDescent="0.3">
      <c r="A1716" t="s">
        <v>5708</v>
      </c>
      <c r="B1716" t="s">
        <v>5709</v>
      </c>
      <c r="C1716" t="s">
        <v>5710</v>
      </c>
      <c r="D1716">
        <v>1</v>
      </c>
      <c r="E1716">
        <v>1</v>
      </c>
      <c r="F1716" s="1">
        <v>45882</v>
      </c>
      <c r="G1716">
        <f>_xlfn.XLOOKUP(F1716,'Wk no''s'!B:B,'Wk no''s'!C:C,0)</f>
        <v>33</v>
      </c>
    </row>
    <row r="1717" spans="1:7" x14ac:dyDescent="0.3">
      <c r="A1717" t="s">
        <v>5711</v>
      </c>
      <c r="B1717" t="s">
        <v>5712</v>
      </c>
      <c r="C1717" t="s">
        <v>1097</v>
      </c>
      <c r="D1717">
        <v>0</v>
      </c>
      <c r="E1717">
        <v>1</v>
      </c>
      <c r="F1717" s="1">
        <v>45882</v>
      </c>
      <c r="G1717">
        <f>_xlfn.XLOOKUP(F1717,'Wk no''s'!B:B,'Wk no''s'!C:C,0)</f>
        <v>33</v>
      </c>
    </row>
    <row r="1718" spans="1:7" x14ac:dyDescent="0.3">
      <c r="A1718" t="s">
        <v>5713</v>
      </c>
      <c r="B1718" t="s">
        <v>5714</v>
      </c>
      <c r="C1718" t="s">
        <v>5715</v>
      </c>
      <c r="D1718">
        <v>0</v>
      </c>
      <c r="E1718">
        <v>1</v>
      </c>
      <c r="F1718" s="1">
        <v>45882</v>
      </c>
      <c r="G1718">
        <f>_xlfn.XLOOKUP(F1718,'Wk no''s'!B:B,'Wk no''s'!C:C,0)</f>
        <v>33</v>
      </c>
    </row>
    <row r="1719" spans="1:7" x14ac:dyDescent="0.3">
      <c r="A1719" t="s">
        <v>5716</v>
      </c>
      <c r="B1719" t="s">
        <v>5717</v>
      </c>
      <c r="C1719" t="s">
        <v>5690</v>
      </c>
      <c r="D1719">
        <v>0</v>
      </c>
      <c r="E1719">
        <v>1</v>
      </c>
      <c r="F1719" s="1">
        <v>45882</v>
      </c>
      <c r="G1719">
        <f>_xlfn.XLOOKUP(F1719,'Wk no''s'!B:B,'Wk no''s'!C:C,0)</f>
        <v>33</v>
      </c>
    </row>
    <row r="1720" spans="1:7" x14ac:dyDescent="0.3">
      <c r="A1720" t="s">
        <v>5718</v>
      </c>
      <c r="B1720" t="s">
        <v>5719</v>
      </c>
      <c r="C1720" t="s">
        <v>5720</v>
      </c>
      <c r="D1720">
        <v>29</v>
      </c>
      <c r="E1720">
        <v>0</v>
      </c>
      <c r="F1720" s="1">
        <v>45882</v>
      </c>
      <c r="G1720">
        <f>_xlfn.XLOOKUP(F1720,'Wk no''s'!B:B,'Wk no''s'!C:C,0)</f>
        <v>33</v>
      </c>
    </row>
    <row r="1721" spans="1:7" x14ac:dyDescent="0.3">
      <c r="A1721" t="s">
        <v>5721</v>
      </c>
      <c r="B1721" t="s">
        <v>5722</v>
      </c>
      <c r="C1721" t="s">
        <v>1224</v>
      </c>
      <c r="D1721">
        <v>0</v>
      </c>
      <c r="E1721">
        <v>1</v>
      </c>
      <c r="F1721" s="1">
        <v>45882</v>
      </c>
      <c r="G1721">
        <f>_xlfn.XLOOKUP(F1721,'Wk no''s'!B:B,'Wk no''s'!C:C,0)</f>
        <v>33</v>
      </c>
    </row>
    <row r="1722" spans="1:7" x14ac:dyDescent="0.3">
      <c r="A1722" t="s">
        <v>5723</v>
      </c>
      <c r="B1722" t="s">
        <v>5724</v>
      </c>
      <c r="C1722" t="s">
        <v>432</v>
      </c>
      <c r="D1722">
        <v>0</v>
      </c>
      <c r="E1722">
        <v>1</v>
      </c>
      <c r="F1722" s="1">
        <v>45882</v>
      </c>
      <c r="G1722">
        <f>_xlfn.XLOOKUP(F1722,'Wk no''s'!B:B,'Wk no''s'!C:C,0)</f>
        <v>33</v>
      </c>
    </row>
    <row r="1723" spans="1:7" x14ac:dyDescent="0.3">
      <c r="A1723" t="s">
        <v>5725</v>
      </c>
      <c r="B1723" t="s">
        <v>5726</v>
      </c>
      <c r="C1723" t="s">
        <v>4244</v>
      </c>
      <c r="D1723">
        <v>0</v>
      </c>
      <c r="E1723">
        <v>1</v>
      </c>
      <c r="F1723" s="1">
        <v>45882</v>
      </c>
      <c r="G1723">
        <f>_xlfn.XLOOKUP(F1723,'Wk no''s'!B:B,'Wk no''s'!C:C,0)</f>
        <v>33</v>
      </c>
    </row>
    <row r="1724" spans="1:7" x14ac:dyDescent="0.3">
      <c r="A1724" t="s">
        <v>5727</v>
      </c>
      <c r="B1724" t="s">
        <v>5728</v>
      </c>
      <c r="C1724" t="s">
        <v>4244</v>
      </c>
      <c r="D1724">
        <v>0</v>
      </c>
      <c r="E1724">
        <v>1</v>
      </c>
      <c r="F1724" s="1">
        <v>45882</v>
      </c>
      <c r="G1724">
        <f>_xlfn.XLOOKUP(F1724,'Wk no''s'!B:B,'Wk no''s'!C:C,0)</f>
        <v>33</v>
      </c>
    </row>
    <row r="1725" spans="1:7" x14ac:dyDescent="0.3">
      <c r="A1725" t="s">
        <v>5729</v>
      </c>
      <c r="B1725" t="s">
        <v>5730</v>
      </c>
      <c r="C1725" t="s">
        <v>4244</v>
      </c>
      <c r="D1725">
        <v>0</v>
      </c>
      <c r="E1725">
        <v>1</v>
      </c>
      <c r="F1725" s="1">
        <v>45882</v>
      </c>
      <c r="G1725">
        <f>_xlfn.XLOOKUP(F1725,'Wk no''s'!B:B,'Wk no''s'!C:C,0)</f>
        <v>33</v>
      </c>
    </row>
    <row r="1726" spans="1:7" x14ac:dyDescent="0.3">
      <c r="A1726" t="s">
        <v>5731</v>
      </c>
      <c r="B1726" t="s">
        <v>5732</v>
      </c>
      <c r="C1726" t="s">
        <v>4244</v>
      </c>
      <c r="D1726">
        <v>0</v>
      </c>
      <c r="E1726">
        <v>1</v>
      </c>
      <c r="F1726" s="1">
        <v>45882</v>
      </c>
      <c r="G1726">
        <f>_xlfn.XLOOKUP(F1726,'Wk no''s'!B:B,'Wk no''s'!C:C,0)</f>
        <v>33</v>
      </c>
    </row>
    <row r="1727" spans="1:7" x14ac:dyDescent="0.3">
      <c r="A1727" t="s">
        <v>5733</v>
      </c>
      <c r="B1727" t="s">
        <v>5734</v>
      </c>
      <c r="C1727" t="s">
        <v>5735</v>
      </c>
      <c r="D1727">
        <v>14</v>
      </c>
      <c r="E1727">
        <v>0</v>
      </c>
      <c r="F1727" s="1">
        <v>45883</v>
      </c>
      <c r="G1727">
        <f>_xlfn.XLOOKUP(F1727,'Wk no''s'!B:B,'Wk no''s'!C:C,0)</f>
        <v>33</v>
      </c>
    </row>
    <row r="1728" spans="1:7" x14ac:dyDescent="0.3">
      <c r="A1728" t="s">
        <v>5736</v>
      </c>
      <c r="B1728" t="s">
        <v>5737</v>
      </c>
      <c r="C1728" t="s">
        <v>5738</v>
      </c>
      <c r="D1728">
        <v>5</v>
      </c>
      <c r="E1728">
        <v>1</v>
      </c>
      <c r="F1728" s="1">
        <v>45883</v>
      </c>
      <c r="G1728">
        <f>_xlfn.XLOOKUP(F1728,'Wk no''s'!B:B,'Wk no''s'!C:C,0)</f>
        <v>33</v>
      </c>
    </row>
    <row r="1729" spans="1:7" x14ac:dyDescent="0.3">
      <c r="A1729" t="s">
        <v>5739</v>
      </c>
      <c r="B1729" t="s">
        <v>5740</v>
      </c>
      <c r="C1729" t="s">
        <v>4244</v>
      </c>
      <c r="D1729">
        <v>0</v>
      </c>
      <c r="E1729">
        <v>1</v>
      </c>
      <c r="F1729" s="1">
        <v>45883</v>
      </c>
      <c r="G1729">
        <f>_xlfn.XLOOKUP(F1729,'Wk no''s'!B:B,'Wk no''s'!C:C,0)</f>
        <v>33</v>
      </c>
    </row>
    <row r="1730" spans="1:7" x14ac:dyDescent="0.3">
      <c r="A1730" t="s">
        <v>5741</v>
      </c>
      <c r="B1730" t="s">
        <v>5742</v>
      </c>
      <c r="C1730" t="s">
        <v>5743</v>
      </c>
      <c r="D1730">
        <v>42</v>
      </c>
      <c r="E1730">
        <v>0</v>
      </c>
      <c r="F1730" s="1">
        <v>45883</v>
      </c>
      <c r="G1730">
        <f>_xlfn.XLOOKUP(F1730,'Wk no''s'!B:B,'Wk no''s'!C:C,0)</f>
        <v>33</v>
      </c>
    </row>
    <row r="1731" spans="1:7" x14ac:dyDescent="0.3">
      <c r="A1731" t="s">
        <v>5744</v>
      </c>
      <c r="B1731" t="s">
        <v>5745</v>
      </c>
      <c r="C1731" t="s">
        <v>5746</v>
      </c>
      <c r="D1731">
        <v>42</v>
      </c>
      <c r="E1731">
        <v>0</v>
      </c>
      <c r="F1731" s="1">
        <v>45883</v>
      </c>
      <c r="G1731">
        <f>_xlfn.XLOOKUP(F1731,'Wk no''s'!B:B,'Wk no''s'!C:C,0)</f>
        <v>33</v>
      </c>
    </row>
    <row r="1732" spans="1:7" x14ac:dyDescent="0.3">
      <c r="A1732" t="s">
        <v>5747</v>
      </c>
      <c r="B1732" t="s">
        <v>5748</v>
      </c>
      <c r="C1732" t="s">
        <v>5749</v>
      </c>
      <c r="D1732">
        <v>0</v>
      </c>
      <c r="E1732">
        <v>1</v>
      </c>
      <c r="F1732" s="1">
        <v>45883</v>
      </c>
      <c r="G1732">
        <f>_xlfn.XLOOKUP(F1732,'Wk no''s'!B:B,'Wk no''s'!C:C,0)</f>
        <v>33</v>
      </c>
    </row>
    <row r="1733" spans="1:7" x14ac:dyDescent="0.3">
      <c r="A1733" t="s">
        <v>5750</v>
      </c>
      <c r="B1733" t="s">
        <v>5751</v>
      </c>
      <c r="C1733" t="s">
        <v>5130</v>
      </c>
      <c r="D1733">
        <v>0</v>
      </c>
      <c r="E1733">
        <v>1</v>
      </c>
      <c r="F1733" s="1">
        <v>45884</v>
      </c>
      <c r="G1733">
        <f>_xlfn.XLOOKUP(F1733,'Wk no''s'!B:B,'Wk no''s'!C:C,0)</f>
        <v>33</v>
      </c>
    </row>
    <row r="1734" spans="1:7" x14ac:dyDescent="0.3">
      <c r="A1734" t="s">
        <v>5752</v>
      </c>
      <c r="B1734" t="s">
        <v>5753</v>
      </c>
      <c r="C1734" t="s">
        <v>1544</v>
      </c>
      <c r="D1734">
        <v>0</v>
      </c>
      <c r="E1734">
        <v>1</v>
      </c>
      <c r="F1734" s="1">
        <v>45884</v>
      </c>
      <c r="G1734">
        <f>_xlfn.XLOOKUP(F1734,'Wk no''s'!B:B,'Wk no''s'!C:C,0)</f>
        <v>33</v>
      </c>
    </row>
    <row r="1735" spans="1:7" x14ac:dyDescent="0.3">
      <c r="A1735" t="s">
        <v>5754</v>
      </c>
      <c r="B1735" t="s">
        <v>5755</v>
      </c>
      <c r="C1735" t="s">
        <v>809</v>
      </c>
      <c r="D1735">
        <v>0</v>
      </c>
      <c r="E1735">
        <v>1</v>
      </c>
      <c r="F1735" s="1">
        <v>45884</v>
      </c>
      <c r="G1735">
        <f>_xlfn.XLOOKUP(F1735,'Wk no''s'!B:B,'Wk no''s'!C:C,0)</f>
        <v>33</v>
      </c>
    </row>
    <row r="1736" spans="1:7" x14ac:dyDescent="0.3">
      <c r="A1736" t="s">
        <v>5756</v>
      </c>
      <c r="B1736" t="s">
        <v>5757</v>
      </c>
      <c r="C1736" t="s">
        <v>5758</v>
      </c>
      <c r="D1736">
        <v>0</v>
      </c>
      <c r="E1736">
        <v>1</v>
      </c>
      <c r="F1736" s="1">
        <v>45884</v>
      </c>
      <c r="G1736">
        <f>_xlfn.XLOOKUP(F1736,'Wk no''s'!B:B,'Wk no''s'!C:C,0)</f>
        <v>33</v>
      </c>
    </row>
    <row r="1737" spans="1:7" x14ac:dyDescent="0.3">
      <c r="A1737" t="s">
        <v>5785</v>
      </c>
      <c r="B1737" t="s">
        <v>5786</v>
      </c>
      <c r="C1737" t="s">
        <v>31</v>
      </c>
      <c r="D1737">
        <v>10</v>
      </c>
      <c r="E1737">
        <v>0</v>
      </c>
      <c r="F1737" s="1">
        <v>45887</v>
      </c>
      <c r="G1737">
        <f>_xlfn.XLOOKUP(F1737,'Wk no''s'!B:B,'Wk no''s'!C:C,0)</f>
        <v>34</v>
      </c>
    </row>
    <row r="1738" spans="1:7" x14ac:dyDescent="0.3">
      <c r="A1738" t="s">
        <v>5787</v>
      </c>
      <c r="B1738" t="s">
        <v>5788</v>
      </c>
      <c r="C1738" t="s">
        <v>5789</v>
      </c>
      <c r="D1738">
        <v>0</v>
      </c>
      <c r="E1738">
        <v>1</v>
      </c>
      <c r="F1738" s="1">
        <v>45887</v>
      </c>
      <c r="G1738">
        <f>_xlfn.XLOOKUP(F1738,'Wk no''s'!B:B,'Wk no''s'!C:C,0)</f>
        <v>34</v>
      </c>
    </row>
    <row r="1739" spans="1:7" x14ac:dyDescent="0.3">
      <c r="A1739" t="s">
        <v>5790</v>
      </c>
      <c r="B1739" t="s">
        <v>5791</v>
      </c>
      <c r="C1739" t="s">
        <v>1544</v>
      </c>
      <c r="D1739">
        <v>0</v>
      </c>
      <c r="E1739">
        <v>1</v>
      </c>
      <c r="F1739" s="1">
        <v>45887</v>
      </c>
      <c r="G1739">
        <f>_xlfn.XLOOKUP(F1739,'Wk no''s'!B:B,'Wk no''s'!C:C,0)</f>
        <v>34</v>
      </c>
    </row>
    <row r="1740" spans="1:7" x14ac:dyDescent="0.3">
      <c r="A1740" t="s">
        <v>5792</v>
      </c>
      <c r="B1740" t="s">
        <v>5793</v>
      </c>
      <c r="C1740" t="s">
        <v>5794</v>
      </c>
      <c r="D1740">
        <v>0</v>
      </c>
      <c r="E1740">
        <v>1</v>
      </c>
      <c r="F1740" s="1">
        <v>45887</v>
      </c>
      <c r="G1740">
        <f>_xlfn.XLOOKUP(F1740,'Wk no''s'!B:B,'Wk no''s'!C:C,0)</f>
        <v>34</v>
      </c>
    </row>
    <row r="1741" spans="1:7" x14ac:dyDescent="0.3">
      <c r="A1741" t="s">
        <v>5795</v>
      </c>
      <c r="C1741" t="s">
        <v>1224</v>
      </c>
      <c r="D1741">
        <v>0</v>
      </c>
      <c r="E1741">
        <v>1</v>
      </c>
      <c r="F1741" s="1">
        <v>45887</v>
      </c>
      <c r="G1741">
        <f>_xlfn.XLOOKUP(F1741,'Wk no''s'!B:B,'Wk no''s'!C:C,0)</f>
        <v>34</v>
      </c>
    </row>
    <row r="1742" spans="1:7" x14ac:dyDescent="0.3">
      <c r="A1742" t="s">
        <v>5796</v>
      </c>
      <c r="B1742" t="s">
        <v>5797</v>
      </c>
      <c r="C1742" t="s">
        <v>1322</v>
      </c>
      <c r="D1742">
        <v>0</v>
      </c>
      <c r="E1742">
        <v>1</v>
      </c>
      <c r="F1742" s="1">
        <v>45887</v>
      </c>
      <c r="G1742">
        <f>_xlfn.XLOOKUP(F1742,'Wk no''s'!B:B,'Wk no''s'!C:C,0)</f>
        <v>34</v>
      </c>
    </row>
    <row r="1743" spans="1:7" x14ac:dyDescent="0.3">
      <c r="A1743" t="s">
        <v>5798</v>
      </c>
      <c r="B1743" t="s">
        <v>5799</v>
      </c>
      <c r="C1743" t="s">
        <v>75</v>
      </c>
      <c r="D1743">
        <v>21</v>
      </c>
      <c r="E1743">
        <v>0</v>
      </c>
      <c r="F1743" s="1">
        <v>45887</v>
      </c>
      <c r="G1743">
        <f>_xlfn.XLOOKUP(F1743,'Wk no''s'!B:B,'Wk no''s'!C:C,0)</f>
        <v>34</v>
      </c>
    </row>
    <row r="1744" spans="1:7" x14ac:dyDescent="0.3">
      <c r="A1744" t="s">
        <v>5800</v>
      </c>
      <c r="B1744" t="s">
        <v>5801</v>
      </c>
      <c r="C1744" t="s">
        <v>1685</v>
      </c>
      <c r="D1744">
        <v>0</v>
      </c>
      <c r="E1744">
        <v>1</v>
      </c>
      <c r="F1744" s="1">
        <v>45888</v>
      </c>
      <c r="G1744">
        <f>_xlfn.XLOOKUP(F1744,'Wk no''s'!B:B,'Wk no''s'!C:C,0)</f>
        <v>34</v>
      </c>
    </row>
    <row r="1745" spans="1:7" x14ac:dyDescent="0.3">
      <c r="A1745" t="s">
        <v>5802</v>
      </c>
      <c r="B1745" t="s">
        <v>5803</v>
      </c>
      <c r="C1745" t="s">
        <v>4085</v>
      </c>
      <c r="D1745">
        <v>5</v>
      </c>
      <c r="E1745">
        <v>1</v>
      </c>
      <c r="F1745" s="1">
        <v>45888</v>
      </c>
      <c r="G1745">
        <f>_xlfn.XLOOKUP(F1745,'Wk no''s'!B:B,'Wk no''s'!C:C,0)</f>
        <v>34</v>
      </c>
    </row>
    <row r="1746" spans="1:7" x14ac:dyDescent="0.3">
      <c r="A1746" t="s">
        <v>5804</v>
      </c>
      <c r="B1746" t="s">
        <v>5805</v>
      </c>
      <c r="C1746" t="s">
        <v>5806</v>
      </c>
      <c r="D1746">
        <v>0</v>
      </c>
      <c r="E1746">
        <v>1</v>
      </c>
      <c r="F1746" s="1">
        <v>45888</v>
      </c>
      <c r="G1746">
        <f>_xlfn.XLOOKUP(F1746,'Wk no''s'!B:B,'Wk no''s'!C:C,0)</f>
        <v>34</v>
      </c>
    </row>
    <row r="1747" spans="1:7" x14ac:dyDescent="0.3">
      <c r="A1747" t="s">
        <v>5807</v>
      </c>
      <c r="B1747" t="s">
        <v>5808</v>
      </c>
      <c r="C1747" t="s">
        <v>3669</v>
      </c>
      <c r="D1747">
        <v>0</v>
      </c>
      <c r="E1747">
        <v>1</v>
      </c>
      <c r="F1747" s="1">
        <v>45888</v>
      </c>
      <c r="G1747">
        <f>_xlfn.XLOOKUP(F1747,'Wk no''s'!B:B,'Wk no''s'!C:C,0)</f>
        <v>34</v>
      </c>
    </row>
    <row r="1748" spans="1:7" x14ac:dyDescent="0.3">
      <c r="A1748" t="s">
        <v>5809</v>
      </c>
      <c r="C1748" t="s">
        <v>3669</v>
      </c>
      <c r="D1748">
        <v>0</v>
      </c>
      <c r="E1748">
        <v>1</v>
      </c>
      <c r="F1748" s="1">
        <v>45888</v>
      </c>
      <c r="G1748">
        <f>_xlfn.XLOOKUP(F1748,'Wk no''s'!B:B,'Wk no''s'!C:C,0)</f>
        <v>34</v>
      </c>
    </row>
    <row r="1749" spans="1:7" x14ac:dyDescent="0.3">
      <c r="A1749" t="s">
        <v>5810</v>
      </c>
      <c r="B1749" t="s">
        <v>5811</v>
      </c>
      <c r="C1749" t="s">
        <v>407</v>
      </c>
      <c r="D1749">
        <v>0</v>
      </c>
      <c r="E1749">
        <v>1</v>
      </c>
      <c r="F1749" s="1">
        <v>45888</v>
      </c>
      <c r="G1749">
        <f>_xlfn.XLOOKUP(F1749,'Wk no''s'!B:B,'Wk no''s'!C:C,0)</f>
        <v>34</v>
      </c>
    </row>
    <row r="1750" spans="1:7" x14ac:dyDescent="0.3">
      <c r="A1750" t="s">
        <v>5812</v>
      </c>
      <c r="B1750" t="s">
        <v>5813</v>
      </c>
      <c r="C1750" t="s">
        <v>5814</v>
      </c>
      <c r="D1750">
        <v>17</v>
      </c>
      <c r="E1750">
        <v>0</v>
      </c>
      <c r="F1750" s="1">
        <v>45888</v>
      </c>
      <c r="G1750">
        <f>_xlfn.XLOOKUP(F1750,'Wk no''s'!B:B,'Wk no''s'!C:C,0)</f>
        <v>34</v>
      </c>
    </row>
    <row r="1751" spans="1:7" x14ac:dyDescent="0.3">
      <c r="A1751" t="s">
        <v>5815</v>
      </c>
      <c r="C1751" t="s">
        <v>5816</v>
      </c>
      <c r="D1751">
        <v>41</v>
      </c>
      <c r="E1751">
        <v>0</v>
      </c>
      <c r="F1751" s="1">
        <v>45888</v>
      </c>
      <c r="G1751">
        <f>_xlfn.XLOOKUP(F1751,'Wk no''s'!B:B,'Wk no''s'!C:C,0)</f>
        <v>34</v>
      </c>
    </row>
    <row r="1752" spans="1:7" x14ac:dyDescent="0.3">
      <c r="A1752" t="s">
        <v>5817</v>
      </c>
      <c r="B1752" t="s">
        <v>5818</v>
      </c>
      <c r="C1752" t="s">
        <v>5819</v>
      </c>
      <c r="D1752">
        <v>0</v>
      </c>
      <c r="E1752">
        <v>1</v>
      </c>
      <c r="F1752" s="1">
        <v>45888</v>
      </c>
      <c r="G1752">
        <f>_xlfn.XLOOKUP(F1752,'Wk no''s'!B:B,'Wk no''s'!C:C,0)</f>
        <v>34</v>
      </c>
    </row>
    <row r="1753" spans="1:7" x14ac:dyDescent="0.3">
      <c r="A1753" t="s">
        <v>5820</v>
      </c>
      <c r="B1753" t="s">
        <v>5821</v>
      </c>
      <c r="C1753" t="s">
        <v>5398</v>
      </c>
      <c r="D1753">
        <v>0</v>
      </c>
      <c r="E1753">
        <v>1</v>
      </c>
      <c r="F1753" s="1">
        <v>45888</v>
      </c>
      <c r="G1753">
        <f>_xlfn.XLOOKUP(F1753,'Wk no''s'!B:B,'Wk no''s'!C:C,0)</f>
        <v>34</v>
      </c>
    </row>
    <row r="1754" spans="1:7" x14ac:dyDescent="0.3">
      <c r="A1754" t="s">
        <v>5822</v>
      </c>
      <c r="B1754" t="s">
        <v>5823</v>
      </c>
      <c r="C1754" t="s">
        <v>75</v>
      </c>
      <c r="D1754">
        <v>0</v>
      </c>
      <c r="E1754">
        <v>1</v>
      </c>
      <c r="F1754" s="1">
        <v>45888</v>
      </c>
      <c r="G1754">
        <f>_xlfn.XLOOKUP(F1754,'Wk no''s'!B:B,'Wk no''s'!C:C,0)</f>
        <v>34</v>
      </c>
    </row>
    <row r="1755" spans="1:7" x14ac:dyDescent="0.3">
      <c r="A1755" t="s">
        <v>5824</v>
      </c>
      <c r="B1755" t="s">
        <v>5825</v>
      </c>
      <c r="C1755" t="s">
        <v>1685</v>
      </c>
      <c r="D1755">
        <v>11</v>
      </c>
      <c r="E1755">
        <v>0</v>
      </c>
      <c r="F1755" s="1">
        <v>45888</v>
      </c>
      <c r="G1755">
        <f>_xlfn.XLOOKUP(F1755,'Wk no''s'!B:B,'Wk no''s'!C:C,0)</f>
        <v>34</v>
      </c>
    </row>
    <row r="1756" spans="1:7" x14ac:dyDescent="0.3">
      <c r="A1756" t="s">
        <v>5826</v>
      </c>
      <c r="B1756" t="s">
        <v>5827</v>
      </c>
      <c r="C1756" t="s">
        <v>3672</v>
      </c>
      <c r="D1756">
        <v>0</v>
      </c>
      <c r="E1756">
        <v>1</v>
      </c>
      <c r="F1756" s="1">
        <v>45889</v>
      </c>
      <c r="G1756">
        <f>_xlfn.XLOOKUP(F1756,'Wk no''s'!B:B,'Wk no''s'!C:C,0)</f>
        <v>34</v>
      </c>
    </row>
    <row r="1757" spans="1:7" x14ac:dyDescent="0.3">
      <c r="A1757" t="s">
        <v>5828</v>
      </c>
      <c r="B1757" t="s">
        <v>5829</v>
      </c>
      <c r="C1757" t="s">
        <v>5830</v>
      </c>
      <c r="D1757">
        <v>0</v>
      </c>
      <c r="E1757">
        <v>1</v>
      </c>
      <c r="F1757" s="1">
        <v>45889</v>
      </c>
      <c r="G1757">
        <f>_xlfn.XLOOKUP(F1757,'Wk no''s'!B:B,'Wk no''s'!C:C,0)</f>
        <v>34</v>
      </c>
    </row>
    <row r="1758" spans="1:7" x14ac:dyDescent="0.3">
      <c r="A1758" t="s">
        <v>5831</v>
      </c>
      <c r="B1758" t="s">
        <v>5832</v>
      </c>
      <c r="C1758" t="s">
        <v>5398</v>
      </c>
      <c r="D1758">
        <v>0</v>
      </c>
      <c r="E1758">
        <v>1</v>
      </c>
      <c r="F1758" s="1">
        <v>45889</v>
      </c>
      <c r="G1758">
        <f>_xlfn.XLOOKUP(F1758,'Wk no''s'!B:B,'Wk no''s'!C:C,0)</f>
        <v>34</v>
      </c>
    </row>
    <row r="1759" spans="1:7" x14ac:dyDescent="0.3">
      <c r="A1759" t="s">
        <v>5833</v>
      </c>
      <c r="B1759" t="s">
        <v>5834</v>
      </c>
      <c r="C1759" t="s">
        <v>5398</v>
      </c>
      <c r="D1759">
        <v>0</v>
      </c>
      <c r="E1759">
        <v>1</v>
      </c>
      <c r="F1759" s="1">
        <v>45889</v>
      </c>
      <c r="G1759">
        <f>_xlfn.XLOOKUP(F1759,'Wk no''s'!B:B,'Wk no''s'!C:C,0)</f>
        <v>34</v>
      </c>
    </row>
    <row r="1760" spans="1:7" x14ac:dyDescent="0.3">
      <c r="A1760" t="s">
        <v>5835</v>
      </c>
      <c r="B1760" t="s">
        <v>5836</v>
      </c>
      <c r="C1760" t="s">
        <v>5398</v>
      </c>
      <c r="D1760">
        <v>5</v>
      </c>
      <c r="E1760">
        <v>1</v>
      </c>
      <c r="F1760" s="1">
        <v>45889</v>
      </c>
      <c r="G1760">
        <f>_xlfn.XLOOKUP(F1760,'Wk no''s'!B:B,'Wk no''s'!C:C,0)</f>
        <v>34</v>
      </c>
    </row>
    <row r="1761" spans="1:7" x14ac:dyDescent="0.3">
      <c r="A1761" t="s">
        <v>5837</v>
      </c>
      <c r="B1761" t="s">
        <v>5838</v>
      </c>
      <c r="C1761" t="s">
        <v>5398</v>
      </c>
      <c r="D1761">
        <v>0</v>
      </c>
      <c r="E1761">
        <v>1</v>
      </c>
      <c r="F1761" s="1">
        <v>45889</v>
      </c>
      <c r="G1761">
        <f>_xlfn.XLOOKUP(F1761,'Wk no''s'!B:B,'Wk no''s'!C:C,0)</f>
        <v>34</v>
      </c>
    </row>
    <row r="1762" spans="1:7" x14ac:dyDescent="0.3">
      <c r="A1762" t="s">
        <v>5839</v>
      </c>
      <c r="B1762" t="s">
        <v>5840</v>
      </c>
      <c r="C1762" t="s">
        <v>5738</v>
      </c>
      <c r="D1762">
        <v>0</v>
      </c>
      <c r="E1762">
        <v>1</v>
      </c>
      <c r="F1762" s="1">
        <v>45889</v>
      </c>
      <c r="G1762">
        <f>_xlfn.XLOOKUP(F1762,'Wk no''s'!B:B,'Wk no''s'!C:C,0)</f>
        <v>34</v>
      </c>
    </row>
    <row r="1763" spans="1:7" x14ac:dyDescent="0.3">
      <c r="A1763" t="s">
        <v>5841</v>
      </c>
      <c r="B1763" t="s">
        <v>5842</v>
      </c>
      <c r="C1763" t="s">
        <v>1343</v>
      </c>
      <c r="D1763">
        <v>0</v>
      </c>
      <c r="E1763">
        <v>1</v>
      </c>
      <c r="F1763" s="1">
        <v>45889</v>
      </c>
      <c r="G1763">
        <f>_xlfn.XLOOKUP(F1763,'Wk no''s'!B:B,'Wk no''s'!C:C,0)</f>
        <v>34</v>
      </c>
    </row>
    <row r="1764" spans="1:7" x14ac:dyDescent="0.3">
      <c r="A1764" t="s">
        <v>5843</v>
      </c>
      <c r="B1764" t="s">
        <v>5844</v>
      </c>
      <c r="C1764" t="s">
        <v>5845</v>
      </c>
      <c r="D1764">
        <v>0</v>
      </c>
      <c r="E1764">
        <v>1</v>
      </c>
      <c r="F1764" s="1">
        <v>45889</v>
      </c>
      <c r="G1764">
        <f>_xlfn.XLOOKUP(F1764,'Wk no''s'!B:B,'Wk no''s'!C:C,0)</f>
        <v>34</v>
      </c>
    </row>
    <row r="1765" spans="1:7" x14ac:dyDescent="0.3">
      <c r="A1765" t="s">
        <v>5846</v>
      </c>
      <c r="B1765" t="s">
        <v>5847</v>
      </c>
      <c r="C1765" t="s">
        <v>197</v>
      </c>
      <c r="D1765">
        <v>0</v>
      </c>
      <c r="E1765">
        <v>1</v>
      </c>
      <c r="F1765" s="1">
        <v>45889</v>
      </c>
      <c r="G1765">
        <f>_xlfn.XLOOKUP(F1765,'Wk no''s'!B:B,'Wk no''s'!C:C,0)</f>
        <v>34</v>
      </c>
    </row>
    <row r="1766" spans="1:7" x14ac:dyDescent="0.3">
      <c r="A1766" t="s">
        <v>5848</v>
      </c>
      <c r="B1766" t="s">
        <v>5849</v>
      </c>
      <c r="C1766" t="s">
        <v>809</v>
      </c>
      <c r="D1766">
        <v>2</v>
      </c>
      <c r="E1766">
        <v>1</v>
      </c>
      <c r="F1766" s="1">
        <v>45889</v>
      </c>
      <c r="G1766">
        <f>_xlfn.XLOOKUP(F1766,'Wk no''s'!B:B,'Wk no''s'!C:C,0)</f>
        <v>34</v>
      </c>
    </row>
    <row r="1767" spans="1:7" x14ac:dyDescent="0.3">
      <c r="A1767" t="s">
        <v>5850</v>
      </c>
      <c r="B1767" t="s">
        <v>5851</v>
      </c>
      <c r="C1767" t="s">
        <v>3552</v>
      </c>
      <c r="D1767">
        <v>0</v>
      </c>
      <c r="E1767">
        <v>1</v>
      </c>
      <c r="F1767" s="1">
        <v>45890</v>
      </c>
      <c r="G1767">
        <f>_xlfn.XLOOKUP(F1767,'Wk no''s'!B:B,'Wk no''s'!C:C,0)</f>
        <v>34</v>
      </c>
    </row>
    <row r="1768" spans="1:7" x14ac:dyDescent="0.3">
      <c r="A1768" t="s">
        <v>5852</v>
      </c>
      <c r="B1768" t="s">
        <v>5853</v>
      </c>
      <c r="C1768" t="s">
        <v>15</v>
      </c>
      <c r="D1768">
        <v>0</v>
      </c>
      <c r="E1768">
        <v>1</v>
      </c>
      <c r="F1768" s="1">
        <v>45890</v>
      </c>
      <c r="G1768">
        <f>_xlfn.XLOOKUP(F1768,'Wk no''s'!B:B,'Wk no''s'!C:C,0)</f>
        <v>34</v>
      </c>
    </row>
    <row r="1769" spans="1:7" x14ac:dyDescent="0.3">
      <c r="A1769" t="s">
        <v>5854</v>
      </c>
      <c r="B1769" t="s">
        <v>5855</v>
      </c>
      <c r="C1769" t="s">
        <v>566</v>
      </c>
      <c r="D1769">
        <v>0</v>
      </c>
      <c r="E1769">
        <v>1</v>
      </c>
      <c r="F1769" s="1">
        <v>45890</v>
      </c>
      <c r="G1769">
        <f>_xlfn.XLOOKUP(F1769,'Wk no''s'!B:B,'Wk no''s'!C:C,0)</f>
        <v>34</v>
      </c>
    </row>
    <row r="1770" spans="1:7" x14ac:dyDescent="0.3">
      <c r="A1770" t="s">
        <v>5856</v>
      </c>
      <c r="B1770" t="s">
        <v>5857</v>
      </c>
      <c r="C1770" t="s">
        <v>5858</v>
      </c>
      <c r="D1770">
        <v>2</v>
      </c>
      <c r="E1770">
        <v>1</v>
      </c>
      <c r="F1770" s="1">
        <v>45890</v>
      </c>
      <c r="G1770">
        <f>_xlfn.XLOOKUP(F1770,'Wk no''s'!B:B,'Wk no''s'!C:C,0)</f>
        <v>34</v>
      </c>
    </row>
    <row r="1771" spans="1:7" x14ac:dyDescent="0.3">
      <c r="A1771" t="s">
        <v>5859</v>
      </c>
      <c r="B1771" t="s">
        <v>5860</v>
      </c>
      <c r="C1771" t="s">
        <v>5363</v>
      </c>
      <c r="D1771">
        <v>0</v>
      </c>
      <c r="E1771">
        <v>1</v>
      </c>
      <c r="F1771" s="1">
        <v>45890</v>
      </c>
      <c r="G1771">
        <f>_xlfn.XLOOKUP(F1771,'Wk no''s'!B:B,'Wk no''s'!C:C,0)</f>
        <v>34</v>
      </c>
    </row>
    <row r="1772" spans="1:7" x14ac:dyDescent="0.3">
      <c r="A1772" t="s">
        <v>5861</v>
      </c>
      <c r="B1772" t="s">
        <v>5862</v>
      </c>
      <c r="C1772" t="s">
        <v>5863</v>
      </c>
      <c r="D1772">
        <v>21</v>
      </c>
      <c r="E1772">
        <v>0</v>
      </c>
      <c r="F1772" s="1">
        <v>45890</v>
      </c>
      <c r="G1772">
        <f>_xlfn.XLOOKUP(F1772,'Wk no''s'!B:B,'Wk no''s'!C:C,0)</f>
        <v>34</v>
      </c>
    </row>
    <row r="1773" spans="1:7" x14ac:dyDescent="0.3">
      <c r="A1773" t="s">
        <v>5864</v>
      </c>
      <c r="B1773" t="s">
        <v>5865</v>
      </c>
      <c r="C1773" t="s">
        <v>1343</v>
      </c>
      <c r="D1773">
        <v>0</v>
      </c>
      <c r="E1773">
        <v>1</v>
      </c>
      <c r="F1773" s="1">
        <v>45890</v>
      </c>
      <c r="G1773">
        <f>_xlfn.XLOOKUP(F1773,'Wk no''s'!B:B,'Wk no''s'!C:C,0)</f>
        <v>34</v>
      </c>
    </row>
    <row r="1774" spans="1:7" x14ac:dyDescent="0.3">
      <c r="A1774" t="s">
        <v>5866</v>
      </c>
      <c r="B1774" t="s">
        <v>5867</v>
      </c>
      <c r="C1774" t="s">
        <v>5868</v>
      </c>
      <c r="D1774">
        <v>0</v>
      </c>
      <c r="E1774">
        <v>1</v>
      </c>
      <c r="F1774" s="1">
        <v>45890</v>
      </c>
      <c r="G1774">
        <f>_xlfn.XLOOKUP(F1774,'Wk no''s'!B:B,'Wk no''s'!C:C,0)</f>
        <v>34</v>
      </c>
    </row>
    <row r="1775" spans="1:7" x14ac:dyDescent="0.3">
      <c r="A1775" t="s">
        <v>5869</v>
      </c>
      <c r="B1775" t="s">
        <v>5870</v>
      </c>
      <c r="C1775" t="s">
        <v>1544</v>
      </c>
      <c r="D1775">
        <v>0</v>
      </c>
      <c r="E1775">
        <v>1</v>
      </c>
      <c r="F1775" s="1">
        <v>45891</v>
      </c>
      <c r="G1775">
        <f>_xlfn.XLOOKUP(F1775,'Wk no''s'!B:B,'Wk no''s'!C:C,0)</f>
        <v>34</v>
      </c>
    </row>
    <row r="1776" spans="1:7" x14ac:dyDescent="0.3">
      <c r="A1776" t="s">
        <v>5871</v>
      </c>
      <c r="B1776" t="s">
        <v>5872</v>
      </c>
      <c r="C1776" t="s">
        <v>3300</v>
      </c>
      <c r="D1776">
        <v>0</v>
      </c>
      <c r="E1776">
        <v>1</v>
      </c>
      <c r="F1776" s="1">
        <v>45891</v>
      </c>
      <c r="G1776">
        <f>_xlfn.XLOOKUP(F1776,'Wk no''s'!B:B,'Wk no''s'!C:C,0)</f>
        <v>34</v>
      </c>
    </row>
    <row r="1777" spans="1:7" x14ac:dyDescent="0.3">
      <c r="A1777" t="s">
        <v>5873</v>
      </c>
      <c r="B1777" t="s">
        <v>5874</v>
      </c>
      <c r="C1777" t="s">
        <v>2204</v>
      </c>
      <c r="D1777">
        <v>1</v>
      </c>
      <c r="E1777">
        <v>1</v>
      </c>
      <c r="F1777" s="1">
        <v>45891</v>
      </c>
      <c r="G1777">
        <f>_xlfn.XLOOKUP(F1777,'Wk no''s'!B:B,'Wk no''s'!C:C,0)</f>
        <v>34</v>
      </c>
    </row>
    <row r="1778" spans="1:7" x14ac:dyDescent="0.3">
      <c r="A1778" t="s">
        <v>5875</v>
      </c>
      <c r="B1778" t="s">
        <v>5876</v>
      </c>
      <c r="C1778" t="s">
        <v>5877</v>
      </c>
      <c r="D1778">
        <v>3</v>
      </c>
      <c r="E1778">
        <v>1</v>
      </c>
      <c r="F1778" s="1">
        <v>45891</v>
      </c>
      <c r="G1778">
        <f>_xlfn.XLOOKUP(F1778,'Wk no''s'!B:B,'Wk no''s'!C:C,0)</f>
        <v>34</v>
      </c>
    </row>
    <row r="1779" spans="1:7" x14ac:dyDescent="0.3">
      <c r="A1779" t="s">
        <v>5878</v>
      </c>
      <c r="B1779" t="s">
        <v>5879</v>
      </c>
      <c r="C1779" t="s">
        <v>1194</v>
      </c>
      <c r="D1779">
        <v>0</v>
      </c>
      <c r="E1779">
        <v>1</v>
      </c>
      <c r="F1779" s="1">
        <v>45891</v>
      </c>
      <c r="G1779">
        <f>_xlfn.XLOOKUP(F1779,'Wk no''s'!B:B,'Wk no''s'!C:C,0)</f>
        <v>34</v>
      </c>
    </row>
    <row r="1780" spans="1:7" x14ac:dyDescent="0.3">
      <c r="A1780" t="s">
        <v>5880</v>
      </c>
      <c r="B1780" t="s">
        <v>5881</v>
      </c>
      <c r="C1780" t="s">
        <v>5882</v>
      </c>
      <c r="D1780">
        <v>0</v>
      </c>
      <c r="E1780">
        <v>1</v>
      </c>
      <c r="F1780" s="1">
        <v>45891</v>
      </c>
      <c r="G1780">
        <f>_xlfn.XLOOKUP(F1780,'Wk no''s'!B:B,'Wk no''s'!C:C,0)</f>
        <v>34</v>
      </c>
    </row>
    <row r="1781" spans="1:7" x14ac:dyDescent="0.3">
      <c r="A1781" t="s">
        <v>5883</v>
      </c>
      <c r="B1781" t="s">
        <v>5884</v>
      </c>
      <c r="C1781" t="s">
        <v>1194</v>
      </c>
      <c r="D1781">
        <v>0</v>
      </c>
      <c r="E1781">
        <v>1</v>
      </c>
      <c r="F1781" s="1">
        <v>45891</v>
      </c>
      <c r="G1781">
        <f>_xlfn.XLOOKUP(F1781,'Wk no''s'!B:B,'Wk no''s'!C:C,0)</f>
        <v>34</v>
      </c>
    </row>
    <row r="1782" spans="1:7" x14ac:dyDescent="0.3">
      <c r="A1782" t="s">
        <v>5885</v>
      </c>
      <c r="B1782" t="s">
        <v>5886</v>
      </c>
      <c r="C1782" t="s">
        <v>5887</v>
      </c>
      <c r="D1782">
        <v>9</v>
      </c>
      <c r="E1782">
        <v>0</v>
      </c>
      <c r="F1782" s="1">
        <v>45891</v>
      </c>
      <c r="G1782">
        <f>_xlfn.XLOOKUP(F1782,'Wk no''s'!B:B,'Wk no''s'!C:C,0)</f>
        <v>34</v>
      </c>
    </row>
    <row r="1783" spans="1:7" x14ac:dyDescent="0.3">
      <c r="A1783" t="s">
        <v>5888</v>
      </c>
      <c r="B1783" t="s">
        <v>5889</v>
      </c>
      <c r="C1783" t="s">
        <v>5890</v>
      </c>
      <c r="D1783">
        <v>0</v>
      </c>
      <c r="E1783">
        <v>1</v>
      </c>
      <c r="F1783" s="1">
        <v>45891</v>
      </c>
      <c r="G1783">
        <f>_xlfn.XLOOKUP(F1783,'Wk no''s'!B:B,'Wk no''s'!C:C,0)</f>
        <v>34</v>
      </c>
    </row>
    <row r="1784" spans="1:7" x14ac:dyDescent="0.3">
      <c r="A1784" t="s">
        <v>5913</v>
      </c>
      <c r="B1784" t="s">
        <v>5914</v>
      </c>
      <c r="C1784" t="s">
        <v>5915</v>
      </c>
      <c r="D1784">
        <v>0</v>
      </c>
      <c r="E1784">
        <v>1</v>
      </c>
      <c r="F1784" s="1">
        <v>45895</v>
      </c>
      <c r="G1784">
        <f>_xlfn.XLOOKUP(F1784,'Wk no''s'!B:B,'Wk no''s'!C:C,0)</f>
        <v>35</v>
      </c>
    </row>
    <row r="1785" spans="1:7" x14ac:dyDescent="0.3">
      <c r="A1785" t="s">
        <v>5916</v>
      </c>
      <c r="B1785" t="s">
        <v>5917</v>
      </c>
      <c r="C1785" t="s">
        <v>5918</v>
      </c>
      <c r="D1785">
        <v>0</v>
      </c>
      <c r="E1785">
        <v>1</v>
      </c>
      <c r="F1785" s="1">
        <v>45895</v>
      </c>
      <c r="G1785">
        <f>_xlfn.XLOOKUP(F1785,'Wk no''s'!B:B,'Wk no''s'!C:C,0)</f>
        <v>35</v>
      </c>
    </row>
    <row r="1786" spans="1:7" x14ac:dyDescent="0.3">
      <c r="A1786" t="s">
        <v>5919</v>
      </c>
      <c r="B1786" t="s">
        <v>5920</v>
      </c>
      <c r="C1786" t="s">
        <v>5921</v>
      </c>
      <c r="D1786">
        <v>0</v>
      </c>
      <c r="E1786">
        <v>1</v>
      </c>
      <c r="F1786" s="1">
        <v>45895</v>
      </c>
      <c r="G1786">
        <f>_xlfn.XLOOKUP(F1786,'Wk no''s'!B:B,'Wk no''s'!C:C,0)</f>
        <v>35</v>
      </c>
    </row>
    <row r="1787" spans="1:7" x14ac:dyDescent="0.3">
      <c r="A1787" t="s">
        <v>5922</v>
      </c>
      <c r="B1787" t="s">
        <v>5923</v>
      </c>
      <c r="C1787" t="s">
        <v>5924</v>
      </c>
      <c r="D1787">
        <v>0</v>
      </c>
      <c r="E1787">
        <v>1</v>
      </c>
      <c r="F1787" s="1">
        <v>45895</v>
      </c>
      <c r="G1787">
        <f>_xlfn.XLOOKUP(F1787,'Wk no''s'!B:B,'Wk no''s'!C:C,0)</f>
        <v>35</v>
      </c>
    </row>
    <row r="1788" spans="1:7" x14ac:dyDescent="0.3">
      <c r="A1788" t="s">
        <v>5925</v>
      </c>
      <c r="B1788" t="s">
        <v>5926</v>
      </c>
      <c r="C1788" t="s">
        <v>5927</v>
      </c>
      <c r="D1788">
        <v>0</v>
      </c>
      <c r="E1788">
        <v>1</v>
      </c>
      <c r="F1788" s="1">
        <v>45895</v>
      </c>
      <c r="G1788">
        <f>_xlfn.XLOOKUP(F1788,'Wk no''s'!B:B,'Wk no''s'!C:C,0)</f>
        <v>35</v>
      </c>
    </row>
    <row r="1789" spans="1:7" x14ac:dyDescent="0.3">
      <c r="A1789" t="s">
        <v>5928</v>
      </c>
      <c r="B1789" t="s">
        <v>5929</v>
      </c>
      <c r="C1789" t="s">
        <v>4458</v>
      </c>
      <c r="D1789">
        <v>0</v>
      </c>
      <c r="E1789">
        <v>1</v>
      </c>
      <c r="F1789" s="1">
        <v>45895</v>
      </c>
      <c r="G1789">
        <f>_xlfn.XLOOKUP(F1789,'Wk no''s'!B:B,'Wk no''s'!C:C,0)</f>
        <v>35</v>
      </c>
    </row>
    <row r="1790" spans="1:7" x14ac:dyDescent="0.3">
      <c r="A1790" t="s">
        <v>5930</v>
      </c>
      <c r="B1790" t="s">
        <v>5931</v>
      </c>
      <c r="C1790" t="s">
        <v>4461</v>
      </c>
      <c r="D1790">
        <v>0</v>
      </c>
      <c r="E1790">
        <v>1</v>
      </c>
      <c r="F1790" s="1">
        <v>45895</v>
      </c>
      <c r="G1790">
        <f>_xlfn.XLOOKUP(F1790,'Wk no''s'!B:B,'Wk no''s'!C:C,0)</f>
        <v>35</v>
      </c>
    </row>
    <row r="1791" spans="1:7" x14ac:dyDescent="0.3">
      <c r="A1791" t="s">
        <v>5932</v>
      </c>
      <c r="B1791" t="s">
        <v>5933</v>
      </c>
      <c r="C1791" t="s">
        <v>2066</v>
      </c>
      <c r="D1791">
        <v>0</v>
      </c>
      <c r="E1791">
        <v>1</v>
      </c>
      <c r="F1791" s="1">
        <v>45895</v>
      </c>
      <c r="G1791">
        <f>_xlfn.XLOOKUP(F1791,'Wk no''s'!B:B,'Wk no''s'!C:C,0)</f>
        <v>35</v>
      </c>
    </row>
    <row r="1792" spans="1:7" x14ac:dyDescent="0.3">
      <c r="A1792" t="s">
        <v>5934</v>
      </c>
      <c r="B1792" t="s">
        <v>5935</v>
      </c>
      <c r="C1792" t="s">
        <v>4461</v>
      </c>
      <c r="D1792">
        <v>0</v>
      </c>
      <c r="E1792">
        <v>1</v>
      </c>
      <c r="F1792" s="1">
        <v>45895</v>
      </c>
      <c r="G1792">
        <f>_xlfn.XLOOKUP(F1792,'Wk no''s'!B:B,'Wk no''s'!C:C,0)</f>
        <v>35</v>
      </c>
    </row>
    <row r="1793" spans="1:7" x14ac:dyDescent="0.3">
      <c r="A1793" t="s">
        <v>5936</v>
      </c>
      <c r="B1793" t="s">
        <v>5937</v>
      </c>
      <c r="C1793" t="s">
        <v>75</v>
      </c>
      <c r="D1793">
        <v>0</v>
      </c>
      <c r="E1793">
        <v>1</v>
      </c>
      <c r="F1793" s="1">
        <v>45895</v>
      </c>
      <c r="G1793">
        <f>_xlfn.XLOOKUP(F1793,'Wk no''s'!B:B,'Wk no''s'!C:C,0)</f>
        <v>35</v>
      </c>
    </row>
    <row r="1794" spans="1:7" x14ac:dyDescent="0.3">
      <c r="A1794" t="s">
        <v>5938</v>
      </c>
      <c r="B1794" t="s">
        <v>5939</v>
      </c>
      <c r="C1794" t="s">
        <v>5940</v>
      </c>
      <c r="D1794">
        <v>0</v>
      </c>
      <c r="E1794">
        <v>1</v>
      </c>
      <c r="F1794" s="1">
        <v>45896</v>
      </c>
      <c r="G1794">
        <f>_xlfn.XLOOKUP(F1794,'Wk no''s'!B:B,'Wk no''s'!C:C,0)</f>
        <v>35</v>
      </c>
    </row>
    <row r="1795" spans="1:7" x14ac:dyDescent="0.3">
      <c r="A1795" t="s">
        <v>5941</v>
      </c>
      <c r="B1795" t="s">
        <v>5942</v>
      </c>
      <c r="C1795" t="s">
        <v>4258</v>
      </c>
      <c r="D1795">
        <v>0</v>
      </c>
      <c r="E1795">
        <v>1</v>
      </c>
      <c r="F1795" s="1">
        <v>45896</v>
      </c>
      <c r="G1795">
        <f>_xlfn.XLOOKUP(F1795,'Wk no''s'!B:B,'Wk no''s'!C:C,0)</f>
        <v>35</v>
      </c>
    </row>
    <row r="1796" spans="1:7" x14ac:dyDescent="0.3">
      <c r="A1796" t="s">
        <v>5943</v>
      </c>
      <c r="B1796" t="s">
        <v>5944</v>
      </c>
      <c r="C1796" t="s">
        <v>3981</v>
      </c>
      <c r="D1796">
        <v>0</v>
      </c>
      <c r="E1796">
        <v>1</v>
      </c>
      <c r="F1796" s="1">
        <v>45896</v>
      </c>
      <c r="G1796">
        <f>_xlfn.XLOOKUP(F1796,'Wk no''s'!B:B,'Wk no''s'!C:C,0)</f>
        <v>35</v>
      </c>
    </row>
    <row r="1797" spans="1:7" x14ac:dyDescent="0.3">
      <c r="A1797" t="s">
        <v>5945</v>
      </c>
      <c r="B1797" t="s">
        <v>5946</v>
      </c>
      <c r="C1797" t="s">
        <v>4739</v>
      </c>
      <c r="D1797">
        <v>8</v>
      </c>
      <c r="E1797">
        <v>0</v>
      </c>
      <c r="F1797" s="1">
        <v>45896</v>
      </c>
      <c r="G1797">
        <f>_xlfn.XLOOKUP(F1797,'Wk no''s'!B:B,'Wk no''s'!C:C,0)</f>
        <v>35</v>
      </c>
    </row>
    <row r="1798" spans="1:7" x14ac:dyDescent="0.3">
      <c r="A1798" t="s">
        <v>5947</v>
      </c>
      <c r="B1798" t="s">
        <v>5948</v>
      </c>
      <c r="C1798" t="s">
        <v>3177</v>
      </c>
      <c r="D1798">
        <v>1</v>
      </c>
      <c r="E1798">
        <v>1</v>
      </c>
      <c r="F1798" s="1">
        <v>45896</v>
      </c>
      <c r="G1798">
        <f>_xlfn.XLOOKUP(F1798,'Wk no''s'!B:B,'Wk no''s'!C:C,0)</f>
        <v>35</v>
      </c>
    </row>
    <row r="1799" spans="1:7" x14ac:dyDescent="0.3">
      <c r="A1799" t="s">
        <v>5949</v>
      </c>
      <c r="B1799" t="s">
        <v>5950</v>
      </c>
      <c r="C1799" t="s">
        <v>5951</v>
      </c>
      <c r="D1799">
        <v>0</v>
      </c>
      <c r="E1799">
        <v>1</v>
      </c>
      <c r="F1799" s="1">
        <v>45896</v>
      </c>
      <c r="G1799">
        <f>_xlfn.XLOOKUP(F1799,'Wk no''s'!B:B,'Wk no''s'!C:C,0)</f>
        <v>35</v>
      </c>
    </row>
    <row r="1800" spans="1:7" x14ac:dyDescent="0.3">
      <c r="A1800" t="s">
        <v>5952</v>
      </c>
      <c r="C1800" t="s">
        <v>75</v>
      </c>
      <c r="D1800">
        <v>36</v>
      </c>
      <c r="E1800">
        <v>0</v>
      </c>
      <c r="F1800" s="1">
        <v>45896</v>
      </c>
      <c r="G1800">
        <f>_xlfn.XLOOKUP(F1800,'Wk no''s'!B:B,'Wk no''s'!C:C,0)</f>
        <v>35</v>
      </c>
    </row>
    <row r="1801" spans="1:7" x14ac:dyDescent="0.3">
      <c r="A1801" t="s">
        <v>5953</v>
      </c>
      <c r="B1801" t="s">
        <v>5954</v>
      </c>
      <c r="C1801" t="s">
        <v>5955</v>
      </c>
      <c r="D1801">
        <v>0</v>
      </c>
      <c r="E1801">
        <v>1</v>
      </c>
      <c r="F1801" s="1">
        <v>45897</v>
      </c>
      <c r="G1801">
        <f>_xlfn.XLOOKUP(F1801,'Wk no''s'!B:B,'Wk no''s'!C:C,0)</f>
        <v>35</v>
      </c>
    </row>
    <row r="1802" spans="1:7" x14ac:dyDescent="0.3">
      <c r="A1802" t="s">
        <v>5956</v>
      </c>
      <c r="B1802" t="s">
        <v>5957</v>
      </c>
      <c r="C1802" t="s">
        <v>1544</v>
      </c>
      <c r="D1802">
        <v>0</v>
      </c>
      <c r="E1802">
        <v>1</v>
      </c>
      <c r="F1802" s="1">
        <v>45897</v>
      </c>
      <c r="G1802">
        <f>_xlfn.XLOOKUP(F1802,'Wk no''s'!B:B,'Wk no''s'!C:C,0)</f>
        <v>35</v>
      </c>
    </row>
    <row r="1803" spans="1:7" x14ac:dyDescent="0.3">
      <c r="A1803" t="s">
        <v>5958</v>
      </c>
      <c r="B1803" t="s">
        <v>5959</v>
      </c>
      <c r="C1803" t="s">
        <v>5960</v>
      </c>
      <c r="D1803">
        <v>18</v>
      </c>
      <c r="E1803">
        <v>0</v>
      </c>
      <c r="F1803" s="1">
        <v>45897</v>
      </c>
      <c r="G1803">
        <f>_xlfn.XLOOKUP(F1803,'Wk no''s'!B:B,'Wk no''s'!C:C,0)</f>
        <v>35</v>
      </c>
    </row>
    <row r="1804" spans="1:7" x14ac:dyDescent="0.3">
      <c r="A1804" t="s">
        <v>5961</v>
      </c>
      <c r="B1804" t="s">
        <v>5962</v>
      </c>
      <c r="C1804" t="s">
        <v>3791</v>
      </c>
      <c r="D1804">
        <v>10</v>
      </c>
      <c r="E1804">
        <v>0</v>
      </c>
      <c r="F1804" s="1">
        <v>45897</v>
      </c>
      <c r="G1804">
        <f>_xlfn.XLOOKUP(F1804,'Wk no''s'!B:B,'Wk no''s'!C:C,0)</f>
        <v>35</v>
      </c>
    </row>
    <row r="1805" spans="1:7" x14ac:dyDescent="0.3">
      <c r="A1805" t="s">
        <v>5963</v>
      </c>
      <c r="B1805" t="s">
        <v>5964</v>
      </c>
      <c r="C1805" t="s">
        <v>2159</v>
      </c>
      <c r="D1805">
        <v>0</v>
      </c>
      <c r="E1805">
        <v>1</v>
      </c>
      <c r="F1805" s="1">
        <v>45897</v>
      </c>
      <c r="G1805">
        <f>_xlfn.XLOOKUP(F1805,'Wk no''s'!B:B,'Wk no''s'!C:C,0)</f>
        <v>35</v>
      </c>
    </row>
    <row r="1806" spans="1:7" x14ac:dyDescent="0.3">
      <c r="A1806" t="s">
        <v>5965</v>
      </c>
      <c r="B1806" t="s">
        <v>5966</v>
      </c>
      <c r="C1806" t="s">
        <v>4244</v>
      </c>
      <c r="D1806">
        <v>19</v>
      </c>
      <c r="E1806">
        <v>0</v>
      </c>
      <c r="F1806" s="1">
        <v>45897</v>
      </c>
      <c r="G1806">
        <f>_xlfn.XLOOKUP(F1806,'Wk no''s'!B:B,'Wk no''s'!C:C,0)</f>
        <v>35</v>
      </c>
    </row>
    <row r="1807" spans="1:7" x14ac:dyDescent="0.3">
      <c r="A1807" t="s">
        <v>5967</v>
      </c>
      <c r="B1807" t="s">
        <v>5968</v>
      </c>
      <c r="C1807" t="s">
        <v>386</v>
      </c>
      <c r="D1807">
        <v>23</v>
      </c>
      <c r="E1807">
        <v>0</v>
      </c>
      <c r="F1807" s="1">
        <v>45897</v>
      </c>
      <c r="G1807">
        <f>_xlfn.XLOOKUP(F1807,'Wk no''s'!B:B,'Wk no''s'!C:C,0)</f>
        <v>35</v>
      </c>
    </row>
    <row r="1808" spans="1:7" x14ac:dyDescent="0.3">
      <c r="A1808" t="s">
        <v>5969</v>
      </c>
      <c r="B1808" t="s">
        <v>5970</v>
      </c>
      <c r="C1808" t="s">
        <v>5971</v>
      </c>
      <c r="D1808">
        <v>0</v>
      </c>
      <c r="E1808">
        <v>1</v>
      </c>
      <c r="F1808" s="1">
        <v>45897</v>
      </c>
      <c r="G1808">
        <f>_xlfn.XLOOKUP(F1808,'Wk no''s'!B:B,'Wk no''s'!C:C,0)</f>
        <v>35</v>
      </c>
    </row>
    <row r="1809" spans="1:7" x14ac:dyDescent="0.3">
      <c r="A1809" t="s">
        <v>5972</v>
      </c>
      <c r="B1809" t="s">
        <v>5973</v>
      </c>
      <c r="C1809" t="s">
        <v>5078</v>
      </c>
      <c r="D1809">
        <v>4</v>
      </c>
      <c r="E1809">
        <v>1</v>
      </c>
      <c r="F1809" s="1">
        <v>45897</v>
      </c>
      <c r="G1809">
        <f>_xlfn.XLOOKUP(F1809,'Wk no''s'!B:B,'Wk no''s'!C:C,0)</f>
        <v>35</v>
      </c>
    </row>
    <row r="1810" spans="1:7" x14ac:dyDescent="0.3">
      <c r="A1810" t="s">
        <v>5974</v>
      </c>
      <c r="B1810" t="s">
        <v>5975</v>
      </c>
      <c r="C1810" t="s">
        <v>2368</v>
      </c>
      <c r="D1810">
        <v>0</v>
      </c>
      <c r="E1810">
        <v>1</v>
      </c>
      <c r="F1810" s="1">
        <v>45897</v>
      </c>
      <c r="G1810">
        <f>_xlfn.XLOOKUP(F1810,'Wk no''s'!B:B,'Wk no''s'!C:C,0)</f>
        <v>35</v>
      </c>
    </row>
    <row r="1811" spans="1:7" x14ac:dyDescent="0.3">
      <c r="A1811" t="s">
        <v>5976</v>
      </c>
      <c r="B1811" t="s">
        <v>5977</v>
      </c>
      <c r="C1811" t="s">
        <v>5978</v>
      </c>
      <c r="D1811">
        <v>2</v>
      </c>
      <c r="E1811">
        <v>1</v>
      </c>
      <c r="F1811" s="1">
        <v>45897</v>
      </c>
      <c r="G1811">
        <f>_xlfn.XLOOKUP(F1811,'Wk no''s'!B:B,'Wk no''s'!C:C,0)</f>
        <v>35</v>
      </c>
    </row>
    <row r="1812" spans="1:7" x14ac:dyDescent="0.3">
      <c r="A1812" t="s">
        <v>5979</v>
      </c>
      <c r="B1812" t="s">
        <v>5980</v>
      </c>
      <c r="C1812" t="s">
        <v>5981</v>
      </c>
      <c r="D1812">
        <v>0</v>
      </c>
      <c r="E1812">
        <v>1</v>
      </c>
      <c r="F1812" s="1">
        <v>45897</v>
      </c>
      <c r="G1812">
        <f>_xlfn.XLOOKUP(F1812,'Wk no''s'!B:B,'Wk no''s'!C:C,0)</f>
        <v>35</v>
      </c>
    </row>
    <row r="1813" spans="1:7" x14ac:dyDescent="0.3">
      <c r="A1813" t="s">
        <v>5982</v>
      </c>
      <c r="B1813" t="s">
        <v>5983</v>
      </c>
      <c r="C1813" t="s">
        <v>5705</v>
      </c>
      <c r="D1813">
        <v>0</v>
      </c>
      <c r="E1813">
        <v>1</v>
      </c>
      <c r="F1813" s="1">
        <v>45898</v>
      </c>
      <c r="G1813">
        <f>_xlfn.XLOOKUP(F1813,'Wk no''s'!B:B,'Wk no''s'!C:C,0)</f>
        <v>35</v>
      </c>
    </row>
    <row r="1814" spans="1:7" x14ac:dyDescent="0.3">
      <c r="A1814" t="s">
        <v>5984</v>
      </c>
      <c r="B1814" t="s">
        <v>5985</v>
      </c>
      <c r="C1814" t="s">
        <v>3922</v>
      </c>
      <c r="D1814">
        <v>0</v>
      </c>
      <c r="E1814">
        <v>1</v>
      </c>
      <c r="F1814" s="1">
        <v>45898</v>
      </c>
      <c r="G1814">
        <f>_xlfn.XLOOKUP(F1814,'Wk no''s'!B:B,'Wk no''s'!C:C,0)</f>
        <v>35</v>
      </c>
    </row>
    <row r="1815" spans="1:7" x14ac:dyDescent="0.3">
      <c r="A1815" t="s">
        <v>5986</v>
      </c>
      <c r="B1815" t="s">
        <v>5987</v>
      </c>
      <c r="C1815" t="s">
        <v>1251</v>
      </c>
      <c r="D1815">
        <v>0</v>
      </c>
      <c r="E1815">
        <v>1</v>
      </c>
      <c r="F1815" s="1">
        <v>45898</v>
      </c>
      <c r="G1815">
        <f>_xlfn.XLOOKUP(F1815,'Wk no''s'!B:B,'Wk no''s'!C:C,0)</f>
        <v>35</v>
      </c>
    </row>
    <row r="1816" spans="1:7" x14ac:dyDescent="0.3">
      <c r="A1816" t="s">
        <v>5988</v>
      </c>
      <c r="B1816" t="s">
        <v>5989</v>
      </c>
      <c r="C1816" t="s">
        <v>1224</v>
      </c>
      <c r="D1816">
        <v>0</v>
      </c>
      <c r="E1816">
        <v>1</v>
      </c>
      <c r="F1816" s="1">
        <v>45898</v>
      </c>
      <c r="G1816">
        <f>_xlfn.XLOOKUP(F1816,'Wk no''s'!B:B,'Wk no''s'!C:C,0)</f>
        <v>35</v>
      </c>
    </row>
    <row r="1817" spans="1:7" x14ac:dyDescent="0.3">
      <c r="A1817" t="s">
        <v>5990</v>
      </c>
      <c r="B1817" t="s">
        <v>5991</v>
      </c>
      <c r="C1817" t="s">
        <v>1224</v>
      </c>
      <c r="D1817">
        <v>18</v>
      </c>
      <c r="E1817">
        <v>0</v>
      </c>
      <c r="F1817" s="1">
        <v>45898</v>
      </c>
      <c r="G1817">
        <f>_xlfn.XLOOKUP(F1817,'Wk no''s'!B:B,'Wk no''s'!C:C,0)</f>
        <v>35</v>
      </c>
    </row>
    <row r="1818" spans="1:7" x14ac:dyDescent="0.3">
      <c r="A1818" t="s">
        <v>5992</v>
      </c>
      <c r="B1818" t="s">
        <v>5993</v>
      </c>
      <c r="C1818" t="s">
        <v>2159</v>
      </c>
      <c r="D1818">
        <v>0</v>
      </c>
      <c r="E1818">
        <v>1</v>
      </c>
      <c r="F1818" s="1">
        <v>45898</v>
      </c>
      <c r="G1818">
        <f>_xlfn.XLOOKUP(F1818,'Wk no''s'!B:B,'Wk no''s'!C:C,0)</f>
        <v>35</v>
      </c>
    </row>
    <row r="1819" spans="1:7" x14ac:dyDescent="0.3">
      <c r="A1819" t="s">
        <v>5994</v>
      </c>
      <c r="B1819" t="s">
        <v>5995</v>
      </c>
      <c r="C1819" t="s">
        <v>3310</v>
      </c>
      <c r="D1819">
        <v>0</v>
      </c>
      <c r="E1819">
        <v>1</v>
      </c>
      <c r="F1819" s="1">
        <v>45898</v>
      </c>
      <c r="G1819">
        <f>_xlfn.XLOOKUP(F1819,'Wk no''s'!B:B,'Wk no''s'!C:C,0)</f>
        <v>35</v>
      </c>
    </row>
    <row r="1820" spans="1:7" x14ac:dyDescent="0.3">
      <c r="A1820" t="s">
        <v>6027</v>
      </c>
      <c r="B1820" t="s">
        <v>6028</v>
      </c>
      <c r="C1820" t="s">
        <v>5955</v>
      </c>
      <c r="D1820">
        <v>1</v>
      </c>
      <c r="E1820">
        <v>1</v>
      </c>
      <c r="F1820" s="1">
        <v>45901</v>
      </c>
      <c r="G1820">
        <f>_xlfn.XLOOKUP(F1820,'Wk no''s'!B:B,'Wk no''s'!C:C,0)</f>
        <v>36</v>
      </c>
    </row>
    <row r="1821" spans="1:7" x14ac:dyDescent="0.3">
      <c r="A1821" t="s">
        <v>6029</v>
      </c>
      <c r="B1821" t="s">
        <v>6030</v>
      </c>
      <c r="C1821" t="s">
        <v>1544</v>
      </c>
      <c r="D1821">
        <v>0</v>
      </c>
      <c r="E1821">
        <v>1</v>
      </c>
      <c r="F1821" s="1">
        <v>45901</v>
      </c>
      <c r="G1821">
        <f>_xlfn.XLOOKUP(F1821,'Wk no''s'!B:B,'Wk no''s'!C:C,0)</f>
        <v>36</v>
      </c>
    </row>
    <row r="1822" spans="1:7" x14ac:dyDescent="0.3">
      <c r="A1822" t="s">
        <v>6031</v>
      </c>
      <c r="B1822" t="s">
        <v>6032</v>
      </c>
      <c r="C1822" t="s">
        <v>1194</v>
      </c>
      <c r="D1822">
        <v>0</v>
      </c>
      <c r="E1822">
        <v>1</v>
      </c>
      <c r="F1822" s="1">
        <v>45901</v>
      </c>
      <c r="G1822">
        <f>_xlfn.XLOOKUP(F1822,'Wk no''s'!B:B,'Wk no''s'!C:C,0)</f>
        <v>36</v>
      </c>
    </row>
    <row r="1823" spans="1:7" x14ac:dyDescent="0.3">
      <c r="A1823" t="s">
        <v>6033</v>
      </c>
      <c r="B1823" t="s">
        <v>6034</v>
      </c>
      <c r="C1823" t="s">
        <v>28</v>
      </c>
      <c r="D1823">
        <v>0</v>
      </c>
      <c r="E1823">
        <v>1</v>
      </c>
      <c r="F1823" s="1">
        <v>45901</v>
      </c>
      <c r="G1823">
        <f>_xlfn.XLOOKUP(F1823,'Wk no''s'!B:B,'Wk no''s'!C:C,0)</f>
        <v>36</v>
      </c>
    </row>
    <row r="1824" spans="1:7" x14ac:dyDescent="0.3">
      <c r="A1824" t="s">
        <v>6035</v>
      </c>
      <c r="B1824" t="s">
        <v>6036</v>
      </c>
      <c r="C1824" t="s">
        <v>6037</v>
      </c>
      <c r="D1824">
        <v>8</v>
      </c>
      <c r="E1824">
        <v>0</v>
      </c>
      <c r="F1824" s="1">
        <v>45901</v>
      </c>
      <c r="G1824">
        <f>_xlfn.XLOOKUP(F1824,'Wk no''s'!B:B,'Wk no''s'!C:C,0)</f>
        <v>36</v>
      </c>
    </row>
    <row r="1825" spans="1:7" x14ac:dyDescent="0.3">
      <c r="A1825" t="s">
        <v>6038</v>
      </c>
      <c r="B1825" t="s">
        <v>6039</v>
      </c>
      <c r="C1825" t="s">
        <v>3612</v>
      </c>
      <c r="D1825">
        <v>0</v>
      </c>
      <c r="E1825">
        <v>1</v>
      </c>
      <c r="F1825" s="1">
        <v>45901</v>
      </c>
      <c r="G1825">
        <f>_xlfn.XLOOKUP(F1825,'Wk no''s'!B:B,'Wk no''s'!C:C,0)</f>
        <v>36</v>
      </c>
    </row>
    <row r="1826" spans="1:7" x14ac:dyDescent="0.3">
      <c r="A1826" t="s">
        <v>6040</v>
      </c>
      <c r="B1826" t="s">
        <v>6041</v>
      </c>
      <c r="C1826" t="s">
        <v>3832</v>
      </c>
      <c r="D1826">
        <v>0</v>
      </c>
      <c r="E1826">
        <v>1</v>
      </c>
      <c r="F1826" s="1">
        <v>45902</v>
      </c>
      <c r="G1826">
        <f>_xlfn.XLOOKUP(F1826,'Wk no''s'!B:B,'Wk no''s'!C:C,0)</f>
        <v>36</v>
      </c>
    </row>
    <row r="1827" spans="1:7" x14ac:dyDescent="0.3">
      <c r="A1827" t="s">
        <v>6042</v>
      </c>
      <c r="B1827" t="s">
        <v>6043</v>
      </c>
      <c r="C1827" t="s">
        <v>39</v>
      </c>
      <c r="D1827">
        <v>5</v>
      </c>
      <c r="E1827">
        <v>1</v>
      </c>
      <c r="F1827" s="1">
        <v>45902</v>
      </c>
      <c r="G1827">
        <f>_xlfn.XLOOKUP(F1827,'Wk no''s'!B:B,'Wk no''s'!C:C,0)</f>
        <v>36</v>
      </c>
    </row>
    <row r="1828" spans="1:7" x14ac:dyDescent="0.3">
      <c r="A1828" t="s">
        <v>6044</v>
      </c>
      <c r="B1828" t="s">
        <v>6045</v>
      </c>
      <c r="C1828" t="s">
        <v>1544</v>
      </c>
      <c r="D1828">
        <v>0</v>
      </c>
      <c r="E1828">
        <v>1</v>
      </c>
      <c r="F1828" s="1">
        <v>45902</v>
      </c>
      <c r="G1828">
        <f>_xlfn.XLOOKUP(F1828,'Wk no''s'!B:B,'Wk no''s'!C:C,0)</f>
        <v>36</v>
      </c>
    </row>
    <row r="1829" spans="1:7" x14ac:dyDescent="0.3">
      <c r="A1829" t="s">
        <v>6046</v>
      </c>
      <c r="B1829" t="s">
        <v>6047</v>
      </c>
      <c r="C1829" t="s">
        <v>197</v>
      </c>
      <c r="D1829">
        <v>9</v>
      </c>
      <c r="E1829">
        <v>0</v>
      </c>
      <c r="F1829" s="1">
        <v>45902</v>
      </c>
      <c r="G1829">
        <f>_xlfn.XLOOKUP(F1829,'Wk no''s'!B:B,'Wk no''s'!C:C,0)</f>
        <v>36</v>
      </c>
    </row>
    <row r="1830" spans="1:7" x14ac:dyDescent="0.3">
      <c r="A1830" t="s">
        <v>6048</v>
      </c>
      <c r="B1830" t="s">
        <v>6049</v>
      </c>
      <c r="C1830" t="s">
        <v>1544</v>
      </c>
      <c r="D1830">
        <v>0</v>
      </c>
      <c r="E1830">
        <v>1</v>
      </c>
      <c r="F1830" s="1">
        <v>45902</v>
      </c>
      <c r="G1830">
        <f>_xlfn.XLOOKUP(F1830,'Wk no''s'!B:B,'Wk no''s'!C:C,0)</f>
        <v>36</v>
      </c>
    </row>
    <row r="1831" spans="1:7" x14ac:dyDescent="0.3">
      <c r="A1831" t="s">
        <v>6050</v>
      </c>
      <c r="C1831" t="s">
        <v>6051</v>
      </c>
      <c r="D1831">
        <v>31</v>
      </c>
      <c r="E1831">
        <v>0</v>
      </c>
      <c r="F1831" s="1">
        <v>45902</v>
      </c>
      <c r="G1831">
        <f>_xlfn.XLOOKUP(F1831,'Wk no''s'!B:B,'Wk no''s'!C:C,0)</f>
        <v>36</v>
      </c>
    </row>
    <row r="1832" spans="1:7" x14ac:dyDescent="0.3">
      <c r="A1832" t="s">
        <v>6052</v>
      </c>
      <c r="B1832" t="s">
        <v>6053</v>
      </c>
      <c r="C1832" t="s">
        <v>6054</v>
      </c>
      <c r="D1832">
        <v>1</v>
      </c>
      <c r="E1832">
        <v>1</v>
      </c>
      <c r="F1832" s="1">
        <v>45903</v>
      </c>
      <c r="G1832">
        <f>_xlfn.XLOOKUP(F1832,'Wk no''s'!B:B,'Wk no''s'!C:C,0)</f>
        <v>36</v>
      </c>
    </row>
    <row r="1833" spans="1:7" x14ac:dyDescent="0.3">
      <c r="A1833" t="s">
        <v>6055</v>
      </c>
      <c r="B1833" t="s">
        <v>6056</v>
      </c>
      <c r="C1833" t="s">
        <v>550</v>
      </c>
      <c r="D1833">
        <v>0</v>
      </c>
      <c r="E1833">
        <v>1</v>
      </c>
      <c r="F1833" s="1">
        <v>45903</v>
      </c>
      <c r="G1833">
        <f>_xlfn.XLOOKUP(F1833,'Wk no''s'!B:B,'Wk no''s'!C:C,0)</f>
        <v>36</v>
      </c>
    </row>
    <row r="1834" spans="1:7" x14ac:dyDescent="0.3">
      <c r="A1834" t="s">
        <v>6057</v>
      </c>
      <c r="B1834" t="s">
        <v>6058</v>
      </c>
      <c r="C1834" t="s">
        <v>550</v>
      </c>
      <c r="D1834">
        <v>0</v>
      </c>
      <c r="E1834">
        <v>1</v>
      </c>
      <c r="F1834" s="1">
        <v>45903</v>
      </c>
      <c r="G1834">
        <f>_xlfn.XLOOKUP(F1834,'Wk no''s'!B:B,'Wk no''s'!C:C,0)</f>
        <v>36</v>
      </c>
    </row>
    <row r="1835" spans="1:7" x14ac:dyDescent="0.3">
      <c r="A1835" t="s">
        <v>6059</v>
      </c>
      <c r="B1835" t="s">
        <v>3831</v>
      </c>
      <c r="C1835" t="s">
        <v>3832</v>
      </c>
      <c r="D1835">
        <v>31</v>
      </c>
      <c r="E1835">
        <v>0</v>
      </c>
      <c r="F1835" s="1">
        <v>45903</v>
      </c>
      <c r="G1835">
        <f>_xlfn.XLOOKUP(F1835,'Wk no''s'!B:B,'Wk no''s'!C:C,0)</f>
        <v>36</v>
      </c>
    </row>
    <row r="1836" spans="1:7" x14ac:dyDescent="0.3">
      <c r="A1836" t="s">
        <v>6060</v>
      </c>
      <c r="B1836" t="s">
        <v>6061</v>
      </c>
      <c r="C1836" t="s">
        <v>6062</v>
      </c>
      <c r="D1836">
        <v>3</v>
      </c>
      <c r="E1836">
        <v>1</v>
      </c>
      <c r="F1836" s="1">
        <v>45903</v>
      </c>
      <c r="G1836">
        <f>_xlfn.XLOOKUP(F1836,'Wk no''s'!B:B,'Wk no''s'!C:C,0)</f>
        <v>36</v>
      </c>
    </row>
    <row r="1837" spans="1:7" x14ac:dyDescent="0.3">
      <c r="A1837" t="s">
        <v>6063</v>
      </c>
      <c r="B1837" t="s">
        <v>6064</v>
      </c>
      <c r="C1837" t="s">
        <v>6065</v>
      </c>
      <c r="D1837">
        <v>0</v>
      </c>
      <c r="E1837">
        <v>1</v>
      </c>
      <c r="F1837" s="1">
        <v>45903</v>
      </c>
      <c r="G1837">
        <f>_xlfn.XLOOKUP(F1837,'Wk no''s'!B:B,'Wk no''s'!C:C,0)</f>
        <v>36</v>
      </c>
    </row>
    <row r="1838" spans="1:7" x14ac:dyDescent="0.3">
      <c r="A1838" t="s">
        <v>6066</v>
      </c>
      <c r="B1838" t="s">
        <v>6067</v>
      </c>
      <c r="C1838" t="s">
        <v>5603</v>
      </c>
      <c r="D1838">
        <v>0</v>
      </c>
      <c r="E1838">
        <v>1</v>
      </c>
      <c r="F1838" s="1">
        <v>45903</v>
      </c>
      <c r="G1838">
        <f>_xlfn.XLOOKUP(F1838,'Wk no''s'!B:B,'Wk no''s'!C:C,0)</f>
        <v>36</v>
      </c>
    </row>
    <row r="1839" spans="1:7" x14ac:dyDescent="0.3">
      <c r="A1839" t="s">
        <v>6068</v>
      </c>
      <c r="B1839" t="s">
        <v>6069</v>
      </c>
      <c r="C1839" t="s">
        <v>1544</v>
      </c>
      <c r="D1839">
        <v>0</v>
      </c>
      <c r="E1839">
        <v>1</v>
      </c>
      <c r="F1839" s="1">
        <v>45903</v>
      </c>
      <c r="G1839">
        <f>_xlfn.XLOOKUP(F1839,'Wk no''s'!B:B,'Wk no''s'!C:C,0)</f>
        <v>36</v>
      </c>
    </row>
    <row r="1840" spans="1:7" x14ac:dyDescent="0.3">
      <c r="A1840" t="s">
        <v>6070</v>
      </c>
      <c r="B1840" t="s">
        <v>6071</v>
      </c>
      <c r="C1840" t="s">
        <v>6072</v>
      </c>
      <c r="D1840">
        <v>0</v>
      </c>
      <c r="E1840">
        <v>1</v>
      </c>
      <c r="F1840" s="1">
        <v>45903</v>
      </c>
      <c r="G1840">
        <f>_xlfn.XLOOKUP(F1840,'Wk no''s'!B:B,'Wk no''s'!C:C,0)</f>
        <v>36</v>
      </c>
    </row>
    <row r="1841" spans="1:7" x14ac:dyDescent="0.3">
      <c r="A1841" t="s">
        <v>6073</v>
      </c>
      <c r="B1841" t="s">
        <v>6074</v>
      </c>
      <c r="C1841" t="s">
        <v>6075</v>
      </c>
      <c r="D1841">
        <v>0</v>
      </c>
      <c r="E1841">
        <v>1</v>
      </c>
      <c r="F1841" s="1">
        <v>45903</v>
      </c>
      <c r="G1841">
        <f>_xlfn.XLOOKUP(F1841,'Wk no''s'!B:B,'Wk no''s'!C:C,0)</f>
        <v>36</v>
      </c>
    </row>
    <row r="1842" spans="1:7" x14ac:dyDescent="0.3">
      <c r="A1842" t="s">
        <v>6076</v>
      </c>
      <c r="B1842" t="s">
        <v>6077</v>
      </c>
      <c r="C1842" t="s">
        <v>39</v>
      </c>
      <c r="D1842">
        <v>3</v>
      </c>
      <c r="E1842">
        <v>1</v>
      </c>
      <c r="F1842" s="1">
        <v>45903</v>
      </c>
      <c r="G1842">
        <f>_xlfn.XLOOKUP(F1842,'Wk no''s'!B:B,'Wk no''s'!C:C,0)</f>
        <v>36</v>
      </c>
    </row>
    <row r="1843" spans="1:7" x14ac:dyDescent="0.3">
      <c r="A1843" t="s">
        <v>6078</v>
      </c>
      <c r="B1843" t="s">
        <v>6079</v>
      </c>
      <c r="C1843" t="s">
        <v>6080</v>
      </c>
      <c r="D1843">
        <v>0</v>
      </c>
      <c r="E1843">
        <v>1</v>
      </c>
      <c r="F1843" s="1">
        <v>45903</v>
      </c>
      <c r="G1843">
        <f>_xlfn.XLOOKUP(F1843,'Wk no''s'!B:B,'Wk no''s'!C:C,0)</f>
        <v>36</v>
      </c>
    </row>
    <row r="1844" spans="1:7" x14ac:dyDescent="0.3">
      <c r="A1844" t="s">
        <v>6081</v>
      </c>
      <c r="B1844" t="s">
        <v>6082</v>
      </c>
      <c r="C1844" t="s">
        <v>6083</v>
      </c>
      <c r="D1844">
        <v>0</v>
      </c>
      <c r="E1844">
        <v>1</v>
      </c>
      <c r="F1844" s="1">
        <v>45903</v>
      </c>
      <c r="G1844">
        <f>_xlfn.XLOOKUP(F1844,'Wk no''s'!B:B,'Wk no''s'!C:C,0)</f>
        <v>36</v>
      </c>
    </row>
    <row r="1845" spans="1:7" x14ac:dyDescent="0.3">
      <c r="A1845" t="s">
        <v>6084</v>
      </c>
      <c r="B1845" t="s">
        <v>6085</v>
      </c>
      <c r="C1845" t="s">
        <v>6086</v>
      </c>
      <c r="D1845">
        <v>20</v>
      </c>
      <c r="E1845">
        <v>0</v>
      </c>
      <c r="F1845" s="1">
        <v>45903</v>
      </c>
      <c r="G1845">
        <f>_xlfn.XLOOKUP(F1845,'Wk no''s'!B:B,'Wk no''s'!C:C,0)</f>
        <v>36</v>
      </c>
    </row>
    <row r="1846" spans="1:7" x14ac:dyDescent="0.3">
      <c r="A1846" t="s">
        <v>6087</v>
      </c>
      <c r="B1846" t="s">
        <v>6088</v>
      </c>
      <c r="C1846" t="s">
        <v>5432</v>
      </c>
      <c r="D1846">
        <v>0</v>
      </c>
      <c r="E1846">
        <v>1</v>
      </c>
      <c r="F1846" s="1">
        <v>45904</v>
      </c>
      <c r="G1846">
        <f>_xlfn.XLOOKUP(F1846,'Wk no''s'!B:B,'Wk no''s'!C:C,0)</f>
        <v>36</v>
      </c>
    </row>
    <row r="1847" spans="1:7" x14ac:dyDescent="0.3">
      <c r="A1847" t="s">
        <v>6089</v>
      </c>
      <c r="B1847" t="s">
        <v>6090</v>
      </c>
      <c r="C1847" t="s">
        <v>6091</v>
      </c>
      <c r="D1847">
        <v>0</v>
      </c>
      <c r="E1847">
        <v>1</v>
      </c>
      <c r="F1847" s="1">
        <v>45904</v>
      </c>
      <c r="G1847">
        <f>_xlfn.XLOOKUP(F1847,'Wk no''s'!B:B,'Wk no''s'!C:C,0)</f>
        <v>36</v>
      </c>
    </row>
    <row r="1848" spans="1:7" x14ac:dyDescent="0.3">
      <c r="A1848" t="s">
        <v>6092</v>
      </c>
      <c r="B1848" t="s">
        <v>6093</v>
      </c>
      <c r="C1848" t="s">
        <v>1685</v>
      </c>
      <c r="D1848">
        <v>0</v>
      </c>
      <c r="E1848">
        <v>1</v>
      </c>
      <c r="F1848" s="1">
        <v>45904</v>
      </c>
      <c r="G1848">
        <f>_xlfn.XLOOKUP(F1848,'Wk no''s'!B:B,'Wk no''s'!C:C,0)</f>
        <v>36</v>
      </c>
    </row>
    <row r="1849" spans="1:7" x14ac:dyDescent="0.3">
      <c r="A1849" t="s">
        <v>6094</v>
      </c>
      <c r="B1849" t="s">
        <v>6095</v>
      </c>
      <c r="C1849" t="s">
        <v>4621</v>
      </c>
      <c r="D1849">
        <v>2</v>
      </c>
      <c r="E1849">
        <v>1</v>
      </c>
      <c r="F1849" s="1">
        <v>45904</v>
      </c>
      <c r="G1849">
        <f>_xlfn.XLOOKUP(F1849,'Wk no''s'!B:B,'Wk no''s'!C:C,0)</f>
        <v>36</v>
      </c>
    </row>
    <row r="1850" spans="1:7" x14ac:dyDescent="0.3">
      <c r="A1850" t="s">
        <v>6096</v>
      </c>
      <c r="B1850" t="s">
        <v>6097</v>
      </c>
      <c r="C1850" t="s">
        <v>6098</v>
      </c>
      <c r="D1850">
        <v>0</v>
      </c>
      <c r="E1850">
        <v>1</v>
      </c>
      <c r="F1850" s="1">
        <v>45904</v>
      </c>
      <c r="G1850">
        <f>_xlfn.XLOOKUP(F1850,'Wk no''s'!B:B,'Wk no''s'!C:C,0)</f>
        <v>36</v>
      </c>
    </row>
    <row r="1851" spans="1:7" x14ac:dyDescent="0.3">
      <c r="A1851" t="s">
        <v>6099</v>
      </c>
      <c r="B1851" t="s">
        <v>6100</v>
      </c>
      <c r="C1851" t="s">
        <v>6101</v>
      </c>
      <c r="D1851">
        <v>0</v>
      </c>
      <c r="E1851">
        <v>1</v>
      </c>
      <c r="F1851" s="1">
        <v>45904</v>
      </c>
      <c r="G1851">
        <f>_xlfn.XLOOKUP(F1851,'Wk no''s'!B:B,'Wk no''s'!C:C,0)</f>
        <v>36</v>
      </c>
    </row>
    <row r="1852" spans="1:7" x14ac:dyDescent="0.3">
      <c r="A1852" t="s">
        <v>6102</v>
      </c>
      <c r="B1852" t="s">
        <v>6103</v>
      </c>
      <c r="C1852" t="s">
        <v>3644</v>
      </c>
      <c r="D1852">
        <v>14</v>
      </c>
      <c r="E1852">
        <v>0</v>
      </c>
      <c r="F1852" s="1">
        <v>45904</v>
      </c>
      <c r="G1852">
        <f>_xlfn.XLOOKUP(F1852,'Wk no''s'!B:B,'Wk no''s'!C:C,0)</f>
        <v>36</v>
      </c>
    </row>
    <row r="1853" spans="1:7" x14ac:dyDescent="0.3">
      <c r="A1853" t="s">
        <v>6104</v>
      </c>
      <c r="B1853" t="s">
        <v>6105</v>
      </c>
      <c r="C1853" t="s">
        <v>6072</v>
      </c>
      <c r="D1853">
        <v>0</v>
      </c>
      <c r="E1853">
        <v>1</v>
      </c>
      <c r="F1853" s="1">
        <v>45905</v>
      </c>
      <c r="G1853">
        <f>_xlfn.XLOOKUP(F1853,'Wk no''s'!B:B,'Wk no''s'!C:C,0)</f>
        <v>36</v>
      </c>
    </row>
    <row r="1854" spans="1:7" x14ac:dyDescent="0.3">
      <c r="A1854" t="s">
        <v>6106</v>
      </c>
      <c r="B1854" t="s">
        <v>6107</v>
      </c>
      <c r="C1854" t="s">
        <v>143</v>
      </c>
      <c r="D1854">
        <v>2</v>
      </c>
      <c r="E1854">
        <v>1</v>
      </c>
      <c r="F1854" s="1">
        <v>45905</v>
      </c>
      <c r="G1854">
        <f>_xlfn.XLOOKUP(F1854,'Wk no''s'!B:B,'Wk no''s'!C:C,0)</f>
        <v>36</v>
      </c>
    </row>
    <row r="1855" spans="1:7" x14ac:dyDescent="0.3">
      <c r="A1855" t="s">
        <v>6108</v>
      </c>
      <c r="B1855" t="s">
        <v>6109</v>
      </c>
      <c r="C1855" t="s">
        <v>6110</v>
      </c>
      <c r="D1855">
        <v>23</v>
      </c>
      <c r="E1855">
        <v>0</v>
      </c>
      <c r="F1855" s="1">
        <v>45905</v>
      </c>
      <c r="G1855">
        <f>_xlfn.XLOOKUP(F1855,'Wk no''s'!B:B,'Wk no''s'!C:C,0)</f>
        <v>36</v>
      </c>
    </row>
    <row r="1856" spans="1:7" x14ac:dyDescent="0.3">
      <c r="A1856" t="s">
        <v>6111</v>
      </c>
      <c r="B1856" t="s">
        <v>6112</v>
      </c>
      <c r="C1856" t="s">
        <v>6113</v>
      </c>
      <c r="D1856">
        <v>12</v>
      </c>
      <c r="E1856">
        <v>0</v>
      </c>
      <c r="F1856" s="1">
        <v>45905</v>
      </c>
      <c r="G1856">
        <f>_xlfn.XLOOKUP(F1856,'Wk no''s'!B:B,'Wk no''s'!C:C,0)</f>
        <v>36</v>
      </c>
    </row>
    <row r="1857" spans="1:7" x14ac:dyDescent="0.3">
      <c r="A1857" t="s">
        <v>6114</v>
      </c>
      <c r="B1857" t="s">
        <v>6115</v>
      </c>
      <c r="C1857" t="s">
        <v>6116</v>
      </c>
      <c r="D1857">
        <v>0</v>
      </c>
      <c r="E1857">
        <v>1</v>
      </c>
      <c r="F1857" s="1">
        <v>45905</v>
      </c>
      <c r="G1857">
        <f>_xlfn.XLOOKUP(F1857,'Wk no''s'!B:B,'Wk no''s'!C:C,0)</f>
        <v>36</v>
      </c>
    </row>
    <row r="1858" spans="1:7" x14ac:dyDescent="0.3">
      <c r="A1858" t="s">
        <v>6183</v>
      </c>
      <c r="B1858" t="s">
        <v>6184</v>
      </c>
      <c r="C1858" t="s">
        <v>6185</v>
      </c>
      <c r="D1858">
        <v>1</v>
      </c>
      <c r="E1858">
        <v>1</v>
      </c>
      <c r="F1858" s="1">
        <v>45908</v>
      </c>
      <c r="G1858">
        <f>_xlfn.XLOOKUP(F1858,'Wk no''s'!B:B,'Wk no''s'!C:C,0)</f>
        <v>37</v>
      </c>
    </row>
    <row r="1859" spans="1:7" x14ac:dyDescent="0.3">
      <c r="A1859" t="s">
        <v>6186</v>
      </c>
      <c r="B1859" t="s">
        <v>6187</v>
      </c>
      <c r="C1859" t="s">
        <v>353</v>
      </c>
      <c r="D1859">
        <v>9</v>
      </c>
      <c r="E1859">
        <v>0</v>
      </c>
      <c r="F1859" s="1">
        <v>45908</v>
      </c>
      <c r="G1859">
        <f>_xlfn.XLOOKUP(F1859,'Wk no''s'!B:B,'Wk no''s'!C:C,0)</f>
        <v>37</v>
      </c>
    </row>
    <row r="1860" spans="1:7" x14ac:dyDescent="0.3">
      <c r="A1860" t="s">
        <v>6188</v>
      </c>
      <c r="B1860" t="s">
        <v>6189</v>
      </c>
      <c r="C1860" t="s">
        <v>6190</v>
      </c>
      <c r="D1860">
        <v>0</v>
      </c>
      <c r="E1860">
        <v>1</v>
      </c>
      <c r="F1860" s="1">
        <v>45908</v>
      </c>
      <c r="G1860">
        <f>_xlfn.XLOOKUP(F1860,'Wk no''s'!B:B,'Wk no''s'!C:C,0)</f>
        <v>37</v>
      </c>
    </row>
    <row r="1861" spans="1:7" x14ac:dyDescent="0.3">
      <c r="A1861" t="s">
        <v>6191</v>
      </c>
      <c r="B1861" t="s">
        <v>6192</v>
      </c>
      <c r="C1861" t="s">
        <v>6193</v>
      </c>
      <c r="D1861">
        <v>12</v>
      </c>
      <c r="E1861">
        <v>0</v>
      </c>
      <c r="F1861" s="1">
        <v>45908</v>
      </c>
      <c r="G1861">
        <f>_xlfn.XLOOKUP(F1861,'Wk no''s'!B:B,'Wk no''s'!C:C,0)</f>
        <v>37</v>
      </c>
    </row>
    <row r="1862" spans="1:7" x14ac:dyDescent="0.3">
      <c r="A1862" t="s">
        <v>6194</v>
      </c>
      <c r="B1862" t="s">
        <v>6195</v>
      </c>
      <c r="C1862" t="s">
        <v>6196</v>
      </c>
      <c r="D1862">
        <v>24</v>
      </c>
      <c r="E1862">
        <v>0</v>
      </c>
      <c r="F1862" s="1">
        <v>45908</v>
      </c>
      <c r="G1862">
        <f>_xlfn.XLOOKUP(F1862,'Wk no''s'!B:B,'Wk no''s'!C:C,0)</f>
        <v>37</v>
      </c>
    </row>
    <row r="1863" spans="1:7" x14ac:dyDescent="0.3">
      <c r="A1863" t="s">
        <v>6197</v>
      </c>
      <c r="B1863" t="s">
        <v>6198</v>
      </c>
      <c r="C1863" t="s">
        <v>6199</v>
      </c>
      <c r="D1863">
        <v>8</v>
      </c>
      <c r="E1863">
        <v>0</v>
      </c>
      <c r="F1863" s="1">
        <v>45908</v>
      </c>
      <c r="G1863">
        <f>_xlfn.XLOOKUP(F1863,'Wk no''s'!B:B,'Wk no''s'!C:C,0)</f>
        <v>37</v>
      </c>
    </row>
    <row r="1864" spans="1:7" x14ac:dyDescent="0.3">
      <c r="A1864" t="s">
        <v>6200</v>
      </c>
      <c r="B1864" t="s">
        <v>6201</v>
      </c>
      <c r="C1864" t="s">
        <v>1693</v>
      </c>
      <c r="D1864">
        <v>0</v>
      </c>
      <c r="E1864">
        <v>1</v>
      </c>
      <c r="F1864" s="1">
        <v>45908</v>
      </c>
      <c r="G1864">
        <f>_xlfn.XLOOKUP(F1864,'Wk no''s'!B:B,'Wk no''s'!C:C,0)</f>
        <v>37</v>
      </c>
    </row>
    <row r="1865" spans="1:7" x14ac:dyDescent="0.3">
      <c r="A1865" t="s">
        <v>6202</v>
      </c>
      <c r="B1865" t="s">
        <v>6203</v>
      </c>
      <c r="C1865" t="s">
        <v>6204</v>
      </c>
      <c r="D1865">
        <v>0</v>
      </c>
      <c r="E1865">
        <v>1</v>
      </c>
      <c r="F1865" s="1">
        <v>45908</v>
      </c>
      <c r="G1865">
        <f>_xlfn.XLOOKUP(F1865,'Wk no''s'!B:B,'Wk no''s'!C:C,0)</f>
        <v>37</v>
      </c>
    </row>
    <row r="1866" spans="1:7" x14ac:dyDescent="0.3">
      <c r="A1866" t="s">
        <v>6205</v>
      </c>
      <c r="B1866" t="s">
        <v>6206</v>
      </c>
      <c r="C1866" t="s">
        <v>2908</v>
      </c>
      <c r="D1866">
        <v>7</v>
      </c>
      <c r="E1866">
        <v>0</v>
      </c>
      <c r="F1866" s="1">
        <v>45909</v>
      </c>
      <c r="G1866">
        <f>_xlfn.XLOOKUP(F1866,'Wk no''s'!B:B,'Wk no''s'!C:C,0)</f>
        <v>37</v>
      </c>
    </row>
    <row r="1867" spans="1:7" x14ac:dyDescent="0.3">
      <c r="A1867" t="s">
        <v>6207</v>
      </c>
      <c r="B1867" t="s">
        <v>6208</v>
      </c>
      <c r="C1867" t="s">
        <v>1117</v>
      </c>
      <c r="D1867">
        <v>0</v>
      </c>
      <c r="E1867">
        <v>1</v>
      </c>
      <c r="F1867" s="1">
        <v>45909</v>
      </c>
      <c r="G1867">
        <f>_xlfn.XLOOKUP(F1867,'Wk no''s'!B:B,'Wk no''s'!C:C,0)</f>
        <v>37</v>
      </c>
    </row>
    <row r="1868" spans="1:7" x14ac:dyDescent="0.3">
      <c r="A1868" t="s">
        <v>6209</v>
      </c>
      <c r="B1868" t="s">
        <v>6210</v>
      </c>
      <c r="C1868" t="s">
        <v>1117</v>
      </c>
      <c r="D1868">
        <v>0</v>
      </c>
      <c r="E1868">
        <v>1</v>
      </c>
      <c r="F1868" s="1">
        <v>45909</v>
      </c>
      <c r="G1868">
        <f>_xlfn.XLOOKUP(F1868,'Wk no''s'!B:B,'Wk no''s'!C:C,0)</f>
        <v>37</v>
      </c>
    </row>
    <row r="1869" spans="1:7" x14ac:dyDescent="0.3">
      <c r="A1869" t="s">
        <v>6211</v>
      </c>
      <c r="B1869" t="s">
        <v>6212</v>
      </c>
      <c r="C1869" t="s">
        <v>6213</v>
      </c>
      <c r="D1869">
        <v>28</v>
      </c>
      <c r="E1869">
        <v>0</v>
      </c>
      <c r="F1869" s="1">
        <v>45909</v>
      </c>
      <c r="G1869">
        <f>_xlfn.XLOOKUP(F1869,'Wk no''s'!B:B,'Wk no''s'!C:C,0)</f>
        <v>37</v>
      </c>
    </row>
    <row r="1870" spans="1:7" x14ac:dyDescent="0.3">
      <c r="A1870" t="s">
        <v>6214</v>
      </c>
      <c r="B1870" t="s">
        <v>6215</v>
      </c>
      <c r="C1870" t="s">
        <v>5363</v>
      </c>
      <c r="D1870">
        <v>0</v>
      </c>
      <c r="E1870">
        <v>1</v>
      </c>
      <c r="F1870" s="1">
        <v>45909</v>
      </c>
      <c r="G1870">
        <f>_xlfn.XLOOKUP(F1870,'Wk no''s'!B:B,'Wk no''s'!C:C,0)</f>
        <v>37</v>
      </c>
    </row>
    <row r="1871" spans="1:7" x14ac:dyDescent="0.3">
      <c r="A1871" t="s">
        <v>6216</v>
      </c>
      <c r="B1871" t="s">
        <v>6217</v>
      </c>
      <c r="C1871" t="s">
        <v>6218</v>
      </c>
      <c r="D1871">
        <v>0</v>
      </c>
      <c r="E1871">
        <v>1</v>
      </c>
      <c r="F1871" s="1">
        <v>45909</v>
      </c>
      <c r="G1871">
        <f>_xlfn.XLOOKUP(F1871,'Wk no''s'!B:B,'Wk no''s'!C:C,0)</f>
        <v>37</v>
      </c>
    </row>
    <row r="1872" spans="1:7" x14ac:dyDescent="0.3">
      <c r="A1872" t="s">
        <v>6219</v>
      </c>
      <c r="B1872" t="s">
        <v>6220</v>
      </c>
      <c r="C1872" t="s">
        <v>4812</v>
      </c>
      <c r="D1872">
        <v>0</v>
      </c>
      <c r="E1872">
        <v>1</v>
      </c>
      <c r="F1872" s="1">
        <v>45909</v>
      </c>
      <c r="G1872">
        <f>_xlfn.XLOOKUP(F1872,'Wk no''s'!B:B,'Wk no''s'!C:C,0)</f>
        <v>37</v>
      </c>
    </row>
    <row r="1873" spans="1:7" x14ac:dyDescent="0.3">
      <c r="A1873" t="s">
        <v>6221</v>
      </c>
      <c r="B1873" t="s">
        <v>6222</v>
      </c>
      <c r="C1873" t="s">
        <v>6223</v>
      </c>
      <c r="D1873">
        <v>23</v>
      </c>
      <c r="E1873">
        <v>0</v>
      </c>
      <c r="F1873" s="1">
        <v>45909</v>
      </c>
      <c r="G1873">
        <f>_xlfn.XLOOKUP(F1873,'Wk no''s'!B:B,'Wk no''s'!C:C,0)</f>
        <v>37</v>
      </c>
    </row>
    <row r="1874" spans="1:7" x14ac:dyDescent="0.3">
      <c r="A1874" t="s">
        <v>6224</v>
      </c>
      <c r="B1874" t="s">
        <v>6225</v>
      </c>
      <c r="C1874" t="s">
        <v>1224</v>
      </c>
      <c r="D1874">
        <v>11</v>
      </c>
      <c r="E1874">
        <v>0</v>
      </c>
      <c r="F1874" s="1">
        <v>45909</v>
      </c>
      <c r="G1874">
        <f>_xlfn.XLOOKUP(F1874,'Wk no''s'!B:B,'Wk no''s'!C:C,0)</f>
        <v>37</v>
      </c>
    </row>
    <row r="1875" spans="1:7" x14ac:dyDescent="0.3">
      <c r="A1875" t="s">
        <v>6226</v>
      </c>
      <c r="B1875" t="s">
        <v>6227</v>
      </c>
      <c r="C1875" t="s">
        <v>2840</v>
      </c>
      <c r="D1875">
        <v>0</v>
      </c>
      <c r="E1875">
        <v>1</v>
      </c>
      <c r="F1875" s="1">
        <v>45910</v>
      </c>
      <c r="G1875">
        <f>_xlfn.XLOOKUP(F1875,'Wk no''s'!B:B,'Wk no''s'!C:C,0)</f>
        <v>37</v>
      </c>
    </row>
    <row r="1876" spans="1:7" x14ac:dyDescent="0.3">
      <c r="A1876" t="s">
        <v>6228</v>
      </c>
      <c r="B1876" t="s">
        <v>6229</v>
      </c>
      <c r="C1876" t="s">
        <v>6165</v>
      </c>
      <c r="D1876">
        <v>0</v>
      </c>
      <c r="E1876">
        <v>1</v>
      </c>
      <c r="F1876" s="1">
        <v>45910</v>
      </c>
      <c r="G1876">
        <f>_xlfn.XLOOKUP(F1876,'Wk no''s'!B:B,'Wk no''s'!C:C,0)</f>
        <v>37</v>
      </c>
    </row>
    <row r="1877" spans="1:7" x14ac:dyDescent="0.3">
      <c r="A1877" t="s">
        <v>6230</v>
      </c>
      <c r="B1877" t="s">
        <v>6231</v>
      </c>
      <c r="C1877" t="s">
        <v>6165</v>
      </c>
      <c r="D1877">
        <v>0</v>
      </c>
      <c r="E1877">
        <v>1</v>
      </c>
      <c r="F1877" s="1">
        <v>45910</v>
      </c>
      <c r="G1877">
        <f>_xlfn.XLOOKUP(F1877,'Wk no''s'!B:B,'Wk no''s'!C:C,0)</f>
        <v>37</v>
      </c>
    </row>
    <row r="1878" spans="1:7" x14ac:dyDescent="0.3">
      <c r="A1878" t="s">
        <v>6232</v>
      </c>
      <c r="B1878" t="s">
        <v>6233</v>
      </c>
      <c r="C1878" t="s">
        <v>5046</v>
      </c>
      <c r="D1878">
        <v>11</v>
      </c>
      <c r="E1878">
        <v>0</v>
      </c>
      <c r="F1878" s="1">
        <v>45910</v>
      </c>
      <c r="G1878">
        <f>_xlfn.XLOOKUP(F1878,'Wk no''s'!B:B,'Wk no''s'!C:C,0)</f>
        <v>37</v>
      </c>
    </row>
    <row r="1879" spans="1:7" x14ac:dyDescent="0.3">
      <c r="A1879" t="s">
        <v>6234</v>
      </c>
      <c r="B1879" t="s">
        <v>6235</v>
      </c>
      <c r="C1879" t="s">
        <v>6236</v>
      </c>
      <c r="D1879">
        <v>1</v>
      </c>
      <c r="E1879">
        <v>1</v>
      </c>
      <c r="F1879" s="1">
        <v>45910</v>
      </c>
      <c r="G1879">
        <f>_xlfn.XLOOKUP(F1879,'Wk no''s'!B:B,'Wk no''s'!C:C,0)</f>
        <v>37</v>
      </c>
    </row>
    <row r="1880" spans="1:7" x14ac:dyDescent="0.3">
      <c r="A1880" t="s">
        <v>6237</v>
      </c>
      <c r="B1880" t="s">
        <v>6238</v>
      </c>
      <c r="C1880" t="s">
        <v>6239</v>
      </c>
      <c r="D1880">
        <v>2</v>
      </c>
      <c r="E1880">
        <v>1</v>
      </c>
      <c r="F1880" s="1">
        <v>45910</v>
      </c>
      <c r="G1880">
        <f>_xlfn.XLOOKUP(F1880,'Wk no''s'!B:B,'Wk no''s'!C:C,0)</f>
        <v>37</v>
      </c>
    </row>
    <row r="1881" spans="1:7" x14ac:dyDescent="0.3">
      <c r="A1881" t="s">
        <v>6240</v>
      </c>
      <c r="B1881" t="s">
        <v>6241</v>
      </c>
      <c r="C1881" t="s">
        <v>64</v>
      </c>
      <c r="D1881">
        <v>0</v>
      </c>
      <c r="E1881">
        <v>1</v>
      </c>
      <c r="F1881" s="1">
        <v>45910</v>
      </c>
      <c r="G1881">
        <f>_xlfn.XLOOKUP(F1881,'Wk no''s'!B:B,'Wk no''s'!C:C,0)</f>
        <v>37</v>
      </c>
    </row>
    <row r="1882" spans="1:7" x14ac:dyDescent="0.3">
      <c r="A1882" t="s">
        <v>6242</v>
      </c>
      <c r="B1882" t="s">
        <v>6243</v>
      </c>
      <c r="C1882" t="s">
        <v>2471</v>
      </c>
      <c r="D1882">
        <v>6</v>
      </c>
      <c r="E1882">
        <v>0</v>
      </c>
      <c r="F1882" s="1">
        <v>45911</v>
      </c>
      <c r="G1882">
        <f>_xlfn.XLOOKUP(F1882,'Wk no''s'!B:B,'Wk no''s'!C:C,0)</f>
        <v>37</v>
      </c>
    </row>
    <row r="1883" spans="1:7" x14ac:dyDescent="0.3">
      <c r="A1883" t="s">
        <v>6244</v>
      </c>
      <c r="B1883" t="s">
        <v>6245</v>
      </c>
      <c r="C1883" t="s">
        <v>2908</v>
      </c>
      <c r="D1883">
        <v>2</v>
      </c>
      <c r="E1883">
        <v>1</v>
      </c>
      <c r="F1883" s="1">
        <v>45911</v>
      </c>
      <c r="G1883">
        <f>_xlfn.XLOOKUP(F1883,'Wk no''s'!B:B,'Wk no''s'!C:C,0)</f>
        <v>37</v>
      </c>
    </row>
    <row r="1884" spans="1:7" x14ac:dyDescent="0.3">
      <c r="A1884" t="s">
        <v>6246</v>
      </c>
      <c r="B1884" t="s">
        <v>6247</v>
      </c>
      <c r="C1884" t="s">
        <v>6248</v>
      </c>
      <c r="D1884">
        <v>15</v>
      </c>
      <c r="E1884">
        <v>0</v>
      </c>
      <c r="F1884" s="1">
        <v>45911</v>
      </c>
      <c r="G1884">
        <f>_xlfn.XLOOKUP(F1884,'Wk no''s'!B:B,'Wk no''s'!C:C,0)</f>
        <v>37</v>
      </c>
    </row>
    <row r="1885" spans="1:7" x14ac:dyDescent="0.3">
      <c r="A1885" t="s">
        <v>6249</v>
      </c>
      <c r="B1885" t="s">
        <v>6250</v>
      </c>
      <c r="C1885" t="s">
        <v>6251</v>
      </c>
      <c r="D1885">
        <v>13</v>
      </c>
      <c r="E1885">
        <v>0</v>
      </c>
      <c r="F1885" s="1">
        <v>45911</v>
      </c>
      <c r="G1885">
        <f>_xlfn.XLOOKUP(F1885,'Wk no''s'!B:B,'Wk no''s'!C:C,0)</f>
        <v>37</v>
      </c>
    </row>
    <row r="1886" spans="1:7" x14ac:dyDescent="0.3">
      <c r="A1886" t="s">
        <v>6252</v>
      </c>
      <c r="B1886" t="s">
        <v>6253</v>
      </c>
      <c r="C1886" t="s">
        <v>6254</v>
      </c>
      <c r="D1886">
        <v>0</v>
      </c>
      <c r="E1886">
        <v>1</v>
      </c>
      <c r="F1886" s="1">
        <v>45911</v>
      </c>
      <c r="G1886">
        <f>_xlfn.XLOOKUP(F1886,'Wk no''s'!B:B,'Wk no''s'!C:C,0)</f>
        <v>37</v>
      </c>
    </row>
    <row r="1887" spans="1:7" x14ac:dyDescent="0.3">
      <c r="A1887" t="s">
        <v>6255</v>
      </c>
      <c r="B1887" t="s">
        <v>6256</v>
      </c>
      <c r="C1887" t="s">
        <v>6257</v>
      </c>
      <c r="D1887">
        <v>6</v>
      </c>
      <c r="E1887">
        <v>0</v>
      </c>
      <c r="F1887" s="1">
        <v>45911</v>
      </c>
      <c r="G1887">
        <f>_xlfn.XLOOKUP(F1887,'Wk no''s'!B:B,'Wk no''s'!C:C,0)</f>
        <v>37</v>
      </c>
    </row>
    <row r="1888" spans="1:7" x14ac:dyDescent="0.3">
      <c r="A1888" t="s">
        <v>6258</v>
      </c>
      <c r="B1888" t="s">
        <v>6259</v>
      </c>
      <c r="C1888" t="s">
        <v>6260</v>
      </c>
      <c r="D1888">
        <v>6</v>
      </c>
      <c r="E1888">
        <v>0</v>
      </c>
      <c r="F1888" s="1">
        <v>45911</v>
      </c>
      <c r="G1888">
        <f>_xlfn.XLOOKUP(F1888,'Wk no''s'!B:B,'Wk no''s'!C:C,0)</f>
        <v>37</v>
      </c>
    </row>
    <row r="1889" spans="1:7" x14ac:dyDescent="0.3">
      <c r="A1889" t="s">
        <v>6261</v>
      </c>
      <c r="B1889" t="s">
        <v>6262</v>
      </c>
      <c r="C1889" t="s">
        <v>2141</v>
      </c>
      <c r="D1889">
        <v>12</v>
      </c>
      <c r="E1889">
        <v>0</v>
      </c>
      <c r="F1889" s="1">
        <v>45911</v>
      </c>
      <c r="G1889">
        <f>_xlfn.XLOOKUP(F1889,'Wk no''s'!B:B,'Wk no''s'!C:C,0)</f>
        <v>37</v>
      </c>
    </row>
    <row r="1890" spans="1:7" x14ac:dyDescent="0.3">
      <c r="A1890" t="s">
        <v>6263</v>
      </c>
      <c r="B1890" t="s">
        <v>6264</v>
      </c>
      <c r="C1890" t="s">
        <v>6265</v>
      </c>
      <c r="D1890">
        <v>0</v>
      </c>
      <c r="E1890">
        <v>1</v>
      </c>
      <c r="F1890" s="1">
        <v>45911</v>
      </c>
      <c r="G1890">
        <f>_xlfn.XLOOKUP(F1890,'Wk no''s'!B:B,'Wk no''s'!C:C,0)</f>
        <v>37</v>
      </c>
    </row>
    <row r="1891" spans="1:7" x14ac:dyDescent="0.3">
      <c r="A1891" t="s">
        <v>6266</v>
      </c>
      <c r="B1891" t="s">
        <v>6267</v>
      </c>
      <c r="C1891" t="s">
        <v>5353</v>
      </c>
      <c r="D1891">
        <v>0</v>
      </c>
      <c r="E1891">
        <v>1</v>
      </c>
      <c r="F1891" s="1">
        <v>45911</v>
      </c>
      <c r="G1891">
        <f>_xlfn.XLOOKUP(F1891,'Wk no''s'!B:B,'Wk no''s'!C:C,0)</f>
        <v>37</v>
      </c>
    </row>
    <row r="1892" spans="1:7" x14ac:dyDescent="0.3">
      <c r="A1892" t="s">
        <v>6268</v>
      </c>
      <c r="B1892" t="s">
        <v>6269</v>
      </c>
      <c r="C1892" t="s">
        <v>6270</v>
      </c>
      <c r="D1892">
        <v>24</v>
      </c>
      <c r="E1892">
        <v>0</v>
      </c>
      <c r="F1892" s="1">
        <v>45911</v>
      </c>
      <c r="G1892">
        <f>_xlfn.XLOOKUP(F1892,'Wk no''s'!B:B,'Wk no''s'!C:C,0)</f>
        <v>37</v>
      </c>
    </row>
    <row r="1893" spans="1:7" x14ac:dyDescent="0.3">
      <c r="A1893" t="s">
        <v>6271</v>
      </c>
      <c r="B1893" t="s">
        <v>6272</v>
      </c>
      <c r="C1893" t="s">
        <v>6273</v>
      </c>
      <c r="D1893">
        <v>12</v>
      </c>
      <c r="E1893">
        <v>0</v>
      </c>
      <c r="F1893" s="1">
        <v>45911</v>
      </c>
      <c r="G1893">
        <f>_xlfn.XLOOKUP(F1893,'Wk no''s'!B:B,'Wk no''s'!C:C,0)</f>
        <v>37</v>
      </c>
    </row>
    <row r="1894" spans="1:7" x14ac:dyDescent="0.3">
      <c r="A1894" t="s">
        <v>6274</v>
      </c>
      <c r="B1894" t="s">
        <v>6275</v>
      </c>
      <c r="C1894" t="s">
        <v>3517</v>
      </c>
      <c r="D1894">
        <v>0</v>
      </c>
      <c r="E1894">
        <v>1</v>
      </c>
      <c r="F1894" s="1">
        <v>45911</v>
      </c>
      <c r="G1894">
        <f>_xlfn.XLOOKUP(F1894,'Wk no''s'!B:B,'Wk no''s'!C:C,0)</f>
        <v>37</v>
      </c>
    </row>
    <row r="1895" spans="1:7" x14ac:dyDescent="0.3">
      <c r="A1895" t="s">
        <v>6276</v>
      </c>
      <c r="B1895" t="s">
        <v>6277</v>
      </c>
      <c r="C1895" t="s">
        <v>3943</v>
      </c>
      <c r="D1895">
        <v>12</v>
      </c>
      <c r="E1895">
        <v>0</v>
      </c>
      <c r="F1895" s="1">
        <v>45911</v>
      </c>
      <c r="G1895">
        <f>_xlfn.XLOOKUP(F1895,'Wk no''s'!B:B,'Wk no''s'!C:C,0)</f>
        <v>37</v>
      </c>
    </row>
    <row r="1896" spans="1:7" x14ac:dyDescent="0.3">
      <c r="A1896" t="s">
        <v>6278</v>
      </c>
      <c r="B1896" t="s">
        <v>6279</v>
      </c>
      <c r="C1896" t="s">
        <v>4635</v>
      </c>
      <c r="D1896">
        <v>9</v>
      </c>
      <c r="E1896">
        <v>0</v>
      </c>
      <c r="F1896" s="1">
        <v>45911</v>
      </c>
      <c r="G1896">
        <f>_xlfn.XLOOKUP(F1896,'Wk no''s'!B:B,'Wk no''s'!C:C,0)</f>
        <v>37</v>
      </c>
    </row>
    <row r="1897" spans="1:7" x14ac:dyDescent="0.3">
      <c r="A1897" t="s">
        <v>6280</v>
      </c>
      <c r="B1897" t="s">
        <v>6281</v>
      </c>
      <c r="C1897" t="s">
        <v>6282</v>
      </c>
      <c r="D1897">
        <v>0</v>
      </c>
      <c r="E1897">
        <v>1</v>
      </c>
      <c r="F1897" s="1">
        <v>45912</v>
      </c>
      <c r="G1897">
        <f>_xlfn.XLOOKUP(F1897,'Wk no''s'!B:B,'Wk no''s'!C:C,0)</f>
        <v>37</v>
      </c>
    </row>
    <row r="1898" spans="1:7" x14ac:dyDescent="0.3">
      <c r="A1898" t="s">
        <v>6283</v>
      </c>
      <c r="B1898" t="s">
        <v>6284</v>
      </c>
      <c r="C1898" t="s">
        <v>6282</v>
      </c>
      <c r="D1898">
        <v>0</v>
      </c>
      <c r="E1898">
        <v>1</v>
      </c>
      <c r="F1898" s="1">
        <v>45912</v>
      </c>
      <c r="G1898">
        <f>_xlfn.XLOOKUP(F1898,'Wk no''s'!B:B,'Wk no''s'!C:C,0)</f>
        <v>37</v>
      </c>
    </row>
    <row r="1899" spans="1:7" x14ac:dyDescent="0.3">
      <c r="A1899" t="s">
        <v>6285</v>
      </c>
      <c r="B1899" t="s">
        <v>6286</v>
      </c>
      <c r="C1899" t="s">
        <v>4659</v>
      </c>
      <c r="D1899">
        <v>2</v>
      </c>
      <c r="E1899">
        <v>1</v>
      </c>
      <c r="F1899" s="1">
        <v>45912</v>
      </c>
      <c r="G1899">
        <f>_xlfn.XLOOKUP(F1899,'Wk no''s'!B:B,'Wk no''s'!C:C,0)</f>
        <v>37</v>
      </c>
    </row>
    <row r="1900" spans="1:7" x14ac:dyDescent="0.3">
      <c r="A1900" t="s">
        <v>6287</v>
      </c>
      <c r="B1900" t="s">
        <v>6288</v>
      </c>
      <c r="C1900" t="s">
        <v>6289</v>
      </c>
      <c r="D1900">
        <v>8</v>
      </c>
      <c r="E1900">
        <v>0</v>
      </c>
      <c r="F1900" s="1">
        <v>45912</v>
      </c>
      <c r="G1900">
        <f>_xlfn.XLOOKUP(F1900,'Wk no''s'!B:B,'Wk no''s'!C:C,0)</f>
        <v>37</v>
      </c>
    </row>
    <row r="1901" spans="1:7" x14ac:dyDescent="0.3">
      <c r="A1901" t="s">
        <v>6290</v>
      </c>
      <c r="B1901" t="s">
        <v>6291</v>
      </c>
      <c r="C1901" t="s">
        <v>6289</v>
      </c>
      <c r="D1901">
        <v>8</v>
      </c>
      <c r="E1901">
        <v>0</v>
      </c>
      <c r="F1901" s="1">
        <v>45912</v>
      </c>
      <c r="G1901">
        <f>_xlfn.XLOOKUP(F1901,'Wk no''s'!B:B,'Wk no''s'!C:C,0)</f>
        <v>37</v>
      </c>
    </row>
    <row r="1902" spans="1:7" x14ac:dyDescent="0.3">
      <c r="A1902" t="s">
        <v>6292</v>
      </c>
      <c r="B1902" t="s">
        <v>6293</v>
      </c>
      <c r="C1902" t="s">
        <v>6289</v>
      </c>
      <c r="D1902">
        <v>5</v>
      </c>
      <c r="E1902">
        <v>1</v>
      </c>
      <c r="F1902" s="1">
        <v>45912</v>
      </c>
      <c r="G1902">
        <f>_xlfn.XLOOKUP(F1902,'Wk no''s'!B:B,'Wk no''s'!C:C,0)</f>
        <v>37</v>
      </c>
    </row>
    <row r="1903" spans="1:7" x14ac:dyDescent="0.3">
      <c r="A1903" t="s">
        <v>6294</v>
      </c>
      <c r="B1903" t="s">
        <v>6295</v>
      </c>
      <c r="C1903" t="s">
        <v>4128</v>
      </c>
      <c r="D1903">
        <v>0</v>
      </c>
      <c r="E1903">
        <v>1</v>
      </c>
      <c r="F1903" s="1">
        <v>45912</v>
      </c>
      <c r="G1903">
        <f>_xlfn.XLOOKUP(F1903,'Wk no''s'!B:B,'Wk no''s'!C:C,0)</f>
        <v>37</v>
      </c>
    </row>
    <row r="1904" spans="1:7" x14ac:dyDescent="0.3">
      <c r="A1904" t="s">
        <v>6296</v>
      </c>
      <c r="B1904" t="s">
        <v>6297</v>
      </c>
      <c r="C1904" t="s">
        <v>5495</v>
      </c>
      <c r="D1904">
        <v>0</v>
      </c>
      <c r="E1904">
        <v>1</v>
      </c>
      <c r="F1904" s="1">
        <v>45912</v>
      </c>
      <c r="G1904">
        <f>_xlfn.XLOOKUP(F1904,'Wk no''s'!B:B,'Wk no''s'!C:C,0)</f>
        <v>37</v>
      </c>
    </row>
    <row r="1905" spans="1:7" x14ac:dyDescent="0.3">
      <c r="A1905" t="s">
        <v>6298</v>
      </c>
      <c r="B1905" t="s">
        <v>6299</v>
      </c>
      <c r="C1905" t="s">
        <v>3925</v>
      </c>
      <c r="D1905">
        <v>0</v>
      </c>
      <c r="E1905">
        <v>1</v>
      </c>
      <c r="F1905" s="1">
        <v>45915</v>
      </c>
      <c r="G1905">
        <f>_xlfn.XLOOKUP(F1905,'Wk no''s'!B:B,'Wk no''s'!C:C,0)</f>
        <v>38</v>
      </c>
    </row>
    <row r="1906" spans="1:7" x14ac:dyDescent="0.3">
      <c r="A1906" t="s">
        <v>6300</v>
      </c>
      <c r="B1906" t="s">
        <v>6301</v>
      </c>
      <c r="C1906" t="s">
        <v>6302</v>
      </c>
      <c r="D1906">
        <v>23</v>
      </c>
      <c r="E1906">
        <v>0</v>
      </c>
      <c r="F1906" s="1">
        <v>45915</v>
      </c>
      <c r="G1906">
        <f>_xlfn.XLOOKUP(F1906,'Wk no''s'!B:B,'Wk no''s'!C:C,0)</f>
        <v>38</v>
      </c>
    </row>
    <row r="1907" spans="1:7" x14ac:dyDescent="0.3">
      <c r="A1907" t="s">
        <v>6303</v>
      </c>
      <c r="B1907" t="s">
        <v>6304</v>
      </c>
      <c r="C1907" t="s">
        <v>6305</v>
      </c>
      <c r="D1907">
        <v>3</v>
      </c>
      <c r="E1907">
        <v>1</v>
      </c>
      <c r="F1907" s="1">
        <v>45915</v>
      </c>
      <c r="G1907">
        <f>_xlfn.XLOOKUP(F1907,'Wk no''s'!B:B,'Wk no''s'!C:C,0)</f>
        <v>38</v>
      </c>
    </row>
    <row r="1908" spans="1:7" x14ac:dyDescent="0.3">
      <c r="A1908" t="s">
        <v>6306</v>
      </c>
      <c r="B1908" t="s">
        <v>6307</v>
      </c>
      <c r="C1908" t="s">
        <v>6308</v>
      </c>
      <c r="D1908">
        <v>24</v>
      </c>
      <c r="E1908">
        <v>0</v>
      </c>
      <c r="F1908" s="1">
        <v>45915</v>
      </c>
      <c r="G1908">
        <f>_xlfn.XLOOKUP(F1908,'Wk no''s'!B:B,'Wk no''s'!C:C,0)</f>
        <v>38</v>
      </c>
    </row>
    <row r="1909" spans="1:7" x14ac:dyDescent="0.3">
      <c r="A1909" t="s">
        <v>6309</v>
      </c>
      <c r="B1909" t="s">
        <v>6310</v>
      </c>
      <c r="C1909" t="s">
        <v>1224</v>
      </c>
      <c r="D1909">
        <v>0</v>
      </c>
      <c r="E1909">
        <v>1</v>
      </c>
      <c r="F1909" s="1">
        <v>45915</v>
      </c>
      <c r="G1909">
        <f>_xlfn.XLOOKUP(F1909,'Wk no''s'!B:B,'Wk no''s'!C:C,0)</f>
        <v>38</v>
      </c>
    </row>
    <row r="1910" spans="1:7" x14ac:dyDescent="0.3">
      <c r="A1910" t="s">
        <v>6311</v>
      </c>
      <c r="B1910" t="s">
        <v>6312</v>
      </c>
      <c r="C1910" t="s">
        <v>254</v>
      </c>
      <c r="D1910">
        <v>0</v>
      </c>
      <c r="E1910">
        <v>1</v>
      </c>
      <c r="F1910" s="1">
        <v>45915</v>
      </c>
      <c r="G1910">
        <f>_xlfn.XLOOKUP(F1910,'Wk no''s'!B:B,'Wk no''s'!C:C,0)</f>
        <v>38</v>
      </c>
    </row>
    <row r="1911" spans="1:7" x14ac:dyDescent="0.3">
      <c r="A1911" t="s">
        <v>6313</v>
      </c>
      <c r="B1911" t="s">
        <v>6314</v>
      </c>
      <c r="C1911" t="s">
        <v>197</v>
      </c>
      <c r="D1911">
        <v>0</v>
      </c>
      <c r="E1911">
        <v>1</v>
      </c>
      <c r="F1911" s="1">
        <v>45915</v>
      </c>
      <c r="G1911">
        <f>_xlfn.XLOOKUP(F1911,'Wk no''s'!B:B,'Wk no''s'!C:C,0)</f>
        <v>38</v>
      </c>
    </row>
    <row r="1912" spans="1:7" x14ac:dyDescent="0.3">
      <c r="A1912" t="s">
        <v>6315</v>
      </c>
      <c r="B1912" t="s">
        <v>6316</v>
      </c>
      <c r="C1912" t="s">
        <v>3855</v>
      </c>
      <c r="D1912">
        <v>0</v>
      </c>
      <c r="E1912">
        <v>1</v>
      </c>
      <c r="F1912" s="1">
        <v>45916</v>
      </c>
      <c r="G1912">
        <f>_xlfn.XLOOKUP(F1912,'Wk no''s'!B:B,'Wk no''s'!C:C,0)</f>
        <v>38</v>
      </c>
    </row>
    <row r="1913" spans="1:7" x14ac:dyDescent="0.3">
      <c r="A1913" t="s">
        <v>6317</v>
      </c>
      <c r="B1913" t="s">
        <v>6318</v>
      </c>
      <c r="C1913" t="s">
        <v>2908</v>
      </c>
      <c r="D1913">
        <v>0</v>
      </c>
      <c r="E1913">
        <v>1</v>
      </c>
      <c r="F1913" s="1">
        <v>45916</v>
      </c>
      <c r="G1913">
        <f>_xlfn.XLOOKUP(F1913,'Wk no''s'!B:B,'Wk no''s'!C:C,0)</f>
        <v>38</v>
      </c>
    </row>
    <row r="1914" spans="1:7" x14ac:dyDescent="0.3">
      <c r="A1914" t="s">
        <v>6319</v>
      </c>
      <c r="B1914" t="s">
        <v>6320</v>
      </c>
      <c r="C1914" t="s">
        <v>6321</v>
      </c>
      <c r="D1914">
        <v>6</v>
      </c>
      <c r="E1914">
        <v>0</v>
      </c>
      <c r="F1914" s="1">
        <v>45916</v>
      </c>
      <c r="G1914">
        <f>_xlfn.XLOOKUP(F1914,'Wk no''s'!B:B,'Wk no''s'!C:C,0)</f>
        <v>38</v>
      </c>
    </row>
    <row r="1915" spans="1:7" x14ac:dyDescent="0.3">
      <c r="A1915" t="s">
        <v>6322</v>
      </c>
      <c r="B1915" t="s">
        <v>6323</v>
      </c>
      <c r="C1915" t="s">
        <v>4100</v>
      </c>
      <c r="D1915">
        <v>1</v>
      </c>
      <c r="E1915">
        <v>1</v>
      </c>
      <c r="F1915" s="1">
        <v>45916</v>
      </c>
      <c r="G1915">
        <f>_xlfn.XLOOKUP(F1915,'Wk no''s'!B:B,'Wk no''s'!C:C,0)</f>
        <v>38</v>
      </c>
    </row>
    <row r="1916" spans="1:7" x14ac:dyDescent="0.3">
      <c r="A1916" t="s">
        <v>6324</v>
      </c>
      <c r="B1916" t="s">
        <v>6325</v>
      </c>
      <c r="C1916" t="s">
        <v>6326</v>
      </c>
      <c r="D1916">
        <v>0</v>
      </c>
      <c r="E1916">
        <v>1</v>
      </c>
      <c r="F1916" s="1">
        <v>45916</v>
      </c>
      <c r="G1916">
        <f>_xlfn.XLOOKUP(F1916,'Wk no''s'!B:B,'Wk no''s'!C:C,0)</f>
        <v>38</v>
      </c>
    </row>
    <row r="1917" spans="1:7" x14ac:dyDescent="0.3">
      <c r="A1917" t="s">
        <v>6327</v>
      </c>
      <c r="B1917" t="s">
        <v>6328</v>
      </c>
      <c r="C1917" t="s">
        <v>6329</v>
      </c>
      <c r="D1917">
        <v>1</v>
      </c>
      <c r="E1917">
        <v>1</v>
      </c>
      <c r="F1917" s="1">
        <v>45916</v>
      </c>
      <c r="G1917">
        <f>_xlfn.XLOOKUP(F1917,'Wk no''s'!B:B,'Wk no''s'!C:C,0)</f>
        <v>38</v>
      </c>
    </row>
    <row r="1918" spans="1:7" x14ac:dyDescent="0.3">
      <c r="A1918" t="s">
        <v>6330</v>
      </c>
      <c r="B1918" t="s">
        <v>6331</v>
      </c>
      <c r="C1918" t="s">
        <v>2908</v>
      </c>
      <c r="D1918">
        <v>3</v>
      </c>
      <c r="E1918">
        <v>1</v>
      </c>
      <c r="F1918" s="1">
        <v>45916</v>
      </c>
      <c r="G1918">
        <f>_xlfn.XLOOKUP(F1918,'Wk no''s'!B:B,'Wk no''s'!C:C,0)</f>
        <v>38</v>
      </c>
    </row>
    <row r="1919" spans="1:7" x14ac:dyDescent="0.3">
      <c r="A1919" t="s">
        <v>6332</v>
      </c>
      <c r="B1919" t="s">
        <v>6333</v>
      </c>
      <c r="C1919" t="s">
        <v>6334</v>
      </c>
      <c r="D1919">
        <v>10</v>
      </c>
      <c r="E1919">
        <v>0</v>
      </c>
      <c r="F1919" s="1">
        <v>45917</v>
      </c>
      <c r="G1919">
        <f>_xlfn.XLOOKUP(F1919,'Wk no''s'!B:B,'Wk no''s'!C:C,0)</f>
        <v>38</v>
      </c>
    </row>
    <row r="1920" spans="1:7" x14ac:dyDescent="0.3">
      <c r="A1920" t="s">
        <v>6335</v>
      </c>
      <c r="B1920" t="s">
        <v>6336</v>
      </c>
      <c r="C1920" t="s">
        <v>75</v>
      </c>
      <c r="D1920">
        <v>0</v>
      </c>
      <c r="E1920">
        <v>1</v>
      </c>
      <c r="F1920" s="1">
        <v>45917</v>
      </c>
      <c r="G1920">
        <f>_xlfn.XLOOKUP(F1920,'Wk no''s'!B:B,'Wk no''s'!C:C,0)</f>
        <v>38</v>
      </c>
    </row>
    <row r="1921" spans="1:7" x14ac:dyDescent="0.3">
      <c r="A1921" t="s">
        <v>6337</v>
      </c>
      <c r="B1921" t="s">
        <v>6338</v>
      </c>
      <c r="C1921" t="s">
        <v>4194</v>
      </c>
      <c r="D1921">
        <v>1</v>
      </c>
      <c r="E1921">
        <v>1</v>
      </c>
      <c r="F1921" s="1">
        <v>45917</v>
      </c>
      <c r="G1921">
        <f>_xlfn.XLOOKUP(F1921,'Wk no''s'!B:B,'Wk no''s'!C:C,0)</f>
        <v>38</v>
      </c>
    </row>
    <row r="1922" spans="1:7" x14ac:dyDescent="0.3">
      <c r="A1922" t="s">
        <v>6339</v>
      </c>
      <c r="B1922" t="s">
        <v>6340</v>
      </c>
      <c r="C1922" t="s">
        <v>3751</v>
      </c>
      <c r="D1922">
        <v>0</v>
      </c>
      <c r="E1922">
        <v>1</v>
      </c>
      <c r="F1922" s="1">
        <v>45917</v>
      </c>
      <c r="G1922">
        <f>_xlfn.XLOOKUP(F1922,'Wk no''s'!B:B,'Wk no''s'!C:C,0)</f>
        <v>38</v>
      </c>
    </row>
    <row r="1923" spans="1:7" x14ac:dyDescent="0.3">
      <c r="A1923" t="s">
        <v>6341</v>
      </c>
      <c r="B1923" t="s">
        <v>6342</v>
      </c>
      <c r="C1923" t="s">
        <v>6343</v>
      </c>
      <c r="D1923">
        <v>0</v>
      </c>
      <c r="E1923">
        <v>1</v>
      </c>
      <c r="F1923" s="1">
        <v>45917</v>
      </c>
      <c r="G1923">
        <f>_xlfn.XLOOKUP(F1923,'Wk no''s'!B:B,'Wk no''s'!C:C,0)</f>
        <v>38</v>
      </c>
    </row>
    <row r="1924" spans="1:7" x14ac:dyDescent="0.3">
      <c r="A1924" t="s">
        <v>6344</v>
      </c>
      <c r="B1924" t="s">
        <v>6345</v>
      </c>
      <c r="C1924" t="s">
        <v>2596</v>
      </c>
      <c r="D1924">
        <v>0</v>
      </c>
      <c r="E1924">
        <v>1</v>
      </c>
      <c r="F1924" s="1">
        <v>45917</v>
      </c>
      <c r="G1924">
        <f>_xlfn.XLOOKUP(F1924,'Wk no''s'!B:B,'Wk no''s'!C:C,0)</f>
        <v>38</v>
      </c>
    </row>
    <row r="1925" spans="1:7" x14ac:dyDescent="0.3">
      <c r="A1925" t="s">
        <v>6346</v>
      </c>
      <c r="B1925" t="s">
        <v>6347</v>
      </c>
      <c r="C1925" t="s">
        <v>1685</v>
      </c>
      <c r="D1925">
        <v>0</v>
      </c>
      <c r="E1925">
        <v>1</v>
      </c>
      <c r="F1925" s="1">
        <v>45917</v>
      </c>
      <c r="G1925">
        <f>_xlfn.XLOOKUP(F1925,'Wk no''s'!B:B,'Wk no''s'!C:C,0)</f>
        <v>38</v>
      </c>
    </row>
    <row r="1926" spans="1:7" x14ac:dyDescent="0.3">
      <c r="A1926" t="s">
        <v>6348</v>
      </c>
      <c r="B1926" t="s">
        <v>6349</v>
      </c>
      <c r="C1926" t="s">
        <v>6350</v>
      </c>
      <c r="D1926">
        <v>0</v>
      </c>
      <c r="E1926">
        <v>1</v>
      </c>
      <c r="F1926" s="1">
        <v>45918</v>
      </c>
      <c r="G1926">
        <f>_xlfn.XLOOKUP(F1926,'Wk no''s'!B:B,'Wk no''s'!C:C,0)</f>
        <v>38</v>
      </c>
    </row>
    <row r="1927" spans="1:7" x14ac:dyDescent="0.3">
      <c r="A1927" t="s">
        <v>6351</v>
      </c>
      <c r="B1927" t="s">
        <v>6352</v>
      </c>
      <c r="C1927" t="s">
        <v>2855</v>
      </c>
      <c r="D1927">
        <v>10</v>
      </c>
      <c r="E1927">
        <v>0</v>
      </c>
      <c r="F1927" s="1">
        <v>45918</v>
      </c>
      <c r="G1927">
        <f>_xlfn.XLOOKUP(F1927,'Wk no''s'!B:B,'Wk no''s'!C:C,0)</f>
        <v>38</v>
      </c>
    </row>
    <row r="1928" spans="1:7" x14ac:dyDescent="0.3">
      <c r="A1928" t="s">
        <v>6353</v>
      </c>
      <c r="B1928" t="s">
        <v>6354</v>
      </c>
      <c r="C1928" t="s">
        <v>3462</v>
      </c>
      <c r="D1928">
        <v>19</v>
      </c>
      <c r="E1928">
        <v>0</v>
      </c>
      <c r="F1928" s="1">
        <v>45918</v>
      </c>
      <c r="G1928">
        <f>_xlfn.XLOOKUP(F1928,'Wk no''s'!B:B,'Wk no''s'!C:C,0)</f>
        <v>38</v>
      </c>
    </row>
    <row r="1929" spans="1:7" x14ac:dyDescent="0.3">
      <c r="A1929" t="s">
        <v>6355</v>
      </c>
      <c r="B1929" t="s">
        <v>6356</v>
      </c>
      <c r="C1929" t="s">
        <v>3855</v>
      </c>
      <c r="D1929">
        <v>0</v>
      </c>
      <c r="E1929">
        <v>1</v>
      </c>
      <c r="F1929" s="1">
        <v>45918</v>
      </c>
      <c r="G1929">
        <f>_xlfn.XLOOKUP(F1929,'Wk no''s'!B:B,'Wk no''s'!C:C,0)</f>
        <v>38</v>
      </c>
    </row>
    <row r="1930" spans="1:7" x14ac:dyDescent="0.3">
      <c r="A1930" t="s">
        <v>6357</v>
      </c>
      <c r="B1930" t="s">
        <v>6358</v>
      </c>
      <c r="C1930" t="s">
        <v>2421</v>
      </c>
      <c r="D1930">
        <v>0</v>
      </c>
      <c r="E1930">
        <v>1</v>
      </c>
      <c r="F1930" s="1">
        <v>45918</v>
      </c>
      <c r="G1930">
        <f>_xlfn.XLOOKUP(F1930,'Wk no''s'!B:B,'Wk no''s'!C:C,0)</f>
        <v>38</v>
      </c>
    </row>
    <row r="1931" spans="1:7" x14ac:dyDescent="0.3">
      <c r="A1931" t="s">
        <v>6359</v>
      </c>
      <c r="B1931" t="s">
        <v>6360</v>
      </c>
      <c r="C1931" t="s">
        <v>5379</v>
      </c>
      <c r="D1931">
        <v>0</v>
      </c>
      <c r="E1931">
        <v>1</v>
      </c>
      <c r="F1931" s="1">
        <v>45918</v>
      </c>
      <c r="G1931">
        <f>_xlfn.XLOOKUP(F1931,'Wk no''s'!B:B,'Wk no''s'!C:C,0)</f>
        <v>38</v>
      </c>
    </row>
    <row r="1932" spans="1:7" x14ac:dyDescent="0.3">
      <c r="A1932" t="s">
        <v>6361</v>
      </c>
      <c r="B1932" t="s">
        <v>6362</v>
      </c>
      <c r="C1932" t="s">
        <v>2471</v>
      </c>
      <c r="D1932">
        <v>3</v>
      </c>
      <c r="E1932">
        <v>1</v>
      </c>
      <c r="F1932" s="1">
        <v>45919</v>
      </c>
      <c r="G1932">
        <f>_xlfn.XLOOKUP(F1932,'Wk no''s'!B:B,'Wk no''s'!C:C,0)</f>
        <v>38</v>
      </c>
    </row>
    <row r="1933" spans="1:7" x14ac:dyDescent="0.3">
      <c r="A1933" t="s">
        <v>6363</v>
      </c>
      <c r="B1933" t="s">
        <v>6364</v>
      </c>
      <c r="C1933" t="s">
        <v>5182</v>
      </c>
      <c r="D1933">
        <v>1</v>
      </c>
      <c r="E1933">
        <v>1</v>
      </c>
      <c r="F1933" s="1">
        <v>45919</v>
      </c>
      <c r="G1933">
        <f>_xlfn.XLOOKUP(F1933,'Wk no''s'!B:B,'Wk no''s'!C:C,0)</f>
        <v>38</v>
      </c>
    </row>
    <row r="1934" spans="1:7" x14ac:dyDescent="0.3">
      <c r="A1934" t="s">
        <v>6365</v>
      </c>
      <c r="B1934" t="s">
        <v>6366</v>
      </c>
      <c r="C1934" t="s">
        <v>3669</v>
      </c>
      <c r="D1934">
        <v>0</v>
      </c>
      <c r="E1934">
        <v>1</v>
      </c>
      <c r="F1934" s="1">
        <v>45919</v>
      </c>
      <c r="G1934">
        <f>_xlfn.XLOOKUP(F1934,'Wk no''s'!B:B,'Wk no''s'!C:C,0)</f>
        <v>38</v>
      </c>
    </row>
    <row r="1935" spans="1:7" x14ac:dyDescent="0.3">
      <c r="A1935" t="s">
        <v>6367</v>
      </c>
      <c r="B1935" t="s">
        <v>6368</v>
      </c>
      <c r="C1935" t="s">
        <v>6369</v>
      </c>
      <c r="D1935">
        <v>0</v>
      </c>
      <c r="E1935">
        <v>1</v>
      </c>
      <c r="F1935" s="1">
        <v>45919</v>
      </c>
      <c r="G1935">
        <f>_xlfn.XLOOKUP(F1935,'Wk no''s'!B:B,'Wk no''s'!C:C,0)</f>
        <v>38</v>
      </c>
    </row>
    <row r="1936" spans="1:7" x14ac:dyDescent="0.3">
      <c r="A1936" t="s">
        <v>6455</v>
      </c>
      <c r="B1936" t="s">
        <v>6456</v>
      </c>
      <c r="C1936" t="s">
        <v>3199</v>
      </c>
      <c r="D1936">
        <v>12</v>
      </c>
      <c r="E1936">
        <v>0</v>
      </c>
      <c r="F1936" s="1">
        <v>45922</v>
      </c>
      <c r="G1936">
        <f>_xlfn.XLOOKUP(F1936,'Wk no''s'!B:B,'Wk no''s'!C:C,0)</f>
        <v>39</v>
      </c>
    </row>
    <row r="1937" spans="1:7" x14ac:dyDescent="0.3">
      <c r="A1937" t="s">
        <v>6457</v>
      </c>
      <c r="B1937" t="s">
        <v>6458</v>
      </c>
      <c r="C1937" t="s">
        <v>3544</v>
      </c>
      <c r="D1937">
        <v>0</v>
      </c>
      <c r="E1937">
        <v>1</v>
      </c>
      <c r="F1937" s="1">
        <v>45922</v>
      </c>
      <c r="G1937">
        <f>_xlfn.XLOOKUP(F1937,'Wk no''s'!B:B,'Wk no''s'!C:C,0)</f>
        <v>39</v>
      </c>
    </row>
    <row r="1938" spans="1:7" x14ac:dyDescent="0.3">
      <c r="A1938" t="s">
        <v>6459</v>
      </c>
      <c r="B1938" t="s">
        <v>6460</v>
      </c>
      <c r="C1938" t="s">
        <v>6461</v>
      </c>
      <c r="D1938">
        <v>0</v>
      </c>
      <c r="E1938">
        <v>1</v>
      </c>
      <c r="F1938" s="1">
        <v>45922</v>
      </c>
      <c r="G1938">
        <f>_xlfn.XLOOKUP(F1938,'Wk no''s'!B:B,'Wk no''s'!C:C,0)</f>
        <v>39</v>
      </c>
    </row>
    <row r="1939" spans="1:7" x14ac:dyDescent="0.3">
      <c r="A1939" t="s">
        <v>6462</v>
      </c>
      <c r="B1939" t="s">
        <v>6463</v>
      </c>
      <c r="C1939" t="s">
        <v>6464</v>
      </c>
      <c r="D1939">
        <v>0</v>
      </c>
      <c r="E1939">
        <v>1</v>
      </c>
      <c r="F1939" s="1">
        <v>45922</v>
      </c>
      <c r="G1939">
        <f>_xlfn.XLOOKUP(F1939,'Wk no''s'!B:B,'Wk no''s'!C:C,0)</f>
        <v>39</v>
      </c>
    </row>
    <row r="1940" spans="1:7" x14ac:dyDescent="0.3">
      <c r="A1940" t="s">
        <v>6465</v>
      </c>
      <c r="B1940" t="s">
        <v>6466</v>
      </c>
      <c r="C1940" t="s">
        <v>5603</v>
      </c>
      <c r="D1940">
        <v>0</v>
      </c>
      <c r="E1940">
        <v>1</v>
      </c>
      <c r="F1940" s="1">
        <v>45922</v>
      </c>
      <c r="G1940">
        <f>_xlfn.XLOOKUP(F1940,'Wk no''s'!B:B,'Wk no''s'!C:C,0)</f>
        <v>39</v>
      </c>
    </row>
    <row r="1941" spans="1:7" x14ac:dyDescent="0.3">
      <c r="A1941" t="s">
        <v>6467</v>
      </c>
      <c r="B1941" t="s">
        <v>6468</v>
      </c>
      <c r="C1941" t="s">
        <v>5398</v>
      </c>
      <c r="D1941">
        <v>0</v>
      </c>
      <c r="E1941">
        <v>1</v>
      </c>
      <c r="F1941" s="1">
        <v>45922</v>
      </c>
      <c r="G1941">
        <f>_xlfn.XLOOKUP(F1941,'Wk no''s'!B:B,'Wk no''s'!C:C,0)</f>
        <v>39</v>
      </c>
    </row>
    <row r="1942" spans="1:7" x14ac:dyDescent="0.3">
      <c r="A1942" t="s">
        <v>6469</v>
      </c>
      <c r="B1942" t="s">
        <v>6470</v>
      </c>
      <c r="C1942" t="s">
        <v>4168</v>
      </c>
      <c r="D1942">
        <v>0</v>
      </c>
      <c r="E1942">
        <v>1</v>
      </c>
      <c r="F1942" s="1">
        <v>45922</v>
      </c>
      <c r="G1942">
        <f>_xlfn.XLOOKUP(F1942,'Wk no''s'!B:B,'Wk no''s'!C:C,0)</f>
        <v>39</v>
      </c>
    </row>
    <row r="1943" spans="1:7" x14ac:dyDescent="0.3">
      <c r="A1943" t="s">
        <v>6471</v>
      </c>
      <c r="B1943" t="s">
        <v>6472</v>
      </c>
      <c r="C1943" t="s">
        <v>6736</v>
      </c>
      <c r="D1943">
        <v>15</v>
      </c>
      <c r="E1943">
        <v>0</v>
      </c>
      <c r="F1943" s="1">
        <v>45922</v>
      </c>
      <c r="G1943">
        <f>_xlfn.XLOOKUP(F1943,'Wk no''s'!B:B,'Wk no''s'!C:C,0)</f>
        <v>39</v>
      </c>
    </row>
    <row r="1944" spans="1:7" x14ac:dyDescent="0.3">
      <c r="A1944" t="s">
        <v>6473</v>
      </c>
      <c r="B1944" t="s">
        <v>6474</v>
      </c>
      <c r="C1944" t="s">
        <v>3549</v>
      </c>
      <c r="D1944">
        <v>8</v>
      </c>
      <c r="E1944">
        <v>0</v>
      </c>
      <c r="F1944" s="1">
        <v>45922</v>
      </c>
      <c r="G1944">
        <f>_xlfn.XLOOKUP(F1944,'Wk no''s'!B:B,'Wk no''s'!C:C,0)</f>
        <v>39</v>
      </c>
    </row>
    <row r="1945" spans="1:7" x14ac:dyDescent="0.3">
      <c r="A1945" t="s">
        <v>6475</v>
      </c>
      <c r="B1945" t="s">
        <v>6476</v>
      </c>
      <c r="C1945" t="s">
        <v>407</v>
      </c>
      <c r="D1945">
        <v>1</v>
      </c>
      <c r="E1945">
        <v>1</v>
      </c>
      <c r="F1945" s="1">
        <v>45922</v>
      </c>
      <c r="G1945">
        <f>_xlfn.XLOOKUP(F1945,'Wk no''s'!B:B,'Wk no''s'!C:C,0)</f>
        <v>39</v>
      </c>
    </row>
    <row r="1946" spans="1:7" x14ac:dyDescent="0.3">
      <c r="A1946" t="s">
        <v>6477</v>
      </c>
      <c r="B1946" t="s">
        <v>6478</v>
      </c>
      <c r="C1946" t="s">
        <v>2451</v>
      </c>
      <c r="D1946">
        <v>0</v>
      </c>
      <c r="E1946">
        <v>1</v>
      </c>
      <c r="F1946" s="1">
        <v>45922</v>
      </c>
      <c r="G1946">
        <f>_xlfn.XLOOKUP(F1946,'Wk no''s'!B:B,'Wk no''s'!C:C,0)</f>
        <v>39</v>
      </c>
    </row>
    <row r="1947" spans="1:7" x14ac:dyDescent="0.3">
      <c r="A1947" t="s">
        <v>6479</v>
      </c>
      <c r="B1947" t="s">
        <v>6480</v>
      </c>
      <c r="C1947" t="s">
        <v>2010</v>
      </c>
      <c r="D1947">
        <v>5</v>
      </c>
      <c r="E1947">
        <v>1</v>
      </c>
      <c r="F1947" s="1">
        <v>45922</v>
      </c>
      <c r="G1947">
        <f>_xlfn.XLOOKUP(F1947,'Wk no''s'!B:B,'Wk no''s'!C:C,0)</f>
        <v>39</v>
      </c>
    </row>
    <row r="1948" spans="1:7" x14ac:dyDescent="0.3">
      <c r="A1948" t="s">
        <v>6481</v>
      </c>
      <c r="B1948" t="s">
        <v>6482</v>
      </c>
      <c r="C1948" t="s">
        <v>6483</v>
      </c>
      <c r="D1948">
        <v>1</v>
      </c>
      <c r="E1948">
        <v>1</v>
      </c>
      <c r="F1948" s="1">
        <v>45923</v>
      </c>
      <c r="G1948">
        <f>_xlfn.XLOOKUP(F1948,'Wk no''s'!B:B,'Wk no''s'!C:C,0)</f>
        <v>39</v>
      </c>
    </row>
    <row r="1949" spans="1:7" x14ac:dyDescent="0.3">
      <c r="A1949" t="s">
        <v>6484</v>
      </c>
      <c r="B1949" t="s">
        <v>6485</v>
      </c>
      <c r="C1949" t="s">
        <v>39</v>
      </c>
      <c r="D1949">
        <v>0</v>
      </c>
      <c r="E1949">
        <v>1</v>
      </c>
      <c r="F1949" s="1">
        <v>45923</v>
      </c>
      <c r="G1949">
        <f>_xlfn.XLOOKUP(F1949,'Wk no''s'!B:B,'Wk no''s'!C:C,0)</f>
        <v>39</v>
      </c>
    </row>
    <row r="1950" spans="1:7" x14ac:dyDescent="0.3">
      <c r="A1950" t="s">
        <v>6486</v>
      </c>
      <c r="B1950" t="s">
        <v>6487</v>
      </c>
      <c r="C1950" t="s">
        <v>6488</v>
      </c>
      <c r="D1950">
        <v>0</v>
      </c>
      <c r="E1950">
        <v>1</v>
      </c>
      <c r="F1950" s="1">
        <v>45923</v>
      </c>
      <c r="G1950">
        <f>_xlfn.XLOOKUP(F1950,'Wk no''s'!B:B,'Wk no''s'!C:C,0)</f>
        <v>39</v>
      </c>
    </row>
    <row r="1951" spans="1:7" x14ac:dyDescent="0.3">
      <c r="A1951" t="s">
        <v>6489</v>
      </c>
      <c r="B1951" t="s">
        <v>6490</v>
      </c>
      <c r="C1951" t="s">
        <v>1224</v>
      </c>
      <c r="D1951">
        <v>2</v>
      </c>
      <c r="E1951">
        <v>1</v>
      </c>
      <c r="F1951" s="1">
        <v>45923</v>
      </c>
      <c r="G1951">
        <f>_xlfn.XLOOKUP(F1951,'Wk no''s'!B:B,'Wk no''s'!C:C,0)</f>
        <v>39</v>
      </c>
    </row>
    <row r="1952" spans="1:7" x14ac:dyDescent="0.3">
      <c r="A1952" t="s">
        <v>6491</v>
      </c>
      <c r="B1952" t="s">
        <v>6492</v>
      </c>
      <c r="C1952" t="s">
        <v>6062</v>
      </c>
      <c r="D1952">
        <v>0</v>
      </c>
      <c r="E1952">
        <v>1</v>
      </c>
      <c r="F1952" s="1">
        <v>45923</v>
      </c>
      <c r="G1952">
        <f>_xlfn.XLOOKUP(F1952,'Wk no''s'!B:B,'Wk no''s'!C:C,0)</f>
        <v>39</v>
      </c>
    </row>
    <row r="1953" spans="1:7" x14ac:dyDescent="0.3">
      <c r="A1953" t="s">
        <v>6493</v>
      </c>
      <c r="B1953" t="s">
        <v>6494</v>
      </c>
      <c r="C1953" t="s">
        <v>6495</v>
      </c>
      <c r="D1953">
        <v>0</v>
      </c>
      <c r="E1953">
        <v>1</v>
      </c>
      <c r="F1953" s="1">
        <v>45923</v>
      </c>
      <c r="G1953">
        <f>_xlfn.XLOOKUP(F1953,'Wk no''s'!B:B,'Wk no''s'!C:C,0)</f>
        <v>39</v>
      </c>
    </row>
    <row r="1954" spans="1:7" x14ac:dyDescent="0.3">
      <c r="A1954" t="s">
        <v>6496</v>
      </c>
      <c r="B1954" t="s">
        <v>6497</v>
      </c>
      <c r="C1954" t="s">
        <v>2497</v>
      </c>
      <c r="D1954">
        <v>16</v>
      </c>
      <c r="E1954">
        <v>0</v>
      </c>
      <c r="F1954" s="1">
        <v>45923</v>
      </c>
      <c r="G1954">
        <f>_xlfn.XLOOKUP(F1954,'Wk no''s'!B:B,'Wk no''s'!C:C,0)</f>
        <v>39</v>
      </c>
    </row>
    <row r="1955" spans="1:7" x14ac:dyDescent="0.3">
      <c r="A1955" t="s">
        <v>6498</v>
      </c>
      <c r="B1955" t="s">
        <v>6499</v>
      </c>
      <c r="C1955" t="s">
        <v>5130</v>
      </c>
      <c r="D1955">
        <v>0</v>
      </c>
      <c r="E1955">
        <v>1</v>
      </c>
      <c r="F1955" s="1">
        <v>45923</v>
      </c>
      <c r="G1955">
        <f>_xlfn.XLOOKUP(F1955,'Wk no''s'!B:B,'Wk no''s'!C:C,0)</f>
        <v>39</v>
      </c>
    </row>
    <row r="1956" spans="1:7" x14ac:dyDescent="0.3">
      <c r="A1956" t="s">
        <v>6500</v>
      </c>
      <c r="B1956" t="s">
        <v>6501</v>
      </c>
      <c r="C1956" t="s">
        <v>6502</v>
      </c>
      <c r="D1956">
        <v>0</v>
      </c>
      <c r="E1956">
        <v>1</v>
      </c>
      <c r="F1956" s="1">
        <v>45923</v>
      </c>
      <c r="G1956">
        <f>_xlfn.XLOOKUP(F1956,'Wk no''s'!B:B,'Wk no''s'!C:C,0)</f>
        <v>39</v>
      </c>
    </row>
    <row r="1957" spans="1:7" x14ac:dyDescent="0.3">
      <c r="A1957" t="s">
        <v>6503</v>
      </c>
      <c r="B1957" t="s">
        <v>6504</v>
      </c>
      <c r="C1957" t="s">
        <v>3855</v>
      </c>
      <c r="D1957">
        <v>0</v>
      </c>
      <c r="E1957">
        <v>1</v>
      </c>
      <c r="F1957" s="1">
        <v>45924</v>
      </c>
      <c r="G1957">
        <f>_xlfn.XLOOKUP(F1957,'Wk no''s'!B:B,'Wk no''s'!C:C,0)</f>
        <v>39</v>
      </c>
    </row>
    <row r="1958" spans="1:7" x14ac:dyDescent="0.3">
      <c r="A1958" t="s">
        <v>6505</v>
      </c>
      <c r="B1958" t="s">
        <v>6506</v>
      </c>
      <c r="C1958" t="s">
        <v>6507</v>
      </c>
      <c r="D1958">
        <v>0</v>
      </c>
      <c r="E1958">
        <v>1</v>
      </c>
      <c r="F1958" s="1">
        <v>45924</v>
      </c>
      <c r="G1958">
        <f>_xlfn.XLOOKUP(F1958,'Wk no''s'!B:B,'Wk no''s'!C:C,0)</f>
        <v>39</v>
      </c>
    </row>
    <row r="1959" spans="1:7" x14ac:dyDescent="0.3">
      <c r="A1959" t="s">
        <v>6508</v>
      </c>
      <c r="B1959" t="s">
        <v>6509</v>
      </c>
      <c r="C1959" t="s">
        <v>5353</v>
      </c>
      <c r="D1959">
        <v>6</v>
      </c>
      <c r="E1959">
        <v>0</v>
      </c>
      <c r="F1959" s="1">
        <v>45924</v>
      </c>
      <c r="G1959">
        <f>_xlfn.XLOOKUP(F1959,'Wk no''s'!B:B,'Wk no''s'!C:C,0)</f>
        <v>39</v>
      </c>
    </row>
    <row r="1960" spans="1:7" x14ac:dyDescent="0.3">
      <c r="A1960" t="s">
        <v>6510</v>
      </c>
      <c r="B1960" t="s">
        <v>6511</v>
      </c>
      <c r="C1960" t="s">
        <v>6512</v>
      </c>
      <c r="D1960">
        <v>11</v>
      </c>
      <c r="E1960">
        <v>0</v>
      </c>
      <c r="F1960" s="1">
        <v>45924</v>
      </c>
      <c r="G1960">
        <f>_xlfn.XLOOKUP(F1960,'Wk no''s'!B:B,'Wk no''s'!C:C,0)</f>
        <v>39</v>
      </c>
    </row>
    <row r="1961" spans="1:7" x14ac:dyDescent="0.3">
      <c r="A1961" t="s">
        <v>6513</v>
      </c>
      <c r="B1961" t="s">
        <v>6514</v>
      </c>
      <c r="C1961" t="s">
        <v>3549</v>
      </c>
      <c r="D1961">
        <v>0</v>
      </c>
      <c r="E1961">
        <v>1</v>
      </c>
      <c r="F1961" s="1">
        <v>45924</v>
      </c>
      <c r="G1961">
        <f>_xlfn.XLOOKUP(F1961,'Wk no''s'!B:B,'Wk no''s'!C:C,0)</f>
        <v>39</v>
      </c>
    </row>
    <row r="1962" spans="1:7" x14ac:dyDescent="0.3">
      <c r="A1962" t="s">
        <v>6515</v>
      </c>
      <c r="B1962" t="s">
        <v>6516</v>
      </c>
      <c r="C1962" t="s">
        <v>6140</v>
      </c>
      <c r="D1962">
        <v>0</v>
      </c>
      <c r="E1962">
        <v>1</v>
      </c>
      <c r="F1962" s="1">
        <v>45924</v>
      </c>
      <c r="G1962">
        <f>_xlfn.XLOOKUP(F1962,'Wk no''s'!B:B,'Wk no''s'!C:C,0)</f>
        <v>39</v>
      </c>
    </row>
    <row r="1963" spans="1:7" x14ac:dyDescent="0.3">
      <c r="A1963" t="s">
        <v>6517</v>
      </c>
      <c r="B1963" t="s">
        <v>6518</v>
      </c>
      <c r="C1963" t="s">
        <v>6519</v>
      </c>
      <c r="D1963">
        <v>0</v>
      </c>
      <c r="E1963">
        <v>1</v>
      </c>
      <c r="F1963" s="1">
        <v>45924</v>
      </c>
      <c r="G1963">
        <f>_xlfn.XLOOKUP(F1963,'Wk no''s'!B:B,'Wk no''s'!C:C,0)</f>
        <v>39</v>
      </c>
    </row>
    <row r="1964" spans="1:7" x14ac:dyDescent="0.3">
      <c r="A1964" t="s">
        <v>6520</v>
      </c>
      <c r="B1964" t="s">
        <v>6521</v>
      </c>
      <c r="C1964" t="s">
        <v>6522</v>
      </c>
      <c r="D1964">
        <v>0</v>
      </c>
      <c r="E1964">
        <v>1</v>
      </c>
      <c r="F1964" s="1">
        <v>45924</v>
      </c>
      <c r="G1964">
        <f>_xlfn.XLOOKUP(F1964,'Wk no''s'!B:B,'Wk no''s'!C:C,0)</f>
        <v>39</v>
      </c>
    </row>
    <row r="1965" spans="1:7" x14ac:dyDescent="0.3">
      <c r="A1965" t="s">
        <v>6523</v>
      </c>
      <c r="B1965" t="s">
        <v>6524</v>
      </c>
      <c r="C1965" t="s">
        <v>4126</v>
      </c>
      <c r="D1965">
        <v>10</v>
      </c>
      <c r="E1965">
        <v>0</v>
      </c>
      <c r="F1965" s="1">
        <v>45924</v>
      </c>
      <c r="G1965">
        <f>_xlfn.XLOOKUP(F1965,'Wk no''s'!B:B,'Wk no''s'!C:C,0)</f>
        <v>39</v>
      </c>
    </row>
    <row r="1966" spans="1:7" x14ac:dyDescent="0.3">
      <c r="A1966" t="s">
        <v>6525</v>
      </c>
      <c r="B1966" t="s">
        <v>6526</v>
      </c>
      <c r="C1966" t="s">
        <v>4210</v>
      </c>
      <c r="D1966">
        <v>0</v>
      </c>
      <c r="E1966">
        <v>1</v>
      </c>
      <c r="F1966" s="1">
        <v>45924</v>
      </c>
      <c r="G1966">
        <f>_xlfn.XLOOKUP(F1966,'Wk no''s'!B:B,'Wk no''s'!C:C,0)</f>
        <v>39</v>
      </c>
    </row>
    <row r="1967" spans="1:7" x14ac:dyDescent="0.3">
      <c r="A1967" t="s">
        <v>6527</v>
      </c>
      <c r="B1967" t="s">
        <v>6528</v>
      </c>
      <c r="C1967" t="s">
        <v>2681</v>
      </c>
      <c r="D1967">
        <v>0</v>
      </c>
      <c r="E1967">
        <v>1</v>
      </c>
      <c r="F1967" s="1">
        <v>45924</v>
      </c>
      <c r="G1967">
        <f>_xlfn.XLOOKUP(F1967,'Wk no''s'!B:B,'Wk no''s'!C:C,0)</f>
        <v>39</v>
      </c>
    </row>
    <row r="1968" spans="1:7" x14ac:dyDescent="0.3">
      <c r="A1968" t="s">
        <v>6529</v>
      </c>
      <c r="B1968" t="s">
        <v>6530</v>
      </c>
      <c r="C1968" t="s">
        <v>6531</v>
      </c>
      <c r="D1968">
        <v>0</v>
      </c>
      <c r="E1968">
        <v>1</v>
      </c>
      <c r="F1968" s="1">
        <v>45924</v>
      </c>
      <c r="G1968">
        <f>_xlfn.XLOOKUP(F1968,'Wk no''s'!B:B,'Wk no''s'!C:C,0)</f>
        <v>39</v>
      </c>
    </row>
    <row r="1969" spans="1:7" x14ac:dyDescent="0.3">
      <c r="A1969" t="s">
        <v>6532</v>
      </c>
      <c r="B1969" t="s">
        <v>6533</v>
      </c>
      <c r="C1969" t="s">
        <v>2188</v>
      </c>
      <c r="D1969">
        <v>5</v>
      </c>
      <c r="E1969">
        <v>1</v>
      </c>
      <c r="F1969" s="1">
        <v>45925</v>
      </c>
      <c r="G1969">
        <f>_xlfn.XLOOKUP(F1969,'Wk no''s'!B:B,'Wk no''s'!C:C,0)</f>
        <v>39</v>
      </c>
    </row>
    <row r="1970" spans="1:7" x14ac:dyDescent="0.3">
      <c r="A1970" t="s">
        <v>6534</v>
      </c>
      <c r="B1970" t="s">
        <v>6535</v>
      </c>
      <c r="C1970" t="s">
        <v>6536</v>
      </c>
      <c r="D1970">
        <v>4</v>
      </c>
      <c r="E1970">
        <v>1</v>
      </c>
      <c r="F1970" s="1">
        <v>45925</v>
      </c>
      <c r="G1970">
        <f>_xlfn.XLOOKUP(F1970,'Wk no''s'!B:B,'Wk no''s'!C:C,0)</f>
        <v>39</v>
      </c>
    </row>
    <row r="1971" spans="1:7" x14ac:dyDescent="0.3">
      <c r="A1971" t="s">
        <v>6537</v>
      </c>
      <c r="B1971" t="s">
        <v>6538</v>
      </c>
      <c r="C1971" t="s">
        <v>6539</v>
      </c>
      <c r="D1971">
        <v>5</v>
      </c>
      <c r="E1971">
        <v>1</v>
      </c>
      <c r="F1971" s="1">
        <v>45925</v>
      </c>
      <c r="G1971">
        <f>_xlfn.XLOOKUP(F1971,'Wk no''s'!B:B,'Wk no''s'!C:C,0)</f>
        <v>39</v>
      </c>
    </row>
    <row r="1972" spans="1:7" x14ac:dyDescent="0.3">
      <c r="A1972" t="s">
        <v>6540</v>
      </c>
      <c r="B1972" t="s">
        <v>6541</v>
      </c>
      <c r="C1972" t="s">
        <v>4709</v>
      </c>
      <c r="D1972">
        <v>8</v>
      </c>
      <c r="E1972">
        <v>0</v>
      </c>
      <c r="F1972" s="1">
        <v>45925</v>
      </c>
      <c r="G1972">
        <f>_xlfn.XLOOKUP(F1972,'Wk no''s'!B:B,'Wk no''s'!C:C,0)</f>
        <v>39</v>
      </c>
    </row>
    <row r="1973" spans="1:7" x14ac:dyDescent="0.3">
      <c r="A1973" t="s">
        <v>6542</v>
      </c>
      <c r="B1973" t="s">
        <v>6543</v>
      </c>
      <c r="C1973" t="s">
        <v>6544</v>
      </c>
      <c r="D1973">
        <v>0</v>
      </c>
      <c r="E1973">
        <v>1</v>
      </c>
      <c r="F1973" s="1">
        <v>45925</v>
      </c>
      <c r="G1973">
        <f>_xlfn.XLOOKUP(F1973,'Wk no''s'!B:B,'Wk no''s'!C:C,0)</f>
        <v>39</v>
      </c>
    </row>
    <row r="1974" spans="1:7" x14ac:dyDescent="0.3">
      <c r="A1974" t="s">
        <v>6545</v>
      </c>
      <c r="B1974" t="s">
        <v>6546</v>
      </c>
      <c r="C1974" t="s">
        <v>17</v>
      </c>
      <c r="D1974">
        <v>14</v>
      </c>
      <c r="E1974">
        <v>0</v>
      </c>
      <c r="F1974" s="1">
        <v>45925</v>
      </c>
      <c r="G1974">
        <f>_xlfn.XLOOKUP(F1974,'Wk no''s'!B:B,'Wk no''s'!C:C,0)</f>
        <v>39</v>
      </c>
    </row>
    <row r="1975" spans="1:7" x14ac:dyDescent="0.3">
      <c r="A1975" t="s">
        <v>6547</v>
      </c>
      <c r="B1975" t="s">
        <v>6548</v>
      </c>
      <c r="C1975" t="s">
        <v>6549</v>
      </c>
      <c r="D1975">
        <v>0</v>
      </c>
      <c r="E1975">
        <v>1</v>
      </c>
      <c r="F1975" s="1">
        <v>45925</v>
      </c>
      <c r="G1975">
        <f>_xlfn.XLOOKUP(F1975,'Wk no''s'!B:B,'Wk no''s'!C:C,0)</f>
        <v>39</v>
      </c>
    </row>
    <row r="1976" spans="1:7" x14ac:dyDescent="0.3">
      <c r="A1976" t="s">
        <v>6550</v>
      </c>
      <c r="B1976" t="s">
        <v>6551</v>
      </c>
      <c r="C1976" t="s">
        <v>3147</v>
      </c>
      <c r="D1976">
        <v>16</v>
      </c>
      <c r="E1976">
        <v>0</v>
      </c>
      <c r="F1976" s="1">
        <v>45925</v>
      </c>
      <c r="G1976">
        <f>_xlfn.XLOOKUP(F1976,'Wk no''s'!B:B,'Wk no''s'!C:C,0)</f>
        <v>39</v>
      </c>
    </row>
    <row r="1977" spans="1:7" x14ac:dyDescent="0.3">
      <c r="A1977" t="s">
        <v>6552</v>
      </c>
      <c r="B1977" t="s">
        <v>6553</v>
      </c>
      <c r="C1977" t="s">
        <v>1224</v>
      </c>
      <c r="D1977">
        <v>0</v>
      </c>
      <c r="E1977">
        <v>1</v>
      </c>
      <c r="F1977" s="1">
        <v>45925</v>
      </c>
      <c r="G1977">
        <f>_xlfn.XLOOKUP(F1977,'Wk no''s'!B:B,'Wk no''s'!C:C,0)</f>
        <v>39</v>
      </c>
    </row>
    <row r="1978" spans="1:7" x14ac:dyDescent="0.3">
      <c r="A1978" t="s">
        <v>6554</v>
      </c>
      <c r="B1978" t="s">
        <v>6555</v>
      </c>
      <c r="C1978" t="s">
        <v>6556</v>
      </c>
      <c r="D1978">
        <v>5</v>
      </c>
      <c r="E1978">
        <v>1</v>
      </c>
      <c r="F1978" s="1">
        <v>45925</v>
      </c>
      <c r="G1978">
        <f>_xlfn.XLOOKUP(F1978,'Wk no''s'!B:B,'Wk no''s'!C:C,0)</f>
        <v>39</v>
      </c>
    </row>
    <row r="1979" spans="1:7" x14ac:dyDescent="0.3">
      <c r="A1979" t="s">
        <v>6557</v>
      </c>
      <c r="B1979" t="s">
        <v>6558</v>
      </c>
      <c r="C1979" t="s">
        <v>3925</v>
      </c>
      <c r="D1979">
        <v>0</v>
      </c>
      <c r="E1979">
        <v>1</v>
      </c>
      <c r="F1979" s="1">
        <v>45925</v>
      </c>
      <c r="G1979">
        <f>_xlfn.XLOOKUP(F1979,'Wk no''s'!B:B,'Wk no''s'!C:C,0)</f>
        <v>39</v>
      </c>
    </row>
    <row r="1980" spans="1:7" x14ac:dyDescent="0.3">
      <c r="A1980" t="s">
        <v>6559</v>
      </c>
      <c r="B1980" t="s">
        <v>6560</v>
      </c>
      <c r="C1980" t="s">
        <v>3928</v>
      </c>
      <c r="D1980">
        <v>0</v>
      </c>
      <c r="E1980">
        <v>1</v>
      </c>
      <c r="F1980" s="1">
        <v>45925</v>
      </c>
      <c r="G1980">
        <f>_xlfn.XLOOKUP(F1980,'Wk no''s'!B:B,'Wk no''s'!C:C,0)</f>
        <v>39</v>
      </c>
    </row>
    <row r="1981" spans="1:7" x14ac:dyDescent="0.3">
      <c r="A1981" t="s">
        <v>6561</v>
      </c>
      <c r="B1981" t="s">
        <v>6562</v>
      </c>
      <c r="C1981" t="s">
        <v>4100</v>
      </c>
      <c r="D1981">
        <v>15</v>
      </c>
      <c r="E1981">
        <v>0</v>
      </c>
      <c r="F1981" s="1">
        <v>45925</v>
      </c>
      <c r="G1981">
        <f>_xlfn.XLOOKUP(F1981,'Wk no''s'!B:B,'Wk no''s'!C:C,0)</f>
        <v>39</v>
      </c>
    </row>
    <row r="1982" spans="1:7" x14ac:dyDescent="0.3">
      <c r="A1982" t="s">
        <v>6563</v>
      </c>
      <c r="B1982" t="s">
        <v>6564</v>
      </c>
      <c r="C1982" t="s">
        <v>4470</v>
      </c>
      <c r="D1982">
        <v>0</v>
      </c>
      <c r="E1982">
        <v>1</v>
      </c>
      <c r="F1982" s="1">
        <v>45926</v>
      </c>
      <c r="G1982">
        <f>_xlfn.XLOOKUP(F1982,'Wk no''s'!B:B,'Wk no''s'!C:C,0)</f>
        <v>39</v>
      </c>
    </row>
    <row r="1983" spans="1:7" x14ac:dyDescent="0.3">
      <c r="A1983" t="s">
        <v>6565</v>
      </c>
      <c r="B1983" t="s">
        <v>6566</v>
      </c>
      <c r="C1983" t="s">
        <v>4616</v>
      </c>
      <c r="D1983">
        <v>1</v>
      </c>
      <c r="E1983">
        <v>1</v>
      </c>
      <c r="F1983" s="1">
        <v>45926</v>
      </c>
      <c r="G1983">
        <f>_xlfn.XLOOKUP(F1983,'Wk no''s'!B:B,'Wk no''s'!C:C,0)</f>
        <v>39</v>
      </c>
    </row>
    <row r="1984" spans="1:7" x14ac:dyDescent="0.3">
      <c r="A1984" t="s">
        <v>6567</v>
      </c>
      <c r="B1984" t="s">
        <v>6568</v>
      </c>
      <c r="C1984" t="s">
        <v>36</v>
      </c>
      <c r="D1984">
        <v>15</v>
      </c>
      <c r="E1984">
        <v>0</v>
      </c>
      <c r="F1984" s="1">
        <v>45926</v>
      </c>
      <c r="G1984">
        <f>_xlfn.XLOOKUP(F1984,'Wk no''s'!B:B,'Wk no''s'!C:C,0)</f>
        <v>39</v>
      </c>
    </row>
    <row r="1985" spans="1:7" x14ac:dyDescent="0.3">
      <c r="A1985" t="s">
        <v>6569</v>
      </c>
      <c r="B1985" t="s">
        <v>6570</v>
      </c>
      <c r="C1985" t="s">
        <v>6165</v>
      </c>
      <c r="D1985">
        <v>0</v>
      </c>
      <c r="E1985">
        <v>1</v>
      </c>
      <c r="F1985" s="1">
        <v>45926</v>
      </c>
      <c r="G1985">
        <f>_xlfn.XLOOKUP(F1985,'Wk no''s'!B:B,'Wk no''s'!C:C,0)</f>
        <v>39</v>
      </c>
    </row>
    <row r="1986" spans="1:7" x14ac:dyDescent="0.3">
      <c r="A1986" t="s">
        <v>6571</v>
      </c>
      <c r="B1986" t="s">
        <v>6572</v>
      </c>
      <c r="C1986" t="s">
        <v>4128</v>
      </c>
      <c r="D1986">
        <v>7</v>
      </c>
      <c r="E1986">
        <v>0</v>
      </c>
      <c r="F1986" s="1">
        <v>45926</v>
      </c>
      <c r="G1986">
        <f>_xlfn.XLOOKUP(F1986,'Wk no''s'!B:B,'Wk no''s'!C:C,0)</f>
        <v>39</v>
      </c>
    </row>
    <row r="1987" spans="1:7" x14ac:dyDescent="0.3">
      <c r="A1987" t="s">
        <v>6573</v>
      </c>
      <c r="B1987" t="s">
        <v>6574</v>
      </c>
      <c r="C1987" t="s">
        <v>6575</v>
      </c>
      <c r="D1987">
        <v>5</v>
      </c>
      <c r="E1987">
        <v>1</v>
      </c>
      <c r="F1987" s="1">
        <v>45926</v>
      </c>
      <c r="G1987">
        <f>_xlfn.XLOOKUP(F1987,'Wk no''s'!B:B,'Wk no''s'!C:C,0)</f>
        <v>39</v>
      </c>
    </row>
    <row r="1988" spans="1:7" x14ac:dyDescent="0.3">
      <c r="A1988" t="s">
        <v>6622</v>
      </c>
      <c r="B1988" t="s">
        <v>6623</v>
      </c>
      <c r="C1988" t="s">
        <v>5508</v>
      </c>
      <c r="D1988">
        <v>0</v>
      </c>
      <c r="E1988">
        <v>1</v>
      </c>
      <c r="F1988" s="1">
        <v>45929</v>
      </c>
      <c r="G1988">
        <f>_xlfn.XLOOKUP(F1988,'Wk no''s'!B:B,'Wk no''s'!C:C,0)</f>
        <v>40</v>
      </c>
    </row>
    <row r="1989" spans="1:7" x14ac:dyDescent="0.3">
      <c r="A1989" t="s">
        <v>6624</v>
      </c>
      <c r="B1989" t="s">
        <v>6625</v>
      </c>
      <c r="C1989" t="s">
        <v>407</v>
      </c>
      <c r="D1989">
        <v>0</v>
      </c>
      <c r="E1989">
        <v>1</v>
      </c>
      <c r="F1989" s="1">
        <v>45929</v>
      </c>
      <c r="G1989">
        <f>_xlfn.XLOOKUP(F1989,'Wk no''s'!B:B,'Wk no''s'!C:C,0)</f>
        <v>40</v>
      </c>
    </row>
    <row r="1990" spans="1:7" x14ac:dyDescent="0.3">
      <c r="A1990" t="s">
        <v>6626</v>
      </c>
      <c r="B1990" t="s">
        <v>6627</v>
      </c>
      <c r="C1990" t="s">
        <v>6628</v>
      </c>
      <c r="D1990">
        <v>0</v>
      </c>
      <c r="E1990">
        <v>1</v>
      </c>
      <c r="F1990" s="1">
        <v>45929</v>
      </c>
      <c r="G1990">
        <f>_xlfn.XLOOKUP(F1990,'Wk no''s'!B:B,'Wk no''s'!C:C,0)</f>
        <v>40</v>
      </c>
    </row>
    <row r="1991" spans="1:7" x14ac:dyDescent="0.3">
      <c r="A1991" t="s">
        <v>6629</v>
      </c>
      <c r="B1991" t="s">
        <v>6630</v>
      </c>
      <c r="C1991" t="s">
        <v>6631</v>
      </c>
      <c r="D1991">
        <v>0</v>
      </c>
      <c r="E1991">
        <v>1</v>
      </c>
      <c r="F1991" s="1">
        <v>45929</v>
      </c>
      <c r="G1991">
        <f>_xlfn.XLOOKUP(F1991,'Wk no''s'!B:B,'Wk no''s'!C:C,0)</f>
        <v>40</v>
      </c>
    </row>
    <row r="1992" spans="1:7" x14ac:dyDescent="0.3">
      <c r="A1992" t="s">
        <v>6632</v>
      </c>
      <c r="B1992" t="s">
        <v>6633</v>
      </c>
      <c r="C1992" t="s">
        <v>4597</v>
      </c>
      <c r="D1992">
        <v>0</v>
      </c>
      <c r="E1992">
        <v>1</v>
      </c>
      <c r="F1992" s="1">
        <v>45929</v>
      </c>
      <c r="G1992">
        <f>_xlfn.XLOOKUP(F1992,'Wk no''s'!B:B,'Wk no''s'!C:C,0)</f>
        <v>40</v>
      </c>
    </row>
    <row r="1993" spans="1:7" x14ac:dyDescent="0.3">
      <c r="A1993" t="s">
        <v>6634</v>
      </c>
      <c r="B1993" t="s">
        <v>6635</v>
      </c>
      <c r="C1993" t="s">
        <v>4168</v>
      </c>
      <c r="D1993">
        <v>11</v>
      </c>
      <c r="E1993">
        <v>0</v>
      </c>
      <c r="F1993" s="1">
        <v>45929</v>
      </c>
      <c r="G1993">
        <f>_xlfn.XLOOKUP(F1993,'Wk no''s'!B:B,'Wk no''s'!C:C,0)</f>
        <v>40</v>
      </c>
    </row>
    <row r="1994" spans="1:7" x14ac:dyDescent="0.3">
      <c r="A1994" t="s">
        <v>6636</v>
      </c>
      <c r="B1994" t="s">
        <v>6637</v>
      </c>
      <c r="C1994" t="s">
        <v>6638</v>
      </c>
      <c r="D1994">
        <v>0</v>
      </c>
      <c r="E1994">
        <v>1</v>
      </c>
      <c r="F1994" s="1">
        <v>45929</v>
      </c>
      <c r="G1994">
        <f>_xlfn.XLOOKUP(F1994,'Wk no''s'!B:B,'Wk no''s'!C:C,0)</f>
        <v>40</v>
      </c>
    </row>
    <row r="1995" spans="1:7" x14ac:dyDescent="0.3">
      <c r="A1995" t="s">
        <v>6639</v>
      </c>
      <c r="B1995" t="s">
        <v>6640</v>
      </c>
      <c r="C1995" t="s">
        <v>5078</v>
      </c>
      <c r="D1995">
        <v>0</v>
      </c>
      <c r="E1995">
        <v>1</v>
      </c>
      <c r="F1995" s="1">
        <v>45929</v>
      </c>
      <c r="G1995">
        <f>_xlfn.XLOOKUP(F1995,'Wk no''s'!B:B,'Wk no''s'!C:C,0)</f>
        <v>40</v>
      </c>
    </row>
    <row r="1996" spans="1:7" x14ac:dyDescent="0.3">
      <c r="A1996" t="s">
        <v>6641</v>
      </c>
      <c r="B1996" t="s">
        <v>6642</v>
      </c>
      <c r="C1996" t="s">
        <v>4168</v>
      </c>
      <c r="D1996">
        <v>3</v>
      </c>
      <c r="E1996">
        <v>1</v>
      </c>
      <c r="F1996" s="1">
        <v>45929</v>
      </c>
      <c r="G1996">
        <f>_xlfn.XLOOKUP(F1996,'Wk no''s'!B:B,'Wk no''s'!C:C,0)</f>
        <v>40</v>
      </c>
    </row>
    <row r="1997" spans="1:7" x14ac:dyDescent="0.3">
      <c r="A1997" t="s">
        <v>6643</v>
      </c>
      <c r="B1997" t="s">
        <v>6644</v>
      </c>
      <c r="C1997" t="s">
        <v>6645</v>
      </c>
      <c r="D1997">
        <v>13</v>
      </c>
      <c r="E1997">
        <v>0</v>
      </c>
      <c r="F1997" s="1">
        <v>45929</v>
      </c>
      <c r="G1997">
        <f>_xlfn.XLOOKUP(F1997,'Wk no''s'!B:B,'Wk no''s'!C:C,0)</f>
        <v>40</v>
      </c>
    </row>
    <row r="1998" spans="1:7" x14ac:dyDescent="0.3">
      <c r="A1998" t="s">
        <v>6646</v>
      </c>
      <c r="B1998" t="s">
        <v>6647</v>
      </c>
      <c r="C1998" t="s">
        <v>39</v>
      </c>
      <c r="D1998">
        <v>0</v>
      </c>
      <c r="E1998">
        <v>1</v>
      </c>
      <c r="F1998" s="1">
        <v>45930</v>
      </c>
      <c r="G1998">
        <f>_xlfn.XLOOKUP(F1998,'Wk no''s'!B:B,'Wk no''s'!C:C,0)</f>
        <v>40</v>
      </c>
    </row>
    <row r="1999" spans="1:7" x14ac:dyDescent="0.3">
      <c r="A1999" t="s">
        <v>6648</v>
      </c>
      <c r="B1999" t="s">
        <v>6649</v>
      </c>
      <c r="C1999" t="s">
        <v>6650</v>
      </c>
      <c r="D1999">
        <v>0</v>
      </c>
      <c r="E1999">
        <v>1</v>
      </c>
      <c r="F1999" s="1">
        <v>45930</v>
      </c>
      <c r="G1999">
        <f>_xlfn.XLOOKUP(F1999,'Wk no''s'!B:B,'Wk no''s'!C:C,0)</f>
        <v>40</v>
      </c>
    </row>
    <row r="2000" spans="1:7" x14ac:dyDescent="0.3">
      <c r="A2000" t="s">
        <v>6651</v>
      </c>
      <c r="B2000" t="s">
        <v>6652</v>
      </c>
      <c r="C2000" t="s">
        <v>6653</v>
      </c>
      <c r="D2000">
        <v>5</v>
      </c>
      <c r="E2000">
        <v>1</v>
      </c>
      <c r="F2000" s="1">
        <v>45930</v>
      </c>
      <c r="G2000">
        <f>_xlfn.XLOOKUP(F2000,'Wk no''s'!B:B,'Wk no''s'!C:C,0)</f>
        <v>40</v>
      </c>
    </row>
    <row r="2001" spans="1:7" x14ac:dyDescent="0.3">
      <c r="A2001" t="s">
        <v>6654</v>
      </c>
      <c r="B2001" t="s">
        <v>6655</v>
      </c>
      <c r="C2001" t="s">
        <v>6653</v>
      </c>
      <c r="D2001">
        <v>0</v>
      </c>
      <c r="E2001">
        <v>1</v>
      </c>
      <c r="F2001" s="1">
        <v>45930</v>
      </c>
      <c r="G2001">
        <f>_xlfn.XLOOKUP(F2001,'Wk no''s'!B:B,'Wk no''s'!C:C,0)</f>
        <v>40</v>
      </c>
    </row>
    <row r="2002" spans="1:7" x14ac:dyDescent="0.3">
      <c r="A2002" t="s">
        <v>6656</v>
      </c>
      <c r="B2002" t="s">
        <v>6657</v>
      </c>
      <c r="C2002" t="s">
        <v>6653</v>
      </c>
      <c r="D2002">
        <v>0</v>
      </c>
      <c r="E2002">
        <v>1</v>
      </c>
      <c r="F2002" s="1">
        <v>45930</v>
      </c>
      <c r="G2002">
        <f>_xlfn.XLOOKUP(F2002,'Wk no''s'!B:B,'Wk no''s'!C:C,0)</f>
        <v>40</v>
      </c>
    </row>
    <row r="2003" spans="1:7" x14ac:dyDescent="0.3">
      <c r="A2003" t="s">
        <v>6658</v>
      </c>
      <c r="B2003" t="s">
        <v>6659</v>
      </c>
      <c r="C2003" t="s">
        <v>4074</v>
      </c>
      <c r="D2003">
        <v>0</v>
      </c>
      <c r="E2003">
        <v>1</v>
      </c>
      <c r="F2003" s="1">
        <v>45930</v>
      </c>
      <c r="G2003">
        <f>_xlfn.XLOOKUP(F2003,'Wk no''s'!B:B,'Wk no''s'!C:C,0)</f>
        <v>40</v>
      </c>
    </row>
    <row r="2004" spans="1:7" x14ac:dyDescent="0.3">
      <c r="A2004" t="s">
        <v>6660</v>
      </c>
      <c r="C2004" t="s">
        <v>6661</v>
      </c>
      <c r="D2004">
        <v>12</v>
      </c>
      <c r="E2004">
        <v>0</v>
      </c>
      <c r="F2004" s="1">
        <v>45930</v>
      </c>
      <c r="G2004">
        <f>_xlfn.XLOOKUP(F2004,'Wk no''s'!B:B,'Wk no''s'!C:C,0)</f>
        <v>40</v>
      </c>
    </row>
    <row r="2005" spans="1:7" x14ac:dyDescent="0.3">
      <c r="A2005" t="s">
        <v>6662</v>
      </c>
      <c r="B2005" t="s">
        <v>6663</v>
      </c>
      <c r="C2005" t="s">
        <v>6664</v>
      </c>
      <c r="D2005">
        <v>0</v>
      </c>
      <c r="E2005">
        <v>1</v>
      </c>
      <c r="F2005" s="1">
        <v>45930</v>
      </c>
      <c r="G2005">
        <f>_xlfn.XLOOKUP(F2005,'Wk no''s'!B:B,'Wk no''s'!C:C,0)</f>
        <v>40</v>
      </c>
    </row>
    <row r="2006" spans="1:7" x14ac:dyDescent="0.3">
      <c r="A2006" t="s">
        <v>6665</v>
      </c>
      <c r="B2006" t="s">
        <v>6666</v>
      </c>
      <c r="C2006" t="s">
        <v>6661</v>
      </c>
      <c r="D2006">
        <v>3</v>
      </c>
      <c r="E2006">
        <v>1</v>
      </c>
      <c r="F2006" s="1">
        <v>45930</v>
      </c>
      <c r="G2006">
        <f>_xlfn.XLOOKUP(F2006,'Wk no''s'!B:B,'Wk no''s'!C:C,0)</f>
        <v>40</v>
      </c>
    </row>
    <row r="2007" spans="1:7" x14ac:dyDescent="0.3">
      <c r="A2007" t="s">
        <v>6667</v>
      </c>
      <c r="B2007" t="s">
        <v>6668</v>
      </c>
      <c r="C2007" t="s">
        <v>2291</v>
      </c>
      <c r="D2007">
        <v>0</v>
      </c>
      <c r="E2007">
        <v>1</v>
      </c>
      <c r="F2007" s="1">
        <v>45931</v>
      </c>
      <c r="G2007">
        <f>_xlfn.XLOOKUP(F2007,'Wk no''s'!B:B,'Wk no''s'!C:C,0)</f>
        <v>40</v>
      </c>
    </row>
    <row r="2008" spans="1:7" x14ac:dyDescent="0.3">
      <c r="A2008" t="s">
        <v>6669</v>
      </c>
      <c r="B2008" t="s">
        <v>6670</v>
      </c>
      <c r="C2008" t="s">
        <v>2291</v>
      </c>
      <c r="D2008">
        <v>0</v>
      </c>
      <c r="E2008">
        <v>1</v>
      </c>
      <c r="F2008" s="1">
        <v>45931</v>
      </c>
      <c r="G2008">
        <f>_xlfn.XLOOKUP(F2008,'Wk no''s'!B:B,'Wk no''s'!C:C,0)</f>
        <v>40</v>
      </c>
    </row>
    <row r="2009" spans="1:7" x14ac:dyDescent="0.3">
      <c r="A2009" t="s">
        <v>6671</v>
      </c>
      <c r="B2009" t="s">
        <v>6672</v>
      </c>
      <c r="C2009" t="s">
        <v>3447</v>
      </c>
      <c r="D2009">
        <v>0</v>
      </c>
      <c r="E2009">
        <v>1</v>
      </c>
      <c r="F2009" s="1">
        <v>45931</v>
      </c>
      <c r="G2009">
        <f>_xlfn.XLOOKUP(F2009,'Wk no''s'!B:B,'Wk no''s'!C:C,0)</f>
        <v>40</v>
      </c>
    </row>
    <row r="2010" spans="1:7" x14ac:dyDescent="0.3">
      <c r="A2010" t="s">
        <v>6673</v>
      </c>
      <c r="B2010" t="s">
        <v>6674</v>
      </c>
      <c r="C2010" t="s">
        <v>6675</v>
      </c>
      <c r="D2010">
        <v>0</v>
      </c>
      <c r="E2010">
        <v>1</v>
      </c>
      <c r="F2010" s="1">
        <v>45931</v>
      </c>
      <c r="G2010">
        <f>_xlfn.XLOOKUP(F2010,'Wk no''s'!B:B,'Wk no''s'!C:C,0)</f>
        <v>40</v>
      </c>
    </row>
    <row r="2011" spans="1:7" x14ac:dyDescent="0.3">
      <c r="A2011" t="s">
        <v>6676</v>
      </c>
      <c r="B2011" t="s">
        <v>6677</v>
      </c>
      <c r="C2011" t="s">
        <v>2778</v>
      </c>
      <c r="D2011">
        <v>0</v>
      </c>
      <c r="E2011">
        <v>1</v>
      </c>
      <c r="F2011" s="1">
        <v>45931</v>
      </c>
      <c r="G2011">
        <f>_xlfn.XLOOKUP(F2011,'Wk no''s'!B:B,'Wk no''s'!C:C,0)</f>
        <v>40</v>
      </c>
    </row>
    <row r="2012" spans="1:7" x14ac:dyDescent="0.3">
      <c r="A2012" t="s">
        <v>6678</v>
      </c>
      <c r="B2012" t="s">
        <v>6679</v>
      </c>
      <c r="C2012" t="s">
        <v>2267</v>
      </c>
      <c r="D2012">
        <v>0</v>
      </c>
      <c r="E2012">
        <v>1</v>
      </c>
      <c r="F2012" s="1">
        <v>45931</v>
      </c>
      <c r="G2012">
        <f>_xlfn.XLOOKUP(F2012,'Wk no''s'!B:B,'Wk no''s'!C:C,0)</f>
        <v>40</v>
      </c>
    </row>
    <row r="2013" spans="1:7" x14ac:dyDescent="0.3">
      <c r="A2013" t="s">
        <v>6680</v>
      </c>
      <c r="B2013" t="s">
        <v>6681</v>
      </c>
      <c r="C2013" t="s">
        <v>3549</v>
      </c>
      <c r="D2013">
        <v>3</v>
      </c>
      <c r="E2013">
        <v>1</v>
      </c>
      <c r="F2013" s="1">
        <v>45931</v>
      </c>
      <c r="G2013">
        <f>_xlfn.XLOOKUP(F2013,'Wk no''s'!B:B,'Wk no''s'!C:C,0)</f>
        <v>40</v>
      </c>
    </row>
    <row r="2014" spans="1:7" x14ac:dyDescent="0.3">
      <c r="A2014" t="s">
        <v>6682</v>
      </c>
      <c r="B2014" t="s">
        <v>6683</v>
      </c>
      <c r="C2014" t="s">
        <v>5320</v>
      </c>
      <c r="D2014">
        <v>0</v>
      </c>
      <c r="E2014">
        <v>1</v>
      </c>
      <c r="F2014" s="1">
        <v>45931</v>
      </c>
      <c r="G2014">
        <f>_xlfn.XLOOKUP(F2014,'Wk no''s'!B:B,'Wk no''s'!C:C,0)</f>
        <v>40</v>
      </c>
    </row>
    <row r="2015" spans="1:7" x14ac:dyDescent="0.3">
      <c r="A2015" t="s">
        <v>6684</v>
      </c>
      <c r="B2015" t="s">
        <v>6685</v>
      </c>
      <c r="C2015" t="s">
        <v>1194</v>
      </c>
      <c r="D2015">
        <v>0</v>
      </c>
      <c r="E2015">
        <v>1</v>
      </c>
      <c r="F2015" s="1">
        <v>45931</v>
      </c>
      <c r="G2015">
        <f>_xlfn.XLOOKUP(F2015,'Wk no''s'!B:B,'Wk no''s'!C:C,0)</f>
        <v>40</v>
      </c>
    </row>
    <row r="2016" spans="1:7" x14ac:dyDescent="0.3">
      <c r="A2016" t="s">
        <v>6686</v>
      </c>
      <c r="B2016" t="s">
        <v>6687</v>
      </c>
      <c r="C2016" t="s">
        <v>2789</v>
      </c>
      <c r="D2016">
        <v>2</v>
      </c>
      <c r="E2016">
        <v>1</v>
      </c>
      <c r="F2016" s="1">
        <v>45931</v>
      </c>
      <c r="G2016">
        <f>_xlfn.XLOOKUP(F2016,'Wk no''s'!B:B,'Wk no''s'!C:C,0)</f>
        <v>40</v>
      </c>
    </row>
    <row r="2017" spans="1:7" x14ac:dyDescent="0.3">
      <c r="A2017" t="s">
        <v>6688</v>
      </c>
      <c r="B2017" t="s">
        <v>6689</v>
      </c>
      <c r="C2017" t="s">
        <v>6690</v>
      </c>
      <c r="D2017">
        <v>0</v>
      </c>
      <c r="E2017">
        <v>1</v>
      </c>
      <c r="F2017" s="1">
        <v>45932</v>
      </c>
      <c r="G2017">
        <f>_xlfn.XLOOKUP(F2017,'Wk no''s'!B:B,'Wk no''s'!C:C,0)</f>
        <v>40</v>
      </c>
    </row>
    <row r="2018" spans="1:7" x14ac:dyDescent="0.3">
      <c r="A2018" t="s">
        <v>6691</v>
      </c>
      <c r="B2018" t="s">
        <v>6692</v>
      </c>
      <c r="C2018" t="s">
        <v>6693</v>
      </c>
      <c r="D2018">
        <v>0</v>
      </c>
      <c r="E2018">
        <v>1</v>
      </c>
      <c r="F2018" s="1">
        <v>45932</v>
      </c>
      <c r="G2018">
        <f>_xlfn.XLOOKUP(F2018,'Wk no''s'!B:B,'Wk no''s'!C:C,0)</f>
        <v>40</v>
      </c>
    </row>
    <row r="2019" spans="1:7" x14ac:dyDescent="0.3">
      <c r="A2019" t="s">
        <v>6694</v>
      </c>
      <c r="B2019" t="s">
        <v>6695</v>
      </c>
      <c r="C2019" t="s">
        <v>3310</v>
      </c>
      <c r="D2019">
        <v>0</v>
      </c>
      <c r="E2019">
        <v>1</v>
      </c>
      <c r="F2019" s="1">
        <v>45932</v>
      </c>
      <c r="G2019">
        <f>_xlfn.XLOOKUP(F2019,'Wk no''s'!B:B,'Wk no''s'!C:C,0)</f>
        <v>40</v>
      </c>
    </row>
    <row r="2020" spans="1:7" x14ac:dyDescent="0.3">
      <c r="A2020" t="s">
        <v>6696</v>
      </c>
      <c r="B2020" t="s">
        <v>6697</v>
      </c>
      <c r="C2020" t="s">
        <v>6698</v>
      </c>
      <c r="D2020">
        <v>0</v>
      </c>
      <c r="E2020">
        <v>1</v>
      </c>
      <c r="F2020" s="1">
        <v>45932</v>
      </c>
      <c r="G2020">
        <f>_xlfn.XLOOKUP(F2020,'Wk no''s'!B:B,'Wk no''s'!C:C,0)</f>
        <v>40</v>
      </c>
    </row>
    <row r="2021" spans="1:7" x14ac:dyDescent="0.3">
      <c r="A2021" t="s">
        <v>6699</v>
      </c>
      <c r="B2021" t="s">
        <v>6700</v>
      </c>
      <c r="C2021" t="s">
        <v>3034</v>
      </c>
      <c r="D2021">
        <v>0</v>
      </c>
      <c r="E2021">
        <v>1</v>
      </c>
      <c r="F2021" s="1">
        <v>45932</v>
      </c>
      <c r="G2021">
        <f>_xlfn.XLOOKUP(F2021,'Wk no''s'!B:B,'Wk no''s'!C:C,0)</f>
        <v>40</v>
      </c>
    </row>
    <row r="2022" spans="1:7" x14ac:dyDescent="0.3">
      <c r="A2022" t="s">
        <v>6701</v>
      </c>
      <c r="B2022" t="s">
        <v>6702</v>
      </c>
      <c r="C2022" t="s">
        <v>6703</v>
      </c>
      <c r="D2022">
        <v>5</v>
      </c>
      <c r="E2022">
        <v>1</v>
      </c>
      <c r="F2022" s="1">
        <v>45932</v>
      </c>
      <c r="G2022">
        <f>_xlfn.XLOOKUP(F2022,'Wk no''s'!B:B,'Wk no''s'!C:C,0)</f>
        <v>40</v>
      </c>
    </row>
    <row r="2023" spans="1:7" x14ac:dyDescent="0.3">
      <c r="A2023" t="s">
        <v>6704</v>
      </c>
      <c r="B2023" t="s">
        <v>6705</v>
      </c>
      <c r="C2023" t="s">
        <v>6706</v>
      </c>
      <c r="D2023">
        <v>0</v>
      </c>
      <c r="E2023">
        <v>1</v>
      </c>
      <c r="F2023" s="1">
        <v>45932</v>
      </c>
      <c r="G2023">
        <f>_xlfn.XLOOKUP(F2023,'Wk no''s'!B:B,'Wk no''s'!C:C,0)</f>
        <v>40</v>
      </c>
    </row>
    <row r="2024" spans="1:7" x14ac:dyDescent="0.3">
      <c r="A2024" t="s">
        <v>6707</v>
      </c>
      <c r="B2024" t="s">
        <v>6708</v>
      </c>
      <c r="C2024" t="s">
        <v>3987</v>
      </c>
      <c r="D2024">
        <v>0</v>
      </c>
      <c r="E2024">
        <v>1</v>
      </c>
      <c r="F2024" s="1">
        <v>45932</v>
      </c>
      <c r="G2024">
        <f>_xlfn.XLOOKUP(F2024,'Wk no''s'!B:B,'Wk no''s'!C:C,0)</f>
        <v>40</v>
      </c>
    </row>
    <row r="2025" spans="1:7" x14ac:dyDescent="0.3">
      <c r="A2025" t="s">
        <v>6709</v>
      </c>
      <c r="B2025" t="s">
        <v>6710</v>
      </c>
      <c r="C2025" t="s">
        <v>4404</v>
      </c>
      <c r="D2025">
        <v>4</v>
      </c>
      <c r="E2025">
        <v>1</v>
      </c>
      <c r="F2025" s="1">
        <v>45932</v>
      </c>
      <c r="G2025">
        <f>_xlfn.XLOOKUP(F2025,'Wk no''s'!B:B,'Wk no''s'!C:C,0)</f>
        <v>40</v>
      </c>
    </row>
    <row r="2026" spans="1:7" x14ac:dyDescent="0.3">
      <c r="A2026" t="s">
        <v>6711</v>
      </c>
      <c r="B2026" t="s">
        <v>6712</v>
      </c>
      <c r="C2026" t="s">
        <v>4951</v>
      </c>
      <c r="D2026">
        <v>0</v>
      </c>
      <c r="E2026">
        <v>1</v>
      </c>
      <c r="F2026" s="1">
        <v>45932</v>
      </c>
      <c r="G2026">
        <f>_xlfn.XLOOKUP(F2026,'Wk no''s'!B:B,'Wk no''s'!C:C,0)</f>
        <v>40</v>
      </c>
    </row>
    <row r="2027" spans="1:7" x14ac:dyDescent="0.3">
      <c r="A2027" t="s">
        <v>6713</v>
      </c>
      <c r="B2027" t="s">
        <v>6714</v>
      </c>
      <c r="C2027" t="s">
        <v>6715</v>
      </c>
      <c r="D2027">
        <v>0</v>
      </c>
      <c r="E2027">
        <v>1</v>
      </c>
      <c r="F2027" s="1">
        <v>45933</v>
      </c>
      <c r="G2027">
        <f>_xlfn.XLOOKUP(F2027,'Wk no''s'!B:B,'Wk no''s'!C:C,0)</f>
        <v>40</v>
      </c>
    </row>
    <row r="2028" spans="1:7" x14ac:dyDescent="0.3">
      <c r="A2028" t="s">
        <v>6716</v>
      </c>
      <c r="B2028" t="s">
        <v>6717</v>
      </c>
      <c r="C2028" t="s">
        <v>3552</v>
      </c>
      <c r="D2028">
        <v>6</v>
      </c>
      <c r="E2028">
        <v>0</v>
      </c>
      <c r="F2028" s="1">
        <v>45933</v>
      </c>
      <c r="G2028">
        <f>_xlfn.XLOOKUP(F2028,'Wk no''s'!B:B,'Wk no''s'!C:C,0)</f>
        <v>40</v>
      </c>
    </row>
    <row r="2029" spans="1:7" x14ac:dyDescent="0.3">
      <c r="A2029" t="s">
        <v>6718</v>
      </c>
      <c r="B2029" t="s">
        <v>6719</v>
      </c>
      <c r="C2029" t="s">
        <v>302</v>
      </c>
      <c r="D2029">
        <v>0</v>
      </c>
      <c r="E2029">
        <v>1</v>
      </c>
      <c r="F2029" s="1">
        <v>45933</v>
      </c>
      <c r="G2029">
        <f>_xlfn.XLOOKUP(F2029,'Wk no''s'!B:B,'Wk no''s'!C:C,0)</f>
        <v>40</v>
      </c>
    </row>
    <row r="2030" spans="1:7" x14ac:dyDescent="0.3">
      <c r="A2030" t="s">
        <v>6720</v>
      </c>
      <c r="B2030" t="s">
        <v>6721</v>
      </c>
      <c r="C2030" t="s">
        <v>113</v>
      </c>
      <c r="D2030">
        <v>0</v>
      </c>
      <c r="E2030">
        <v>1</v>
      </c>
      <c r="F2030" s="1">
        <v>45933</v>
      </c>
      <c r="G2030">
        <f>_xlfn.XLOOKUP(F2030,'Wk no''s'!B:B,'Wk no''s'!C:C,0)</f>
        <v>40</v>
      </c>
    </row>
    <row r="2031" spans="1:7" x14ac:dyDescent="0.3">
      <c r="A2031" t="s">
        <v>6722</v>
      </c>
      <c r="B2031" t="s">
        <v>6723</v>
      </c>
      <c r="C2031" t="s">
        <v>6724</v>
      </c>
      <c r="D2031">
        <v>0</v>
      </c>
      <c r="E2031">
        <v>1</v>
      </c>
      <c r="F2031" s="1">
        <v>45933</v>
      </c>
      <c r="G2031">
        <f>_xlfn.XLOOKUP(F2031,'Wk no''s'!B:B,'Wk no''s'!C:C,0)</f>
        <v>40</v>
      </c>
    </row>
    <row r="2032" spans="1:7" x14ac:dyDescent="0.3">
      <c r="A2032" t="s">
        <v>6725</v>
      </c>
      <c r="B2032" t="s">
        <v>6726</v>
      </c>
      <c r="C2032" t="s">
        <v>6727</v>
      </c>
      <c r="D2032">
        <v>0</v>
      </c>
      <c r="E2032">
        <v>1</v>
      </c>
      <c r="F2032" s="1">
        <v>45933</v>
      </c>
      <c r="G2032">
        <f>_xlfn.XLOOKUP(F2032,'Wk no''s'!B:B,'Wk no''s'!C:C,0)</f>
        <v>40</v>
      </c>
    </row>
    <row r="2033" spans="1:7" x14ac:dyDescent="0.3">
      <c r="A2033" t="s">
        <v>6728</v>
      </c>
      <c r="B2033" t="s">
        <v>6729</v>
      </c>
      <c r="C2033" t="s">
        <v>6730</v>
      </c>
      <c r="D2033">
        <v>1</v>
      </c>
      <c r="E2033">
        <v>1</v>
      </c>
      <c r="F2033" s="1">
        <v>45933</v>
      </c>
      <c r="G2033">
        <f>_xlfn.XLOOKUP(F2033,'Wk no''s'!B:B,'Wk no''s'!C:C,0)</f>
        <v>40</v>
      </c>
    </row>
    <row r="2034" spans="1:7" x14ac:dyDescent="0.3">
      <c r="A2034" t="s">
        <v>6731</v>
      </c>
      <c r="B2034" t="s">
        <v>6732</v>
      </c>
      <c r="C2034" t="s">
        <v>6733</v>
      </c>
      <c r="D2034">
        <v>0</v>
      </c>
      <c r="E2034">
        <v>1</v>
      </c>
      <c r="F2034" s="1">
        <v>45933</v>
      </c>
      <c r="G2034">
        <f>_xlfn.XLOOKUP(F2034,'Wk no''s'!B:B,'Wk no''s'!C:C,0)</f>
        <v>40</v>
      </c>
    </row>
    <row r="2035" spans="1:7" x14ac:dyDescent="0.3">
      <c r="A2035" t="s">
        <v>6734</v>
      </c>
      <c r="B2035" t="s">
        <v>6735</v>
      </c>
      <c r="C2035" t="s">
        <v>4709</v>
      </c>
      <c r="D2035">
        <v>0</v>
      </c>
      <c r="E2035">
        <v>1</v>
      </c>
      <c r="F2035" s="1">
        <v>45933</v>
      </c>
      <c r="G2035">
        <f>_xlfn.XLOOKUP(F2035,'Wk no''s'!B:B,'Wk no''s'!C:C,0)</f>
        <v>40</v>
      </c>
    </row>
    <row r="2036" spans="1:7" x14ac:dyDescent="0.3">
      <c r="A2036" t="s">
        <v>6737</v>
      </c>
      <c r="B2036" t="s">
        <v>6738</v>
      </c>
      <c r="C2036" t="s">
        <v>1902</v>
      </c>
      <c r="D2036">
        <v>8</v>
      </c>
      <c r="E2036">
        <v>0</v>
      </c>
      <c r="F2036" s="1">
        <v>45936</v>
      </c>
      <c r="G2036">
        <f>_xlfn.XLOOKUP(F2036,'Wk no''s'!B:B,'Wk no''s'!C:C,0)</f>
        <v>41</v>
      </c>
    </row>
    <row r="2037" spans="1:7" x14ac:dyDescent="0.3">
      <c r="A2037" t="s">
        <v>6739</v>
      </c>
      <c r="B2037" t="s">
        <v>6740</v>
      </c>
      <c r="C2037" t="s">
        <v>3177</v>
      </c>
      <c r="D2037">
        <v>7</v>
      </c>
      <c r="E2037">
        <v>0</v>
      </c>
      <c r="F2037" s="1">
        <v>45936</v>
      </c>
      <c r="G2037">
        <f>_xlfn.XLOOKUP(F2037,'Wk no''s'!B:B,'Wk no''s'!C:C,0)</f>
        <v>41</v>
      </c>
    </row>
    <row r="2038" spans="1:7" x14ac:dyDescent="0.3">
      <c r="A2038" t="s">
        <v>6741</v>
      </c>
      <c r="B2038" t="s">
        <v>6742</v>
      </c>
      <c r="C2038" t="s">
        <v>6531</v>
      </c>
      <c r="D2038">
        <v>6</v>
      </c>
      <c r="E2038">
        <v>0</v>
      </c>
      <c r="F2038" s="1">
        <v>45936</v>
      </c>
      <c r="G2038">
        <f>_xlfn.XLOOKUP(F2038,'Wk no''s'!B:B,'Wk no''s'!C:C,0)</f>
        <v>41</v>
      </c>
    </row>
    <row r="2039" spans="1:7" x14ac:dyDescent="0.3">
      <c r="A2039" t="s">
        <v>6743</v>
      </c>
      <c r="B2039" t="s">
        <v>6744</v>
      </c>
      <c r="C2039" t="s">
        <v>1343</v>
      </c>
      <c r="D2039">
        <v>0</v>
      </c>
      <c r="E2039">
        <v>1</v>
      </c>
      <c r="F2039" s="1">
        <v>45936</v>
      </c>
      <c r="G2039">
        <f>_xlfn.XLOOKUP(F2039,'Wk no''s'!B:B,'Wk no''s'!C:C,0)</f>
        <v>41</v>
      </c>
    </row>
    <row r="2040" spans="1:7" x14ac:dyDescent="0.3">
      <c r="A2040" t="s">
        <v>6745</v>
      </c>
      <c r="B2040" t="s">
        <v>6746</v>
      </c>
      <c r="C2040" t="s">
        <v>3034</v>
      </c>
      <c r="D2040">
        <v>2</v>
      </c>
      <c r="E2040">
        <v>1</v>
      </c>
      <c r="F2040" s="1">
        <v>45936</v>
      </c>
      <c r="G2040">
        <f>_xlfn.XLOOKUP(F2040,'Wk no''s'!B:B,'Wk no''s'!C:C,0)</f>
        <v>41</v>
      </c>
    </row>
    <row r="2041" spans="1:7" x14ac:dyDescent="0.3">
      <c r="A2041" t="s">
        <v>6747</v>
      </c>
      <c r="B2041" t="s">
        <v>6748</v>
      </c>
      <c r="C2041" t="s">
        <v>6749</v>
      </c>
      <c r="D2041">
        <v>0</v>
      </c>
      <c r="E2041">
        <v>1</v>
      </c>
      <c r="F2041" s="1">
        <v>45936</v>
      </c>
      <c r="G2041">
        <f>_xlfn.XLOOKUP(F2041,'Wk no''s'!B:B,'Wk no''s'!C:C,0)</f>
        <v>41</v>
      </c>
    </row>
    <row r="2042" spans="1:7" x14ac:dyDescent="0.3">
      <c r="A2042" t="s">
        <v>6750</v>
      </c>
      <c r="B2042" t="s">
        <v>6751</v>
      </c>
      <c r="C2042" t="s">
        <v>6752</v>
      </c>
      <c r="D2042">
        <v>4</v>
      </c>
      <c r="E2042">
        <v>1</v>
      </c>
      <c r="F2042" s="1">
        <v>45936</v>
      </c>
      <c r="G2042">
        <f>_xlfn.XLOOKUP(F2042,'Wk no''s'!B:B,'Wk no''s'!C:C,0)</f>
        <v>41</v>
      </c>
    </row>
    <row r="2043" spans="1:7" x14ac:dyDescent="0.3">
      <c r="A2043" t="s">
        <v>6753</v>
      </c>
      <c r="B2043" t="s">
        <v>6754</v>
      </c>
      <c r="C2043" t="s">
        <v>2291</v>
      </c>
      <c r="D2043">
        <v>0</v>
      </c>
      <c r="E2043">
        <v>1</v>
      </c>
      <c r="F2043" s="1">
        <v>45936</v>
      </c>
      <c r="G2043">
        <f>_xlfn.XLOOKUP(F2043,'Wk no''s'!B:B,'Wk no''s'!C:C,0)</f>
        <v>41</v>
      </c>
    </row>
    <row r="2044" spans="1:7" x14ac:dyDescent="0.3">
      <c r="A2044" t="s">
        <v>6755</v>
      </c>
      <c r="B2044" t="s">
        <v>6756</v>
      </c>
      <c r="C2044" t="s">
        <v>6757</v>
      </c>
      <c r="D2044">
        <v>0</v>
      </c>
      <c r="E2044">
        <v>1</v>
      </c>
      <c r="F2044" s="1">
        <v>45936</v>
      </c>
      <c r="G2044">
        <f>_xlfn.XLOOKUP(F2044,'Wk no''s'!B:B,'Wk no''s'!C:C,0)</f>
        <v>41</v>
      </c>
    </row>
    <row r="2045" spans="1:7" x14ac:dyDescent="0.3">
      <c r="A2045" t="s">
        <v>6758</v>
      </c>
      <c r="B2045" t="s">
        <v>6759</v>
      </c>
      <c r="C2045" t="s">
        <v>2471</v>
      </c>
      <c r="D2045">
        <v>0</v>
      </c>
      <c r="E2045">
        <v>1</v>
      </c>
      <c r="F2045" s="1">
        <v>45936</v>
      </c>
      <c r="G2045">
        <f>_xlfn.XLOOKUP(F2045,'Wk no''s'!B:B,'Wk no''s'!C:C,0)</f>
        <v>41</v>
      </c>
    </row>
    <row r="2046" spans="1:7" x14ac:dyDescent="0.3">
      <c r="A2046" t="s">
        <v>6760</v>
      </c>
      <c r="B2046" t="s">
        <v>6761</v>
      </c>
      <c r="C2046" t="s">
        <v>4775</v>
      </c>
      <c r="D2046">
        <v>0</v>
      </c>
      <c r="E2046">
        <v>1</v>
      </c>
      <c r="F2046" s="1">
        <v>45937</v>
      </c>
      <c r="G2046">
        <f>_xlfn.XLOOKUP(F2046,'Wk no''s'!B:B,'Wk no''s'!C:C,0)</f>
        <v>41</v>
      </c>
    </row>
    <row r="2047" spans="1:7" x14ac:dyDescent="0.3">
      <c r="A2047" t="s">
        <v>6762</v>
      </c>
      <c r="B2047" t="s">
        <v>6763</v>
      </c>
      <c r="C2047" t="s">
        <v>550</v>
      </c>
      <c r="D2047">
        <v>8</v>
      </c>
      <c r="E2047">
        <v>0</v>
      </c>
      <c r="F2047" s="1">
        <v>45937</v>
      </c>
      <c r="G2047">
        <f>_xlfn.XLOOKUP(F2047,'Wk no''s'!B:B,'Wk no''s'!C:C,0)</f>
        <v>41</v>
      </c>
    </row>
    <row r="2048" spans="1:7" x14ac:dyDescent="0.3">
      <c r="A2048" t="s">
        <v>6764</v>
      </c>
      <c r="B2048" t="s">
        <v>6765</v>
      </c>
      <c r="C2048" t="s">
        <v>1772</v>
      </c>
      <c r="D2048">
        <v>0</v>
      </c>
      <c r="E2048">
        <v>1</v>
      </c>
      <c r="F2048" s="1">
        <v>45937</v>
      </c>
      <c r="G2048">
        <f>_xlfn.XLOOKUP(F2048,'Wk no''s'!B:B,'Wk no''s'!C:C,0)</f>
        <v>41</v>
      </c>
    </row>
    <row r="2049" spans="1:7" x14ac:dyDescent="0.3">
      <c r="A2049" t="s">
        <v>6766</v>
      </c>
      <c r="B2049" t="s">
        <v>6767</v>
      </c>
      <c r="C2049" t="s">
        <v>39</v>
      </c>
      <c r="D2049">
        <v>0</v>
      </c>
      <c r="E2049">
        <v>1</v>
      </c>
      <c r="F2049" s="1">
        <v>45937</v>
      </c>
      <c r="G2049">
        <f>_xlfn.XLOOKUP(F2049,'Wk no''s'!B:B,'Wk no''s'!C:C,0)</f>
        <v>41</v>
      </c>
    </row>
    <row r="2050" spans="1:7" x14ac:dyDescent="0.3">
      <c r="A2050" t="s">
        <v>6768</v>
      </c>
      <c r="B2050" t="s">
        <v>6769</v>
      </c>
      <c r="C2050" t="s">
        <v>4775</v>
      </c>
      <c r="D2050">
        <v>0</v>
      </c>
      <c r="E2050">
        <v>1</v>
      </c>
      <c r="F2050" s="1">
        <v>45937</v>
      </c>
      <c r="G2050">
        <f>_xlfn.XLOOKUP(F2050,'Wk no''s'!B:B,'Wk no''s'!C:C,0)</f>
        <v>41</v>
      </c>
    </row>
    <row r="2051" spans="1:7" x14ac:dyDescent="0.3">
      <c r="A2051" t="s">
        <v>6770</v>
      </c>
      <c r="B2051" t="s">
        <v>6771</v>
      </c>
      <c r="C2051" t="s">
        <v>809</v>
      </c>
      <c r="D2051">
        <v>0</v>
      </c>
      <c r="E2051">
        <v>1</v>
      </c>
      <c r="F2051" s="1">
        <v>45937</v>
      </c>
      <c r="G2051">
        <f>_xlfn.XLOOKUP(F2051,'Wk no''s'!B:B,'Wk no''s'!C:C,0)</f>
        <v>41</v>
      </c>
    </row>
    <row r="2052" spans="1:7" x14ac:dyDescent="0.3">
      <c r="A2052" t="s">
        <v>6772</v>
      </c>
      <c r="B2052" t="s">
        <v>6773</v>
      </c>
      <c r="C2052" t="s">
        <v>6774</v>
      </c>
      <c r="D2052">
        <v>0</v>
      </c>
      <c r="E2052">
        <v>1</v>
      </c>
      <c r="F2052" s="1">
        <v>45937</v>
      </c>
      <c r="G2052">
        <f>_xlfn.XLOOKUP(F2052,'Wk no''s'!B:B,'Wk no''s'!C:C,0)</f>
        <v>41</v>
      </c>
    </row>
    <row r="2053" spans="1:7" x14ac:dyDescent="0.3">
      <c r="A2053" t="s">
        <v>6775</v>
      </c>
      <c r="B2053" t="s">
        <v>6776</v>
      </c>
      <c r="C2053" t="s">
        <v>2840</v>
      </c>
      <c r="D2053">
        <v>0</v>
      </c>
      <c r="E2053">
        <v>1</v>
      </c>
      <c r="F2053" s="1">
        <v>45937</v>
      </c>
      <c r="G2053">
        <f>_xlfn.XLOOKUP(F2053,'Wk no''s'!B:B,'Wk no''s'!C:C,0)</f>
        <v>41</v>
      </c>
    </row>
    <row r="2054" spans="1:7" x14ac:dyDescent="0.3">
      <c r="A2054" t="s">
        <v>6777</v>
      </c>
      <c r="B2054" t="s">
        <v>6778</v>
      </c>
      <c r="C2054" t="s">
        <v>6779</v>
      </c>
      <c r="D2054">
        <v>0</v>
      </c>
      <c r="E2054">
        <v>1</v>
      </c>
      <c r="F2054" s="1">
        <v>45937</v>
      </c>
      <c r="G2054">
        <f>_xlfn.XLOOKUP(F2054,'Wk no''s'!B:B,'Wk no''s'!C:C,0)</f>
        <v>41</v>
      </c>
    </row>
    <row r="2055" spans="1:7" x14ac:dyDescent="0.3">
      <c r="A2055" t="s">
        <v>6780</v>
      </c>
      <c r="B2055" t="s">
        <v>6781</v>
      </c>
      <c r="C2055" t="s">
        <v>6664</v>
      </c>
      <c r="D2055">
        <v>0</v>
      </c>
      <c r="E2055">
        <v>1</v>
      </c>
      <c r="F2055" s="1">
        <v>45937</v>
      </c>
      <c r="G2055">
        <f>_xlfn.XLOOKUP(F2055,'Wk no''s'!B:B,'Wk no''s'!C:C,0)</f>
        <v>41</v>
      </c>
    </row>
    <row r="2056" spans="1:7" x14ac:dyDescent="0.3">
      <c r="A2056" t="s">
        <v>6782</v>
      </c>
      <c r="B2056" t="s">
        <v>6783</v>
      </c>
      <c r="C2056" t="s">
        <v>4981</v>
      </c>
      <c r="D2056">
        <v>0</v>
      </c>
      <c r="E2056">
        <v>1</v>
      </c>
      <c r="F2056" s="1">
        <v>45937</v>
      </c>
      <c r="G2056">
        <f>_xlfn.XLOOKUP(F2056,'Wk no''s'!B:B,'Wk no''s'!C:C,0)</f>
        <v>41</v>
      </c>
    </row>
    <row r="2057" spans="1:7" x14ac:dyDescent="0.3">
      <c r="A2057" t="s">
        <v>6784</v>
      </c>
      <c r="B2057" t="s">
        <v>6785</v>
      </c>
      <c r="C2057" t="s">
        <v>2770</v>
      </c>
      <c r="D2057">
        <v>6</v>
      </c>
      <c r="E2057">
        <v>0</v>
      </c>
      <c r="F2057" s="1">
        <v>45937</v>
      </c>
      <c r="G2057">
        <f>_xlfn.XLOOKUP(F2057,'Wk no''s'!B:B,'Wk no''s'!C:C,0)</f>
        <v>41</v>
      </c>
    </row>
    <row r="2058" spans="1:7" x14ac:dyDescent="0.3">
      <c r="A2058" t="s">
        <v>6786</v>
      </c>
      <c r="B2058" t="s">
        <v>6787</v>
      </c>
      <c r="C2058" t="s">
        <v>1902</v>
      </c>
      <c r="D2058">
        <v>0</v>
      </c>
      <c r="E2058">
        <v>1</v>
      </c>
      <c r="F2058" s="1">
        <v>45937</v>
      </c>
      <c r="G2058">
        <f>_xlfn.XLOOKUP(F2058,'Wk no''s'!B:B,'Wk no''s'!C:C,0)</f>
        <v>41</v>
      </c>
    </row>
    <row r="2059" spans="1:7" x14ac:dyDescent="0.3">
      <c r="A2059" t="s">
        <v>6788</v>
      </c>
      <c r="B2059" t="s">
        <v>6789</v>
      </c>
      <c r="C2059" t="s">
        <v>1902</v>
      </c>
      <c r="D2059">
        <v>0</v>
      </c>
      <c r="E2059">
        <v>1</v>
      </c>
      <c r="F2059" s="1">
        <v>45937</v>
      </c>
      <c r="G2059">
        <f>_xlfn.XLOOKUP(F2059,'Wk no''s'!B:B,'Wk no''s'!C:C,0)</f>
        <v>41</v>
      </c>
    </row>
    <row r="2060" spans="1:7" x14ac:dyDescent="0.3">
      <c r="A2060" t="s">
        <v>6790</v>
      </c>
      <c r="B2060" t="s">
        <v>6791</v>
      </c>
      <c r="C2060" t="s">
        <v>5237</v>
      </c>
      <c r="D2060">
        <v>8</v>
      </c>
      <c r="E2060">
        <v>0</v>
      </c>
      <c r="F2060" s="1">
        <v>45937</v>
      </c>
      <c r="G2060">
        <f>_xlfn.XLOOKUP(F2060,'Wk no''s'!B:B,'Wk no''s'!C:C,0)</f>
        <v>41</v>
      </c>
    </row>
    <row r="2061" spans="1:7" x14ac:dyDescent="0.3">
      <c r="A2061" t="s">
        <v>6792</v>
      </c>
      <c r="B2061" t="s">
        <v>6793</v>
      </c>
      <c r="C2061" t="s">
        <v>6794</v>
      </c>
      <c r="D2061">
        <v>7</v>
      </c>
      <c r="E2061">
        <v>0</v>
      </c>
      <c r="F2061" s="1">
        <v>45937</v>
      </c>
      <c r="G2061">
        <f>_xlfn.XLOOKUP(F2061,'Wk no''s'!B:B,'Wk no''s'!C:C,0)</f>
        <v>41</v>
      </c>
    </row>
    <row r="2062" spans="1:7" x14ac:dyDescent="0.3">
      <c r="A2062" t="s">
        <v>6795</v>
      </c>
      <c r="B2062" t="s">
        <v>6796</v>
      </c>
      <c r="C2062" t="s">
        <v>1437</v>
      </c>
      <c r="D2062">
        <v>0</v>
      </c>
      <c r="E2062">
        <v>1</v>
      </c>
      <c r="F2062" s="1">
        <v>45937</v>
      </c>
      <c r="G2062">
        <f>_xlfn.XLOOKUP(F2062,'Wk no''s'!B:B,'Wk no''s'!C:C,0)</f>
        <v>41</v>
      </c>
    </row>
    <row r="2063" spans="1:7" x14ac:dyDescent="0.3">
      <c r="A2063" t="s">
        <v>6797</v>
      </c>
      <c r="B2063" t="s">
        <v>6798</v>
      </c>
      <c r="C2063" t="s">
        <v>6799</v>
      </c>
      <c r="D2063">
        <v>2</v>
      </c>
      <c r="E2063">
        <v>1</v>
      </c>
      <c r="F2063" s="1">
        <v>45938</v>
      </c>
      <c r="G2063">
        <f>_xlfn.XLOOKUP(F2063,'Wk no''s'!B:B,'Wk no''s'!C:C,0)</f>
        <v>41</v>
      </c>
    </row>
    <row r="2064" spans="1:7" x14ac:dyDescent="0.3">
      <c r="A2064" t="s">
        <v>6800</v>
      </c>
      <c r="B2064" t="s">
        <v>6801</v>
      </c>
      <c r="C2064" t="s">
        <v>6802</v>
      </c>
      <c r="D2064">
        <v>5</v>
      </c>
      <c r="E2064">
        <v>1</v>
      </c>
      <c r="F2064" s="1">
        <v>45938</v>
      </c>
      <c r="G2064">
        <f>_xlfn.XLOOKUP(F2064,'Wk no''s'!B:B,'Wk no''s'!C:C,0)</f>
        <v>41</v>
      </c>
    </row>
    <row r="2065" spans="1:7" x14ac:dyDescent="0.3">
      <c r="A2065" t="s">
        <v>6803</v>
      </c>
      <c r="B2065" t="s">
        <v>6804</v>
      </c>
      <c r="C2065" t="s">
        <v>2291</v>
      </c>
      <c r="D2065">
        <v>0</v>
      </c>
      <c r="E2065">
        <v>1</v>
      </c>
      <c r="F2065" s="1">
        <v>45938</v>
      </c>
      <c r="G2065">
        <f>_xlfn.XLOOKUP(F2065,'Wk no''s'!B:B,'Wk no''s'!C:C,0)</f>
        <v>41</v>
      </c>
    </row>
    <row r="2066" spans="1:7" x14ac:dyDescent="0.3">
      <c r="A2066" t="s">
        <v>6805</v>
      </c>
      <c r="B2066" t="s">
        <v>6806</v>
      </c>
      <c r="C2066" t="s">
        <v>2291</v>
      </c>
      <c r="D2066">
        <v>0</v>
      </c>
      <c r="E2066">
        <v>1</v>
      </c>
      <c r="F2066" s="1">
        <v>45938</v>
      </c>
      <c r="G2066">
        <f>_xlfn.XLOOKUP(F2066,'Wk no''s'!B:B,'Wk no''s'!C:C,0)</f>
        <v>41</v>
      </c>
    </row>
    <row r="2067" spans="1:7" x14ac:dyDescent="0.3">
      <c r="A2067" t="s">
        <v>6807</v>
      </c>
      <c r="B2067" t="s">
        <v>6808</v>
      </c>
      <c r="C2067" t="s">
        <v>6809</v>
      </c>
      <c r="D2067">
        <v>0</v>
      </c>
      <c r="E2067">
        <v>1</v>
      </c>
      <c r="F2067" s="1">
        <v>45938</v>
      </c>
      <c r="G2067">
        <f>_xlfn.XLOOKUP(F2067,'Wk no''s'!B:B,'Wk no''s'!C:C,0)</f>
        <v>41</v>
      </c>
    </row>
    <row r="2068" spans="1:7" x14ac:dyDescent="0.3">
      <c r="A2068" t="s">
        <v>6810</v>
      </c>
      <c r="B2068" t="s">
        <v>6811</v>
      </c>
      <c r="C2068" t="s">
        <v>809</v>
      </c>
      <c r="D2068">
        <v>2</v>
      </c>
      <c r="E2068">
        <v>1</v>
      </c>
      <c r="F2068" s="1">
        <v>45938</v>
      </c>
      <c r="G2068">
        <f>_xlfn.XLOOKUP(F2068,'Wk no''s'!B:B,'Wk no''s'!C:C,0)</f>
        <v>41</v>
      </c>
    </row>
    <row r="2069" spans="1:7" x14ac:dyDescent="0.3">
      <c r="A2069" t="s">
        <v>6812</v>
      </c>
      <c r="B2069" t="s">
        <v>6813</v>
      </c>
      <c r="C2069" t="s">
        <v>38</v>
      </c>
      <c r="D2069">
        <v>5</v>
      </c>
      <c r="E2069">
        <v>1</v>
      </c>
      <c r="F2069" s="1">
        <v>45938</v>
      </c>
      <c r="G2069">
        <f>_xlfn.XLOOKUP(F2069,'Wk no''s'!B:B,'Wk no''s'!C:C,0)</f>
        <v>41</v>
      </c>
    </row>
    <row r="2070" spans="1:7" x14ac:dyDescent="0.3">
      <c r="A2070" t="s">
        <v>6814</v>
      </c>
      <c r="B2070" t="s">
        <v>6815</v>
      </c>
      <c r="C2070" t="s">
        <v>2429</v>
      </c>
      <c r="D2070">
        <v>0</v>
      </c>
      <c r="E2070">
        <v>1</v>
      </c>
      <c r="F2070" s="1">
        <v>45939</v>
      </c>
      <c r="G2070">
        <f>_xlfn.XLOOKUP(F2070,'Wk no''s'!B:B,'Wk no''s'!C:C,0)</f>
        <v>41</v>
      </c>
    </row>
    <row r="2071" spans="1:7" x14ac:dyDescent="0.3">
      <c r="A2071" t="s">
        <v>6816</v>
      </c>
      <c r="B2071" t="s">
        <v>6817</v>
      </c>
      <c r="C2071" t="s">
        <v>6818</v>
      </c>
      <c r="D2071">
        <v>0</v>
      </c>
      <c r="E2071">
        <v>1</v>
      </c>
      <c r="F2071" s="1">
        <v>45939</v>
      </c>
      <c r="G2071">
        <f>_xlfn.XLOOKUP(F2071,'Wk no''s'!B:B,'Wk no''s'!C:C,0)</f>
        <v>41</v>
      </c>
    </row>
    <row r="2072" spans="1:7" x14ac:dyDescent="0.3">
      <c r="A2072" t="s">
        <v>6819</v>
      </c>
      <c r="B2072" t="s">
        <v>6820</v>
      </c>
      <c r="C2072" t="s">
        <v>6821</v>
      </c>
      <c r="D2072">
        <v>0</v>
      </c>
      <c r="E2072">
        <v>1</v>
      </c>
      <c r="F2072" s="1">
        <v>45939</v>
      </c>
      <c r="G2072">
        <f>_xlfn.XLOOKUP(F2072,'Wk no''s'!B:B,'Wk no''s'!C:C,0)</f>
        <v>41</v>
      </c>
    </row>
    <row r="2073" spans="1:7" x14ac:dyDescent="0.3">
      <c r="A2073" t="s">
        <v>6822</v>
      </c>
      <c r="B2073" t="s">
        <v>6823</v>
      </c>
      <c r="C2073" t="s">
        <v>1224</v>
      </c>
      <c r="D2073">
        <v>0</v>
      </c>
      <c r="E2073">
        <v>1</v>
      </c>
      <c r="F2073" s="1">
        <v>45939</v>
      </c>
      <c r="G2073">
        <f>_xlfn.XLOOKUP(F2073,'Wk no''s'!B:B,'Wk no''s'!C:C,0)</f>
        <v>41</v>
      </c>
    </row>
    <row r="2074" spans="1:7" x14ac:dyDescent="0.3">
      <c r="A2074" t="s">
        <v>6824</v>
      </c>
      <c r="B2074" t="s">
        <v>6825</v>
      </c>
      <c r="C2074" t="s">
        <v>6826</v>
      </c>
      <c r="D2074">
        <v>0</v>
      </c>
      <c r="E2074">
        <v>1</v>
      </c>
      <c r="F2074" s="1">
        <v>45939</v>
      </c>
      <c r="G2074">
        <f>_xlfn.XLOOKUP(F2074,'Wk no''s'!B:B,'Wk no''s'!C:C,0)</f>
        <v>41</v>
      </c>
    </row>
    <row r="2075" spans="1:7" x14ac:dyDescent="0.3">
      <c r="A2075" t="s">
        <v>6827</v>
      </c>
      <c r="B2075" t="s">
        <v>6828</v>
      </c>
      <c r="C2075" t="s">
        <v>6829</v>
      </c>
      <c r="D2075">
        <v>0</v>
      </c>
      <c r="E2075">
        <v>1</v>
      </c>
      <c r="F2075" s="1">
        <v>45939</v>
      </c>
      <c r="G2075">
        <f>_xlfn.XLOOKUP(F2075,'Wk no''s'!B:B,'Wk no''s'!C:C,0)</f>
        <v>41</v>
      </c>
    </row>
    <row r="2076" spans="1:7" x14ac:dyDescent="0.3">
      <c r="A2076" t="s">
        <v>6830</v>
      </c>
      <c r="B2076" t="s">
        <v>6831</v>
      </c>
      <c r="C2076" t="s">
        <v>6832</v>
      </c>
      <c r="D2076">
        <v>3</v>
      </c>
      <c r="E2076">
        <v>1</v>
      </c>
      <c r="F2076" s="1">
        <v>45939</v>
      </c>
      <c r="G2076">
        <f>_xlfn.XLOOKUP(F2076,'Wk no''s'!B:B,'Wk no''s'!C:C,0)</f>
        <v>41</v>
      </c>
    </row>
    <row r="2077" spans="1:7" x14ac:dyDescent="0.3">
      <c r="A2077" t="s">
        <v>6833</v>
      </c>
      <c r="B2077" t="s">
        <v>6834</v>
      </c>
      <c r="C2077" t="s">
        <v>6835</v>
      </c>
      <c r="D2077">
        <v>3</v>
      </c>
      <c r="E2077">
        <v>1</v>
      </c>
      <c r="F2077" s="1">
        <v>45939</v>
      </c>
      <c r="G2077">
        <f>_xlfn.XLOOKUP(F2077,'Wk no''s'!B:B,'Wk no''s'!C:C,0)</f>
        <v>41</v>
      </c>
    </row>
    <row r="2078" spans="1:7" x14ac:dyDescent="0.3">
      <c r="A2078" t="s">
        <v>6836</v>
      </c>
      <c r="B2078" t="s">
        <v>6837</v>
      </c>
      <c r="C2078" t="s">
        <v>407</v>
      </c>
      <c r="D2078">
        <v>0</v>
      </c>
      <c r="E2078">
        <v>1</v>
      </c>
      <c r="F2078" s="1">
        <v>45939</v>
      </c>
      <c r="G2078">
        <f>_xlfn.XLOOKUP(F2078,'Wk no''s'!B:B,'Wk no''s'!C:C,0)</f>
        <v>41</v>
      </c>
    </row>
    <row r="2079" spans="1:7" x14ac:dyDescent="0.3">
      <c r="A2079" t="s">
        <v>6838</v>
      </c>
      <c r="B2079" t="s">
        <v>6839</v>
      </c>
      <c r="C2079" t="s">
        <v>4136</v>
      </c>
      <c r="D2079">
        <v>2</v>
      </c>
      <c r="E2079">
        <v>1</v>
      </c>
      <c r="F2079" s="1">
        <v>45939</v>
      </c>
      <c r="G2079">
        <f>_xlfn.XLOOKUP(F2079,'Wk no''s'!B:B,'Wk no''s'!C:C,0)</f>
        <v>41</v>
      </c>
    </row>
    <row r="2080" spans="1:7" x14ac:dyDescent="0.3">
      <c r="A2080" t="s">
        <v>6840</v>
      </c>
      <c r="B2080" t="s">
        <v>6841</v>
      </c>
      <c r="C2080" t="s">
        <v>6842</v>
      </c>
      <c r="D2080">
        <v>0</v>
      </c>
      <c r="E2080">
        <v>1</v>
      </c>
      <c r="F2080" s="1">
        <v>45939</v>
      </c>
      <c r="G2080">
        <f>_xlfn.XLOOKUP(F2080,'Wk no''s'!B:B,'Wk no''s'!C:C,0)</f>
        <v>41</v>
      </c>
    </row>
    <row r="2081" spans="1:7" x14ac:dyDescent="0.3">
      <c r="A2081" t="s">
        <v>6843</v>
      </c>
      <c r="B2081" t="s">
        <v>6844</v>
      </c>
      <c r="C2081" t="s">
        <v>3462</v>
      </c>
      <c r="D2081">
        <v>5</v>
      </c>
      <c r="E2081">
        <v>1</v>
      </c>
      <c r="F2081" s="1">
        <v>45939</v>
      </c>
      <c r="G2081">
        <f>_xlfn.XLOOKUP(F2081,'Wk no''s'!B:B,'Wk no''s'!C:C,0)</f>
        <v>41</v>
      </c>
    </row>
    <row r="2082" spans="1:7" x14ac:dyDescent="0.3">
      <c r="A2082" t="s">
        <v>6845</v>
      </c>
      <c r="B2082" t="s">
        <v>6846</v>
      </c>
      <c r="C2082" t="s">
        <v>3462</v>
      </c>
      <c r="D2082">
        <v>5</v>
      </c>
      <c r="E2082">
        <v>1</v>
      </c>
      <c r="F2082" s="1">
        <v>45939</v>
      </c>
      <c r="G2082">
        <f>_xlfn.XLOOKUP(F2082,'Wk no''s'!B:B,'Wk no''s'!C:C,0)</f>
        <v>41</v>
      </c>
    </row>
    <row r="2083" spans="1:7" x14ac:dyDescent="0.3">
      <c r="A2083" t="s">
        <v>6847</v>
      </c>
      <c r="B2083" t="s">
        <v>6848</v>
      </c>
      <c r="C2083" t="s">
        <v>3462</v>
      </c>
      <c r="D2083">
        <v>5</v>
      </c>
      <c r="E2083">
        <v>1</v>
      </c>
      <c r="F2083" s="1">
        <v>45939</v>
      </c>
      <c r="G2083">
        <f>_xlfn.XLOOKUP(F2083,'Wk no''s'!B:B,'Wk no''s'!C:C,0)</f>
        <v>41</v>
      </c>
    </row>
    <row r="2084" spans="1:7" x14ac:dyDescent="0.3">
      <c r="A2084" t="s">
        <v>6849</v>
      </c>
      <c r="B2084" t="s">
        <v>6850</v>
      </c>
      <c r="C2084" t="s">
        <v>6026</v>
      </c>
      <c r="D2084">
        <v>0</v>
      </c>
      <c r="E2084">
        <v>1</v>
      </c>
      <c r="F2084" s="1">
        <v>45940</v>
      </c>
      <c r="G2084">
        <f>_xlfn.XLOOKUP(F2084,'Wk no''s'!B:B,'Wk no''s'!C:C,0)</f>
        <v>41</v>
      </c>
    </row>
    <row r="2085" spans="1:7" x14ac:dyDescent="0.3">
      <c r="A2085" t="s">
        <v>6851</v>
      </c>
      <c r="B2085" t="s">
        <v>6852</v>
      </c>
      <c r="C2085" t="s">
        <v>4128</v>
      </c>
      <c r="D2085">
        <v>0</v>
      </c>
      <c r="E2085">
        <v>1</v>
      </c>
      <c r="F2085" s="1">
        <v>45940</v>
      </c>
      <c r="G2085">
        <f>_xlfn.XLOOKUP(F2085,'Wk no''s'!B:B,'Wk no''s'!C:C,0)</f>
        <v>41</v>
      </c>
    </row>
    <row r="2086" spans="1:7" x14ac:dyDescent="0.3">
      <c r="A2086" t="s">
        <v>6853</v>
      </c>
      <c r="B2086" t="s">
        <v>6854</v>
      </c>
      <c r="C2086" t="s">
        <v>3199</v>
      </c>
      <c r="D2086">
        <v>0</v>
      </c>
      <c r="E2086">
        <v>1</v>
      </c>
      <c r="F2086" s="1">
        <v>45940</v>
      </c>
      <c r="G2086">
        <f>_xlfn.XLOOKUP(F2086,'Wk no''s'!B:B,'Wk no''s'!C:C,0)</f>
        <v>41</v>
      </c>
    </row>
    <row r="2087" spans="1:7" x14ac:dyDescent="0.3">
      <c r="A2087" t="s">
        <v>6855</v>
      </c>
      <c r="B2087" t="s">
        <v>6856</v>
      </c>
      <c r="C2087" t="s">
        <v>809</v>
      </c>
      <c r="D2087">
        <v>0</v>
      </c>
      <c r="E2087">
        <v>1</v>
      </c>
      <c r="F2087" s="1">
        <v>45940</v>
      </c>
      <c r="G2087">
        <f>_xlfn.XLOOKUP(F2087,'Wk no''s'!B:B,'Wk no''s'!C:C,0)</f>
        <v>41</v>
      </c>
    </row>
    <row r="2088" spans="1:7" x14ac:dyDescent="0.3">
      <c r="A2088" t="s">
        <v>6857</v>
      </c>
      <c r="B2088" t="s">
        <v>6858</v>
      </c>
      <c r="C2088" t="s">
        <v>3591</v>
      </c>
      <c r="D2088">
        <v>0</v>
      </c>
      <c r="E2088">
        <v>1</v>
      </c>
      <c r="F2088" s="1">
        <v>45940</v>
      </c>
      <c r="G2088">
        <f>_xlfn.XLOOKUP(F2088,'Wk no''s'!B:B,'Wk no''s'!C:C,0)</f>
        <v>41</v>
      </c>
    </row>
    <row r="2089" spans="1:7" x14ac:dyDescent="0.3">
      <c r="A2089" t="s">
        <v>6859</v>
      </c>
      <c r="B2089" t="s">
        <v>6860</v>
      </c>
      <c r="C2089" t="s">
        <v>3199</v>
      </c>
      <c r="D2089">
        <v>0</v>
      </c>
      <c r="E2089">
        <v>1</v>
      </c>
      <c r="F2089" s="1">
        <v>45940</v>
      </c>
      <c r="G2089">
        <f>_xlfn.XLOOKUP(F2089,'Wk no''s'!B:B,'Wk no''s'!C:C,0)</f>
        <v>41</v>
      </c>
    </row>
    <row r="2090" spans="1:7" x14ac:dyDescent="0.3">
      <c r="A2090" t="s">
        <v>6861</v>
      </c>
      <c r="B2090" t="s">
        <v>6862</v>
      </c>
      <c r="C2090" t="s">
        <v>3199</v>
      </c>
      <c r="D2090">
        <v>0</v>
      </c>
      <c r="E2090">
        <v>1</v>
      </c>
      <c r="F2090" s="1">
        <v>45940</v>
      </c>
      <c r="G2090">
        <f>_xlfn.XLOOKUP(F2090,'Wk no''s'!B:B,'Wk no''s'!C:C,0)</f>
        <v>41</v>
      </c>
    </row>
    <row r="2091" spans="1:7" x14ac:dyDescent="0.3">
      <c r="A2091" t="s">
        <v>6863</v>
      </c>
      <c r="B2091" t="s">
        <v>6864</v>
      </c>
      <c r="C2091" t="s">
        <v>3199</v>
      </c>
      <c r="D2091">
        <v>0</v>
      </c>
      <c r="E2091">
        <v>1</v>
      </c>
      <c r="F2091" s="1">
        <v>45940</v>
      </c>
      <c r="G2091">
        <f>_xlfn.XLOOKUP(F2091,'Wk no''s'!B:B,'Wk no''s'!C:C,0)</f>
        <v>41</v>
      </c>
    </row>
    <row r="2092" spans="1:7" x14ac:dyDescent="0.3">
      <c r="A2092" t="s">
        <v>6909</v>
      </c>
      <c r="B2092" t="s">
        <v>6910</v>
      </c>
      <c r="C2092" t="s">
        <v>3034</v>
      </c>
      <c r="D2092">
        <v>0</v>
      </c>
      <c r="E2092">
        <v>1</v>
      </c>
      <c r="F2092" s="1">
        <v>45943</v>
      </c>
      <c r="G2092">
        <f>_xlfn.XLOOKUP(F2092,'Wk no''s'!B:B,'Wk no''s'!C:C,0)</f>
        <v>42</v>
      </c>
    </row>
    <row r="2093" spans="1:7" x14ac:dyDescent="0.3">
      <c r="A2093" t="s">
        <v>6911</v>
      </c>
      <c r="B2093" t="s">
        <v>6912</v>
      </c>
      <c r="C2093" t="s">
        <v>3055</v>
      </c>
      <c r="D2093">
        <v>0</v>
      </c>
      <c r="E2093">
        <v>1</v>
      </c>
      <c r="F2093" s="1">
        <v>45943</v>
      </c>
      <c r="G2093">
        <f>_xlfn.XLOOKUP(F2093,'Wk no''s'!B:B,'Wk no''s'!C:C,0)</f>
        <v>42</v>
      </c>
    </row>
    <row r="2094" spans="1:7" x14ac:dyDescent="0.3">
      <c r="A2094" t="s">
        <v>6913</v>
      </c>
      <c r="B2094" t="s">
        <v>6914</v>
      </c>
      <c r="C2094" t="s">
        <v>197</v>
      </c>
      <c r="D2094">
        <v>0</v>
      </c>
      <c r="E2094">
        <v>1</v>
      </c>
      <c r="F2094" s="1">
        <v>45943</v>
      </c>
      <c r="G2094">
        <f>_xlfn.XLOOKUP(F2094,'Wk no''s'!B:B,'Wk no''s'!C:C,0)</f>
        <v>42</v>
      </c>
    </row>
    <row r="2095" spans="1:7" x14ac:dyDescent="0.3">
      <c r="A2095" t="s">
        <v>6915</v>
      </c>
      <c r="B2095" t="s">
        <v>6916</v>
      </c>
      <c r="C2095" t="s">
        <v>3544</v>
      </c>
      <c r="D2095">
        <v>0</v>
      </c>
      <c r="E2095">
        <v>1</v>
      </c>
      <c r="F2095" s="1">
        <v>45943</v>
      </c>
      <c r="G2095">
        <f>_xlfn.XLOOKUP(F2095,'Wk no''s'!B:B,'Wk no''s'!C:C,0)</f>
        <v>42</v>
      </c>
    </row>
    <row r="2096" spans="1:7" x14ac:dyDescent="0.3">
      <c r="A2096" t="s">
        <v>6917</v>
      </c>
      <c r="B2096" t="s">
        <v>6918</v>
      </c>
      <c r="C2096" t="s">
        <v>5940</v>
      </c>
      <c r="D2096">
        <v>0</v>
      </c>
      <c r="E2096">
        <v>1</v>
      </c>
      <c r="F2096" s="1">
        <v>45944</v>
      </c>
      <c r="G2096">
        <f>_xlfn.XLOOKUP(F2096,'Wk no''s'!B:B,'Wk no''s'!C:C,0)</f>
        <v>42</v>
      </c>
    </row>
    <row r="2097" spans="1:7" x14ac:dyDescent="0.3">
      <c r="A2097" t="s">
        <v>6919</v>
      </c>
      <c r="B2097" t="s">
        <v>6920</v>
      </c>
      <c r="C2097" t="s">
        <v>6921</v>
      </c>
      <c r="D2097">
        <v>0</v>
      </c>
      <c r="E2097">
        <v>1</v>
      </c>
      <c r="F2097" s="1">
        <v>45944</v>
      </c>
      <c r="G2097">
        <f>_xlfn.XLOOKUP(F2097,'Wk no''s'!B:B,'Wk no''s'!C:C,0)</f>
        <v>42</v>
      </c>
    </row>
    <row r="2098" spans="1:7" x14ac:dyDescent="0.3">
      <c r="A2098" t="s">
        <v>6922</v>
      </c>
      <c r="B2098" t="s">
        <v>6923</v>
      </c>
      <c r="C2098" t="s">
        <v>3226</v>
      </c>
      <c r="D2098">
        <v>0</v>
      </c>
      <c r="E2098">
        <v>1</v>
      </c>
      <c r="F2098" s="1">
        <v>45944</v>
      </c>
      <c r="G2098">
        <f>_xlfn.XLOOKUP(F2098,'Wk no''s'!B:B,'Wk no''s'!C:C,0)</f>
        <v>42</v>
      </c>
    </row>
    <row r="2099" spans="1:7" x14ac:dyDescent="0.3">
      <c r="A2099" t="s">
        <v>6924</v>
      </c>
      <c r="B2099" t="s">
        <v>6925</v>
      </c>
      <c r="C2099" t="s">
        <v>2593</v>
      </c>
      <c r="D2099">
        <v>1</v>
      </c>
      <c r="E2099">
        <v>1</v>
      </c>
      <c r="F2099" s="1">
        <v>45944</v>
      </c>
      <c r="G2099">
        <f>_xlfn.XLOOKUP(F2099,'Wk no''s'!B:B,'Wk no''s'!C:C,0)</f>
        <v>42</v>
      </c>
    </row>
    <row r="2100" spans="1:7" x14ac:dyDescent="0.3">
      <c r="A2100" t="s">
        <v>6926</v>
      </c>
      <c r="B2100" t="s">
        <v>6927</v>
      </c>
      <c r="C2100" t="s">
        <v>6928</v>
      </c>
      <c r="D2100">
        <v>2</v>
      </c>
      <c r="E2100">
        <v>1</v>
      </c>
      <c r="F2100" s="1">
        <v>45944</v>
      </c>
      <c r="G2100">
        <f>_xlfn.XLOOKUP(F2100,'Wk no''s'!B:B,'Wk no''s'!C:C,0)</f>
        <v>42</v>
      </c>
    </row>
    <row r="2101" spans="1:7" x14ac:dyDescent="0.3">
      <c r="A2101" t="s">
        <v>6929</v>
      </c>
      <c r="B2101" t="s">
        <v>6930</v>
      </c>
      <c r="C2101" t="s">
        <v>6931</v>
      </c>
      <c r="D2101">
        <v>0</v>
      </c>
      <c r="E2101">
        <v>1</v>
      </c>
      <c r="F2101" s="1">
        <v>45944</v>
      </c>
      <c r="G2101">
        <f>_xlfn.XLOOKUP(F2101,'Wk no''s'!B:B,'Wk no''s'!C:C,0)</f>
        <v>42</v>
      </c>
    </row>
    <row r="2102" spans="1:7" x14ac:dyDescent="0.3">
      <c r="A2102" t="s">
        <v>6932</v>
      </c>
      <c r="B2102" t="s">
        <v>6933</v>
      </c>
      <c r="C2102" t="s">
        <v>2855</v>
      </c>
      <c r="D2102">
        <v>0</v>
      </c>
      <c r="E2102">
        <v>1</v>
      </c>
      <c r="F2102" s="1">
        <v>45944</v>
      </c>
      <c r="G2102">
        <f>_xlfn.XLOOKUP(F2102,'Wk no''s'!B:B,'Wk no''s'!C:C,0)</f>
        <v>42</v>
      </c>
    </row>
    <row r="2103" spans="1:7" x14ac:dyDescent="0.3">
      <c r="A2103" t="s">
        <v>6934</v>
      </c>
      <c r="B2103" t="s">
        <v>6935</v>
      </c>
      <c r="C2103" t="s">
        <v>6936</v>
      </c>
      <c r="D2103">
        <v>0</v>
      </c>
      <c r="E2103">
        <v>1</v>
      </c>
      <c r="F2103" s="1">
        <v>45944</v>
      </c>
      <c r="G2103">
        <f>_xlfn.XLOOKUP(F2103,'Wk no''s'!B:B,'Wk no''s'!C:C,0)</f>
        <v>42</v>
      </c>
    </row>
    <row r="2104" spans="1:7" x14ac:dyDescent="0.3">
      <c r="A2104" t="s">
        <v>6937</v>
      </c>
      <c r="B2104" t="s">
        <v>6938</v>
      </c>
      <c r="C2104" t="s">
        <v>6939</v>
      </c>
      <c r="D2104">
        <v>0</v>
      </c>
      <c r="E2104">
        <v>1</v>
      </c>
      <c r="F2104" s="1">
        <v>45944</v>
      </c>
      <c r="G2104">
        <f>_xlfn.XLOOKUP(F2104,'Wk no''s'!B:B,'Wk no''s'!C:C,0)</f>
        <v>42</v>
      </c>
    </row>
    <row r="2105" spans="1:7" x14ac:dyDescent="0.3">
      <c r="A2105" t="s">
        <v>6940</v>
      </c>
      <c r="B2105" t="s">
        <v>6941</v>
      </c>
      <c r="C2105" t="s">
        <v>2451</v>
      </c>
      <c r="D2105">
        <v>0</v>
      </c>
      <c r="E2105">
        <v>1</v>
      </c>
      <c r="F2105" s="1">
        <v>45944</v>
      </c>
      <c r="G2105">
        <f>_xlfn.XLOOKUP(F2105,'Wk no''s'!B:B,'Wk no''s'!C:C,0)</f>
        <v>42</v>
      </c>
    </row>
    <row r="2106" spans="1:7" x14ac:dyDescent="0.3">
      <c r="A2106" t="s">
        <v>6942</v>
      </c>
      <c r="B2106" t="s">
        <v>6943</v>
      </c>
      <c r="C2106" t="s">
        <v>6101</v>
      </c>
      <c r="D2106">
        <v>0</v>
      </c>
      <c r="E2106">
        <v>1</v>
      </c>
      <c r="F2106" s="1">
        <v>45944</v>
      </c>
      <c r="G2106">
        <f>_xlfn.XLOOKUP(F2106,'Wk no''s'!B:B,'Wk no''s'!C:C,0)</f>
        <v>42</v>
      </c>
    </row>
    <row r="2107" spans="1:7" x14ac:dyDescent="0.3">
      <c r="A2107" t="s">
        <v>6944</v>
      </c>
      <c r="B2107" t="s">
        <v>6945</v>
      </c>
      <c r="C2107" t="s">
        <v>6946</v>
      </c>
      <c r="D2107">
        <v>2</v>
      </c>
      <c r="E2107">
        <v>1</v>
      </c>
      <c r="F2107" s="1">
        <v>45944</v>
      </c>
      <c r="G2107">
        <f>_xlfn.XLOOKUP(F2107,'Wk no''s'!B:B,'Wk no''s'!C:C,0)</f>
        <v>42</v>
      </c>
    </row>
    <row r="2108" spans="1:7" x14ac:dyDescent="0.3">
      <c r="A2108" t="s">
        <v>6947</v>
      </c>
      <c r="B2108" t="s">
        <v>6948</v>
      </c>
      <c r="C2108" t="s">
        <v>6949</v>
      </c>
      <c r="D2108">
        <v>0</v>
      </c>
      <c r="E2108">
        <v>1</v>
      </c>
      <c r="F2108" s="1">
        <v>45944</v>
      </c>
      <c r="G2108">
        <f>_xlfn.XLOOKUP(F2108,'Wk no''s'!B:B,'Wk no''s'!C:C,0)</f>
        <v>42</v>
      </c>
    </row>
    <row r="2109" spans="1:7" x14ac:dyDescent="0.3">
      <c r="A2109" t="s">
        <v>6950</v>
      </c>
      <c r="B2109" t="s">
        <v>6951</v>
      </c>
      <c r="C2109" t="s">
        <v>3034</v>
      </c>
      <c r="D2109">
        <v>0</v>
      </c>
      <c r="E2109">
        <v>1</v>
      </c>
      <c r="F2109" s="1">
        <v>45944</v>
      </c>
      <c r="G2109">
        <f>_xlfn.XLOOKUP(F2109,'Wk no''s'!B:B,'Wk no''s'!C:C,0)</f>
        <v>42</v>
      </c>
    </row>
    <row r="2110" spans="1:7" x14ac:dyDescent="0.3">
      <c r="A2110" t="s">
        <v>6952</v>
      </c>
      <c r="B2110" t="s">
        <v>6953</v>
      </c>
      <c r="C2110" t="s">
        <v>36</v>
      </c>
      <c r="D2110">
        <v>0</v>
      </c>
      <c r="E2110">
        <v>1</v>
      </c>
      <c r="F2110" s="1">
        <v>45944</v>
      </c>
      <c r="G2110">
        <f>_xlfn.XLOOKUP(F2110,'Wk no''s'!B:B,'Wk no''s'!C:C,0)</f>
        <v>42</v>
      </c>
    </row>
    <row r="2111" spans="1:7" x14ac:dyDescent="0.3">
      <c r="A2111" t="s">
        <v>6954</v>
      </c>
      <c r="B2111" t="s">
        <v>6955</v>
      </c>
      <c r="C2111" t="s">
        <v>3107</v>
      </c>
      <c r="D2111">
        <v>0</v>
      </c>
      <c r="E2111">
        <v>1</v>
      </c>
      <c r="F2111" s="1">
        <v>45945</v>
      </c>
      <c r="G2111">
        <f>_xlfn.XLOOKUP(F2111,'Wk no''s'!B:B,'Wk no''s'!C:C,0)</f>
        <v>42</v>
      </c>
    </row>
    <row r="2112" spans="1:7" x14ac:dyDescent="0.3">
      <c r="A2112" t="s">
        <v>6956</v>
      </c>
      <c r="B2112" t="s">
        <v>6957</v>
      </c>
      <c r="C2112" t="s">
        <v>6958</v>
      </c>
      <c r="D2112">
        <v>0</v>
      </c>
      <c r="E2112">
        <v>1</v>
      </c>
      <c r="F2112" s="1">
        <v>45945</v>
      </c>
      <c r="G2112">
        <f>_xlfn.XLOOKUP(F2112,'Wk no''s'!B:B,'Wk no''s'!C:C,0)</f>
        <v>42</v>
      </c>
    </row>
    <row r="2113" spans="1:7" x14ac:dyDescent="0.3">
      <c r="A2113" t="s">
        <v>6959</v>
      </c>
      <c r="B2113" t="s">
        <v>6960</v>
      </c>
      <c r="C2113" t="s">
        <v>6961</v>
      </c>
      <c r="D2113">
        <v>0</v>
      </c>
      <c r="E2113">
        <v>1</v>
      </c>
      <c r="F2113" s="1">
        <v>45945</v>
      </c>
      <c r="G2113">
        <f>_xlfn.XLOOKUP(F2113,'Wk no''s'!B:B,'Wk no''s'!C:C,0)</f>
        <v>42</v>
      </c>
    </row>
    <row r="2114" spans="1:7" x14ac:dyDescent="0.3">
      <c r="A2114" t="s">
        <v>6962</v>
      </c>
      <c r="B2114" t="s">
        <v>6963</v>
      </c>
      <c r="C2114" t="s">
        <v>1224</v>
      </c>
      <c r="D2114">
        <v>0</v>
      </c>
      <c r="E2114">
        <v>1</v>
      </c>
      <c r="F2114" s="1">
        <v>45945</v>
      </c>
      <c r="G2114">
        <f>_xlfn.XLOOKUP(F2114,'Wk no''s'!B:B,'Wk no''s'!C:C,0)</f>
        <v>42</v>
      </c>
    </row>
    <row r="2115" spans="1:7" x14ac:dyDescent="0.3">
      <c r="A2115" t="s">
        <v>6964</v>
      </c>
      <c r="B2115" t="s">
        <v>6965</v>
      </c>
      <c r="C2115" t="s">
        <v>143</v>
      </c>
      <c r="D2115">
        <v>0</v>
      </c>
      <c r="E2115">
        <v>1</v>
      </c>
      <c r="F2115" s="1">
        <v>45945</v>
      </c>
      <c r="G2115">
        <f>_xlfn.XLOOKUP(F2115,'Wk no''s'!B:B,'Wk no''s'!C:C,0)</f>
        <v>42</v>
      </c>
    </row>
    <row r="2116" spans="1:7" x14ac:dyDescent="0.3">
      <c r="A2116" t="s">
        <v>6966</v>
      </c>
      <c r="B2116" t="s">
        <v>6967</v>
      </c>
      <c r="C2116" t="s">
        <v>6949</v>
      </c>
      <c r="D2116">
        <v>0</v>
      </c>
      <c r="E2116">
        <v>1</v>
      </c>
      <c r="F2116" s="1">
        <v>45945</v>
      </c>
      <c r="G2116">
        <f>_xlfn.XLOOKUP(F2116,'Wk no''s'!B:B,'Wk no''s'!C:C,0)</f>
        <v>42</v>
      </c>
    </row>
    <row r="2117" spans="1:7" x14ac:dyDescent="0.3">
      <c r="A2117" t="s">
        <v>6968</v>
      </c>
      <c r="B2117" t="s">
        <v>6969</v>
      </c>
      <c r="C2117" t="s">
        <v>6970</v>
      </c>
      <c r="D2117">
        <v>0</v>
      </c>
      <c r="E2117">
        <v>1</v>
      </c>
      <c r="F2117" s="1">
        <v>45945</v>
      </c>
      <c r="G2117">
        <f>_xlfn.XLOOKUP(F2117,'Wk no''s'!B:B,'Wk no''s'!C:C,0)</f>
        <v>42</v>
      </c>
    </row>
    <row r="2118" spans="1:7" x14ac:dyDescent="0.3">
      <c r="A2118" t="s">
        <v>6971</v>
      </c>
      <c r="B2118" t="s">
        <v>6972</v>
      </c>
      <c r="C2118" t="s">
        <v>6973</v>
      </c>
      <c r="D2118">
        <v>0</v>
      </c>
      <c r="E2118">
        <v>1</v>
      </c>
      <c r="F2118" s="1">
        <v>45945</v>
      </c>
      <c r="G2118">
        <f>_xlfn.XLOOKUP(F2118,'Wk no''s'!B:B,'Wk no''s'!C:C,0)</f>
        <v>42</v>
      </c>
    </row>
    <row r="2119" spans="1:7" x14ac:dyDescent="0.3">
      <c r="A2119" t="s">
        <v>6974</v>
      </c>
      <c r="B2119" t="s">
        <v>6975</v>
      </c>
      <c r="C2119" t="s">
        <v>3606</v>
      </c>
      <c r="D2119">
        <v>2</v>
      </c>
      <c r="E2119">
        <v>1</v>
      </c>
      <c r="F2119" s="1">
        <v>45945</v>
      </c>
      <c r="G2119">
        <f>_xlfn.XLOOKUP(F2119,'Wk no''s'!B:B,'Wk no''s'!C:C,0)</f>
        <v>42</v>
      </c>
    </row>
    <row r="2120" spans="1:7" x14ac:dyDescent="0.3">
      <c r="A2120" t="s">
        <v>6976</v>
      </c>
      <c r="B2120" t="s">
        <v>6977</v>
      </c>
      <c r="C2120" t="s">
        <v>6978</v>
      </c>
      <c r="D2120">
        <v>0</v>
      </c>
      <c r="E2120">
        <v>1</v>
      </c>
      <c r="F2120" s="1">
        <v>45945</v>
      </c>
      <c r="G2120">
        <f>_xlfn.XLOOKUP(F2120,'Wk no''s'!B:B,'Wk no''s'!C:C,0)</f>
        <v>42</v>
      </c>
    </row>
    <row r="2121" spans="1:7" x14ac:dyDescent="0.3">
      <c r="A2121" t="s">
        <v>6979</v>
      </c>
      <c r="B2121" t="s">
        <v>6980</v>
      </c>
      <c r="C2121" t="s">
        <v>6981</v>
      </c>
      <c r="D2121">
        <v>0</v>
      </c>
      <c r="E2121">
        <v>1</v>
      </c>
      <c r="F2121" s="1">
        <v>45945</v>
      </c>
      <c r="G2121">
        <f>_xlfn.XLOOKUP(F2121,'Wk no''s'!B:B,'Wk no''s'!C:C,0)</f>
        <v>42</v>
      </c>
    </row>
    <row r="2122" spans="1:7" x14ac:dyDescent="0.3">
      <c r="A2122" t="s">
        <v>6982</v>
      </c>
      <c r="B2122" t="s">
        <v>6983</v>
      </c>
      <c r="C2122" t="s">
        <v>2288</v>
      </c>
      <c r="D2122">
        <v>0</v>
      </c>
      <c r="E2122">
        <v>1</v>
      </c>
      <c r="F2122" s="1">
        <v>45945</v>
      </c>
      <c r="G2122">
        <f>_xlfn.XLOOKUP(F2122,'Wk no''s'!B:B,'Wk no''s'!C:C,0)</f>
        <v>42</v>
      </c>
    </row>
    <row r="2123" spans="1:7" x14ac:dyDescent="0.3">
      <c r="A2123" t="s">
        <v>6984</v>
      </c>
      <c r="B2123" t="s">
        <v>6985</v>
      </c>
      <c r="C2123" t="s">
        <v>6986</v>
      </c>
      <c r="D2123">
        <v>0</v>
      </c>
      <c r="E2123">
        <v>1</v>
      </c>
      <c r="F2123" s="1">
        <v>45945</v>
      </c>
      <c r="G2123">
        <f>_xlfn.XLOOKUP(F2123,'Wk no''s'!B:B,'Wk no''s'!C:C,0)</f>
        <v>42</v>
      </c>
    </row>
    <row r="2124" spans="1:7" x14ac:dyDescent="0.3">
      <c r="A2124" t="s">
        <v>6987</v>
      </c>
      <c r="B2124" t="s">
        <v>6988</v>
      </c>
      <c r="C2124" t="s">
        <v>6989</v>
      </c>
      <c r="D2124">
        <v>0</v>
      </c>
      <c r="E2124">
        <v>1</v>
      </c>
      <c r="F2124" s="1">
        <v>45946</v>
      </c>
      <c r="G2124">
        <f>_xlfn.XLOOKUP(F2124,'Wk no''s'!B:B,'Wk no''s'!C:C,0)</f>
        <v>42</v>
      </c>
    </row>
    <row r="2125" spans="1:7" x14ac:dyDescent="0.3">
      <c r="A2125" t="s">
        <v>6990</v>
      </c>
      <c r="B2125" t="s">
        <v>6991</v>
      </c>
      <c r="C2125" t="s">
        <v>6992</v>
      </c>
      <c r="D2125">
        <v>0</v>
      </c>
      <c r="E2125">
        <v>1</v>
      </c>
      <c r="F2125" s="1">
        <v>45946</v>
      </c>
      <c r="G2125">
        <f>_xlfn.XLOOKUP(F2125,'Wk no''s'!B:B,'Wk no''s'!C:C,0)</f>
        <v>42</v>
      </c>
    </row>
    <row r="2126" spans="1:7" x14ac:dyDescent="0.3">
      <c r="A2126" t="s">
        <v>6993</v>
      </c>
      <c r="B2126" t="s">
        <v>6994</v>
      </c>
      <c r="C2126" t="s">
        <v>6995</v>
      </c>
      <c r="D2126">
        <v>0</v>
      </c>
      <c r="E2126">
        <v>1</v>
      </c>
      <c r="F2126" s="1">
        <v>45946</v>
      </c>
      <c r="G2126">
        <f>_xlfn.XLOOKUP(F2126,'Wk no''s'!B:B,'Wk no''s'!C:C,0)</f>
        <v>42</v>
      </c>
    </row>
    <row r="2127" spans="1:7" x14ac:dyDescent="0.3">
      <c r="A2127" t="s">
        <v>6996</v>
      </c>
      <c r="B2127" t="s">
        <v>6997</v>
      </c>
      <c r="C2127" t="s">
        <v>3703</v>
      </c>
      <c r="D2127">
        <v>0</v>
      </c>
      <c r="E2127">
        <v>1</v>
      </c>
      <c r="F2127" s="1">
        <v>45946</v>
      </c>
      <c r="G2127">
        <f>_xlfn.XLOOKUP(F2127,'Wk no''s'!B:B,'Wk no''s'!C:C,0)</f>
        <v>42</v>
      </c>
    </row>
    <row r="2128" spans="1:7" x14ac:dyDescent="0.3">
      <c r="A2128" t="s">
        <v>6998</v>
      </c>
      <c r="B2128" t="s">
        <v>6999</v>
      </c>
      <c r="C2128" t="s">
        <v>550</v>
      </c>
      <c r="D2128">
        <v>0</v>
      </c>
      <c r="E2128">
        <v>1</v>
      </c>
      <c r="F2128" s="1">
        <v>45946</v>
      </c>
      <c r="G2128">
        <f>_xlfn.XLOOKUP(F2128,'Wk no''s'!B:B,'Wk no''s'!C:C,0)</f>
        <v>42</v>
      </c>
    </row>
    <row r="2129" spans="1:7" x14ac:dyDescent="0.3">
      <c r="A2129" t="s">
        <v>7000</v>
      </c>
      <c r="B2129" t="s">
        <v>7001</v>
      </c>
      <c r="C2129" t="s">
        <v>6832</v>
      </c>
      <c r="D2129">
        <v>0</v>
      </c>
      <c r="E2129">
        <v>1</v>
      </c>
      <c r="F2129" s="1">
        <v>45946</v>
      </c>
      <c r="G2129">
        <f>_xlfn.XLOOKUP(F2129,'Wk no''s'!B:B,'Wk no''s'!C:C,0)</f>
        <v>42</v>
      </c>
    </row>
    <row r="2130" spans="1:7" x14ac:dyDescent="0.3">
      <c r="A2130" t="s">
        <v>7002</v>
      </c>
      <c r="B2130" t="s">
        <v>7003</v>
      </c>
      <c r="C2130" t="s">
        <v>7004</v>
      </c>
      <c r="D2130">
        <v>0</v>
      </c>
      <c r="E2130">
        <v>1</v>
      </c>
      <c r="F2130" s="1">
        <v>45946</v>
      </c>
      <c r="G2130">
        <f>_xlfn.XLOOKUP(F2130,'Wk no''s'!B:B,'Wk no''s'!C:C,0)</f>
        <v>42</v>
      </c>
    </row>
    <row r="2131" spans="1:7" x14ac:dyDescent="0.3">
      <c r="A2131" t="s">
        <v>7005</v>
      </c>
      <c r="B2131" t="s">
        <v>7006</v>
      </c>
      <c r="C2131" t="s">
        <v>228</v>
      </c>
      <c r="D2131">
        <v>0</v>
      </c>
      <c r="E2131">
        <v>1</v>
      </c>
      <c r="F2131" s="1">
        <v>45946</v>
      </c>
      <c r="G2131">
        <f>_xlfn.XLOOKUP(F2131,'Wk no''s'!B:B,'Wk no''s'!C:C,0)</f>
        <v>42</v>
      </c>
    </row>
    <row r="2132" spans="1:7" x14ac:dyDescent="0.3">
      <c r="A2132" t="s">
        <v>7007</v>
      </c>
      <c r="B2132" t="s">
        <v>7008</v>
      </c>
      <c r="C2132" t="s">
        <v>7009</v>
      </c>
      <c r="D2132">
        <v>0</v>
      </c>
      <c r="E2132">
        <v>1</v>
      </c>
      <c r="F2132" s="1">
        <v>45946</v>
      </c>
      <c r="G2132">
        <f>_xlfn.XLOOKUP(F2132,'Wk no''s'!B:B,'Wk no''s'!C:C,0)</f>
        <v>42</v>
      </c>
    </row>
    <row r="2133" spans="1:7" x14ac:dyDescent="0.3">
      <c r="A2133" t="s">
        <v>7010</v>
      </c>
      <c r="B2133" t="s">
        <v>7011</v>
      </c>
      <c r="C2133" t="s">
        <v>7012</v>
      </c>
      <c r="D2133">
        <v>0</v>
      </c>
      <c r="E2133">
        <v>1</v>
      </c>
      <c r="F2133" s="1">
        <v>45946</v>
      </c>
      <c r="G2133">
        <f>_xlfn.XLOOKUP(F2133,'Wk no''s'!B:B,'Wk no''s'!C:C,0)</f>
        <v>42</v>
      </c>
    </row>
    <row r="2134" spans="1:7" x14ac:dyDescent="0.3">
      <c r="A2134" t="s">
        <v>7013</v>
      </c>
      <c r="C2134" t="s">
        <v>4802</v>
      </c>
      <c r="D2134">
        <v>0</v>
      </c>
      <c r="E2134">
        <v>1</v>
      </c>
      <c r="F2134" s="1">
        <v>45947</v>
      </c>
      <c r="G2134">
        <f>_xlfn.XLOOKUP(F2134,'Wk no''s'!B:B,'Wk no''s'!C:C,0)</f>
        <v>42</v>
      </c>
    </row>
    <row r="2135" spans="1:7" x14ac:dyDescent="0.3">
      <c r="A2135" t="s">
        <v>7014</v>
      </c>
      <c r="B2135" t="s">
        <v>7015</v>
      </c>
      <c r="C2135" t="s">
        <v>1902</v>
      </c>
      <c r="D2135">
        <v>0</v>
      </c>
      <c r="E2135">
        <v>1</v>
      </c>
      <c r="F2135" s="1">
        <v>45947</v>
      </c>
      <c r="G2135">
        <f>_xlfn.XLOOKUP(F2135,'Wk no''s'!B:B,'Wk no''s'!C:C,0)</f>
        <v>42</v>
      </c>
    </row>
    <row r="2136" spans="1:7" x14ac:dyDescent="0.3">
      <c r="A2136" t="s">
        <v>7016</v>
      </c>
      <c r="B2136" t="s">
        <v>7017</v>
      </c>
      <c r="C2136" t="s">
        <v>7018</v>
      </c>
      <c r="D2136">
        <v>0</v>
      </c>
      <c r="E2136">
        <v>1</v>
      </c>
      <c r="F2136" s="1">
        <v>45947</v>
      </c>
      <c r="G2136">
        <f>_xlfn.XLOOKUP(F2136,'Wk no''s'!B:B,'Wk no''s'!C:C,0)</f>
        <v>42</v>
      </c>
    </row>
    <row r="2137" spans="1:7" x14ac:dyDescent="0.3">
      <c r="A2137" t="s">
        <v>7019</v>
      </c>
      <c r="B2137" t="s">
        <v>7020</v>
      </c>
      <c r="C2137" t="s">
        <v>7021</v>
      </c>
      <c r="D2137">
        <v>0</v>
      </c>
      <c r="E2137">
        <v>1</v>
      </c>
      <c r="F2137" s="1">
        <v>45947</v>
      </c>
      <c r="G2137">
        <f>_xlfn.XLOOKUP(F2137,'Wk no''s'!B:B,'Wk no''s'!C:C,0)</f>
        <v>42</v>
      </c>
    </row>
    <row r="2138" spans="1:7" x14ac:dyDescent="0.3">
      <c r="A2138" t="s">
        <v>7022</v>
      </c>
      <c r="B2138" t="s">
        <v>7023</v>
      </c>
      <c r="C2138" t="s">
        <v>3444</v>
      </c>
      <c r="D2138">
        <v>0</v>
      </c>
      <c r="E2138">
        <v>1</v>
      </c>
      <c r="F2138" s="1">
        <v>45947</v>
      </c>
      <c r="G2138">
        <f>_xlfn.XLOOKUP(F2138,'Wk no''s'!B:B,'Wk no''s'!C:C,0)</f>
        <v>42</v>
      </c>
    </row>
    <row r="2139" spans="1:7" x14ac:dyDescent="0.3">
      <c r="A2139" t="s">
        <v>7024</v>
      </c>
      <c r="B2139" t="s">
        <v>7025</v>
      </c>
      <c r="C2139" t="s">
        <v>220</v>
      </c>
      <c r="D2139">
        <v>0</v>
      </c>
      <c r="E2139">
        <v>1</v>
      </c>
      <c r="F2139" s="1">
        <v>45947</v>
      </c>
      <c r="G2139">
        <f>_xlfn.XLOOKUP(F2139,'Wk no''s'!B:B,'Wk no''s'!C:C,0)</f>
        <v>42</v>
      </c>
    </row>
    <row r="2140" spans="1:7" x14ac:dyDescent="0.3">
      <c r="A2140" t="s">
        <v>7026</v>
      </c>
      <c r="B2140" t="s">
        <v>7027</v>
      </c>
      <c r="C2140" t="s">
        <v>220</v>
      </c>
      <c r="D2140">
        <v>0</v>
      </c>
      <c r="E2140">
        <v>1</v>
      </c>
      <c r="F2140" s="1">
        <v>45947</v>
      </c>
      <c r="G2140">
        <f>_xlfn.XLOOKUP(F2140,'Wk no''s'!B:B,'Wk no''s'!C:C,0)</f>
        <v>42</v>
      </c>
    </row>
    <row r="2141" spans="1:7" x14ac:dyDescent="0.3">
      <c r="A2141" t="s">
        <v>7028</v>
      </c>
      <c r="B2141" t="s">
        <v>7029</v>
      </c>
      <c r="C2141" t="s">
        <v>2270</v>
      </c>
      <c r="D2141">
        <v>0</v>
      </c>
      <c r="E2141">
        <v>1</v>
      </c>
      <c r="F2141" s="1">
        <v>45947</v>
      </c>
      <c r="G2141">
        <f>_xlfn.XLOOKUP(F2141,'Wk no''s'!B:B,'Wk no''s'!C:C,0)</f>
        <v>42</v>
      </c>
    </row>
    <row r="2142" spans="1:7" x14ac:dyDescent="0.3">
      <c r="A2142" t="s">
        <v>7030</v>
      </c>
      <c r="B2142" t="s">
        <v>7031</v>
      </c>
      <c r="C2142" t="s">
        <v>809</v>
      </c>
      <c r="D2142">
        <v>0</v>
      </c>
      <c r="E2142">
        <v>1</v>
      </c>
      <c r="F2142" s="1">
        <v>45947</v>
      </c>
      <c r="G2142">
        <f>_xlfn.XLOOKUP(F2142,'Wk no''s'!B:B,'Wk no''s'!C:C,0)</f>
        <v>42</v>
      </c>
    </row>
  </sheetData>
  <autoFilter ref="A1:G1452" xr:uid="{D09E5327-B5CC-4D95-86A6-DEDFF3DB5D39}"/>
  <pageMargins left="0.7" right="0.7" top="0.75" bottom="0.75" header="0.3" footer="0.3"/>
  <headerFooter>
    <oddFooter>&amp;C_x000D_&amp;1#&amp;"Aptos"&amp;10&amp;K000000 Classification: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7D65-216B-4E20-BAE6-DAB7C72B7E3E}">
  <sheetPr>
    <tabColor rgb="FF0070C0"/>
  </sheetPr>
  <dimension ref="A1:D366"/>
  <sheetViews>
    <sheetView workbookViewId="0">
      <selection activeCell="S19" sqref="S19"/>
    </sheetView>
  </sheetViews>
  <sheetFormatPr defaultRowHeight="14.4" x14ac:dyDescent="0.3"/>
  <cols>
    <col min="2" max="2" width="10.33203125" bestFit="1" customWidth="1"/>
    <col min="4" max="4" width="10.6640625" customWidth="1"/>
  </cols>
  <sheetData>
    <row r="1" spans="1:4" ht="28.8" x14ac:dyDescent="0.3">
      <c r="B1" s="8" t="s">
        <v>753</v>
      </c>
      <c r="C1" s="8" t="s">
        <v>754</v>
      </c>
      <c r="D1" s="11" t="s">
        <v>752</v>
      </c>
    </row>
    <row r="2" spans="1:4" x14ac:dyDescent="0.3">
      <c r="B2" s="1">
        <v>45658</v>
      </c>
      <c r="C2">
        <v>1</v>
      </c>
      <c r="D2" t="str">
        <f>TEXT(B2,"DD")&amp;"/"&amp;TEXT(B2,"MM")&amp;"/"&amp;TEXT(B2,"YYYY")</f>
        <v>01/01/2025</v>
      </c>
    </row>
    <row r="3" spans="1:4" x14ac:dyDescent="0.3">
      <c r="B3" s="1">
        <f>+B2+1</f>
        <v>45659</v>
      </c>
      <c r="C3">
        <v>1</v>
      </c>
      <c r="D3" t="str">
        <f t="shared" ref="D3:D66" si="0">TEXT(B3,"DD")&amp;"/"&amp;TEXT(B3,"MM")&amp;"/"&amp;TEXT(B3,"YYYY")</f>
        <v>02/01/2025</v>
      </c>
    </row>
    <row r="4" spans="1:4" x14ac:dyDescent="0.3">
      <c r="A4" t="str">
        <f>TEXT(B4,"ddd")</f>
        <v>Fri</v>
      </c>
      <c r="B4" s="1">
        <f t="shared" ref="B4:B67" si="1">+B3+1</f>
        <v>45660</v>
      </c>
      <c r="C4">
        <f>IF(A4="Sat",C3+1,C3)</f>
        <v>1</v>
      </c>
      <c r="D4" t="str">
        <f t="shared" si="0"/>
        <v>03/01/2025</v>
      </c>
    </row>
    <row r="5" spans="1:4" x14ac:dyDescent="0.3">
      <c r="A5" t="str">
        <f t="shared" ref="A5:A68" si="2">TEXT(B5,"ddd")</f>
        <v>Sat</v>
      </c>
      <c r="B5" s="1">
        <f t="shared" si="1"/>
        <v>45661</v>
      </c>
      <c r="C5">
        <f t="shared" ref="C5:C68" si="3">IF(A5="Sat",C4+1,C4)</f>
        <v>2</v>
      </c>
      <c r="D5" t="str">
        <f t="shared" si="0"/>
        <v>04/01/2025</v>
      </c>
    </row>
    <row r="6" spans="1:4" x14ac:dyDescent="0.3">
      <c r="A6" t="str">
        <f t="shared" si="2"/>
        <v>Sun</v>
      </c>
      <c r="B6" s="1">
        <f t="shared" si="1"/>
        <v>45662</v>
      </c>
      <c r="C6">
        <f t="shared" si="3"/>
        <v>2</v>
      </c>
      <c r="D6" t="str">
        <f t="shared" si="0"/>
        <v>05/01/2025</v>
      </c>
    </row>
    <row r="7" spans="1:4" x14ac:dyDescent="0.3">
      <c r="A7" t="str">
        <f t="shared" si="2"/>
        <v>Mon</v>
      </c>
      <c r="B7" s="1">
        <f t="shared" si="1"/>
        <v>45663</v>
      </c>
      <c r="C7">
        <f t="shared" si="3"/>
        <v>2</v>
      </c>
      <c r="D7" t="str">
        <f t="shared" si="0"/>
        <v>06/01/2025</v>
      </c>
    </row>
    <row r="8" spans="1:4" x14ac:dyDescent="0.3">
      <c r="A8" t="str">
        <f t="shared" si="2"/>
        <v>Tue</v>
      </c>
      <c r="B8" s="1">
        <f t="shared" si="1"/>
        <v>45664</v>
      </c>
      <c r="C8">
        <f t="shared" si="3"/>
        <v>2</v>
      </c>
      <c r="D8" t="str">
        <f t="shared" si="0"/>
        <v>07/01/2025</v>
      </c>
    </row>
    <row r="9" spans="1:4" x14ac:dyDescent="0.3">
      <c r="A9" t="str">
        <f t="shared" si="2"/>
        <v>Wed</v>
      </c>
      <c r="B9" s="1">
        <f t="shared" si="1"/>
        <v>45665</v>
      </c>
      <c r="C9">
        <f t="shared" si="3"/>
        <v>2</v>
      </c>
      <c r="D9" t="str">
        <f t="shared" si="0"/>
        <v>08/01/2025</v>
      </c>
    </row>
    <row r="10" spans="1:4" x14ac:dyDescent="0.3">
      <c r="A10" t="str">
        <f t="shared" si="2"/>
        <v>Thu</v>
      </c>
      <c r="B10" s="1">
        <f t="shared" si="1"/>
        <v>45666</v>
      </c>
      <c r="C10">
        <f t="shared" si="3"/>
        <v>2</v>
      </c>
      <c r="D10" t="str">
        <f t="shared" si="0"/>
        <v>09/01/2025</v>
      </c>
    </row>
    <row r="11" spans="1:4" x14ac:dyDescent="0.3">
      <c r="A11" t="str">
        <f t="shared" si="2"/>
        <v>Fri</v>
      </c>
      <c r="B11" s="1">
        <f t="shared" si="1"/>
        <v>45667</v>
      </c>
      <c r="C11">
        <f t="shared" si="3"/>
        <v>2</v>
      </c>
      <c r="D11" t="str">
        <f t="shared" si="0"/>
        <v>10/01/2025</v>
      </c>
    </row>
    <row r="12" spans="1:4" x14ac:dyDescent="0.3">
      <c r="A12" t="str">
        <f t="shared" si="2"/>
        <v>Sat</v>
      </c>
      <c r="B12" s="1">
        <f t="shared" si="1"/>
        <v>45668</v>
      </c>
      <c r="C12">
        <f t="shared" si="3"/>
        <v>3</v>
      </c>
      <c r="D12" t="str">
        <f t="shared" si="0"/>
        <v>11/01/2025</v>
      </c>
    </row>
    <row r="13" spans="1:4" x14ac:dyDescent="0.3">
      <c r="A13" t="str">
        <f t="shared" si="2"/>
        <v>Sun</v>
      </c>
      <c r="B13" s="1">
        <f t="shared" si="1"/>
        <v>45669</v>
      </c>
      <c r="C13">
        <f t="shared" si="3"/>
        <v>3</v>
      </c>
      <c r="D13" t="str">
        <f t="shared" si="0"/>
        <v>12/01/2025</v>
      </c>
    </row>
    <row r="14" spans="1:4" x14ac:dyDescent="0.3">
      <c r="A14" t="str">
        <f t="shared" si="2"/>
        <v>Mon</v>
      </c>
      <c r="B14" s="1">
        <f t="shared" si="1"/>
        <v>45670</v>
      </c>
      <c r="C14">
        <f t="shared" si="3"/>
        <v>3</v>
      </c>
      <c r="D14" t="str">
        <f t="shared" si="0"/>
        <v>13/01/2025</v>
      </c>
    </row>
    <row r="15" spans="1:4" x14ac:dyDescent="0.3">
      <c r="A15" t="str">
        <f t="shared" si="2"/>
        <v>Tue</v>
      </c>
      <c r="B15" s="1">
        <f t="shared" si="1"/>
        <v>45671</v>
      </c>
      <c r="C15">
        <f t="shared" si="3"/>
        <v>3</v>
      </c>
      <c r="D15" t="str">
        <f t="shared" si="0"/>
        <v>14/01/2025</v>
      </c>
    </row>
    <row r="16" spans="1:4" x14ac:dyDescent="0.3">
      <c r="A16" t="str">
        <f t="shared" si="2"/>
        <v>Wed</v>
      </c>
      <c r="B16" s="1">
        <f t="shared" si="1"/>
        <v>45672</v>
      </c>
      <c r="C16">
        <f t="shared" si="3"/>
        <v>3</v>
      </c>
      <c r="D16" t="str">
        <f t="shared" si="0"/>
        <v>15/01/2025</v>
      </c>
    </row>
    <row r="17" spans="1:4" x14ac:dyDescent="0.3">
      <c r="A17" t="str">
        <f t="shared" si="2"/>
        <v>Thu</v>
      </c>
      <c r="B17" s="1">
        <f t="shared" si="1"/>
        <v>45673</v>
      </c>
      <c r="C17">
        <f t="shared" si="3"/>
        <v>3</v>
      </c>
      <c r="D17" t="str">
        <f t="shared" si="0"/>
        <v>16/01/2025</v>
      </c>
    </row>
    <row r="18" spans="1:4" x14ac:dyDescent="0.3">
      <c r="A18" t="str">
        <f t="shared" si="2"/>
        <v>Fri</v>
      </c>
      <c r="B18" s="1">
        <f t="shared" si="1"/>
        <v>45674</v>
      </c>
      <c r="C18">
        <f t="shared" si="3"/>
        <v>3</v>
      </c>
      <c r="D18" t="str">
        <f t="shared" si="0"/>
        <v>17/01/2025</v>
      </c>
    </row>
    <row r="19" spans="1:4" x14ac:dyDescent="0.3">
      <c r="A19" t="str">
        <f t="shared" si="2"/>
        <v>Sat</v>
      </c>
      <c r="B19" s="1">
        <f t="shared" si="1"/>
        <v>45675</v>
      </c>
      <c r="C19">
        <f t="shared" si="3"/>
        <v>4</v>
      </c>
      <c r="D19" t="str">
        <f t="shared" si="0"/>
        <v>18/01/2025</v>
      </c>
    </row>
    <row r="20" spans="1:4" x14ac:dyDescent="0.3">
      <c r="A20" t="str">
        <f t="shared" si="2"/>
        <v>Sun</v>
      </c>
      <c r="B20" s="1">
        <f t="shared" si="1"/>
        <v>45676</v>
      </c>
      <c r="C20">
        <f t="shared" si="3"/>
        <v>4</v>
      </c>
      <c r="D20" t="str">
        <f t="shared" si="0"/>
        <v>19/01/2025</v>
      </c>
    </row>
    <row r="21" spans="1:4" x14ac:dyDescent="0.3">
      <c r="A21" t="str">
        <f t="shared" si="2"/>
        <v>Mon</v>
      </c>
      <c r="B21" s="1">
        <f t="shared" si="1"/>
        <v>45677</v>
      </c>
      <c r="C21">
        <f t="shared" si="3"/>
        <v>4</v>
      </c>
      <c r="D21" t="str">
        <f t="shared" si="0"/>
        <v>20/01/2025</v>
      </c>
    </row>
    <row r="22" spans="1:4" x14ac:dyDescent="0.3">
      <c r="A22" t="str">
        <f t="shared" si="2"/>
        <v>Tue</v>
      </c>
      <c r="B22" s="1">
        <f t="shared" si="1"/>
        <v>45678</v>
      </c>
      <c r="C22">
        <f t="shared" si="3"/>
        <v>4</v>
      </c>
      <c r="D22" t="str">
        <f t="shared" si="0"/>
        <v>21/01/2025</v>
      </c>
    </row>
    <row r="23" spans="1:4" x14ac:dyDescent="0.3">
      <c r="A23" t="str">
        <f t="shared" si="2"/>
        <v>Wed</v>
      </c>
      <c r="B23" s="1">
        <f t="shared" si="1"/>
        <v>45679</v>
      </c>
      <c r="C23">
        <f t="shared" si="3"/>
        <v>4</v>
      </c>
      <c r="D23" t="str">
        <f t="shared" si="0"/>
        <v>22/01/2025</v>
      </c>
    </row>
    <row r="24" spans="1:4" x14ac:dyDescent="0.3">
      <c r="A24" t="str">
        <f t="shared" si="2"/>
        <v>Thu</v>
      </c>
      <c r="B24" s="1">
        <f t="shared" si="1"/>
        <v>45680</v>
      </c>
      <c r="C24">
        <f t="shared" si="3"/>
        <v>4</v>
      </c>
      <c r="D24" t="str">
        <f t="shared" si="0"/>
        <v>23/01/2025</v>
      </c>
    </row>
    <row r="25" spans="1:4" x14ac:dyDescent="0.3">
      <c r="A25" t="str">
        <f t="shared" si="2"/>
        <v>Fri</v>
      </c>
      <c r="B25" s="1">
        <f t="shared" si="1"/>
        <v>45681</v>
      </c>
      <c r="C25">
        <f t="shared" si="3"/>
        <v>4</v>
      </c>
      <c r="D25" t="str">
        <f t="shared" si="0"/>
        <v>24/01/2025</v>
      </c>
    </row>
    <row r="26" spans="1:4" x14ac:dyDescent="0.3">
      <c r="A26" t="str">
        <f t="shared" si="2"/>
        <v>Sat</v>
      </c>
      <c r="B26" s="1">
        <f t="shared" si="1"/>
        <v>45682</v>
      </c>
      <c r="C26">
        <f t="shared" si="3"/>
        <v>5</v>
      </c>
      <c r="D26" t="str">
        <f t="shared" si="0"/>
        <v>25/01/2025</v>
      </c>
    </row>
    <row r="27" spans="1:4" x14ac:dyDescent="0.3">
      <c r="A27" t="str">
        <f t="shared" si="2"/>
        <v>Sun</v>
      </c>
      <c r="B27" s="1">
        <f t="shared" si="1"/>
        <v>45683</v>
      </c>
      <c r="C27">
        <f t="shared" si="3"/>
        <v>5</v>
      </c>
      <c r="D27" t="str">
        <f t="shared" si="0"/>
        <v>26/01/2025</v>
      </c>
    </row>
    <row r="28" spans="1:4" x14ac:dyDescent="0.3">
      <c r="A28" t="str">
        <f t="shared" si="2"/>
        <v>Mon</v>
      </c>
      <c r="B28" s="1">
        <f t="shared" si="1"/>
        <v>45684</v>
      </c>
      <c r="C28">
        <f t="shared" si="3"/>
        <v>5</v>
      </c>
      <c r="D28" t="str">
        <f t="shared" si="0"/>
        <v>27/01/2025</v>
      </c>
    </row>
    <row r="29" spans="1:4" x14ac:dyDescent="0.3">
      <c r="A29" t="str">
        <f t="shared" si="2"/>
        <v>Tue</v>
      </c>
      <c r="B29" s="1">
        <f t="shared" si="1"/>
        <v>45685</v>
      </c>
      <c r="C29">
        <f t="shared" si="3"/>
        <v>5</v>
      </c>
      <c r="D29" t="str">
        <f t="shared" si="0"/>
        <v>28/01/2025</v>
      </c>
    </row>
    <row r="30" spans="1:4" x14ac:dyDescent="0.3">
      <c r="A30" t="str">
        <f t="shared" si="2"/>
        <v>Wed</v>
      </c>
      <c r="B30" s="1">
        <f t="shared" si="1"/>
        <v>45686</v>
      </c>
      <c r="C30">
        <f t="shared" si="3"/>
        <v>5</v>
      </c>
      <c r="D30" t="str">
        <f t="shared" si="0"/>
        <v>29/01/2025</v>
      </c>
    </row>
    <row r="31" spans="1:4" x14ac:dyDescent="0.3">
      <c r="A31" t="str">
        <f t="shared" si="2"/>
        <v>Thu</v>
      </c>
      <c r="B31" s="1">
        <f t="shared" si="1"/>
        <v>45687</v>
      </c>
      <c r="C31">
        <f t="shared" si="3"/>
        <v>5</v>
      </c>
      <c r="D31" t="str">
        <f t="shared" si="0"/>
        <v>30/01/2025</v>
      </c>
    </row>
    <row r="32" spans="1:4" x14ac:dyDescent="0.3">
      <c r="A32" t="str">
        <f t="shared" si="2"/>
        <v>Fri</v>
      </c>
      <c r="B32" s="1">
        <f t="shared" si="1"/>
        <v>45688</v>
      </c>
      <c r="C32">
        <f t="shared" si="3"/>
        <v>5</v>
      </c>
      <c r="D32" t="str">
        <f t="shared" si="0"/>
        <v>31/01/2025</v>
      </c>
    </row>
    <row r="33" spans="1:4" x14ac:dyDescent="0.3">
      <c r="A33" t="str">
        <f t="shared" si="2"/>
        <v>Sat</v>
      </c>
      <c r="B33" s="1">
        <f t="shared" si="1"/>
        <v>45689</v>
      </c>
      <c r="C33">
        <f t="shared" si="3"/>
        <v>6</v>
      </c>
      <c r="D33" t="str">
        <f t="shared" si="0"/>
        <v>01/02/2025</v>
      </c>
    </row>
    <row r="34" spans="1:4" x14ac:dyDescent="0.3">
      <c r="A34" t="str">
        <f t="shared" si="2"/>
        <v>Sun</v>
      </c>
      <c r="B34" s="1">
        <f t="shared" si="1"/>
        <v>45690</v>
      </c>
      <c r="C34">
        <f t="shared" si="3"/>
        <v>6</v>
      </c>
      <c r="D34" t="str">
        <f t="shared" si="0"/>
        <v>02/02/2025</v>
      </c>
    </row>
    <row r="35" spans="1:4" x14ac:dyDescent="0.3">
      <c r="A35" t="str">
        <f t="shared" si="2"/>
        <v>Mon</v>
      </c>
      <c r="B35" s="1">
        <f t="shared" si="1"/>
        <v>45691</v>
      </c>
      <c r="C35">
        <f t="shared" si="3"/>
        <v>6</v>
      </c>
      <c r="D35" t="str">
        <f t="shared" si="0"/>
        <v>03/02/2025</v>
      </c>
    </row>
    <row r="36" spans="1:4" x14ac:dyDescent="0.3">
      <c r="A36" t="str">
        <f t="shared" si="2"/>
        <v>Tue</v>
      </c>
      <c r="B36" s="1">
        <f t="shared" si="1"/>
        <v>45692</v>
      </c>
      <c r="C36">
        <f t="shared" si="3"/>
        <v>6</v>
      </c>
      <c r="D36" t="str">
        <f t="shared" si="0"/>
        <v>04/02/2025</v>
      </c>
    </row>
    <row r="37" spans="1:4" x14ac:dyDescent="0.3">
      <c r="A37" t="str">
        <f t="shared" si="2"/>
        <v>Wed</v>
      </c>
      <c r="B37" s="1">
        <f t="shared" si="1"/>
        <v>45693</v>
      </c>
      <c r="C37">
        <f t="shared" si="3"/>
        <v>6</v>
      </c>
      <c r="D37" t="str">
        <f t="shared" si="0"/>
        <v>05/02/2025</v>
      </c>
    </row>
    <row r="38" spans="1:4" x14ac:dyDescent="0.3">
      <c r="A38" t="str">
        <f t="shared" si="2"/>
        <v>Thu</v>
      </c>
      <c r="B38" s="1">
        <f t="shared" si="1"/>
        <v>45694</v>
      </c>
      <c r="C38">
        <f t="shared" si="3"/>
        <v>6</v>
      </c>
      <c r="D38" t="str">
        <f t="shared" si="0"/>
        <v>06/02/2025</v>
      </c>
    </row>
    <row r="39" spans="1:4" x14ac:dyDescent="0.3">
      <c r="A39" t="str">
        <f t="shared" si="2"/>
        <v>Fri</v>
      </c>
      <c r="B39" s="1">
        <f t="shared" si="1"/>
        <v>45695</v>
      </c>
      <c r="C39">
        <f t="shared" si="3"/>
        <v>6</v>
      </c>
      <c r="D39" t="str">
        <f t="shared" si="0"/>
        <v>07/02/2025</v>
      </c>
    </row>
    <row r="40" spans="1:4" x14ac:dyDescent="0.3">
      <c r="A40" t="str">
        <f t="shared" si="2"/>
        <v>Sat</v>
      </c>
      <c r="B40" s="1">
        <f t="shared" si="1"/>
        <v>45696</v>
      </c>
      <c r="C40">
        <f t="shared" si="3"/>
        <v>7</v>
      </c>
      <c r="D40" t="str">
        <f t="shared" si="0"/>
        <v>08/02/2025</v>
      </c>
    </row>
    <row r="41" spans="1:4" x14ac:dyDescent="0.3">
      <c r="A41" t="str">
        <f t="shared" si="2"/>
        <v>Sun</v>
      </c>
      <c r="B41" s="1">
        <f t="shared" si="1"/>
        <v>45697</v>
      </c>
      <c r="C41">
        <f t="shared" si="3"/>
        <v>7</v>
      </c>
      <c r="D41" t="str">
        <f t="shared" si="0"/>
        <v>09/02/2025</v>
      </c>
    </row>
    <row r="42" spans="1:4" x14ac:dyDescent="0.3">
      <c r="A42" t="str">
        <f t="shared" si="2"/>
        <v>Mon</v>
      </c>
      <c r="B42" s="1">
        <f t="shared" si="1"/>
        <v>45698</v>
      </c>
      <c r="C42">
        <f t="shared" si="3"/>
        <v>7</v>
      </c>
      <c r="D42" t="str">
        <f t="shared" si="0"/>
        <v>10/02/2025</v>
      </c>
    </row>
    <row r="43" spans="1:4" x14ac:dyDescent="0.3">
      <c r="A43" t="str">
        <f t="shared" si="2"/>
        <v>Tue</v>
      </c>
      <c r="B43" s="1">
        <f t="shared" si="1"/>
        <v>45699</v>
      </c>
      <c r="C43">
        <f t="shared" si="3"/>
        <v>7</v>
      </c>
      <c r="D43" t="str">
        <f t="shared" si="0"/>
        <v>11/02/2025</v>
      </c>
    </row>
    <row r="44" spans="1:4" x14ac:dyDescent="0.3">
      <c r="A44" t="str">
        <f t="shared" si="2"/>
        <v>Wed</v>
      </c>
      <c r="B44" s="1">
        <f t="shared" si="1"/>
        <v>45700</v>
      </c>
      <c r="C44">
        <f t="shared" si="3"/>
        <v>7</v>
      </c>
      <c r="D44" t="str">
        <f t="shared" si="0"/>
        <v>12/02/2025</v>
      </c>
    </row>
    <row r="45" spans="1:4" x14ac:dyDescent="0.3">
      <c r="A45" t="str">
        <f t="shared" si="2"/>
        <v>Thu</v>
      </c>
      <c r="B45" s="1">
        <f t="shared" si="1"/>
        <v>45701</v>
      </c>
      <c r="C45">
        <f t="shared" si="3"/>
        <v>7</v>
      </c>
      <c r="D45" t="str">
        <f t="shared" si="0"/>
        <v>13/02/2025</v>
      </c>
    </row>
    <row r="46" spans="1:4" x14ac:dyDescent="0.3">
      <c r="A46" t="str">
        <f t="shared" si="2"/>
        <v>Fri</v>
      </c>
      <c r="B46" s="1">
        <f t="shared" si="1"/>
        <v>45702</v>
      </c>
      <c r="C46">
        <f t="shared" si="3"/>
        <v>7</v>
      </c>
      <c r="D46" t="str">
        <f t="shared" si="0"/>
        <v>14/02/2025</v>
      </c>
    </row>
    <row r="47" spans="1:4" x14ac:dyDescent="0.3">
      <c r="A47" t="str">
        <f t="shared" si="2"/>
        <v>Sat</v>
      </c>
      <c r="B47" s="1">
        <f t="shared" si="1"/>
        <v>45703</v>
      </c>
      <c r="C47">
        <f t="shared" si="3"/>
        <v>8</v>
      </c>
      <c r="D47" t="str">
        <f t="shared" si="0"/>
        <v>15/02/2025</v>
      </c>
    </row>
    <row r="48" spans="1:4" x14ac:dyDescent="0.3">
      <c r="A48" t="str">
        <f t="shared" si="2"/>
        <v>Sun</v>
      </c>
      <c r="B48" s="1">
        <f t="shared" si="1"/>
        <v>45704</v>
      </c>
      <c r="C48">
        <f t="shared" si="3"/>
        <v>8</v>
      </c>
      <c r="D48" t="str">
        <f t="shared" si="0"/>
        <v>16/02/2025</v>
      </c>
    </row>
    <row r="49" spans="1:4" x14ac:dyDescent="0.3">
      <c r="A49" t="str">
        <f t="shared" si="2"/>
        <v>Mon</v>
      </c>
      <c r="B49" s="1">
        <f t="shared" si="1"/>
        <v>45705</v>
      </c>
      <c r="C49">
        <f t="shared" si="3"/>
        <v>8</v>
      </c>
      <c r="D49" t="str">
        <f t="shared" si="0"/>
        <v>17/02/2025</v>
      </c>
    </row>
    <row r="50" spans="1:4" x14ac:dyDescent="0.3">
      <c r="A50" t="str">
        <f t="shared" si="2"/>
        <v>Tue</v>
      </c>
      <c r="B50" s="1">
        <f t="shared" si="1"/>
        <v>45706</v>
      </c>
      <c r="C50">
        <f t="shared" si="3"/>
        <v>8</v>
      </c>
      <c r="D50" t="str">
        <f t="shared" si="0"/>
        <v>18/02/2025</v>
      </c>
    </row>
    <row r="51" spans="1:4" x14ac:dyDescent="0.3">
      <c r="A51" t="str">
        <f t="shared" si="2"/>
        <v>Wed</v>
      </c>
      <c r="B51" s="1">
        <f t="shared" si="1"/>
        <v>45707</v>
      </c>
      <c r="C51">
        <f t="shared" si="3"/>
        <v>8</v>
      </c>
      <c r="D51" t="str">
        <f t="shared" si="0"/>
        <v>19/02/2025</v>
      </c>
    </row>
    <row r="52" spans="1:4" x14ac:dyDescent="0.3">
      <c r="A52" t="str">
        <f t="shared" si="2"/>
        <v>Thu</v>
      </c>
      <c r="B52" s="1">
        <f t="shared" si="1"/>
        <v>45708</v>
      </c>
      <c r="C52">
        <f t="shared" si="3"/>
        <v>8</v>
      </c>
      <c r="D52" t="str">
        <f t="shared" si="0"/>
        <v>20/02/2025</v>
      </c>
    </row>
    <row r="53" spans="1:4" x14ac:dyDescent="0.3">
      <c r="A53" t="str">
        <f t="shared" si="2"/>
        <v>Fri</v>
      </c>
      <c r="B53" s="1">
        <f t="shared" si="1"/>
        <v>45709</v>
      </c>
      <c r="C53">
        <f t="shared" si="3"/>
        <v>8</v>
      </c>
      <c r="D53" t="str">
        <f t="shared" si="0"/>
        <v>21/02/2025</v>
      </c>
    </row>
    <row r="54" spans="1:4" x14ac:dyDescent="0.3">
      <c r="A54" t="str">
        <f t="shared" si="2"/>
        <v>Sat</v>
      </c>
      <c r="B54" s="1">
        <f t="shared" si="1"/>
        <v>45710</v>
      </c>
      <c r="C54">
        <f t="shared" si="3"/>
        <v>9</v>
      </c>
      <c r="D54" t="str">
        <f t="shared" si="0"/>
        <v>22/02/2025</v>
      </c>
    </row>
    <row r="55" spans="1:4" x14ac:dyDescent="0.3">
      <c r="A55" t="str">
        <f t="shared" si="2"/>
        <v>Sun</v>
      </c>
      <c r="B55" s="1">
        <f t="shared" si="1"/>
        <v>45711</v>
      </c>
      <c r="C55">
        <f t="shared" si="3"/>
        <v>9</v>
      </c>
      <c r="D55" t="str">
        <f t="shared" si="0"/>
        <v>23/02/2025</v>
      </c>
    </row>
    <row r="56" spans="1:4" x14ac:dyDescent="0.3">
      <c r="A56" t="str">
        <f t="shared" si="2"/>
        <v>Mon</v>
      </c>
      <c r="B56" s="1">
        <f t="shared" si="1"/>
        <v>45712</v>
      </c>
      <c r="C56">
        <f t="shared" si="3"/>
        <v>9</v>
      </c>
      <c r="D56" t="str">
        <f t="shared" si="0"/>
        <v>24/02/2025</v>
      </c>
    </row>
    <row r="57" spans="1:4" x14ac:dyDescent="0.3">
      <c r="A57" t="str">
        <f t="shared" si="2"/>
        <v>Tue</v>
      </c>
      <c r="B57" s="1">
        <f t="shared" si="1"/>
        <v>45713</v>
      </c>
      <c r="C57">
        <f t="shared" si="3"/>
        <v>9</v>
      </c>
      <c r="D57" t="str">
        <f t="shared" si="0"/>
        <v>25/02/2025</v>
      </c>
    </row>
    <row r="58" spans="1:4" x14ac:dyDescent="0.3">
      <c r="A58" t="str">
        <f t="shared" si="2"/>
        <v>Wed</v>
      </c>
      <c r="B58" s="1">
        <f t="shared" si="1"/>
        <v>45714</v>
      </c>
      <c r="C58">
        <f t="shared" si="3"/>
        <v>9</v>
      </c>
      <c r="D58" t="str">
        <f t="shared" si="0"/>
        <v>26/02/2025</v>
      </c>
    </row>
    <row r="59" spans="1:4" x14ac:dyDescent="0.3">
      <c r="A59" t="str">
        <f t="shared" si="2"/>
        <v>Thu</v>
      </c>
      <c r="B59" s="1">
        <f t="shared" si="1"/>
        <v>45715</v>
      </c>
      <c r="C59">
        <f t="shared" si="3"/>
        <v>9</v>
      </c>
      <c r="D59" t="str">
        <f t="shared" si="0"/>
        <v>27/02/2025</v>
      </c>
    </row>
    <row r="60" spans="1:4" x14ac:dyDescent="0.3">
      <c r="A60" t="str">
        <f t="shared" si="2"/>
        <v>Fri</v>
      </c>
      <c r="B60" s="1">
        <f t="shared" si="1"/>
        <v>45716</v>
      </c>
      <c r="C60">
        <f t="shared" si="3"/>
        <v>9</v>
      </c>
      <c r="D60" t="str">
        <f t="shared" si="0"/>
        <v>28/02/2025</v>
      </c>
    </row>
    <row r="61" spans="1:4" x14ac:dyDescent="0.3">
      <c r="A61" t="str">
        <f t="shared" si="2"/>
        <v>Sat</v>
      </c>
      <c r="B61" s="1">
        <f t="shared" si="1"/>
        <v>45717</v>
      </c>
      <c r="C61">
        <f t="shared" si="3"/>
        <v>10</v>
      </c>
      <c r="D61" t="str">
        <f t="shared" si="0"/>
        <v>01/03/2025</v>
      </c>
    </row>
    <row r="62" spans="1:4" x14ac:dyDescent="0.3">
      <c r="A62" t="str">
        <f t="shared" si="2"/>
        <v>Sun</v>
      </c>
      <c r="B62" s="1">
        <f t="shared" si="1"/>
        <v>45718</v>
      </c>
      <c r="C62">
        <f t="shared" si="3"/>
        <v>10</v>
      </c>
      <c r="D62" t="str">
        <f t="shared" si="0"/>
        <v>02/03/2025</v>
      </c>
    </row>
    <row r="63" spans="1:4" x14ac:dyDescent="0.3">
      <c r="A63" t="str">
        <f t="shared" si="2"/>
        <v>Mon</v>
      </c>
      <c r="B63" s="1">
        <f t="shared" si="1"/>
        <v>45719</v>
      </c>
      <c r="C63">
        <f t="shared" si="3"/>
        <v>10</v>
      </c>
      <c r="D63" t="str">
        <f t="shared" si="0"/>
        <v>03/03/2025</v>
      </c>
    </row>
    <row r="64" spans="1:4" x14ac:dyDescent="0.3">
      <c r="A64" t="str">
        <f t="shared" si="2"/>
        <v>Tue</v>
      </c>
      <c r="B64" s="1">
        <f t="shared" si="1"/>
        <v>45720</v>
      </c>
      <c r="C64">
        <f t="shared" si="3"/>
        <v>10</v>
      </c>
      <c r="D64" t="str">
        <f t="shared" si="0"/>
        <v>04/03/2025</v>
      </c>
    </row>
    <row r="65" spans="1:4" x14ac:dyDescent="0.3">
      <c r="A65" t="str">
        <f t="shared" si="2"/>
        <v>Wed</v>
      </c>
      <c r="B65" s="1">
        <f t="shared" si="1"/>
        <v>45721</v>
      </c>
      <c r="C65">
        <f t="shared" si="3"/>
        <v>10</v>
      </c>
      <c r="D65" t="str">
        <f t="shared" si="0"/>
        <v>05/03/2025</v>
      </c>
    </row>
    <row r="66" spans="1:4" x14ac:dyDescent="0.3">
      <c r="A66" t="str">
        <f t="shared" si="2"/>
        <v>Thu</v>
      </c>
      <c r="B66" s="1">
        <f t="shared" si="1"/>
        <v>45722</v>
      </c>
      <c r="C66">
        <f t="shared" si="3"/>
        <v>10</v>
      </c>
      <c r="D66" t="str">
        <f t="shared" si="0"/>
        <v>06/03/2025</v>
      </c>
    </row>
    <row r="67" spans="1:4" x14ac:dyDescent="0.3">
      <c r="A67" t="str">
        <f t="shared" si="2"/>
        <v>Fri</v>
      </c>
      <c r="B67" s="1">
        <f t="shared" si="1"/>
        <v>45723</v>
      </c>
      <c r="C67">
        <f t="shared" si="3"/>
        <v>10</v>
      </c>
      <c r="D67" t="str">
        <f t="shared" ref="D67:D130" si="4">TEXT(B67,"DD")&amp;"/"&amp;TEXT(B67,"MM")&amp;"/"&amp;TEXT(B67,"YYYY")</f>
        <v>07/03/2025</v>
      </c>
    </row>
    <row r="68" spans="1:4" x14ac:dyDescent="0.3">
      <c r="A68" t="str">
        <f t="shared" si="2"/>
        <v>Sat</v>
      </c>
      <c r="B68" s="1">
        <f t="shared" ref="B68:B131" si="5">+B67+1</f>
        <v>45724</v>
      </c>
      <c r="C68">
        <f t="shared" si="3"/>
        <v>11</v>
      </c>
      <c r="D68" t="str">
        <f t="shared" si="4"/>
        <v>08/03/2025</v>
      </c>
    </row>
    <row r="69" spans="1:4" x14ac:dyDescent="0.3">
      <c r="A69" t="str">
        <f t="shared" ref="A69:A132" si="6">TEXT(B69,"ddd")</f>
        <v>Sun</v>
      </c>
      <c r="B69" s="1">
        <f t="shared" si="5"/>
        <v>45725</v>
      </c>
      <c r="C69">
        <f t="shared" ref="C69:C132" si="7">IF(A69="Sat",C68+1,C68)</f>
        <v>11</v>
      </c>
      <c r="D69" t="str">
        <f t="shared" si="4"/>
        <v>09/03/2025</v>
      </c>
    </row>
    <row r="70" spans="1:4" x14ac:dyDescent="0.3">
      <c r="A70" t="str">
        <f t="shared" si="6"/>
        <v>Mon</v>
      </c>
      <c r="B70" s="1">
        <f t="shared" si="5"/>
        <v>45726</v>
      </c>
      <c r="C70">
        <f t="shared" si="7"/>
        <v>11</v>
      </c>
      <c r="D70" t="str">
        <f t="shared" si="4"/>
        <v>10/03/2025</v>
      </c>
    </row>
    <row r="71" spans="1:4" x14ac:dyDescent="0.3">
      <c r="A71" t="str">
        <f t="shared" si="6"/>
        <v>Tue</v>
      </c>
      <c r="B71" s="1">
        <f t="shared" si="5"/>
        <v>45727</v>
      </c>
      <c r="C71">
        <f t="shared" si="7"/>
        <v>11</v>
      </c>
      <c r="D71" t="str">
        <f t="shared" si="4"/>
        <v>11/03/2025</v>
      </c>
    </row>
    <row r="72" spans="1:4" x14ac:dyDescent="0.3">
      <c r="A72" t="str">
        <f t="shared" si="6"/>
        <v>Wed</v>
      </c>
      <c r="B72" s="1">
        <f t="shared" si="5"/>
        <v>45728</v>
      </c>
      <c r="C72">
        <f t="shared" si="7"/>
        <v>11</v>
      </c>
      <c r="D72" t="str">
        <f t="shared" si="4"/>
        <v>12/03/2025</v>
      </c>
    </row>
    <row r="73" spans="1:4" x14ac:dyDescent="0.3">
      <c r="A73" t="str">
        <f t="shared" si="6"/>
        <v>Thu</v>
      </c>
      <c r="B73" s="1">
        <f t="shared" si="5"/>
        <v>45729</v>
      </c>
      <c r="C73">
        <f t="shared" si="7"/>
        <v>11</v>
      </c>
      <c r="D73" t="str">
        <f t="shared" si="4"/>
        <v>13/03/2025</v>
      </c>
    </row>
    <row r="74" spans="1:4" x14ac:dyDescent="0.3">
      <c r="A74" t="str">
        <f t="shared" si="6"/>
        <v>Fri</v>
      </c>
      <c r="B74" s="1">
        <f t="shared" si="5"/>
        <v>45730</v>
      </c>
      <c r="C74">
        <f t="shared" si="7"/>
        <v>11</v>
      </c>
      <c r="D74" t="str">
        <f t="shared" si="4"/>
        <v>14/03/2025</v>
      </c>
    </row>
    <row r="75" spans="1:4" x14ac:dyDescent="0.3">
      <c r="A75" t="str">
        <f t="shared" si="6"/>
        <v>Sat</v>
      </c>
      <c r="B75" s="1">
        <f t="shared" si="5"/>
        <v>45731</v>
      </c>
      <c r="C75">
        <f t="shared" si="7"/>
        <v>12</v>
      </c>
      <c r="D75" t="str">
        <f t="shared" si="4"/>
        <v>15/03/2025</v>
      </c>
    </row>
    <row r="76" spans="1:4" x14ac:dyDescent="0.3">
      <c r="A76" t="str">
        <f t="shared" si="6"/>
        <v>Sun</v>
      </c>
      <c r="B76" s="1">
        <f t="shared" si="5"/>
        <v>45732</v>
      </c>
      <c r="C76">
        <f t="shared" si="7"/>
        <v>12</v>
      </c>
      <c r="D76" t="str">
        <f t="shared" si="4"/>
        <v>16/03/2025</v>
      </c>
    </row>
    <row r="77" spans="1:4" x14ac:dyDescent="0.3">
      <c r="A77" t="str">
        <f t="shared" si="6"/>
        <v>Mon</v>
      </c>
      <c r="B77" s="1">
        <f t="shared" si="5"/>
        <v>45733</v>
      </c>
      <c r="C77">
        <f t="shared" si="7"/>
        <v>12</v>
      </c>
      <c r="D77" t="str">
        <f t="shared" si="4"/>
        <v>17/03/2025</v>
      </c>
    </row>
    <row r="78" spans="1:4" x14ac:dyDescent="0.3">
      <c r="A78" t="str">
        <f t="shared" si="6"/>
        <v>Tue</v>
      </c>
      <c r="B78" s="1">
        <f t="shared" si="5"/>
        <v>45734</v>
      </c>
      <c r="C78">
        <f t="shared" si="7"/>
        <v>12</v>
      </c>
      <c r="D78" t="str">
        <f t="shared" si="4"/>
        <v>18/03/2025</v>
      </c>
    </row>
    <row r="79" spans="1:4" x14ac:dyDescent="0.3">
      <c r="A79" t="str">
        <f t="shared" si="6"/>
        <v>Wed</v>
      </c>
      <c r="B79" s="1">
        <f t="shared" si="5"/>
        <v>45735</v>
      </c>
      <c r="C79">
        <f t="shared" si="7"/>
        <v>12</v>
      </c>
      <c r="D79" t="str">
        <f t="shared" si="4"/>
        <v>19/03/2025</v>
      </c>
    </row>
    <row r="80" spans="1:4" x14ac:dyDescent="0.3">
      <c r="A80" t="str">
        <f t="shared" si="6"/>
        <v>Thu</v>
      </c>
      <c r="B80" s="1">
        <f t="shared" si="5"/>
        <v>45736</v>
      </c>
      <c r="C80">
        <f t="shared" si="7"/>
        <v>12</v>
      </c>
      <c r="D80" t="str">
        <f t="shared" si="4"/>
        <v>20/03/2025</v>
      </c>
    </row>
    <row r="81" spans="1:4" x14ac:dyDescent="0.3">
      <c r="A81" t="str">
        <f t="shared" si="6"/>
        <v>Fri</v>
      </c>
      <c r="B81" s="1">
        <f t="shared" si="5"/>
        <v>45737</v>
      </c>
      <c r="C81">
        <f t="shared" si="7"/>
        <v>12</v>
      </c>
      <c r="D81" t="str">
        <f t="shared" si="4"/>
        <v>21/03/2025</v>
      </c>
    </row>
    <row r="82" spans="1:4" x14ac:dyDescent="0.3">
      <c r="A82" t="str">
        <f t="shared" si="6"/>
        <v>Sat</v>
      </c>
      <c r="B82" s="1">
        <f t="shared" si="5"/>
        <v>45738</v>
      </c>
      <c r="C82">
        <f t="shared" si="7"/>
        <v>13</v>
      </c>
      <c r="D82" t="str">
        <f t="shared" si="4"/>
        <v>22/03/2025</v>
      </c>
    </row>
    <row r="83" spans="1:4" x14ac:dyDescent="0.3">
      <c r="A83" t="str">
        <f t="shared" si="6"/>
        <v>Sun</v>
      </c>
      <c r="B83" s="1">
        <f t="shared" si="5"/>
        <v>45739</v>
      </c>
      <c r="C83">
        <f t="shared" si="7"/>
        <v>13</v>
      </c>
      <c r="D83" t="str">
        <f t="shared" si="4"/>
        <v>23/03/2025</v>
      </c>
    </row>
    <row r="84" spans="1:4" x14ac:dyDescent="0.3">
      <c r="A84" t="str">
        <f t="shared" si="6"/>
        <v>Mon</v>
      </c>
      <c r="B84" s="1">
        <f t="shared" si="5"/>
        <v>45740</v>
      </c>
      <c r="C84">
        <f t="shared" si="7"/>
        <v>13</v>
      </c>
      <c r="D84" t="str">
        <f t="shared" si="4"/>
        <v>24/03/2025</v>
      </c>
    </row>
    <row r="85" spans="1:4" x14ac:dyDescent="0.3">
      <c r="A85" t="str">
        <f t="shared" si="6"/>
        <v>Tue</v>
      </c>
      <c r="B85" s="1">
        <f t="shared" si="5"/>
        <v>45741</v>
      </c>
      <c r="C85">
        <f t="shared" si="7"/>
        <v>13</v>
      </c>
      <c r="D85" t="str">
        <f t="shared" si="4"/>
        <v>25/03/2025</v>
      </c>
    </row>
    <row r="86" spans="1:4" x14ac:dyDescent="0.3">
      <c r="A86" t="str">
        <f t="shared" si="6"/>
        <v>Wed</v>
      </c>
      <c r="B86" s="1">
        <f t="shared" si="5"/>
        <v>45742</v>
      </c>
      <c r="C86">
        <f t="shared" si="7"/>
        <v>13</v>
      </c>
      <c r="D86" t="str">
        <f t="shared" si="4"/>
        <v>26/03/2025</v>
      </c>
    </row>
    <row r="87" spans="1:4" x14ac:dyDescent="0.3">
      <c r="A87" t="str">
        <f t="shared" si="6"/>
        <v>Thu</v>
      </c>
      <c r="B87" s="1">
        <f t="shared" si="5"/>
        <v>45743</v>
      </c>
      <c r="C87">
        <f t="shared" si="7"/>
        <v>13</v>
      </c>
      <c r="D87" t="str">
        <f t="shared" si="4"/>
        <v>27/03/2025</v>
      </c>
    </row>
    <row r="88" spans="1:4" x14ac:dyDescent="0.3">
      <c r="A88" t="str">
        <f t="shared" si="6"/>
        <v>Fri</v>
      </c>
      <c r="B88" s="1">
        <f t="shared" si="5"/>
        <v>45744</v>
      </c>
      <c r="C88">
        <f t="shared" si="7"/>
        <v>13</v>
      </c>
      <c r="D88" t="str">
        <f t="shared" si="4"/>
        <v>28/03/2025</v>
      </c>
    </row>
    <row r="89" spans="1:4" x14ac:dyDescent="0.3">
      <c r="A89" t="str">
        <f t="shared" si="6"/>
        <v>Sat</v>
      </c>
      <c r="B89" s="1">
        <f t="shared" si="5"/>
        <v>45745</v>
      </c>
      <c r="C89">
        <f t="shared" si="7"/>
        <v>14</v>
      </c>
      <c r="D89" t="str">
        <f t="shared" si="4"/>
        <v>29/03/2025</v>
      </c>
    </row>
    <row r="90" spans="1:4" x14ac:dyDescent="0.3">
      <c r="A90" t="str">
        <f t="shared" si="6"/>
        <v>Sun</v>
      </c>
      <c r="B90" s="1">
        <f t="shared" si="5"/>
        <v>45746</v>
      </c>
      <c r="C90">
        <f t="shared" si="7"/>
        <v>14</v>
      </c>
      <c r="D90" t="str">
        <f t="shared" si="4"/>
        <v>30/03/2025</v>
      </c>
    </row>
    <row r="91" spans="1:4" x14ac:dyDescent="0.3">
      <c r="A91" t="str">
        <f t="shared" si="6"/>
        <v>Mon</v>
      </c>
      <c r="B91" s="1">
        <f t="shared" si="5"/>
        <v>45747</v>
      </c>
      <c r="C91">
        <f t="shared" si="7"/>
        <v>14</v>
      </c>
      <c r="D91" t="str">
        <f t="shared" si="4"/>
        <v>31/03/2025</v>
      </c>
    </row>
    <row r="92" spans="1:4" x14ac:dyDescent="0.3">
      <c r="A92" t="str">
        <f t="shared" si="6"/>
        <v>Tue</v>
      </c>
      <c r="B92" s="1">
        <f t="shared" si="5"/>
        <v>45748</v>
      </c>
      <c r="C92">
        <f t="shared" si="7"/>
        <v>14</v>
      </c>
      <c r="D92" t="str">
        <f t="shared" si="4"/>
        <v>01/04/2025</v>
      </c>
    </row>
    <row r="93" spans="1:4" x14ac:dyDescent="0.3">
      <c r="A93" t="str">
        <f t="shared" si="6"/>
        <v>Wed</v>
      </c>
      <c r="B93" s="1">
        <f t="shared" si="5"/>
        <v>45749</v>
      </c>
      <c r="C93">
        <f t="shared" si="7"/>
        <v>14</v>
      </c>
      <c r="D93" t="str">
        <f t="shared" si="4"/>
        <v>02/04/2025</v>
      </c>
    </row>
    <row r="94" spans="1:4" x14ac:dyDescent="0.3">
      <c r="A94" t="str">
        <f t="shared" si="6"/>
        <v>Thu</v>
      </c>
      <c r="B94" s="1">
        <f t="shared" si="5"/>
        <v>45750</v>
      </c>
      <c r="C94">
        <f t="shared" si="7"/>
        <v>14</v>
      </c>
      <c r="D94" t="str">
        <f t="shared" si="4"/>
        <v>03/04/2025</v>
      </c>
    </row>
    <row r="95" spans="1:4" x14ac:dyDescent="0.3">
      <c r="A95" t="str">
        <f t="shared" si="6"/>
        <v>Fri</v>
      </c>
      <c r="B95" s="1">
        <f t="shared" si="5"/>
        <v>45751</v>
      </c>
      <c r="C95">
        <f t="shared" si="7"/>
        <v>14</v>
      </c>
      <c r="D95" t="str">
        <f t="shared" si="4"/>
        <v>04/04/2025</v>
      </c>
    </row>
    <row r="96" spans="1:4" x14ac:dyDescent="0.3">
      <c r="A96" t="str">
        <f t="shared" si="6"/>
        <v>Sat</v>
      </c>
      <c r="B96" s="1">
        <f t="shared" si="5"/>
        <v>45752</v>
      </c>
      <c r="C96">
        <f t="shared" si="7"/>
        <v>15</v>
      </c>
      <c r="D96" t="str">
        <f t="shared" si="4"/>
        <v>05/04/2025</v>
      </c>
    </row>
    <row r="97" spans="1:4" x14ac:dyDescent="0.3">
      <c r="A97" t="str">
        <f t="shared" si="6"/>
        <v>Sun</v>
      </c>
      <c r="B97" s="1">
        <f t="shared" si="5"/>
        <v>45753</v>
      </c>
      <c r="C97">
        <f t="shared" si="7"/>
        <v>15</v>
      </c>
      <c r="D97" t="str">
        <f t="shared" si="4"/>
        <v>06/04/2025</v>
      </c>
    </row>
    <row r="98" spans="1:4" x14ac:dyDescent="0.3">
      <c r="A98" t="str">
        <f t="shared" si="6"/>
        <v>Mon</v>
      </c>
      <c r="B98" s="1">
        <f t="shared" si="5"/>
        <v>45754</v>
      </c>
      <c r="C98">
        <f t="shared" si="7"/>
        <v>15</v>
      </c>
      <c r="D98" t="str">
        <f t="shared" si="4"/>
        <v>07/04/2025</v>
      </c>
    </row>
    <row r="99" spans="1:4" x14ac:dyDescent="0.3">
      <c r="A99" t="str">
        <f t="shared" si="6"/>
        <v>Tue</v>
      </c>
      <c r="B99" s="1">
        <f t="shared" si="5"/>
        <v>45755</v>
      </c>
      <c r="C99">
        <f t="shared" si="7"/>
        <v>15</v>
      </c>
      <c r="D99" t="str">
        <f t="shared" si="4"/>
        <v>08/04/2025</v>
      </c>
    </row>
    <row r="100" spans="1:4" x14ac:dyDescent="0.3">
      <c r="A100" t="str">
        <f t="shared" si="6"/>
        <v>Wed</v>
      </c>
      <c r="B100" s="1">
        <f t="shared" si="5"/>
        <v>45756</v>
      </c>
      <c r="C100">
        <f t="shared" si="7"/>
        <v>15</v>
      </c>
      <c r="D100" t="str">
        <f t="shared" si="4"/>
        <v>09/04/2025</v>
      </c>
    </row>
    <row r="101" spans="1:4" x14ac:dyDescent="0.3">
      <c r="A101" t="str">
        <f t="shared" si="6"/>
        <v>Thu</v>
      </c>
      <c r="B101" s="1">
        <f t="shared" si="5"/>
        <v>45757</v>
      </c>
      <c r="C101">
        <f t="shared" si="7"/>
        <v>15</v>
      </c>
      <c r="D101" t="str">
        <f t="shared" si="4"/>
        <v>10/04/2025</v>
      </c>
    </row>
    <row r="102" spans="1:4" x14ac:dyDescent="0.3">
      <c r="A102" t="str">
        <f t="shared" si="6"/>
        <v>Fri</v>
      </c>
      <c r="B102" s="1">
        <f t="shared" si="5"/>
        <v>45758</v>
      </c>
      <c r="C102">
        <f t="shared" si="7"/>
        <v>15</v>
      </c>
      <c r="D102" t="str">
        <f t="shared" si="4"/>
        <v>11/04/2025</v>
      </c>
    </row>
    <row r="103" spans="1:4" x14ac:dyDescent="0.3">
      <c r="A103" t="str">
        <f t="shared" si="6"/>
        <v>Sat</v>
      </c>
      <c r="B103" s="1">
        <f t="shared" si="5"/>
        <v>45759</v>
      </c>
      <c r="C103">
        <f t="shared" si="7"/>
        <v>16</v>
      </c>
      <c r="D103" t="str">
        <f t="shared" si="4"/>
        <v>12/04/2025</v>
      </c>
    </row>
    <row r="104" spans="1:4" x14ac:dyDescent="0.3">
      <c r="A104" t="str">
        <f t="shared" si="6"/>
        <v>Sun</v>
      </c>
      <c r="B104" s="1">
        <f t="shared" si="5"/>
        <v>45760</v>
      </c>
      <c r="C104">
        <f t="shared" si="7"/>
        <v>16</v>
      </c>
      <c r="D104" t="str">
        <f t="shared" si="4"/>
        <v>13/04/2025</v>
      </c>
    </row>
    <row r="105" spans="1:4" x14ac:dyDescent="0.3">
      <c r="A105" t="str">
        <f t="shared" si="6"/>
        <v>Mon</v>
      </c>
      <c r="B105" s="1">
        <f t="shared" si="5"/>
        <v>45761</v>
      </c>
      <c r="C105">
        <f t="shared" si="7"/>
        <v>16</v>
      </c>
      <c r="D105" t="str">
        <f t="shared" si="4"/>
        <v>14/04/2025</v>
      </c>
    </row>
    <row r="106" spans="1:4" x14ac:dyDescent="0.3">
      <c r="A106" t="str">
        <f t="shared" si="6"/>
        <v>Tue</v>
      </c>
      <c r="B106" s="1">
        <f t="shared" si="5"/>
        <v>45762</v>
      </c>
      <c r="C106">
        <f t="shared" si="7"/>
        <v>16</v>
      </c>
      <c r="D106" t="str">
        <f t="shared" si="4"/>
        <v>15/04/2025</v>
      </c>
    </row>
    <row r="107" spans="1:4" x14ac:dyDescent="0.3">
      <c r="A107" t="str">
        <f t="shared" si="6"/>
        <v>Wed</v>
      </c>
      <c r="B107" s="1">
        <f t="shared" si="5"/>
        <v>45763</v>
      </c>
      <c r="C107">
        <f t="shared" si="7"/>
        <v>16</v>
      </c>
      <c r="D107" t="str">
        <f t="shared" si="4"/>
        <v>16/04/2025</v>
      </c>
    </row>
    <row r="108" spans="1:4" x14ac:dyDescent="0.3">
      <c r="A108" t="str">
        <f t="shared" si="6"/>
        <v>Thu</v>
      </c>
      <c r="B108" s="1">
        <f t="shared" si="5"/>
        <v>45764</v>
      </c>
      <c r="C108">
        <f t="shared" si="7"/>
        <v>16</v>
      </c>
      <c r="D108" t="str">
        <f t="shared" si="4"/>
        <v>17/04/2025</v>
      </c>
    </row>
    <row r="109" spans="1:4" x14ac:dyDescent="0.3">
      <c r="A109" t="str">
        <f t="shared" si="6"/>
        <v>Fri</v>
      </c>
      <c r="B109" s="1">
        <f t="shared" si="5"/>
        <v>45765</v>
      </c>
      <c r="C109">
        <f t="shared" si="7"/>
        <v>16</v>
      </c>
      <c r="D109" t="str">
        <f t="shared" si="4"/>
        <v>18/04/2025</v>
      </c>
    </row>
    <row r="110" spans="1:4" x14ac:dyDescent="0.3">
      <c r="A110" t="str">
        <f t="shared" si="6"/>
        <v>Sat</v>
      </c>
      <c r="B110" s="1">
        <f t="shared" si="5"/>
        <v>45766</v>
      </c>
      <c r="C110">
        <f t="shared" si="7"/>
        <v>17</v>
      </c>
      <c r="D110" t="str">
        <f t="shared" si="4"/>
        <v>19/04/2025</v>
      </c>
    </row>
    <row r="111" spans="1:4" x14ac:dyDescent="0.3">
      <c r="A111" t="str">
        <f t="shared" si="6"/>
        <v>Sun</v>
      </c>
      <c r="B111" s="1">
        <f t="shared" si="5"/>
        <v>45767</v>
      </c>
      <c r="C111">
        <f t="shared" si="7"/>
        <v>17</v>
      </c>
      <c r="D111" t="str">
        <f t="shared" si="4"/>
        <v>20/04/2025</v>
      </c>
    </row>
    <row r="112" spans="1:4" x14ac:dyDescent="0.3">
      <c r="A112" t="str">
        <f t="shared" si="6"/>
        <v>Mon</v>
      </c>
      <c r="B112" s="1">
        <f t="shared" si="5"/>
        <v>45768</v>
      </c>
      <c r="C112">
        <f t="shared" si="7"/>
        <v>17</v>
      </c>
      <c r="D112" t="str">
        <f t="shared" si="4"/>
        <v>21/04/2025</v>
      </c>
    </row>
    <row r="113" spans="1:4" x14ac:dyDescent="0.3">
      <c r="A113" t="str">
        <f t="shared" si="6"/>
        <v>Tue</v>
      </c>
      <c r="B113" s="1">
        <f t="shared" si="5"/>
        <v>45769</v>
      </c>
      <c r="C113">
        <f t="shared" si="7"/>
        <v>17</v>
      </c>
      <c r="D113" t="str">
        <f t="shared" si="4"/>
        <v>22/04/2025</v>
      </c>
    </row>
    <row r="114" spans="1:4" x14ac:dyDescent="0.3">
      <c r="A114" t="str">
        <f t="shared" si="6"/>
        <v>Wed</v>
      </c>
      <c r="B114" s="1">
        <f t="shared" si="5"/>
        <v>45770</v>
      </c>
      <c r="C114">
        <f t="shared" si="7"/>
        <v>17</v>
      </c>
      <c r="D114" t="str">
        <f t="shared" si="4"/>
        <v>23/04/2025</v>
      </c>
    </row>
    <row r="115" spans="1:4" x14ac:dyDescent="0.3">
      <c r="A115" t="str">
        <f t="shared" si="6"/>
        <v>Thu</v>
      </c>
      <c r="B115" s="1">
        <f t="shared" si="5"/>
        <v>45771</v>
      </c>
      <c r="C115">
        <f t="shared" si="7"/>
        <v>17</v>
      </c>
      <c r="D115" t="str">
        <f t="shared" si="4"/>
        <v>24/04/2025</v>
      </c>
    </row>
    <row r="116" spans="1:4" x14ac:dyDescent="0.3">
      <c r="A116" t="str">
        <f t="shared" si="6"/>
        <v>Fri</v>
      </c>
      <c r="B116" s="1">
        <f t="shared" si="5"/>
        <v>45772</v>
      </c>
      <c r="C116">
        <f t="shared" si="7"/>
        <v>17</v>
      </c>
      <c r="D116" t="str">
        <f t="shared" si="4"/>
        <v>25/04/2025</v>
      </c>
    </row>
    <row r="117" spans="1:4" x14ac:dyDescent="0.3">
      <c r="A117" t="str">
        <f t="shared" si="6"/>
        <v>Sat</v>
      </c>
      <c r="B117" s="1">
        <f t="shared" si="5"/>
        <v>45773</v>
      </c>
      <c r="C117">
        <f t="shared" si="7"/>
        <v>18</v>
      </c>
      <c r="D117" t="str">
        <f t="shared" si="4"/>
        <v>26/04/2025</v>
      </c>
    </row>
    <row r="118" spans="1:4" x14ac:dyDescent="0.3">
      <c r="A118" t="str">
        <f t="shared" si="6"/>
        <v>Sun</v>
      </c>
      <c r="B118" s="1">
        <f t="shared" si="5"/>
        <v>45774</v>
      </c>
      <c r="C118">
        <f t="shared" si="7"/>
        <v>18</v>
      </c>
      <c r="D118" t="str">
        <f t="shared" si="4"/>
        <v>27/04/2025</v>
      </c>
    </row>
    <row r="119" spans="1:4" x14ac:dyDescent="0.3">
      <c r="A119" t="str">
        <f t="shared" si="6"/>
        <v>Mon</v>
      </c>
      <c r="B119" s="1">
        <f t="shared" si="5"/>
        <v>45775</v>
      </c>
      <c r="C119">
        <f t="shared" si="7"/>
        <v>18</v>
      </c>
      <c r="D119" t="str">
        <f t="shared" si="4"/>
        <v>28/04/2025</v>
      </c>
    </row>
    <row r="120" spans="1:4" x14ac:dyDescent="0.3">
      <c r="A120" t="str">
        <f t="shared" si="6"/>
        <v>Tue</v>
      </c>
      <c r="B120" s="1">
        <f t="shared" si="5"/>
        <v>45776</v>
      </c>
      <c r="C120">
        <f t="shared" si="7"/>
        <v>18</v>
      </c>
      <c r="D120" t="str">
        <f t="shared" si="4"/>
        <v>29/04/2025</v>
      </c>
    </row>
    <row r="121" spans="1:4" x14ac:dyDescent="0.3">
      <c r="A121" t="str">
        <f t="shared" si="6"/>
        <v>Wed</v>
      </c>
      <c r="B121" s="1">
        <f t="shared" si="5"/>
        <v>45777</v>
      </c>
      <c r="C121">
        <f t="shared" si="7"/>
        <v>18</v>
      </c>
      <c r="D121" t="str">
        <f t="shared" si="4"/>
        <v>30/04/2025</v>
      </c>
    </row>
    <row r="122" spans="1:4" x14ac:dyDescent="0.3">
      <c r="A122" t="str">
        <f t="shared" si="6"/>
        <v>Thu</v>
      </c>
      <c r="B122" s="1">
        <f t="shared" si="5"/>
        <v>45778</v>
      </c>
      <c r="C122">
        <f t="shared" si="7"/>
        <v>18</v>
      </c>
      <c r="D122" t="str">
        <f t="shared" si="4"/>
        <v>01/05/2025</v>
      </c>
    </row>
    <row r="123" spans="1:4" x14ac:dyDescent="0.3">
      <c r="A123" t="str">
        <f t="shared" si="6"/>
        <v>Fri</v>
      </c>
      <c r="B123" s="1">
        <f t="shared" si="5"/>
        <v>45779</v>
      </c>
      <c r="C123">
        <f t="shared" si="7"/>
        <v>18</v>
      </c>
      <c r="D123" t="str">
        <f t="shared" si="4"/>
        <v>02/05/2025</v>
      </c>
    </row>
    <row r="124" spans="1:4" x14ac:dyDescent="0.3">
      <c r="A124" t="str">
        <f t="shared" si="6"/>
        <v>Sat</v>
      </c>
      <c r="B124" s="1">
        <f t="shared" si="5"/>
        <v>45780</v>
      </c>
      <c r="C124">
        <f t="shared" si="7"/>
        <v>19</v>
      </c>
      <c r="D124" t="str">
        <f t="shared" si="4"/>
        <v>03/05/2025</v>
      </c>
    </row>
    <row r="125" spans="1:4" x14ac:dyDescent="0.3">
      <c r="A125" t="str">
        <f t="shared" si="6"/>
        <v>Sun</v>
      </c>
      <c r="B125" s="1">
        <f t="shared" si="5"/>
        <v>45781</v>
      </c>
      <c r="C125">
        <f t="shared" si="7"/>
        <v>19</v>
      </c>
      <c r="D125" t="str">
        <f t="shared" si="4"/>
        <v>04/05/2025</v>
      </c>
    </row>
    <row r="126" spans="1:4" x14ac:dyDescent="0.3">
      <c r="A126" t="str">
        <f t="shared" si="6"/>
        <v>Mon</v>
      </c>
      <c r="B126" s="1">
        <f t="shared" si="5"/>
        <v>45782</v>
      </c>
      <c r="C126">
        <f t="shared" si="7"/>
        <v>19</v>
      </c>
      <c r="D126" t="str">
        <f t="shared" si="4"/>
        <v>05/05/2025</v>
      </c>
    </row>
    <row r="127" spans="1:4" x14ac:dyDescent="0.3">
      <c r="A127" t="str">
        <f t="shared" si="6"/>
        <v>Tue</v>
      </c>
      <c r="B127" s="1">
        <f t="shared" si="5"/>
        <v>45783</v>
      </c>
      <c r="C127">
        <f t="shared" si="7"/>
        <v>19</v>
      </c>
      <c r="D127" t="str">
        <f t="shared" si="4"/>
        <v>06/05/2025</v>
      </c>
    </row>
    <row r="128" spans="1:4" x14ac:dyDescent="0.3">
      <c r="A128" t="str">
        <f t="shared" si="6"/>
        <v>Wed</v>
      </c>
      <c r="B128" s="1">
        <f t="shared" si="5"/>
        <v>45784</v>
      </c>
      <c r="C128">
        <f t="shared" si="7"/>
        <v>19</v>
      </c>
      <c r="D128" t="str">
        <f t="shared" si="4"/>
        <v>07/05/2025</v>
      </c>
    </row>
    <row r="129" spans="1:4" x14ac:dyDescent="0.3">
      <c r="A129" t="str">
        <f t="shared" si="6"/>
        <v>Thu</v>
      </c>
      <c r="B129" s="1">
        <f t="shared" si="5"/>
        <v>45785</v>
      </c>
      <c r="C129">
        <f t="shared" si="7"/>
        <v>19</v>
      </c>
      <c r="D129" t="str">
        <f t="shared" si="4"/>
        <v>08/05/2025</v>
      </c>
    </row>
    <row r="130" spans="1:4" x14ac:dyDescent="0.3">
      <c r="A130" t="str">
        <f t="shared" si="6"/>
        <v>Fri</v>
      </c>
      <c r="B130" s="1">
        <f t="shared" si="5"/>
        <v>45786</v>
      </c>
      <c r="C130">
        <f t="shared" si="7"/>
        <v>19</v>
      </c>
      <c r="D130" t="str">
        <f t="shared" si="4"/>
        <v>09/05/2025</v>
      </c>
    </row>
    <row r="131" spans="1:4" x14ac:dyDescent="0.3">
      <c r="A131" t="str">
        <f t="shared" si="6"/>
        <v>Sat</v>
      </c>
      <c r="B131" s="1">
        <f t="shared" si="5"/>
        <v>45787</v>
      </c>
      <c r="C131">
        <f t="shared" si="7"/>
        <v>20</v>
      </c>
      <c r="D131" t="str">
        <f t="shared" ref="D131:D194" si="8">TEXT(B131,"DD")&amp;"/"&amp;TEXT(B131,"MM")&amp;"/"&amp;TEXT(B131,"YYYY")</f>
        <v>10/05/2025</v>
      </c>
    </row>
    <row r="132" spans="1:4" x14ac:dyDescent="0.3">
      <c r="A132" t="str">
        <f t="shared" si="6"/>
        <v>Sun</v>
      </c>
      <c r="B132" s="1">
        <f t="shared" ref="B132:B195" si="9">+B131+1</f>
        <v>45788</v>
      </c>
      <c r="C132">
        <f t="shared" si="7"/>
        <v>20</v>
      </c>
      <c r="D132" t="str">
        <f t="shared" si="8"/>
        <v>11/05/2025</v>
      </c>
    </row>
    <row r="133" spans="1:4" x14ac:dyDescent="0.3">
      <c r="A133" t="str">
        <f t="shared" ref="A133:A196" si="10">TEXT(B133,"ddd")</f>
        <v>Mon</v>
      </c>
      <c r="B133" s="1">
        <f t="shared" si="9"/>
        <v>45789</v>
      </c>
      <c r="C133">
        <f t="shared" ref="C133:C196" si="11">IF(A133="Sat",C132+1,C132)</f>
        <v>20</v>
      </c>
      <c r="D133" t="str">
        <f t="shared" si="8"/>
        <v>12/05/2025</v>
      </c>
    </row>
    <row r="134" spans="1:4" x14ac:dyDescent="0.3">
      <c r="A134" t="str">
        <f t="shared" si="10"/>
        <v>Tue</v>
      </c>
      <c r="B134" s="1">
        <f t="shared" si="9"/>
        <v>45790</v>
      </c>
      <c r="C134">
        <f t="shared" si="11"/>
        <v>20</v>
      </c>
      <c r="D134" t="str">
        <f t="shared" si="8"/>
        <v>13/05/2025</v>
      </c>
    </row>
    <row r="135" spans="1:4" x14ac:dyDescent="0.3">
      <c r="A135" t="str">
        <f t="shared" si="10"/>
        <v>Wed</v>
      </c>
      <c r="B135" s="1">
        <f t="shared" si="9"/>
        <v>45791</v>
      </c>
      <c r="C135">
        <f t="shared" si="11"/>
        <v>20</v>
      </c>
      <c r="D135" t="str">
        <f t="shared" si="8"/>
        <v>14/05/2025</v>
      </c>
    </row>
    <row r="136" spans="1:4" x14ac:dyDescent="0.3">
      <c r="A136" t="str">
        <f t="shared" si="10"/>
        <v>Thu</v>
      </c>
      <c r="B136" s="1">
        <f t="shared" si="9"/>
        <v>45792</v>
      </c>
      <c r="C136">
        <f t="shared" si="11"/>
        <v>20</v>
      </c>
      <c r="D136" t="str">
        <f t="shared" si="8"/>
        <v>15/05/2025</v>
      </c>
    </row>
    <row r="137" spans="1:4" x14ac:dyDescent="0.3">
      <c r="A137" t="str">
        <f t="shared" si="10"/>
        <v>Fri</v>
      </c>
      <c r="B137" s="1">
        <f t="shared" si="9"/>
        <v>45793</v>
      </c>
      <c r="C137">
        <f t="shared" si="11"/>
        <v>20</v>
      </c>
      <c r="D137" t="str">
        <f t="shared" si="8"/>
        <v>16/05/2025</v>
      </c>
    </row>
    <row r="138" spans="1:4" x14ac:dyDescent="0.3">
      <c r="A138" t="str">
        <f t="shared" si="10"/>
        <v>Sat</v>
      </c>
      <c r="B138" s="1">
        <f t="shared" si="9"/>
        <v>45794</v>
      </c>
      <c r="C138">
        <f t="shared" si="11"/>
        <v>21</v>
      </c>
      <c r="D138" t="str">
        <f t="shared" si="8"/>
        <v>17/05/2025</v>
      </c>
    </row>
    <row r="139" spans="1:4" x14ac:dyDescent="0.3">
      <c r="A139" t="str">
        <f t="shared" si="10"/>
        <v>Sun</v>
      </c>
      <c r="B139" s="1">
        <f t="shared" si="9"/>
        <v>45795</v>
      </c>
      <c r="C139">
        <f t="shared" si="11"/>
        <v>21</v>
      </c>
      <c r="D139" t="str">
        <f t="shared" si="8"/>
        <v>18/05/2025</v>
      </c>
    </row>
    <row r="140" spans="1:4" x14ac:dyDescent="0.3">
      <c r="A140" t="str">
        <f t="shared" si="10"/>
        <v>Mon</v>
      </c>
      <c r="B140" s="1">
        <f t="shared" si="9"/>
        <v>45796</v>
      </c>
      <c r="C140">
        <f t="shared" si="11"/>
        <v>21</v>
      </c>
      <c r="D140" t="str">
        <f t="shared" si="8"/>
        <v>19/05/2025</v>
      </c>
    </row>
    <row r="141" spans="1:4" x14ac:dyDescent="0.3">
      <c r="A141" t="str">
        <f t="shared" si="10"/>
        <v>Tue</v>
      </c>
      <c r="B141" s="1">
        <f t="shared" si="9"/>
        <v>45797</v>
      </c>
      <c r="C141">
        <f t="shared" si="11"/>
        <v>21</v>
      </c>
      <c r="D141" t="str">
        <f t="shared" si="8"/>
        <v>20/05/2025</v>
      </c>
    </row>
    <row r="142" spans="1:4" x14ac:dyDescent="0.3">
      <c r="A142" t="str">
        <f t="shared" si="10"/>
        <v>Wed</v>
      </c>
      <c r="B142" s="1">
        <f t="shared" si="9"/>
        <v>45798</v>
      </c>
      <c r="C142">
        <f t="shared" si="11"/>
        <v>21</v>
      </c>
      <c r="D142" t="str">
        <f t="shared" si="8"/>
        <v>21/05/2025</v>
      </c>
    </row>
    <row r="143" spans="1:4" x14ac:dyDescent="0.3">
      <c r="A143" t="str">
        <f t="shared" si="10"/>
        <v>Thu</v>
      </c>
      <c r="B143" s="1">
        <f t="shared" si="9"/>
        <v>45799</v>
      </c>
      <c r="C143">
        <f t="shared" si="11"/>
        <v>21</v>
      </c>
      <c r="D143" t="str">
        <f t="shared" si="8"/>
        <v>22/05/2025</v>
      </c>
    </row>
    <row r="144" spans="1:4" x14ac:dyDescent="0.3">
      <c r="A144" t="str">
        <f t="shared" si="10"/>
        <v>Fri</v>
      </c>
      <c r="B144" s="1">
        <f t="shared" si="9"/>
        <v>45800</v>
      </c>
      <c r="C144">
        <f t="shared" si="11"/>
        <v>21</v>
      </c>
      <c r="D144" t="str">
        <f t="shared" si="8"/>
        <v>23/05/2025</v>
      </c>
    </row>
    <row r="145" spans="1:4" x14ac:dyDescent="0.3">
      <c r="A145" t="str">
        <f t="shared" si="10"/>
        <v>Sat</v>
      </c>
      <c r="B145" s="1">
        <f t="shared" si="9"/>
        <v>45801</v>
      </c>
      <c r="C145">
        <f t="shared" si="11"/>
        <v>22</v>
      </c>
      <c r="D145" t="str">
        <f t="shared" si="8"/>
        <v>24/05/2025</v>
      </c>
    </row>
    <row r="146" spans="1:4" x14ac:dyDescent="0.3">
      <c r="A146" t="str">
        <f t="shared" si="10"/>
        <v>Sun</v>
      </c>
      <c r="B146" s="1">
        <f t="shared" si="9"/>
        <v>45802</v>
      </c>
      <c r="C146">
        <f t="shared" si="11"/>
        <v>22</v>
      </c>
      <c r="D146" t="str">
        <f t="shared" si="8"/>
        <v>25/05/2025</v>
      </c>
    </row>
    <row r="147" spans="1:4" x14ac:dyDescent="0.3">
      <c r="A147" t="str">
        <f t="shared" si="10"/>
        <v>Mon</v>
      </c>
      <c r="B147" s="1">
        <f t="shared" si="9"/>
        <v>45803</v>
      </c>
      <c r="C147">
        <f t="shared" si="11"/>
        <v>22</v>
      </c>
      <c r="D147" t="str">
        <f t="shared" si="8"/>
        <v>26/05/2025</v>
      </c>
    </row>
    <row r="148" spans="1:4" x14ac:dyDescent="0.3">
      <c r="A148" t="str">
        <f t="shared" si="10"/>
        <v>Tue</v>
      </c>
      <c r="B148" s="1">
        <f t="shared" si="9"/>
        <v>45804</v>
      </c>
      <c r="C148">
        <f t="shared" si="11"/>
        <v>22</v>
      </c>
      <c r="D148" t="str">
        <f t="shared" si="8"/>
        <v>27/05/2025</v>
      </c>
    </row>
    <row r="149" spans="1:4" x14ac:dyDescent="0.3">
      <c r="A149" t="str">
        <f t="shared" si="10"/>
        <v>Wed</v>
      </c>
      <c r="B149" s="1">
        <f t="shared" si="9"/>
        <v>45805</v>
      </c>
      <c r="C149">
        <f t="shared" si="11"/>
        <v>22</v>
      </c>
      <c r="D149" t="str">
        <f t="shared" si="8"/>
        <v>28/05/2025</v>
      </c>
    </row>
    <row r="150" spans="1:4" x14ac:dyDescent="0.3">
      <c r="A150" t="str">
        <f t="shared" si="10"/>
        <v>Thu</v>
      </c>
      <c r="B150" s="1">
        <f t="shared" si="9"/>
        <v>45806</v>
      </c>
      <c r="C150">
        <f t="shared" si="11"/>
        <v>22</v>
      </c>
      <c r="D150" t="str">
        <f t="shared" si="8"/>
        <v>29/05/2025</v>
      </c>
    </row>
    <row r="151" spans="1:4" x14ac:dyDescent="0.3">
      <c r="A151" t="str">
        <f t="shared" si="10"/>
        <v>Fri</v>
      </c>
      <c r="B151" s="1">
        <f t="shared" si="9"/>
        <v>45807</v>
      </c>
      <c r="C151">
        <f t="shared" si="11"/>
        <v>22</v>
      </c>
      <c r="D151" t="str">
        <f t="shared" si="8"/>
        <v>30/05/2025</v>
      </c>
    </row>
    <row r="152" spans="1:4" x14ac:dyDescent="0.3">
      <c r="A152" t="str">
        <f t="shared" si="10"/>
        <v>Sat</v>
      </c>
      <c r="B152" s="1">
        <f t="shared" si="9"/>
        <v>45808</v>
      </c>
      <c r="C152">
        <f t="shared" si="11"/>
        <v>23</v>
      </c>
      <c r="D152" t="str">
        <f t="shared" si="8"/>
        <v>31/05/2025</v>
      </c>
    </row>
    <row r="153" spans="1:4" x14ac:dyDescent="0.3">
      <c r="A153" t="str">
        <f t="shared" si="10"/>
        <v>Sun</v>
      </c>
      <c r="B153" s="1">
        <f t="shared" si="9"/>
        <v>45809</v>
      </c>
      <c r="C153">
        <f t="shared" si="11"/>
        <v>23</v>
      </c>
      <c r="D153" t="str">
        <f t="shared" si="8"/>
        <v>01/06/2025</v>
      </c>
    </row>
    <row r="154" spans="1:4" x14ac:dyDescent="0.3">
      <c r="A154" t="str">
        <f t="shared" si="10"/>
        <v>Mon</v>
      </c>
      <c r="B154" s="1">
        <f t="shared" si="9"/>
        <v>45810</v>
      </c>
      <c r="C154">
        <f t="shared" si="11"/>
        <v>23</v>
      </c>
      <c r="D154" t="str">
        <f t="shared" si="8"/>
        <v>02/06/2025</v>
      </c>
    </row>
    <row r="155" spans="1:4" x14ac:dyDescent="0.3">
      <c r="A155" t="str">
        <f t="shared" si="10"/>
        <v>Tue</v>
      </c>
      <c r="B155" s="1">
        <f t="shared" si="9"/>
        <v>45811</v>
      </c>
      <c r="C155">
        <f t="shared" si="11"/>
        <v>23</v>
      </c>
      <c r="D155" t="str">
        <f t="shared" si="8"/>
        <v>03/06/2025</v>
      </c>
    </row>
    <row r="156" spans="1:4" x14ac:dyDescent="0.3">
      <c r="A156" t="str">
        <f t="shared" si="10"/>
        <v>Wed</v>
      </c>
      <c r="B156" s="1">
        <f t="shared" si="9"/>
        <v>45812</v>
      </c>
      <c r="C156">
        <f t="shared" si="11"/>
        <v>23</v>
      </c>
      <c r="D156" t="str">
        <f t="shared" si="8"/>
        <v>04/06/2025</v>
      </c>
    </row>
    <row r="157" spans="1:4" x14ac:dyDescent="0.3">
      <c r="A157" t="str">
        <f t="shared" si="10"/>
        <v>Thu</v>
      </c>
      <c r="B157" s="1">
        <f t="shared" si="9"/>
        <v>45813</v>
      </c>
      <c r="C157">
        <f t="shared" si="11"/>
        <v>23</v>
      </c>
      <c r="D157" t="str">
        <f t="shared" si="8"/>
        <v>05/06/2025</v>
      </c>
    </row>
    <row r="158" spans="1:4" x14ac:dyDescent="0.3">
      <c r="A158" t="str">
        <f t="shared" si="10"/>
        <v>Fri</v>
      </c>
      <c r="B158" s="1">
        <f t="shared" si="9"/>
        <v>45814</v>
      </c>
      <c r="C158">
        <f t="shared" si="11"/>
        <v>23</v>
      </c>
      <c r="D158" t="str">
        <f t="shared" si="8"/>
        <v>06/06/2025</v>
      </c>
    </row>
    <row r="159" spans="1:4" x14ac:dyDescent="0.3">
      <c r="A159" t="str">
        <f t="shared" si="10"/>
        <v>Sat</v>
      </c>
      <c r="B159" s="1">
        <f t="shared" si="9"/>
        <v>45815</v>
      </c>
      <c r="C159">
        <f t="shared" si="11"/>
        <v>24</v>
      </c>
      <c r="D159" t="str">
        <f t="shared" si="8"/>
        <v>07/06/2025</v>
      </c>
    </row>
    <row r="160" spans="1:4" x14ac:dyDescent="0.3">
      <c r="A160" t="str">
        <f t="shared" si="10"/>
        <v>Sun</v>
      </c>
      <c r="B160" s="1">
        <f t="shared" si="9"/>
        <v>45816</v>
      </c>
      <c r="C160">
        <f t="shared" si="11"/>
        <v>24</v>
      </c>
      <c r="D160" t="str">
        <f t="shared" si="8"/>
        <v>08/06/2025</v>
      </c>
    </row>
    <row r="161" spans="1:4" x14ac:dyDescent="0.3">
      <c r="A161" t="str">
        <f t="shared" si="10"/>
        <v>Mon</v>
      </c>
      <c r="B161" s="1">
        <f t="shared" si="9"/>
        <v>45817</v>
      </c>
      <c r="C161">
        <f t="shared" si="11"/>
        <v>24</v>
      </c>
      <c r="D161" t="str">
        <f t="shared" si="8"/>
        <v>09/06/2025</v>
      </c>
    </row>
    <row r="162" spans="1:4" x14ac:dyDescent="0.3">
      <c r="A162" t="str">
        <f t="shared" si="10"/>
        <v>Tue</v>
      </c>
      <c r="B162" s="1">
        <f t="shared" si="9"/>
        <v>45818</v>
      </c>
      <c r="C162">
        <f t="shared" si="11"/>
        <v>24</v>
      </c>
      <c r="D162" t="str">
        <f t="shared" si="8"/>
        <v>10/06/2025</v>
      </c>
    </row>
    <row r="163" spans="1:4" x14ac:dyDescent="0.3">
      <c r="A163" t="str">
        <f t="shared" si="10"/>
        <v>Wed</v>
      </c>
      <c r="B163" s="1">
        <f t="shared" si="9"/>
        <v>45819</v>
      </c>
      <c r="C163">
        <f t="shared" si="11"/>
        <v>24</v>
      </c>
      <c r="D163" t="str">
        <f t="shared" si="8"/>
        <v>11/06/2025</v>
      </c>
    </row>
    <row r="164" spans="1:4" x14ac:dyDescent="0.3">
      <c r="A164" t="str">
        <f t="shared" si="10"/>
        <v>Thu</v>
      </c>
      <c r="B164" s="1">
        <f t="shared" si="9"/>
        <v>45820</v>
      </c>
      <c r="C164">
        <f t="shared" si="11"/>
        <v>24</v>
      </c>
      <c r="D164" t="str">
        <f t="shared" si="8"/>
        <v>12/06/2025</v>
      </c>
    </row>
    <row r="165" spans="1:4" x14ac:dyDescent="0.3">
      <c r="A165" t="str">
        <f t="shared" si="10"/>
        <v>Fri</v>
      </c>
      <c r="B165" s="1">
        <f t="shared" si="9"/>
        <v>45821</v>
      </c>
      <c r="C165">
        <f t="shared" si="11"/>
        <v>24</v>
      </c>
      <c r="D165" t="str">
        <f t="shared" si="8"/>
        <v>13/06/2025</v>
      </c>
    </row>
    <row r="166" spans="1:4" x14ac:dyDescent="0.3">
      <c r="A166" t="str">
        <f t="shared" si="10"/>
        <v>Sat</v>
      </c>
      <c r="B166" s="1">
        <f t="shared" si="9"/>
        <v>45822</v>
      </c>
      <c r="C166">
        <f t="shared" si="11"/>
        <v>25</v>
      </c>
      <c r="D166" t="str">
        <f t="shared" si="8"/>
        <v>14/06/2025</v>
      </c>
    </row>
    <row r="167" spans="1:4" x14ac:dyDescent="0.3">
      <c r="A167" t="str">
        <f t="shared" si="10"/>
        <v>Sun</v>
      </c>
      <c r="B167" s="1">
        <f t="shared" si="9"/>
        <v>45823</v>
      </c>
      <c r="C167">
        <f t="shared" si="11"/>
        <v>25</v>
      </c>
      <c r="D167" t="str">
        <f t="shared" si="8"/>
        <v>15/06/2025</v>
      </c>
    </row>
    <row r="168" spans="1:4" x14ac:dyDescent="0.3">
      <c r="A168" t="str">
        <f t="shared" si="10"/>
        <v>Mon</v>
      </c>
      <c r="B168" s="1">
        <f t="shared" si="9"/>
        <v>45824</v>
      </c>
      <c r="C168">
        <f t="shared" si="11"/>
        <v>25</v>
      </c>
      <c r="D168" t="str">
        <f t="shared" si="8"/>
        <v>16/06/2025</v>
      </c>
    </row>
    <row r="169" spans="1:4" x14ac:dyDescent="0.3">
      <c r="A169" t="str">
        <f t="shared" si="10"/>
        <v>Tue</v>
      </c>
      <c r="B169" s="1">
        <f t="shared" si="9"/>
        <v>45825</v>
      </c>
      <c r="C169">
        <f t="shared" si="11"/>
        <v>25</v>
      </c>
      <c r="D169" t="str">
        <f t="shared" si="8"/>
        <v>17/06/2025</v>
      </c>
    </row>
    <row r="170" spans="1:4" x14ac:dyDescent="0.3">
      <c r="A170" t="str">
        <f t="shared" si="10"/>
        <v>Wed</v>
      </c>
      <c r="B170" s="1">
        <f t="shared" si="9"/>
        <v>45826</v>
      </c>
      <c r="C170">
        <f t="shared" si="11"/>
        <v>25</v>
      </c>
      <c r="D170" t="str">
        <f t="shared" si="8"/>
        <v>18/06/2025</v>
      </c>
    </row>
    <row r="171" spans="1:4" x14ac:dyDescent="0.3">
      <c r="A171" t="str">
        <f t="shared" si="10"/>
        <v>Thu</v>
      </c>
      <c r="B171" s="1">
        <f t="shared" si="9"/>
        <v>45827</v>
      </c>
      <c r="C171">
        <f t="shared" si="11"/>
        <v>25</v>
      </c>
      <c r="D171" t="str">
        <f t="shared" si="8"/>
        <v>19/06/2025</v>
      </c>
    </row>
    <row r="172" spans="1:4" x14ac:dyDescent="0.3">
      <c r="A172" t="str">
        <f t="shared" si="10"/>
        <v>Fri</v>
      </c>
      <c r="B172" s="1">
        <f t="shared" si="9"/>
        <v>45828</v>
      </c>
      <c r="C172">
        <f t="shared" si="11"/>
        <v>25</v>
      </c>
      <c r="D172" t="str">
        <f t="shared" si="8"/>
        <v>20/06/2025</v>
      </c>
    </row>
    <row r="173" spans="1:4" x14ac:dyDescent="0.3">
      <c r="A173" t="str">
        <f t="shared" si="10"/>
        <v>Sat</v>
      </c>
      <c r="B173" s="1">
        <f t="shared" si="9"/>
        <v>45829</v>
      </c>
      <c r="C173">
        <f t="shared" si="11"/>
        <v>26</v>
      </c>
      <c r="D173" t="str">
        <f t="shared" si="8"/>
        <v>21/06/2025</v>
      </c>
    </row>
    <row r="174" spans="1:4" x14ac:dyDescent="0.3">
      <c r="A174" t="str">
        <f t="shared" si="10"/>
        <v>Sun</v>
      </c>
      <c r="B174" s="1">
        <f t="shared" si="9"/>
        <v>45830</v>
      </c>
      <c r="C174">
        <f t="shared" si="11"/>
        <v>26</v>
      </c>
      <c r="D174" t="str">
        <f t="shared" si="8"/>
        <v>22/06/2025</v>
      </c>
    </row>
    <row r="175" spans="1:4" x14ac:dyDescent="0.3">
      <c r="A175" t="str">
        <f t="shared" si="10"/>
        <v>Mon</v>
      </c>
      <c r="B175" s="1">
        <f t="shared" si="9"/>
        <v>45831</v>
      </c>
      <c r="C175">
        <f t="shared" si="11"/>
        <v>26</v>
      </c>
      <c r="D175" t="str">
        <f t="shared" si="8"/>
        <v>23/06/2025</v>
      </c>
    </row>
    <row r="176" spans="1:4" x14ac:dyDescent="0.3">
      <c r="A176" t="str">
        <f t="shared" si="10"/>
        <v>Tue</v>
      </c>
      <c r="B176" s="1">
        <f t="shared" si="9"/>
        <v>45832</v>
      </c>
      <c r="C176">
        <f t="shared" si="11"/>
        <v>26</v>
      </c>
      <c r="D176" t="str">
        <f t="shared" si="8"/>
        <v>24/06/2025</v>
      </c>
    </row>
    <row r="177" spans="1:4" x14ac:dyDescent="0.3">
      <c r="A177" t="str">
        <f t="shared" si="10"/>
        <v>Wed</v>
      </c>
      <c r="B177" s="1">
        <f t="shared" si="9"/>
        <v>45833</v>
      </c>
      <c r="C177">
        <f t="shared" si="11"/>
        <v>26</v>
      </c>
      <c r="D177" t="str">
        <f t="shared" si="8"/>
        <v>25/06/2025</v>
      </c>
    </row>
    <row r="178" spans="1:4" x14ac:dyDescent="0.3">
      <c r="A178" t="str">
        <f t="shared" si="10"/>
        <v>Thu</v>
      </c>
      <c r="B178" s="1">
        <f t="shared" si="9"/>
        <v>45834</v>
      </c>
      <c r="C178">
        <f t="shared" si="11"/>
        <v>26</v>
      </c>
      <c r="D178" t="str">
        <f t="shared" si="8"/>
        <v>26/06/2025</v>
      </c>
    </row>
    <row r="179" spans="1:4" x14ac:dyDescent="0.3">
      <c r="A179" t="str">
        <f t="shared" si="10"/>
        <v>Fri</v>
      </c>
      <c r="B179" s="1">
        <f t="shared" si="9"/>
        <v>45835</v>
      </c>
      <c r="C179">
        <f t="shared" si="11"/>
        <v>26</v>
      </c>
      <c r="D179" t="str">
        <f t="shared" si="8"/>
        <v>27/06/2025</v>
      </c>
    </row>
    <row r="180" spans="1:4" x14ac:dyDescent="0.3">
      <c r="A180" t="str">
        <f t="shared" si="10"/>
        <v>Sat</v>
      </c>
      <c r="B180" s="1">
        <f t="shared" si="9"/>
        <v>45836</v>
      </c>
      <c r="C180">
        <f t="shared" si="11"/>
        <v>27</v>
      </c>
      <c r="D180" t="str">
        <f t="shared" si="8"/>
        <v>28/06/2025</v>
      </c>
    </row>
    <row r="181" spans="1:4" x14ac:dyDescent="0.3">
      <c r="A181" t="str">
        <f t="shared" si="10"/>
        <v>Sun</v>
      </c>
      <c r="B181" s="1">
        <f t="shared" si="9"/>
        <v>45837</v>
      </c>
      <c r="C181">
        <f t="shared" si="11"/>
        <v>27</v>
      </c>
      <c r="D181" t="str">
        <f t="shared" si="8"/>
        <v>29/06/2025</v>
      </c>
    </row>
    <row r="182" spans="1:4" x14ac:dyDescent="0.3">
      <c r="A182" t="str">
        <f t="shared" si="10"/>
        <v>Mon</v>
      </c>
      <c r="B182" s="1">
        <f t="shared" si="9"/>
        <v>45838</v>
      </c>
      <c r="C182">
        <f t="shared" si="11"/>
        <v>27</v>
      </c>
      <c r="D182" t="str">
        <f t="shared" si="8"/>
        <v>30/06/2025</v>
      </c>
    </row>
    <row r="183" spans="1:4" x14ac:dyDescent="0.3">
      <c r="A183" t="str">
        <f t="shared" si="10"/>
        <v>Tue</v>
      </c>
      <c r="B183" s="1">
        <f t="shared" si="9"/>
        <v>45839</v>
      </c>
      <c r="C183">
        <f t="shared" si="11"/>
        <v>27</v>
      </c>
      <c r="D183" t="str">
        <f t="shared" si="8"/>
        <v>01/07/2025</v>
      </c>
    </row>
    <row r="184" spans="1:4" x14ac:dyDescent="0.3">
      <c r="A184" t="str">
        <f t="shared" si="10"/>
        <v>Wed</v>
      </c>
      <c r="B184" s="1">
        <f t="shared" si="9"/>
        <v>45840</v>
      </c>
      <c r="C184">
        <f t="shared" si="11"/>
        <v>27</v>
      </c>
      <c r="D184" t="str">
        <f t="shared" si="8"/>
        <v>02/07/2025</v>
      </c>
    </row>
    <row r="185" spans="1:4" x14ac:dyDescent="0.3">
      <c r="A185" t="str">
        <f t="shared" si="10"/>
        <v>Thu</v>
      </c>
      <c r="B185" s="1">
        <f t="shared" si="9"/>
        <v>45841</v>
      </c>
      <c r="C185">
        <f t="shared" si="11"/>
        <v>27</v>
      </c>
      <c r="D185" t="str">
        <f t="shared" si="8"/>
        <v>03/07/2025</v>
      </c>
    </row>
    <row r="186" spans="1:4" x14ac:dyDescent="0.3">
      <c r="A186" t="str">
        <f t="shared" si="10"/>
        <v>Fri</v>
      </c>
      <c r="B186" s="1">
        <f t="shared" si="9"/>
        <v>45842</v>
      </c>
      <c r="C186">
        <f t="shared" si="11"/>
        <v>27</v>
      </c>
      <c r="D186" t="str">
        <f t="shared" si="8"/>
        <v>04/07/2025</v>
      </c>
    </row>
    <row r="187" spans="1:4" x14ac:dyDescent="0.3">
      <c r="A187" t="str">
        <f t="shared" si="10"/>
        <v>Sat</v>
      </c>
      <c r="B187" s="1">
        <f t="shared" si="9"/>
        <v>45843</v>
      </c>
      <c r="C187">
        <f t="shared" si="11"/>
        <v>28</v>
      </c>
      <c r="D187" t="str">
        <f t="shared" si="8"/>
        <v>05/07/2025</v>
      </c>
    </row>
    <row r="188" spans="1:4" x14ac:dyDescent="0.3">
      <c r="A188" t="str">
        <f t="shared" si="10"/>
        <v>Sun</v>
      </c>
      <c r="B188" s="1">
        <f t="shared" si="9"/>
        <v>45844</v>
      </c>
      <c r="C188">
        <f t="shared" si="11"/>
        <v>28</v>
      </c>
      <c r="D188" t="str">
        <f t="shared" si="8"/>
        <v>06/07/2025</v>
      </c>
    </row>
    <row r="189" spans="1:4" x14ac:dyDescent="0.3">
      <c r="A189" t="str">
        <f t="shared" si="10"/>
        <v>Mon</v>
      </c>
      <c r="B189" s="1">
        <f t="shared" si="9"/>
        <v>45845</v>
      </c>
      <c r="C189">
        <f t="shared" si="11"/>
        <v>28</v>
      </c>
      <c r="D189" t="str">
        <f t="shared" si="8"/>
        <v>07/07/2025</v>
      </c>
    </row>
    <row r="190" spans="1:4" x14ac:dyDescent="0.3">
      <c r="A190" t="str">
        <f t="shared" si="10"/>
        <v>Tue</v>
      </c>
      <c r="B190" s="1">
        <f t="shared" si="9"/>
        <v>45846</v>
      </c>
      <c r="C190">
        <f t="shared" si="11"/>
        <v>28</v>
      </c>
      <c r="D190" t="str">
        <f t="shared" si="8"/>
        <v>08/07/2025</v>
      </c>
    </row>
    <row r="191" spans="1:4" x14ac:dyDescent="0.3">
      <c r="A191" t="str">
        <f t="shared" si="10"/>
        <v>Wed</v>
      </c>
      <c r="B191" s="1">
        <f t="shared" si="9"/>
        <v>45847</v>
      </c>
      <c r="C191">
        <f t="shared" si="11"/>
        <v>28</v>
      </c>
      <c r="D191" t="str">
        <f t="shared" si="8"/>
        <v>09/07/2025</v>
      </c>
    </row>
    <row r="192" spans="1:4" x14ac:dyDescent="0.3">
      <c r="A192" t="str">
        <f t="shared" si="10"/>
        <v>Thu</v>
      </c>
      <c r="B192" s="1">
        <f t="shared" si="9"/>
        <v>45848</v>
      </c>
      <c r="C192">
        <f t="shared" si="11"/>
        <v>28</v>
      </c>
      <c r="D192" t="str">
        <f t="shared" si="8"/>
        <v>10/07/2025</v>
      </c>
    </row>
    <row r="193" spans="1:4" x14ac:dyDescent="0.3">
      <c r="A193" t="str">
        <f t="shared" si="10"/>
        <v>Fri</v>
      </c>
      <c r="B193" s="1">
        <f t="shared" si="9"/>
        <v>45849</v>
      </c>
      <c r="C193">
        <f t="shared" si="11"/>
        <v>28</v>
      </c>
      <c r="D193" t="str">
        <f t="shared" si="8"/>
        <v>11/07/2025</v>
      </c>
    </row>
    <row r="194" spans="1:4" x14ac:dyDescent="0.3">
      <c r="A194" t="str">
        <f t="shared" si="10"/>
        <v>Sat</v>
      </c>
      <c r="B194" s="1">
        <f t="shared" si="9"/>
        <v>45850</v>
      </c>
      <c r="C194">
        <f t="shared" si="11"/>
        <v>29</v>
      </c>
      <c r="D194" t="str">
        <f t="shared" si="8"/>
        <v>12/07/2025</v>
      </c>
    </row>
    <row r="195" spans="1:4" x14ac:dyDescent="0.3">
      <c r="A195" t="str">
        <f t="shared" si="10"/>
        <v>Sun</v>
      </c>
      <c r="B195" s="1">
        <f t="shared" si="9"/>
        <v>45851</v>
      </c>
      <c r="C195">
        <f t="shared" si="11"/>
        <v>29</v>
      </c>
      <c r="D195" t="str">
        <f t="shared" ref="D195:D258" si="12">TEXT(B195,"DD")&amp;"/"&amp;TEXT(B195,"MM")&amp;"/"&amp;TEXT(B195,"YYYY")</f>
        <v>13/07/2025</v>
      </c>
    </row>
    <row r="196" spans="1:4" x14ac:dyDescent="0.3">
      <c r="A196" t="str">
        <f t="shared" si="10"/>
        <v>Mon</v>
      </c>
      <c r="B196" s="1">
        <f t="shared" ref="B196:B259" si="13">+B195+1</f>
        <v>45852</v>
      </c>
      <c r="C196">
        <f t="shared" si="11"/>
        <v>29</v>
      </c>
      <c r="D196" t="str">
        <f t="shared" si="12"/>
        <v>14/07/2025</v>
      </c>
    </row>
    <row r="197" spans="1:4" x14ac:dyDescent="0.3">
      <c r="A197" t="str">
        <f t="shared" ref="A197:A260" si="14">TEXT(B197,"ddd")</f>
        <v>Tue</v>
      </c>
      <c r="B197" s="1">
        <f t="shared" si="13"/>
        <v>45853</v>
      </c>
      <c r="C197">
        <f t="shared" ref="C197:C260" si="15">IF(A197="Sat",C196+1,C196)</f>
        <v>29</v>
      </c>
      <c r="D197" t="str">
        <f t="shared" si="12"/>
        <v>15/07/2025</v>
      </c>
    </row>
    <row r="198" spans="1:4" x14ac:dyDescent="0.3">
      <c r="A198" t="str">
        <f t="shared" si="14"/>
        <v>Wed</v>
      </c>
      <c r="B198" s="1">
        <f t="shared" si="13"/>
        <v>45854</v>
      </c>
      <c r="C198">
        <f t="shared" si="15"/>
        <v>29</v>
      </c>
      <c r="D198" t="str">
        <f t="shared" si="12"/>
        <v>16/07/2025</v>
      </c>
    </row>
    <row r="199" spans="1:4" x14ac:dyDescent="0.3">
      <c r="A199" t="str">
        <f t="shared" si="14"/>
        <v>Thu</v>
      </c>
      <c r="B199" s="1">
        <f t="shared" si="13"/>
        <v>45855</v>
      </c>
      <c r="C199">
        <f t="shared" si="15"/>
        <v>29</v>
      </c>
      <c r="D199" t="str">
        <f t="shared" si="12"/>
        <v>17/07/2025</v>
      </c>
    </row>
    <row r="200" spans="1:4" x14ac:dyDescent="0.3">
      <c r="A200" t="str">
        <f t="shared" si="14"/>
        <v>Fri</v>
      </c>
      <c r="B200" s="1">
        <f t="shared" si="13"/>
        <v>45856</v>
      </c>
      <c r="C200">
        <f t="shared" si="15"/>
        <v>29</v>
      </c>
      <c r="D200" t="str">
        <f t="shared" si="12"/>
        <v>18/07/2025</v>
      </c>
    </row>
    <row r="201" spans="1:4" x14ac:dyDescent="0.3">
      <c r="A201" t="str">
        <f t="shared" si="14"/>
        <v>Sat</v>
      </c>
      <c r="B201" s="1">
        <f t="shared" si="13"/>
        <v>45857</v>
      </c>
      <c r="C201">
        <f t="shared" si="15"/>
        <v>30</v>
      </c>
      <c r="D201" t="str">
        <f t="shared" si="12"/>
        <v>19/07/2025</v>
      </c>
    </row>
    <row r="202" spans="1:4" x14ac:dyDescent="0.3">
      <c r="A202" t="str">
        <f t="shared" si="14"/>
        <v>Sun</v>
      </c>
      <c r="B202" s="1">
        <f t="shared" si="13"/>
        <v>45858</v>
      </c>
      <c r="C202">
        <f t="shared" si="15"/>
        <v>30</v>
      </c>
      <c r="D202" t="str">
        <f t="shared" si="12"/>
        <v>20/07/2025</v>
      </c>
    </row>
    <row r="203" spans="1:4" x14ac:dyDescent="0.3">
      <c r="A203" t="str">
        <f t="shared" si="14"/>
        <v>Mon</v>
      </c>
      <c r="B203" s="1">
        <f t="shared" si="13"/>
        <v>45859</v>
      </c>
      <c r="C203">
        <f t="shared" si="15"/>
        <v>30</v>
      </c>
      <c r="D203" t="str">
        <f t="shared" si="12"/>
        <v>21/07/2025</v>
      </c>
    </row>
    <row r="204" spans="1:4" x14ac:dyDescent="0.3">
      <c r="A204" t="str">
        <f t="shared" si="14"/>
        <v>Tue</v>
      </c>
      <c r="B204" s="1">
        <f t="shared" si="13"/>
        <v>45860</v>
      </c>
      <c r="C204">
        <f t="shared" si="15"/>
        <v>30</v>
      </c>
      <c r="D204" t="str">
        <f t="shared" si="12"/>
        <v>22/07/2025</v>
      </c>
    </row>
    <row r="205" spans="1:4" x14ac:dyDescent="0.3">
      <c r="A205" t="str">
        <f t="shared" si="14"/>
        <v>Wed</v>
      </c>
      <c r="B205" s="1">
        <f t="shared" si="13"/>
        <v>45861</v>
      </c>
      <c r="C205">
        <f t="shared" si="15"/>
        <v>30</v>
      </c>
      <c r="D205" t="str">
        <f t="shared" si="12"/>
        <v>23/07/2025</v>
      </c>
    </row>
    <row r="206" spans="1:4" x14ac:dyDescent="0.3">
      <c r="A206" t="str">
        <f t="shared" si="14"/>
        <v>Thu</v>
      </c>
      <c r="B206" s="1">
        <f t="shared" si="13"/>
        <v>45862</v>
      </c>
      <c r="C206">
        <f t="shared" si="15"/>
        <v>30</v>
      </c>
      <c r="D206" t="str">
        <f t="shared" si="12"/>
        <v>24/07/2025</v>
      </c>
    </row>
    <row r="207" spans="1:4" x14ac:dyDescent="0.3">
      <c r="A207" t="str">
        <f t="shared" si="14"/>
        <v>Fri</v>
      </c>
      <c r="B207" s="1">
        <f t="shared" si="13"/>
        <v>45863</v>
      </c>
      <c r="C207">
        <f t="shared" si="15"/>
        <v>30</v>
      </c>
      <c r="D207" t="str">
        <f t="shared" si="12"/>
        <v>25/07/2025</v>
      </c>
    </row>
    <row r="208" spans="1:4" x14ac:dyDescent="0.3">
      <c r="A208" t="str">
        <f t="shared" si="14"/>
        <v>Sat</v>
      </c>
      <c r="B208" s="1">
        <f t="shared" si="13"/>
        <v>45864</v>
      </c>
      <c r="C208">
        <f t="shared" si="15"/>
        <v>31</v>
      </c>
      <c r="D208" t="str">
        <f t="shared" si="12"/>
        <v>26/07/2025</v>
      </c>
    </row>
    <row r="209" spans="1:4" x14ac:dyDescent="0.3">
      <c r="A209" t="str">
        <f t="shared" si="14"/>
        <v>Sun</v>
      </c>
      <c r="B209" s="1">
        <f t="shared" si="13"/>
        <v>45865</v>
      </c>
      <c r="C209">
        <f t="shared" si="15"/>
        <v>31</v>
      </c>
      <c r="D209" t="str">
        <f t="shared" si="12"/>
        <v>27/07/2025</v>
      </c>
    </row>
    <row r="210" spans="1:4" x14ac:dyDescent="0.3">
      <c r="A210" t="str">
        <f t="shared" si="14"/>
        <v>Mon</v>
      </c>
      <c r="B210" s="1">
        <f t="shared" si="13"/>
        <v>45866</v>
      </c>
      <c r="C210">
        <f t="shared" si="15"/>
        <v>31</v>
      </c>
      <c r="D210" t="str">
        <f t="shared" si="12"/>
        <v>28/07/2025</v>
      </c>
    </row>
    <row r="211" spans="1:4" x14ac:dyDescent="0.3">
      <c r="A211" t="str">
        <f t="shared" si="14"/>
        <v>Tue</v>
      </c>
      <c r="B211" s="1">
        <f t="shared" si="13"/>
        <v>45867</v>
      </c>
      <c r="C211">
        <f t="shared" si="15"/>
        <v>31</v>
      </c>
      <c r="D211" t="str">
        <f t="shared" si="12"/>
        <v>29/07/2025</v>
      </c>
    </row>
    <row r="212" spans="1:4" x14ac:dyDescent="0.3">
      <c r="A212" t="str">
        <f t="shared" si="14"/>
        <v>Wed</v>
      </c>
      <c r="B212" s="1">
        <f t="shared" si="13"/>
        <v>45868</v>
      </c>
      <c r="C212">
        <f t="shared" si="15"/>
        <v>31</v>
      </c>
      <c r="D212" t="str">
        <f t="shared" si="12"/>
        <v>30/07/2025</v>
      </c>
    </row>
    <row r="213" spans="1:4" x14ac:dyDescent="0.3">
      <c r="A213" t="str">
        <f t="shared" si="14"/>
        <v>Thu</v>
      </c>
      <c r="B213" s="1">
        <f t="shared" si="13"/>
        <v>45869</v>
      </c>
      <c r="C213">
        <f t="shared" si="15"/>
        <v>31</v>
      </c>
      <c r="D213" t="str">
        <f t="shared" si="12"/>
        <v>31/07/2025</v>
      </c>
    </row>
    <row r="214" spans="1:4" x14ac:dyDescent="0.3">
      <c r="A214" t="str">
        <f t="shared" si="14"/>
        <v>Fri</v>
      </c>
      <c r="B214" s="1">
        <f t="shared" si="13"/>
        <v>45870</v>
      </c>
      <c r="C214">
        <f t="shared" si="15"/>
        <v>31</v>
      </c>
      <c r="D214" t="str">
        <f t="shared" si="12"/>
        <v>01/08/2025</v>
      </c>
    </row>
    <row r="215" spans="1:4" x14ac:dyDescent="0.3">
      <c r="A215" t="str">
        <f t="shared" si="14"/>
        <v>Sat</v>
      </c>
      <c r="B215" s="1">
        <f t="shared" si="13"/>
        <v>45871</v>
      </c>
      <c r="C215">
        <f t="shared" si="15"/>
        <v>32</v>
      </c>
      <c r="D215" t="str">
        <f t="shared" si="12"/>
        <v>02/08/2025</v>
      </c>
    </row>
    <row r="216" spans="1:4" x14ac:dyDescent="0.3">
      <c r="A216" t="str">
        <f t="shared" si="14"/>
        <v>Sun</v>
      </c>
      <c r="B216" s="1">
        <f t="shared" si="13"/>
        <v>45872</v>
      </c>
      <c r="C216">
        <f t="shared" si="15"/>
        <v>32</v>
      </c>
      <c r="D216" t="str">
        <f t="shared" si="12"/>
        <v>03/08/2025</v>
      </c>
    </row>
    <row r="217" spans="1:4" x14ac:dyDescent="0.3">
      <c r="A217" t="str">
        <f t="shared" si="14"/>
        <v>Mon</v>
      </c>
      <c r="B217" s="1">
        <f t="shared" si="13"/>
        <v>45873</v>
      </c>
      <c r="C217">
        <f t="shared" si="15"/>
        <v>32</v>
      </c>
      <c r="D217" t="str">
        <f t="shared" si="12"/>
        <v>04/08/2025</v>
      </c>
    </row>
    <row r="218" spans="1:4" x14ac:dyDescent="0.3">
      <c r="A218" t="str">
        <f t="shared" si="14"/>
        <v>Tue</v>
      </c>
      <c r="B218" s="1">
        <f t="shared" si="13"/>
        <v>45874</v>
      </c>
      <c r="C218">
        <f t="shared" si="15"/>
        <v>32</v>
      </c>
      <c r="D218" t="str">
        <f t="shared" si="12"/>
        <v>05/08/2025</v>
      </c>
    </row>
    <row r="219" spans="1:4" x14ac:dyDescent="0.3">
      <c r="A219" t="str">
        <f t="shared" si="14"/>
        <v>Wed</v>
      </c>
      <c r="B219" s="1">
        <f t="shared" si="13"/>
        <v>45875</v>
      </c>
      <c r="C219">
        <f t="shared" si="15"/>
        <v>32</v>
      </c>
      <c r="D219" t="str">
        <f t="shared" si="12"/>
        <v>06/08/2025</v>
      </c>
    </row>
    <row r="220" spans="1:4" x14ac:dyDescent="0.3">
      <c r="A220" t="str">
        <f t="shared" si="14"/>
        <v>Thu</v>
      </c>
      <c r="B220" s="1">
        <f t="shared" si="13"/>
        <v>45876</v>
      </c>
      <c r="C220">
        <f t="shared" si="15"/>
        <v>32</v>
      </c>
      <c r="D220" t="str">
        <f t="shared" si="12"/>
        <v>07/08/2025</v>
      </c>
    </row>
    <row r="221" spans="1:4" x14ac:dyDescent="0.3">
      <c r="A221" t="str">
        <f t="shared" si="14"/>
        <v>Fri</v>
      </c>
      <c r="B221" s="1">
        <f t="shared" si="13"/>
        <v>45877</v>
      </c>
      <c r="C221">
        <f t="shared" si="15"/>
        <v>32</v>
      </c>
      <c r="D221" t="str">
        <f t="shared" si="12"/>
        <v>08/08/2025</v>
      </c>
    </row>
    <row r="222" spans="1:4" x14ac:dyDescent="0.3">
      <c r="A222" t="str">
        <f t="shared" si="14"/>
        <v>Sat</v>
      </c>
      <c r="B222" s="1">
        <f t="shared" si="13"/>
        <v>45878</v>
      </c>
      <c r="C222">
        <f t="shared" si="15"/>
        <v>33</v>
      </c>
      <c r="D222" t="str">
        <f t="shared" si="12"/>
        <v>09/08/2025</v>
      </c>
    </row>
    <row r="223" spans="1:4" x14ac:dyDescent="0.3">
      <c r="A223" t="str">
        <f t="shared" si="14"/>
        <v>Sun</v>
      </c>
      <c r="B223" s="1">
        <f t="shared" si="13"/>
        <v>45879</v>
      </c>
      <c r="C223">
        <f t="shared" si="15"/>
        <v>33</v>
      </c>
      <c r="D223" t="str">
        <f t="shared" si="12"/>
        <v>10/08/2025</v>
      </c>
    </row>
    <row r="224" spans="1:4" x14ac:dyDescent="0.3">
      <c r="A224" t="str">
        <f t="shared" si="14"/>
        <v>Mon</v>
      </c>
      <c r="B224" s="1">
        <f t="shared" si="13"/>
        <v>45880</v>
      </c>
      <c r="C224">
        <f t="shared" si="15"/>
        <v>33</v>
      </c>
      <c r="D224" t="str">
        <f t="shared" si="12"/>
        <v>11/08/2025</v>
      </c>
    </row>
    <row r="225" spans="1:4" x14ac:dyDescent="0.3">
      <c r="A225" t="str">
        <f t="shared" si="14"/>
        <v>Tue</v>
      </c>
      <c r="B225" s="1">
        <f t="shared" si="13"/>
        <v>45881</v>
      </c>
      <c r="C225">
        <f t="shared" si="15"/>
        <v>33</v>
      </c>
      <c r="D225" t="str">
        <f t="shared" si="12"/>
        <v>12/08/2025</v>
      </c>
    </row>
    <row r="226" spans="1:4" x14ac:dyDescent="0.3">
      <c r="A226" t="str">
        <f t="shared" si="14"/>
        <v>Wed</v>
      </c>
      <c r="B226" s="1">
        <f t="shared" si="13"/>
        <v>45882</v>
      </c>
      <c r="C226">
        <f t="shared" si="15"/>
        <v>33</v>
      </c>
      <c r="D226" t="str">
        <f t="shared" si="12"/>
        <v>13/08/2025</v>
      </c>
    </row>
    <row r="227" spans="1:4" x14ac:dyDescent="0.3">
      <c r="A227" t="str">
        <f t="shared" si="14"/>
        <v>Thu</v>
      </c>
      <c r="B227" s="1">
        <f t="shared" si="13"/>
        <v>45883</v>
      </c>
      <c r="C227">
        <f t="shared" si="15"/>
        <v>33</v>
      </c>
      <c r="D227" t="str">
        <f t="shared" si="12"/>
        <v>14/08/2025</v>
      </c>
    </row>
    <row r="228" spans="1:4" x14ac:dyDescent="0.3">
      <c r="A228" t="str">
        <f t="shared" si="14"/>
        <v>Fri</v>
      </c>
      <c r="B228" s="1">
        <f t="shared" si="13"/>
        <v>45884</v>
      </c>
      <c r="C228">
        <f t="shared" si="15"/>
        <v>33</v>
      </c>
      <c r="D228" t="str">
        <f t="shared" si="12"/>
        <v>15/08/2025</v>
      </c>
    </row>
    <row r="229" spans="1:4" x14ac:dyDescent="0.3">
      <c r="A229" t="str">
        <f t="shared" si="14"/>
        <v>Sat</v>
      </c>
      <c r="B229" s="1">
        <f t="shared" si="13"/>
        <v>45885</v>
      </c>
      <c r="C229">
        <f t="shared" si="15"/>
        <v>34</v>
      </c>
      <c r="D229" t="str">
        <f t="shared" si="12"/>
        <v>16/08/2025</v>
      </c>
    </row>
    <row r="230" spans="1:4" x14ac:dyDescent="0.3">
      <c r="A230" t="str">
        <f t="shared" si="14"/>
        <v>Sun</v>
      </c>
      <c r="B230" s="1">
        <f t="shared" si="13"/>
        <v>45886</v>
      </c>
      <c r="C230">
        <f t="shared" si="15"/>
        <v>34</v>
      </c>
      <c r="D230" t="str">
        <f t="shared" si="12"/>
        <v>17/08/2025</v>
      </c>
    </row>
    <row r="231" spans="1:4" x14ac:dyDescent="0.3">
      <c r="A231" t="str">
        <f t="shared" si="14"/>
        <v>Mon</v>
      </c>
      <c r="B231" s="1">
        <f t="shared" si="13"/>
        <v>45887</v>
      </c>
      <c r="C231">
        <f t="shared" si="15"/>
        <v>34</v>
      </c>
      <c r="D231" t="str">
        <f t="shared" si="12"/>
        <v>18/08/2025</v>
      </c>
    </row>
    <row r="232" spans="1:4" x14ac:dyDescent="0.3">
      <c r="A232" t="str">
        <f t="shared" si="14"/>
        <v>Tue</v>
      </c>
      <c r="B232" s="1">
        <f t="shared" si="13"/>
        <v>45888</v>
      </c>
      <c r="C232">
        <f t="shared" si="15"/>
        <v>34</v>
      </c>
      <c r="D232" t="str">
        <f t="shared" si="12"/>
        <v>19/08/2025</v>
      </c>
    </row>
    <row r="233" spans="1:4" x14ac:dyDescent="0.3">
      <c r="A233" t="str">
        <f t="shared" si="14"/>
        <v>Wed</v>
      </c>
      <c r="B233" s="1">
        <f t="shared" si="13"/>
        <v>45889</v>
      </c>
      <c r="C233">
        <f t="shared" si="15"/>
        <v>34</v>
      </c>
      <c r="D233" t="str">
        <f t="shared" si="12"/>
        <v>20/08/2025</v>
      </c>
    </row>
    <row r="234" spans="1:4" x14ac:dyDescent="0.3">
      <c r="A234" t="str">
        <f t="shared" si="14"/>
        <v>Thu</v>
      </c>
      <c r="B234" s="1">
        <f t="shared" si="13"/>
        <v>45890</v>
      </c>
      <c r="C234">
        <f t="shared" si="15"/>
        <v>34</v>
      </c>
      <c r="D234" t="str">
        <f t="shared" si="12"/>
        <v>21/08/2025</v>
      </c>
    </row>
    <row r="235" spans="1:4" x14ac:dyDescent="0.3">
      <c r="A235" t="str">
        <f t="shared" si="14"/>
        <v>Fri</v>
      </c>
      <c r="B235" s="1">
        <f t="shared" si="13"/>
        <v>45891</v>
      </c>
      <c r="C235">
        <f t="shared" si="15"/>
        <v>34</v>
      </c>
      <c r="D235" t="str">
        <f t="shared" si="12"/>
        <v>22/08/2025</v>
      </c>
    </row>
    <row r="236" spans="1:4" x14ac:dyDescent="0.3">
      <c r="A236" t="str">
        <f t="shared" si="14"/>
        <v>Sat</v>
      </c>
      <c r="B236" s="1">
        <f t="shared" si="13"/>
        <v>45892</v>
      </c>
      <c r="C236">
        <f t="shared" si="15"/>
        <v>35</v>
      </c>
      <c r="D236" t="str">
        <f t="shared" si="12"/>
        <v>23/08/2025</v>
      </c>
    </row>
    <row r="237" spans="1:4" x14ac:dyDescent="0.3">
      <c r="A237" t="str">
        <f t="shared" si="14"/>
        <v>Sun</v>
      </c>
      <c r="B237" s="1">
        <f t="shared" si="13"/>
        <v>45893</v>
      </c>
      <c r="C237">
        <f t="shared" si="15"/>
        <v>35</v>
      </c>
      <c r="D237" t="str">
        <f t="shared" si="12"/>
        <v>24/08/2025</v>
      </c>
    </row>
    <row r="238" spans="1:4" x14ac:dyDescent="0.3">
      <c r="A238" t="str">
        <f t="shared" si="14"/>
        <v>Mon</v>
      </c>
      <c r="B238" s="1">
        <f t="shared" si="13"/>
        <v>45894</v>
      </c>
      <c r="C238">
        <f t="shared" si="15"/>
        <v>35</v>
      </c>
      <c r="D238" t="str">
        <f t="shared" si="12"/>
        <v>25/08/2025</v>
      </c>
    </row>
    <row r="239" spans="1:4" x14ac:dyDescent="0.3">
      <c r="A239" t="str">
        <f t="shared" si="14"/>
        <v>Tue</v>
      </c>
      <c r="B239" s="1">
        <f t="shared" si="13"/>
        <v>45895</v>
      </c>
      <c r="C239">
        <f t="shared" si="15"/>
        <v>35</v>
      </c>
      <c r="D239" t="str">
        <f t="shared" si="12"/>
        <v>26/08/2025</v>
      </c>
    </row>
    <row r="240" spans="1:4" x14ac:dyDescent="0.3">
      <c r="A240" t="str">
        <f t="shared" si="14"/>
        <v>Wed</v>
      </c>
      <c r="B240" s="1">
        <f t="shared" si="13"/>
        <v>45896</v>
      </c>
      <c r="C240">
        <f t="shared" si="15"/>
        <v>35</v>
      </c>
      <c r="D240" t="str">
        <f t="shared" si="12"/>
        <v>27/08/2025</v>
      </c>
    </row>
    <row r="241" spans="1:4" x14ac:dyDescent="0.3">
      <c r="A241" t="str">
        <f t="shared" si="14"/>
        <v>Thu</v>
      </c>
      <c r="B241" s="1">
        <f t="shared" si="13"/>
        <v>45897</v>
      </c>
      <c r="C241">
        <f t="shared" si="15"/>
        <v>35</v>
      </c>
      <c r="D241" t="str">
        <f t="shared" si="12"/>
        <v>28/08/2025</v>
      </c>
    </row>
    <row r="242" spans="1:4" x14ac:dyDescent="0.3">
      <c r="A242" t="str">
        <f t="shared" si="14"/>
        <v>Fri</v>
      </c>
      <c r="B242" s="1">
        <f t="shared" si="13"/>
        <v>45898</v>
      </c>
      <c r="C242">
        <f t="shared" si="15"/>
        <v>35</v>
      </c>
      <c r="D242" t="str">
        <f t="shared" si="12"/>
        <v>29/08/2025</v>
      </c>
    </row>
    <row r="243" spans="1:4" x14ac:dyDescent="0.3">
      <c r="A243" t="str">
        <f t="shared" si="14"/>
        <v>Sat</v>
      </c>
      <c r="B243" s="1">
        <f t="shared" si="13"/>
        <v>45899</v>
      </c>
      <c r="C243">
        <f t="shared" si="15"/>
        <v>36</v>
      </c>
      <c r="D243" t="str">
        <f t="shared" si="12"/>
        <v>30/08/2025</v>
      </c>
    </row>
    <row r="244" spans="1:4" x14ac:dyDescent="0.3">
      <c r="A244" t="str">
        <f t="shared" si="14"/>
        <v>Sun</v>
      </c>
      <c r="B244" s="1">
        <f t="shared" si="13"/>
        <v>45900</v>
      </c>
      <c r="C244">
        <f t="shared" si="15"/>
        <v>36</v>
      </c>
      <c r="D244" t="str">
        <f t="shared" si="12"/>
        <v>31/08/2025</v>
      </c>
    </row>
    <row r="245" spans="1:4" x14ac:dyDescent="0.3">
      <c r="A245" t="str">
        <f t="shared" si="14"/>
        <v>Mon</v>
      </c>
      <c r="B245" s="1">
        <f t="shared" si="13"/>
        <v>45901</v>
      </c>
      <c r="C245">
        <f t="shared" si="15"/>
        <v>36</v>
      </c>
      <c r="D245" t="str">
        <f t="shared" si="12"/>
        <v>01/09/2025</v>
      </c>
    </row>
    <row r="246" spans="1:4" x14ac:dyDescent="0.3">
      <c r="A246" t="str">
        <f t="shared" si="14"/>
        <v>Tue</v>
      </c>
      <c r="B246" s="1">
        <f t="shared" si="13"/>
        <v>45902</v>
      </c>
      <c r="C246">
        <f t="shared" si="15"/>
        <v>36</v>
      </c>
      <c r="D246" t="str">
        <f t="shared" si="12"/>
        <v>02/09/2025</v>
      </c>
    </row>
    <row r="247" spans="1:4" x14ac:dyDescent="0.3">
      <c r="A247" t="str">
        <f t="shared" si="14"/>
        <v>Wed</v>
      </c>
      <c r="B247" s="1">
        <f t="shared" si="13"/>
        <v>45903</v>
      </c>
      <c r="C247">
        <f t="shared" si="15"/>
        <v>36</v>
      </c>
      <c r="D247" t="str">
        <f t="shared" si="12"/>
        <v>03/09/2025</v>
      </c>
    </row>
    <row r="248" spans="1:4" x14ac:dyDescent="0.3">
      <c r="A248" t="str">
        <f t="shared" si="14"/>
        <v>Thu</v>
      </c>
      <c r="B248" s="1">
        <f t="shared" si="13"/>
        <v>45904</v>
      </c>
      <c r="C248">
        <f t="shared" si="15"/>
        <v>36</v>
      </c>
      <c r="D248" t="str">
        <f t="shared" si="12"/>
        <v>04/09/2025</v>
      </c>
    </row>
    <row r="249" spans="1:4" x14ac:dyDescent="0.3">
      <c r="A249" t="str">
        <f t="shared" si="14"/>
        <v>Fri</v>
      </c>
      <c r="B249" s="1">
        <f t="shared" si="13"/>
        <v>45905</v>
      </c>
      <c r="C249">
        <f t="shared" si="15"/>
        <v>36</v>
      </c>
      <c r="D249" t="str">
        <f t="shared" si="12"/>
        <v>05/09/2025</v>
      </c>
    </row>
    <row r="250" spans="1:4" x14ac:dyDescent="0.3">
      <c r="A250" t="str">
        <f t="shared" si="14"/>
        <v>Sat</v>
      </c>
      <c r="B250" s="1">
        <f t="shared" si="13"/>
        <v>45906</v>
      </c>
      <c r="C250">
        <f t="shared" si="15"/>
        <v>37</v>
      </c>
      <c r="D250" t="str">
        <f t="shared" si="12"/>
        <v>06/09/2025</v>
      </c>
    </row>
    <row r="251" spans="1:4" x14ac:dyDescent="0.3">
      <c r="A251" t="str">
        <f t="shared" si="14"/>
        <v>Sun</v>
      </c>
      <c r="B251" s="1">
        <f t="shared" si="13"/>
        <v>45907</v>
      </c>
      <c r="C251">
        <f t="shared" si="15"/>
        <v>37</v>
      </c>
      <c r="D251" t="str">
        <f t="shared" si="12"/>
        <v>07/09/2025</v>
      </c>
    </row>
    <row r="252" spans="1:4" x14ac:dyDescent="0.3">
      <c r="A252" t="str">
        <f t="shared" si="14"/>
        <v>Mon</v>
      </c>
      <c r="B252" s="1">
        <f t="shared" si="13"/>
        <v>45908</v>
      </c>
      <c r="C252">
        <f t="shared" si="15"/>
        <v>37</v>
      </c>
      <c r="D252" t="str">
        <f t="shared" si="12"/>
        <v>08/09/2025</v>
      </c>
    </row>
    <row r="253" spans="1:4" x14ac:dyDescent="0.3">
      <c r="A253" t="str">
        <f t="shared" si="14"/>
        <v>Tue</v>
      </c>
      <c r="B253" s="1">
        <f t="shared" si="13"/>
        <v>45909</v>
      </c>
      <c r="C253">
        <f t="shared" si="15"/>
        <v>37</v>
      </c>
      <c r="D253" t="str">
        <f t="shared" si="12"/>
        <v>09/09/2025</v>
      </c>
    </row>
    <row r="254" spans="1:4" x14ac:dyDescent="0.3">
      <c r="A254" t="str">
        <f t="shared" si="14"/>
        <v>Wed</v>
      </c>
      <c r="B254" s="1">
        <f t="shared" si="13"/>
        <v>45910</v>
      </c>
      <c r="C254">
        <f t="shared" si="15"/>
        <v>37</v>
      </c>
      <c r="D254" t="str">
        <f t="shared" si="12"/>
        <v>10/09/2025</v>
      </c>
    </row>
    <row r="255" spans="1:4" x14ac:dyDescent="0.3">
      <c r="A255" t="str">
        <f t="shared" si="14"/>
        <v>Thu</v>
      </c>
      <c r="B255" s="1">
        <f t="shared" si="13"/>
        <v>45911</v>
      </c>
      <c r="C255">
        <f t="shared" si="15"/>
        <v>37</v>
      </c>
      <c r="D255" t="str">
        <f t="shared" si="12"/>
        <v>11/09/2025</v>
      </c>
    </row>
    <row r="256" spans="1:4" x14ac:dyDescent="0.3">
      <c r="A256" t="str">
        <f t="shared" si="14"/>
        <v>Fri</v>
      </c>
      <c r="B256" s="1">
        <f t="shared" si="13"/>
        <v>45912</v>
      </c>
      <c r="C256">
        <f t="shared" si="15"/>
        <v>37</v>
      </c>
      <c r="D256" t="str">
        <f t="shared" si="12"/>
        <v>12/09/2025</v>
      </c>
    </row>
    <row r="257" spans="1:4" x14ac:dyDescent="0.3">
      <c r="A257" t="str">
        <f t="shared" si="14"/>
        <v>Sat</v>
      </c>
      <c r="B257" s="1">
        <f t="shared" si="13"/>
        <v>45913</v>
      </c>
      <c r="C257">
        <f t="shared" si="15"/>
        <v>38</v>
      </c>
      <c r="D257" t="str">
        <f t="shared" si="12"/>
        <v>13/09/2025</v>
      </c>
    </row>
    <row r="258" spans="1:4" x14ac:dyDescent="0.3">
      <c r="A258" t="str">
        <f t="shared" si="14"/>
        <v>Sun</v>
      </c>
      <c r="B258" s="1">
        <f t="shared" si="13"/>
        <v>45914</v>
      </c>
      <c r="C258">
        <f t="shared" si="15"/>
        <v>38</v>
      </c>
      <c r="D258" t="str">
        <f t="shared" si="12"/>
        <v>14/09/2025</v>
      </c>
    </row>
    <row r="259" spans="1:4" x14ac:dyDescent="0.3">
      <c r="A259" t="str">
        <f t="shared" si="14"/>
        <v>Mon</v>
      </c>
      <c r="B259" s="1">
        <f t="shared" si="13"/>
        <v>45915</v>
      </c>
      <c r="C259">
        <f t="shared" si="15"/>
        <v>38</v>
      </c>
      <c r="D259" t="str">
        <f t="shared" ref="D259:D322" si="16">TEXT(B259,"DD")&amp;"/"&amp;TEXT(B259,"MM")&amp;"/"&amp;TEXT(B259,"YYYY")</f>
        <v>15/09/2025</v>
      </c>
    </row>
    <row r="260" spans="1:4" x14ac:dyDescent="0.3">
      <c r="A260" t="str">
        <f t="shared" si="14"/>
        <v>Tue</v>
      </c>
      <c r="B260" s="1">
        <f t="shared" ref="B260:B323" si="17">+B259+1</f>
        <v>45916</v>
      </c>
      <c r="C260">
        <f t="shared" si="15"/>
        <v>38</v>
      </c>
      <c r="D260" t="str">
        <f t="shared" si="16"/>
        <v>16/09/2025</v>
      </c>
    </row>
    <row r="261" spans="1:4" x14ac:dyDescent="0.3">
      <c r="A261" t="str">
        <f t="shared" ref="A261:A324" si="18">TEXT(B261,"ddd")</f>
        <v>Wed</v>
      </c>
      <c r="B261" s="1">
        <f t="shared" si="17"/>
        <v>45917</v>
      </c>
      <c r="C261">
        <f t="shared" ref="C261:C324" si="19">IF(A261="Sat",C260+1,C260)</f>
        <v>38</v>
      </c>
      <c r="D261" t="str">
        <f t="shared" si="16"/>
        <v>17/09/2025</v>
      </c>
    </row>
    <row r="262" spans="1:4" x14ac:dyDescent="0.3">
      <c r="A262" t="str">
        <f t="shared" si="18"/>
        <v>Thu</v>
      </c>
      <c r="B262" s="1">
        <f t="shared" si="17"/>
        <v>45918</v>
      </c>
      <c r="C262">
        <f t="shared" si="19"/>
        <v>38</v>
      </c>
      <c r="D262" t="str">
        <f t="shared" si="16"/>
        <v>18/09/2025</v>
      </c>
    </row>
    <row r="263" spans="1:4" x14ac:dyDescent="0.3">
      <c r="A263" t="str">
        <f t="shared" si="18"/>
        <v>Fri</v>
      </c>
      <c r="B263" s="1">
        <f t="shared" si="17"/>
        <v>45919</v>
      </c>
      <c r="C263">
        <f t="shared" si="19"/>
        <v>38</v>
      </c>
      <c r="D263" t="str">
        <f t="shared" si="16"/>
        <v>19/09/2025</v>
      </c>
    </row>
    <row r="264" spans="1:4" x14ac:dyDescent="0.3">
      <c r="A264" t="str">
        <f t="shared" si="18"/>
        <v>Sat</v>
      </c>
      <c r="B264" s="1">
        <f t="shared" si="17"/>
        <v>45920</v>
      </c>
      <c r="C264">
        <f t="shared" si="19"/>
        <v>39</v>
      </c>
      <c r="D264" t="str">
        <f t="shared" si="16"/>
        <v>20/09/2025</v>
      </c>
    </row>
    <row r="265" spans="1:4" x14ac:dyDescent="0.3">
      <c r="A265" t="str">
        <f t="shared" si="18"/>
        <v>Sun</v>
      </c>
      <c r="B265" s="1">
        <f t="shared" si="17"/>
        <v>45921</v>
      </c>
      <c r="C265">
        <f t="shared" si="19"/>
        <v>39</v>
      </c>
      <c r="D265" t="str">
        <f t="shared" si="16"/>
        <v>21/09/2025</v>
      </c>
    </row>
    <row r="266" spans="1:4" x14ac:dyDescent="0.3">
      <c r="A266" t="str">
        <f t="shared" si="18"/>
        <v>Mon</v>
      </c>
      <c r="B266" s="1">
        <f t="shared" si="17"/>
        <v>45922</v>
      </c>
      <c r="C266">
        <f t="shared" si="19"/>
        <v>39</v>
      </c>
      <c r="D266" t="str">
        <f t="shared" si="16"/>
        <v>22/09/2025</v>
      </c>
    </row>
    <row r="267" spans="1:4" x14ac:dyDescent="0.3">
      <c r="A267" t="str">
        <f t="shared" si="18"/>
        <v>Tue</v>
      </c>
      <c r="B267" s="1">
        <f t="shared" si="17"/>
        <v>45923</v>
      </c>
      <c r="C267">
        <f t="shared" si="19"/>
        <v>39</v>
      </c>
      <c r="D267" t="str">
        <f t="shared" si="16"/>
        <v>23/09/2025</v>
      </c>
    </row>
    <row r="268" spans="1:4" x14ac:dyDescent="0.3">
      <c r="A268" t="str">
        <f t="shared" si="18"/>
        <v>Wed</v>
      </c>
      <c r="B268" s="1">
        <f t="shared" si="17"/>
        <v>45924</v>
      </c>
      <c r="C268">
        <f t="shared" si="19"/>
        <v>39</v>
      </c>
      <c r="D268" t="str">
        <f t="shared" si="16"/>
        <v>24/09/2025</v>
      </c>
    </row>
    <row r="269" spans="1:4" x14ac:dyDescent="0.3">
      <c r="A269" t="str">
        <f t="shared" si="18"/>
        <v>Thu</v>
      </c>
      <c r="B269" s="1">
        <f t="shared" si="17"/>
        <v>45925</v>
      </c>
      <c r="C269">
        <f t="shared" si="19"/>
        <v>39</v>
      </c>
      <c r="D269" t="str">
        <f t="shared" si="16"/>
        <v>25/09/2025</v>
      </c>
    </row>
    <row r="270" spans="1:4" x14ac:dyDescent="0.3">
      <c r="A270" t="str">
        <f t="shared" si="18"/>
        <v>Fri</v>
      </c>
      <c r="B270" s="1">
        <f t="shared" si="17"/>
        <v>45926</v>
      </c>
      <c r="C270">
        <f t="shared" si="19"/>
        <v>39</v>
      </c>
      <c r="D270" t="str">
        <f t="shared" si="16"/>
        <v>26/09/2025</v>
      </c>
    </row>
    <row r="271" spans="1:4" x14ac:dyDescent="0.3">
      <c r="A271" t="str">
        <f t="shared" si="18"/>
        <v>Sat</v>
      </c>
      <c r="B271" s="1">
        <f t="shared" si="17"/>
        <v>45927</v>
      </c>
      <c r="C271">
        <f t="shared" si="19"/>
        <v>40</v>
      </c>
      <c r="D271" t="str">
        <f t="shared" si="16"/>
        <v>27/09/2025</v>
      </c>
    </row>
    <row r="272" spans="1:4" x14ac:dyDescent="0.3">
      <c r="A272" t="str">
        <f t="shared" si="18"/>
        <v>Sun</v>
      </c>
      <c r="B272" s="1">
        <f t="shared" si="17"/>
        <v>45928</v>
      </c>
      <c r="C272">
        <f t="shared" si="19"/>
        <v>40</v>
      </c>
      <c r="D272" t="str">
        <f t="shared" si="16"/>
        <v>28/09/2025</v>
      </c>
    </row>
    <row r="273" spans="1:4" x14ac:dyDescent="0.3">
      <c r="A273" t="str">
        <f t="shared" si="18"/>
        <v>Mon</v>
      </c>
      <c r="B273" s="1">
        <f t="shared" si="17"/>
        <v>45929</v>
      </c>
      <c r="C273">
        <f t="shared" si="19"/>
        <v>40</v>
      </c>
      <c r="D273" t="str">
        <f t="shared" si="16"/>
        <v>29/09/2025</v>
      </c>
    </row>
    <row r="274" spans="1:4" x14ac:dyDescent="0.3">
      <c r="A274" t="str">
        <f t="shared" si="18"/>
        <v>Tue</v>
      </c>
      <c r="B274" s="1">
        <f t="shared" si="17"/>
        <v>45930</v>
      </c>
      <c r="C274">
        <f t="shared" si="19"/>
        <v>40</v>
      </c>
      <c r="D274" t="str">
        <f t="shared" si="16"/>
        <v>30/09/2025</v>
      </c>
    </row>
    <row r="275" spans="1:4" x14ac:dyDescent="0.3">
      <c r="A275" t="str">
        <f t="shared" si="18"/>
        <v>Wed</v>
      </c>
      <c r="B275" s="1">
        <f t="shared" si="17"/>
        <v>45931</v>
      </c>
      <c r="C275">
        <f t="shared" si="19"/>
        <v>40</v>
      </c>
      <c r="D275" t="str">
        <f t="shared" si="16"/>
        <v>01/10/2025</v>
      </c>
    </row>
    <row r="276" spans="1:4" x14ac:dyDescent="0.3">
      <c r="A276" t="str">
        <f t="shared" si="18"/>
        <v>Thu</v>
      </c>
      <c r="B276" s="1">
        <f t="shared" si="17"/>
        <v>45932</v>
      </c>
      <c r="C276">
        <f t="shared" si="19"/>
        <v>40</v>
      </c>
      <c r="D276" t="str">
        <f t="shared" si="16"/>
        <v>02/10/2025</v>
      </c>
    </row>
    <row r="277" spans="1:4" x14ac:dyDescent="0.3">
      <c r="A277" t="str">
        <f t="shared" si="18"/>
        <v>Fri</v>
      </c>
      <c r="B277" s="1">
        <f t="shared" si="17"/>
        <v>45933</v>
      </c>
      <c r="C277">
        <f t="shared" si="19"/>
        <v>40</v>
      </c>
      <c r="D277" t="str">
        <f t="shared" si="16"/>
        <v>03/10/2025</v>
      </c>
    </row>
    <row r="278" spans="1:4" x14ac:dyDescent="0.3">
      <c r="A278" t="str">
        <f t="shared" si="18"/>
        <v>Sat</v>
      </c>
      <c r="B278" s="1">
        <f t="shared" si="17"/>
        <v>45934</v>
      </c>
      <c r="C278">
        <f t="shared" si="19"/>
        <v>41</v>
      </c>
      <c r="D278" t="str">
        <f t="shared" si="16"/>
        <v>04/10/2025</v>
      </c>
    </row>
    <row r="279" spans="1:4" x14ac:dyDescent="0.3">
      <c r="A279" t="str">
        <f t="shared" si="18"/>
        <v>Sun</v>
      </c>
      <c r="B279" s="1">
        <f t="shared" si="17"/>
        <v>45935</v>
      </c>
      <c r="C279">
        <f t="shared" si="19"/>
        <v>41</v>
      </c>
      <c r="D279" t="str">
        <f t="shared" si="16"/>
        <v>05/10/2025</v>
      </c>
    </row>
    <row r="280" spans="1:4" x14ac:dyDescent="0.3">
      <c r="A280" t="str">
        <f t="shared" si="18"/>
        <v>Mon</v>
      </c>
      <c r="B280" s="1">
        <f t="shared" si="17"/>
        <v>45936</v>
      </c>
      <c r="C280">
        <f t="shared" si="19"/>
        <v>41</v>
      </c>
      <c r="D280" t="str">
        <f t="shared" si="16"/>
        <v>06/10/2025</v>
      </c>
    </row>
    <row r="281" spans="1:4" x14ac:dyDescent="0.3">
      <c r="A281" t="str">
        <f t="shared" si="18"/>
        <v>Tue</v>
      </c>
      <c r="B281" s="1">
        <f t="shared" si="17"/>
        <v>45937</v>
      </c>
      <c r="C281">
        <f t="shared" si="19"/>
        <v>41</v>
      </c>
      <c r="D281" t="str">
        <f t="shared" si="16"/>
        <v>07/10/2025</v>
      </c>
    </row>
    <row r="282" spans="1:4" x14ac:dyDescent="0.3">
      <c r="A282" t="str">
        <f t="shared" si="18"/>
        <v>Wed</v>
      </c>
      <c r="B282" s="1">
        <f t="shared" si="17"/>
        <v>45938</v>
      </c>
      <c r="C282">
        <f t="shared" si="19"/>
        <v>41</v>
      </c>
      <c r="D282" t="str">
        <f t="shared" si="16"/>
        <v>08/10/2025</v>
      </c>
    </row>
    <row r="283" spans="1:4" x14ac:dyDescent="0.3">
      <c r="A283" t="str">
        <f t="shared" si="18"/>
        <v>Thu</v>
      </c>
      <c r="B283" s="1">
        <f t="shared" si="17"/>
        <v>45939</v>
      </c>
      <c r="C283">
        <f t="shared" si="19"/>
        <v>41</v>
      </c>
      <c r="D283" t="str">
        <f t="shared" si="16"/>
        <v>09/10/2025</v>
      </c>
    </row>
    <row r="284" spans="1:4" x14ac:dyDescent="0.3">
      <c r="A284" t="str">
        <f t="shared" si="18"/>
        <v>Fri</v>
      </c>
      <c r="B284" s="1">
        <f t="shared" si="17"/>
        <v>45940</v>
      </c>
      <c r="C284">
        <f t="shared" si="19"/>
        <v>41</v>
      </c>
      <c r="D284" t="str">
        <f t="shared" si="16"/>
        <v>10/10/2025</v>
      </c>
    </row>
    <row r="285" spans="1:4" x14ac:dyDescent="0.3">
      <c r="A285" t="str">
        <f t="shared" si="18"/>
        <v>Sat</v>
      </c>
      <c r="B285" s="1">
        <f t="shared" si="17"/>
        <v>45941</v>
      </c>
      <c r="C285">
        <f t="shared" si="19"/>
        <v>42</v>
      </c>
      <c r="D285" t="str">
        <f t="shared" si="16"/>
        <v>11/10/2025</v>
      </c>
    </row>
    <row r="286" spans="1:4" x14ac:dyDescent="0.3">
      <c r="A286" t="str">
        <f t="shared" si="18"/>
        <v>Sun</v>
      </c>
      <c r="B286" s="1">
        <f t="shared" si="17"/>
        <v>45942</v>
      </c>
      <c r="C286">
        <f t="shared" si="19"/>
        <v>42</v>
      </c>
      <c r="D286" t="str">
        <f t="shared" si="16"/>
        <v>12/10/2025</v>
      </c>
    </row>
    <row r="287" spans="1:4" x14ac:dyDescent="0.3">
      <c r="A287" t="str">
        <f t="shared" si="18"/>
        <v>Mon</v>
      </c>
      <c r="B287" s="1">
        <f t="shared" si="17"/>
        <v>45943</v>
      </c>
      <c r="C287">
        <f t="shared" si="19"/>
        <v>42</v>
      </c>
      <c r="D287" t="str">
        <f t="shared" si="16"/>
        <v>13/10/2025</v>
      </c>
    </row>
    <row r="288" spans="1:4" x14ac:dyDescent="0.3">
      <c r="A288" t="str">
        <f t="shared" si="18"/>
        <v>Tue</v>
      </c>
      <c r="B288" s="1">
        <f t="shared" si="17"/>
        <v>45944</v>
      </c>
      <c r="C288">
        <f t="shared" si="19"/>
        <v>42</v>
      </c>
      <c r="D288" t="str">
        <f t="shared" si="16"/>
        <v>14/10/2025</v>
      </c>
    </row>
    <row r="289" spans="1:4" x14ac:dyDescent="0.3">
      <c r="A289" t="str">
        <f t="shared" si="18"/>
        <v>Wed</v>
      </c>
      <c r="B289" s="1">
        <f t="shared" si="17"/>
        <v>45945</v>
      </c>
      <c r="C289">
        <f t="shared" si="19"/>
        <v>42</v>
      </c>
      <c r="D289" t="str">
        <f t="shared" si="16"/>
        <v>15/10/2025</v>
      </c>
    </row>
    <row r="290" spans="1:4" x14ac:dyDescent="0.3">
      <c r="A290" t="str">
        <f t="shared" si="18"/>
        <v>Thu</v>
      </c>
      <c r="B290" s="1">
        <f t="shared" si="17"/>
        <v>45946</v>
      </c>
      <c r="C290">
        <f t="shared" si="19"/>
        <v>42</v>
      </c>
      <c r="D290" t="str">
        <f t="shared" si="16"/>
        <v>16/10/2025</v>
      </c>
    </row>
    <row r="291" spans="1:4" x14ac:dyDescent="0.3">
      <c r="A291" t="str">
        <f t="shared" si="18"/>
        <v>Fri</v>
      </c>
      <c r="B291" s="1">
        <f t="shared" si="17"/>
        <v>45947</v>
      </c>
      <c r="C291">
        <f t="shared" si="19"/>
        <v>42</v>
      </c>
      <c r="D291" t="str">
        <f t="shared" si="16"/>
        <v>17/10/2025</v>
      </c>
    </row>
    <row r="292" spans="1:4" x14ac:dyDescent="0.3">
      <c r="A292" t="str">
        <f t="shared" si="18"/>
        <v>Sat</v>
      </c>
      <c r="B292" s="1">
        <f t="shared" si="17"/>
        <v>45948</v>
      </c>
      <c r="C292">
        <f t="shared" si="19"/>
        <v>43</v>
      </c>
      <c r="D292" t="str">
        <f t="shared" si="16"/>
        <v>18/10/2025</v>
      </c>
    </row>
    <row r="293" spans="1:4" x14ac:dyDescent="0.3">
      <c r="A293" t="str">
        <f t="shared" si="18"/>
        <v>Sun</v>
      </c>
      <c r="B293" s="1">
        <f t="shared" si="17"/>
        <v>45949</v>
      </c>
      <c r="C293">
        <f t="shared" si="19"/>
        <v>43</v>
      </c>
      <c r="D293" t="str">
        <f t="shared" si="16"/>
        <v>19/10/2025</v>
      </c>
    </row>
    <row r="294" spans="1:4" x14ac:dyDescent="0.3">
      <c r="A294" t="str">
        <f t="shared" si="18"/>
        <v>Mon</v>
      </c>
      <c r="B294" s="1">
        <f t="shared" si="17"/>
        <v>45950</v>
      </c>
      <c r="C294">
        <f t="shared" si="19"/>
        <v>43</v>
      </c>
      <c r="D294" t="str">
        <f t="shared" si="16"/>
        <v>20/10/2025</v>
      </c>
    </row>
    <row r="295" spans="1:4" x14ac:dyDescent="0.3">
      <c r="A295" t="str">
        <f t="shared" si="18"/>
        <v>Tue</v>
      </c>
      <c r="B295" s="1">
        <f t="shared" si="17"/>
        <v>45951</v>
      </c>
      <c r="C295">
        <f t="shared" si="19"/>
        <v>43</v>
      </c>
      <c r="D295" t="str">
        <f t="shared" si="16"/>
        <v>21/10/2025</v>
      </c>
    </row>
    <row r="296" spans="1:4" x14ac:dyDescent="0.3">
      <c r="A296" t="str">
        <f t="shared" si="18"/>
        <v>Wed</v>
      </c>
      <c r="B296" s="1">
        <f t="shared" si="17"/>
        <v>45952</v>
      </c>
      <c r="C296">
        <f t="shared" si="19"/>
        <v>43</v>
      </c>
      <c r="D296" t="str">
        <f t="shared" si="16"/>
        <v>22/10/2025</v>
      </c>
    </row>
    <row r="297" spans="1:4" x14ac:dyDescent="0.3">
      <c r="A297" t="str">
        <f t="shared" si="18"/>
        <v>Thu</v>
      </c>
      <c r="B297" s="1">
        <f t="shared" si="17"/>
        <v>45953</v>
      </c>
      <c r="C297">
        <f t="shared" si="19"/>
        <v>43</v>
      </c>
      <c r="D297" t="str">
        <f t="shared" si="16"/>
        <v>23/10/2025</v>
      </c>
    </row>
    <row r="298" spans="1:4" x14ac:dyDescent="0.3">
      <c r="A298" t="str">
        <f t="shared" si="18"/>
        <v>Fri</v>
      </c>
      <c r="B298" s="1">
        <f t="shared" si="17"/>
        <v>45954</v>
      </c>
      <c r="C298">
        <f t="shared" si="19"/>
        <v>43</v>
      </c>
      <c r="D298" t="str">
        <f t="shared" si="16"/>
        <v>24/10/2025</v>
      </c>
    </row>
    <row r="299" spans="1:4" x14ac:dyDescent="0.3">
      <c r="A299" t="str">
        <f t="shared" si="18"/>
        <v>Sat</v>
      </c>
      <c r="B299" s="1">
        <f t="shared" si="17"/>
        <v>45955</v>
      </c>
      <c r="C299">
        <f t="shared" si="19"/>
        <v>44</v>
      </c>
      <c r="D299" t="str">
        <f t="shared" si="16"/>
        <v>25/10/2025</v>
      </c>
    </row>
    <row r="300" spans="1:4" x14ac:dyDescent="0.3">
      <c r="A300" t="str">
        <f t="shared" si="18"/>
        <v>Sun</v>
      </c>
      <c r="B300" s="1">
        <f t="shared" si="17"/>
        <v>45956</v>
      </c>
      <c r="C300">
        <f t="shared" si="19"/>
        <v>44</v>
      </c>
      <c r="D300" t="str">
        <f t="shared" si="16"/>
        <v>26/10/2025</v>
      </c>
    </row>
    <row r="301" spans="1:4" x14ac:dyDescent="0.3">
      <c r="A301" t="str">
        <f t="shared" si="18"/>
        <v>Mon</v>
      </c>
      <c r="B301" s="1">
        <f t="shared" si="17"/>
        <v>45957</v>
      </c>
      <c r="C301">
        <f t="shared" si="19"/>
        <v>44</v>
      </c>
      <c r="D301" t="str">
        <f t="shared" si="16"/>
        <v>27/10/2025</v>
      </c>
    </row>
    <row r="302" spans="1:4" x14ac:dyDescent="0.3">
      <c r="A302" t="str">
        <f t="shared" si="18"/>
        <v>Tue</v>
      </c>
      <c r="B302" s="1">
        <f t="shared" si="17"/>
        <v>45958</v>
      </c>
      <c r="C302">
        <f t="shared" si="19"/>
        <v>44</v>
      </c>
      <c r="D302" t="str">
        <f t="shared" si="16"/>
        <v>28/10/2025</v>
      </c>
    </row>
    <row r="303" spans="1:4" x14ac:dyDescent="0.3">
      <c r="A303" t="str">
        <f t="shared" si="18"/>
        <v>Wed</v>
      </c>
      <c r="B303" s="1">
        <f t="shared" si="17"/>
        <v>45959</v>
      </c>
      <c r="C303">
        <f t="shared" si="19"/>
        <v>44</v>
      </c>
      <c r="D303" t="str">
        <f t="shared" si="16"/>
        <v>29/10/2025</v>
      </c>
    </row>
    <row r="304" spans="1:4" x14ac:dyDescent="0.3">
      <c r="A304" t="str">
        <f t="shared" si="18"/>
        <v>Thu</v>
      </c>
      <c r="B304" s="1">
        <f t="shared" si="17"/>
        <v>45960</v>
      </c>
      <c r="C304">
        <f t="shared" si="19"/>
        <v>44</v>
      </c>
      <c r="D304" t="str">
        <f t="shared" si="16"/>
        <v>30/10/2025</v>
      </c>
    </row>
    <row r="305" spans="1:4" x14ac:dyDescent="0.3">
      <c r="A305" t="str">
        <f t="shared" si="18"/>
        <v>Fri</v>
      </c>
      <c r="B305" s="1">
        <f t="shared" si="17"/>
        <v>45961</v>
      </c>
      <c r="C305">
        <f t="shared" si="19"/>
        <v>44</v>
      </c>
      <c r="D305" t="str">
        <f t="shared" si="16"/>
        <v>31/10/2025</v>
      </c>
    </row>
    <row r="306" spans="1:4" x14ac:dyDescent="0.3">
      <c r="A306" t="str">
        <f t="shared" si="18"/>
        <v>Sat</v>
      </c>
      <c r="B306" s="1">
        <f t="shared" si="17"/>
        <v>45962</v>
      </c>
      <c r="C306">
        <f t="shared" si="19"/>
        <v>45</v>
      </c>
      <c r="D306" t="str">
        <f t="shared" si="16"/>
        <v>01/11/2025</v>
      </c>
    </row>
    <row r="307" spans="1:4" x14ac:dyDescent="0.3">
      <c r="A307" t="str">
        <f t="shared" si="18"/>
        <v>Sun</v>
      </c>
      <c r="B307" s="1">
        <f t="shared" si="17"/>
        <v>45963</v>
      </c>
      <c r="C307">
        <f t="shared" si="19"/>
        <v>45</v>
      </c>
      <c r="D307" t="str">
        <f t="shared" si="16"/>
        <v>02/11/2025</v>
      </c>
    </row>
    <row r="308" spans="1:4" x14ac:dyDescent="0.3">
      <c r="A308" t="str">
        <f t="shared" si="18"/>
        <v>Mon</v>
      </c>
      <c r="B308" s="1">
        <f t="shared" si="17"/>
        <v>45964</v>
      </c>
      <c r="C308">
        <f t="shared" si="19"/>
        <v>45</v>
      </c>
      <c r="D308" t="str">
        <f t="shared" si="16"/>
        <v>03/11/2025</v>
      </c>
    </row>
    <row r="309" spans="1:4" x14ac:dyDescent="0.3">
      <c r="A309" t="str">
        <f t="shared" si="18"/>
        <v>Tue</v>
      </c>
      <c r="B309" s="1">
        <f t="shared" si="17"/>
        <v>45965</v>
      </c>
      <c r="C309">
        <f t="shared" si="19"/>
        <v>45</v>
      </c>
      <c r="D309" t="str">
        <f t="shared" si="16"/>
        <v>04/11/2025</v>
      </c>
    </row>
    <row r="310" spans="1:4" x14ac:dyDescent="0.3">
      <c r="A310" t="str">
        <f t="shared" si="18"/>
        <v>Wed</v>
      </c>
      <c r="B310" s="1">
        <f t="shared" si="17"/>
        <v>45966</v>
      </c>
      <c r="C310">
        <f t="shared" si="19"/>
        <v>45</v>
      </c>
      <c r="D310" t="str">
        <f t="shared" si="16"/>
        <v>05/11/2025</v>
      </c>
    </row>
    <row r="311" spans="1:4" x14ac:dyDescent="0.3">
      <c r="A311" t="str">
        <f t="shared" si="18"/>
        <v>Thu</v>
      </c>
      <c r="B311" s="1">
        <f t="shared" si="17"/>
        <v>45967</v>
      </c>
      <c r="C311">
        <f t="shared" si="19"/>
        <v>45</v>
      </c>
      <c r="D311" t="str">
        <f t="shared" si="16"/>
        <v>06/11/2025</v>
      </c>
    </row>
    <row r="312" spans="1:4" x14ac:dyDescent="0.3">
      <c r="A312" t="str">
        <f t="shared" si="18"/>
        <v>Fri</v>
      </c>
      <c r="B312" s="1">
        <f t="shared" si="17"/>
        <v>45968</v>
      </c>
      <c r="C312">
        <f t="shared" si="19"/>
        <v>45</v>
      </c>
      <c r="D312" t="str">
        <f t="shared" si="16"/>
        <v>07/11/2025</v>
      </c>
    </row>
    <row r="313" spans="1:4" x14ac:dyDescent="0.3">
      <c r="A313" t="str">
        <f t="shared" si="18"/>
        <v>Sat</v>
      </c>
      <c r="B313" s="1">
        <f t="shared" si="17"/>
        <v>45969</v>
      </c>
      <c r="C313">
        <f t="shared" si="19"/>
        <v>46</v>
      </c>
      <c r="D313" t="str">
        <f t="shared" si="16"/>
        <v>08/11/2025</v>
      </c>
    </row>
    <row r="314" spans="1:4" x14ac:dyDescent="0.3">
      <c r="A314" t="str">
        <f t="shared" si="18"/>
        <v>Sun</v>
      </c>
      <c r="B314" s="1">
        <f t="shared" si="17"/>
        <v>45970</v>
      </c>
      <c r="C314">
        <f t="shared" si="19"/>
        <v>46</v>
      </c>
      <c r="D314" t="str">
        <f t="shared" si="16"/>
        <v>09/11/2025</v>
      </c>
    </row>
    <row r="315" spans="1:4" x14ac:dyDescent="0.3">
      <c r="A315" t="str">
        <f t="shared" si="18"/>
        <v>Mon</v>
      </c>
      <c r="B315" s="1">
        <f t="shared" si="17"/>
        <v>45971</v>
      </c>
      <c r="C315">
        <f t="shared" si="19"/>
        <v>46</v>
      </c>
      <c r="D315" t="str">
        <f t="shared" si="16"/>
        <v>10/11/2025</v>
      </c>
    </row>
    <row r="316" spans="1:4" x14ac:dyDescent="0.3">
      <c r="A316" t="str">
        <f t="shared" si="18"/>
        <v>Tue</v>
      </c>
      <c r="B316" s="1">
        <f t="shared" si="17"/>
        <v>45972</v>
      </c>
      <c r="C316">
        <f t="shared" si="19"/>
        <v>46</v>
      </c>
      <c r="D316" t="str">
        <f t="shared" si="16"/>
        <v>11/11/2025</v>
      </c>
    </row>
    <row r="317" spans="1:4" x14ac:dyDescent="0.3">
      <c r="A317" t="str">
        <f t="shared" si="18"/>
        <v>Wed</v>
      </c>
      <c r="B317" s="1">
        <f t="shared" si="17"/>
        <v>45973</v>
      </c>
      <c r="C317">
        <f t="shared" si="19"/>
        <v>46</v>
      </c>
      <c r="D317" t="str">
        <f t="shared" si="16"/>
        <v>12/11/2025</v>
      </c>
    </row>
    <row r="318" spans="1:4" x14ac:dyDescent="0.3">
      <c r="A318" t="str">
        <f t="shared" si="18"/>
        <v>Thu</v>
      </c>
      <c r="B318" s="1">
        <f t="shared" si="17"/>
        <v>45974</v>
      </c>
      <c r="C318">
        <f t="shared" si="19"/>
        <v>46</v>
      </c>
      <c r="D318" t="str">
        <f t="shared" si="16"/>
        <v>13/11/2025</v>
      </c>
    </row>
    <row r="319" spans="1:4" x14ac:dyDescent="0.3">
      <c r="A319" t="str">
        <f t="shared" si="18"/>
        <v>Fri</v>
      </c>
      <c r="B319" s="1">
        <f t="shared" si="17"/>
        <v>45975</v>
      </c>
      <c r="C319">
        <f t="shared" si="19"/>
        <v>46</v>
      </c>
      <c r="D319" t="str">
        <f t="shared" si="16"/>
        <v>14/11/2025</v>
      </c>
    </row>
    <row r="320" spans="1:4" x14ac:dyDescent="0.3">
      <c r="A320" t="str">
        <f t="shared" si="18"/>
        <v>Sat</v>
      </c>
      <c r="B320" s="1">
        <f t="shared" si="17"/>
        <v>45976</v>
      </c>
      <c r="C320">
        <f t="shared" si="19"/>
        <v>47</v>
      </c>
      <c r="D320" t="str">
        <f t="shared" si="16"/>
        <v>15/11/2025</v>
      </c>
    </row>
    <row r="321" spans="1:4" x14ac:dyDescent="0.3">
      <c r="A321" t="str">
        <f t="shared" si="18"/>
        <v>Sun</v>
      </c>
      <c r="B321" s="1">
        <f t="shared" si="17"/>
        <v>45977</v>
      </c>
      <c r="C321">
        <f t="shared" si="19"/>
        <v>47</v>
      </c>
      <c r="D321" t="str">
        <f t="shared" si="16"/>
        <v>16/11/2025</v>
      </c>
    </row>
    <row r="322" spans="1:4" x14ac:dyDescent="0.3">
      <c r="A322" t="str">
        <f t="shared" si="18"/>
        <v>Mon</v>
      </c>
      <c r="B322" s="1">
        <f t="shared" si="17"/>
        <v>45978</v>
      </c>
      <c r="C322">
        <f t="shared" si="19"/>
        <v>47</v>
      </c>
      <c r="D322" t="str">
        <f t="shared" si="16"/>
        <v>17/11/2025</v>
      </c>
    </row>
    <row r="323" spans="1:4" x14ac:dyDescent="0.3">
      <c r="A323" t="str">
        <f t="shared" si="18"/>
        <v>Tue</v>
      </c>
      <c r="B323" s="1">
        <f t="shared" si="17"/>
        <v>45979</v>
      </c>
      <c r="C323">
        <f t="shared" si="19"/>
        <v>47</v>
      </c>
      <c r="D323" t="str">
        <f t="shared" ref="D323:D366" si="20">TEXT(B323,"DD")&amp;"/"&amp;TEXT(B323,"MM")&amp;"/"&amp;TEXT(B323,"YYYY")</f>
        <v>18/11/2025</v>
      </c>
    </row>
    <row r="324" spans="1:4" x14ac:dyDescent="0.3">
      <c r="A324" t="str">
        <f t="shared" si="18"/>
        <v>Wed</v>
      </c>
      <c r="B324" s="1">
        <f t="shared" ref="B324:B366" si="21">+B323+1</f>
        <v>45980</v>
      </c>
      <c r="C324">
        <f t="shared" si="19"/>
        <v>47</v>
      </c>
      <c r="D324" t="str">
        <f t="shared" si="20"/>
        <v>19/11/2025</v>
      </c>
    </row>
    <row r="325" spans="1:4" x14ac:dyDescent="0.3">
      <c r="A325" t="str">
        <f t="shared" ref="A325:A366" si="22">TEXT(B325,"ddd")</f>
        <v>Thu</v>
      </c>
      <c r="B325" s="1">
        <f t="shared" si="21"/>
        <v>45981</v>
      </c>
      <c r="C325">
        <f t="shared" ref="C325:C366" si="23">IF(A325="Sat",C324+1,C324)</f>
        <v>47</v>
      </c>
      <c r="D325" t="str">
        <f t="shared" si="20"/>
        <v>20/11/2025</v>
      </c>
    </row>
    <row r="326" spans="1:4" x14ac:dyDescent="0.3">
      <c r="A326" t="str">
        <f t="shared" si="22"/>
        <v>Fri</v>
      </c>
      <c r="B326" s="1">
        <f t="shared" si="21"/>
        <v>45982</v>
      </c>
      <c r="C326">
        <f t="shared" si="23"/>
        <v>47</v>
      </c>
      <c r="D326" t="str">
        <f t="shared" si="20"/>
        <v>21/11/2025</v>
      </c>
    </row>
    <row r="327" spans="1:4" x14ac:dyDescent="0.3">
      <c r="A327" t="str">
        <f t="shared" si="22"/>
        <v>Sat</v>
      </c>
      <c r="B327" s="1">
        <f t="shared" si="21"/>
        <v>45983</v>
      </c>
      <c r="C327">
        <f t="shared" si="23"/>
        <v>48</v>
      </c>
      <c r="D327" t="str">
        <f t="shared" si="20"/>
        <v>22/11/2025</v>
      </c>
    </row>
    <row r="328" spans="1:4" x14ac:dyDescent="0.3">
      <c r="A328" t="str">
        <f t="shared" si="22"/>
        <v>Sun</v>
      </c>
      <c r="B328" s="1">
        <f t="shared" si="21"/>
        <v>45984</v>
      </c>
      <c r="C328">
        <f t="shared" si="23"/>
        <v>48</v>
      </c>
      <c r="D328" t="str">
        <f t="shared" si="20"/>
        <v>23/11/2025</v>
      </c>
    </row>
    <row r="329" spans="1:4" x14ac:dyDescent="0.3">
      <c r="A329" t="str">
        <f t="shared" si="22"/>
        <v>Mon</v>
      </c>
      <c r="B329" s="1">
        <f t="shared" si="21"/>
        <v>45985</v>
      </c>
      <c r="C329">
        <f t="shared" si="23"/>
        <v>48</v>
      </c>
      <c r="D329" t="str">
        <f t="shared" si="20"/>
        <v>24/11/2025</v>
      </c>
    </row>
    <row r="330" spans="1:4" x14ac:dyDescent="0.3">
      <c r="A330" t="str">
        <f t="shared" si="22"/>
        <v>Tue</v>
      </c>
      <c r="B330" s="1">
        <f t="shared" si="21"/>
        <v>45986</v>
      </c>
      <c r="C330">
        <f t="shared" si="23"/>
        <v>48</v>
      </c>
      <c r="D330" t="str">
        <f t="shared" si="20"/>
        <v>25/11/2025</v>
      </c>
    </row>
    <row r="331" spans="1:4" x14ac:dyDescent="0.3">
      <c r="A331" t="str">
        <f t="shared" si="22"/>
        <v>Wed</v>
      </c>
      <c r="B331" s="1">
        <f t="shared" si="21"/>
        <v>45987</v>
      </c>
      <c r="C331">
        <f t="shared" si="23"/>
        <v>48</v>
      </c>
      <c r="D331" t="str">
        <f t="shared" si="20"/>
        <v>26/11/2025</v>
      </c>
    </row>
    <row r="332" spans="1:4" x14ac:dyDescent="0.3">
      <c r="A332" t="str">
        <f t="shared" si="22"/>
        <v>Thu</v>
      </c>
      <c r="B332" s="1">
        <f t="shared" si="21"/>
        <v>45988</v>
      </c>
      <c r="C332">
        <f t="shared" si="23"/>
        <v>48</v>
      </c>
      <c r="D332" t="str">
        <f t="shared" si="20"/>
        <v>27/11/2025</v>
      </c>
    </row>
    <row r="333" spans="1:4" x14ac:dyDescent="0.3">
      <c r="A333" t="str">
        <f t="shared" si="22"/>
        <v>Fri</v>
      </c>
      <c r="B333" s="1">
        <f t="shared" si="21"/>
        <v>45989</v>
      </c>
      <c r="C333">
        <f t="shared" si="23"/>
        <v>48</v>
      </c>
      <c r="D333" t="str">
        <f t="shared" si="20"/>
        <v>28/11/2025</v>
      </c>
    </row>
    <row r="334" spans="1:4" x14ac:dyDescent="0.3">
      <c r="A334" t="str">
        <f t="shared" si="22"/>
        <v>Sat</v>
      </c>
      <c r="B334" s="1">
        <f t="shared" si="21"/>
        <v>45990</v>
      </c>
      <c r="C334">
        <f t="shared" si="23"/>
        <v>49</v>
      </c>
      <c r="D334" t="str">
        <f t="shared" si="20"/>
        <v>29/11/2025</v>
      </c>
    </row>
    <row r="335" spans="1:4" x14ac:dyDescent="0.3">
      <c r="A335" t="str">
        <f t="shared" si="22"/>
        <v>Sun</v>
      </c>
      <c r="B335" s="1">
        <f t="shared" si="21"/>
        <v>45991</v>
      </c>
      <c r="C335">
        <f t="shared" si="23"/>
        <v>49</v>
      </c>
      <c r="D335" t="str">
        <f t="shared" si="20"/>
        <v>30/11/2025</v>
      </c>
    </row>
    <row r="336" spans="1:4" x14ac:dyDescent="0.3">
      <c r="A336" t="str">
        <f t="shared" si="22"/>
        <v>Mon</v>
      </c>
      <c r="B336" s="1">
        <f t="shared" si="21"/>
        <v>45992</v>
      </c>
      <c r="C336">
        <f t="shared" si="23"/>
        <v>49</v>
      </c>
      <c r="D336" t="str">
        <f t="shared" si="20"/>
        <v>01/12/2025</v>
      </c>
    </row>
    <row r="337" spans="1:4" x14ac:dyDescent="0.3">
      <c r="A337" t="str">
        <f t="shared" si="22"/>
        <v>Tue</v>
      </c>
      <c r="B337" s="1">
        <f t="shared" si="21"/>
        <v>45993</v>
      </c>
      <c r="C337">
        <f t="shared" si="23"/>
        <v>49</v>
      </c>
      <c r="D337" t="str">
        <f t="shared" si="20"/>
        <v>02/12/2025</v>
      </c>
    </row>
    <row r="338" spans="1:4" x14ac:dyDescent="0.3">
      <c r="A338" t="str">
        <f t="shared" si="22"/>
        <v>Wed</v>
      </c>
      <c r="B338" s="1">
        <f t="shared" si="21"/>
        <v>45994</v>
      </c>
      <c r="C338">
        <f t="shared" si="23"/>
        <v>49</v>
      </c>
      <c r="D338" t="str">
        <f t="shared" si="20"/>
        <v>03/12/2025</v>
      </c>
    </row>
    <row r="339" spans="1:4" x14ac:dyDescent="0.3">
      <c r="A339" t="str">
        <f t="shared" si="22"/>
        <v>Thu</v>
      </c>
      <c r="B339" s="1">
        <f t="shared" si="21"/>
        <v>45995</v>
      </c>
      <c r="C339">
        <f t="shared" si="23"/>
        <v>49</v>
      </c>
      <c r="D339" t="str">
        <f t="shared" si="20"/>
        <v>04/12/2025</v>
      </c>
    </row>
    <row r="340" spans="1:4" x14ac:dyDescent="0.3">
      <c r="A340" t="str">
        <f t="shared" si="22"/>
        <v>Fri</v>
      </c>
      <c r="B340" s="1">
        <f t="shared" si="21"/>
        <v>45996</v>
      </c>
      <c r="C340">
        <f t="shared" si="23"/>
        <v>49</v>
      </c>
      <c r="D340" t="str">
        <f t="shared" si="20"/>
        <v>05/12/2025</v>
      </c>
    </row>
    <row r="341" spans="1:4" x14ac:dyDescent="0.3">
      <c r="A341" t="str">
        <f t="shared" si="22"/>
        <v>Sat</v>
      </c>
      <c r="B341" s="1">
        <f t="shared" si="21"/>
        <v>45997</v>
      </c>
      <c r="C341">
        <f t="shared" si="23"/>
        <v>50</v>
      </c>
      <c r="D341" t="str">
        <f t="shared" si="20"/>
        <v>06/12/2025</v>
      </c>
    </row>
    <row r="342" spans="1:4" x14ac:dyDescent="0.3">
      <c r="A342" t="str">
        <f t="shared" si="22"/>
        <v>Sun</v>
      </c>
      <c r="B342" s="1">
        <f t="shared" si="21"/>
        <v>45998</v>
      </c>
      <c r="C342">
        <f t="shared" si="23"/>
        <v>50</v>
      </c>
      <c r="D342" t="str">
        <f t="shared" si="20"/>
        <v>07/12/2025</v>
      </c>
    </row>
    <row r="343" spans="1:4" x14ac:dyDescent="0.3">
      <c r="A343" t="str">
        <f t="shared" si="22"/>
        <v>Mon</v>
      </c>
      <c r="B343" s="1">
        <f t="shared" si="21"/>
        <v>45999</v>
      </c>
      <c r="C343">
        <f t="shared" si="23"/>
        <v>50</v>
      </c>
      <c r="D343" t="str">
        <f t="shared" si="20"/>
        <v>08/12/2025</v>
      </c>
    </row>
    <row r="344" spans="1:4" x14ac:dyDescent="0.3">
      <c r="A344" t="str">
        <f t="shared" si="22"/>
        <v>Tue</v>
      </c>
      <c r="B344" s="1">
        <f t="shared" si="21"/>
        <v>46000</v>
      </c>
      <c r="C344">
        <f t="shared" si="23"/>
        <v>50</v>
      </c>
      <c r="D344" t="str">
        <f t="shared" si="20"/>
        <v>09/12/2025</v>
      </c>
    </row>
    <row r="345" spans="1:4" x14ac:dyDescent="0.3">
      <c r="A345" t="str">
        <f t="shared" si="22"/>
        <v>Wed</v>
      </c>
      <c r="B345" s="1">
        <f t="shared" si="21"/>
        <v>46001</v>
      </c>
      <c r="C345">
        <f t="shared" si="23"/>
        <v>50</v>
      </c>
      <c r="D345" t="str">
        <f t="shared" si="20"/>
        <v>10/12/2025</v>
      </c>
    </row>
    <row r="346" spans="1:4" x14ac:dyDescent="0.3">
      <c r="A346" t="str">
        <f t="shared" si="22"/>
        <v>Thu</v>
      </c>
      <c r="B346" s="1">
        <f t="shared" si="21"/>
        <v>46002</v>
      </c>
      <c r="C346">
        <f t="shared" si="23"/>
        <v>50</v>
      </c>
      <c r="D346" t="str">
        <f t="shared" si="20"/>
        <v>11/12/2025</v>
      </c>
    </row>
    <row r="347" spans="1:4" x14ac:dyDescent="0.3">
      <c r="A347" t="str">
        <f t="shared" si="22"/>
        <v>Fri</v>
      </c>
      <c r="B347" s="1">
        <f t="shared" si="21"/>
        <v>46003</v>
      </c>
      <c r="C347">
        <f t="shared" si="23"/>
        <v>50</v>
      </c>
      <c r="D347" t="str">
        <f t="shared" si="20"/>
        <v>12/12/2025</v>
      </c>
    </row>
    <row r="348" spans="1:4" x14ac:dyDescent="0.3">
      <c r="A348" t="str">
        <f t="shared" si="22"/>
        <v>Sat</v>
      </c>
      <c r="B348" s="1">
        <f t="shared" si="21"/>
        <v>46004</v>
      </c>
      <c r="C348">
        <f t="shared" si="23"/>
        <v>51</v>
      </c>
      <c r="D348" t="str">
        <f t="shared" si="20"/>
        <v>13/12/2025</v>
      </c>
    </row>
    <row r="349" spans="1:4" x14ac:dyDescent="0.3">
      <c r="A349" t="str">
        <f t="shared" si="22"/>
        <v>Sun</v>
      </c>
      <c r="B349" s="1">
        <f t="shared" si="21"/>
        <v>46005</v>
      </c>
      <c r="C349">
        <f t="shared" si="23"/>
        <v>51</v>
      </c>
      <c r="D349" t="str">
        <f t="shared" si="20"/>
        <v>14/12/2025</v>
      </c>
    </row>
    <row r="350" spans="1:4" x14ac:dyDescent="0.3">
      <c r="A350" t="str">
        <f t="shared" si="22"/>
        <v>Mon</v>
      </c>
      <c r="B350" s="1">
        <f t="shared" si="21"/>
        <v>46006</v>
      </c>
      <c r="C350">
        <f t="shared" si="23"/>
        <v>51</v>
      </c>
      <c r="D350" t="str">
        <f t="shared" si="20"/>
        <v>15/12/2025</v>
      </c>
    </row>
    <row r="351" spans="1:4" x14ac:dyDescent="0.3">
      <c r="A351" t="str">
        <f t="shared" si="22"/>
        <v>Tue</v>
      </c>
      <c r="B351" s="1">
        <f t="shared" si="21"/>
        <v>46007</v>
      </c>
      <c r="C351">
        <f t="shared" si="23"/>
        <v>51</v>
      </c>
      <c r="D351" t="str">
        <f t="shared" si="20"/>
        <v>16/12/2025</v>
      </c>
    </row>
    <row r="352" spans="1:4" x14ac:dyDescent="0.3">
      <c r="A352" t="str">
        <f t="shared" si="22"/>
        <v>Wed</v>
      </c>
      <c r="B352" s="1">
        <f t="shared" si="21"/>
        <v>46008</v>
      </c>
      <c r="C352">
        <f t="shared" si="23"/>
        <v>51</v>
      </c>
      <c r="D352" t="str">
        <f t="shared" si="20"/>
        <v>17/12/2025</v>
      </c>
    </row>
    <row r="353" spans="1:4" x14ac:dyDescent="0.3">
      <c r="A353" t="str">
        <f t="shared" si="22"/>
        <v>Thu</v>
      </c>
      <c r="B353" s="1">
        <f t="shared" si="21"/>
        <v>46009</v>
      </c>
      <c r="C353">
        <f t="shared" si="23"/>
        <v>51</v>
      </c>
      <c r="D353" t="str">
        <f t="shared" si="20"/>
        <v>18/12/2025</v>
      </c>
    </row>
    <row r="354" spans="1:4" x14ac:dyDescent="0.3">
      <c r="A354" t="str">
        <f t="shared" si="22"/>
        <v>Fri</v>
      </c>
      <c r="B354" s="1">
        <f t="shared" si="21"/>
        <v>46010</v>
      </c>
      <c r="C354">
        <f t="shared" si="23"/>
        <v>51</v>
      </c>
      <c r="D354" t="str">
        <f t="shared" si="20"/>
        <v>19/12/2025</v>
      </c>
    </row>
    <row r="355" spans="1:4" x14ac:dyDescent="0.3">
      <c r="A355" t="str">
        <f t="shared" si="22"/>
        <v>Sat</v>
      </c>
      <c r="B355" s="1">
        <f t="shared" si="21"/>
        <v>46011</v>
      </c>
      <c r="C355">
        <f t="shared" si="23"/>
        <v>52</v>
      </c>
      <c r="D355" t="str">
        <f t="shared" si="20"/>
        <v>20/12/2025</v>
      </c>
    </row>
    <row r="356" spans="1:4" x14ac:dyDescent="0.3">
      <c r="A356" t="str">
        <f t="shared" si="22"/>
        <v>Sun</v>
      </c>
      <c r="B356" s="1">
        <f t="shared" si="21"/>
        <v>46012</v>
      </c>
      <c r="C356">
        <f t="shared" si="23"/>
        <v>52</v>
      </c>
      <c r="D356" t="str">
        <f t="shared" si="20"/>
        <v>21/12/2025</v>
      </c>
    </row>
    <row r="357" spans="1:4" x14ac:dyDescent="0.3">
      <c r="A357" t="str">
        <f t="shared" si="22"/>
        <v>Mon</v>
      </c>
      <c r="B357" s="1">
        <f t="shared" si="21"/>
        <v>46013</v>
      </c>
      <c r="C357">
        <f t="shared" si="23"/>
        <v>52</v>
      </c>
      <c r="D357" t="str">
        <f t="shared" si="20"/>
        <v>22/12/2025</v>
      </c>
    </row>
    <row r="358" spans="1:4" x14ac:dyDescent="0.3">
      <c r="A358" t="str">
        <f t="shared" si="22"/>
        <v>Tue</v>
      </c>
      <c r="B358" s="1">
        <f t="shared" si="21"/>
        <v>46014</v>
      </c>
      <c r="C358">
        <f t="shared" si="23"/>
        <v>52</v>
      </c>
      <c r="D358" t="str">
        <f t="shared" si="20"/>
        <v>23/12/2025</v>
      </c>
    </row>
    <row r="359" spans="1:4" x14ac:dyDescent="0.3">
      <c r="A359" t="str">
        <f t="shared" si="22"/>
        <v>Wed</v>
      </c>
      <c r="B359" s="1">
        <f t="shared" si="21"/>
        <v>46015</v>
      </c>
      <c r="C359">
        <f t="shared" si="23"/>
        <v>52</v>
      </c>
      <c r="D359" t="str">
        <f t="shared" si="20"/>
        <v>24/12/2025</v>
      </c>
    </row>
    <row r="360" spans="1:4" x14ac:dyDescent="0.3">
      <c r="A360" t="str">
        <f t="shared" si="22"/>
        <v>Thu</v>
      </c>
      <c r="B360" s="1">
        <f t="shared" si="21"/>
        <v>46016</v>
      </c>
      <c r="C360">
        <f t="shared" si="23"/>
        <v>52</v>
      </c>
      <c r="D360" t="str">
        <f t="shared" si="20"/>
        <v>25/12/2025</v>
      </c>
    </row>
    <row r="361" spans="1:4" x14ac:dyDescent="0.3">
      <c r="A361" t="str">
        <f t="shared" si="22"/>
        <v>Fri</v>
      </c>
      <c r="B361" s="1">
        <f t="shared" si="21"/>
        <v>46017</v>
      </c>
      <c r="C361">
        <f t="shared" si="23"/>
        <v>52</v>
      </c>
      <c r="D361" t="str">
        <f t="shared" si="20"/>
        <v>26/12/2025</v>
      </c>
    </row>
    <row r="362" spans="1:4" x14ac:dyDescent="0.3">
      <c r="A362" t="str">
        <f t="shared" si="22"/>
        <v>Sat</v>
      </c>
      <c r="B362" s="1">
        <f t="shared" si="21"/>
        <v>46018</v>
      </c>
      <c r="C362">
        <f t="shared" si="23"/>
        <v>53</v>
      </c>
      <c r="D362" t="str">
        <f t="shared" si="20"/>
        <v>27/12/2025</v>
      </c>
    </row>
    <row r="363" spans="1:4" x14ac:dyDescent="0.3">
      <c r="A363" t="str">
        <f t="shared" si="22"/>
        <v>Sun</v>
      </c>
      <c r="B363" s="1">
        <f t="shared" si="21"/>
        <v>46019</v>
      </c>
      <c r="C363">
        <f t="shared" si="23"/>
        <v>53</v>
      </c>
      <c r="D363" t="str">
        <f t="shared" si="20"/>
        <v>28/12/2025</v>
      </c>
    </row>
    <row r="364" spans="1:4" x14ac:dyDescent="0.3">
      <c r="A364" t="str">
        <f t="shared" si="22"/>
        <v>Mon</v>
      </c>
      <c r="B364" s="1">
        <f t="shared" si="21"/>
        <v>46020</v>
      </c>
      <c r="C364">
        <f t="shared" si="23"/>
        <v>53</v>
      </c>
      <c r="D364" t="str">
        <f t="shared" si="20"/>
        <v>29/12/2025</v>
      </c>
    </row>
    <row r="365" spans="1:4" x14ac:dyDescent="0.3">
      <c r="A365" t="str">
        <f t="shared" si="22"/>
        <v>Tue</v>
      </c>
      <c r="B365" s="1">
        <f t="shared" si="21"/>
        <v>46021</v>
      </c>
      <c r="C365">
        <f t="shared" si="23"/>
        <v>53</v>
      </c>
      <c r="D365" t="str">
        <f t="shared" si="20"/>
        <v>30/12/2025</v>
      </c>
    </row>
    <row r="366" spans="1:4" x14ac:dyDescent="0.3">
      <c r="A366" t="str">
        <f t="shared" si="22"/>
        <v>Wed</v>
      </c>
      <c r="B366" s="1">
        <f t="shared" si="21"/>
        <v>46022</v>
      </c>
      <c r="C366">
        <f t="shared" si="23"/>
        <v>53</v>
      </c>
      <c r="D366" t="str">
        <f t="shared" si="20"/>
        <v>31/12/2025</v>
      </c>
    </row>
  </sheetData>
  <pageMargins left="0.7" right="0.7" top="0.75" bottom="0.75" header="0.3" footer="0.3"/>
  <headerFooter>
    <oddFooter>&amp;C_x000D_&amp;1#&amp;"Aptos"&amp;10&amp;K000000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Analysis</vt:lpstr>
      <vt:lpstr>Lookup List</vt:lpstr>
      <vt:lpstr>Pivot of Complaints</vt:lpstr>
      <vt:lpstr>KPI</vt:lpstr>
      <vt:lpstr>Pivot Cleansing</vt:lpstr>
      <vt:lpstr>Pivot Sign Off</vt:lpstr>
      <vt:lpstr>No of Complaints raised per wee</vt:lpstr>
      <vt:lpstr>Cleansing OTIF</vt:lpstr>
      <vt:lpstr>Sign Off OTIF</vt:lpstr>
      <vt:lpstr>Wk no's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Perrett</dc:creator>
  <cp:lastModifiedBy>Paul Biltcliffe</cp:lastModifiedBy>
  <dcterms:created xsi:type="dcterms:W3CDTF">2025-05-13T15:31:26Z</dcterms:created>
  <dcterms:modified xsi:type="dcterms:W3CDTF">2026-06-26T13:47:54Z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ab346f-2c3b-432c-ac4d-fdd3cbdce545_Enabled">
    <vt:lpwstr>true</vt:lpwstr>
  </property>
  <property fmtid="{D5CDD505-2E9C-101B-9397-08002B2CF9AE}" pid="3" name="MSIP_Label_a5ab346f-2c3b-432c-ac4d-fdd3cbdce545_SetDate">
    <vt:lpwstr>2026-06-26T13:38:02Z</vt:lpwstr>
  </property>
  <property fmtid="{D5CDD505-2E9C-101B-9397-08002B2CF9AE}" pid="4" name="MSIP_Label_a5ab346f-2c3b-432c-ac4d-fdd3cbdce545_Method">
    <vt:lpwstr>Privileged</vt:lpwstr>
  </property>
  <property fmtid="{D5CDD505-2E9C-101B-9397-08002B2CF9AE}" pid="5" name="MSIP_Label_a5ab346f-2c3b-432c-ac4d-fdd3cbdce545_Name">
    <vt:lpwstr>Internal</vt:lpwstr>
  </property>
  <property fmtid="{D5CDD505-2E9C-101B-9397-08002B2CF9AE}" pid="6" name="MSIP_Label_a5ab346f-2c3b-432c-ac4d-fdd3cbdce545_SiteId">
    <vt:lpwstr>3e60f945-19c7-48b2-b721-096ae586d0e5</vt:lpwstr>
  </property>
  <property fmtid="{D5CDD505-2E9C-101B-9397-08002B2CF9AE}" pid="7" name="MSIP_Label_a5ab346f-2c3b-432c-ac4d-fdd3cbdce545_ActionId">
    <vt:lpwstr>af90959d-7803-4438-b235-edc6800e2f87</vt:lpwstr>
  </property>
  <property fmtid="{D5CDD505-2E9C-101B-9397-08002B2CF9AE}" pid="8" name="MSIP_Label_a5ab346f-2c3b-432c-ac4d-fdd3cbdce545_ContentBits">
    <vt:lpwstr>2</vt:lpwstr>
  </property>
  <property fmtid="{D5CDD505-2E9C-101B-9397-08002B2CF9AE}" pid="9" name="MSIP_Label_a5ab346f-2c3b-432c-ac4d-fdd3cbdce545_Tag">
    <vt:lpwstr>10, 0, 1, 1</vt:lpwstr>
  </property>
</Properties>
</file>